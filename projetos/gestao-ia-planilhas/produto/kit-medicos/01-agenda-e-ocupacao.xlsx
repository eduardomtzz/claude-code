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acientes" sheetId="4" state="visible" r:id="rId4"/>
    <sheet xmlns:r="http://schemas.openxmlformats.org/officeDocument/2006/relationships" name="Agenda" sheetId="5" state="visible" r:id="rId5"/>
  </sheets>
  <definedNames>
    <definedName name="_xlnm._FilterDatabase" localSheetId="3" hidden="1">'Pacientes'!$A$4:$I$404</definedName>
    <definedName name="_xlnm._FilterDatabase" localSheetId="4" hidden="1">'Agenda'!$A$4:$R$3004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;[Red]-&quot;R$&quot; #,##0"/>
    <numFmt numFmtId="167" formatCode="hh:mm"/>
    <numFmt numFmtId="168" formatCode="#,##0.0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7A1F1F"/>
      <sz val="10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BE4E4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6" fillId="0" borderId="0" pivotButton="0" quotePrefix="0" xfId="0"/>
    <xf numFmtId="0" fontId="15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11" fillId="7" borderId="0" applyAlignment="1" pivotButton="0" quotePrefix="0" xfId="0">
      <alignment horizontal="center"/>
    </xf>
    <xf numFmtId="0" fontId="0" fillId="7" borderId="0" pivotButton="0" quotePrefix="0" xfId="0"/>
    <xf numFmtId="168" fontId="1" fillId="4" borderId="0" applyAlignment="1" pivotButton="0" quotePrefix="0" xfId="0">
      <alignment horizontal="center"/>
    </xf>
    <xf numFmtId="168" fontId="10" fillId="5" borderId="0" applyAlignment="1" pivotButton="0" quotePrefix="0" xfId="0">
      <alignment horizontal="center"/>
    </xf>
    <xf numFmtId="9" fontId="1" fillId="6" borderId="0" applyAlignment="1" pivotButton="0" quotePrefix="0" xfId="0">
      <alignment horizontal="center"/>
    </xf>
    <xf numFmtId="168" fontId="12" fillId="7" borderId="0" applyAlignment="1" pivotButton="0" quotePrefix="0" xfId="0">
      <alignment horizontal="center"/>
    </xf>
    <xf numFmtId="1" fontId="12" fillId="7" borderId="0" applyAlignment="1" pivotButton="0" quotePrefix="0" xfId="0">
      <alignment horizontal="center"/>
    </xf>
    <xf numFmtId="166" fontId="1" fillId="4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8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15" fillId="0" borderId="1" pivotButton="0" quotePrefix="0" xfId="0"/>
    <xf numFmtId="0" fontId="5" fillId="0" borderId="0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5" fontId="4" fillId="2" borderId="1" applyProtection="1" pivotButton="0" quotePrefix="0" xfId="0"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1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FFF4CC"/>
        </patternFill>
      </fill>
    </dxf>
    <dxf>
      <font>
        <name val="Arial"/>
        <b val="1"/>
        <color rgb="00C8402E"/>
        <sz val="10"/>
      </font>
    </dxf>
    <dxf>
      <font>
        <name val="Arial"/>
        <color rgb="00B0A6C4"/>
        <sz val="10"/>
      </font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  <dxf>
      <fill>
        <patternFill patternType="solid">
          <fgColor rgb="00F3EEFB"/>
        </patternFill>
      </fill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disponíveis × atendidas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'Painel'!B10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'Painel'!$A$11:$A$13</f>
            </numRef>
          </cat>
          <val>
            <numRef>
              <f>'Painel'!$B$11:$B$13</f>
            </numRef>
          </val>
        </ser>
        <ser>
          <idx val="1"/>
          <order val="1"/>
          <tx>
            <strRef>
              <f>'Painel'!C10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'Painel'!$A$11:$A$13</f>
            </numRef>
          </cat>
          <val>
            <numRef>
              <f>'Painel'!$C$11:$C$13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Agenda e ocupação por profissional e sala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Registra cada horário da agenda (quem atende, em que sala, qual paciente, pagador e procedimento, e o que aconteceu) e mede o que ninguém mede: quantas horas a clínica tinha disponíveis, quantas foram atendidas, a ocupação por profissional, por sala e por dia da semana, as faltas e a produção do mês.</t>
        </is>
      </c>
    </row>
    <row r="5" ht="46" customHeight="1">
      <c r="A5" s="3" t="inlineStr">
        <is>
          <t>Passo 1</t>
        </is>
      </c>
      <c r="B5" s="4" t="inlineStr">
        <is>
          <t>Em Config, cadastre profissionais, salas, pagadores (particular e convênios), procedimentos com duração e a tabela de preços por pagador. Depois os turnos da semana (quem atende em que dia, período e sala) e os feriados. Preencha as listas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Pacientes, uma linha por paciente: nome, pagador, profissional principal e contato. Só o necessário para agendar e cobrar; nada clínico. Esta aba é a fonte do cadastro de pacientes (a 14 copia daqui).</t>
        </is>
      </c>
    </row>
    <row r="7" ht="46" customHeight="1">
      <c r="A7" s="3" t="inlineStr">
        <is>
          <t>Passo 3</t>
        </is>
      </c>
      <c r="B7" s="4" t="inlineStr">
        <is>
          <t>Em Agenda, uma linha por horário: data, hora, profissional, sala, paciente, pagador, procedimento e situação. No fim do dia, a recepção marca Realizado, Falta, Cancelado ou Remarcado e a forma de pagamento (a planilha 04 tem esse passo no fechamento do dia).</t>
        </is>
      </c>
    </row>
    <row r="8" ht="46" customHeight="1">
      <c r="A8" s="3" t="inlineStr">
        <is>
          <t>Passo 4</t>
        </is>
      </c>
      <c r="B8" s="4" t="inlineStr">
        <is>
          <t>Em Painel, escolha o mês em Config: horas disponíveis (só dias já passados), atendidas, ocupação, horas vazias, faltas e produção; por profissional, por sala, por dia da semana e período, por procedimento e por pagador; e os próximos 7 dias com as vagas.</t>
        </is>
      </c>
    </row>
    <row r="9" ht="46" customHeight="1">
      <c r="A9" s="3" t="inlineStr">
        <is>
          <t>Rotina de segunda</t>
        </is>
      </c>
      <c r="B9" s="4" t="inlineStr">
        <is>
          <t>4 minutos: olhar as vagas dos próximos 7 dias e a ocupação da semana. Confirmar os agendados da semana é a rotina seguinte (mais 4 minutos). As duas estão na planilha 03 · Rotina da semana, que soma 12 minutos na segunda e 18 na sexta.</t>
        </is>
      </c>
    </row>
    <row r="10" ht="46" customHeight="1">
      <c r="A10" s="3" t="inlineStr">
        <is>
          <t>Limite e como estender</t>
        </is>
      </c>
      <c r="B10" s="4" t="inlineStr">
        <is>
          <t>A aba Agenda tem 3.000 linhas (5 a 3004): com cerca de 300 atendimentos por mês, dá 10 meses. Quando chegar perto do fim, copie a última linha preenchida para baixo (a aba precisa ser desprotegida em Revisar &gt; Desproteger planilha) e ajuste o número final nas fórmulas do Painel, ou comece um arquivo por ano — é o mais simples e mantém o histórico separado. A aba Pacientes tem 400 linhas.</t>
        </is>
      </c>
    </row>
    <row r="11" ht="46" customHeight="1">
      <c r="A11" s="3" t="inlineStr">
        <is>
          <t>Ligação com as outras planilhas</t>
        </is>
      </c>
      <c r="B11" s="4" t="inlineStr">
        <is>
          <t>A produção por profissional alimenta o repasse (11); os atendimentos de convênio viram guias (13); os a prazo, parcelas (14); os no cartão, a conciliação (16). O Painel da clínica (17) copia horas atendidas, ocupação e faltas daqui. A planilha 02 copia esta Agenda para medir faltas e montar a lista de retorno.</t>
        </is>
      </c>
    </row>
    <row r="12" ht="46" customHeight="1">
      <c r="A12" s="3" t="inlineStr">
        <is>
          <t>Com a IA</t>
        </is>
      </c>
      <c r="B12" s="4" t="inlineStr">
        <is>
          <t>Copie "Por dia da semana e período" e "Por profissional" e use o prompt "Agenda 01 · Onde a agenda esvazia" da biblioteca do kit. Nunca cole a aba Pacientes ou a Agenda com nomes na IA: use só as tabelas do Painel.</t>
        </is>
      </c>
    </row>
    <row r="13" ht="46" customHeight="1">
      <c r="A13" s="3" t="inlineStr">
        <is>
          <t>Legenda</t>
        </is>
      </c>
      <c r="B13" s="4" t="inlineStr">
        <is>
          <t>Células amarelas: você preenche. Brancas: calculadas. Não é preciso mexer em nada fora do amarelo.</t>
        </is>
      </c>
    </row>
    <row r="14" ht="46" customHeight="1">
      <c r="A14" s="3" t="inlineStr">
        <is>
          <t>Proteção</t>
        </is>
      </c>
      <c r="B14" s="4" t="inlineStr">
        <is>
          <t>Fórmulas protegidas sem senha. Para editar: Revisar &gt; Desproteger planilha (Excel) ou Dados &gt; Proteger intervalos (Google Sheets).</t>
        </is>
      </c>
    </row>
    <row r="15" ht="46" customHeight="1">
      <c r="A15" s="3" t="inlineStr">
        <is>
          <t>Requisitos</t>
        </is>
      </c>
      <c r="B15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6" ht="46" customHeight="1">
      <c r="A16" s="3" t="inlineStr">
        <is>
          <t>Dados de pacientes</t>
        </is>
      </c>
      <c r="B16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7" ht="46" customHeight="1">
      <c r="A17" s="3" t="inlineStr">
        <is>
          <t>Google Sheets</t>
        </is>
      </c>
      <c r="B17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8" ht="46" customHeight="1">
      <c r="A18" s="3" t="inlineStr">
        <is>
          <t>Exemplos</t>
        </is>
      </c>
      <c r="B18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9" ht="46" customHeight="1">
      <c r="A19" s="3" t="inlineStr">
        <is>
          <t>Data de referência</t>
        </is>
      </c>
      <c r="B19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20" ht="46" customHeight="1">
      <c r="A20" s="3" t="inlineStr">
        <is>
          <t>Suporte</t>
        </is>
      </c>
      <c r="B20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4" customWidth="1" min="11" max="11"/>
    <col width="13" customWidth="1" min="12" max="12"/>
    <col width="12" customWidth="1" min="13" max="13"/>
    <col width="12" customWidth="1" min="14" max="14"/>
  </cols>
  <sheetData>
    <row r="1" ht="28" customHeight="1">
      <c r="A1" s="5" t="str">
        <f>Config!$B$4&amp;" · Agenda e ocupação · "&amp;Config!$B$6&amp;" de "&amp;Config!$B$5</f>
        <v>Clínica Vida Plena (exemplo fictício) · Agenda e ocupação · Setembro de 2026</v>
      </c>
    </row>
    <row r="2">
      <c r="A2" s="6" t="inlineStr">
        <is>
          <t>Nada para digitar aqui. Escolha o mês em Config; tudo vem de Agenda e dos turnos. Ocupação = horas atendidas ÷ horas disponíveis (só dias já passados).</t>
        </is>
      </c>
    </row>
    <row r="3"/>
    <row r="4">
      <c r="A4" s="7" t="inlineStr">
        <is>
          <t>Horas disponíveis (até ontem)</t>
        </is>
      </c>
      <c r="B4" s="8" t="n"/>
      <c r="C4" s="9" t="inlineStr">
        <is>
          <t>Horas atendidas</t>
        </is>
      </c>
      <c r="D4" s="10" t="n"/>
      <c r="E4" s="11" t="inlineStr">
        <is>
          <t>Ocupação</t>
        </is>
      </c>
      <c r="F4" s="12" t="n"/>
      <c r="G4" s="13" t="inlineStr">
        <is>
          <t>Horas vazias</t>
        </is>
      </c>
      <c r="H4" s="14" t="n"/>
      <c r="I4" s="13" t="inlineStr">
        <is>
          <t>Faltas no mês</t>
        </is>
      </c>
      <c r="J4" s="14" t="n"/>
      <c r="K4" s="7" t="inlineStr">
        <is>
          <t>Produção (R$)</t>
        </is>
      </c>
      <c r="L4" s="8" t="n"/>
    </row>
    <row r="5" ht="30" customHeight="1">
      <c r="A5" s="15">
        <f>SUM(Config!$G$20:$G$43)</f>
        <v>64</v>
      </c>
      <c r="B5" s="8" t="n"/>
      <c r="C5" s="16">
        <f>SUMIFS(Agenda!$R$5:$R$3004,Agenda!$N$5:$N$3004,Config!$B$7,Agenda!$O$5:$O$3004,Config!$B$5)</f>
        <v>51.8333333333333</v>
      </c>
      <c r="D5" s="10" t="n"/>
      <c r="E5" s="17">
        <f>IF(A5=0,"",C5/A5)</f>
        <v>0.809895833333333</v>
      </c>
      <c r="F5" s="12" t="n"/>
      <c r="G5" s="18">
        <f>IF(A5=0,"",MAX(0,A5-C5))</f>
        <v>12.1666666666667</v>
      </c>
      <c r="H5" s="14" t="n"/>
      <c r="I5" s="19">
        <f>COUNTIFS(Agenda!$H$5:$H$3004,"Falta",Agenda!$N$5:$N$3004,Config!$B$7,Agenda!$O$5:$O$3004,Config!$B$5)</f>
        <v>6</v>
      </c>
      <c r="J5" s="14" t="n"/>
      <c r="K5" s="20">
        <f>SUMIFS(Agenda!$M$5:$M$3004,Agenda!$H$5:$H$3004,"Realizado",Agenda!$N$5:$N$3004,Config!$B$7,Agenda!$O$5:$O$3004,Config!$B$5)</f>
        <v>20045</v>
      </c>
      <c r="L5" s="8" t="n"/>
    </row>
    <row r="6"/>
    <row r="7" ht="30" customHeight="1">
      <c r="A7" s="21" t="inlineStr">
        <is>
          <t>Horas vazias = disponíveis − atendidas: inclui faltas, cancelamentos e horários que ninguém marcou. Produção = valor de tabela dos atendimentos realizados (particular e convênio), antes de glosa e taxas; o que entrou de fato está no caixa (09).</t>
        </is>
      </c>
    </row>
    <row r="8">
      <c r="A8" s="22">
        <f>IF(SUM(Agenda!$V$5:$V$3004)=0,"","Atenção: "&amp;SUM(Agenda!$V$5:$V$3004)&amp;" atendimento(s) realizado(s) sem minutos ou sem valor na Agenda (em vermelho lá). Eles não entram nas horas atendidas, na ocupação nem na produção: os números deste Painel estão MENORES do que a realidade até você completar. Valor 0 digitado é válido (retorno incluído na consulta).")</f>
        <v/>
      </c>
    </row>
    <row r="9">
      <c r="A9" s="23" t="inlineStr">
        <is>
          <t>Por profissional</t>
        </is>
      </c>
    </row>
    <row r="10" ht="26" customHeight="1">
      <c r="A10" s="24" t="inlineStr">
        <is>
          <t>Profissional</t>
        </is>
      </c>
      <c r="B10" s="24" t="inlineStr">
        <is>
          <t>Horas disponíveis</t>
        </is>
      </c>
      <c r="C10" s="24" t="inlineStr">
        <is>
          <t>Horas atendidas</t>
        </is>
      </c>
      <c r="D10" s="24" t="inlineStr">
        <is>
          <t>Ocupação</t>
        </is>
      </c>
      <c r="E10" s="24" t="inlineStr">
        <is>
          <t>Realizados</t>
        </is>
      </c>
      <c r="F10" s="24" t="inlineStr">
        <is>
          <t>Faltas</t>
        </is>
      </c>
      <c r="G10" s="24" t="inlineStr">
        <is>
          <t>Taxa de falta</t>
        </is>
      </c>
      <c r="H10" s="24" t="inlineStr">
        <is>
          <t>Produção (R$)</t>
        </is>
      </c>
      <c r="I10" s="24" t="inlineStr">
        <is>
          <t>Barra</t>
        </is>
      </c>
      <c r="J10" s="25" t="n"/>
      <c r="K10" s="25" t="n"/>
      <c r="L10" s="26" t="n"/>
    </row>
    <row r="11">
      <c r="A11" s="27" t="str">
        <f>IF(Config!$D$5="","",Config!$D$5)</f>
        <v>Dra. Carolina Mendes</v>
      </c>
      <c r="B11" s="28">
        <f>IF(Config!$D$5="","",SUMIFS(Config!$G$20:$G$43,Config!$A$20:$A$43,Config!$D$5))</f>
        <v>24</v>
      </c>
      <c r="C11" s="28">
        <f>IF(Config!$D$5="","",SUMIFS(Agenda!$R$5:$R$3004,Agenda!$C$5:$C$3004,Config!$D$5,Agenda!$N$5:$N$3004,Config!$B$7,Agenda!$O$5:$O$3004,Config!$B$5))</f>
        <v>22</v>
      </c>
      <c r="D11" s="29">
        <f>IF(OR(Config!$D$5="",B11=0),"",C11/B11)</f>
        <v>0.916666666666667</v>
      </c>
      <c r="E11" s="30">
        <f>IF(Config!$D$5="","",COUNTIFS(Agenda!$C$5:$C$3004,Config!$D$5,Agenda!$H$5:$H$3004,"Realizado",Agenda!$N$5:$N$3004,Config!$B$7,Agenda!$O$5:$O$3004,Config!$B$5))</f>
        <v>47</v>
      </c>
      <c r="F11" s="30">
        <f>IF(Config!$D$5="","",COUNTIFS(Agenda!$C$5:$C$3004,Config!$D$5,Agenda!$H$5:$H$3004,"Falta",Agenda!$N$5:$N$3004,Config!$B$7,Agenda!$O$5:$O$3004,Config!$B$5))</f>
        <v>1</v>
      </c>
      <c r="G11" s="29">
        <f>IF(Config!$D$5="","",IF(E11+F11=0,"",F11/(E11+F11)))</f>
        <v>0.0208333333333333</v>
      </c>
      <c r="H11" s="31">
        <f>IF(Config!$D$5="","",SUMIFS(Agenda!$M$5:$M$3004,Agenda!$C$5:$C$3004,Config!$D$5,Agenda!$H$5:$H$3004,"Realizado",Agenda!$N$5:$N$3004,Config!$B$7,Agenda!$O$5:$O$3004,Config!$B$5))</f>
        <v>10050</v>
      </c>
      <c r="I11" s="32" t="str">
        <f>IF(D11="","",REPT("█",ROUND(MIN(1,D11)*30,0)))</f>
        <v>████████████████████████████</v>
      </c>
      <c r="J11" s="25" t="n"/>
      <c r="K11" s="25" t="n"/>
      <c r="L11" s="26" t="n"/>
    </row>
    <row r="12">
      <c r="A12" s="27" t="str">
        <f>IF(Config!$D$6="","",Config!$D$6)</f>
        <v>Dr. Paulo Andrade</v>
      </c>
      <c r="B12" s="28">
        <f>IF(Config!$D$6="","",SUMIFS(Config!$G$20:$G$43,Config!$A$20:$A$43,Config!$D$6))</f>
        <v>24</v>
      </c>
      <c r="C12" s="28">
        <f>IF(Config!$D$6="","",SUMIFS(Agenda!$R$5:$R$3004,Agenda!$C$5:$C$3004,Config!$D$6,Agenda!$N$5:$N$3004,Config!$B$7,Agenda!$O$5:$O$3004,Config!$B$5))</f>
        <v>15.8333333333333</v>
      </c>
      <c r="D12" s="29">
        <f>IF(OR(Config!$D$6="",B12=0),"",C12/B12)</f>
        <v>0.659722222222222</v>
      </c>
      <c r="E12" s="30">
        <f>IF(Config!$D$6="","",COUNTIFS(Agenda!$C$5:$C$3004,Config!$D$6,Agenda!$H$5:$H$3004,"Realizado",Agenda!$N$5:$N$3004,Config!$B$7,Agenda!$O$5:$O$3004,Config!$B$5))</f>
        <v>36</v>
      </c>
      <c r="F12" s="30">
        <f>IF(Config!$D$6="","",COUNTIFS(Agenda!$C$5:$C$3004,Config!$D$6,Agenda!$H$5:$H$3004,"Falta",Agenda!$N$5:$N$3004,Config!$B$7,Agenda!$O$5:$O$3004,Config!$B$5))</f>
        <v>4</v>
      </c>
      <c r="G12" s="29">
        <f>IF(Config!$D$6="","",IF(E12+F12=0,"",F12/(E12+F12)))</f>
        <v>0.1</v>
      </c>
      <c r="H12" s="31">
        <f>IF(Config!$D$6="","",SUMIFS(Agenda!$M$5:$M$3004,Agenda!$C$5:$C$3004,Config!$D$6,Agenda!$H$5:$H$3004,"Realizado",Agenda!$N$5:$N$3004,Config!$B$7,Agenda!$O$5:$O$3004,Config!$B$5))</f>
        <v>4145</v>
      </c>
      <c r="I12" s="32" t="str">
        <f>IF(D12="","",REPT("█",ROUND(MIN(1,D12)*30,0)))</f>
        <v>████████████████████</v>
      </c>
      <c r="J12" s="25" t="n"/>
      <c r="K12" s="25" t="n"/>
      <c r="L12" s="26" t="n"/>
    </row>
    <row r="13">
      <c r="A13" s="27" t="str">
        <f>IF(Config!$D$7="","",Config!$D$7)</f>
        <v>Dra. Renata Sousa</v>
      </c>
      <c r="B13" s="28">
        <f>IF(Config!$D$7="","",SUMIFS(Config!$G$20:$G$43,Config!$A$20:$A$43,Config!$D$7))</f>
        <v>16</v>
      </c>
      <c r="C13" s="28">
        <f>IF(Config!$D$7="","",SUMIFS(Agenda!$R$5:$R$3004,Agenda!$C$5:$C$3004,Config!$D$7,Agenda!$N$5:$N$3004,Config!$B$7,Agenda!$O$5:$O$3004,Config!$B$5))</f>
        <v>14</v>
      </c>
      <c r="D13" s="29">
        <f>IF(OR(Config!$D$7="",B13=0),"",C13/B13)</f>
        <v>0.875</v>
      </c>
      <c r="E13" s="30">
        <f>IF(Config!$D$7="","",COUNTIFS(Agenda!$C$5:$C$3004,Config!$D$7,Agenda!$H$5:$H$3004,"Realizado",Agenda!$N$5:$N$3004,Config!$B$7,Agenda!$O$5:$O$3004,Config!$B$5))</f>
        <v>24</v>
      </c>
      <c r="F13" s="30">
        <f>IF(Config!$D$7="","",COUNTIFS(Agenda!$C$5:$C$3004,Config!$D$7,Agenda!$H$5:$H$3004,"Falta",Agenda!$N$5:$N$3004,Config!$B$7,Agenda!$O$5:$O$3004,Config!$B$5))</f>
        <v>1</v>
      </c>
      <c r="G13" s="29">
        <f>IF(Config!$D$7="","",IF(E13+F13=0,"",F13/(E13+F13)))</f>
        <v>0.04</v>
      </c>
      <c r="H13" s="31">
        <f>IF(Config!$D$7="","",SUMIFS(Agenda!$M$5:$M$3004,Agenda!$C$5:$C$3004,Config!$D$7,Agenda!$H$5:$H$3004,"Realizado",Agenda!$N$5:$N$3004,Config!$B$7,Agenda!$O$5:$O$3004,Config!$B$5))</f>
        <v>5850</v>
      </c>
      <c r="I13" s="32" t="str">
        <f>IF(D13="","",REPT("█",ROUND(MIN(1,D13)*30,0)))</f>
        <v>██████████████████████████</v>
      </c>
      <c r="J13" s="25" t="n"/>
      <c r="K13" s="25" t="n"/>
      <c r="L13" s="26" t="n"/>
    </row>
    <row r="14">
      <c r="A14" s="27">
        <f>IF(Config!$D$8="","",Config!$D$8)</f>
        <v/>
      </c>
      <c r="B14" s="28">
        <f>IF(Config!$D$8="","",SUMIFS(Config!$G$20:$G$43,Config!$A$20:$A$43,Config!$D$8))</f>
        <v/>
      </c>
      <c r="C14" s="28">
        <f>IF(Config!$D$8="","",SUMIFS(Agenda!$R$5:$R$3004,Agenda!$C$5:$C$3004,Config!$D$8,Agenda!$N$5:$N$3004,Config!$B$7,Agenda!$O$5:$O$3004,Config!$B$5))</f>
        <v/>
      </c>
      <c r="D14" s="29">
        <f>IF(OR(Config!$D$8="",B14=0),"",C14/B14)</f>
        <v/>
      </c>
      <c r="E14" s="30">
        <f>IF(Config!$D$8="","",COUNTIFS(Agenda!$C$5:$C$3004,Config!$D$8,Agenda!$H$5:$H$3004,"Realizado",Agenda!$N$5:$N$3004,Config!$B$7,Agenda!$O$5:$O$3004,Config!$B$5))</f>
        <v/>
      </c>
      <c r="F14" s="30">
        <f>IF(Config!$D$8="","",COUNTIFS(Agenda!$C$5:$C$3004,Config!$D$8,Agenda!$H$5:$H$3004,"Falta",Agenda!$N$5:$N$3004,Config!$B$7,Agenda!$O$5:$O$3004,Config!$B$5))</f>
        <v/>
      </c>
      <c r="G14" s="29">
        <f>IF(Config!$D$8="","",IF(E14+F14=0,"",F14/(E14+F14)))</f>
        <v/>
      </c>
      <c r="H14" s="31">
        <f>IF(Config!$D$8="","",SUMIFS(Agenda!$M$5:$M$3004,Agenda!$C$5:$C$3004,Config!$D$8,Agenda!$H$5:$H$3004,"Realizado",Agenda!$N$5:$N$3004,Config!$B$7,Agenda!$O$5:$O$3004,Config!$B$5))</f>
        <v/>
      </c>
      <c r="I14" s="32">
        <f>IF(D14="","",REPT("█",ROUND(MIN(1,D14)*30,0)))</f>
        <v/>
      </c>
      <c r="J14" s="25" t="n"/>
      <c r="K14" s="25" t="n"/>
      <c r="L14" s="26" t="n"/>
    </row>
    <row r="15">
      <c r="A15" s="27">
        <f>IF(Config!$D$9="","",Config!$D$9)</f>
        <v/>
      </c>
      <c r="B15" s="28">
        <f>IF(Config!$D$9="","",SUMIFS(Config!$G$20:$G$43,Config!$A$20:$A$43,Config!$D$9))</f>
        <v/>
      </c>
      <c r="C15" s="28">
        <f>IF(Config!$D$9="","",SUMIFS(Agenda!$R$5:$R$3004,Agenda!$C$5:$C$3004,Config!$D$9,Agenda!$N$5:$N$3004,Config!$B$7,Agenda!$O$5:$O$3004,Config!$B$5))</f>
        <v/>
      </c>
      <c r="D15" s="29">
        <f>IF(OR(Config!$D$9="",B15=0),"",C15/B15)</f>
        <v/>
      </c>
      <c r="E15" s="30">
        <f>IF(Config!$D$9="","",COUNTIFS(Agenda!$C$5:$C$3004,Config!$D$9,Agenda!$H$5:$H$3004,"Realizado",Agenda!$N$5:$N$3004,Config!$B$7,Agenda!$O$5:$O$3004,Config!$B$5))</f>
        <v/>
      </c>
      <c r="F15" s="30">
        <f>IF(Config!$D$9="","",COUNTIFS(Agenda!$C$5:$C$3004,Config!$D$9,Agenda!$H$5:$H$3004,"Falta",Agenda!$N$5:$N$3004,Config!$B$7,Agenda!$O$5:$O$3004,Config!$B$5))</f>
        <v/>
      </c>
      <c r="G15" s="29">
        <f>IF(Config!$D$9="","",IF(E15+F15=0,"",F15/(E15+F15)))</f>
        <v/>
      </c>
      <c r="H15" s="31">
        <f>IF(Config!$D$9="","",SUMIFS(Agenda!$M$5:$M$3004,Agenda!$C$5:$C$3004,Config!$D$9,Agenda!$H$5:$H$3004,"Realizado",Agenda!$N$5:$N$3004,Config!$B$7,Agenda!$O$5:$O$3004,Config!$B$5))</f>
        <v/>
      </c>
      <c r="I15" s="32">
        <f>IF(D15="","",REPT("█",ROUND(MIN(1,D15)*30,0)))</f>
        <v/>
      </c>
      <c r="J15" s="25" t="n"/>
      <c r="K15" s="25" t="n"/>
      <c r="L15" s="26" t="n"/>
    </row>
    <row r="16">
      <c r="A16" s="27">
        <f>IF(Config!$D$10="","",Config!$D$10)</f>
        <v/>
      </c>
      <c r="B16" s="28">
        <f>IF(Config!$D$10="","",SUMIFS(Config!$G$20:$G$43,Config!$A$20:$A$43,Config!$D$10))</f>
        <v/>
      </c>
      <c r="C16" s="28">
        <f>IF(Config!$D$10="","",SUMIFS(Agenda!$R$5:$R$3004,Agenda!$C$5:$C$3004,Config!$D$10,Agenda!$N$5:$N$3004,Config!$B$7,Agenda!$O$5:$O$3004,Config!$B$5))</f>
        <v/>
      </c>
      <c r="D16" s="29">
        <f>IF(OR(Config!$D$10="",B16=0),"",C16/B16)</f>
        <v/>
      </c>
      <c r="E16" s="30">
        <f>IF(Config!$D$10="","",COUNTIFS(Agenda!$C$5:$C$3004,Config!$D$10,Agenda!$H$5:$H$3004,"Realizado",Agenda!$N$5:$N$3004,Config!$B$7,Agenda!$O$5:$O$3004,Config!$B$5))</f>
        <v/>
      </c>
      <c r="F16" s="30">
        <f>IF(Config!$D$10="","",COUNTIFS(Agenda!$C$5:$C$3004,Config!$D$10,Agenda!$H$5:$H$3004,"Falta",Agenda!$N$5:$N$3004,Config!$B$7,Agenda!$O$5:$O$3004,Config!$B$5))</f>
        <v/>
      </c>
      <c r="G16" s="29">
        <f>IF(Config!$D$10="","",IF(E16+F16=0,"",F16/(E16+F16)))</f>
        <v/>
      </c>
      <c r="H16" s="31">
        <f>IF(Config!$D$10="","",SUMIFS(Agenda!$M$5:$M$3004,Agenda!$C$5:$C$3004,Config!$D$10,Agenda!$H$5:$H$3004,"Realizado",Agenda!$N$5:$N$3004,Config!$B$7,Agenda!$O$5:$O$3004,Config!$B$5))</f>
        <v/>
      </c>
      <c r="I16" s="32">
        <f>IF(D16="","",REPT("█",ROUND(MIN(1,D16)*30,0)))</f>
        <v/>
      </c>
      <c r="J16" s="25" t="n"/>
      <c r="K16" s="25" t="n"/>
      <c r="L16" s="26" t="n"/>
    </row>
    <row r="17">
      <c r="A17" s="27">
        <f>IF(Config!$D$11="","",Config!$D$11)</f>
        <v/>
      </c>
      <c r="B17" s="28">
        <f>IF(Config!$D$11="","",SUMIFS(Config!$G$20:$G$43,Config!$A$20:$A$43,Config!$D$11))</f>
        <v/>
      </c>
      <c r="C17" s="28">
        <f>IF(Config!$D$11="","",SUMIFS(Agenda!$R$5:$R$3004,Agenda!$C$5:$C$3004,Config!$D$11,Agenda!$N$5:$N$3004,Config!$B$7,Agenda!$O$5:$O$3004,Config!$B$5))</f>
        <v/>
      </c>
      <c r="D17" s="29">
        <f>IF(OR(Config!$D$11="",B17=0),"",C17/B17)</f>
        <v/>
      </c>
      <c r="E17" s="30">
        <f>IF(Config!$D$11="","",COUNTIFS(Agenda!$C$5:$C$3004,Config!$D$11,Agenda!$H$5:$H$3004,"Realizado",Agenda!$N$5:$N$3004,Config!$B$7,Agenda!$O$5:$O$3004,Config!$B$5))</f>
        <v/>
      </c>
      <c r="F17" s="30">
        <f>IF(Config!$D$11="","",COUNTIFS(Agenda!$C$5:$C$3004,Config!$D$11,Agenda!$H$5:$H$3004,"Falta",Agenda!$N$5:$N$3004,Config!$B$7,Agenda!$O$5:$O$3004,Config!$B$5))</f>
        <v/>
      </c>
      <c r="G17" s="29">
        <f>IF(Config!$D$11="","",IF(E17+F17=0,"",F17/(E17+F17)))</f>
        <v/>
      </c>
      <c r="H17" s="31">
        <f>IF(Config!$D$11="","",SUMIFS(Agenda!$M$5:$M$3004,Agenda!$C$5:$C$3004,Config!$D$11,Agenda!$H$5:$H$3004,"Realizado",Agenda!$N$5:$N$3004,Config!$B$7,Agenda!$O$5:$O$3004,Config!$B$5))</f>
        <v/>
      </c>
      <c r="I17" s="32">
        <f>IF(D17="","",REPT("█",ROUND(MIN(1,D17)*30,0)))</f>
        <v/>
      </c>
      <c r="J17" s="25" t="n"/>
      <c r="K17" s="25" t="n"/>
      <c r="L17" s="26" t="n"/>
    </row>
    <row r="18">
      <c r="A18" s="27">
        <f>IF(Config!$D$12="","",Config!$D$12)</f>
        <v/>
      </c>
      <c r="B18" s="28">
        <f>IF(Config!$D$12="","",SUMIFS(Config!$G$20:$G$43,Config!$A$20:$A$43,Config!$D$12))</f>
        <v/>
      </c>
      <c r="C18" s="28">
        <f>IF(Config!$D$12="","",SUMIFS(Agenda!$R$5:$R$3004,Agenda!$C$5:$C$3004,Config!$D$12,Agenda!$N$5:$N$3004,Config!$B$7,Agenda!$O$5:$O$3004,Config!$B$5))</f>
        <v/>
      </c>
      <c r="D18" s="29">
        <f>IF(OR(Config!$D$12="",B18=0),"",C18/B18)</f>
        <v/>
      </c>
      <c r="E18" s="30">
        <f>IF(Config!$D$12="","",COUNTIFS(Agenda!$C$5:$C$3004,Config!$D$12,Agenda!$H$5:$H$3004,"Realizado",Agenda!$N$5:$N$3004,Config!$B$7,Agenda!$O$5:$O$3004,Config!$B$5))</f>
        <v/>
      </c>
      <c r="F18" s="30">
        <f>IF(Config!$D$12="","",COUNTIFS(Agenda!$C$5:$C$3004,Config!$D$12,Agenda!$H$5:$H$3004,"Falta",Agenda!$N$5:$N$3004,Config!$B$7,Agenda!$O$5:$O$3004,Config!$B$5))</f>
        <v/>
      </c>
      <c r="G18" s="29">
        <f>IF(Config!$D$12="","",IF(E18+F18=0,"",F18/(E18+F18)))</f>
        <v/>
      </c>
      <c r="H18" s="31">
        <f>IF(Config!$D$12="","",SUMIFS(Agenda!$M$5:$M$3004,Agenda!$C$5:$C$3004,Config!$D$12,Agenda!$H$5:$H$3004,"Realizado",Agenda!$N$5:$N$3004,Config!$B$7,Agenda!$O$5:$O$3004,Config!$B$5))</f>
        <v/>
      </c>
      <c r="I18" s="32">
        <f>IF(D18="","",REPT("█",ROUND(MIN(1,D18)*30,0)))</f>
        <v/>
      </c>
      <c r="J18" s="25" t="n"/>
      <c r="K18" s="25" t="n"/>
      <c r="L18" s="26" t="n"/>
    </row>
    <row r="19">
      <c r="A19" s="33" t="inlineStr">
        <is>
          <t>Ocupação abaixo de 60 % fica em amarelo; taxa de falta acima de 10 % em vermelho. Taxa de falta = faltas ÷ (faltas + realizados), a mesma conta da planilha 02.</t>
        </is>
      </c>
    </row>
    <row r="20"/>
    <row r="21">
      <c r="A21" s="23" t="inlineStr">
        <is>
          <t>Por sala</t>
        </is>
      </c>
    </row>
    <row r="22" ht="26" customHeight="1">
      <c r="A22" s="24" t="inlineStr">
        <is>
          <t>Sala</t>
        </is>
      </c>
      <c r="B22" s="24" t="inlineStr">
        <is>
          <t>Horas disponíveis</t>
        </is>
      </c>
      <c r="C22" s="24" t="inlineStr">
        <is>
          <t>Horas atendidas</t>
        </is>
      </c>
      <c r="D22" s="24" t="inlineStr">
        <is>
          <t>Ocupação</t>
        </is>
      </c>
      <c r="E22" s="24" t="inlineStr">
        <is>
          <t>Horas vazias</t>
        </is>
      </c>
      <c r="F22" s="24" t="inlineStr">
        <is>
          <t>Turnos por semana</t>
        </is>
      </c>
    </row>
    <row r="23">
      <c r="A23" s="27" t="str">
        <f>IF(Config!$F$5="","",Config!$F$5)</f>
        <v>Sala 1</v>
      </c>
      <c r="B23" s="28">
        <f>IF(Config!$F$5="","",SUMIFS(Config!$G$20:$G$43,Config!$D$20:$D$43,Config!$F$5))</f>
        <v>40</v>
      </c>
      <c r="C23" s="28">
        <f>IF(Config!$F$5="","",SUMIFS(Agenda!$R$5:$R$3004,Agenda!$D$5:$D$3004,Config!$F$5,Agenda!$N$5:$N$3004,Config!$B$7,Agenda!$O$5:$O$3004,Config!$B$5))</f>
        <v>36</v>
      </c>
      <c r="D23" s="29">
        <f>IF(OR(Config!$F$5="",B23=0),"",C23/B23)</f>
        <v>0.9</v>
      </c>
      <c r="E23" s="28">
        <f>IF(B23="","",MAX(0,B23-C23))</f>
        <v>4</v>
      </c>
      <c r="F23" s="30">
        <f>IF(Config!$F$5="","",COUNTIFS(Config!$D$20:$D$43,Config!$F$5,Config!$A$20:$A$43,"&lt;&gt;"))</f>
        <v>6</v>
      </c>
    </row>
    <row r="24">
      <c r="A24" s="27" t="str">
        <f>IF(Config!$F$6="","",Config!$F$6)</f>
        <v>Sala 2</v>
      </c>
      <c r="B24" s="28">
        <f>IF(Config!$F$6="","",SUMIFS(Config!$G$20:$G$43,Config!$D$20:$D$43,Config!$F$6))</f>
        <v>24</v>
      </c>
      <c r="C24" s="28">
        <f>IF(Config!$F$6="","",SUMIFS(Agenda!$R$5:$R$3004,Agenda!$D$5:$D$3004,Config!$F$6,Agenda!$N$5:$N$3004,Config!$B$7,Agenda!$O$5:$O$3004,Config!$B$5))</f>
        <v>15.8333333333333</v>
      </c>
      <c r="D24" s="29">
        <f>IF(OR(Config!$F$6="",B24=0),"",C24/B24)</f>
        <v>0.659722222222222</v>
      </c>
      <c r="E24" s="28">
        <f>IF(B24="","",MAX(0,B24-C24))</f>
        <v>8.16666666666667</v>
      </c>
      <c r="F24" s="30">
        <f>IF(Config!$F$6="","",COUNTIFS(Config!$D$20:$D$43,Config!$F$6,Config!$A$20:$A$43,"&lt;&gt;"))</f>
        <v>4</v>
      </c>
    </row>
    <row r="25">
      <c r="A25" s="27">
        <f>IF(Config!$F$7="","",Config!$F$7)</f>
        <v/>
      </c>
      <c r="B25" s="28">
        <f>IF(Config!$F$7="","",SUMIFS(Config!$G$20:$G$43,Config!$D$20:$D$43,Config!$F$7))</f>
        <v/>
      </c>
      <c r="C25" s="28">
        <f>IF(Config!$F$7="","",SUMIFS(Agenda!$R$5:$R$3004,Agenda!$D$5:$D$3004,Config!$F$7,Agenda!$N$5:$N$3004,Config!$B$7,Agenda!$O$5:$O$3004,Config!$B$5))</f>
        <v/>
      </c>
      <c r="D25" s="29">
        <f>IF(OR(Config!$F$7="",B25=0),"",C25/B25)</f>
        <v/>
      </c>
      <c r="E25" s="28">
        <f>IF(B25="","",MAX(0,B25-C25))</f>
        <v/>
      </c>
      <c r="F25" s="30">
        <f>IF(Config!$F$7="","",COUNTIFS(Config!$D$20:$D$43,Config!$F$7,Config!$A$20:$A$43,"&lt;&gt;"))</f>
        <v/>
      </c>
    </row>
    <row r="26">
      <c r="A26" s="27">
        <f>IF(Config!$F$8="","",Config!$F$8)</f>
        <v/>
      </c>
      <c r="B26" s="28">
        <f>IF(Config!$F$8="","",SUMIFS(Config!$G$20:$G$43,Config!$D$20:$D$43,Config!$F$8))</f>
        <v/>
      </c>
      <c r="C26" s="28">
        <f>IF(Config!$F$8="","",SUMIFS(Agenda!$R$5:$R$3004,Agenda!$D$5:$D$3004,Config!$F$8,Agenda!$N$5:$N$3004,Config!$B$7,Agenda!$O$5:$O$3004,Config!$B$5))</f>
        <v/>
      </c>
      <c r="D26" s="29">
        <f>IF(OR(Config!$F$8="",B26=0),"",C26/B26)</f>
        <v/>
      </c>
      <c r="E26" s="28">
        <f>IF(B26="","",MAX(0,B26-C26))</f>
        <v/>
      </c>
      <c r="F26" s="30">
        <f>IF(Config!$F$8="","",COUNTIFS(Config!$D$20:$D$43,Config!$F$8,Config!$A$20:$A$43,"&lt;&gt;"))</f>
        <v/>
      </c>
    </row>
    <row r="27">
      <c r="A27" s="27">
        <f>IF(Config!$F$9="","",Config!$F$9)</f>
        <v/>
      </c>
      <c r="B27" s="28">
        <f>IF(Config!$F$9="","",SUMIFS(Config!$G$20:$G$43,Config!$D$20:$D$43,Config!$F$9))</f>
        <v/>
      </c>
      <c r="C27" s="28">
        <f>IF(Config!$F$9="","",SUMIFS(Agenda!$R$5:$R$3004,Agenda!$D$5:$D$3004,Config!$F$9,Agenda!$N$5:$N$3004,Config!$B$7,Agenda!$O$5:$O$3004,Config!$B$5))</f>
        <v/>
      </c>
      <c r="D27" s="29">
        <f>IF(OR(Config!$F$9="",B27=0),"",C27/B27)</f>
        <v/>
      </c>
      <c r="E27" s="28">
        <f>IF(B27="","",MAX(0,B27-C27))</f>
        <v/>
      </c>
      <c r="F27" s="30">
        <f>IF(Config!$F$9="","",COUNTIFS(Config!$D$20:$D$43,Config!$F$9,Config!$A$20:$A$43,"&lt;&gt;"))</f>
        <v/>
      </c>
    </row>
    <row r="28">
      <c r="A28" s="27">
        <f>IF(Config!$F$10="","",Config!$F$10)</f>
        <v/>
      </c>
      <c r="B28" s="28">
        <f>IF(Config!$F$10="","",SUMIFS(Config!$G$20:$G$43,Config!$D$20:$D$43,Config!$F$10))</f>
        <v/>
      </c>
      <c r="C28" s="28">
        <f>IF(Config!$F$10="","",SUMIFS(Agenda!$R$5:$R$3004,Agenda!$D$5:$D$3004,Config!$F$10,Agenda!$N$5:$N$3004,Config!$B$7,Agenda!$O$5:$O$3004,Config!$B$5))</f>
        <v/>
      </c>
      <c r="D28" s="29">
        <f>IF(OR(Config!$F$10="",B28=0),"",C28/B28)</f>
        <v/>
      </c>
      <c r="E28" s="28">
        <f>IF(B28="","",MAX(0,B28-C28))</f>
        <v/>
      </c>
      <c r="F28" s="30">
        <f>IF(Config!$F$10="","",COUNTIFS(Config!$D$20:$D$43,Config!$F$10,Config!$A$20:$A$43,"&lt;&gt;"))</f>
        <v/>
      </c>
    </row>
    <row r="29">
      <c r="A29" s="33" t="inlineStr">
        <is>
          <t>Sala com poucos turnos por semana é capacidade parada: cabe outro profissional por repasse (planilha 11) sem aumentar o aluguel.</t>
        </is>
      </c>
    </row>
    <row r="30"/>
    <row r="31"/>
    <row r="32">
      <c r="A32" s="23" t="inlineStr">
        <is>
          <t>Por dia da semana e período (onde a agenda esvazia)</t>
        </is>
      </c>
    </row>
    <row r="33" ht="32" customHeight="1">
      <c r="A33" s="24" t="inlineStr">
        <is>
          <t>Dia</t>
        </is>
      </c>
      <c r="B33" s="24" t="inlineStr">
        <is>
          <t>Manhã · disponíveis</t>
        </is>
      </c>
      <c r="C33" s="24" t="inlineStr">
        <is>
          <t>Manhã · atendidas</t>
        </is>
      </c>
      <c r="D33" s="24" t="inlineStr">
        <is>
          <t>Manhã · ocupação</t>
        </is>
      </c>
      <c r="E33" s="24" t="inlineStr">
        <is>
          <t>Tarde · disponíveis</t>
        </is>
      </c>
      <c r="F33" s="24" t="inlineStr">
        <is>
          <t>Tarde · atendidas</t>
        </is>
      </c>
      <c r="G33" s="24" t="inlineStr">
        <is>
          <t>Tarde · ocupação</t>
        </is>
      </c>
      <c r="H33" s="24" t="inlineStr">
        <is>
          <t>Faltas no dia</t>
        </is>
      </c>
    </row>
    <row r="34">
      <c r="A34" s="27" t="inlineStr">
        <is>
          <t>Segunda</t>
        </is>
      </c>
      <c r="B34" s="28">
        <f>SUMIFS(Config!$G$20:$G$43,Config!$B$20:$B$43,A34,Config!$C$20:$C$43,"Manhã")</f>
        <v>0</v>
      </c>
      <c r="C34" s="28">
        <f>SUMIFS(Agenda!$R$5:$R$3004,Agenda!$P$5:$P$3004,A34,Agenda!$Q$5:$Q$3004,"Manhã",Agenda!$N$5:$N$3004,Config!$B$7,Agenda!$O$5:$O$3004,Config!$B$5)</f>
        <v>0</v>
      </c>
      <c r="D34" s="29">
        <f>IF(B34=0,"",C34/B34)</f>
        <v/>
      </c>
      <c r="E34" s="28">
        <f>SUMIFS(Config!$G$20:$G$43,Config!$B$20:$B$43,A34,Config!$C$20:$C$43,"Tarde")</f>
        <v>0</v>
      </c>
      <c r="F34" s="28">
        <f>SUMIFS(Agenda!$R$5:$R$3004,Agenda!$P$5:$P$3004,A34,Agenda!$Q$5:$Q$3004,"Tarde",Agenda!$N$5:$N$3004,Config!$B$7,Agenda!$O$5:$O$3004,Config!$B$5)</f>
        <v>0</v>
      </c>
      <c r="G34" s="29">
        <f>IF(E34=0,"",F34/E34)</f>
        <v/>
      </c>
      <c r="H34" s="30">
        <f>COUNTIFS(Agenda!$P$5:$P$3004,A34,Agenda!$H$5:$H$3004,"Falta",Agenda!$N$5:$N$3004,Config!$B$7,Agenda!$O$5:$O$3004,Config!$B$5)</f>
        <v>0</v>
      </c>
    </row>
    <row r="35">
      <c r="A35" s="27" t="inlineStr">
        <is>
          <t>Terça</t>
        </is>
      </c>
      <c r="B35" s="28">
        <f>SUMIFS(Config!$G$20:$G$43,Config!$B$20:$B$43,A35,Config!$C$20:$C$43,"Manhã")</f>
        <v>8</v>
      </c>
      <c r="C35" s="28">
        <f>SUMIFS(Agenda!$R$5:$R$3004,Agenda!$P$5:$P$3004,A35,Agenda!$Q$5:$Q$3004,"Manhã",Agenda!$N$5:$N$3004,Config!$B$7,Agenda!$O$5:$O$3004,Config!$B$5)</f>
        <v>6.83333333333333</v>
      </c>
      <c r="D35" s="29">
        <f>IF(B35=0,"",C35/B35)</f>
        <v>0.854166666666667</v>
      </c>
      <c r="E35" s="28">
        <f>SUMIFS(Config!$G$20:$G$43,Config!$B$20:$B$43,A35,Config!$C$20:$C$43,"Tarde")</f>
        <v>16</v>
      </c>
      <c r="F35" s="28">
        <f>SUMIFS(Agenda!$R$5:$R$3004,Agenda!$P$5:$P$3004,A35,Agenda!$Q$5:$Q$3004,"Tarde",Agenda!$N$5:$N$3004,Config!$B$7,Agenda!$O$5:$O$3004,Config!$B$5)</f>
        <v>13</v>
      </c>
      <c r="G35" s="29">
        <f>IF(E35=0,"",F35/E35)</f>
        <v>0.8125</v>
      </c>
      <c r="H35" s="30">
        <f>COUNTIFS(Agenda!$P$5:$P$3004,A35,Agenda!$H$5:$H$3004,"Falta",Agenda!$N$5:$N$3004,Config!$B$7,Agenda!$O$5:$O$3004,Config!$B$5)</f>
        <v>2</v>
      </c>
    </row>
    <row r="36">
      <c r="A36" s="27" t="inlineStr">
        <is>
          <t>Quarta</t>
        </is>
      </c>
      <c r="B36" s="28">
        <f>SUMIFS(Config!$G$20:$G$43,Config!$B$20:$B$43,A36,Config!$C$20:$C$43,"Manhã")</f>
        <v>0</v>
      </c>
      <c r="C36" s="28">
        <f>SUMIFS(Agenda!$R$5:$R$3004,Agenda!$P$5:$P$3004,A36,Agenda!$Q$5:$Q$3004,"Manhã",Agenda!$N$5:$N$3004,Config!$B$7,Agenda!$O$5:$O$3004,Config!$B$5)</f>
        <v>0</v>
      </c>
      <c r="D36" s="29">
        <f>IF(B36=0,"",C36/B36)</f>
        <v/>
      </c>
      <c r="E36" s="28">
        <f>SUMIFS(Config!$G$20:$G$43,Config!$B$20:$B$43,A36,Config!$C$20:$C$43,"Tarde")</f>
        <v>8</v>
      </c>
      <c r="F36" s="28">
        <f>SUMIFS(Agenda!$R$5:$R$3004,Agenda!$P$5:$P$3004,A36,Agenda!$Q$5:$Q$3004,"Tarde",Agenda!$N$5:$N$3004,Config!$B$7,Agenda!$O$5:$O$3004,Config!$B$5)</f>
        <v>7.83333333333333</v>
      </c>
      <c r="G36" s="29">
        <f>IF(E36=0,"",F36/E36)</f>
        <v>0.979166666666667</v>
      </c>
      <c r="H36" s="30">
        <f>COUNTIFS(Agenda!$P$5:$P$3004,A36,Agenda!$H$5:$H$3004,"Falta",Agenda!$N$5:$N$3004,Config!$B$7,Agenda!$O$5:$O$3004,Config!$B$5)</f>
        <v>0</v>
      </c>
    </row>
    <row r="37">
      <c r="A37" s="27" t="inlineStr">
        <is>
          <t>Quinta</t>
        </is>
      </c>
      <c r="B37" s="28">
        <f>SUMIFS(Config!$G$20:$G$43,Config!$B$20:$B$43,A37,Config!$C$20:$C$43,"Manhã")</f>
        <v>8</v>
      </c>
      <c r="C37" s="28">
        <f>SUMIFS(Agenda!$R$5:$R$3004,Agenda!$P$5:$P$3004,A37,Agenda!$Q$5:$Q$3004,"Manhã",Agenda!$N$5:$N$3004,Config!$B$7,Agenda!$O$5:$O$3004,Config!$B$5)</f>
        <v>7.33333333333333</v>
      </c>
      <c r="D37" s="29">
        <f>IF(B37=0,"",C37/B37)</f>
        <v>0.916666666666667</v>
      </c>
      <c r="E37" s="28">
        <f>SUMIFS(Config!$G$20:$G$43,Config!$B$20:$B$43,A37,Config!$C$20:$C$43,"Tarde")</f>
        <v>16</v>
      </c>
      <c r="F37" s="28">
        <f>SUMIFS(Agenda!$R$5:$R$3004,Agenda!$P$5:$P$3004,A37,Agenda!$Q$5:$Q$3004,"Tarde",Agenda!$N$5:$N$3004,Config!$B$7,Agenda!$O$5:$O$3004,Config!$B$5)</f>
        <v>11.6666666666667</v>
      </c>
      <c r="G37" s="29">
        <f>IF(E37=0,"",F37/E37)</f>
        <v>0.729166666666667</v>
      </c>
      <c r="H37" s="30">
        <f>COUNTIFS(Agenda!$P$5:$P$3004,A37,Agenda!$H$5:$H$3004,"Falta",Agenda!$N$5:$N$3004,Config!$B$7,Agenda!$O$5:$O$3004,Config!$B$5)</f>
        <v>2</v>
      </c>
    </row>
    <row r="38">
      <c r="A38" s="27" t="inlineStr">
        <is>
          <t>Sexta</t>
        </is>
      </c>
      <c r="B38" s="28">
        <f>SUMIFS(Config!$G$20:$G$43,Config!$B$20:$B$43,A38,Config!$C$20:$C$43,"Manhã")</f>
        <v>8</v>
      </c>
      <c r="C38" s="28">
        <f>SUMIFS(Agenda!$R$5:$R$3004,Agenda!$P$5:$P$3004,A38,Agenda!$Q$5:$Q$3004,"Manhã",Agenda!$N$5:$N$3004,Config!$B$7,Agenda!$O$5:$O$3004,Config!$B$5)</f>
        <v>5.16666666666667</v>
      </c>
      <c r="D38" s="29">
        <f>IF(B38=0,"",C38/B38)</f>
        <v>0.645833333333333</v>
      </c>
      <c r="E38" s="28">
        <f>SUMIFS(Config!$G$20:$G$43,Config!$B$20:$B$43,A38,Config!$C$20:$C$43,"Tarde")</f>
        <v>0</v>
      </c>
      <c r="F38" s="28">
        <f>SUMIFS(Agenda!$R$5:$R$3004,Agenda!$P$5:$P$3004,A38,Agenda!$Q$5:$Q$3004,"Tarde",Agenda!$N$5:$N$3004,Config!$B$7,Agenda!$O$5:$O$3004,Config!$B$5)</f>
        <v>0</v>
      </c>
      <c r="G38" s="29">
        <f>IF(E38=0,"",F38/E38)</f>
        <v/>
      </c>
      <c r="H38" s="30">
        <f>COUNTIFS(Agenda!$P$5:$P$3004,A38,Agenda!$H$5:$H$3004,"Falta",Agenda!$N$5:$N$3004,Config!$B$7,Agenda!$O$5:$O$3004,Config!$B$5)</f>
        <v>2</v>
      </c>
    </row>
    <row r="39">
      <c r="A39" s="27" t="inlineStr">
        <is>
          <t>Sábado</t>
        </is>
      </c>
      <c r="B39" s="28">
        <f>SUMIFS(Config!$G$20:$G$43,Config!$B$20:$B$43,A39,Config!$C$20:$C$43,"Manhã")</f>
        <v>0</v>
      </c>
      <c r="C39" s="28">
        <f>SUMIFS(Agenda!$R$5:$R$3004,Agenda!$P$5:$P$3004,A39,Agenda!$Q$5:$Q$3004,"Manhã",Agenda!$N$5:$N$3004,Config!$B$7,Agenda!$O$5:$O$3004,Config!$B$5)</f>
        <v>0</v>
      </c>
      <c r="D39" s="29">
        <f>IF(B39=0,"",C39/B39)</f>
        <v/>
      </c>
      <c r="E39" s="28">
        <f>SUMIFS(Config!$G$20:$G$43,Config!$B$20:$B$43,A39,Config!$C$20:$C$43,"Tarde")</f>
        <v>0</v>
      </c>
      <c r="F39" s="28">
        <f>SUMIFS(Agenda!$R$5:$R$3004,Agenda!$P$5:$P$3004,A39,Agenda!$Q$5:$Q$3004,"Tarde",Agenda!$N$5:$N$3004,Config!$B$7,Agenda!$O$5:$O$3004,Config!$B$5)</f>
        <v>0</v>
      </c>
      <c r="G39" s="29">
        <f>IF(E39=0,"",F39/E39)</f>
        <v/>
      </c>
      <c r="H39" s="30">
        <f>COUNTIFS(Agenda!$P$5:$P$3004,A39,Agenda!$H$5:$H$3004,"Falta",Agenda!$N$5:$N$3004,Config!$B$7,Agenda!$O$5:$O$3004,Config!$B$5)</f>
        <v>0</v>
      </c>
    </row>
    <row r="40" ht="30" customHeight="1">
      <c r="A40" s="21" t="inlineStr">
        <is>
          <t>Dia em cinza: nenhum turno disponível no período contado. As horas disponíveis só contam dias já passados e pulam os feriados de Config, então num mês em andamento um dia da semana pode aparecer zerado sem que a clínica tenha fechado. No exemplo (setembro), a segunda aparece assim: 07/09 é feriado e 14/09 é hoje, e as duas segundas anteriores ao mês não contam — Dra. Carolina e Dr. Paulo atendem normalmente às segundas.</t>
        </is>
      </c>
    </row>
    <row r="41"/>
    <row r="42">
      <c r="A42" s="23" t="inlineStr">
        <is>
          <t>Por procedimento</t>
        </is>
      </c>
    </row>
    <row r="43" ht="26" customHeight="1">
      <c r="A43" s="24" t="inlineStr">
        <is>
          <t>Procedimento</t>
        </is>
      </c>
      <c r="B43" s="24" t="inlineStr">
        <is>
          <t>Realizados</t>
        </is>
      </c>
      <c r="C43" s="24" t="inlineStr">
        <is>
          <t>Horas</t>
        </is>
      </c>
      <c r="D43" s="24" t="inlineStr">
        <is>
          <t>Produção (R$)</t>
        </is>
      </c>
      <c r="E43" s="24" t="inlineStr">
        <is>
          <t>Valor médio (R$)</t>
        </is>
      </c>
      <c r="G43" s="24" t="inlineStr">
        <is>
          <t>Pagador</t>
        </is>
      </c>
      <c r="H43" s="24" t="inlineStr">
        <is>
          <t>Realizados</t>
        </is>
      </c>
      <c r="I43" s="24" t="inlineStr">
        <is>
          <t>Horas</t>
        </is>
      </c>
      <c r="J43" s="24" t="inlineStr">
        <is>
          <t>Faltas</t>
        </is>
      </c>
      <c r="K43" s="24" t="inlineStr">
        <is>
          <t>Taxa de falta</t>
        </is>
      </c>
      <c r="L43" s="24" t="inlineStr">
        <is>
          <t>Produção (R$)</t>
        </is>
      </c>
      <c r="M43" s="24" t="inlineStr">
        <is>
          <t>Valor médio (R$)</t>
        </is>
      </c>
      <c r="N43" s="24" t="inlineStr">
        <is>
          <t>% da produção</t>
        </is>
      </c>
    </row>
    <row r="44">
      <c r="A44" s="27" t="str">
        <f>IF(Config!$J$5="","",Config!$J$5)</f>
        <v>Consulta</v>
      </c>
      <c r="B44" s="30">
        <f>IF(Config!$J$5="","",COUNTIFS(Agenda!$G$5:$G$3004,Config!$J$5,Agenda!$H$5:$H$3004,"Realizado",Agenda!$N$5:$N$3004,Config!$B$7,Agenda!$O$5:$O$3004,Config!$B$5))</f>
        <v>49</v>
      </c>
      <c r="C44" s="28">
        <f>IF(Config!$J$5="","",SUMIFS(Agenda!$U$5:$U$3004,Agenda!$G$5:$G$3004,Config!$J$5,Agenda!$N$5:$N$3004,Config!$B$7,Agenda!$O$5:$O$3004,Config!$B$5))</f>
        <v>24.5</v>
      </c>
      <c r="D44" s="31">
        <f>IF(Config!$J$5="","",SUMIFS(Agenda!$M$5:$M$3004,Agenda!$G$5:$G$3004,Config!$J$5,Agenda!$H$5:$H$3004,"Realizado",Agenda!$N$5:$N$3004,Config!$B$7,Agenda!$O$5:$O$3004,Config!$B$5))</f>
        <v>11240</v>
      </c>
      <c r="E44" s="31">
        <f>IF(OR(Config!$J$5="",B44=0),"",D44/B44)</f>
        <v>229.387755102041</v>
      </c>
      <c r="G44" s="27" t="str">
        <f>IF(Config!$H$5="","",Config!$H$5)</f>
        <v>Particular</v>
      </c>
      <c r="H44" s="30">
        <f>IF(Config!$H$5="","",COUNTIFS(Agenda!$F$5:$F$3004,Config!$H$5,Agenda!$H$5:$H$3004,"Realizado",Agenda!$N$5:$N$3004,Config!$B$7,Agenda!$O$5:$O$3004,Config!$B$5))</f>
        <v>55</v>
      </c>
      <c r="I44" s="28">
        <f>IF(Config!$H$5="","",SUMIFS(Agenda!$U$5:$U$3004,Agenda!$F$5:$F$3004,Config!$H$5,Agenda!$N$5:$N$3004,Config!$B$7,Agenda!$O$5:$O$3004,Config!$B$5))</f>
        <v>27</v>
      </c>
      <c r="J44" s="30">
        <f>IF(Config!$H$5="","",COUNTIFS(Agenda!$F$5:$F$3004,Config!$H$5,Agenda!$H$5:$H$3004,"Falta",Agenda!$N$5:$N$3004,Config!$B$7,Agenda!$O$5:$O$3004,Config!$B$5))</f>
        <v>2</v>
      </c>
      <c r="K44" s="29">
        <f>IF(Config!$H$5="","",IF(H44+J44=0,"",J44/(H44+J44)))</f>
        <v>0.0350877192982456</v>
      </c>
      <c r="L44" s="31">
        <f>IF(Config!$H$5="","",SUMIFS(Agenda!$M$5:$M$3004,Agenda!$F$5:$F$3004,Config!$H$5,Agenda!$H$5:$H$3004,"Realizado",Agenda!$N$5:$N$3004,Config!$B$7,Agenda!$O$5:$O$3004,Config!$B$5))</f>
        <v>15620</v>
      </c>
      <c r="M44" s="31">
        <f>IF(OR(Config!$H$5="",H44=0),"",L44/H44)</f>
        <v>284</v>
      </c>
      <c r="N44" s="29">
        <f>IF(OR(Config!$H$5="",$K$5=0),"",L44/$K$5)</f>
        <v>0.779246694936393</v>
      </c>
    </row>
    <row r="45">
      <c r="A45" s="27" t="str">
        <f>IF(Config!$J$6="","",Config!$J$6)</f>
        <v>Retorno</v>
      </c>
      <c r="B45" s="30">
        <f>IF(Config!$J$6="","",COUNTIFS(Agenda!$G$5:$G$3004,Config!$J$6,Agenda!$H$5:$H$3004,"Realizado",Agenda!$N$5:$N$3004,Config!$B$7,Agenda!$O$5:$O$3004,Config!$B$5))</f>
        <v>23</v>
      </c>
      <c r="C45" s="28">
        <f>IF(Config!$J$6="","",SUMIFS(Agenda!$U$5:$U$3004,Agenda!$G$5:$G$3004,Config!$J$6,Agenda!$N$5:$N$3004,Config!$B$7,Agenda!$O$5:$O$3004,Config!$B$5))</f>
        <v>7.66666666666667</v>
      </c>
      <c r="D45" s="31">
        <f>IF(Config!$J$6="","",SUMIFS(Agenda!$M$5:$M$3004,Agenda!$G$5:$G$3004,Config!$J$6,Agenda!$H$5:$H$3004,"Realizado",Agenda!$N$5:$N$3004,Config!$B$7,Agenda!$O$5:$O$3004,Config!$B$5))</f>
        <v>0</v>
      </c>
      <c r="E45" s="31">
        <f>IF(OR(Config!$J$6="",B45=0),"",D45/B45)</f>
        <v>0</v>
      </c>
      <c r="G45" s="27" t="str">
        <f>IF(Config!$H$6="","",Config!$H$6)</f>
        <v>Saúde Total</v>
      </c>
      <c r="H45" s="30">
        <f>IF(Config!$H$6="","",COUNTIFS(Agenda!$F$5:$F$3004,Config!$H$6,Agenda!$H$5:$H$3004,"Realizado",Agenda!$N$5:$N$3004,Config!$B$7,Agenda!$O$5:$O$3004,Config!$B$5))</f>
        <v>26</v>
      </c>
      <c r="I45" s="28">
        <f>IF(Config!$H$6="","",SUMIFS(Agenda!$U$5:$U$3004,Agenda!$F$5:$F$3004,Config!$H$6,Agenda!$N$5:$N$3004,Config!$B$7,Agenda!$O$5:$O$3004,Config!$B$5))</f>
        <v>12.8333333333333</v>
      </c>
      <c r="J45" s="30">
        <f>IF(Config!$H$6="","",COUNTIFS(Agenda!$F$5:$F$3004,Config!$H$6,Agenda!$H$5:$H$3004,"Falta",Agenda!$N$5:$N$3004,Config!$B$7,Agenda!$O$5:$O$3004,Config!$B$5))</f>
        <v>2</v>
      </c>
      <c r="K45" s="29">
        <f>IF(Config!$H$6="","",IF(H45+J45=0,"",J45/(H45+J45)))</f>
        <v>0.0714285714285714</v>
      </c>
      <c r="L45" s="31">
        <f>IF(Config!$H$6="","",SUMIFS(Agenda!$M$5:$M$3004,Agenda!$F$5:$F$3004,Config!$H$6,Agenda!$H$5:$H$3004,"Realizado",Agenda!$N$5:$N$3004,Config!$B$7,Agenda!$O$5:$O$3004,Config!$B$5))</f>
        <v>2435</v>
      </c>
      <c r="M45" s="31">
        <f>IF(OR(Config!$H$6="",H45=0),"",L45/H45)</f>
        <v>93.6538461538462</v>
      </c>
      <c r="N45" s="29">
        <f>IF(OR(Config!$H$6="",$K$5=0),"",L45/$K$5)</f>
        <v>0.12147667747568</v>
      </c>
    </row>
    <row r="46">
      <c r="A46" s="27" t="str">
        <f>IF(Config!$J$7="","",Config!$J$7)</f>
        <v>ECG</v>
      </c>
      <c r="B46" s="30">
        <f>IF(Config!$J$7="","",COUNTIFS(Agenda!$G$5:$G$3004,Config!$J$7,Agenda!$H$5:$H$3004,"Realizado",Agenda!$N$5:$N$3004,Config!$B$7,Agenda!$O$5:$O$3004,Config!$B$5))</f>
        <v>5</v>
      </c>
      <c r="C46" s="28">
        <f>IF(Config!$J$7="","",SUMIFS(Agenda!$U$5:$U$3004,Agenda!$G$5:$G$3004,Config!$J$7,Agenda!$N$5:$N$3004,Config!$B$7,Agenda!$O$5:$O$3004,Config!$B$5))</f>
        <v>1.66666666666667</v>
      </c>
      <c r="D46" s="31">
        <f>IF(Config!$J$7="","",SUMIFS(Agenda!$M$5:$M$3004,Agenda!$G$5:$G$3004,Config!$J$7,Agenda!$H$5:$H$3004,"Realizado",Agenda!$N$5:$N$3004,Config!$B$7,Agenda!$O$5:$O$3004,Config!$B$5))</f>
        <v>375</v>
      </c>
      <c r="E46" s="31">
        <f>IF(OR(Config!$J$7="",B46=0),"",D46/B46)</f>
        <v>75</v>
      </c>
      <c r="G46" s="27" t="str">
        <f>IF(Config!$H$7="","",Config!$H$7)</f>
        <v>MediPlan</v>
      </c>
      <c r="H46" s="30">
        <f>IF(Config!$H$7="","",COUNTIFS(Agenda!$F$5:$F$3004,Config!$H$7,Agenda!$H$5:$H$3004,"Realizado",Agenda!$N$5:$N$3004,Config!$B$7,Agenda!$O$5:$O$3004,Config!$B$5))</f>
        <v>19</v>
      </c>
      <c r="I46" s="28">
        <f>IF(Config!$H$7="","",SUMIFS(Agenda!$U$5:$U$3004,Agenda!$F$5:$F$3004,Config!$H$7,Agenda!$N$5:$N$3004,Config!$B$7,Agenda!$O$5:$O$3004,Config!$B$5))</f>
        <v>8.66666666666667</v>
      </c>
      <c r="J46" s="30">
        <f>IF(Config!$H$7="","",COUNTIFS(Agenda!$F$5:$F$3004,Config!$H$7,Agenda!$H$5:$H$3004,"Falta",Agenda!$N$5:$N$3004,Config!$B$7,Agenda!$O$5:$O$3004,Config!$B$5))</f>
        <v>1</v>
      </c>
      <c r="K46" s="29">
        <f>IF(Config!$H$7="","",IF(H46+J46=0,"",J46/(H46+J46)))</f>
        <v>0.05</v>
      </c>
      <c r="L46" s="31">
        <f>IF(Config!$H$7="","",SUMIFS(Agenda!$M$5:$M$3004,Agenda!$F$5:$F$3004,Config!$H$7,Agenda!$H$5:$H$3004,"Realizado",Agenda!$N$5:$N$3004,Config!$B$7,Agenda!$O$5:$O$3004,Config!$B$5))</f>
        <v>1445</v>
      </c>
      <c r="M46" s="31">
        <f>IF(OR(Config!$H$7="",H46=0),"",L46/H46)</f>
        <v>76.0526315789474</v>
      </c>
      <c r="N46" s="29">
        <f>IF(OR(Config!$H$7="",$K$5=0),"",L46/$K$5)</f>
        <v>0.0720878024444999</v>
      </c>
    </row>
    <row r="47">
      <c r="A47" s="27" t="str">
        <f>IF(Config!$J$8="","",Config!$J$8)</f>
        <v>MAPA</v>
      </c>
      <c r="B47" s="30">
        <f>IF(Config!$J$8="","",COUNTIFS(Agenda!$G$5:$G$3004,Config!$J$8,Agenda!$H$5:$H$3004,"Realizado",Agenda!$N$5:$N$3004,Config!$B$7,Agenda!$O$5:$O$3004,Config!$B$5))</f>
        <v>5</v>
      </c>
      <c r="C47" s="28">
        <f>IF(Config!$J$8="","",SUMIFS(Agenda!$U$5:$U$3004,Agenda!$G$5:$G$3004,Config!$J$8,Agenda!$N$5:$N$3004,Config!$B$7,Agenda!$O$5:$O$3004,Config!$B$5))</f>
        <v>1.66666666666667</v>
      </c>
      <c r="D47" s="31">
        <f>IF(Config!$J$8="","",SUMIFS(Agenda!$M$5:$M$3004,Agenda!$G$5:$G$3004,Config!$J$8,Agenda!$H$5:$H$3004,"Realizado",Agenda!$N$5:$N$3004,Config!$B$7,Agenda!$O$5:$O$3004,Config!$B$5))</f>
        <v>1060</v>
      </c>
      <c r="E47" s="31">
        <f>IF(OR(Config!$J$8="",B47=0),"",D47/B47)</f>
        <v>212</v>
      </c>
      <c r="G47" s="27" t="str">
        <f>IF(Config!$H$8="","",Config!$H$8)</f>
        <v>Vida Care</v>
      </c>
      <c r="H47" s="30">
        <f>IF(Config!$H$8="","",COUNTIFS(Agenda!$F$5:$F$3004,Config!$H$8,Agenda!$H$5:$H$3004,"Realizado",Agenda!$N$5:$N$3004,Config!$B$7,Agenda!$O$5:$O$3004,Config!$B$5))</f>
        <v>7</v>
      </c>
      <c r="I47" s="28">
        <f>IF(Config!$H$8="","",SUMIFS(Agenda!$U$5:$U$3004,Agenda!$F$5:$F$3004,Config!$H$8,Agenda!$N$5:$N$3004,Config!$B$7,Agenda!$O$5:$O$3004,Config!$B$5))</f>
        <v>3.33333333333333</v>
      </c>
      <c r="J47" s="30">
        <f>IF(Config!$H$8="","",COUNTIFS(Agenda!$F$5:$F$3004,Config!$H$8,Agenda!$H$5:$H$3004,"Falta",Agenda!$N$5:$N$3004,Config!$B$7,Agenda!$O$5:$O$3004,Config!$B$5))</f>
        <v>1</v>
      </c>
      <c r="K47" s="29">
        <f>IF(Config!$H$8="","",IF(H47+J47=0,"",J47/(H47+J47)))</f>
        <v>0.125</v>
      </c>
      <c r="L47" s="31">
        <f>IF(Config!$H$8="","",SUMIFS(Agenda!$M$5:$M$3004,Agenda!$F$5:$F$3004,Config!$H$8,Agenda!$H$5:$H$3004,"Realizado",Agenda!$N$5:$N$3004,Config!$B$7,Agenda!$O$5:$O$3004,Config!$B$5))</f>
        <v>545</v>
      </c>
      <c r="M47" s="31">
        <f>IF(OR(Config!$H$8="",H47=0),"",L47/H47)</f>
        <v>77.8571428571429</v>
      </c>
      <c r="N47" s="29">
        <f>IF(OR(Config!$H$8="",$K$5=0),"",L47/$K$5)</f>
        <v>0.0271888251434273</v>
      </c>
    </row>
    <row r="48">
      <c r="A48" s="27" t="str">
        <f>IF(Config!$J$9="","",Config!$J$9)</f>
        <v>Holter</v>
      </c>
      <c r="B48" s="30">
        <f>IF(Config!$J$9="","",COUNTIFS(Agenda!$G$5:$G$3004,Config!$J$9,Agenda!$H$5:$H$3004,"Realizado",Agenda!$N$5:$N$3004,Config!$B$7,Agenda!$O$5:$O$3004,Config!$B$5))</f>
        <v>1</v>
      </c>
      <c r="C48" s="28">
        <f>IF(Config!$J$9="","",SUMIFS(Agenda!$U$5:$U$3004,Agenda!$G$5:$G$3004,Config!$J$9,Agenda!$N$5:$N$3004,Config!$B$7,Agenda!$O$5:$O$3004,Config!$B$5))</f>
        <v>0.333333333333333</v>
      </c>
      <c r="D48" s="31">
        <f>IF(Config!$J$9="","",SUMIFS(Agenda!$M$5:$M$3004,Agenda!$G$5:$G$3004,Config!$J$9,Agenda!$H$5:$H$3004,"Realizado",Agenda!$N$5:$N$3004,Config!$B$7,Agenda!$O$5:$O$3004,Config!$B$5))</f>
        <v>105</v>
      </c>
      <c r="E48" s="31">
        <f>IF(OR(Config!$J$9="",B48=0),"",D48/B48)</f>
        <v>105</v>
      </c>
      <c r="G48" s="27">
        <f>IF(Config!$H$9="","",Config!$H$9)</f>
        <v/>
      </c>
      <c r="H48" s="30">
        <f>IF(Config!$H$9="","",COUNTIFS(Agenda!$F$5:$F$3004,Config!$H$9,Agenda!$H$5:$H$3004,"Realizado",Agenda!$N$5:$N$3004,Config!$B$7,Agenda!$O$5:$O$3004,Config!$B$5))</f>
        <v/>
      </c>
      <c r="I48" s="28">
        <f>IF(Config!$H$9="","",SUMIFS(Agenda!$U$5:$U$3004,Agenda!$F$5:$F$3004,Config!$H$9,Agenda!$N$5:$N$3004,Config!$B$7,Agenda!$O$5:$O$3004,Config!$B$5))</f>
        <v/>
      </c>
      <c r="J48" s="30">
        <f>IF(Config!$H$9="","",COUNTIFS(Agenda!$F$5:$F$3004,Config!$H$9,Agenda!$H$5:$H$3004,"Falta",Agenda!$N$5:$N$3004,Config!$B$7,Agenda!$O$5:$O$3004,Config!$B$5))</f>
        <v/>
      </c>
      <c r="K48" s="29">
        <f>IF(Config!$H$9="","",IF(H48+J48=0,"",J48/(H48+J48)))</f>
        <v/>
      </c>
      <c r="L48" s="31">
        <f>IF(Config!$H$9="","",SUMIFS(Agenda!$M$5:$M$3004,Agenda!$F$5:$F$3004,Config!$H$9,Agenda!$H$5:$H$3004,"Realizado",Agenda!$N$5:$N$3004,Config!$B$7,Agenda!$O$5:$O$3004,Config!$B$5))</f>
        <v/>
      </c>
      <c r="M48" s="31">
        <f>IF(OR(Config!$H$9="",H48=0),"",L48/H48)</f>
        <v/>
      </c>
      <c r="N48" s="29">
        <f>IF(OR(Config!$H$9="",$K$5=0),"",L48/$K$5)</f>
        <v/>
      </c>
    </row>
    <row r="49">
      <c r="A49" s="27" t="str">
        <f>IF(Config!$J$10="","",Config!$J$10)</f>
        <v>Teste ergométrico</v>
      </c>
      <c r="B49" s="30">
        <f>IF(Config!$J$10="","",COUNTIFS(Agenda!$G$5:$G$3004,Config!$J$10,Agenda!$H$5:$H$3004,"Realizado",Agenda!$N$5:$N$3004,Config!$B$7,Agenda!$O$5:$O$3004,Config!$B$5))</f>
        <v>6</v>
      </c>
      <c r="C49" s="28">
        <f>IF(Config!$J$10="","",SUMIFS(Agenda!$U$5:$U$3004,Agenda!$G$5:$G$3004,Config!$J$10,Agenda!$N$5:$N$3004,Config!$B$7,Agenda!$O$5:$O$3004,Config!$B$5))</f>
        <v>4</v>
      </c>
      <c r="D49" s="31">
        <f>IF(Config!$J$10="","",SUMIFS(Agenda!$M$5:$M$3004,Agenda!$G$5:$G$3004,Config!$J$10,Agenda!$H$5:$H$3004,"Realizado",Agenda!$N$5:$N$3004,Config!$B$7,Agenda!$O$5:$O$3004,Config!$B$5))</f>
        <v>1415</v>
      </c>
      <c r="E49" s="31">
        <f>IF(OR(Config!$J$10="",B49=0),"",D49/B49)</f>
        <v>235.833333333333</v>
      </c>
      <c r="G49" s="27">
        <f>IF(Config!$H$10="","",Config!$H$10)</f>
        <v/>
      </c>
      <c r="H49" s="30">
        <f>IF(Config!$H$10="","",COUNTIFS(Agenda!$F$5:$F$3004,Config!$H$10,Agenda!$H$5:$H$3004,"Realizado",Agenda!$N$5:$N$3004,Config!$B$7,Agenda!$O$5:$O$3004,Config!$B$5))</f>
        <v/>
      </c>
      <c r="I49" s="28">
        <f>IF(Config!$H$10="","",SUMIFS(Agenda!$U$5:$U$3004,Agenda!$F$5:$F$3004,Config!$H$10,Agenda!$N$5:$N$3004,Config!$B$7,Agenda!$O$5:$O$3004,Config!$B$5))</f>
        <v/>
      </c>
      <c r="J49" s="30">
        <f>IF(Config!$H$10="","",COUNTIFS(Agenda!$F$5:$F$3004,Config!$H$10,Agenda!$H$5:$H$3004,"Falta",Agenda!$N$5:$N$3004,Config!$B$7,Agenda!$O$5:$O$3004,Config!$B$5))</f>
        <v/>
      </c>
      <c r="K49" s="29">
        <f>IF(Config!$H$10="","",IF(H49+J49=0,"",J49/(H49+J49)))</f>
        <v/>
      </c>
      <c r="L49" s="31">
        <f>IF(Config!$H$10="","",SUMIFS(Agenda!$M$5:$M$3004,Agenda!$F$5:$F$3004,Config!$H$10,Agenda!$H$5:$H$3004,"Realizado",Agenda!$N$5:$N$3004,Config!$B$7,Agenda!$O$5:$O$3004,Config!$B$5))</f>
        <v/>
      </c>
      <c r="M49" s="31">
        <f>IF(OR(Config!$H$10="",H49=0),"",L49/H49)</f>
        <v/>
      </c>
      <c r="N49" s="29">
        <f>IF(OR(Config!$H$10="",$K$5=0),"",L49/$K$5)</f>
        <v/>
      </c>
    </row>
    <row r="50">
      <c r="A50" s="27" t="str">
        <f>IF(Config!$J$11="","",Config!$J$11)</f>
        <v>Avaliação endócrina</v>
      </c>
      <c r="B50" s="30">
        <f>IF(Config!$J$11="","",COUNTIFS(Agenda!$G$5:$G$3004,Config!$J$11,Agenda!$H$5:$H$3004,"Realizado",Agenda!$N$5:$N$3004,Config!$B$7,Agenda!$O$5:$O$3004,Config!$B$5))</f>
        <v>18</v>
      </c>
      <c r="C50" s="28">
        <f>IF(Config!$J$11="","",SUMIFS(Agenda!$U$5:$U$3004,Agenda!$G$5:$G$3004,Config!$J$11,Agenda!$N$5:$N$3004,Config!$B$7,Agenda!$O$5:$O$3004,Config!$B$5))</f>
        <v>12</v>
      </c>
      <c r="D50" s="31">
        <f>IF(Config!$J$11="","",SUMIFS(Agenda!$M$5:$M$3004,Agenda!$G$5:$G$3004,Config!$J$11,Agenda!$H$5:$H$3004,"Realizado",Agenda!$N$5:$N$3004,Config!$B$7,Agenda!$O$5:$O$3004,Config!$B$5))</f>
        <v>5850</v>
      </c>
      <c r="E50" s="31">
        <f>IF(OR(Config!$J$11="",B50=0),"",D50/B50)</f>
        <v>325</v>
      </c>
    </row>
    <row r="51">
      <c r="A51" s="27">
        <f>IF(Config!$J$12="","",Config!$J$12)</f>
        <v/>
      </c>
      <c r="B51" s="30">
        <f>IF(Config!$J$12="","",COUNTIFS(Agenda!$G$5:$G$3004,Config!$J$12,Agenda!$H$5:$H$3004,"Realizado",Agenda!$N$5:$N$3004,Config!$B$7,Agenda!$O$5:$O$3004,Config!$B$5))</f>
        <v/>
      </c>
      <c r="C51" s="28">
        <f>IF(Config!$J$12="","",SUMIFS(Agenda!$U$5:$U$3004,Agenda!$G$5:$G$3004,Config!$J$12,Agenda!$N$5:$N$3004,Config!$B$7,Agenda!$O$5:$O$3004,Config!$B$5))</f>
        <v/>
      </c>
      <c r="D51" s="31">
        <f>IF(Config!$J$12="","",SUMIFS(Agenda!$M$5:$M$3004,Agenda!$G$5:$G$3004,Config!$J$12,Agenda!$H$5:$H$3004,"Realizado",Agenda!$N$5:$N$3004,Config!$B$7,Agenda!$O$5:$O$3004,Config!$B$5))</f>
        <v/>
      </c>
      <c r="E51" s="31">
        <f>IF(OR(Config!$J$12="",B51=0),"",D51/B51)</f>
        <v/>
      </c>
    </row>
    <row r="52">
      <c r="A52" s="27">
        <f>IF(Config!$J$13="","",Config!$J$13)</f>
        <v/>
      </c>
      <c r="B52" s="30">
        <f>IF(Config!$J$13="","",COUNTIFS(Agenda!$G$5:$G$3004,Config!$J$13,Agenda!$H$5:$H$3004,"Realizado",Agenda!$N$5:$N$3004,Config!$B$7,Agenda!$O$5:$O$3004,Config!$B$5))</f>
        <v/>
      </c>
      <c r="C52" s="28">
        <f>IF(Config!$J$13="","",SUMIFS(Agenda!$U$5:$U$3004,Agenda!$G$5:$G$3004,Config!$J$13,Agenda!$N$5:$N$3004,Config!$B$7,Agenda!$O$5:$O$3004,Config!$B$5))</f>
        <v/>
      </c>
      <c r="D52" s="31">
        <f>IF(Config!$J$13="","",SUMIFS(Agenda!$M$5:$M$3004,Agenda!$G$5:$G$3004,Config!$J$13,Agenda!$H$5:$H$3004,"Realizado",Agenda!$N$5:$N$3004,Config!$B$7,Agenda!$O$5:$O$3004,Config!$B$5))</f>
        <v/>
      </c>
      <c r="E52" s="31">
        <f>IF(OR(Config!$J$13="",B52=0),"",D52/B52)</f>
        <v/>
      </c>
    </row>
    <row r="53">
      <c r="A53" s="27">
        <f>IF(Config!$J$14="","",Config!$J$14)</f>
        <v/>
      </c>
      <c r="B53" s="30">
        <f>IF(Config!$J$14="","",COUNTIFS(Agenda!$G$5:$G$3004,Config!$J$14,Agenda!$H$5:$H$3004,"Realizado",Agenda!$N$5:$N$3004,Config!$B$7,Agenda!$O$5:$O$3004,Config!$B$5))</f>
        <v/>
      </c>
      <c r="C53" s="28">
        <f>IF(Config!$J$14="","",SUMIFS(Agenda!$U$5:$U$3004,Agenda!$G$5:$G$3004,Config!$J$14,Agenda!$N$5:$N$3004,Config!$B$7,Agenda!$O$5:$O$3004,Config!$B$5))</f>
        <v/>
      </c>
      <c r="D53" s="31">
        <f>IF(Config!$J$14="","",SUMIFS(Agenda!$M$5:$M$3004,Agenda!$G$5:$G$3004,Config!$J$14,Agenda!$H$5:$H$3004,"Realizado",Agenda!$N$5:$N$3004,Config!$B$7,Agenda!$O$5:$O$3004,Config!$B$5))</f>
        <v/>
      </c>
      <c r="E53" s="31">
        <f>IF(OR(Config!$J$14="",B53=0),"",D53/B53)</f>
        <v/>
      </c>
    </row>
    <row r="54">
      <c r="A54" s="27">
        <f>IF(Config!$J$15="","",Config!$J$15)</f>
        <v/>
      </c>
      <c r="B54" s="30">
        <f>IF(Config!$J$15="","",COUNTIFS(Agenda!$G$5:$G$3004,Config!$J$15,Agenda!$H$5:$H$3004,"Realizado",Agenda!$N$5:$N$3004,Config!$B$7,Agenda!$O$5:$O$3004,Config!$B$5))</f>
        <v/>
      </c>
      <c r="C54" s="28">
        <f>IF(Config!$J$15="","",SUMIFS(Agenda!$U$5:$U$3004,Agenda!$G$5:$G$3004,Config!$J$15,Agenda!$N$5:$N$3004,Config!$B$7,Agenda!$O$5:$O$3004,Config!$B$5))</f>
        <v/>
      </c>
      <c r="D54" s="31">
        <f>IF(Config!$J$15="","",SUMIFS(Agenda!$M$5:$M$3004,Agenda!$G$5:$G$3004,Config!$J$15,Agenda!$H$5:$H$3004,"Realizado",Agenda!$N$5:$N$3004,Config!$B$7,Agenda!$O$5:$O$3004,Config!$B$5))</f>
        <v/>
      </c>
      <c r="E54" s="31">
        <f>IF(OR(Config!$J$15="",B54=0),"",D54/B54)</f>
        <v/>
      </c>
    </row>
    <row r="55">
      <c r="A55" s="27">
        <f>IF(Config!$J$16="","",Config!$J$16)</f>
        <v/>
      </c>
      <c r="B55" s="30">
        <f>IF(Config!$J$16="","",COUNTIFS(Agenda!$G$5:$G$3004,Config!$J$16,Agenda!$H$5:$H$3004,"Realizado",Agenda!$N$5:$N$3004,Config!$B$7,Agenda!$O$5:$O$3004,Config!$B$5))</f>
        <v/>
      </c>
      <c r="C55" s="28">
        <f>IF(Config!$J$16="","",SUMIFS(Agenda!$U$5:$U$3004,Agenda!$G$5:$G$3004,Config!$J$16,Agenda!$N$5:$N$3004,Config!$B$7,Agenda!$O$5:$O$3004,Config!$B$5))</f>
        <v/>
      </c>
      <c r="D55" s="31">
        <f>IF(Config!$J$16="","",SUMIFS(Agenda!$M$5:$M$3004,Agenda!$G$5:$G$3004,Config!$J$16,Agenda!$H$5:$H$3004,"Realizado",Agenda!$N$5:$N$3004,Config!$B$7,Agenda!$O$5:$O$3004,Config!$B$5))</f>
        <v/>
      </c>
      <c r="E55" s="31">
        <f>IF(OR(Config!$J$16="",B55=0),"",D55/B55)</f>
        <v/>
      </c>
    </row>
    <row r="56" ht="30" customHeight="1">
      <c r="A56" s="33" t="inlineStr">
        <is>
          <t>Estes dois quadros são do MÊS INTEIRO: realizados, horas e produção contam os mesmos atendimentos. Os quadros de ocupação, no alto, param em ontem, porque a capacidade também para lá — dia que ainda não terminou não entra nos dois lados da conta. Retorno tem valor zero (incluído na consulta): ocupa agenda e não produz. A planilha 06 embute esse tempo no preço da consulta.</t>
        </is>
      </c>
    </row>
    <row r="57"/>
    <row r="58"/>
    <row r="59">
      <c r="A59" s="23" t="inlineStr">
        <is>
          <t>Próximos 7 dias (a partir de hoje)</t>
        </is>
      </c>
    </row>
    <row r="60" ht="26" customHeight="1">
      <c r="A60" s="24" t="inlineStr">
        <is>
          <t>Dia</t>
        </is>
      </c>
      <c r="B60" s="24" t="inlineStr">
        <is>
          <t>Data</t>
        </is>
      </c>
      <c r="C60" s="24" t="inlineStr">
        <is>
          <t>Agendados</t>
        </is>
      </c>
      <c r="D60" s="24" t="inlineStr">
        <is>
          <t>Confirmados</t>
        </is>
      </c>
      <c r="E60" s="24" t="inlineStr">
        <is>
          <t>Horas marcadas</t>
        </is>
      </c>
      <c r="F60" s="24" t="inlineStr">
        <is>
          <t>Horas de turno</t>
        </is>
      </c>
      <c r="G60" s="24" t="inlineStr">
        <is>
          <t>Vagas (horas)</t>
        </is>
      </c>
    </row>
    <row r="61">
      <c r="A61" s="30" t="str">
        <f>CHOOSE(WEEKDAY(B61,2),"Segunda","Terça","Quarta","Quinta","Sexta","Sábado","Domingo")</f>
        <v>Segunda</v>
      </c>
      <c r="B61" s="34">
        <f>Config!$B$8+0</f>
        <v>46279.0</v>
      </c>
      <c r="C61" s="30">
        <f>COUNTIFS(Agenda!$A$5:$A$3004,B61,Agenda!$H$5:$H$3004,"Agendado")</f>
        <v>4</v>
      </c>
      <c r="D61" s="30">
        <f>COUNTIFS(Agenda!$A$5:$A$3004,B61,Agenda!$H$5:$H$3004,"Confirmado")</f>
        <v>11</v>
      </c>
      <c r="E61" s="28">
        <f>(SUMIFS(Agenda!$L$5:$L$3004,Agenda!$A$5:$A$3004,B61,Agenda!$H$5:$H$3004,"Agendado")+SUMIFS(Agenda!$L$5:$L$3004,Agenda!$A$5:$A$3004,B61,Agenda!$H$5:$H$3004,"Confirmado"))/60</f>
        <v>6.66666666666667</v>
      </c>
      <c r="F61" s="28">
        <f>IF(COUNTIF(Config!$I$19:$I$38,B61)&gt;0,0,SUMPRODUCT((Config!$B$20:$B$43=A61)*(Config!$A$20:$A$43&lt;&gt;"")*IF(Config!$G$20:$G$43="",0,1)*IF(Config!$F$20:$F$43="",Config!$B$10,Config!$F$20:$F$43)))</f>
        <v>8</v>
      </c>
      <c r="G61" s="28">
        <f>MAX(0,F61-E61)</f>
        <v>1.33333333333333</v>
      </c>
    </row>
    <row r="62">
      <c r="A62" s="30" t="str">
        <f>CHOOSE(WEEKDAY(B62,2),"Segunda","Terça","Quarta","Quinta","Sexta","Sábado","Domingo")</f>
        <v>Terça</v>
      </c>
      <c r="B62" s="34">
        <f>Config!$B$8+1</f>
        <v>46280.0</v>
      </c>
      <c r="C62" s="30">
        <f>COUNTIFS(Agenda!$A$5:$A$3004,B62,Agenda!$H$5:$H$3004,"Agendado")</f>
        <v>5</v>
      </c>
      <c r="D62" s="30">
        <f>COUNTIFS(Agenda!$A$5:$A$3004,B62,Agenda!$H$5:$H$3004,"Confirmado")</f>
        <v>17</v>
      </c>
      <c r="E62" s="28">
        <f>(SUMIFS(Agenda!$L$5:$L$3004,Agenda!$A$5:$A$3004,B62,Agenda!$H$5:$H$3004,"Agendado")+SUMIFS(Agenda!$L$5:$L$3004,Agenda!$A$5:$A$3004,B62,Agenda!$H$5:$H$3004,"Confirmado"))/60</f>
        <v>10.6666666666667</v>
      </c>
      <c r="F62" s="28">
        <f>IF(COUNTIF(Config!$I$19:$I$38,B62)&gt;0,0,SUMPRODUCT((Config!$B$20:$B$43=A62)*(Config!$A$20:$A$43&lt;&gt;"")*IF(Config!$G$20:$G$43="",0,1)*IF(Config!$F$20:$F$43="",Config!$B$10,Config!$F$20:$F$43)))</f>
        <v>12</v>
      </c>
      <c r="G62" s="28">
        <f>MAX(0,F62-E62)</f>
        <v>1.33333333333333</v>
      </c>
    </row>
    <row r="63">
      <c r="A63" s="30" t="str">
        <f>CHOOSE(WEEKDAY(B63,2),"Segunda","Terça","Quarta","Quinta","Sexta","Sábado","Domingo")</f>
        <v>Quarta</v>
      </c>
      <c r="B63" s="34">
        <f>Config!$B$8+2</f>
        <v>46281.0</v>
      </c>
      <c r="C63" s="30">
        <f>COUNTIFS(Agenda!$A$5:$A$3004,B63,Agenda!$H$5:$H$3004,"Agendado")</f>
        <v>2</v>
      </c>
      <c r="D63" s="30">
        <f>COUNTIFS(Agenda!$A$5:$A$3004,B63,Agenda!$H$5:$H$3004,"Confirmado")</f>
        <v>5</v>
      </c>
      <c r="E63" s="28">
        <f>(SUMIFS(Agenda!$L$5:$L$3004,Agenda!$A$5:$A$3004,B63,Agenda!$H$5:$H$3004,"Agendado")+SUMIFS(Agenda!$L$5:$L$3004,Agenda!$A$5:$A$3004,B63,Agenda!$H$5:$H$3004,"Confirmado"))/60</f>
        <v>3</v>
      </c>
      <c r="F63" s="28">
        <f>IF(COUNTIF(Config!$I$19:$I$38,B63)&gt;0,0,SUMPRODUCT((Config!$B$20:$B$43=A63)*(Config!$A$20:$A$43&lt;&gt;"")*IF(Config!$G$20:$G$43="",0,1)*IF(Config!$F$20:$F$43="",Config!$B$10,Config!$F$20:$F$43)))</f>
        <v>4</v>
      </c>
      <c r="G63" s="28">
        <f>MAX(0,F63-E63)</f>
        <v>1</v>
      </c>
    </row>
    <row r="64">
      <c r="A64" s="30" t="str">
        <f>CHOOSE(WEEKDAY(B64,2),"Segunda","Terça","Quarta","Quinta","Sexta","Sábado","Domingo")</f>
        <v>Quinta</v>
      </c>
      <c r="B64" s="34">
        <f>Config!$B$8+3</f>
        <v>46282.0</v>
      </c>
      <c r="C64" s="30">
        <f>COUNTIFS(Agenda!$A$5:$A$3004,B64,Agenda!$H$5:$H$3004,"Agendado")</f>
        <v>19</v>
      </c>
      <c r="D64" s="30">
        <f>COUNTIFS(Agenda!$A$5:$A$3004,B64,Agenda!$H$5:$H$3004,"Confirmado")</f>
        <v>0</v>
      </c>
      <c r="E64" s="28">
        <f>(SUMIFS(Agenda!$L$5:$L$3004,Agenda!$A$5:$A$3004,B64,Agenda!$H$5:$H$3004,"Agendado")+SUMIFS(Agenda!$L$5:$L$3004,Agenda!$A$5:$A$3004,B64,Agenda!$H$5:$H$3004,"Confirmado"))/60</f>
        <v>9.16666666666667</v>
      </c>
      <c r="F64" s="28">
        <f>IF(COUNTIF(Config!$I$19:$I$38,B64)&gt;0,0,SUMPRODUCT((Config!$B$20:$B$43=A64)*(Config!$A$20:$A$43&lt;&gt;"")*IF(Config!$G$20:$G$43="",0,1)*IF(Config!$F$20:$F$43="",Config!$B$10,Config!$F$20:$F$43)))</f>
        <v>12</v>
      </c>
      <c r="G64" s="28">
        <f>MAX(0,F64-E64)</f>
        <v>2.83333333333333</v>
      </c>
    </row>
    <row r="65">
      <c r="A65" s="30" t="str">
        <f>CHOOSE(WEEKDAY(B65,2),"Segunda","Terça","Quarta","Quinta","Sexta","Sábado","Domingo")</f>
        <v>Sexta</v>
      </c>
      <c r="B65" s="34">
        <f>Config!$B$8+4</f>
        <v>46283.0</v>
      </c>
      <c r="C65" s="30">
        <f>COUNTIFS(Agenda!$A$5:$A$3004,B65,Agenda!$H$5:$H$3004,"Agendado")</f>
        <v>9</v>
      </c>
      <c r="D65" s="30">
        <f>COUNTIFS(Agenda!$A$5:$A$3004,B65,Agenda!$H$5:$H$3004,"Confirmado")</f>
        <v>0</v>
      </c>
      <c r="E65" s="28">
        <f>(SUMIFS(Agenda!$L$5:$L$3004,Agenda!$A$5:$A$3004,B65,Agenda!$H$5:$H$3004,"Agendado")+SUMIFS(Agenda!$L$5:$L$3004,Agenda!$A$5:$A$3004,B65,Agenda!$H$5:$H$3004,"Confirmado"))/60</f>
        <v>3.5</v>
      </c>
      <c r="F65" s="28">
        <f>IF(COUNTIF(Config!$I$19:$I$38,B65)&gt;0,0,SUMPRODUCT((Config!$B$20:$B$43=A65)*(Config!$A$20:$A$43&lt;&gt;"")*IF(Config!$G$20:$G$43="",0,1)*IF(Config!$F$20:$F$43="",Config!$B$10,Config!$F$20:$F$43)))</f>
        <v>4</v>
      </c>
      <c r="G65" s="28">
        <f>MAX(0,F65-E65)</f>
        <v>0.5</v>
      </c>
    </row>
    <row r="66">
      <c r="A66" s="30" t="str">
        <f>CHOOSE(WEEKDAY(B66,2),"Segunda","Terça","Quarta","Quinta","Sexta","Sábado","Domingo")</f>
        <v>Sábado</v>
      </c>
      <c r="B66" s="34">
        <f>Config!$B$8+5</f>
        <v>46284.0</v>
      </c>
      <c r="C66" s="30">
        <f>COUNTIFS(Agenda!$A$5:$A$3004,B66,Agenda!$H$5:$H$3004,"Agendado")</f>
        <v>0</v>
      </c>
      <c r="D66" s="30">
        <f>COUNTIFS(Agenda!$A$5:$A$3004,B66,Agenda!$H$5:$H$3004,"Confirmado")</f>
        <v>0</v>
      </c>
      <c r="E66" s="28">
        <f>(SUMIFS(Agenda!$L$5:$L$3004,Agenda!$A$5:$A$3004,B66,Agenda!$H$5:$H$3004,"Agendado")+SUMIFS(Agenda!$L$5:$L$3004,Agenda!$A$5:$A$3004,B66,Agenda!$H$5:$H$3004,"Confirmado"))/60</f>
        <v>0</v>
      </c>
      <c r="F66" s="28">
        <f>IF(COUNTIF(Config!$I$19:$I$38,B66)&gt;0,0,SUMPRODUCT((Config!$B$20:$B$43=A66)*(Config!$A$20:$A$43&lt;&gt;"")*IF(Config!$G$20:$G$43="",0,1)*IF(Config!$F$20:$F$43="",Config!$B$10,Config!$F$20:$F$43)))</f>
        <v>0</v>
      </c>
      <c r="G66" s="28">
        <f>MAX(0,F66-E66)</f>
        <v>0</v>
      </c>
    </row>
    <row r="67">
      <c r="A67" s="30" t="str">
        <f>CHOOSE(WEEKDAY(B67,2),"Segunda","Terça","Quarta","Quinta","Sexta","Sábado","Domingo")</f>
        <v>Domingo</v>
      </c>
      <c r="B67" s="34">
        <f>Config!$B$8+6</f>
        <v>46285.0</v>
      </c>
      <c r="C67" s="30">
        <f>COUNTIFS(Agenda!$A$5:$A$3004,B67,Agenda!$H$5:$H$3004,"Agendado")</f>
        <v>0</v>
      </c>
      <c r="D67" s="30">
        <f>COUNTIFS(Agenda!$A$5:$A$3004,B67,Agenda!$H$5:$H$3004,"Confirmado")</f>
        <v>0</v>
      </c>
      <c r="E67" s="28">
        <f>(SUMIFS(Agenda!$L$5:$L$3004,Agenda!$A$5:$A$3004,B67,Agenda!$H$5:$H$3004,"Agendado")+SUMIFS(Agenda!$L$5:$L$3004,Agenda!$A$5:$A$3004,B67,Agenda!$H$5:$H$3004,"Confirmado"))/60</f>
        <v>0</v>
      </c>
      <c r="F67" s="28">
        <f>IF(COUNTIF(Config!$I$19:$I$38,B67)&gt;0,0,SUMPRODUCT((Config!$B$20:$B$43=A67)*(Config!$A$20:$A$43&lt;&gt;"")*IF(Config!$G$20:$G$43="",0,1)*IF(Config!$F$20:$F$43="",Config!$B$10,Config!$F$20:$F$43)))</f>
        <v>0</v>
      </c>
      <c r="G67" s="28">
        <f>MAX(0,F67-E67)</f>
        <v>0</v>
      </c>
    </row>
    <row r="68">
      <c r="A68" s="35" t="inlineStr">
        <is>
          <t>Vagas em amarelo: mais de 40 % do turno livre. É a lista para a recepção oferecer horários à lista de retorno (planilha 02) e aos orçamentos aprovados (15). A planilha avisa; a agenda é da clínica.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5">
    <mergeCell ref="I14:L14"/>
    <mergeCell ref="A32:J32"/>
    <mergeCell ref="A7:L7"/>
    <mergeCell ref="I17:L17"/>
    <mergeCell ref="C5:D5"/>
    <mergeCell ref="E5:F5"/>
    <mergeCell ref="K5:L5"/>
    <mergeCell ref="A29:J29"/>
    <mergeCell ref="I10:L10"/>
    <mergeCell ref="A19:J19"/>
    <mergeCell ref="C4:D4"/>
    <mergeCell ref="I13:L13"/>
    <mergeCell ref="A2:L2"/>
    <mergeCell ref="E4:F4"/>
    <mergeCell ref="A9:J9"/>
    <mergeCell ref="A8:L8"/>
    <mergeCell ref="A59:J59"/>
    <mergeCell ref="I15:L15"/>
    <mergeCell ref="I11:L11"/>
    <mergeCell ref="A68:L68"/>
    <mergeCell ref="A5:B5"/>
    <mergeCell ref="G5:H5"/>
    <mergeCell ref="I5:J5"/>
    <mergeCell ref="I16:L16"/>
    <mergeCell ref="A40:L40"/>
    <mergeCell ref="A4:B4"/>
    <mergeCell ref="G4:H4"/>
    <mergeCell ref="I4:J4"/>
    <mergeCell ref="I18:L18"/>
    <mergeCell ref="A56:J56"/>
    <mergeCell ref="A1:L1"/>
    <mergeCell ref="I12:L12"/>
    <mergeCell ref="A21:J21"/>
    <mergeCell ref="K4:L4"/>
    <mergeCell ref="A42:J42"/>
  </mergeCells>
  <conditionalFormatting sqref="D11:D18">
    <cfRule type="expression" priority="1" dxfId="0">
      <formula>AND(ISNUMBER(D11),D11&lt;0.6)</formula>
    </cfRule>
  </conditionalFormatting>
  <conditionalFormatting sqref="G11:G18">
    <cfRule type="expression" priority="2" dxfId="1">
      <formula>AND(ISNUMBER(G11),G11&gt;0.1)</formula>
    </cfRule>
  </conditionalFormatting>
  <conditionalFormatting sqref="A34:H39">
    <cfRule type="expression" priority="3" dxfId="2">
      <formula>AND($B34=0,$E34=0)</formula>
    </cfRule>
  </conditionalFormatting>
  <conditionalFormatting sqref="D34:D39">
    <cfRule type="expression" priority="4" dxfId="0">
      <formula>AND(ISNUMBER(D34),D34&lt;0.6)</formula>
    </cfRule>
  </conditionalFormatting>
  <conditionalFormatting sqref="G34:G39">
    <cfRule type="expression" priority="5" dxfId="0">
      <formula>AND(ISNUMBER(G34),G34&lt;0.6)</formula>
    </cfRule>
  </conditionalFormatting>
  <conditionalFormatting sqref="A61:G67">
    <cfRule type="expression" priority="6" dxfId="2">
      <formula>$F61=0</formula>
    </cfRule>
  </conditionalFormatting>
  <conditionalFormatting sqref="G61:G67">
    <cfRule type="expression" priority="7" dxfId="0">
      <formula>AND($F61&gt;0,G61&gt;=$F61*0.4)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6" customWidth="1" min="4" max="4"/>
    <col width="18" customWidth="1" min="5" max="5"/>
    <col width="12" customWidth="1" min="6" max="6"/>
    <col width="3" customWidth="1" min="7" max="7"/>
    <col width="16" customWidth="1" min="8" max="8"/>
    <col width="14" customWidth="1" min="9" max="9"/>
    <col width="22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3" customWidth="1" min="19" max="19"/>
    <col width="12" customWidth="1" min="20" max="2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Profissionais, salas, pagadores, procedimentos, tabela de preços e turnos alimentam a Agenda e o Painel.</t>
        </is>
      </c>
    </row>
    <row r="3">
      <c r="M3" s="36" t="inlineStr">
        <is>
          <t>Tabela de preços por pagador (R$)</t>
        </is>
      </c>
    </row>
    <row r="4">
      <c r="A4" s="36" t="inlineStr">
        <is>
          <t>Clínica</t>
        </is>
      </c>
      <c r="B4" s="37" t="inlineStr">
        <is>
          <t>Clínica Vida Plena (exemplo fictício)</t>
        </is>
      </c>
      <c r="D4" s="36" t="inlineStr">
        <is>
          <t>Profissionais (até 8)</t>
        </is>
      </c>
      <c r="E4" s="36" t="inlineStr">
        <is>
          <t>Especialidade</t>
        </is>
      </c>
      <c r="F4" s="36" t="inlineStr">
        <is>
          <t>Salas (até 6)</t>
        </is>
      </c>
      <c r="H4" s="36" t="inlineStr">
        <is>
          <t>Pagadores (até 6)</t>
        </is>
      </c>
      <c r="J4" s="36" t="inlineStr">
        <is>
          <t>Procedimentos (até 12)</t>
        </is>
      </c>
      <c r="K4" s="36" t="inlineStr">
        <is>
          <t>Minutos</t>
        </is>
      </c>
      <c r="L4" s="36" t="inlineStr">
        <is>
          <t>Retorno em (dias)</t>
        </is>
      </c>
      <c r="M4" s="36" t="str">
        <f>IF($H$5="","",$H$5)</f>
        <v>Particular</v>
      </c>
      <c r="N4" s="36" t="str">
        <f>IF($H$6="","",$H$6)</f>
        <v>Saúde Total</v>
      </c>
      <c r="O4" s="36" t="str">
        <f>IF($H$7="","",$H$7)</f>
        <v>MediPlan</v>
      </c>
      <c r="P4" s="36" t="str">
        <f>IF($H$8="","",$H$8)</f>
        <v>Vida Care</v>
      </c>
      <c r="Q4" s="36">
        <f>IF($H$9="","",$H$9)</f>
        <v/>
      </c>
      <c r="R4" s="36">
        <f>IF($H$10="","",$H$10)</f>
        <v/>
      </c>
      <c r="T4" s="36" t="inlineStr">
        <is>
          <t>Meses</t>
        </is>
      </c>
    </row>
    <row r="5">
      <c r="A5" s="36" t="inlineStr">
        <is>
          <t>Ano do painel</t>
        </is>
      </c>
      <c r="B5" s="38" t="n">
        <v>2026</v>
      </c>
      <c r="D5" s="37" t="inlineStr">
        <is>
          <t>Dra. Carolina Mendes</t>
        </is>
      </c>
      <c r="E5" s="37" t="inlineStr">
        <is>
          <t>Clínica médica</t>
        </is>
      </c>
      <c r="F5" s="37" t="inlineStr">
        <is>
          <t>Sala 1</t>
        </is>
      </c>
      <c r="H5" s="37" t="inlineStr">
        <is>
          <t>Particular</t>
        </is>
      </c>
      <c r="J5" s="37" t="inlineStr">
        <is>
          <t>Consulta</t>
        </is>
      </c>
      <c r="K5" s="39" t="n">
        <v>30</v>
      </c>
      <c r="L5" s="39" t="n">
        <v>30</v>
      </c>
      <c r="M5" s="40" t="n">
        <v>380</v>
      </c>
      <c r="N5" s="40" t="n">
        <v>120</v>
      </c>
      <c r="O5" s="40" t="n">
        <v>100</v>
      </c>
      <c r="P5" s="40" t="n">
        <v>90</v>
      </c>
      <c r="Q5" s="40" t="n"/>
      <c r="R5" s="40" t="n"/>
      <c r="T5" s="41" t="inlineStr">
        <is>
          <t>Janeiro</t>
        </is>
      </c>
    </row>
    <row r="6">
      <c r="A6" s="36" t="inlineStr">
        <is>
          <t>Mês do painel</t>
        </is>
      </c>
      <c r="B6" s="38" t="inlineStr">
        <is>
          <t>Setembro</t>
        </is>
      </c>
      <c r="D6" s="37" t="inlineStr">
        <is>
          <t>Dr. Paulo Andrade</t>
        </is>
      </c>
      <c r="E6" s="37" t="inlineStr">
        <is>
          <t>Cardiologia</t>
        </is>
      </c>
      <c r="F6" s="37" t="inlineStr">
        <is>
          <t>Sala 2</t>
        </is>
      </c>
      <c r="H6" s="37" t="inlineStr">
        <is>
          <t>Saúde Total</t>
        </is>
      </c>
      <c r="J6" s="37" t="inlineStr">
        <is>
          <t>Retorno</t>
        </is>
      </c>
      <c r="K6" s="39" t="n">
        <v>20</v>
      </c>
      <c r="L6" s="39" t="n">
        <v>0</v>
      </c>
      <c r="M6" s="40" t="n">
        <v>0</v>
      </c>
      <c r="N6" s="40" t="n">
        <v>0</v>
      </c>
      <c r="O6" s="40" t="n">
        <v>0</v>
      </c>
      <c r="P6" s="40" t="n">
        <v>0</v>
      </c>
      <c r="Q6" s="40" t="n"/>
      <c r="R6" s="40" t="n"/>
      <c r="T6" s="41" t="inlineStr">
        <is>
          <t>Fevereiro</t>
        </is>
      </c>
    </row>
    <row r="7">
      <c r="A7" s="36" t="inlineStr">
        <is>
          <t>Número do mês</t>
        </is>
      </c>
      <c r="B7" s="30">
        <f>MATCH(B6,$T$5:$T$16,0)</f>
        <v>9</v>
      </c>
      <c r="D7" s="37" t="inlineStr">
        <is>
          <t>Dra. Renata Sousa</t>
        </is>
      </c>
      <c r="E7" s="37" t="inlineStr">
        <is>
          <t>Endocrinologia</t>
        </is>
      </c>
      <c r="F7" s="37" t="n"/>
      <c r="H7" s="37" t="inlineStr">
        <is>
          <t>MediPlan</t>
        </is>
      </c>
      <c r="J7" s="37" t="inlineStr">
        <is>
          <t>ECG</t>
        </is>
      </c>
      <c r="K7" s="39" t="n">
        <v>20</v>
      </c>
      <c r="L7" s="39" t="n">
        <v>0</v>
      </c>
      <c r="M7" s="40" t="n">
        <v>130</v>
      </c>
      <c r="N7" s="40" t="n">
        <v>40</v>
      </c>
      <c r="O7" s="40" t="n">
        <v>35</v>
      </c>
      <c r="P7" s="40" t="n">
        <v>32</v>
      </c>
      <c r="Q7" s="40" t="n"/>
      <c r="R7" s="40" t="n"/>
      <c r="T7" s="41" t="inlineStr">
        <is>
          <t>Março</t>
        </is>
      </c>
    </row>
    <row r="8">
      <c r="A8" s="36" t="inlineStr">
        <is>
          <t>Data de referência (hoje)</t>
        </is>
      </c>
      <c r="B8" s="42" t="n">
        <v>46279</v>
      </c>
      <c r="C8" s="35" t="inlineStr">
        <is>
          <t>O exemplo está congelado em 14/09/2026, para os arquivos do kit mostrarem a mesma foto. Ao usar com os seus dados, troque por =HOJE().</t>
        </is>
      </c>
      <c r="D8" s="37" t="n"/>
      <c r="E8" s="37" t="n"/>
      <c r="F8" s="37" t="n"/>
      <c r="H8" s="37" t="inlineStr">
        <is>
          <t>Vida Care</t>
        </is>
      </c>
      <c r="J8" s="37" t="inlineStr">
        <is>
          <t>MAPA</t>
        </is>
      </c>
      <c r="K8" s="39" t="n">
        <v>20</v>
      </c>
      <c r="L8" s="39" t="n">
        <v>0</v>
      </c>
      <c r="M8" s="40" t="n">
        <v>300</v>
      </c>
      <c r="N8" s="40" t="n">
        <v>95</v>
      </c>
      <c r="O8" s="40" t="n">
        <v>85</v>
      </c>
      <c r="P8" s="40" t="n">
        <v>75</v>
      </c>
      <c r="Q8" s="40" t="n"/>
      <c r="R8" s="40" t="n"/>
      <c r="T8" s="41" t="inlineStr">
        <is>
          <t>Abril</t>
        </is>
      </c>
    </row>
    <row r="9">
      <c r="A9" s="36" t="inlineStr">
        <is>
          <t>Painel conta horas disponíveis até</t>
        </is>
      </c>
      <c r="B9" s="34">
        <f>MIN(DATE(B5,B7+1,0),B8-1)</f>
        <v>46278.0</v>
      </c>
      <c r="C9" s="35" t="inlineStr">
        <is>
          <t>Ontem, ou o fim do mês do painel se ele já passou: as horas disponíveis só contam dias que já aconteceram.</t>
        </is>
      </c>
      <c r="D9" s="37" t="n"/>
      <c r="E9" s="37" t="n"/>
      <c r="F9" s="37" t="n"/>
      <c r="H9" s="37" t="n"/>
      <c r="J9" s="37" t="inlineStr">
        <is>
          <t>Holter</t>
        </is>
      </c>
      <c r="K9" s="39" t="n">
        <v>20</v>
      </c>
      <c r="L9" s="39" t="n">
        <v>0</v>
      </c>
      <c r="M9" s="40" t="n">
        <v>350</v>
      </c>
      <c r="N9" s="40" t="n">
        <v>105</v>
      </c>
      <c r="O9" s="40" t="n">
        <v>95</v>
      </c>
      <c r="P9" s="40" t="n">
        <v>85</v>
      </c>
      <c r="Q9" s="40" t="n"/>
      <c r="R9" s="40" t="n"/>
      <c r="T9" s="41" t="inlineStr">
        <is>
          <t>Maio</t>
        </is>
      </c>
    </row>
    <row r="10">
      <c r="A10" s="36" t="inlineStr">
        <is>
          <t>Horas por turno (padrão)</t>
        </is>
      </c>
      <c r="B10" s="39" t="n">
        <v>4</v>
      </c>
      <c r="D10" s="37" t="n"/>
      <c r="E10" s="37" t="n"/>
      <c r="F10" s="37" t="n"/>
      <c r="H10" s="37" t="n"/>
      <c r="J10" s="37" t="inlineStr">
        <is>
          <t>Teste ergométrico</t>
        </is>
      </c>
      <c r="K10" s="39" t="n">
        <v>40</v>
      </c>
      <c r="L10" s="39" t="n">
        <v>0</v>
      </c>
      <c r="M10" s="40" t="n">
        <v>450</v>
      </c>
      <c r="N10" s="40" t="n">
        <v>140</v>
      </c>
      <c r="O10" s="40" t="n">
        <v>125</v>
      </c>
      <c r="P10" s="40" t="n">
        <v>110</v>
      </c>
      <c r="Q10" s="40" t="n"/>
      <c r="R10" s="40" t="n"/>
      <c r="T10" s="41" t="inlineStr">
        <is>
          <t>Junho</t>
        </is>
      </c>
    </row>
    <row r="11">
      <c r="D11" s="37" t="n"/>
      <c r="E11" s="37" t="n"/>
      <c r="J11" s="37" t="inlineStr">
        <is>
          <t>Avaliação endócrina</t>
        </is>
      </c>
      <c r="K11" s="39" t="n">
        <v>40</v>
      </c>
      <c r="L11" s="39" t="n">
        <v>45</v>
      </c>
      <c r="M11" s="40" t="n">
        <v>400</v>
      </c>
      <c r="N11" s="40" t="n">
        <v>130</v>
      </c>
      <c r="O11" s="40" t="n"/>
      <c r="P11" s="40" t="n"/>
      <c r="Q11" s="40" t="n"/>
      <c r="R11" s="40" t="n"/>
      <c r="T11" s="41" t="inlineStr">
        <is>
          <t>Julho</t>
        </is>
      </c>
    </row>
    <row r="12">
      <c r="D12" s="37" t="n"/>
      <c r="E12" s="37" t="n"/>
      <c r="J12" s="37" t="n"/>
      <c r="K12" s="39" t="n"/>
      <c r="L12" s="39" t="n"/>
      <c r="M12" s="40" t="n"/>
      <c r="N12" s="40" t="n"/>
      <c r="O12" s="40" t="n"/>
      <c r="P12" s="40" t="n"/>
      <c r="Q12" s="40" t="n"/>
      <c r="R12" s="40" t="n"/>
      <c r="T12" s="41" t="inlineStr">
        <is>
          <t>Agosto</t>
        </is>
      </c>
    </row>
    <row r="13">
      <c r="J13" s="37" t="n"/>
      <c r="K13" s="39" t="n"/>
      <c r="L13" s="39" t="n"/>
      <c r="M13" s="40" t="n"/>
      <c r="N13" s="40" t="n"/>
      <c r="O13" s="40" t="n"/>
      <c r="P13" s="40" t="n"/>
      <c r="Q13" s="40" t="n"/>
      <c r="R13" s="40" t="n"/>
      <c r="T13" s="41" t="inlineStr">
        <is>
          <t>Setembro</t>
        </is>
      </c>
    </row>
    <row r="14">
      <c r="D14" s="35" t="inlineStr">
        <is>
          <t>Preencha as listas de cima para baixo, sem pular linha: as listas suspensas da Agenda param na última linha preenchida. Retorno em (dias) = prazo em que se espera o paciente de volta (0 = não se aplica); a planilha 02 usa isso na lista de retorno.</t>
        </is>
      </c>
      <c r="J14" s="37" t="n"/>
      <c r="K14" s="39" t="n"/>
      <c r="L14" s="39" t="n"/>
      <c r="M14" s="40" t="n"/>
      <c r="N14" s="40" t="n"/>
      <c r="O14" s="40" t="n"/>
      <c r="P14" s="40" t="n"/>
      <c r="Q14" s="40" t="n"/>
      <c r="R14" s="40" t="n"/>
      <c r="T14" s="41" t="inlineStr">
        <is>
          <t>Outubro</t>
        </is>
      </c>
    </row>
    <row r="15">
      <c r="D15" s="35" t="inlineStr">
        <is>
          <t>Tabela de preços: valor de cada procedimento para cada pagador. Célula vazia = não credenciado. A Agenda SUGERE o valor daqui nas duas últimas colunas, mas grava na linha o valor que você lançar: reajustar esta tabela não mexe no que já aconteceu. COPIE DA PLANILHA 08 (Tabela de preços): ela é a fonte única da tabela no kit; 06 e 07 também copiam de lá. Mudou um preço? Atualize a 08 primeiro e depois 06, 07 e esta Config.</t>
        </is>
      </c>
      <c r="J15" s="37" t="n"/>
      <c r="K15" s="39" t="n"/>
      <c r="L15" s="39" t="n"/>
      <c r="M15" s="40" t="n"/>
      <c r="N15" s="40" t="n"/>
      <c r="O15" s="40" t="n"/>
      <c r="P15" s="40" t="n"/>
      <c r="Q15" s="40" t="n"/>
      <c r="R15" s="40" t="n"/>
      <c r="T15" s="41" t="inlineStr">
        <is>
          <t>Novembro</t>
        </is>
      </c>
    </row>
    <row r="16">
      <c r="J16" s="37" t="n"/>
      <c r="K16" s="39" t="n"/>
      <c r="L16" s="39" t="n"/>
      <c r="M16" s="40" t="n"/>
      <c r="N16" s="40" t="n"/>
      <c r="O16" s="40" t="n"/>
      <c r="P16" s="40" t="n"/>
      <c r="Q16" s="40" t="n"/>
      <c r="R16" s="40" t="n"/>
      <c r="T16" s="41" t="inlineStr">
        <is>
          <t>Dezembro</t>
        </is>
      </c>
    </row>
    <row r="18">
      <c r="A18" s="36" t="inlineStr">
        <is>
          <t>Turnos da semana (até 24): quem atende, em que dia, período e sala</t>
        </is>
      </c>
      <c r="I18" s="36" t="inlineStr">
        <is>
          <t>Feriados e dias sem atendimento (até 20)</t>
        </is>
      </c>
    </row>
    <row r="19" ht="32" customHeight="1">
      <c r="A19" s="24" t="inlineStr">
        <is>
          <t>Profissional</t>
        </is>
      </c>
      <c r="B19" s="24" t="inlineStr">
        <is>
          <t>Dia da semana</t>
        </is>
      </c>
      <c r="C19" s="24" t="inlineStr">
        <is>
          <t>Período</t>
        </is>
      </c>
      <c r="D19" s="24" t="inlineStr">
        <is>
          <t>Sala</t>
        </is>
      </c>
      <c r="E19" s="24" t="inlineStr">
        <is>
          <t>Início</t>
        </is>
      </c>
      <c r="F19" s="24" t="inlineStr">
        <is>
          <t>Horas</t>
        </is>
      </c>
      <c r="G19" s="24" t="inlineStr">
        <is>
          <t>Horas disponíveis no mês (até o limite)</t>
        </is>
      </c>
      <c r="I19" s="43" t="n">
        <v>46023</v>
      </c>
    </row>
    <row r="20">
      <c r="A20" s="37" t="inlineStr">
        <is>
          <t>Dra. Carolina Mendes</t>
        </is>
      </c>
      <c r="B20" s="38" t="inlineStr">
        <is>
          <t>Segunda</t>
        </is>
      </c>
      <c r="C20" s="38" t="inlineStr">
        <is>
          <t>Manhã</t>
        </is>
      </c>
      <c r="D20" s="38" t="inlineStr">
        <is>
          <t>Sala 1</t>
        </is>
      </c>
      <c r="E20" s="44" t="n">
        <v>0.3333333333333333</v>
      </c>
      <c r="F20" s="38" t="n">
        <v>4</v>
      </c>
      <c r="G20" s="45">
        <f>IF(A20="","",IF(F20="",$B$10,F20)*IFERROR(INDEX($J$45:$J$50,MATCH(B20,$I$45:$I$50,0)),0))</f>
        <v>0</v>
      </c>
      <c r="I20" s="43" t="n">
        <v>46069</v>
      </c>
    </row>
    <row r="21">
      <c r="A21" s="37" t="inlineStr">
        <is>
          <t>Dra. Carolina Mendes</t>
        </is>
      </c>
      <c r="B21" s="38" t="inlineStr">
        <is>
          <t>Terça</t>
        </is>
      </c>
      <c r="C21" s="38" t="inlineStr">
        <is>
          <t>Manhã</t>
        </is>
      </c>
      <c r="D21" s="38" t="inlineStr">
        <is>
          <t>Sala 1</t>
        </is>
      </c>
      <c r="E21" s="44" t="n">
        <v>0.3333333333333333</v>
      </c>
      <c r="F21" s="38" t="n">
        <v>4</v>
      </c>
      <c r="G21" s="45">
        <f>IF(A21="","",IF(F21="",$B$10,F21)*IFERROR(INDEX($J$45:$J$50,MATCH(B21,$I$45:$I$50,0)),0))</f>
        <v>8</v>
      </c>
      <c r="I21" s="43" t="n">
        <v>46070</v>
      </c>
    </row>
    <row r="22">
      <c r="A22" s="37" t="inlineStr">
        <is>
          <t>Dra. Carolina Mendes</t>
        </is>
      </c>
      <c r="B22" s="38" t="inlineStr">
        <is>
          <t>Quarta</t>
        </is>
      </c>
      <c r="C22" s="38" t="inlineStr">
        <is>
          <t>Tarde</t>
        </is>
      </c>
      <c r="D22" s="38" t="inlineStr">
        <is>
          <t>Sala 1</t>
        </is>
      </c>
      <c r="E22" s="44" t="n">
        <v>0.5833333333333334</v>
      </c>
      <c r="F22" s="38" t="n">
        <v>4</v>
      </c>
      <c r="G22" s="45">
        <f>IF(A22="","",IF(F22="",$B$10,F22)*IFERROR(INDEX($J$45:$J$50,MATCH(B22,$I$45:$I$50,0)),0))</f>
        <v>8</v>
      </c>
      <c r="I22" s="43" t="n">
        <v>46115</v>
      </c>
    </row>
    <row r="23">
      <c r="A23" s="37" t="inlineStr">
        <is>
          <t>Dra. Carolina Mendes</t>
        </is>
      </c>
      <c r="B23" s="38" t="inlineStr">
        <is>
          <t>Quinta</t>
        </is>
      </c>
      <c r="C23" s="38" t="inlineStr">
        <is>
          <t>Manhã</t>
        </is>
      </c>
      <c r="D23" s="38" t="inlineStr">
        <is>
          <t>Sala 1</t>
        </is>
      </c>
      <c r="E23" s="44" t="n">
        <v>0.3333333333333333</v>
      </c>
      <c r="F23" s="38" t="n">
        <v>4</v>
      </c>
      <c r="G23" s="45">
        <f>IF(A23="","",IF(F23="",$B$10,F23)*IFERROR(INDEX($J$45:$J$50,MATCH(B23,$I$45:$I$50,0)),0))</f>
        <v>8</v>
      </c>
      <c r="I23" s="43" t="n">
        <v>46133</v>
      </c>
    </row>
    <row r="24">
      <c r="A24" s="37" t="inlineStr">
        <is>
          <t>Dr. Paulo Andrade</t>
        </is>
      </c>
      <c r="B24" s="38" t="inlineStr">
        <is>
          <t>Segunda</t>
        </is>
      </c>
      <c r="C24" s="38" t="inlineStr">
        <is>
          <t>Tarde</t>
        </is>
      </c>
      <c r="D24" s="38" t="inlineStr">
        <is>
          <t>Sala 2</t>
        </is>
      </c>
      <c r="E24" s="44" t="n">
        <v>0.5833333333333334</v>
      </c>
      <c r="F24" s="38" t="n">
        <v>4</v>
      </c>
      <c r="G24" s="45">
        <f>IF(A24="","",IF(F24="",$B$10,F24)*IFERROR(INDEX($J$45:$J$50,MATCH(B24,$I$45:$I$50,0)),0))</f>
        <v>0</v>
      </c>
      <c r="I24" s="43" t="n">
        <v>46143</v>
      </c>
    </row>
    <row r="25">
      <c r="A25" s="37" t="inlineStr">
        <is>
          <t>Dr. Paulo Andrade</t>
        </is>
      </c>
      <c r="B25" s="38" t="inlineStr">
        <is>
          <t>Terça</t>
        </is>
      </c>
      <c r="C25" s="38" t="inlineStr">
        <is>
          <t>Tarde</t>
        </is>
      </c>
      <c r="D25" s="38" t="inlineStr">
        <is>
          <t>Sala 2</t>
        </is>
      </c>
      <c r="E25" s="44" t="n">
        <v>0.5833333333333334</v>
      </c>
      <c r="F25" s="38" t="n">
        <v>4</v>
      </c>
      <c r="G25" s="45">
        <f>IF(A25="","",IF(F25="",$B$10,F25)*IFERROR(INDEX($J$45:$J$50,MATCH(B25,$I$45:$I$50,0)),0))</f>
        <v>8</v>
      </c>
      <c r="I25" s="43" t="n">
        <v>46177</v>
      </c>
    </row>
    <row r="26">
      <c r="A26" s="37" t="inlineStr">
        <is>
          <t>Dr. Paulo Andrade</t>
        </is>
      </c>
      <c r="B26" s="38" t="inlineStr">
        <is>
          <t>Quinta</t>
        </is>
      </c>
      <c r="C26" s="38" t="inlineStr">
        <is>
          <t>Tarde</t>
        </is>
      </c>
      <c r="D26" s="38" t="inlineStr">
        <is>
          <t>Sala 2</t>
        </is>
      </c>
      <c r="E26" s="44" t="n">
        <v>0.5833333333333334</v>
      </c>
      <c r="F26" s="38" t="n">
        <v>4</v>
      </c>
      <c r="G26" s="45">
        <f>IF(A26="","",IF(F26="",$B$10,F26)*IFERROR(INDEX($J$45:$J$50,MATCH(B26,$I$45:$I$50,0)),0))</f>
        <v>8</v>
      </c>
      <c r="I26" s="43" t="n">
        <v>46272</v>
      </c>
    </row>
    <row r="27">
      <c r="A27" s="37" t="inlineStr">
        <is>
          <t>Dr. Paulo Andrade</t>
        </is>
      </c>
      <c r="B27" s="38" t="inlineStr">
        <is>
          <t>Sexta</t>
        </is>
      </c>
      <c r="C27" s="38" t="inlineStr">
        <is>
          <t>Manhã</t>
        </is>
      </c>
      <c r="D27" s="38" t="inlineStr">
        <is>
          <t>Sala 2</t>
        </is>
      </c>
      <c r="E27" s="44" t="n">
        <v>0.3333333333333333</v>
      </c>
      <c r="F27" s="38" t="n">
        <v>4</v>
      </c>
      <c r="G27" s="45">
        <f>IF(A27="","",IF(F27="",$B$10,F27)*IFERROR(INDEX($J$45:$J$50,MATCH(B27,$I$45:$I$50,0)),0))</f>
        <v>8</v>
      </c>
      <c r="I27" s="43" t="n">
        <v>46307</v>
      </c>
    </row>
    <row r="28">
      <c r="A28" s="37" t="inlineStr">
        <is>
          <t>Dra. Renata Sousa</t>
        </is>
      </c>
      <c r="B28" s="38" t="inlineStr">
        <is>
          <t>Terça</t>
        </is>
      </c>
      <c r="C28" s="38" t="inlineStr">
        <is>
          <t>Tarde</t>
        </is>
      </c>
      <c r="D28" s="38" t="inlineStr">
        <is>
          <t>Sala 1</t>
        </is>
      </c>
      <c r="E28" s="44" t="n">
        <v>0.5833333333333334</v>
      </c>
      <c r="F28" s="38" t="n">
        <v>4</v>
      </c>
      <c r="G28" s="45">
        <f>IF(A28="","",IF(F28="",$B$10,F28)*IFERROR(INDEX($J$45:$J$50,MATCH(B28,$I$45:$I$50,0)),0))</f>
        <v>8</v>
      </c>
      <c r="I28" s="43" t="n">
        <v>46328</v>
      </c>
    </row>
    <row r="29">
      <c r="A29" s="37" t="inlineStr">
        <is>
          <t>Dra. Renata Sousa</t>
        </is>
      </c>
      <c r="B29" s="38" t="inlineStr">
        <is>
          <t>Quinta</t>
        </is>
      </c>
      <c r="C29" s="38" t="inlineStr">
        <is>
          <t>Tarde</t>
        </is>
      </c>
      <c r="D29" s="38" t="inlineStr">
        <is>
          <t>Sala 1</t>
        </is>
      </c>
      <c r="E29" s="44" t="n">
        <v>0.5833333333333334</v>
      </c>
      <c r="F29" s="38" t="n">
        <v>4</v>
      </c>
      <c r="G29" s="45">
        <f>IF(A29="","",IF(F29="",$B$10,F29)*IFERROR(INDEX($J$45:$J$50,MATCH(B29,$I$45:$I$50,0)),0))</f>
        <v>8</v>
      </c>
      <c r="I29" s="43" t="n">
        <v>46341</v>
      </c>
    </row>
    <row r="30">
      <c r="A30" s="37" t="n"/>
      <c r="B30" s="38" t="n"/>
      <c r="C30" s="38" t="n"/>
      <c r="D30" s="38" t="n"/>
      <c r="E30" s="44" t="n"/>
      <c r="F30" s="38" t="n"/>
      <c r="G30" s="45">
        <f>IF(A30="","",IF(F30="",$B$10,F30)*IFERROR(INDEX($J$45:$J$50,MATCH(B30,$I$45:$I$50,0)),0))</f>
        <v/>
      </c>
      <c r="I30" s="43" t="n">
        <v>46346</v>
      </c>
    </row>
    <row r="31">
      <c r="A31" s="37" t="n"/>
      <c r="B31" s="38" t="n"/>
      <c r="C31" s="38" t="n"/>
      <c r="D31" s="38" t="n"/>
      <c r="E31" s="44" t="n"/>
      <c r="F31" s="38" t="n"/>
      <c r="G31" s="45">
        <f>IF(A31="","",IF(F31="",$B$10,F31)*IFERROR(INDEX($J$45:$J$50,MATCH(B31,$I$45:$I$50,0)),0))</f>
        <v/>
      </c>
      <c r="I31" s="43" t="n">
        <v>46381</v>
      </c>
    </row>
    <row r="32">
      <c r="A32" s="37" t="n"/>
      <c r="B32" s="38" t="n"/>
      <c r="C32" s="38" t="n"/>
      <c r="D32" s="38" t="n"/>
      <c r="E32" s="44" t="n"/>
      <c r="F32" s="38" t="n"/>
      <c r="G32" s="45">
        <f>IF(A32="","",IF(F32="",$B$10,F32)*IFERROR(INDEX($J$45:$J$50,MATCH(B32,$I$45:$I$50,0)),0))</f>
        <v/>
      </c>
      <c r="I32" s="43" t="n"/>
    </row>
    <row r="33">
      <c r="A33" s="37" t="n"/>
      <c r="B33" s="38" t="n"/>
      <c r="C33" s="38" t="n"/>
      <c r="D33" s="38" t="n"/>
      <c r="E33" s="44" t="n"/>
      <c r="F33" s="38" t="n"/>
      <c r="G33" s="45">
        <f>IF(A33="","",IF(F33="",$B$10,F33)*IFERROR(INDEX($J$45:$J$50,MATCH(B33,$I$45:$I$50,0)),0))</f>
        <v/>
      </c>
      <c r="I33" s="43" t="n"/>
    </row>
    <row r="34">
      <c r="A34" s="37" t="n"/>
      <c r="B34" s="38" t="n"/>
      <c r="C34" s="38" t="n"/>
      <c r="D34" s="38" t="n"/>
      <c r="E34" s="44" t="n"/>
      <c r="F34" s="38" t="n"/>
      <c r="G34" s="45">
        <f>IF(A34="","",IF(F34="",$B$10,F34)*IFERROR(INDEX($J$45:$J$50,MATCH(B34,$I$45:$I$50,0)),0))</f>
        <v/>
      </c>
      <c r="I34" s="43" t="n"/>
    </row>
    <row r="35">
      <c r="A35" s="37" t="n"/>
      <c r="B35" s="38" t="n"/>
      <c r="C35" s="38" t="n"/>
      <c r="D35" s="38" t="n"/>
      <c r="E35" s="44" t="n"/>
      <c r="F35" s="38" t="n"/>
      <c r="G35" s="45">
        <f>IF(A35="","",IF(F35="",$B$10,F35)*IFERROR(INDEX($J$45:$J$50,MATCH(B35,$I$45:$I$50,0)),0))</f>
        <v/>
      </c>
      <c r="I35" s="43" t="n"/>
    </row>
    <row r="36">
      <c r="A36" s="37" t="n"/>
      <c r="B36" s="38" t="n"/>
      <c r="C36" s="38" t="n"/>
      <c r="D36" s="38" t="n"/>
      <c r="E36" s="44" t="n"/>
      <c r="F36" s="38" t="n"/>
      <c r="G36" s="45">
        <f>IF(A36="","",IF(F36="",$B$10,F36)*IFERROR(INDEX($J$45:$J$50,MATCH(B36,$I$45:$I$50,0)),0))</f>
        <v/>
      </c>
      <c r="I36" s="43" t="n"/>
    </row>
    <row r="37">
      <c r="A37" s="37" t="n"/>
      <c r="B37" s="38" t="n"/>
      <c r="C37" s="38" t="n"/>
      <c r="D37" s="38" t="n"/>
      <c r="E37" s="44" t="n"/>
      <c r="F37" s="38" t="n"/>
      <c r="G37" s="45">
        <f>IF(A37="","",IF(F37="",$B$10,F37)*IFERROR(INDEX($J$45:$J$50,MATCH(B37,$I$45:$I$50,0)),0))</f>
        <v/>
      </c>
      <c r="I37" s="43" t="n"/>
    </row>
    <row r="38">
      <c r="A38" s="37" t="n"/>
      <c r="B38" s="38" t="n"/>
      <c r="C38" s="38" t="n"/>
      <c r="D38" s="38" t="n"/>
      <c r="E38" s="44" t="n"/>
      <c r="F38" s="38" t="n"/>
      <c r="G38" s="45">
        <f>IF(A38="","",IF(F38="",$B$10,F38)*IFERROR(INDEX($J$45:$J$50,MATCH(B38,$I$45:$I$50,0)),0))</f>
        <v/>
      </c>
      <c r="I38" s="43" t="n"/>
    </row>
    <row r="39">
      <c r="A39" s="37" t="n"/>
      <c r="B39" s="38" t="n"/>
      <c r="C39" s="38" t="n"/>
      <c r="D39" s="38" t="n"/>
      <c r="E39" s="44" t="n"/>
      <c r="F39" s="38" t="n"/>
      <c r="G39" s="45">
        <f>IF(A39="","",IF(F39="",$B$10,F39)*IFERROR(INDEX($J$45:$J$50,MATCH(B39,$I$45:$I$50,0)),0))</f>
        <v/>
      </c>
    </row>
    <row r="40">
      <c r="A40" s="37" t="n"/>
      <c r="B40" s="38" t="n"/>
      <c r="C40" s="38" t="n"/>
      <c r="D40" s="38" t="n"/>
      <c r="E40" s="44" t="n"/>
      <c r="F40" s="38" t="n"/>
      <c r="G40" s="45">
        <f>IF(A40="","",IF(F40="",$B$10,F40)*IFERROR(INDEX($J$45:$J$50,MATCH(B40,$I$45:$I$50,0)),0))</f>
        <v/>
      </c>
    </row>
    <row r="41">
      <c r="A41" s="37" t="n"/>
      <c r="B41" s="38" t="n"/>
      <c r="C41" s="38" t="n"/>
      <c r="D41" s="38" t="n"/>
      <c r="E41" s="44" t="n"/>
      <c r="F41" s="38" t="n"/>
      <c r="G41" s="45">
        <f>IF(A41="","",IF(F41="",$B$10,F41)*IFERROR(INDEX($J$45:$J$50,MATCH(B41,$I$45:$I$50,0)),0))</f>
        <v/>
      </c>
    </row>
    <row r="42">
      <c r="A42" s="37" t="n"/>
      <c r="B42" s="38" t="n"/>
      <c r="C42" s="38" t="n"/>
      <c r="D42" s="38" t="n"/>
      <c r="E42" s="44" t="n"/>
      <c r="F42" s="38" t="n"/>
      <c r="G42" s="45">
        <f>IF(A42="","",IF(F42="",$B$10,F42)*IFERROR(INDEX($J$45:$J$50,MATCH(B42,$I$45:$I$50,0)),0))</f>
        <v/>
      </c>
    </row>
    <row r="43">
      <c r="A43" s="37" t="n"/>
      <c r="B43" s="38" t="n"/>
      <c r="C43" s="38" t="n"/>
      <c r="D43" s="38" t="n"/>
      <c r="E43" s="44" t="n"/>
      <c r="F43" s="38" t="n"/>
      <c r="G43" s="45">
        <f>IF(A43="","",IF(F43="",$B$10,F43)*IFERROR(INDEX($J$45:$J$50,MATCH(B43,$I$45:$I$50,0)),0))</f>
        <v/>
      </c>
      <c r="I43" s="36" t="inlineStr">
        <is>
          <t>Dias úteis do mês do painel (até o limite), por dia da semana</t>
        </is>
      </c>
    </row>
    <row r="44" ht="26" customHeight="1">
      <c r="I44" s="24" t="inlineStr">
        <is>
          <t>Dia</t>
        </is>
      </c>
      <c r="J44" s="24" t="inlineStr">
        <is>
          <t>Dias no mês</t>
        </is>
      </c>
    </row>
    <row r="45">
      <c r="I45" s="27" t="inlineStr">
        <is>
          <t>Segunda</t>
        </is>
      </c>
      <c r="J45" s="45">
        <f>COUNTIF($C$50:$C$80,I45)</f>
        <v>0</v>
      </c>
    </row>
    <row r="46">
      <c r="I46" s="27" t="inlineStr">
        <is>
          <t>Terça</t>
        </is>
      </c>
      <c r="J46" s="45">
        <f>COUNTIF($C$50:$C$80,I46)</f>
        <v>2</v>
      </c>
    </row>
    <row r="47">
      <c r="I47" s="27" t="inlineStr">
        <is>
          <t>Quarta</t>
        </is>
      </c>
      <c r="J47" s="45">
        <f>COUNTIF($C$50:$C$80,I47)</f>
        <v>2</v>
      </c>
    </row>
    <row r="48">
      <c r="A48" s="35" t="inlineStr">
        <is>
          <t>Auxiliar: dias do mês do painel (calculado; sábado só conta se houver turno de sábado)</t>
        </is>
      </c>
      <c r="I48" s="27" t="inlineStr">
        <is>
          <t>Quinta</t>
        </is>
      </c>
      <c r="J48" s="45">
        <f>COUNTIF($C$50:$C$80,I48)</f>
        <v>2</v>
      </c>
    </row>
    <row r="49" ht="26" customHeight="1">
      <c r="A49" s="24" t="inlineStr">
        <is>
          <t>Dia</t>
        </is>
      </c>
      <c r="B49" s="24" t="inlineStr">
        <is>
          <t>Data</t>
        </is>
      </c>
      <c r="C49" s="24" t="inlineStr">
        <is>
          <t>Conta? (dia da semana)</t>
        </is>
      </c>
      <c r="I49" s="27" t="inlineStr">
        <is>
          <t>Sexta</t>
        </is>
      </c>
      <c r="J49" s="45">
        <f>COUNTIF($C$50:$C$80,I49)</f>
        <v>2</v>
      </c>
    </row>
    <row r="50">
      <c r="A50" s="30" t="n">
        <v>1</v>
      </c>
      <c r="B50" s="34">
        <f>IF(1&gt;DAY(DATE($B$5,$B$7+1,0)),"",DATE($B$5,$B$7,1))</f>
        <v>46266.0</v>
      </c>
      <c r="C50" s="30" t="str">
        <f>IF(B50="","",IF(OR(B50&gt;$B$9,WEEKDAY(B50,2)=7,COUNTIF($I$19:$I$38,B50)&gt;0),"",CHOOSE(WEEKDAY(B50,2),"Segunda","Terça","Quarta","Quinta","Sexta","Sábado","Domingo")))</f>
        <v>Terça</v>
      </c>
      <c r="I50" s="27" t="inlineStr">
        <is>
          <t>Sábado</t>
        </is>
      </c>
      <c r="J50" s="45">
        <f>COUNTIF($C$50:$C$80,I50)</f>
        <v>2</v>
      </c>
    </row>
    <row r="51">
      <c r="A51" s="30" t="n">
        <v>2</v>
      </c>
      <c r="B51" s="34">
        <f>IF(2&gt;DAY(DATE($B$5,$B$7+1,0)),"",DATE($B$5,$B$7,2))</f>
        <v>46267.0</v>
      </c>
      <c r="C51" s="30" t="str">
        <f>IF(B51="","",IF(OR(B51&gt;$B$9,WEEKDAY(B51,2)=7,COUNTIF($I$19:$I$38,B51)&gt;0),"",CHOOSE(WEEKDAY(B51,2),"Segunda","Terça","Quarta","Quinta","Sexta","Sábado","Domingo")))</f>
        <v>Quarta</v>
      </c>
    </row>
    <row r="52">
      <c r="A52" s="30" t="n">
        <v>3</v>
      </c>
      <c r="B52" s="34">
        <f>IF(3&gt;DAY(DATE($B$5,$B$7+1,0)),"",DATE($B$5,$B$7,3))</f>
        <v>46268.0</v>
      </c>
      <c r="C52" s="30" t="str">
        <f>IF(B52="","",IF(OR(B52&gt;$B$9,WEEKDAY(B52,2)=7,COUNTIF($I$19:$I$38,B52)&gt;0),"",CHOOSE(WEEKDAY(B52,2),"Segunda","Terça","Quarta","Quinta","Sexta","Sábado","Domingo")))</f>
        <v>Quinta</v>
      </c>
    </row>
    <row r="53">
      <c r="A53" s="30" t="n">
        <v>4</v>
      </c>
      <c r="B53" s="34">
        <f>IF(4&gt;DAY(DATE($B$5,$B$7+1,0)),"",DATE($B$5,$B$7,4))</f>
        <v>46269.0</v>
      </c>
      <c r="C53" s="30" t="str">
        <f>IF(B53="","",IF(OR(B53&gt;$B$9,WEEKDAY(B53,2)=7,COUNTIF($I$19:$I$38,B53)&gt;0),"",CHOOSE(WEEKDAY(B53,2),"Segunda","Terça","Quarta","Quinta","Sexta","Sábado","Domingo")))</f>
        <v>Sexta</v>
      </c>
    </row>
    <row r="54">
      <c r="A54" s="30" t="n">
        <v>5</v>
      </c>
      <c r="B54" s="34">
        <f>IF(5&gt;DAY(DATE($B$5,$B$7+1,0)),"",DATE($B$5,$B$7,5))</f>
        <v>46270.0</v>
      </c>
      <c r="C54" s="30" t="str">
        <f>IF(B54="","",IF(OR(B54&gt;$B$9,WEEKDAY(B54,2)=7,COUNTIF($I$19:$I$38,B54)&gt;0),"",CHOOSE(WEEKDAY(B54,2),"Segunda","Terça","Quarta","Quinta","Sexta","Sábado","Domingo")))</f>
        <v>Sábado</v>
      </c>
    </row>
    <row r="55">
      <c r="A55" s="30" t="n">
        <v>6</v>
      </c>
      <c r="B55" s="34">
        <f>IF(6&gt;DAY(DATE($B$5,$B$7+1,0)),"",DATE($B$5,$B$7,6))</f>
        <v>46271.0</v>
      </c>
      <c r="C55" s="30">
        <f>IF(B55="","",IF(OR(B55&gt;$B$9,WEEKDAY(B55,2)=7,COUNTIF($I$19:$I$38,B55)&gt;0),"",CHOOSE(WEEKDAY(B55,2),"Segunda","Terça","Quarta","Quinta","Sexta","Sábado","Domingo")))</f>
        <v/>
      </c>
    </row>
    <row r="56">
      <c r="A56" s="30" t="n">
        <v>7</v>
      </c>
      <c r="B56" s="34">
        <f>IF(7&gt;DAY(DATE($B$5,$B$7+1,0)),"",DATE($B$5,$B$7,7))</f>
        <v>46272.0</v>
      </c>
      <c r="C56" s="30">
        <f>IF(B56="","",IF(OR(B56&gt;$B$9,WEEKDAY(B56,2)=7,COUNTIF($I$19:$I$38,B56)&gt;0),"",CHOOSE(WEEKDAY(B56,2),"Segunda","Terça","Quarta","Quinta","Sexta","Sábado","Domingo")))</f>
        <v/>
      </c>
    </row>
    <row r="57">
      <c r="A57" s="30" t="n">
        <v>8</v>
      </c>
      <c r="B57" s="34">
        <f>IF(8&gt;DAY(DATE($B$5,$B$7+1,0)),"",DATE($B$5,$B$7,8))</f>
        <v>46273.0</v>
      </c>
      <c r="C57" s="30" t="str">
        <f>IF(B57="","",IF(OR(B57&gt;$B$9,WEEKDAY(B57,2)=7,COUNTIF($I$19:$I$38,B57)&gt;0),"",CHOOSE(WEEKDAY(B57,2),"Segunda","Terça","Quarta","Quinta","Sexta","Sábado","Domingo")))</f>
        <v>Terça</v>
      </c>
    </row>
    <row r="58">
      <c r="A58" s="30" t="n">
        <v>9</v>
      </c>
      <c r="B58" s="34">
        <f>IF(9&gt;DAY(DATE($B$5,$B$7+1,0)),"",DATE($B$5,$B$7,9))</f>
        <v>46274.0</v>
      </c>
      <c r="C58" s="30" t="str">
        <f>IF(B58="","",IF(OR(B58&gt;$B$9,WEEKDAY(B58,2)=7,COUNTIF($I$19:$I$38,B58)&gt;0),"",CHOOSE(WEEKDAY(B58,2),"Segunda","Terça","Quarta","Quinta","Sexta","Sábado","Domingo")))</f>
        <v>Quarta</v>
      </c>
    </row>
    <row r="59">
      <c r="A59" s="30" t="n">
        <v>10</v>
      </c>
      <c r="B59" s="34">
        <f>IF(10&gt;DAY(DATE($B$5,$B$7+1,0)),"",DATE($B$5,$B$7,10))</f>
        <v>46275.0</v>
      </c>
      <c r="C59" s="30" t="str">
        <f>IF(B59="","",IF(OR(B59&gt;$B$9,WEEKDAY(B59,2)=7,COUNTIF($I$19:$I$38,B59)&gt;0),"",CHOOSE(WEEKDAY(B59,2),"Segunda","Terça","Quarta","Quinta","Sexta","Sábado","Domingo")))</f>
        <v>Quinta</v>
      </c>
    </row>
    <row r="60">
      <c r="A60" s="30" t="n">
        <v>11</v>
      </c>
      <c r="B60" s="34">
        <f>IF(11&gt;DAY(DATE($B$5,$B$7+1,0)),"",DATE($B$5,$B$7,11))</f>
        <v>46276.0</v>
      </c>
      <c r="C60" s="30" t="str">
        <f>IF(B60="","",IF(OR(B60&gt;$B$9,WEEKDAY(B60,2)=7,COUNTIF($I$19:$I$38,B60)&gt;0),"",CHOOSE(WEEKDAY(B60,2),"Segunda","Terça","Quarta","Quinta","Sexta","Sábado","Domingo")))</f>
        <v>Sexta</v>
      </c>
    </row>
    <row r="61">
      <c r="A61" s="30" t="n">
        <v>12</v>
      </c>
      <c r="B61" s="34">
        <f>IF(12&gt;DAY(DATE($B$5,$B$7+1,0)),"",DATE($B$5,$B$7,12))</f>
        <v>46277.0</v>
      </c>
      <c r="C61" s="30" t="str">
        <f>IF(B61="","",IF(OR(B61&gt;$B$9,WEEKDAY(B61,2)=7,COUNTIF($I$19:$I$38,B61)&gt;0),"",CHOOSE(WEEKDAY(B61,2),"Segunda","Terça","Quarta","Quinta","Sexta","Sábado","Domingo")))</f>
        <v>Sábado</v>
      </c>
    </row>
    <row r="62">
      <c r="A62" s="30" t="n">
        <v>13</v>
      </c>
      <c r="B62" s="34">
        <f>IF(13&gt;DAY(DATE($B$5,$B$7+1,0)),"",DATE($B$5,$B$7,13))</f>
        <v>46278.0</v>
      </c>
      <c r="C62" s="30">
        <f>IF(B62="","",IF(OR(B62&gt;$B$9,WEEKDAY(B62,2)=7,COUNTIF($I$19:$I$38,B62)&gt;0),"",CHOOSE(WEEKDAY(B62,2),"Segunda","Terça","Quarta","Quinta","Sexta","Sábado","Domingo")))</f>
        <v/>
      </c>
    </row>
    <row r="63">
      <c r="A63" s="30" t="n">
        <v>14</v>
      </c>
      <c r="B63" s="34">
        <f>IF(14&gt;DAY(DATE($B$5,$B$7+1,0)),"",DATE($B$5,$B$7,14))</f>
        <v>46279.0</v>
      </c>
      <c r="C63" s="30">
        <f>IF(B63="","",IF(OR(B63&gt;$B$9,WEEKDAY(B63,2)=7,COUNTIF($I$19:$I$38,B63)&gt;0),"",CHOOSE(WEEKDAY(B63,2),"Segunda","Terça","Quarta","Quinta","Sexta","Sábado","Domingo")))</f>
        <v/>
      </c>
    </row>
    <row r="64">
      <c r="A64" s="30" t="n">
        <v>15</v>
      </c>
      <c r="B64" s="34">
        <f>IF(15&gt;DAY(DATE($B$5,$B$7+1,0)),"",DATE($B$5,$B$7,15))</f>
        <v>46280.0</v>
      </c>
      <c r="C64" s="30">
        <f>IF(B64="","",IF(OR(B64&gt;$B$9,WEEKDAY(B64,2)=7,COUNTIF($I$19:$I$38,B64)&gt;0),"",CHOOSE(WEEKDAY(B64,2),"Segunda","Terça","Quarta","Quinta","Sexta","Sábado","Domingo")))</f>
        <v/>
      </c>
    </row>
    <row r="65">
      <c r="A65" s="30" t="n">
        <v>16</v>
      </c>
      <c r="B65" s="34">
        <f>IF(16&gt;DAY(DATE($B$5,$B$7+1,0)),"",DATE($B$5,$B$7,16))</f>
        <v>46281.0</v>
      </c>
      <c r="C65" s="30">
        <f>IF(B65="","",IF(OR(B65&gt;$B$9,WEEKDAY(B65,2)=7,COUNTIF($I$19:$I$38,B65)&gt;0),"",CHOOSE(WEEKDAY(B65,2),"Segunda","Terça","Quarta","Quinta","Sexta","Sábado","Domingo")))</f>
        <v/>
      </c>
    </row>
    <row r="66">
      <c r="A66" s="30" t="n">
        <v>17</v>
      </c>
      <c r="B66" s="34">
        <f>IF(17&gt;DAY(DATE($B$5,$B$7+1,0)),"",DATE($B$5,$B$7,17))</f>
        <v>46282.0</v>
      </c>
      <c r="C66" s="30">
        <f>IF(B66="","",IF(OR(B66&gt;$B$9,WEEKDAY(B66,2)=7,COUNTIF($I$19:$I$38,B66)&gt;0),"",CHOOSE(WEEKDAY(B66,2),"Segunda","Terça","Quarta","Quinta","Sexta","Sábado","Domingo")))</f>
        <v/>
      </c>
    </row>
    <row r="67">
      <c r="A67" s="30" t="n">
        <v>18</v>
      </c>
      <c r="B67" s="34">
        <f>IF(18&gt;DAY(DATE($B$5,$B$7+1,0)),"",DATE($B$5,$B$7,18))</f>
        <v>46283.0</v>
      </c>
      <c r="C67" s="30">
        <f>IF(B67="","",IF(OR(B67&gt;$B$9,WEEKDAY(B67,2)=7,COUNTIF($I$19:$I$38,B67)&gt;0),"",CHOOSE(WEEKDAY(B67,2),"Segunda","Terça","Quarta","Quinta","Sexta","Sábado","Domingo")))</f>
        <v/>
      </c>
    </row>
    <row r="68">
      <c r="A68" s="30" t="n">
        <v>19</v>
      </c>
      <c r="B68" s="34">
        <f>IF(19&gt;DAY(DATE($B$5,$B$7+1,0)),"",DATE($B$5,$B$7,19))</f>
        <v>46284.0</v>
      </c>
      <c r="C68" s="30">
        <f>IF(B68="","",IF(OR(B68&gt;$B$9,WEEKDAY(B68,2)=7,COUNTIF($I$19:$I$38,B68)&gt;0),"",CHOOSE(WEEKDAY(B68,2),"Segunda","Terça","Quarta","Quinta","Sexta","Sábado","Domingo")))</f>
        <v/>
      </c>
    </row>
    <row r="69">
      <c r="A69" s="30" t="n">
        <v>20</v>
      </c>
      <c r="B69" s="34">
        <f>IF(20&gt;DAY(DATE($B$5,$B$7+1,0)),"",DATE($B$5,$B$7,20))</f>
        <v>46285.0</v>
      </c>
      <c r="C69" s="30">
        <f>IF(B69="","",IF(OR(B69&gt;$B$9,WEEKDAY(B69,2)=7,COUNTIF($I$19:$I$38,B69)&gt;0),"",CHOOSE(WEEKDAY(B69,2),"Segunda","Terça","Quarta","Quinta","Sexta","Sábado","Domingo")))</f>
        <v/>
      </c>
    </row>
    <row r="70">
      <c r="A70" s="30" t="n">
        <v>21</v>
      </c>
      <c r="B70" s="34">
        <f>IF(21&gt;DAY(DATE($B$5,$B$7+1,0)),"",DATE($B$5,$B$7,21))</f>
        <v>46286.0</v>
      </c>
      <c r="C70" s="30">
        <f>IF(B70="","",IF(OR(B70&gt;$B$9,WEEKDAY(B70,2)=7,COUNTIF($I$19:$I$38,B70)&gt;0),"",CHOOSE(WEEKDAY(B70,2),"Segunda","Terça","Quarta","Quinta","Sexta","Sábado","Domingo")))</f>
        <v/>
      </c>
    </row>
    <row r="71">
      <c r="A71" s="30" t="n">
        <v>22</v>
      </c>
      <c r="B71" s="34">
        <f>IF(22&gt;DAY(DATE($B$5,$B$7+1,0)),"",DATE($B$5,$B$7,22))</f>
        <v>46287.0</v>
      </c>
      <c r="C71" s="30">
        <f>IF(B71="","",IF(OR(B71&gt;$B$9,WEEKDAY(B71,2)=7,COUNTIF($I$19:$I$38,B71)&gt;0),"",CHOOSE(WEEKDAY(B71,2),"Segunda","Terça","Quarta","Quinta","Sexta","Sábado","Domingo")))</f>
        <v/>
      </c>
    </row>
    <row r="72">
      <c r="A72" s="30" t="n">
        <v>23</v>
      </c>
      <c r="B72" s="34">
        <f>IF(23&gt;DAY(DATE($B$5,$B$7+1,0)),"",DATE($B$5,$B$7,23))</f>
        <v>46288.0</v>
      </c>
      <c r="C72" s="30">
        <f>IF(B72="","",IF(OR(B72&gt;$B$9,WEEKDAY(B72,2)=7,COUNTIF($I$19:$I$38,B72)&gt;0),"",CHOOSE(WEEKDAY(B72,2),"Segunda","Terça","Quarta","Quinta","Sexta","Sábado","Domingo")))</f>
        <v/>
      </c>
    </row>
    <row r="73">
      <c r="A73" s="30" t="n">
        <v>24</v>
      </c>
      <c r="B73" s="34">
        <f>IF(24&gt;DAY(DATE($B$5,$B$7+1,0)),"",DATE($B$5,$B$7,24))</f>
        <v>46289.0</v>
      </c>
      <c r="C73" s="30">
        <f>IF(B73="","",IF(OR(B73&gt;$B$9,WEEKDAY(B73,2)=7,COUNTIF($I$19:$I$38,B73)&gt;0),"",CHOOSE(WEEKDAY(B73,2),"Segunda","Terça","Quarta","Quinta","Sexta","Sábado","Domingo")))</f>
        <v/>
      </c>
    </row>
    <row r="74">
      <c r="A74" s="30" t="n">
        <v>25</v>
      </c>
      <c r="B74" s="34">
        <f>IF(25&gt;DAY(DATE($B$5,$B$7+1,0)),"",DATE($B$5,$B$7,25))</f>
        <v>46290.0</v>
      </c>
      <c r="C74" s="30">
        <f>IF(B74="","",IF(OR(B74&gt;$B$9,WEEKDAY(B74,2)=7,COUNTIF($I$19:$I$38,B74)&gt;0),"",CHOOSE(WEEKDAY(B74,2),"Segunda","Terça","Quarta","Quinta","Sexta","Sábado","Domingo")))</f>
        <v/>
      </c>
    </row>
    <row r="75">
      <c r="A75" s="30" t="n">
        <v>26</v>
      </c>
      <c r="B75" s="34">
        <f>IF(26&gt;DAY(DATE($B$5,$B$7+1,0)),"",DATE($B$5,$B$7,26))</f>
        <v>46291.0</v>
      </c>
      <c r="C75" s="30">
        <f>IF(B75="","",IF(OR(B75&gt;$B$9,WEEKDAY(B75,2)=7,COUNTIF($I$19:$I$38,B75)&gt;0),"",CHOOSE(WEEKDAY(B75,2),"Segunda","Terça","Quarta","Quinta","Sexta","Sábado","Domingo")))</f>
        <v/>
      </c>
    </row>
    <row r="76">
      <c r="A76" s="30" t="n">
        <v>27</v>
      </c>
      <c r="B76" s="34">
        <f>IF(27&gt;DAY(DATE($B$5,$B$7+1,0)),"",DATE($B$5,$B$7,27))</f>
        <v>46292.0</v>
      </c>
      <c r="C76" s="30">
        <f>IF(B76="","",IF(OR(B76&gt;$B$9,WEEKDAY(B76,2)=7,COUNTIF($I$19:$I$38,B76)&gt;0),"",CHOOSE(WEEKDAY(B76,2),"Segunda","Terça","Quarta","Quinta","Sexta","Sábado","Domingo")))</f>
        <v/>
      </c>
    </row>
    <row r="77">
      <c r="A77" s="30" t="n">
        <v>28</v>
      </c>
      <c r="B77" s="34">
        <f>IF(28&gt;DAY(DATE($B$5,$B$7+1,0)),"",DATE($B$5,$B$7,28))</f>
        <v>46293.0</v>
      </c>
      <c r="C77" s="30">
        <f>IF(B77="","",IF(OR(B77&gt;$B$9,WEEKDAY(B77,2)=7,COUNTIF($I$19:$I$38,B77)&gt;0),"",CHOOSE(WEEKDAY(B77,2),"Segunda","Terça","Quarta","Quinta","Sexta","Sábado","Domingo")))</f>
        <v/>
      </c>
    </row>
    <row r="78">
      <c r="A78" s="30" t="n">
        <v>29</v>
      </c>
      <c r="B78" s="34">
        <f>IF(29&gt;DAY(DATE($B$5,$B$7+1,0)),"",DATE($B$5,$B$7,29))</f>
        <v>46294.0</v>
      </c>
      <c r="C78" s="30">
        <f>IF(B78="","",IF(OR(B78&gt;$B$9,WEEKDAY(B78,2)=7,COUNTIF($I$19:$I$38,B78)&gt;0),"",CHOOSE(WEEKDAY(B78,2),"Segunda","Terça","Quarta","Quinta","Sexta","Sábado","Domingo")))</f>
        <v/>
      </c>
    </row>
    <row r="79">
      <c r="A79" s="30" t="n">
        <v>30</v>
      </c>
      <c r="B79" s="34">
        <f>IF(30&gt;DAY(DATE($B$5,$B$7+1,0)),"",DATE($B$5,$B$7,30))</f>
        <v>46295.0</v>
      </c>
      <c r="C79" s="30">
        <f>IF(B79="","",IF(OR(B79&gt;$B$9,WEEKDAY(B79,2)=7,COUNTIF($I$19:$I$38,B79)&gt;0),"",CHOOSE(WEEKDAY(B79,2),"Segunda","Terça","Quarta","Quinta","Sexta","Sábado","Domingo")))</f>
        <v/>
      </c>
    </row>
    <row r="80">
      <c r="A80" s="30" t="n">
        <v>31</v>
      </c>
      <c r="B80" s="34">
        <f>IF(31&gt;DAY(DATE($B$5,$B$7+1,0)),"",DATE($B$5,$B$7,31))</f>
        <v/>
      </c>
      <c r="C80" s="30">
        <f>IF(B80="","",IF(OR(B80&gt;$B$9,WEEKDAY(B80,2)=7,COUNTIF($I$19:$I$38,B80)&gt;0),"",CHOOSE(WEEKDAY(B80,2),"Segunda","Terça","Quarta","Quinta","Sexta","Sábado","Domingo")))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R2"/>
    <mergeCell ref="A1:R1"/>
  </mergeCells>
  <dataValidations count="5">
    <dataValidation sqref="B6" showDropDown="0" showInputMessage="0" showErrorMessage="1" allowBlank="0" type="list">
      <formula1>=Config!$T$5:$T$16</formula1>
    </dataValidation>
    <dataValidation sqref="B20:B43" showDropDown="0" showInputMessage="0" showErrorMessage="1" allowBlank="1" type="list">
      <formula1>"Segunda,Terça,Quarta,Quinta,Sexta,Sábado"</formula1>
    </dataValidation>
    <dataValidation sqref="C20:C43" showDropDown="0" showInputMessage="0" showErrorMessage="1" allowBlank="1" type="list">
      <formula1>"Manhã,Tarde,Noite"</formula1>
    </dataValidation>
    <dataValidation sqref="A20:A43" showDropDown="0" showInputMessage="0" showErrorMessage="1" allowBlank="1" type="list">
      <formula1>=OFFSET(Config!$D$5,0,0,MAX(1,COUNTA(Config!$D$5:$D$12)),1)</formula1>
    </dataValidation>
    <dataValidation sqref="D20:D43" showDropDown="0" showInputMessage="0" showErrorMessage="1" allowBlank="1" type="list">
      <formula1>=OFFSET(Config!$F$5,0,0,MAX(1,COUNTA(Config!$F$5:$F$10)),1)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16" customWidth="1" min="4" max="4"/>
    <col width="30" customWidth="1" min="5" max="5"/>
    <col width="13" customWidth="1" min="6" max="6"/>
    <col width="9" customWidth="1" min="7" max="7"/>
    <col width="14" customWidth="1" min="8" max="8"/>
    <col width="14" customWidth="1" min="9" max="9"/>
  </cols>
  <sheetData>
    <row r="1" ht="28" customHeight="1">
      <c r="A1" s="5" t="inlineStr">
        <is>
          <t>Pacientes</t>
        </is>
      </c>
    </row>
    <row r="2">
      <c r="A2" s="6" t="inlineStr">
        <is>
          <t>Uma linha por paciente: nome, pagador (particular ou convênio), profissional principal e contato. Só dados de gestão; nada clínico. As colunas brancas vêm da Agenda.</t>
        </is>
      </c>
    </row>
    <row r="4" ht="32" customHeight="1">
      <c r="A4" s="24" t="inlineStr">
        <is>
          <t>Paciente</t>
        </is>
      </c>
      <c r="B4" s="24" t="inlineStr">
        <is>
          <t>Pagador</t>
        </is>
      </c>
      <c r="C4" s="24" t="inlineStr">
        <is>
          <t>Profissional principal</t>
        </is>
      </c>
      <c r="D4" s="24" t="inlineStr">
        <is>
          <t>Contato</t>
        </is>
      </c>
      <c r="E4" s="24" t="inlineStr">
        <is>
          <t>Observação</t>
        </is>
      </c>
      <c r="F4" s="24" t="inlineStr">
        <is>
          <t>Atendimentos realizados</t>
        </is>
      </c>
      <c r="G4" s="24" t="inlineStr">
        <is>
          <t>Faltas</t>
        </is>
      </c>
      <c r="H4" s="24" t="inlineStr">
        <is>
          <t>Último atendimento</t>
        </is>
      </c>
      <c r="I4" s="24" t="inlineStr">
        <is>
          <t>Próximo agendado</t>
        </is>
      </c>
    </row>
    <row r="5">
      <c r="A5" s="37" t="inlineStr">
        <is>
          <t>Ana Costa</t>
        </is>
      </c>
      <c r="B5" s="38" t="inlineStr">
        <is>
          <t>Particular</t>
        </is>
      </c>
      <c r="C5" s="38" t="inlineStr">
        <is>
          <t>Dra. Carolina Mendes</t>
        </is>
      </c>
      <c r="D5" s="37" t="inlineStr">
        <is>
          <t>(11) 90000-0147</t>
        </is>
      </c>
      <c r="E5" s="37" t="n"/>
      <c r="F5" s="30">
        <f>IF(A5="","",COUNTIFS(Agenda!$E$5:$E$3004,A5,Agenda!$H$5:$H$3004,"Realizado"))</f>
        <v>12</v>
      </c>
      <c r="G5" s="30">
        <f>IF(A5="","",COUNTIFS(Agenda!$E$5:$E$3004,A5,Agenda!$H$5:$H$3004,"Falta"))</f>
        <v>0</v>
      </c>
      <c r="H5" s="34">
        <f>IF(A5="","",IF(SUMPRODUCT(MAX((Agenda!$E$5:$E$3004=A5)*(Agenda!$H$5:$H$3004="Realizado")*Agenda!$A$5:$A$3004))=0,"",SUMPRODUCT(MAX((Agenda!$E$5:$E$3004=A5)*(Agenda!$H$5:$H$3004="Realizado")*Agenda!$A$5:$A$3004))))</f>
        <v>46274.0</v>
      </c>
      <c r="I5" s="34">
        <f>IF(A5="","",IF(SUMPRODUCT(MIN(((Agenda!$E$5:$E$3004=A5)*((Agenda!$H$5:$H$3004="Agendado")+(Agenda!$H$5:$H$3004="Confirmado")))*Agenda!$A$5:$A$3004+(1-((Agenda!$E$5:$E$3004=A5)*((Agenda!$H$5:$H$3004="Agendado")+(Agenda!$H$5:$H$3004="Confirmado"))))*1E+10))&gt;=1E+10,"",SUMPRODUCT(MIN(((Agenda!$E$5:$E$3004=A5)*((Agenda!$H$5:$H$3004="Agendado")+(Agenda!$H$5:$H$3004="Confirmado")))*Agenda!$A$5:$A$3004+(1-((Agenda!$E$5:$E$3004=A5)*((Agenda!$H$5:$H$3004="Agendado")+(Agenda!$H$5:$H$3004="Confirmado"))))*1E+10))))</f>
        <v>46281.0</v>
      </c>
    </row>
    <row r="6">
      <c r="A6" s="37" t="inlineStr">
        <is>
          <t>Beatriz Gomes</t>
        </is>
      </c>
      <c r="B6" s="38" t="inlineStr">
        <is>
          <t>Particular</t>
        </is>
      </c>
      <c r="C6" s="38" t="inlineStr">
        <is>
          <t>Dra. Renata Sousa</t>
        </is>
      </c>
      <c r="D6" s="37" t="inlineStr">
        <is>
          <t>(11) 90000-0254</t>
        </is>
      </c>
      <c r="E6" s="37" t="n"/>
      <c r="F6" s="30">
        <f>IF(A6="","",COUNTIFS(Agenda!$E$5:$E$3004,A6,Agenda!$H$5:$H$3004,"Realizado"))</f>
        <v>1</v>
      </c>
      <c r="G6" s="30">
        <f>IF(A6="","",COUNTIFS(Agenda!$E$5:$E$3004,A6,Agenda!$H$5:$H$3004,"Falta"))</f>
        <v>0</v>
      </c>
      <c r="H6" s="34">
        <f>IF(A6="","",IF(SUMPRODUCT(MAX((Agenda!$E$5:$E$3004=A6)*(Agenda!$H$5:$H$3004="Realizado")*Agenda!$A$5:$A$3004))=0,"",SUMPRODUCT(MAX((Agenda!$E$5:$E$3004=A6)*(Agenda!$H$5:$H$3004="Realizado")*Agenda!$A$5:$A$3004))))</f>
        <v>46273.0</v>
      </c>
      <c r="I6" s="34">
        <f>IF(A6="","",IF(SUMPRODUCT(MIN(((Agenda!$E$5:$E$3004=A6)*((Agenda!$H$5:$H$3004="Agendado")+(Agenda!$H$5:$H$3004="Confirmado")))*Agenda!$A$5:$A$3004+(1-((Agenda!$E$5:$E$3004=A6)*((Agenda!$H$5:$H$3004="Agendado")+(Agenda!$H$5:$H$3004="Confirmado"))))*1E+10))&gt;=1E+10,"",SUMPRODUCT(MIN(((Agenda!$E$5:$E$3004=A6)*((Agenda!$H$5:$H$3004="Agendado")+(Agenda!$H$5:$H$3004="Confirmado")))*Agenda!$A$5:$A$3004+(1-((Agenda!$E$5:$E$3004=A6)*((Agenda!$H$5:$H$3004="Agendado")+(Agenda!$H$5:$H$3004="Confirmado"))))*1E+10))))</f>
        <v>46280.0</v>
      </c>
    </row>
    <row r="7">
      <c r="A7" s="37" t="inlineStr">
        <is>
          <t>Beatriz Gonçalves</t>
        </is>
      </c>
      <c r="B7" s="38" t="inlineStr">
        <is>
          <t>Saúde Total</t>
        </is>
      </c>
      <c r="C7" s="38" t="inlineStr">
        <is>
          <t>Dr. Paulo Andrade</t>
        </is>
      </c>
      <c r="D7" s="37" t="inlineStr">
        <is>
          <t>(11) 90000-0177</t>
        </is>
      </c>
      <c r="E7" s="37" t="n"/>
      <c r="F7" s="30">
        <f>IF(A7="","",COUNTIFS(Agenda!$E$5:$E$3004,A7,Agenda!$H$5:$H$3004,"Realizado"))</f>
        <v>4</v>
      </c>
      <c r="G7" s="30">
        <f>IF(A7="","",COUNTIFS(Agenda!$E$5:$E$3004,A7,Agenda!$H$5:$H$3004,"Falta"))</f>
        <v>0</v>
      </c>
      <c r="H7" s="34">
        <f>IF(A7="","",IF(SUMPRODUCT(MAX((Agenda!$E$5:$E$3004=A7)*(Agenda!$H$5:$H$3004="Realizado")*Agenda!$A$5:$A$3004))=0,"",SUMPRODUCT(MAX((Agenda!$E$5:$E$3004=A7)*(Agenda!$H$5:$H$3004="Realizado")*Agenda!$A$5:$A$3004))))</f>
        <v>46273.0</v>
      </c>
      <c r="I7" s="34">
        <f>IF(A7="","",IF(SUMPRODUCT(MIN(((Agenda!$E$5:$E$3004=A7)*((Agenda!$H$5:$H$3004="Agendado")+(Agenda!$H$5:$H$3004="Confirmado")))*Agenda!$A$5:$A$3004+(1-((Agenda!$E$5:$E$3004=A7)*((Agenda!$H$5:$H$3004="Agendado")+(Agenda!$H$5:$H$3004="Confirmado"))))*1E+10))&gt;=1E+10,"",SUMPRODUCT(MIN(((Agenda!$E$5:$E$3004=A7)*((Agenda!$H$5:$H$3004="Agendado")+(Agenda!$H$5:$H$3004="Confirmado")))*Agenda!$A$5:$A$3004+(1-((Agenda!$E$5:$E$3004=A7)*((Agenda!$H$5:$H$3004="Agendado")+(Agenda!$H$5:$H$3004="Confirmado"))))*1E+10))))</f>
        <v>46287.0</v>
      </c>
    </row>
    <row r="8">
      <c r="A8" s="37" t="inlineStr">
        <is>
          <t>Beatriz Monteiro</t>
        </is>
      </c>
      <c r="B8" s="38" t="inlineStr">
        <is>
          <t>Particular</t>
        </is>
      </c>
      <c r="C8" s="38" t="inlineStr">
        <is>
          <t>Dra. Renata Sousa</t>
        </is>
      </c>
      <c r="D8" s="37" t="inlineStr">
        <is>
          <t>(11) 90000-0233</t>
        </is>
      </c>
      <c r="E8" s="37" t="n"/>
      <c r="F8" s="30">
        <f>IF(A8="","",COUNTIFS(Agenda!$E$5:$E$3004,A8,Agenda!$H$5:$H$3004,"Realizado"))</f>
        <v>7</v>
      </c>
      <c r="G8" s="30">
        <f>IF(A8="","",COUNTIFS(Agenda!$E$5:$E$3004,A8,Agenda!$H$5:$H$3004,"Falta"))</f>
        <v>0</v>
      </c>
      <c r="H8" s="34">
        <f>IF(A8="","",IF(SUMPRODUCT(MAX((Agenda!$E$5:$E$3004=A8)*(Agenda!$H$5:$H$3004="Realizado")*Agenda!$A$5:$A$3004))=0,"",SUMPRODUCT(MAX((Agenda!$E$5:$E$3004=A8)*(Agenda!$H$5:$H$3004="Realizado")*Agenda!$A$5:$A$3004))))</f>
        <v>46259.0</v>
      </c>
      <c r="I8" s="34">
        <f>IF(A8="","",IF(SUMPRODUCT(MIN(((Agenda!$E$5:$E$3004=A8)*((Agenda!$H$5:$H$3004="Agendado")+(Agenda!$H$5:$H$3004="Confirmado")))*Agenda!$A$5:$A$3004+(1-((Agenda!$E$5:$E$3004=A8)*((Agenda!$H$5:$H$3004="Agendado")+(Agenda!$H$5:$H$3004="Confirmado"))))*1E+10))&gt;=1E+10,"",SUMPRODUCT(MIN(((Agenda!$E$5:$E$3004=A8)*((Agenda!$H$5:$H$3004="Agendado")+(Agenda!$H$5:$H$3004="Confirmado")))*Agenda!$A$5:$A$3004+(1-((Agenda!$E$5:$E$3004=A8)*((Agenda!$H$5:$H$3004="Agendado")+(Agenda!$H$5:$H$3004="Confirmado"))))*1E+10))))</f>
        <v/>
      </c>
    </row>
    <row r="9">
      <c r="A9" s="37" t="inlineStr">
        <is>
          <t>Beatriz Reis</t>
        </is>
      </c>
      <c r="B9" s="38" t="inlineStr">
        <is>
          <t>Particular</t>
        </is>
      </c>
      <c r="C9" s="38" t="inlineStr">
        <is>
          <t>Dra. Renata Sousa</t>
        </is>
      </c>
      <c r="D9" s="37" t="inlineStr">
        <is>
          <t>(11) 90000-0255</t>
        </is>
      </c>
      <c r="E9" s="37" t="n"/>
      <c r="F9" s="30">
        <f>IF(A9="","",COUNTIFS(Agenda!$E$5:$E$3004,A9,Agenda!$H$5:$H$3004,"Realizado"))</f>
        <v>2</v>
      </c>
      <c r="G9" s="30">
        <f>IF(A9="","",COUNTIFS(Agenda!$E$5:$E$3004,A9,Agenda!$H$5:$H$3004,"Falta"))</f>
        <v>0</v>
      </c>
      <c r="H9" s="34">
        <f>IF(A9="","",IF(SUMPRODUCT(MAX((Agenda!$E$5:$E$3004=A9)*(Agenda!$H$5:$H$3004="Realizado")*Agenda!$A$5:$A$3004))=0,"",SUMPRODUCT(MAX((Agenda!$E$5:$E$3004=A9)*(Agenda!$H$5:$H$3004="Realizado")*Agenda!$A$5:$A$3004))))</f>
        <v>46224.0</v>
      </c>
      <c r="I9" s="34">
        <f>IF(A9="","",IF(SUMPRODUCT(MIN(((Agenda!$E$5:$E$3004=A9)*((Agenda!$H$5:$H$3004="Agendado")+(Agenda!$H$5:$H$3004="Confirmado")))*Agenda!$A$5:$A$3004+(1-((Agenda!$E$5:$E$3004=A9)*((Agenda!$H$5:$H$3004="Agendado")+(Agenda!$H$5:$H$3004="Confirmado"))))*1E+10))&gt;=1E+10,"",SUMPRODUCT(MIN(((Agenda!$E$5:$E$3004=A9)*((Agenda!$H$5:$H$3004="Agendado")+(Agenda!$H$5:$H$3004="Confirmado")))*Agenda!$A$5:$A$3004+(1-((Agenda!$E$5:$E$3004=A9)*((Agenda!$H$5:$H$3004="Agendado")+(Agenda!$H$5:$H$3004="Confirmado"))))*1E+10))))</f>
        <v/>
      </c>
    </row>
    <row r="10">
      <c r="A10" s="37" t="inlineStr">
        <is>
          <t>Bruno Carvalho</t>
        </is>
      </c>
      <c r="B10" s="38" t="inlineStr">
        <is>
          <t>Saúde Total</t>
        </is>
      </c>
      <c r="C10" s="38" t="inlineStr">
        <is>
          <t>Dr. Paulo Andrade</t>
        </is>
      </c>
      <c r="D10" s="37" t="inlineStr">
        <is>
          <t>(11) 90000-0213</t>
        </is>
      </c>
      <c r="E10" s="37" t="n"/>
      <c r="F10" s="30">
        <f>IF(A10="","",COUNTIFS(Agenda!$E$5:$E$3004,A10,Agenda!$H$5:$H$3004,"Realizado"))</f>
        <v>3</v>
      </c>
      <c r="G10" s="30">
        <f>IF(A10="","",COUNTIFS(Agenda!$E$5:$E$3004,A10,Agenda!$H$5:$H$3004,"Falta"))</f>
        <v>0</v>
      </c>
      <c r="H10" s="34">
        <f>IF(A10="","",IF(SUMPRODUCT(MAX((Agenda!$E$5:$E$3004=A10)*(Agenda!$H$5:$H$3004="Realizado")*Agenda!$A$5:$A$3004))=0,"",SUMPRODUCT(MAX((Agenda!$E$5:$E$3004=A10)*(Agenda!$H$5:$H$3004="Realizado")*Agenda!$A$5:$A$3004))))</f>
        <v>46261.0</v>
      </c>
      <c r="I10" s="34">
        <f>IF(A10="","",IF(SUMPRODUCT(MIN(((Agenda!$E$5:$E$3004=A10)*((Agenda!$H$5:$H$3004="Agendado")+(Agenda!$H$5:$H$3004="Confirmado")))*Agenda!$A$5:$A$3004+(1-((Agenda!$E$5:$E$3004=A10)*((Agenda!$H$5:$H$3004="Agendado")+(Agenda!$H$5:$H$3004="Confirmado"))))*1E+10))&gt;=1E+10,"",SUMPRODUCT(MIN(((Agenda!$E$5:$E$3004=A10)*((Agenda!$H$5:$H$3004="Agendado")+(Agenda!$H$5:$H$3004="Confirmado")))*Agenda!$A$5:$A$3004+(1-((Agenda!$E$5:$E$3004=A10)*((Agenda!$H$5:$H$3004="Agendado")+(Agenda!$H$5:$H$3004="Confirmado"))))*1E+10))))</f>
        <v>46279.0</v>
      </c>
    </row>
    <row r="11">
      <c r="A11" s="37" t="inlineStr">
        <is>
          <t>Camila Batista</t>
        </is>
      </c>
      <c r="B11" s="38" t="inlineStr">
        <is>
          <t>MediPlan</t>
        </is>
      </c>
      <c r="C11" s="38" t="inlineStr">
        <is>
          <t>Dra. Carolina Mendes</t>
        </is>
      </c>
      <c r="D11" s="37" t="inlineStr">
        <is>
          <t>(11) 90000-0102</t>
        </is>
      </c>
      <c r="E11" s="37" t="n"/>
      <c r="F11" s="30">
        <f>IF(A11="","",COUNTIFS(Agenda!$E$5:$E$3004,A11,Agenda!$H$5:$H$3004,"Realizado"))</f>
        <v>11</v>
      </c>
      <c r="G11" s="30">
        <f>IF(A11="","",COUNTIFS(Agenda!$E$5:$E$3004,A11,Agenda!$H$5:$H$3004,"Falta"))</f>
        <v>2</v>
      </c>
      <c r="H11" s="34">
        <f>IF(A11="","",IF(SUMPRODUCT(MAX((Agenda!$E$5:$E$3004=A11)*(Agenda!$H$5:$H$3004="Realizado")*Agenda!$A$5:$A$3004))=0,"",SUMPRODUCT(MAX((Agenda!$E$5:$E$3004=A11)*(Agenda!$H$5:$H$3004="Realizado")*Agenda!$A$5:$A$3004))))</f>
        <v>46269.0</v>
      </c>
      <c r="I11" s="34">
        <f>IF(A11="","",IF(SUMPRODUCT(MIN(((Agenda!$E$5:$E$3004=A11)*((Agenda!$H$5:$H$3004="Agendado")+(Agenda!$H$5:$H$3004="Confirmado")))*Agenda!$A$5:$A$3004+(1-((Agenda!$E$5:$E$3004=A11)*((Agenda!$H$5:$H$3004="Agendado")+(Agenda!$H$5:$H$3004="Confirmado"))))*1E+10))&gt;=1E+10,"",SUMPRODUCT(MIN(((Agenda!$E$5:$E$3004=A11)*((Agenda!$H$5:$H$3004="Agendado")+(Agenda!$H$5:$H$3004="Confirmado")))*Agenda!$A$5:$A$3004+(1-((Agenda!$E$5:$E$3004=A11)*((Agenda!$H$5:$H$3004="Agendado")+(Agenda!$H$5:$H$3004="Confirmado"))))*1E+10))))</f>
        <v>46279.0</v>
      </c>
    </row>
    <row r="12">
      <c r="A12" s="37" t="inlineStr">
        <is>
          <t>Camila Dias</t>
        </is>
      </c>
      <c r="B12" s="38" t="inlineStr">
        <is>
          <t>Particular</t>
        </is>
      </c>
      <c r="C12" s="38" t="inlineStr">
        <is>
          <t>Dra. Renata Sousa</t>
        </is>
      </c>
      <c r="D12" s="37" t="inlineStr">
        <is>
          <t>(11) 90000-0241</t>
        </is>
      </c>
      <c r="E12" s="37" t="n"/>
      <c r="F12" s="30">
        <f>IF(A12="","",COUNTIFS(Agenda!$E$5:$E$3004,A12,Agenda!$H$5:$H$3004,"Realizado"))</f>
        <v>3</v>
      </c>
      <c r="G12" s="30">
        <f>IF(A12="","",COUNTIFS(Agenda!$E$5:$E$3004,A12,Agenda!$H$5:$H$3004,"Falta"))</f>
        <v>0</v>
      </c>
      <c r="H12" s="34">
        <f>IF(A12="","",IF(SUMPRODUCT(MAX((Agenda!$E$5:$E$3004=A12)*(Agenda!$H$5:$H$3004="Realizado")*Agenda!$A$5:$A$3004))=0,"",SUMPRODUCT(MAX((Agenda!$E$5:$E$3004=A12)*(Agenda!$H$5:$H$3004="Realizado")*Agenda!$A$5:$A$3004))))</f>
        <v>46205.0</v>
      </c>
      <c r="I12" s="34">
        <f>IF(A12="","",IF(SUMPRODUCT(MIN(((Agenda!$E$5:$E$3004=A12)*((Agenda!$H$5:$H$3004="Agendado")+(Agenda!$H$5:$H$3004="Confirmado")))*Agenda!$A$5:$A$3004+(1-((Agenda!$E$5:$E$3004=A12)*((Agenda!$H$5:$H$3004="Agendado")+(Agenda!$H$5:$H$3004="Confirmado"))))*1E+10))&gt;=1E+10,"",SUMPRODUCT(MIN(((Agenda!$E$5:$E$3004=A12)*((Agenda!$H$5:$H$3004="Agendado")+(Agenda!$H$5:$H$3004="Confirmado")))*Agenda!$A$5:$A$3004+(1-((Agenda!$E$5:$E$3004=A12)*((Agenda!$H$5:$H$3004="Agendado")+(Agenda!$H$5:$H$3004="Confirmado"))))*1E+10))))</f>
        <v/>
      </c>
    </row>
    <row r="13">
      <c r="A13" s="37" t="inlineStr">
        <is>
          <t>Camila Freitas</t>
        </is>
      </c>
      <c r="B13" s="38" t="inlineStr">
        <is>
          <t>Particular</t>
        </is>
      </c>
      <c r="C13" s="38" t="inlineStr">
        <is>
          <t>Dr. Paulo Andrade</t>
        </is>
      </c>
      <c r="D13" s="37" t="inlineStr">
        <is>
          <t>(11) 90000-0212</t>
        </is>
      </c>
      <c r="E13" s="37" t="n"/>
      <c r="F13" s="30">
        <f>IF(A13="","",COUNTIFS(Agenda!$E$5:$E$3004,A13,Agenda!$H$5:$H$3004,"Realizado"))</f>
        <v>2</v>
      </c>
      <c r="G13" s="30">
        <f>IF(A13="","",COUNTIFS(Agenda!$E$5:$E$3004,A13,Agenda!$H$5:$H$3004,"Falta"))</f>
        <v>0</v>
      </c>
      <c r="H13" s="34">
        <f>IF(A13="","",IF(SUMPRODUCT(MAX((Agenda!$E$5:$E$3004=A13)*(Agenda!$H$5:$H$3004="Realizado")*Agenda!$A$5:$A$3004))=0,"",SUMPRODUCT(MAX((Agenda!$E$5:$E$3004=A13)*(Agenda!$H$5:$H$3004="Realizado")*Agenda!$A$5:$A$3004))))</f>
        <v>46258.0</v>
      </c>
      <c r="I13" s="34">
        <f>IF(A13="","",IF(SUMPRODUCT(MIN(((Agenda!$E$5:$E$3004=A13)*((Agenda!$H$5:$H$3004="Agendado")+(Agenda!$H$5:$H$3004="Confirmado")))*Agenda!$A$5:$A$3004+(1-((Agenda!$E$5:$E$3004=A13)*((Agenda!$H$5:$H$3004="Agendado")+(Agenda!$H$5:$H$3004="Confirmado"))))*1E+10))&gt;=1E+10,"",SUMPRODUCT(MIN(((Agenda!$E$5:$E$3004=A13)*((Agenda!$H$5:$H$3004="Agendado")+(Agenda!$H$5:$H$3004="Confirmado")))*Agenda!$A$5:$A$3004+(1-((Agenda!$E$5:$E$3004=A13)*((Agenda!$H$5:$H$3004="Agendado")+(Agenda!$H$5:$H$3004="Confirmado"))))*1E+10))))</f>
        <v>46289.0</v>
      </c>
    </row>
    <row r="14">
      <c r="A14" s="37" t="inlineStr">
        <is>
          <t>Camila Martins</t>
        </is>
      </c>
      <c r="B14" s="38" t="inlineStr">
        <is>
          <t>Vida Care</t>
        </is>
      </c>
      <c r="C14" s="38" t="inlineStr">
        <is>
          <t>Dr. Paulo Andrade</t>
        </is>
      </c>
      <c r="D14" s="37" t="inlineStr">
        <is>
          <t>(11) 90000-0201</t>
        </is>
      </c>
      <c r="E14" s="37" t="n"/>
      <c r="F14" s="30">
        <f>IF(A14="","",COUNTIFS(Agenda!$E$5:$E$3004,A14,Agenda!$H$5:$H$3004,"Realizado"))</f>
        <v>7</v>
      </c>
      <c r="G14" s="30">
        <f>IF(A14="","",COUNTIFS(Agenda!$E$5:$E$3004,A14,Agenda!$H$5:$H$3004,"Falta"))</f>
        <v>1</v>
      </c>
      <c r="H14" s="34">
        <f>IF(A14="","",IF(SUMPRODUCT(MAX((Agenda!$E$5:$E$3004=A14)*(Agenda!$H$5:$H$3004="Realizado")*Agenda!$A$5:$A$3004))=0,"",SUMPRODUCT(MAX((Agenda!$E$5:$E$3004=A14)*(Agenda!$H$5:$H$3004="Realizado")*Agenda!$A$5:$A$3004))))</f>
        <v>46269.0</v>
      </c>
      <c r="I14" s="34">
        <f>IF(A14="","",IF(SUMPRODUCT(MIN(((Agenda!$E$5:$E$3004=A14)*((Agenda!$H$5:$H$3004="Agendado")+(Agenda!$H$5:$H$3004="Confirmado")))*Agenda!$A$5:$A$3004+(1-((Agenda!$E$5:$E$3004=A14)*((Agenda!$H$5:$H$3004="Agendado")+(Agenda!$H$5:$H$3004="Confirmado"))))*1E+10))&gt;=1E+10,"",SUMPRODUCT(MIN(((Agenda!$E$5:$E$3004=A14)*((Agenda!$H$5:$H$3004="Agendado")+(Agenda!$H$5:$H$3004="Confirmado")))*Agenda!$A$5:$A$3004+(1-((Agenda!$E$5:$E$3004=A14)*((Agenda!$H$5:$H$3004="Agendado")+(Agenda!$H$5:$H$3004="Confirmado"))))*1E+10))))</f>
        <v>46289.0</v>
      </c>
    </row>
    <row r="15">
      <c r="A15" s="37" t="inlineStr">
        <is>
          <t>Carlos Barros</t>
        </is>
      </c>
      <c r="B15" s="38" t="inlineStr">
        <is>
          <t>MediPlan</t>
        </is>
      </c>
      <c r="C15" s="38" t="inlineStr">
        <is>
          <t>Dra. Carolina Mendes</t>
        </is>
      </c>
      <c r="D15" s="37" t="inlineStr">
        <is>
          <t>(11) 90000-0131</t>
        </is>
      </c>
      <c r="E15" s="37" t="n"/>
      <c r="F15" s="30">
        <f>IF(A15="","",COUNTIFS(Agenda!$E$5:$E$3004,A15,Agenda!$H$5:$H$3004,"Realizado"))</f>
        <v>5</v>
      </c>
      <c r="G15" s="30">
        <f>IF(A15="","",COUNTIFS(Agenda!$E$5:$E$3004,A15,Agenda!$H$5:$H$3004,"Falta"))</f>
        <v>0</v>
      </c>
      <c r="H15" s="34">
        <f>IF(A15="","",IF(SUMPRODUCT(MAX((Agenda!$E$5:$E$3004=A15)*(Agenda!$H$5:$H$3004="Realizado")*Agenda!$A$5:$A$3004))=0,"",SUMPRODUCT(MAX((Agenda!$E$5:$E$3004=A15)*(Agenda!$H$5:$H$3004="Realizado")*Agenda!$A$5:$A$3004))))</f>
        <v>46273.0</v>
      </c>
      <c r="I15" s="34">
        <f>IF(A15="","",IF(SUMPRODUCT(MIN(((Agenda!$E$5:$E$3004=A15)*((Agenda!$H$5:$H$3004="Agendado")+(Agenda!$H$5:$H$3004="Confirmado")))*Agenda!$A$5:$A$3004+(1-((Agenda!$E$5:$E$3004=A15)*((Agenda!$H$5:$H$3004="Agendado")+(Agenda!$H$5:$H$3004="Confirmado"))))*1E+10))&gt;=1E+10,"",SUMPRODUCT(MIN(((Agenda!$E$5:$E$3004=A15)*((Agenda!$H$5:$H$3004="Agendado")+(Agenda!$H$5:$H$3004="Confirmado")))*Agenda!$A$5:$A$3004+(1-((Agenda!$E$5:$E$3004=A15)*((Agenda!$H$5:$H$3004="Agendado")+(Agenda!$H$5:$H$3004="Confirmado"))))*1E+10))))</f>
        <v>46280.0</v>
      </c>
    </row>
    <row r="16">
      <c r="A16" s="37" t="inlineStr">
        <is>
          <t>Carlos Castro</t>
        </is>
      </c>
      <c r="B16" s="38" t="inlineStr">
        <is>
          <t>Saúde Total</t>
        </is>
      </c>
      <c r="C16" s="38" t="inlineStr">
        <is>
          <t>Dra. Carolina Mendes</t>
        </is>
      </c>
      <c r="D16" s="37" t="inlineStr">
        <is>
          <t>(11) 90000-0123</t>
        </is>
      </c>
      <c r="E16" s="37" t="n"/>
      <c r="F16" s="30">
        <f>IF(A16="","",COUNTIFS(Agenda!$E$5:$E$3004,A16,Agenda!$H$5:$H$3004,"Realizado"))</f>
        <v>7</v>
      </c>
      <c r="G16" s="30">
        <f>IF(A16="","",COUNTIFS(Agenda!$E$5:$E$3004,A16,Agenda!$H$5:$H$3004,"Falta"))</f>
        <v>1</v>
      </c>
      <c r="H16" s="34">
        <f>IF(A16="","",IF(SUMPRODUCT(MAX((Agenda!$E$5:$E$3004=A16)*(Agenda!$H$5:$H$3004="Realizado")*Agenda!$A$5:$A$3004))=0,"",SUMPRODUCT(MAX((Agenda!$E$5:$E$3004=A16)*(Agenda!$H$5:$H$3004="Realizado")*Agenda!$A$5:$A$3004))))</f>
        <v>46274.0</v>
      </c>
      <c r="I16" s="34">
        <f>IF(A16="","",IF(SUMPRODUCT(MIN(((Agenda!$E$5:$E$3004=A16)*((Agenda!$H$5:$H$3004="Agendado")+(Agenda!$H$5:$H$3004="Confirmado")))*Agenda!$A$5:$A$3004+(1-((Agenda!$E$5:$E$3004=A16)*((Agenda!$H$5:$H$3004="Agendado")+(Agenda!$H$5:$H$3004="Confirmado"))))*1E+10))&gt;=1E+10,"",SUMPRODUCT(MIN(((Agenda!$E$5:$E$3004=A16)*((Agenda!$H$5:$H$3004="Agendado")+(Agenda!$H$5:$H$3004="Confirmado")))*Agenda!$A$5:$A$3004+(1-((Agenda!$E$5:$E$3004=A16)*((Agenda!$H$5:$H$3004="Agendado")+(Agenda!$H$5:$H$3004="Confirmado"))))*1E+10))))</f>
        <v>46289.0</v>
      </c>
    </row>
    <row r="17">
      <c r="A17" s="37" t="inlineStr">
        <is>
          <t>Carlos Fernandes</t>
        </is>
      </c>
      <c r="B17" s="38" t="inlineStr">
        <is>
          <t>Particular</t>
        </is>
      </c>
      <c r="C17" s="38" t="inlineStr">
        <is>
          <t>Dra. Carolina Mendes</t>
        </is>
      </c>
      <c r="D17" s="37" t="inlineStr">
        <is>
          <t>(11) 90000-0154</t>
        </is>
      </c>
      <c r="E17" s="37" t="n"/>
      <c r="F17" s="30">
        <f>IF(A17="","",COUNTIFS(Agenda!$E$5:$E$3004,A17,Agenda!$H$5:$H$3004,"Realizado"))</f>
        <v>3</v>
      </c>
      <c r="G17" s="30">
        <f>IF(A17="","",COUNTIFS(Agenda!$E$5:$E$3004,A17,Agenda!$H$5:$H$3004,"Falta"))</f>
        <v>1</v>
      </c>
      <c r="H17" s="34">
        <f>IF(A17="","",IF(SUMPRODUCT(MAX((Agenda!$E$5:$E$3004=A17)*(Agenda!$H$5:$H$3004="Realizado")*Agenda!$A$5:$A$3004))=0,"",SUMPRODUCT(MAX((Agenda!$E$5:$E$3004=A17)*(Agenda!$H$5:$H$3004="Realizado")*Agenda!$A$5:$A$3004))))</f>
        <v>46258.0</v>
      </c>
      <c r="I17" s="34">
        <f>IF(A17="","",IF(SUMPRODUCT(MIN(((Agenda!$E$5:$E$3004=A17)*((Agenda!$H$5:$H$3004="Agendado")+(Agenda!$H$5:$H$3004="Confirmado")))*Agenda!$A$5:$A$3004+(1-((Agenda!$E$5:$E$3004=A17)*((Agenda!$H$5:$H$3004="Agendado")+(Agenda!$H$5:$H$3004="Confirmado"))))*1E+10))&gt;=1E+10,"",SUMPRODUCT(MIN(((Agenda!$E$5:$E$3004=A17)*((Agenda!$H$5:$H$3004="Agendado")+(Agenda!$H$5:$H$3004="Confirmado")))*Agenda!$A$5:$A$3004+(1-((Agenda!$E$5:$E$3004=A17)*((Agenda!$H$5:$H$3004="Agendado")+(Agenda!$H$5:$H$3004="Confirmado"))))*1E+10))))</f>
        <v/>
      </c>
    </row>
    <row r="18">
      <c r="A18" s="37" t="inlineStr">
        <is>
          <t>Carlos Freitas</t>
        </is>
      </c>
      <c r="B18" s="38" t="inlineStr">
        <is>
          <t>Particular</t>
        </is>
      </c>
      <c r="C18" s="38" t="inlineStr">
        <is>
          <t>Dra. Renata Sousa</t>
        </is>
      </c>
      <c r="D18" s="37" t="inlineStr">
        <is>
          <t>(11) 90000-0223</t>
        </is>
      </c>
      <c r="E18" s="37" t="n"/>
      <c r="F18" s="30">
        <f>IF(A18="","",COUNTIFS(Agenda!$E$5:$E$3004,A18,Agenda!$H$5:$H$3004,"Realizado"))</f>
        <v>3</v>
      </c>
      <c r="G18" s="30">
        <f>IF(A18="","",COUNTIFS(Agenda!$E$5:$E$3004,A18,Agenda!$H$5:$H$3004,"Falta"))</f>
        <v>1</v>
      </c>
      <c r="H18" s="34">
        <f>IF(A18="","",IF(SUMPRODUCT(MAX((Agenda!$E$5:$E$3004=A18)*(Agenda!$H$5:$H$3004="Realizado")*Agenda!$A$5:$A$3004))=0,"",SUMPRODUCT(MAX((Agenda!$E$5:$E$3004=A18)*(Agenda!$H$5:$H$3004="Realizado")*Agenda!$A$5:$A$3004))))</f>
        <v>46245.0</v>
      </c>
      <c r="I18" s="34">
        <f>IF(A18="","",IF(SUMPRODUCT(MIN(((Agenda!$E$5:$E$3004=A18)*((Agenda!$H$5:$H$3004="Agendado")+(Agenda!$H$5:$H$3004="Confirmado")))*Agenda!$A$5:$A$3004+(1-((Agenda!$E$5:$E$3004=A18)*((Agenda!$H$5:$H$3004="Agendado")+(Agenda!$H$5:$H$3004="Confirmado"))))*1E+10))&gt;=1E+10,"",SUMPRODUCT(MIN(((Agenda!$E$5:$E$3004=A18)*((Agenda!$H$5:$H$3004="Agendado")+(Agenda!$H$5:$H$3004="Confirmado")))*Agenda!$A$5:$A$3004+(1-((Agenda!$E$5:$E$3004=A18)*((Agenda!$H$5:$H$3004="Agendado")+(Agenda!$H$5:$H$3004="Confirmado"))))*1E+10))))</f>
        <v/>
      </c>
    </row>
    <row r="19">
      <c r="A19" s="37" t="inlineStr">
        <is>
          <t>Carlos Gomes</t>
        </is>
      </c>
      <c r="B19" s="38" t="inlineStr">
        <is>
          <t>Saúde Total</t>
        </is>
      </c>
      <c r="C19" s="38" t="inlineStr">
        <is>
          <t>Dra. Renata Sousa</t>
        </is>
      </c>
      <c r="D19" s="37" t="inlineStr">
        <is>
          <t>(11) 90000-0245</t>
        </is>
      </c>
      <c r="E19" s="37" t="n"/>
      <c r="F19" s="30">
        <f>IF(A19="","",COUNTIFS(Agenda!$E$5:$E$3004,A19,Agenda!$H$5:$H$3004,"Realizado"))</f>
        <v>5</v>
      </c>
      <c r="G19" s="30">
        <f>IF(A19="","",COUNTIFS(Agenda!$E$5:$E$3004,A19,Agenda!$H$5:$H$3004,"Falta"))</f>
        <v>0</v>
      </c>
      <c r="H19" s="34">
        <f>IF(A19="","",IF(SUMPRODUCT(MAX((Agenda!$E$5:$E$3004=A19)*(Agenda!$H$5:$H$3004="Realizado")*Agenda!$A$5:$A$3004))=0,"",SUMPRODUCT(MAX((Agenda!$E$5:$E$3004=A19)*(Agenda!$H$5:$H$3004="Realizado")*Agenda!$A$5:$A$3004))))</f>
        <v>46273.0</v>
      </c>
      <c r="I19" s="34">
        <f>IF(A19="","",IF(SUMPRODUCT(MIN(((Agenda!$E$5:$E$3004=A19)*((Agenda!$H$5:$H$3004="Agendado")+(Agenda!$H$5:$H$3004="Confirmado")))*Agenda!$A$5:$A$3004+(1-((Agenda!$E$5:$E$3004=A19)*((Agenda!$H$5:$H$3004="Agendado")+(Agenda!$H$5:$H$3004="Confirmado"))))*1E+10))&gt;=1E+10,"",SUMPRODUCT(MIN(((Agenda!$E$5:$E$3004=A19)*((Agenda!$H$5:$H$3004="Agendado")+(Agenda!$H$5:$H$3004="Confirmado")))*Agenda!$A$5:$A$3004+(1-((Agenda!$E$5:$E$3004=A19)*((Agenda!$H$5:$H$3004="Agendado")+(Agenda!$H$5:$H$3004="Confirmado"))))*1E+10))))</f>
        <v/>
      </c>
    </row>
    <row r="20">
      <c r="A20" s="37" t="inlineStr">
        <is>
          <t>Carlos Gonçalves</t>
        </is>
      </c>
      <c r="B20" s="38" t="inlineStr">
        <is>
          <t>Saúde Total</t>
        </is>
      </c>
      <c r="C20" s="38" t="inlineStr">
        <is>
          <t>Dra. Renata Sousa</t>
        </is>
      </c>
      <c r="D20" s="37" t="inlineStr">
        <is>
          <t>(11) 90000-0242</t>
        </is>
      </c>
      <c r="E20" s="37" t="n"/>
      <c r="F20" s="30">
        <f>IF(A20="","",COUNTIFS(Agenda!$E$5:$E$3004,A20,Agenda!$H$5:$H$3004,"Realizado"))</f>
        <v>8</v>
      </c>
      <c r="G20" s="30">
        <f>IF(A20="","",COUNTIFS(Agenda!$E$5:$E$3004,A20,Agenda!$H$5:$H$3004,"Falta"))</f>
        <v>2</v>
      </c>
      <c r="H20" s="34">
        <f>IF(A20="","",IF(SUMPRODUCT(MAX((Agenda!$E$5:$E$3004=A20)*(Agenda!$H$5:$H$3004="Realizado")*Agenda!$A$5:$A$3004))=0,"",SUMPRODUCT(MAX((Agenda!$E$5:$E$3004=A20)*(Agenda!$H$5:$H$3004="Realizado")*Agenda!$A$5:$A$3004))))</f>
        <v>46275.0</v>
      </c>
      <c r="I20" s="34">
        <f>IF(A20="","",IF(SUMPRODUCT(MIN(((Agenda!$E$5:$E$3004=A20)*((Agenda!$H$5:$H$3004="Agendado")+(Agenda!$H$5:$H$3004="Confirmado")))*Agenda!$A$5:$A$3004+(1-((Agenda!$E$5:$E$3004=A20)*((Agenda!$H$5:$H$3004="Agendado")+(Agenda!$H$5:$H$3004="Confirmado"))))*1E+10))&gt;=1E+10,"",SUMPRODUCT(MIN(((Agenda!$E$5:$E$3004=A20)*((Agenda!$H$5:$H$3004="Agendado")+(Agenda!$H$5:$H$3004="Confirmado")))*Agenda!$A$5:$A$3004+(1-((Agenda!$E$5:$E$3004=A20)*((Agenda!$H$5:$H$3004="Agendado")+(Agenda!$H$5:$H$3004="Confirmado"))))*1E+10))))</f>
        <v>46282.0</v>
      </c>
    </row>
    <row r="21">
      <c r="A21" s="37" t="inlineStr">
        <is>
          <t>Carlos Oliveira</t>
        </is>
      </c>
      <c r="B21" s="38" t="inlineStr">
        <is>
          <t>Particular</t>
        </is>
      </c>
      <c r="C21" s="38" t="inlineStr">
        <is>
          <t>Dr. Paulo Andrade</t>
        </is>
      </c>
      <c r="D21" s="37" t="inlineStr">
        <is>
          <t>(11) 90000-0215</t>
        </is>
      </c>
      <c r="E21" s="37" t="n"/>
      <c r="F21" s="30">
        <f>IF(A21="","",COUNTIFS(Agenda!$E$5:$E$3004,A21,Agenda!$H$5:$H$3004,"Realizado"))</f>
        <v>0</v>
      </c>
      <c r="G21" s="30">
        <f>IF(A21="","",COUNTIFS(Agenda!$E$5:$E$3004,A21,Agenda!$H$5:$H$3004,"Falta"))</f>
        <v>0</v>
      </c>
      <c r="H21" s="34">
        <f>IF(A21="","",IF(SUMPRODUCT(MAX((Agenda!$E$5:$E$3004=A21)*(Agenda!$H$5:$H$3004="Realizado")*Agenda!$A$5:$A$3004))=0,"",SUMPRODUCT(MAX((Agenda!$E$5:$E$3004=A21)*(Agenda!$H$5:$H$3004="Realizado")*Agenda!$A$5:$A$3004))))</f>
        <v/>
      </c>
      <c r="I21" s="34">
        <f>IF(A21="","",IF(SUMPRODUCT(MIN(((Agenda!$E$5:$E$3004=A21)*((Agenda!$H$5:$H$3004="Agendado")+(Agenda!$H$5:$H$3004="Confirmado")))*Agenda!$A$5:$A$3004+(1-((Agenda!$E$5:$E$3004=A21)*((Agenda!$H$5:$H$3004="Agendado")+(Agenda!$H$5:$H$3004="Confirmado"))))*1E+10))&gt;=1E+10,"",SUMPRODUCT(MIN(((Agenda!$E$5:$E$3004=A21)*((Agenda!$H$5:$H$3004="Agendado")+(Agenda!$H$5:$H$3004="Confirmado")))*Agenda!$A$5:$A$3004+(1-((Agenda!$E$5:$E$3004=A21)*((Agenda!$H$5:$H$3004="Agendado")+(Agenda!$H$5:$H$3004="Confirmado"))))*1E+10))))</f>
        <v>46280.0</v>
      </c>
    </row>
    <row r="22">
      <c r="A22" s="37" t="inlineStr">
        <is>
          <t>Cláudia Castro</t>
        </is>
      </c>
      <c r="B22" s="38" t="inlineStr">
        <is>
          <t>Vida Care</t>
        </is>
      </c>
      <c r="C22" s="38" t="inlineStr">
        <is>
          <t>Dr. Paulo Andrade</t>
        </is>
      </c>
      <c r="D22" s="37" t="inlineStr">
        <is>
          <t>(11) 90000-0185</t>
        </is>
      </c>
      <c r="E22" s="37" t="n"/>
      <c r="F22" s="30">
        <f>IF(A22="","",COUNTIFS(Agenda!$E$5:$E$3004,A22,Agenda!$H$5:$H$3004,"Realizado"))</f>
        <v>1</v>
      </c>
      <c r="G22" s="30">
        <f>IF(A22="","",COUNTIFS(Agenda!$E$5:$E$3004,A22,Agenda!$H$5:$H$3004,"Falta"))</f>
        <v>0</v>
      </c>
      <c r="H22" s="34">
        <f>IF(A22="","",IF(SUMPRODUCT(MAX((Agenda!$E$5:$E$3004=A22)*(Agenda!$H$5:$H$3004="Realizado")*Agenda!$A$5:$A$3004))=0,"",SUMPRODUCT(MAX((Agenda!$E$5:$E$3004=A22)*(Agenda!$H$5:$H$3004="Realizado")*Agenda!$A$5:$A$3004))))</f>
        <v>46181.0</v>
      </c>
      <c r="I22" s="34">
        <f>IF(A22="","",IF(SUMPRODUCT(MIN(((Agenda!$E$5:$E$3004=A22)*((Agenda!$H$5:$H$3004="Agendado")+(Agenda!$H$5:$H$3004="Confirmado")))*Agenda!$A$5:$A$3004+(1-((Agenda!$E$5:$E$3004=A22)*((Agenda!$H$5:$H$3004="Agendado")+(Agenda!$H$5:$H$3004="Confirmado"))))*1E+10))&gt;=1E+10,"",SUMPRODUCT(MIN(((Agenda!$E$5:$E$3004=A22)*((Agenda!$H$5:$H$3004="Agendado")+(Agenda!$H$5:$H$3004="Confirmado")))*Agenda!$A$5:$A$3004+(1-((Agenda!$E$5:$E$3004=A22)*((Agenda!$H$5:$H$3004="Agendado")+(Agenda!$H$5:$H$3004="Confirmado"))))*1E+10))))</f>
        <v>46296.0</v>
      </c>
    </row>
    <row r="23">
      <c r="A23" s="37" t="inlineStr">
        <is>
          <t>Cláudia Costa</t>
        </is>
      </c>
      <c r="B23" s="38" t="inlineStr">
        <is>
          <t>Particular</t>
        </is>
      </c>
      <c r="C23" s="38" t="inlineStr">
        <is>
          <t>Dra. Carolina Mendes</t>
        </is>
      </c>
      <c r="D23" s="37" t="inlineStr">
        <is>
          <t>(11) 90000-0163</t>
        </is>
      </c>
      <c r="E23" s="37" t="n"/>
      <c r="F23" s="30">
        <f>IF(A23="","",COUNTIFS(Agenda!$E$5:$E$3004,A23,Agenda!$H$5:$H$3004,"Realizado"))</f>
        <v>6</v>
      </c>
      <c r="G23" s="30">
        <f>IF(A23="","",COUNTIFS(Agenda!$E$5:$E$3004,A23,Agenda!$H$5:$H$3004,"Falta"))</f>
        <v>0</v>
      </c>
      <c r="H23" s="34">
        <f>IF(A23="","",IF(SUMPRODUCT(MAX((Agenda!$E$5:$E$3004=A23)*(Agenda!$H$5:$H$3004="Realizado")*Agenda!$A$5:$A$3004))=0,"",SUMPRODUCT(MAX((Agenda!$E$5:$E$3004=A23)*(Agenda!$H$5:$H$3004="Realizado")*Agenda!$A$5:$A$3004))))</f>
        <v>46241.0</v>
      </c>
      <c r="I23" s="34">
        <f>IF(A23="","",IF(SUMPRODUCT(MIN(((Agenda!$E$5:$E$3004=A23)*((Agenda!$H$5:$H$3004="Agendado")+(Agenda!$H$5:$H$3004="Confirmado")))*Agenda!$A$5:$A$3004+(1-((Agenda!$E$5:$E$3004=A23)*((Agenda!$H$5:$H$3004="Agendado")+(Agenda!$H$5:$H$3004="Confirmado"))))*1E+10))&gt;=1E+10,"",SUMPRODUCT(MIN(((Agenda!$E$5:$E$3004=A23)*((Agenda!$H$5:$H$3004="Agendado")+(Agenda!$H$5:$H$3004="Confirmado")))*Agenda!$A$5:$A$3004+(1-((Agenda!$E$5:$E$3004=A23)*((Agenda!$H$5:$H$3004="Agendado")+(Agenda!$H$5:$H$3004="Confirmado"))))*1E+10))))</f>
        <v>46293.0</v>
      </c>
    </row>
    <row r="24">
      <c r="A24" s="37" t="inlineStr">
        <is>
          <t>Cláudia Melo</t>
        </is>
      </c>
      <c r="B24" s="38" t="inlineStr">
        <is>
          <t>Particular</t>
        </is>
      </c>
      <c r="C24" s="38" t="inlineStr">
        <is>
          <t>Dra. Renata Sousa</t>
        </is>
      </c>
      <c r="D24" s="37" t="inlineStr">
        <is>
          <t>(11) 90000-0231</t>
        </is>
      </c>
      <c r="E24" s="37" t="n"/>
      <c r="F24" s="30">
        <f>IF(A24="","",COUNTIFS(Agenda!$E$5:$E$3004,A24,Agenda!$H$5:$H$3004,"Realizado"))</f>
        <v>10</v>
      </c>
      <c r="G24" s="30">
        <f>IF(A24="","",COUNTIFS(Agenda!$E$5:$E$3004,A24,Agenda!$H$5:$H$3004,"Falta"))</f>
        <v>0</v>
      </c>
      <c r="H24" s="34">
        <f>IF(A24="","",IF(SUMPRODUCT(MAX((Agenda!$E$5:$E$3004=A24)*(Agenda!$H$5:$H$3004="Realizado")*Agenda!$A$5:$A$3004))=0,"",SUMPRODUCT(MAX((Agenda!$E$5:$E$3004=A24)*(Agenda!$H$5:$H$3004="Realizado")*Agenda!$A$5:$A$3004))))</f>
        <v>46275.0</v>
      </c>
      <c r="I24" s="34">
        <f>IF(A24="","",IF(SUMPRODUCT(MIN(((Agenda!$E$5:$E$3004=A24)*((Agenda!$H$5:$H$3004="Agendado")+(Agenda!$H$5:$H$3004="Confirmado")))*Agenda!$A$5:$A$3004+(1-((Agenda!$E$5:$E$3004=A24)*((Agenda!$H$5:$H$3004="Agendado")+(Agenda!$H$5:$H$3004="Confirmado"))))*1E+10))&gt;=1E+10,"",SUMPRODUCT(MIN(((Agenda!$E$5:$E$3004=A24)*((Agenda!$H$5:$H$3004="Agendado")+(Agenda!$H$5:$H$3004="Confirmado")))*Agenda!$A$5:$A$3004+(1-((Agenda!$E$5:$E$3004=A24)*((Agenda!$H$5:$H$3004="Agendado")+(Agenda!$H$5:$H$3004="Confirmado"))))*1E+10))))</f>
        <v>46282.0</v>
      </c>
    </row>
    <row r="25">
      <c r="A25" s="37" t="inlineStr">
        <is>
          <t>Cláudia Santos</t>
        </is>
      </c>
      <c r="B25" s="38" t="inlineStr">
        <is>
          <t>Particular</t>
        </is>
      </c>
      <c r="C25" s="38" t="inlineStr">
        <is>
          <t>Dra. Carolina Mendes</t>
        </is>
      </c>
      <c r="D25" s="37" t="inlineStr">
        <is>
          <t>(11) 90000-0106</t>
        </is>
      </c>
      <c r="E25" s="37" t="n"/>
      <c r="F25" s="30">
        <f>IF(A25="","",COUNTIFS(Agenda!$E$5:$E$3004,A25,Agenda!$H$5:$H$3004,"Realizado"))</f>
        <v>13</v>
      </c>
      <c r="G25" s="30">
        <f>IF(A25="","",COUNTIFS(Agenda!$E$5:$E$3004,A25,Agenda!$H$5:$H$3004,"Falta"))</f>
        <v>2</v>
      </c>
      <c r="H25" s="34">
        <f>IF(A25="","",IF(SUMPRODUCT(MAX((Agenda!$E$5:$E$3004=A25)*(Agenda!$H$5:$H$3004="Realizado")*Agenda!$A$5:$A$3004))=0,"",SUMPRODUCT(MAX((Agenda!$E$5:$E$3004=A25)*(Agenda!$H$5:$H$3004="Realizado")*Agenda!$A$5:$A$3004))))</f>
        <v>46274.0</v>
      </c>
      <c r="I25" s="34">
        <f>IF(A25="","",IF(SUMPRODUCT(MIN(((Agenda!$E$5:$E$3004=A25)*((Agenda!$H$5:$H$3004="Agendado")+(Agenda!$H$5:$H$3004="Confirmado")))*Agenda!$A$5:$A$3004+(1-((Agenda!$E$5:$E$3004=A25)*((Agenda!$H$5:$H$3004="Agendado")+(Agenda!$H$5:$H$3004="Confirmado"))))*1E+10))&gt;=1E+10,"",SUMPRODUCT(MIN(((Agenda!$E$5:$E$3004=A25)*((Agenda!$H$5:$H$3004="Agendado")+(Agenda!$H$5:$H$3004="Confirmado")))*Agenda!$A$5:$A$3004+(1-((Agenda!$E$5:$E$3004=A25)*((Agenda!$H$5:$H$3004="Agendado")+(Agenda!$H$5:$H$3004="Confirmado"))))*1E+10))))</f>
        <v>46281.0</v>
      </c>
    </row>
    <row r="26">
      <c r="A26" s="37" t="inlineStr">
        <is>
          <t>Cláudia Vieira</t>
        </is>
      </c>
      <c r="B26" s="38" t="inlineStr">
        <is>
          <t>Saúde Total</t>
        </is>
      </c>
      <c r="C26" s="38" t="inlineStr">
        <is>
          <t>Dra. Renata Sousa</t>
        </is>
      </c>
      <c r="D26" s="37" t="inlineStr">
        <is>
          <t>(11) 90000-0244</t>
        </is>
      </c>
      <c r="E26" s="37" t="n"/>
      <c r="F26" s="30">
        <f>IF(A26="","",COUNTIFS(Agenda!$E$5:$E$3004,A26,Agenda!$H$5:$H$3004,"Realizado"))</f>
        <v>2</v>
      </c>
      <c r="G26" s="30">
        <f>IF(A26="","",COUNTIFS(Agenda!$E$5:$E$3004,A26,Agenda!$H$5:$H$3004,"Falta"))</f>
        <v>1</v>
      </c>
      <c r="H26" s="34">
        <f>IF(A26="","",IF(SUMPRODUCT(MAX((Agenda!$E$5:$E$3004=A26)*(Agenda!$H$5:$H$3004="Realizado")*Agenda!$A$5:$A$3004))=0,"",SUMPRODUCT(MAX((Agenda!$E$5:$E$3004=A26)*(Agenda!$H$5:$H$3004="Realizado")*Agenda!$A$5:$A$3004))))</f>
        <v>46238.0</v>
      </c>
      <c r="I26" s="34">
        <f>IF(A26="","",IF(SUMPRODUCT(MIN(((Agenda!$E$5:$E$3004=A26)*((Agenda!$H$5:$H$3004="Agendado")+(Agenda!$H$5:$H$3004="Confirmado")))*Agenda!$A$5:$A$3004+(1-((Agenda!$E$5:$E$3004=A26)*((Agenda!$H$5:$H$3004="Agendado")+(Agenda!$H$5:$H$3004="Confirmado"))))*1E+10))&gt;=1E+10,"",SUMPRODUCT(MIN(((Agenda!$E$5:$E$3004=A26)*((Agenda!$H$5:$H$3004="Agendado")+(Agenda!$H$5:$H$3004="Confirmado")))*Agenda!$A$5:$A$3004+(1-((Agenda!$E$5:$E$3004=A26)*((Agenda!$H$5:$H$3004="Agendado")+(Agenda!$H$5:$H$3004="Confirmado"))))*1E+10))))</f>
        <v/>
      </c>
    </row>
    <row r="27">
      <c r="A27" s="37" t="inlineStr">
        <is>
          <t>Daniel Almeida</t>
        </is>
      </c>
      <c r="B27" s="38" t="inlineStr">
        <is>
          <t>Saúde Total</t>
        </is>
      </c>
      <c r="C27" s="38" t="inlineStr">
        <is>
          <t>Dra. Carolina Mendes</t>
        </is>
      </c>
      <c r="D27" s="37" t="inlineStr">
        <is>
          <t>(11) 90000-0156</t>
        </is>
      </c>
      <c r="E27" s="37" t="n"/>
      <c r="F27" s="30">
        <f>IF(A27="","",COUNTIFS(Agenda!$E$5:$E$3004,A27,Agenda!$H$5:$H$3004,"Realizado"))</f>
        <v>6</v>
      </c>
      <c r="G27" s="30">
        <f>IF(A27="","",COUNTIFS(Agenda!$E$5:$E$3004,A27,Agenda!$H$5:$H$3004,"Falta"))</f>
        <v>1</v>
      </c>
      <c r="H27" s="34">
        <f>IF(A27="","",IF(SUMPRODUCT(MAX((Agenda!$E$5:$E$3004=A27)*(Agenda!$H$5:$H$3004="Realizado")*Agenda!$A$5:$A$3004))=0,"",SUMPRODUCT(MAX((Agenda!$E$5:$E$3004=A27)*(Agenda!$H$5:$H$3004="Realizado")*Agenda!$A$5:$A$3004))))</f>
        <v>46254.0</v>
      </c>
      <c r="I27" s="34">
        <f>IF(A27="","",IF(SUMPRODUCT(MIN(((Agenda!$E$5:$E$3004=A27)*((Agenda!$H$5:$H$3004="Agendado")+(Agenda!$H$5:$H$3004="Confirmado")))*Agenda!$A$5:$A$3004+(1-((Agenda!$E$5:$E$3004=A27)*((Agenda!$H$5:$H$3004="Agendado")+(Agenda!$H$5:$H$3004="Confirmado"))))*1E+10))&gt;=1E+10,"",SUMPRODUCT(MIN(((Agenda!$E$5:$E$3004=A27)*((Agenda!$H$5:$H$3004="Agendado")+(Agenda!$H$5:$H$3004="Confirmado")))*Agenda!$A$5:$A$3004+(1-((Agenda!$E$5:$E$3004=A27)*((Agenda!$H$5:$H$3004="Agendado")+(Agenda!$H$5:$H$3004="Confirmado"))))*1E+10))))</f>
        <v>46283.0</v>
      </c>
    </row>
    <row r="28">
      <c r="A28" s="37" t="inlineStr">
        <is>
          <t>Daniel Melo</t>
        </is>
      </c>
      <c r="B28" s="38" t="inlineStr">
        <is>
          <t>Saúde Total</t>
        </is>
      </c>
      <c r="C28" s="38" t="inlineStr">
        <is>
          <t>Dra. Carolina Mendes</t>
        </is>
      </c>
      <c r="D28" s="37" t="inlineStr">
        <is>
          <t>(11) 90000-0103</t>
        </is>
      </c>
      <c r="E28" s="37" t="n"/>
      <c r="F28" s="30">
        <f>IF(A28="","",COUNTIFS(Agenda!$E$5:$E$3004,A28,Agenda!$H$5:$H$3004,"Realizado"))</f>
        <v>11</v>
      </c>
      <c r="G28" s="30">
        <f>IF(A28="","",COUNTIFS(Agenda!$E$5:$E$3004,A28,Agenda!$H$5:$H$3004,"Falta"))</f>
        <v>2</v>
      </c>
      <c r="H28" s="34">
        <f>IF(A28="","",IF(SUMPRODUCT(MAX((Agenda!$E$5:$E$3004=A28)*(Agenda!$H$5:$H$3004="Realizado")*Agenda!$A$5:$A$3004))=0,"",SUMPRODUCT(MAX((Agenda!$E$5:$E$3004=A28)*(Agenda!$H$5:$H$3004="Realizado")*Agenda!$A$5:$A$3004))))</f>
        <v>46266.0</v>
      </c>
      <c r="I28" s="34">
        <f>IF(A28="","",IF(SUMPRODUCT(MIN(((Agenda!$E$5:$E$3004=A28)*((Agenda!$H$5:$H$3004="Agendado")+(Agenda!$H$5:$H$3004="Confirmado")))*Agenda!$A$5:$A$3004+(1-((Agenda!$E$5:$E$3004=A28)*((Agenda!$H$5:$H$3004="Agendado")+(Agenda!$H$5:$H$3004="Confirmado"))))*1E+10))&gt;=1E+10,"",SUMPRODUCT(MIN(((Agenda!$E$5:$E$3004=A28)*((Agenda!$H$5:$H$3004="Agendado")+(Agenda!$H$5:$H$3004="Confirmado")))*Agenda!$A$5:$A$3004+(1-((Agenda!$E$5:$E$3004=A28)*((Agenda!$H$5:$H$3004="Agendado")+(Agenda!$H$5:$H$3004="Confirmado"))))*1E+10))))</f>
        <v/>
      </c>
    </row>
    <row r="29">
      <c r="A29" s="37" t="inlineStr">
        <is>
          <t>Daniel Moreira</t>
        </is>
      </c>
      <c r="B29" s="38" t="inlineStr">
        <is>
          <t>Saúde Total</t>
        </is>
      </c>
      <c r="C29" s="38" t="inlineStr">
        <is>
          <t>Dra. Renata Sousa</t>
        </is>
      </c>
      <c r="D29" s="37" t="inlineStr">
        <is>
          <t>(11) 90000-0227</t>
        </is>
      </c>
      <c r="E29" s="37" t="n"/>
      <c r="F29" s="30">
        <f>IF(A29="","",COUNTIFS(Agenda!$E$5:$E$3004,A29,Agenda!$H$5:$H$3004,"Realizado"))</f>
        <v>5</v>
      </c>
      <c r="G29" s="30">
        <f>IF(A29="","",COUNTIFS(Agenda!$E$5:$E$3004,A29,Agenda!$H$5:$H$3004,"Falta"))</f>
        <v>0</v>
      </c>
      <c r="H29" s="34">
        <f>IF(A29="","",IF(SUMPRODUCT(MAX((Agenda!$E$5:$E$3004=A29)*(Agenda!$H$5:$H$3004="Realizado")*Agenda!$A$5:$A$3004))=0,"",SUMPRODUCT(MAX((Agenda!$E$5:$E$3004=A29)*(Agenda!$H$5:$H$3004="Realizado")*Agenda!$A$5:$A$3004))))</f>
        <v>46238.0</v>
      </c>
      <c r="I29" s="34">
        <f>IF(A29="","",IF(SUMPRODUCT(MIN(((Agenda!$E$5:$E$3004=A29)*((Agenda!$H$5:$H$3004="Agendado")+(Agenda!$H$5:$H$3004="Confirmado")))*Agenda!$A$5:$A$3004+(1-((Agenda!$E$5:$E$3004=A29)*((Agenda!$H$5:$H$3004="Agendado")+(Agenda!$H$5:$H$3004="Confirmado"))))*1E+10))&gt;=1E+10,"",SUMPRODUCT(MIN(((Agenda!$E$5:$E$3004=A29)*((Agenda!$H$5:$H$3004="Agendado")+(Agenda!$H$5:$H$3004="Confirmado")))*Agenda!$A$5:$A$3004+(1-((Agenda!$E$5:$E$3004=A29)*((Agenda!$H$5:$H$3004="Agendado")+(Agenda!$H$5:$H$3004="Confirmado"))))*1E+10))))</f>
        <v>46294.0</v>
      </c>
    </row>
    <row r="30">
      <c r="A30" s="37" t="inlineStr">
        <is>
          <t>Débora Machado</t>
        </is>
      </c>
      <c r="B30" s="38" t="inlineStr">
        <is>
          <t>Saúde Total</t>
        </is>
      </c>
      <c r="C30" s="38" t="inlineStr">
        <is>
          <t>Dra. Carolina Mendes</t>
        </is>
      </c>
      <c r="D30" s="37" t="inlineStr">
        <is>
          <t>(11) 90000-0155</t>
        </is>
      </c>
      <c r="E30" s="37" t="n"/>
      <c r="F30" s="30">
        <f>IF(A30="","",COUNTIFS(Agenda!$E$5:$E$3004,A30,Agenda!$H$5:$H$3004,"Realizado"))</f>
        <v>9</v>
      </c>
      <c r="G30" s="30">
        <f>IF(A30="","",COUNTIFS(Agenda!$E$5:$E$3004,A30,Agenda!$H$5:$H$3004,"Falta"))</f>
        <v>0</v>
      </c>
      <c r="H30" s="34">
        <f>IF(A30="","",IF(SUMPRODUCT(MAX((Agenda!$E$5:$E$3004=A30)*(Agenda!$H$5:$H$3004="Realizado")*Agenda!$A$5:$A$3004))=0,"",SUMPRODUCT(MAX((Agenda!$E$5:$E$3004=A30)*(Agenda!$H$5:$H$3004="Realizado")*Agenda!$A$5:$A$3004))))</f>
        <v>46273.0</v>
      </c>
      <c r="I30" s="34">
        <f>IF(A30="","",IF(SUMPRODUCT(MIN(((Agenda!$E$5:$E$3004=A30)*((Agenda!$H$5:$H$3004="Agendado")+(Agenda!$H$5:$H$3004="Confirmado")))*Agenda!$A$5:$A$3004+(1-((Agenda!$E$5:$E$3004=A30)*((Agenda!$H$5:$H$3004="Agendado")+(Agenda!$H$5:$H$3004="Confirmado"))))*1E+10))&gt;=1E+10,"",SUMPRODUCT(MIN(((Agenda!$E$5:$E$3004=A30)*((Agenda!$H$5:$H$3004="Agendado")+(Agenda!$H$5:$H$3004="Confirmado")))*Agenda!$A$5:$A$3004+(1-((Agenda!$E$5:$E$3004=A30)*((Agenda!$H$5:$H$3004="Agendado")+(Agenda!$H$5:$H$3004="Confirmado"))))*1E+10))))</f>
        <v>46290.0</v>
      </c>
    </row>
    <row r="31">
      <c r="A31" s="37" t="inlineStr">
        <is>
          <t>Débora Moreira</t>
        </is>
      </c>
      <c r="B31" s="38" t="inlineStr">
        <is>
          <t>Particular</t>
        </is>
      </c>
      <c r="C31" s="38" t="inlineStr">
        <is>
          <t>Dr. Paulo Andrade</t>
        </is>
      </c>
      <c r="D31" s="37" t="inlineStr">
        <is>
          <t>(11) 90000-0222</t>
        </is>
      </c>
      <c r="E31" s="37" t="n"/>
      <c r="F31" s="30">
        <f>IF(A31="","",COUNTIFS(Agenda!$E$5:$E$3004,A31,Agenda!$H$5:$H$3004,"Realizado"))</f>
        <v>3</v>
      </c>
      <c r="G31" s="30">
        <f>IF(A31="","",COUNTIFS(Agenda!$E$5:$E$3004,A31,Agenda!$H$5:$H$3004,"Falta"))</f>
        <v>0</v>
      </c>
      <c r="H31" s="34">
        <f>IF(A31="","",IF(SUMPRODUCT(MAX((Agenda!$E$5:$E$3004=A31)*(Agenda!$H$5:$H$3004="Realizado")*Agenda!$A$5:$A$3004))=0,"",SUMPRODUCT(MAX((Agenda!$E$5:$E$3004=A31)*(Agenda!$H$5:$H$3004="Realizado")*Agenda!$A$5:$A$3004))))</f>
        <v>46261.0</v>
      </c>
      <c r="I31" s="34">
        <f>IF(A31="","",IF(SUMPRODUCT(MIN(((Agenda!$E$5:$E$3004=A31)*((Agenda!$H$5:$H$3004="Agendado")+(Agenda!$H$5:$H$3004="Confirmado")))*Agenda!$A$5:$A$3004+(1-((Agenda!$E$5:$E$3004=A31)*((Agenda!$H$5:$H$3004="Agendado")+(Agenda!$H$5:$H$3004="Confirmado"))))*1E+10))&gt;=1E+10,"",SUMPRODUCT(MIN(((Agenda!$E$5:$E$3004=A31)*((Agenda!$H$5:$H$3004="Agendado")+(Agenda!$H$5:$H$3004="Confirmado")))*Agenda!$A$5:$A$3004+(1-((Agenda!$E$5:$E$3004=A31)*((Agenda!$H$5:$H$3004="Agendado")+(Agenda!$H$5:$H$3004="Confirmado"))))*1E+10))))</f>
        <v>46286.0</v>
      </c>
    </row>
    <row r="32">
      <c r="A32" s="37" t="inlineStr">
        <is>
          <t>Débora Ramos</t>
        </is>
      </c>
      <c r="B32" s="38" t="inlineStr">
        <is>
          <t>Particular</t>
        </is>
      </c>
      <c r="C32" s="38" t="inlineStr">
        <is>
          <t>Dra. Carolina Mendes</t>
        </is>
      </c>
      <c r="D32" s="37" t="inlineStr">
        <is>
          <t>(11) 90000-0136</t>
        </is>
      </c>
      <c r="E32" s="37" t="n"/>
      <c r="F32" s="30">
        <f>IF(A32="","",COUNTIFS(Agenda!$E$5:$E$3004,A32,Agenda!$H$5:$H$3004,"Realizado"))</f>
        <v>6</v>
      </c>
      <c r="G32" s="30">
        <f>IF(A32="","",COUNTIFS(Agenda!$E$5:$E$3004,A32,Agenda!$H$5:$H$3004,"Falta"))</f>
        <v>0</v>
      </c>
      <c r="H32" s="34">
        <f>IF(A32="","",IF(SUMPRODUCT(MAX((Agenda!$E$5:$E$3004=A32)*(Agenda!$H$5:$H$3004="Realizado")*Agenda!$A$5:$A$3004))=0,"",SUMPRODUCT(MAX((Agenda!$E$5:$E$3004=A32)*(Agenda!$H$5:$H$3004="Realizado")*Agenda!$A$5:$A$3004))))</f>
        <v>46265.0</v>
      </c>
      <c r="I32" s="34">
        <f>IF(A32="","",IF(SUMPRODUCT(MIN(((Agenda!$E$5:$E$3004=A32)*((Agenda!$H$5:$H$3004="Agendado")+(Agenda!$H$5:$H$3004="Confirmado")))*Agenda!$A$5:$A$3004+(1-((Agenda!$E$5:$E$3004=A32)*((Agenda!$H$5:$H$3004="Agendado")+(Agenda!$H$5:$H$3004="Confirmado"))))*1E+10))&gt;=1E+10,"",SUMPRODUCT(MIN(((Agenda!$E$5:$E$3004=A32)*((Agenda!$H$5:$H$3004="Agendado")+(Agenda!$H$5:$H$3004="Confirmado")))*Agenda!$A$5:$A$3004+(1-((Agenda!$E$5:$E$3004=A32)*((Agenda!$H$5:$H$3004="Agendado")+(Agenda!$H$5:$H$3004="Confirmado"))))*1E+10))))</f>
        <v/>
      </c>
    </row>
    <row r="33">
      <c r="A33" s="37" t="inlineStr">
        <is>
          <t>Eduardo Lima</t>
        </is>
      </c>
      <c r="B33" s="38" t="inlineStr">
        <is>
          <t>Particular</t>
        </is>
      </c>
      <c r="C33" s="38" t="inlineStr">
        <is>
          <t>Dra. Carolina Mendes</t>
        </is>
      </c>
      <c r="D33" s="37" t="inlineStr">
        <is>
          <t>(11) 90000-0111</t>
        </is>
      </c>
      <c r="E33" s="37" t="n"/>
      <c r="F33" s="30">
        <f>IF(A33="","",COUNTIFS(Agenda!$E$5:$E$3004,A33,Agenda!$H$5:$H$3004,"Realizado"))</f>
        <v>8</v>
      </c>
      <c r="G33" s="30">
        <f>IF(A33="","",COUNTIFS(Agenda!$E$5:$E$3004,A33,Agenda!$H$5:$H$3004,"Falta"))</f>
        <v>1</v>
      </c>
      <c r="H33" s="34">
        <f>IF(A33="","",IF(SUMPRODUCT(MAX((Agenda!$E$5:$E$3004=A33)*(Agenda!$H$5:$H$3004="Realizado")*Agenda!$A$5:$A$3004))=0,"",SUMPRODUCT(MAX((Agenda!$E$5:$E$3004=A33)*(Agenda!$H$5:$H$3004="Realizado")*Agenda!$A$5:$A$3004))))</f>
        <v>46275.0</v>
      </c>
      <c r="I33" s="34">
        <f>IF(A33="","",IF(SUMPRODUCT(MIN(((Agenda!$E$5:$E$3004=A33)*((Agenda!$H$5:$H$3004="Agendado")+(Agenda!$H$5:$H$3004="Confirmado")))*Agenda!$A$5:$A$3004+(1-((Agenda!$E$5:$E$3004=A33)*((Agenda!$H$5:$H$3004="Agendado")+(Agenda!$H$5:$H$3004="Confirmado"))))*1E+10))&gt;=1E+10,"",SUMPRODUCT(MIN(((Agenda!$E$5:$E$3004=A33)*((Agenda!$H$5:$H$3004="Agendado")+(Agenda!$H$5:$H$3004="Confirmado")))*Agenda!$A$5:$A$3004+(1-((Agenda!$E$5:$E$3004=A33)*((Agenda!$H$5:$H$3004="Agendado")+(Agenda!$H$5:$H$3004="Confirmado"))))*1E+10))))</f>
        <v/>
      </c>
    </row>
    <row r="34">
      <c r="A34" s="37" t="inlineStr">
        <is>
          <t>Eduardo Nunes</t>
        </is>
      </c>
      <c r="B34" s="38" t="inlineStr">
        <is>
          <t>MediPlan</t>
        </is>
      </c>
      <c r="C34" s="38" t="inlineStr">
        <is>
          <t>Dra. Carolina Mendes</t>
        </is>
      </c>
      <c r="D34" s="37" t="inlineStr">
        <is>
          <t>(11) 90000-0141</t>
        </is>
      </c>
      <c r="E34" s="37" t="n"/>
      <c r="F34" s="30">
        <f>IF(A34="","",COUNTIFS(Agenda!$E$5:$E$3004,A34,Agenda!$H$5:$H$3004,"Realizado"))</f>
        <v>11</v>
      </c>
      <c r="G34" s="30">
        <f>IF(A34="","",COUNTIFS(Agenda!$E$5:$E$3004,A34,Agenda!$H$5:$H$3004,"Falta"))</f>
        <v>1</v>
      </c>
      <c r="H34" s="34">
        <f>IF(A34="","",IF(SUMPRODUCT(MAX((Agenda!$E$5:$E$3004=A34)*(Agenda!$H$5:$H$3004="Realizado")*Agenda!$A$5:$A$3004))=0,"",SUMPRODUCT(MAX((Agenda!$E$5:$E$3004=A34)*(Agenda!$H$5:$H$3004="Realizado")*Agenda!$A$5:$A$3004))))</f>
        <v>46269.0</v>
      </c>
      <c r="I34" s="34">
        <f>IF(A34="","",IF(SUMPRODUCT(MIN(((Agenda!$E$5:$E$3004=A34)*((Agenda!$H$5:$H$3004="Agendado")+(Agenda!$H$5:$H$3004="Confirmado")))*Agenda!$A$5:$A$3004+(1-((Agenda!$E$5:$E$3004=A34)*((Agenda!$H$5:$H$3004="Agendado")+(Agenda!$H$5:$H$3004="Confirmado"))))*1E+10))&gt;=1E+10,"",SUMPRODUCT(MIN(((Agenda!$E$5:$E$3004=A34)*((Agenda!$H$5:$H$3004="Agendado")+(Agenda!$H$5:$H$3004="Confirmado")))*Agenda!$A$5:$A$3004+(1-((Agenda!$E$5:$E$3004=A34)*((Agenda!$H$5:$H$3004="Agendado")+(Agenda!$H$5:$H$3004="Confirmado"))))*1E+10))))</f>
        <v>46279.0</v>
      </c>
    </row>
    <row r="35">
      <c r="A35" s="37" t="inlineStr">
        <is>
          <t>Eduardo Pereira</t>
        </is>
      </c>
      <c r="B35" s="38" t="inlineStr">
        <is>
          <t>Particular</t>
        </is>
      </c>
      <c r="C35" s="38" t="inlineStr">
        <is>
          <t>Dra. Renata Sousa</t>
        </is>
      </c>
      <c r="D35" s="37" t="inlineStr">
        <is>
          <t>(11) 90000-0226</t>
        </is>
      </c>
      <c r="E35" s="37" t="n"/>
      <c r="F35" s="30">
        <f>IF(A35="","",COUNTIFS(Agenda!$E$5:$E$3004,A35,Agenda!$H$5:$H$3004,"Realizado"))</f>
        <v>4</v>
      </c>
      <c r="G35" s="30">
        <f>IF(A35="","",COUNTIFS(Agenda!$E$5:$E$3004,A35,Agenda!$H$5:$H$3004,"Falta"))</f>
        <v>0</v>
      </c>
      <c r="H35" s="34">
        <f>IF(A35="","",IF(SUMPRODUCT(MAX((Agenda!$E$5:$E$3004=A35)*(Agenda!$H$5:$H$3004="Realizado")*Agenda!$A$5:$A$3004))=0,"",SUMPRODUCT(MAX((Agenda!$E$5:$E$3004=A35)*(Agenda!$H$5:$H$3004="Realizado")*Agenda!$A$5:$A$3004))))</f>
        <v>46217.0</v>
      </c>
      <c r="I35" s="34">
        <f>IF(A35="","",IF(SUMPRODUCT(MIN(((Agenda!$E$5:$E$3004=A35)*((Agenda!$H$5:$H$3004="Agendado")+(Agenda!$H$5:$H$3004="Confirmado")))*Agenda!$A$5:$A$3004+(1-((Agenda!$E$5:$E$3004=A35)*((Agenda!$H$5:$H$3004="Agendado")+(Agenda!$H$5:$H$3004="Confirmado"))))*1E+10))&gt;=1E+10,"",SUMPRODUCT(MIN(((Agenda!$E$5:$E$3004=A35)*((Agenda!$H$5:$H$3004="Agendado")+(Agenda!$H$5:$H$3004="Confirmado")))*Agenda!$A$5:$A$3004+(1-((Agenda!$E$5:$E$3004=A35)*((Agenda!$H$5:$H$3004="Agendado")+(Agenda!$H$5:$H$3004="Confirmado"))))*1E+10))))</f>
        <v/>
      </c>
    </row>
    <row r="36">
      <c r="A36" s="37" t="inlineStr">
        <is>
          <t>Eduardo Reis</t>
        </is>
      </c>
      <c r="B36" s="38" t="inlineStr">
        <is>
          <t>Vida Care</t>
        </is>
      </c>
      <c r="C36" s="38" t="inlineStr">
        <is>
          <t>Dra. Carolina Mendes</t>
        </is>
      </c>
      <c r="D36" s="37" t="inlineStr">
        <is>
          <t>(11) 90000-0149</t>
        </is>
      </c>
      <c r="E36" s="37" t="n"/>
      <c r="F36" s="30">
        <f>IF(A36="","",COUNTIFS(Agenda!$E$5:$E$3004,A36,Agenda!$H$5:$H$3004,"Realizado"))</f>
        <v>7</v>
      </c>
      <c r="G36" s="30">
        <f>IF(A36="","",COUNTIFS(Agenda!$E$5:$E$3004,A36,Agenda!$H$5:$H$3004,"Falta"))</f>
        <v>0</v>
      </c>
      <c r="H36" s="34">
        <f>IF(A36="","",IF(SUMPRODUCT(MAX((Agenda!$E$5:$E$3004=A36)*(Agenda!$H$5:$H$3004="Realizado")*Agenda!$A$5:$A$3004))=0,"",SUMPRODUCT(MAX((Agenda!$E$5:$E$3004=A36)*(Agenda!$H$5:$H$3004="Realizado")*Agenda!$A$5:$A$3004))))</f>
        <v>46262.0</v>
      </c>
      <c r="I36" s="34">
        <f>IF(A36="","",IF(SUMPRODUCT(MIN(((Agenda!$E$5:$E$3004=A36)*((Agenda!$H$5:$H$3004="Agendado")+(Agenda!$H$5:$H$3004="Confirmado")))*Agenda!$A$5:$A$3004+(1-((Agenda!$E$5:$E$3004=A36)*((Agenda!$H$5:$H$3004="Agendado")+(Agenda!$H$5:$H$3004="Confirmado"))))*1E+10))&gt;=1E+10,"",SUMPRODUCT(MIN(((Agenda!$E$5:$E$3004=A36)*((Agenda!$H$5:$H$3004="Agendado")+(Agenda!$H$5:$H$3004="Confirmado")))*Agenda!$A$5:$A$3004+(1-((Agenda!$E$5:$E$3004=A36)*((Agenda!$H$5:$H$3004="Agendado")+(Agenda!$H$5:$H$3004="Confirmado"))))*1E+10))))</f>
        <v/>
      </c>
    </row>
    <row r="37">
      <c r="A37" s="37" t="inlineStr">
        <is>
          <t>Elaine Cardoso</t>
        </is>
      </c>
      <c r="B37" s="38" t="inlineStr">
        <is>
          <t>Particular</t>
        </is>
      </c>
      <c r="C37" s="38" t="inlineStr">
        <is>
          <t>Dra. Carolina Mendes</t>
        </is>
      </c>
      <c r="D37" s="37" t="inlineStr">
        <is>
          <t>(11) 90000-0144</t>
        </is>
      </c>
      <c r="E37" s="37" t="n"/>
      <c r="F37" s="30">
        <f>IF(A37="","",COUNTIFS(Agenda!$E$5:$E$3004,A37,Agenda!$H$5:$H$3004,"Realizado"))</f>
        <v>12</v>
      </c>
      <c r="G37" s="30">
        <f>IF(A37="","",COUNTIFS(Agenda!$E$5:$E$3004,A37,Agenda!$H$5:$H$3004,"Falta"))</f>
        <v>1</v>
      </c>
      <c r="H37" s="34">
        <f>IF(A37="","",IF(SUMPRODUCT(MAX((Agenda!$E$5:$E$3004=A37)*(Agenda!$H$5:$H$3004="Realizado")*Agenda!$A$5:$A$3004))=0,"",SUMPRODUCT(MAX((Agenda!$E$5:$E$3004=A37)*(Agenda!$H$5:$H$3004="Realizado")*Agenda!$A$5:$A$3004))))</f>
        <v>46268.0</v>
      </c>
      <c r="I37" s="34">
        <f>IF(A37="","",IF(SUMPRODUCT(MIN(((Agenda!$E$5:$E$3004=A37)*((Agenda!$H$5:$H$3004="Agendado")+(Agenda!$H$5:$H$3004="Confirmado")))*Agenda!$A$5:$A$3004+(1-((Agenda!$E$5:$E$3004=A37)*((Agenda!$H$5:$H$3004="Agendado")+(Agenda!$H$5:$H$3004="Confirmado"))))*1E+10))&gt;=1E+10,"",SUMPRODUCT(MIN(((Agenda!$E$5:$E$3004=A37)*((Agenda!$H$5:$H$3004="Agendado")+(Agenda!$H$5:$H$3004="Confirmado")))*Agenda!$A$5:$A$3004+(1-((Agenda!$E$5:$E$3004=A37)*((Agenda!$H$5:$H$3004="Agendado")+(Agenda!$H$5:$H$3004="Confirmado"))))*1E+10))))</f>
        <v>46300.0</v>
      </c>
    </row>
    <row r="38">
      <c r="A38" s="37" t="inlineStr">
        <is>
          <t>Elaine Xavier</t>
        </is>
      </c>
      <c r="B38" s="38" t="inlineStr">
        <is>
          <t>MediPlan</t>
        </is>
      </c>
      <c r="C38" s="38" t="inlineStr">
        <is>
          <t>Dr. Paulo Andrade</t>
        </is>
      </c>
      <c r="D38" s="37" t="inlineStr">
        <is>
          <t>(11) 90000-0193</t>
        </is>
      </c>
      <c r="E38" s="37" t="n"/>
      <c r="F38" s="30">
        <f>IF(A38="","",COUNTIFS(Agenda!$E$5:$E$3004,A38,Agenda!$H$5:$H$3004,"Realizado"))</f>
        <v>2</v>
      </c>
      <c r="G38" s="30">
        <f>IF(A38="","",COUNTIFS(Agenda!$E$5:$E$3004,A38,Agenda!$H$5:$H$3004,"Falta"))</f>
        <v>0</v>
      </c>
      <c r="H38" s="34">
        <f>IF(A38="","",IF(SUMPRODUCT(MAX((Agenda!$E$5:$E$3004=A38)*(Agenda!$H$5:$H$3004="Realizado")*Agenda!$A$5:$A$3004))=0,"",SUMPRODUCT(MAX((Agenda!$E$5:$E$3004=A38)*(Agenda!$H$5:$H$3004="Realizado")*Agenda!$A$5:$A$3004))))</f>
        <v>46255.0</v>
      </c>
      <c r="I38" s="34">
        <f>IF(A38="","",IF(SUMPRODUCT(MIN(((Agenda!$E$5:$E$3004=A38)*((Agenda!$H$5:$H$3004="Agendado")+(Agenda!$H$5:$H$3004="Confirmado")))*Agenda!$A$5:$A$3004+(1-((Agenda!$E$5:$E$3004=A38)*((Agenda!$H$5:$H$3004="Agendado")+(Agenda!$H$5:$H$3004="Confirmado"))))*1E+10))&gt;=1E+10,"",SUMPRODUCT(MIN(((Agenda!$E$5:$E$3004=A38)*((Agenda!$H$5:$H$3004="Agendado")+(Agenda!$H$5:$H$3004="Confirmado")))*Agenda!$A$5:$A$3004+(1-((Agenda!$E$5:$E$3004=A38)*((Agenda!$H$5:$H$3004="Agendado")+(Agenda!$H$5:$H$3004="Confirmado"))))*1E+10))))</f>
        <v/>
      </c>
    </row>
    <row r="39">
      <c r="A39" s="37" t="inlineStr">
        <is>
          <t>Fernanda Freitas</t>
        </is>
      </c>
      <c r="B39" s="38" t="inlineStr">
        <is>
          <t>Particular</t>
        </is>
      </c>
      <c r="C39" s="38" t="inlineStr">
        <is>
          <t>Dra. Carolina Mendes</t>
        </is>
      </c>
      <c r="D39" s="37" t="inlineStr">
        <is>
          <t>(11) 90000-0120</t>
        </is>
      </c>
      <c r="E39" s="37" t="n"/>
      <c r="F39" s="30">
        <f>IF(A39="","",COUNTIFS(Agenda!$E$5:$E$3004,A39,Agenda!$H$5:$H$3004,"Realizado"))</f>
        <v>4</v>
      </c>
      <c r="G39" s="30">
        <f>IF(A39="","",COUNTIFS(Agenda!$E$5:$E$3004,A39,Agenda!$H$5:$H$3004,"Falta"))</f>
        <v>0</v>
      </c>
      <c r="H39" s="34">
        <f>IF(A39="","",IF(SUMPRODUCT(MAX((Agenda!$E$5:$E$3004=A39)*(Agenda!$H$5:$H$3004="Realizado")*Agenda!$A$5:$A$3004))=0,"",SUMPRODUCT(MAX((Agenda!$E$5:$E$3004=A39)*(Agenda!$H$5:$H$3004="Realizado")*Agenda!$A$5:$A$3004))))</f>
        <v>46269.0</v>
      </c>
      <c r="I39" s="34">
        <f>IF(A39="","",IF(SUMPRODUCT(MIN(((Agenda!$E$5:$E$3004=A39)*((Agenda!$H$5:$H$3004="Agendado")+(Agenda!$H$5:$H$3004="Confirmado")))*Agenda!$A$5:$A$3004+(1-((Agenda!$E$5:$E$3004=A39)*((Agenda!$H$5:$H$3004="Agendado")+(Agenda!$H$5:$H$3004="Confirmado"))))*1E+10))&gt;=1E+10,"",SUMPRODUCT(MIN(((Agenda!$E$5:$E$3004=A39)*((Agenda!$H$5:$H$3004="Agendado")+(Agenda!$H$5:$H$3004="Confirmado")))*Agenda!$A$5:$A$3004+(1-((Agenda!$E$5:$E$3004=A39)*((Agenda!$H$5:$H$3004="Agendado")+(Agenda!$H$5:$H$3004="Confirmado"))))*1E+10))))</f>
        <v/>
      </c>
    </row>
    <row r="40">
      <c r="A40" s="37" t="inlineStr">
        <is>
          <t>Fernanda Gonçalves</t>
        </is>
      </c>
      <c r="B40" s="38" t="inlineStr">
        <is>
          <t>Saúde Total</t>
        </is>
      </c>
      <c r="C40" s="38" t="inlineStr">
        <is>
          <t>Dra. Renata Sousa</t>
        </is>
      </c>
      <c r="D40" s="37" t="inlineStr">
        <is>
          <t>(11) 90000-0237</t>
        </is>
      </c>
      <c r="E40" s="37" t="n"/>
      <c r="F40" s="30">
        <f>IF(A40="","",COUNTIFS(Agenda!$E$5:$E$3004,A40,Agenda!$H$5:$H$3004,"Realizado"))</f>
        <v>5</v>
      </c>
      <c r="G40" s="30">
        <f>IF(A40="","",COUNTIFS(Agenda!$E$5:$E$3004,A40,Agenda!$H$5:$H$3004,"Falta"))</f>
        <v>0</v>
      </c>
      <c r="H40" s="34">
        <f>IF(A40="","",IF(SUMPRODUCT(MAX((Agenda!$E$5:$E$3004=A40)*(Agenda!$H$5:$H$3004="Realizado")*Agenda!$A$5:$A$3004))=0,"",SUMPRODUCT(MAX((Agenda!$E$5:$E$3004=A40)*(Agenda!$H$5:$H$3004="Realizado")*Agenda!$A$5:$A$3004))))</f>
        <v>46233.0</v>
      </c>
      <c r="I40" s="34">
        <f>IF(A40="","",IF(SUMPRODUCT(MIN(((Agenda!$E$5:$E$3004=A40)*((Agenda!$H$5:$H$3004="Agendado")+(Agenda!$H$5:$H$3004="Confirmado")))*Agenda!$A$5:$A$3004+(1-((Agenda!$E$5:$E$3004=A40)*((Agenda!$H$5:$H$3004="Agendado")+(Agenda!$H$5:$H$3004="Confirmado"))))*1E+10))&gt;=1E+10,"",SUMPRODUCT(MIN(((Agenda!$E$5:$E$3004=A40)*((Agenda!$H$5:$H$3004="Agendado")+(Agenda!$H$5:$H$3004="Confirmado")))*Agenda!$A$5:$A$3004+(1-((Agenda!$E$5:$E$3004=A40)*((Agenda!$H$5:$H$3004="Agendado")+(Agenda!$H$5:$H$3004="Confirmado"))))*1E+10))))</f>
        <v>46287.0</v>
      </c>
    </row>
    <row r="41">
      <c r="A41" s="37" t="inlineStr">
        <is>
          <t>Fernanda Nunes</t>
        </is>
      </c>
      <c r="B41" s="38" t="inlineStr">
        <is>
          <t>MediPlan</t>
        </is>
      </c>
      <c r="C41" s="38" t="inlineStr">
        <is>
          <t>Dr. Paulo Andrade</t>
        </is>
      </c>
      <c r="D41" s="37" t="inlineStr">
        <is>
          <t>(11) 90000-0187</t>
        </is>
      </c>
      <c r="E41" s="37" t="n"/>
      <c r="F41" s="30">
        <f>IF(A41="","",COUNTIFS(Agenda!$E$5:$E$3004,A41,Agenda!$H$5:$H$3004,"Realizado"))</f>
        <v>4</v>
      </c>
      <c r="G41" s="30">
        <f>IF(A41="","",COUNTIFS(Agenda!$E$5:$E$3004,A41,Agenda!$H$5:$H$3004,"Falta"))</f>
        <v>0</v>
      </c>
      <c r="H41" s="34">
        <f>IF(A41="","",IF(SUMPRODUCT(MAX((Agenda!$E$5:$E$3004=A41)*(Agenda!$H$5:$H$3004="Realizado")*Agenda!$A$5:$A$3004))=0,"",SUMPRODUCT(MAX((Agenda!$E$5:$E$3004=A41)*(Agenda!$H$5:$H$3004="Realizado")*Agenda!$A$5:$A$3004))))</f>
        <v>46276.0</v>
      </c>
      <c r="I41" s="34">
        <f>IF(A41="","",IF(SUMPRODUCT(MIN(((Agenda!$E$5:$E$3004=A41)*((Agenda!$H$5:$H$3004="Agendado")+(Agenda!$H$5:$H$3004="Confirmado")))*Agenda!$A$5:$A$3004+(1-((Agenda!$E$5:$E$3004=A41)*((Agenda!$H$5:$H$3004="Agendado")+(Agenda!$H$5:$H$3004="Confirmado"))))*1E+10))&gt;=1E+10,"",SUMPRODUCT(MIN(((Agenda!$E$5:$E$3004=A41)*((Agenda!$H$5:$H$3004="Agendado")+(Agenda!$H$5:$H$3004="Confirmado")))*Agenda!$A$5:$A$3004+(1-((Agenda!$E$5:$E$3004=A41)*((Agenda!$H$5:$H$3004="Agendado")+(Agenda!$H$5:$H$3004="Confirmado"))))*1E+10))))</f>
        <v>46290.0</v>
      </c>
    </row>
    <row r="42">
      <c r="A42" s="37" t="inlineStr">
        <is>
          <t>Fábio Correia</t>
        </is>
      </c>
      <c r="B42" s="38" t="inlineStr">
        <is>
          <t>Particular</t>
        </is>
      </c>
      <c r="C42" s="38" t="inlineStr">
        <is>
          <t>Dr. Paulo Andrade</t>
        </is>
      </c>
      <c r="D42" s="37" t="inlineStr">
        <is>
          <t>(11) 90000-0191</t>
        </is>
      </c>
      <c r="E42" s="37" t="n"/>
      <c r="F42" s="30">
        <f>IF(A42="","",COUNTIFS(Agenda!$E$5:$E$3004,A42,Agenda!$H$5:$H$3004,"Realizado"))</f>
        <v>8</v>
      </c>
      <c r="G42" s="30">
        <f>IF(A42="","",COUNTIFS(Agenda!$E$5:$E$3004,A42,Agenda!$H$5:$H$3004,"Falta"))</f>
        <v>1</v>
      </c>
      <c r="H42" s="34">
        <f>IF(A42="","",IF(SUMPRODUCT(MAX((Agenda!$E$5:$E$3004=A42)*(Agenda!$H$5:$H$3004="Realizado")*Agenda!$A$5:$A$3004))=0,"",SUMPRODUCT(MAX((Agenda!$E$5:$E$3004=A42)*(Agenda!$H$5:$H$3004="Realizado")*Agenda!$A$5:$A$3004))))</f>
        <v>46268.0</v>
      </c>
      <c r="I42" s="34">
        <f>IF(A42="","",IF(SUMPRODUCT(MIN(((Agenda!$E$5:$E$3004=A42)*((Agenda!$H$5:$H$3004="Agendado")+(Agenda!$H$5:$H$3004="Confirmado")))*Agenda!$A$5:$A$3004+(1-((Agenda!$E$5:$E$3004=A42)*((Agenda!$H$5:$H$3004="Agendado")+(Agenda!$H$5:$H$3004="Confirmado"))))*1E+10))&gt;=1E+10,"",SUMPRODUCT(MIN(((Agenda!$E$5:$E$3004=A42)*((Agenda!$H$5:$H$3004="Agendado")+(Agenda!$H$5:$H$3004="Confirmado")))*Agenda!$A$5:$A$3004+(1-((Agenda!$E$5:$E$3004=A42)*((Agenda!$H$5:$H$3004="Agendado")+(Agenda!$H$5:$H$3004="Confirmado"))))*1E+10))))</f>
        <v>46289.0</v>
      </c>
    </row>
    <row r="43">
      <c r="A43" s="37" t="inlineStr">
        <is>
          <t>Fábio Ferreira</t>
        </is>
      </c>
      <c r="B43" s="38" t="inlineStr">
        <is>
          <t>Particular</t>
        </is>
      </c>
      <c r="C43" s="38" t="inlineStr">
        <is>
          <t>Dra. Renata Sousa</t>
        </is>
      </c>
      <c r="D43" s="37" t="inlineStr">
        <is>
          <t>(11) 90000-0228</t>
        </is>
      </c>
      <c r="E43" s="37" t="n"/>
      <c r="F43" s="30">
        <f>IF(A43="","",COUNTIFS(Agenda!$E$5:$E$3004,A43,Agenda!$H$5:$H$3004,"Realizado"))</f>
        <v>3</v>
      </c>
      <c r="G43" s="30">
        <f>IF(A43="","",COUNTIFS(Agenda!$E$5:$E$3004,A43,Agenda!$H$5:$H$3004,"Falta"))</f>
        <v>0</v>
      </c>
      <c r="H43" s="34">
        <f>IF(A43="","",IF(SUMPRODUCT(MAX((Agenda!$E$5:$E$3004=A43)*(Agenda!$H$5:$H$3004="Realizado")*Agenda!$A$5:$A$3004))=0,"",SUMPRODUCT(MAX((Agenda!$E$5:$E$3004=A43)*(Agenda!$H$5:$H$3004="Realizado")*Agenda!$A$5:$A$3004))))</f>
        <v>46240.0</v>
      </c>
      <c r="I43" s="34">
        <f>IF(A43="","",IF(SUMPRODUCT(MIN(((Agenda!$E$5:$E$3004=A43)*((Agenda!$H$5:$H$3004="Agendado")+(Agenda!$H$5:$H$3004="Confirmado")))*Agenda!$A$5:$A$3004+(1-((Agenda!$E$5:$E$3004=A43)*((Agenda!$H$5:$H$3004="Agendado")+(Agenda!$H$5:$H$3004="Confirmado"))))*1E+10))&gt;=1E+10,"",SUMPRODUCT(MIN(((Agenda!$E$5:$E$3004=A43)*((Agenda!$H$5:$H$3004="Agendado")+(Agenda!$H$5:$H$3004="Confirmado")))*Agenda!$A$5:$A$3004+(1-((Agenda!$E$5:$E$3004=A43)*((Agenda!$H$5:$H$3004="Agendado")+(Agenda!$H$5:$H$3004="Confirmado"))))*1E+10))))</f>
        <v/>
      </c>
    </row>
    <row r="44">
      <c r="A44" s="37" t="inlineStr">
        <is>
          <t>Fábio Gomes</t>
        </is>
      </c>
      <c r="B44" s="38" t="inlineStr">
        <is>
          <t>Particular</t>
        </is>
      </c>
      <c r="C44" s="38" t="inlineStr">
        <is>
          <t>Dra. Renata Sousa</t>
        </is>
      </c>
      <c r="D44" s="37" t="inlineStr">
        <is>
          <t>(11) 90000-0250</t>
        </is>
      </c>
      <c r="E44" s="37" t="n"/>
      <c r="F44" s="30">
        <f>IF(A44="","",COUNTIFS(Agenda!$E$5:$E$3004,A44,Agenda!$H$5:$H$3004,"Realizado"))</f>
        <v>6</v>
      </c>
      <c r="G44" s="30">
        <f>IF(A44="","",COUNTIFS(Agenda!$E$5:$E$3004,A44,Agenda!$H$5:$H$3004,"Falta"))</f>
        <v>0</v>
      </c>
      <c r="H44" s="34">
        <f>IF(A44="","",IF(SUMPRODUCT(MAX((Agenda!$E$5:$E$3004=A44)*(Agenda!$H$5:$H$3004="Realizado")*Agenda!$A$5:$A$3004))=0,"",SUMPRODUCT(MAX((Agenda!$E$5:$E$3004=A44)*(Agenda!$H$5:$H$3004="Realizado")*Agenda!$A$5:$A$3004))))</f>
        <v>46273.0</v>
      </c>
      <c r="I44" s="34">
        <f>IF(A44="","",IF(SUMPRODUCT(MIN(((Agenda!$E$5:$E$3004=A44)*((Agenda!$H$5:$H$3004="Agendado")+(Agenda!$H$5:$H$3004="Confirmado")))*Agenda!$A$5:$A$3004+(1-((Agenda!$E$5:$E$3004=A44)*((Agenda!$H$5:$H$3004="Agendado")+(Agenda!$H$5:$H$3004="Confirmado"))))*1E+10))&gt;=1E+10,"",SUMPRODUCT(MIN(((Agenda!$E$5:$E$3004=A44)*((Agenda!$H$5:$H$3004="Agendado")+(Agenda!$H$5:$H$3004="Confirmado")))*Agenda!$A$5:$A$3004+(1-((Agenda!$E$5:$E$3004=A44)*((Agenda!$H$5:$H$3004="Agendado")+(Agenda!$H$5:$H$3004="Confirmado"))))*1E+10))))</f>
        <v>46280.0</v>
      </c>
    </row>
    <row r="45">
      <c r="A45" s="37" t="inlineStr">
        <is>
          <t>Fábio Machado</t>
        </is>
      </c>
      <c r="B45" s="38" t="inlineStr">
        <is>
          <t>Particular</t>
        </is>
      </c>
      <c r="C45" s="38" t="inlineStr">
        <is>
          <t>Dra. Carolina Mendes</t>
        </is>
      </c>
      <c r="D45" s="37" t="inlineStr">
        <is>
          <t>(11) 90000-0124</t>
        </is>
      </c>
      <c r="E45" s="37" t="n"/>
      <c r="F45" s="30">
        <f>IF(A45="","",COUNTIFS(Agenda!$E$5:$E$3004,A45,Agenda!$H$5:$H$3004,"Realizado"))</f>
        <v>5</v>
      </c>
      <c r="G45" s="30">
        <f>IF(A45="","",COUNTIFS(Agenda!$E$5:$E$3004,A45,Agenda!$H$5:$H$3004,"Falta"))</f>
        <v>0</v>
      </c>
      <c r="H45" s="34">
        <f>IF(A45="","",IF(SUMPRODUCT(MAX((Agenda!$E$5:$E$3004=A45)*(Agenda!$H$5:$H$3004="Realizado")*Agenda!$A$5:$A$3004))=0,"",SUMPRODUCT(MAX((Agenda!$E$5:$E$3004=A45)*(Agenda!$H$5:$H$3004="Realizado")*Agenda!$A$5:$A$3004))))</f>
        <v>46251.0</v>
      </c>
      <c r="I45" s="34">
        <f>IF(A45="","",IF(SUMPRODUCT(MIN(((Agenda!$E$5:$E$3004=A45)*((Agenda!$H$5:$H$3004="Agendado")+(Agenda!$H$5:$H$3004="Confirmado")))*Agenda!$A$5:$A$3004+(1-((Agenda!$E$5:$E$3004=A45)*((Agenda!$H$5:$H$3004="Agendado")+(Agenda!$H$5:$H$3004="Confirmado"))))*1E+10))&gt;=1E+10,"",SUMPRODUCT(MIN(((Agenda!$E$5:$E$3004=A45)*((Agenda!$H$5:$H$3004="Agendado")+(Agenda!$H$5:$H$3004="Confirmado")))*Agenda!$A$5:$A$3004+(1-((Agenda!$E$5:$E$3004=A45)*((Agenda!$H$5:$H$3004="Agendado")+(Agenda!$H$5:$H$3004="Confirmado"))))*1E+10))))</f>
        <v>46287.0</v>
      </c>
    </row>
    <row r="46">
      <c r="A46" s="37" t="inlineStr">
        <is>
          <t>Fábio Martins</t>
        </is>
      </c>
      <c r="B46" s="38" t="inlineStr">
        <is>
          <t>MediPlan</t>
        </is>
      </c>
      <c r="C46" s="38" t="inlineStr">
        <is>
          <t>Dr. Paulo Andrade</t>
        </is>
      </c>
      <c r="D46" s="37" t="inlineStr">
        <is>
          <t>(11) 90000-0171</t>
        </is>
      </c>
      <c r="E46" s="37" t="n"/>
      <c r="F46" s="30">
        <f>IF(A46="","",COUNTIFS(Agenda!$E$5:$E$3004,A46,Agenda!$H$5:$H$3004,"Realizado"))</f>
        <v>4</v>
      </c>
      <c r="G46" s="30">
        <f>IF(A46="","",COUNTIFS(Agenda!$E$5:$E$3004,A46,Agenda!$H$5:$H$3004,"Falta"))</f>
        <v>0</v>
      </c>
      <c r="H46" s="34">
        <f>IF(A46="","",IF(SUMPRODUCT(MAX((Agenda!$E$5:$E$3004=A46)*(Agenda!$H$5:$H$3004="Realizado")*Agenda!$A$5:$A$3004))=0,"",SUMPRODUCT(MAX((Agenda!$E$5:$E$3004=A46)*(Agenda!$H$5:$H$3004="Realizado")*Agenda!$A$5:$A$3004))))</f>
        <v>46223.0</v>
      </c>
      <c r="I46" s="34">
        <f>IF(A46="","",IF(SUMPRODUCT(MIN(((Agenda!$E$5:$E$3004=A46)*((Agenda!$H$5:$H$3004="Agendado")+(Agenda!$H$5:$H$3004="Confirmado")))*Agenda!$A$5:$A$3004+(1-((Agenda!$E$5:$E$3004=A46)*((Agenda!$H$5:$H$3004="Agendado")+(Agenda!$H$5:$H$3004="Confirmado"))))*1E+10))&gt;=1E+10,"",SUMPRODUCT(MIN(((Agenda!$E$5:$E$3004=A46)*((Agenda!$H$5:$H$3004="Agendado")+(Agenda!$H$5:$H$3004="Confirmado")))*Agenda!$A$5:$A$3004+(1-((Agenda!$E$5:$E$3004=A46)*((Agenda!$H$5:$H$3004="Agendado")+(Agenda!$H$5:$H$3004="Confirmado"))))*1E+10))))</f>
        <v>46293.0</v>
      </c>
    </row>
    <row r="47">
      <c r="A47" s="37" t="inlineStr">
        <is>
          <t>Gabriel Fernandes</t>
        </is>
      </c>
      <c r="B47" s="38" t="inlineStr">
        <is>
          <t>Particular</t>
        </is>
      </c>
      <c r="C47" s="38" t="inlineStr">
        <is>
          <t>Dr. Paulo Andrade</t>
        </is>
      </c>
      <c r="D47" s="37" t="inlineStr">
        <is>
          <t>(11) 90000-0197</t>
        </is>
      </c>
      <c r="E47" s="37" t="n"/>
      <c r="F47" s="30">
        <f>IF(A47="","",COUNTIFS(Agenda!$E$5:$E$3004,A47,Agenda!$H$5:$H$3004,"Realizado"))</f>
        <v>1</v>
      </c>
      <c r="G47" s="30">
        <f>IF(A47="","",COUNTIFS(Agenda!$E$5:$E$3004,A47,Agenda!$H$5:$H$3004,"Falta"))</f>
        <v>0</v>
      </c>
      <c r="H47" s="34">
        <f>IF(A47="","",IF(SUMPRODUCT(MAX((Agenda!$E$5:$E$3004=A47)*(Agenda!$H$5:$H$3004="Realizado")*Agenda!$A$5:$A$3004))=0,"",SUMPRODUCT(MAX((Agenda!$E$5:$E$3004=A47)*(Agenda!$H$5:$H$3004="Realizado")*Agenda!$A$5:$A$3004))))</f>
        <v>46198.0</v>
      </c>
      <c r="I47" s="34">
        <f>IF(A47="","",IF(SUMPRODUCT(MIN(((Agenda!$E$5:$E$3004=A47)*((Agenda!$H$5:$H$3004="Agendado")+(Agenda!$H$5:$H$3004="Confirmado")))*Agenda!$A$5:$A$3004+(1-((Agenda!$E$5:$E$3004=A47)*((Agenda!$H$5:$H$3004="Agendado")+(Agenda!$H$5:$H$3004="Confirmado"))))*1E+10))&gt;=1E+10,"",SUMPRODUCT(MIN(((Agenda!$E$5:$E$3004=A47)*((Agenda!$H$5:$H$3004="Agendado")+(Agenda!$H$5:$H$3004="Confirmado")))*Agenda!$A$5:$A$3004+(1-((Agenda!$E$5:$E$3004=A47)*((Agenda!$H$5:$H$3004="Agendado")+(Agenda!$H$5:$H$3004="Confirmado"))))*1E+10))))</f>
        <v/>
      </c>
    </row>
    <row r="48">
      <c r="A48" s="37" t="inlineStr">
        <is>
          <t>Gabriel Lopes</t>
        </is>
      </c>
      <c r="B48" s="38" t="inlineStr">
        <is>
          <t>Saúde Total</t>
        </is>
      </c>
      <c r="C48" s="38" t="inlineStr">
        <is>
          <t>Dra. Renata Sousa</t>
        </is>
      </c>
      <c r="D48" s="37" t="inlineStr">
        <is>
          <t>(11) 90000-0251</t>
        </is>
      </c>
      <c r="E48" s="37" t="n"/>
      <c r="F48" s="30">
        <f>IF(A48="","",COUNTIFS(Agenda!$E$5:$E$3004,A48,Agenda!$H$5:$H$3004,"Realizado"))</f>
        <v>4</v>
      </c>
      <c r="G48" s="30">
        <f>IF(A48="","",COUNTIFS(Agenda!$E$5:$E$3004,A48,Agenda!$H$5:$H$3004,"Falta"))</f>
        <v>0</v>
      </c>
      <c r="H48" s="34">
        <f>IF(A48="","",IF(SUMPRODUCT(MAX((Agenda!$E$5:$E$3004=A48)*(Agenda!$H$5:$H$3004="Realizado")*Agenda!$A$5:$A$3004))=0,"",SUMPRODUCT(MAX((Agenda!$E$5:$E$3004=A48)*(Agenda!$H$5:$H$3004="Realizado")*Agenda!$A$5:$A$3004))))</f>
        <v>46273.0</v>
      </c>
      <c r="I48" s="34">
        <f>IF(A48="","",IF(SUMPRODUCT(MIN(((Agenda!$E$5:$E$3004=A48)*((Agenda!$H$5:$H$3004="Agendado")+(Agenda!$H$5:$H$3004="Confirmado")))*Agenda!$A$5:$A$3004+(1-((Agenda!$E$5:$E$3004=A48)*((Agenda!$H$5:$H$3004="Agendado")+(Agenda!$H$5:$H$3004="Confirmado"))))*1E+10))&gt;=1E+10,"",SUMPRODUCT(MIN(((Agenda!$E$5:$E$3004=A48)*((Agenda!$H$5:$H$3004="Agendado")+(Agenda!$H$5:$H$3004="Confirmado")))*Agenda!$A$5:$A$3004+(1-((Agenda!$E$5:$E$3004=A48)*((Agenda!$H$5:$H$3004="Agendado")+(Agenda!$H$5:$H$3004="Confirmado"))))*1E+10))))</f>
        <v>46280.0</v>
      </c>
    </row>
    <row r="49">
      <c r="A49" s="37" t="inlineStr">
        <is>
          <t>Gabriel Oliveira</t>
        </is>
      </c>
      <c r="B49" s="38" t="inlineStr">
        <is>
          <t>Particular</t>
        </is>
      </c>
      <c r="C49" s="38" t="inlineStr">
        <is>
          <t>Dr. Paulo Andrade</t>
        </is>
      </c>
      <c r="D49" s="37" t="inlineStr">
        <is>
          <t>(11) 90000-0221</t>
        </is>
      </c>
      <c r="E49" s="37" t="n"/>
      <c r="F49" s="30">
        <f>IF(A49="","",COUNTIFS(Agenda!$E$5:$E$3004,A49,Agenda!$H$5:$H$3004,"Realizado"))</f>
        <v>7</v>
      </c>
      <c r="G49" s="30">
        <f>IF(A49="","",COUNTIFS(Agenda!$E$5:$E$3004,A49,Agenda!$H$5:$H$3004,"Falta"))</f>
        <v>2</v>
      </c>
      <c r="H49" s="34">
        <f>IF(A49="","",IF(SUMPRODUCT(MAX((Agenda!$E$5:$E$3004=A49)*(Agenda!$H$5:$H$3004="Realizado")*Agenda!$A$5:$A$3004))=0,"",SUMPRODUCT(MAX((Agenda!$E$5:$E$3004=A49)*(Agenda!$H$5:$H$3004="Realizado")*Agenda!$A$5:$A$3004))))</f>
        <v>46273.0</v>
      </c>
      <c r="I49" s="34">
        <f>IF(A49="","",IF(SUMPRODUCT(MIN(((Agenda!$E$5:$E$3004=A49)*((Agenda!$H$5:$H$3004="Agendado")+(Agenda!$H$5:$H$3004="Confirmado")))*Agenda!$A$5:$A$3004+(1-((Agenda!$E$5:$E$3004=A49)*((Agenda!$H$5:$H$3004="Agendado")+(Agenda!$H$5:$H$3004="Confirmado"))))*1E+10))&gt;=1E+10,"",SUMPRODUCT(MIN(((Agenda!$E$5:$E$3004=A49)*((Agenda!$H$5:$H$3004="Agendado")+(Agenda!$H$5:$H$3004="Confirmado")))*Agenda!$A$5:$A$3004+(1-((Agenda!$E$5:$E$3004=A49)*((Agenda!$H$5:$H$3004="Agendado")+(Agenda!$H$5:$H$3004="Confirmado"))))*1E+10))))</f>
        <v/>
      </c>
    </row>
    <row r="50">
      <c r="A50" s="37" t="inlineStr">
        <is>
          <t>Gabriel Reis</t>
        </is>
      </c>
      <c r="B50" s="38" t="inlineStr">
        <is>
          <t>Particular</t>
        </is>
      </c>
      <c r="C50" s="38" t="inlineStr">
        <is>
          <t>Dra. Renata Sousa</t>
        </is>
      </c>
      <c r="D50" s="37" t="inlineStr">
        <is>
          <t>(11) 90000-0256</t>
        </is>
      </c>
      <c r="E50" s="37" t="n"/>
      <c r="F50" s="30">
        <f>IF(A50="","",COUNTIFS(Agenda!$E$5:$E$3004,A50,Agenda!$H$5:$H$3004,"Realizado"))</f>
        <v>5</v>
      </c>
      <c r="G50" s="30">
        <f>IF(A50="","",COUNTIFS(Agenda!$E$5:$E$3004,A50,Agenda!$H$5:$H$3004,"Falta"))</f>
        <v>0</v>
      </c>
      <c r="H50" s="34">
        <f>IF(A50="","",IF(SUMPRODUCT(MAX((Agenda!$E$5:$E$3004=A50)*(Agenda!$H$5:$H$3004="Realizado")*Agenda!$A$5:$A$3004))=0,"",SUMPRODUCT(MAX((Agenda!$E$5:$E$3004=A50)*(Agenda!$H$5:$H$3004="Realizado")*Agenda!$A$5:$A$3004))))</f>
        <v>46273.0</v>
      </c>
      <c r="I50" s="34">
        <f>IF(A50="","",IF(SUMPRODUCT(MIN(((Agenda!$E$5:$E$3004=A50)*((Agenda!$H$5:$H$3004="Agendado")+(Agenda!$H$5:$H$3004="Confirmado")))*Agenda!$A$5:$A$3004+(1-((Agenda!$E$5:$E$3004=A50)*((Agenda!$H$5:$H$3004="Agendado")+(Agenda!$H$5:$H$3004="Confirmado"))))*1E+10))&gt;=1E+10,"",SUMPRODUCT(MIN(((Agenda!$E$5:$E$3004=A50)*((Agenda!$H$5:$H$3004="Agendado")+(Agenda!$H$5:$H$3004="Confirmado")))*Agenda!$A$5:$A$3004+(1-((Agenda!$E$5:$E$3004=A50)*((Agenda!$H$5:$H$3004="Agendado")+(Agenda!$H$5:$H$3004="Confirmado"))))*1E+10))))</f>
        <v>46280.0</v>
      </c>
    </row>
    <row r="51">
      <c r="A51" s="37" t="inlineStr">
        <is>
          <t>Gabriel Vieira</t>
        </is>
      </c>
      <c r="B51" s="38" t="inlineStr">
        <is>
          <t>Vida Care</t>
        </is>
      </c>
      <c r="C51" s="38" t="inlineStr">
        <is>
          <t>Dr. Paulo Andrade</t>
        </is>
      </c>
      <c r="D51" s="37" t="inlineStr">
        <is>
          <t>(11) 90000-0178</t>
        </is>
      </c>
      <c r="E51" s="37" t="n"/>
      <c r="F51" s="30">
        <f>IF(A51="","",COUNTIFS(Agenda!$E$5:$E$3004,A51,Agenda!$H$5:$H$3004,"Realizado"))</f>
        <v>6</v>
      </c>
      <c r="G51" s="30">
        <f>IF(A51="","",COUNTIFS(Agenda!$E$5:$E$3004,A51,Agenda!$H$5:$H$3004,"Falta"))</f>
        <v>0</v>
      </c>
      <c r="H51" s="34">
        <f>IF(A51="","",IF(SUMPRODUCT(MAX((Agenda!$E$5:$E$3004=A51)*(Agenda!$H$5:$H$3004="Realizado")*Agenda!$A$5:$A$3004))=0,"",SUMPRODUCT(MAX((Agenda!$E$5:$E$3004=A51)*(Agenda!$H$5:$H$3004="Realizado")*Agenda!$A$5:$A$3004))))</f>
        <v>46275.0</v>
      </c>
      <c r="I51" s="34">
        <f>IF(A51="","",IF(SUMPRODUCT(MIN(((Agenda!$E$5:$E$3004=A51)*((Agenda!$H$5:$H$3004="Agendado")+(Agenda!$H$5:$H$3004="Confirmado")))*Agenda!$A$5:$A$3004+(1-((Agenda!$E$5:$E$3004=A51)*((Agenda!$H$5:$H$3004="Agendado")+(Agenda!$H$5:$H$3004="Confirmado"))))*1E+10))&gt;=1E+10,"",SUMPRODUCT(MIN(((Agenda!$E$5:$E$3004=A51)*((Agenda!$H$5:$H$3004="Agendado")+(Agenda!$H$5:$H$3004="Confirmado")))*Agenda!$A$5:$A$3004+(1-((Agenda!$E$5:$E$3004=A51)*((Agenda!$H$5:$H$3004="Agendado")+(Agenda!$H$5:$H$3004="Confirmado"))))*1E+10))))</f>
        <v>46294.0</v>
      </c>
    </row>
    <row r="52">
      <c r="A52" s="37" t="inlineStr">
        <is>
          <t>Gisele Lima</t>
        </is>
      </c>
      <c r="B52" s="38" t="inlineStr">
        <is>
          <t>Saúde Total</t>
        </is>
      </c>
      <c r="C52" s="38" t="inlineStr">
        <is>
          <t>Dr. Paulo Andrade</t>
        </is>
      </c>
      <c r="D52" s="37" t="inlineStr">
        <is>
          <t>(11) 90000-0198</t>
        </is>
      </c>
      <c r="E52" s="37" t="n"/>
      <c r="F52" s="30">
        <f>IF(A52="","",COUNTIFS(Agenda!$E$5:$E$3004,A52,Agenda!$H$5:$H$3004,"Realizado"))</f>
        <v>5</v>
      </c>
      <c r="G52" s="30">
        <f>IF(A52="","",COUNTIFS(Agenda!$E$5:$E$3004,A52,Agenda!$H$5:$H$3004,"Falta"))</f>
        <v>0</v>
      </c>
      <c r="H52" s="34">
        <f>IF(A52="","",IF(SUMPRODUCT(MAX((Agenda!$E$5:$E$3004=A52)*(Agenda!$H$5:$H$3004="Realizado")*Agenda!$A$5:$A$3004))=0,"",SUMPRODUCT(MAX((Agenda!$E$5:$E$3004=A52)*(Agenda!$H$5:$H$3004="Realizado")*Agenda!$A$5:$A$3004))))</f>
        <v>46223.0</v>
      </c>
      <c r="I52" s="34">
        <f>IF(A52="","",IF(SUMPRODUCT(MIN(((Agenda!$E$5:$E$3004=A52)*((Agenda!$H$5:$H$3004="Agendado")+(Agenda!$H$5:$H$3004="Confirmado")))*Agenda!$A$5:$A$3004+(1-((Agenda!$E$5:$E$3004=A52)*((Agenda!$H$5:$H$3004="Agendado")+(Agenda!$H$5:$H$3004="Confirmado"))))*1E+10))&gt;=1E+10,"",SUMPRODUCT(MIN(((Agenda!$E$5:$E$3004=A52)*((Agenda!$H$5:$H$3004="Agendado")+(Agenda!$H$5:$H$3004="Confirmado")))*Agenda!$A$5:$A$3004+(1-((Agenda!$E$5:$E$3004=A52)*((Agenda!$H$5:$H$3004="Agendado")+(Agenda!$H$5:$H$3004="Confirmado"))))*1E+10))))</f>
        <v>46294.0</v>
      </c>
    </row>
    <row r="53">
      <c r="A53" s="37" t="inlineStr">
        <is>
          <t>Gisele Lopes</t>
        </is>
      </c>
      <c r="B53" s="38" t="inlineStr">
        <is>
          <t>Saúde Total</t>
        </is>
      </c>
      <c r="C53" s="38" t="inlineStr">
        <is>
          <t>Dra. Renata Sousa</t>
        </is>
      </c>
      <c r="D53" s="37" t="inlineStr">
        <is>
          <t>(11) 90000-0224</t>
        </is>
      </c>
      <c r="E53" s="37" t="n"/>
      <c r="F53" s="30">
        <f>IF(A53="","",COUNTIFS(Agenda!$E$5:$E$3004,A53,Agenda!$H$5:$H$3004,"Realizado"))</f>
        <v>6</v>
      </c>
      <c r="G53" s="30">
        <f>IF(A53="","",COUNTIFS(Agenda!$E$5:$E$3004,A53,Agenda!$H$5:$H$3004,"Falta"))</f>
        <v>0</v>
      </c>
      <c r="H53" s="34">
        <f>IF(A53="","",IF(SUMPRODUCT(MAX((Agenda!$E$5:$E$3004=A53)*(Agenda!$H$5:$H$3004="Realizado")*Agenda!$A$5:$A$3004))=0,"",SUMPRODUCT(MAX((Agenda!$E$5:$E$3004=A53)*(Agenda!$H$5:$H$3004="Realizado")*Agenda!$A$5:$A$3004))))</f>
        <v>46224.0</v>
      </c>
      <c r="I53" s="34">
        <f>IF(A53="","",IF(SUMPRODUCT(MIN(((Agenda!$E$5:$E$3004=A53)*((Agenda!$H$5:$H$3004="Agendado")+(Agenda!$H$5:$H$3004="Confirmado")))*Agenda!$A$5:$A$3004+(1-((Agenda!$E$5:$E$3004=A53)*((Agenda!$H$5:$H$3004="Agendado")+(Agenda!$H$5:$H$3004="Confirmado"))))*1E+10))&gt;=1E+10,"",SUMPRODUCT(MIN(((Agenda!$E$5:$E$3004=A53)*((Agenda!$H$5:$H$3004="Agendado")+(Agenda!$H$5:$H$3004="Confirmado")))*Agenda!$A$5:$A$3004+(1-((Agenda!$E$5:$E$3004=A53)*((Agenda!$H$5:$H$3004="Agendado")+(Agenda!$H$5:$H$3004="Confirmado"))))*1E+10))))</f>
        <v/>
      </c>
    </row>
    <row r="54">
      <c r="A54" s="37" t="inlineStr">
        <is>
          <t>Gisele Pinto</t>
        </is>
      </c>
      <c r="B54" s="38" t="inlineStr">
        <is>
          <t>Saúde Total</t>
        </is>
      </c>
      <c r="C54" s="38" t="inlineStr">
        <is>
          <t>Dr. Paulo Andrade</t>
        </is>
      </c>
      <c r="D54" s="37" t="inlineStr">
        <is>
          <t>(11) 90000-0182</t>
        </is>
      </c>
      <c r="E54" s="37" t="n"/>
      <c r="F54" s="30">
        <f>IF(A54="","",COUNTIFS(Agenda!$E$5:$E$3004,A54,Agenda!$H$5:$H$3004,"Realizado"))</f>
        <v>4</v>
      </c>
      <c r="G54" s="30">
        <f>IF(A54="","",COUNTIFS(Agenda!$E$5:$E$3004,A54,Agenda!$H$5:$H$3004,"Falta"))</f>
        <v>1</v>
      </c>
      <c r="H54" s="34">
        <f>IF(A54="","",IF(SUMPRODUCT(MAX((Agenda!$E$5:$E$3004=A54)*(Agenda!$H$5:$H$3004="Realizado")*Agenda!$A$5:$A$3004))=0,"",SUMPRODUCT(MAX((Agenda!$E$5:$E$3004=A54)*(Agenda!$H$5:$H$3004="Realizado")*Agenda!$A$5:$A$3004))))</f>
        <v>46273.0</v>
      </c>
      <c r="I54" s="34">
        <f>IF(A54="","",IF(SUMPRODUCT(MIN(((Agenda!$E$5:$E$3004=A54)*((Agenda!$H$5:$H$3004="Agendado")+(Agenda!$H$5:$H$3004="Confirmado")))*Agenda!$A$5:$A$3004+(1-((Agenda!$E$5:$E$3004=A54)*((Agenda!$H$5:$H$3004="Agendado")+(Agenda!$H$5:$H$3004="Confirmado"))))*1E+10))&gt;=1E+10,"",SUMPRODUCT(MIN(((Agenda!$E$5:$E$3004=A54)*((Agenda!$H$5:$H$3004="Agendado")+(Agenda!$H$5:$H$3004="Confirmado")))*Agenda!$A$5:$A$3004+(1-((Agenda!$E$5:$E$3004=A54)*((Agenda!$H$5:$H$3004="Agendado")+(Agenda!$H$5:$H$3004="Confirmado"))))*1E+10))))</f>
        <v>46293.0</v>
      </c>
    </row>
    <row r="55">
      <c r="A55" s="37" t="inlineStr">
        <is>
          <t>Gisele Ribeiro</t>
        </is>
      </c>
      <c r="B55" s="38" t="inlineStr">
        <is>
          <t>Particular</t>
        </is>
      </c>
      <c r="C55" s="38" t="inlineStr">
        <is>
          <t>Dra. Carolina Mendes</t>
        </is>
      </c>
      <c r="D55" s="37" t="inlineStr">
        <is>
          <t>(11) 90000-0166</t>
        </is>
      </c>
      <c r="E55" s="37" t="n"/>
      <c r="F55" s="30">
        <f>IF(A55="","",COUNTIFS(Agenda!$E$5:$E$3004,A55,Agenda!$H$5:$H$3004,"Realizado"))</f>
        <v>9</v>
      </c>
      <c r="G55" s="30">
        <f>IF(A55="","",COUNTIFS(Agenda!$E$5:$E$3004,A55,Agenda!$H$5:$H$3004,"Falta"))</f>
        <v>1</v>
      </c>
      <c r="H55" s="34">
        <f>IF(A55="","",IF(SUMPRODUCT(MAX((Agenda!$E$5:$E$3004=A55)*(Agenda!$H$5:$H$3004="Realizado")*Agenda!$A$5:$A$3004))=0,"",SUMPRODUCT(MAX((Agenda!$E$5:$E$3004=A55)*(Agenda!$H$5:$H$3004="Realizado")*Agenda!$A$5:$A$3004))))</f>
        <v>46274.0</v>
      </c>
      <c r="I55" s="34">
        <f>IF(A55="","",IF(SUMPRODUCT(MIN(((Agenda!$E$5:$E$3004=A55)*((Agenda!$H$5:$H$3004="Agendado")+(Agenda!$H$5:$H$3004="Confirmado")))*Agenda!$A$5:$A$3004+(1-((Agenda!$E$5:$E$3004=A55)*((Agenda!$H$5:$H$3004="Agendado")+(Agenda!$H$5:$H$3004="Confirmado"))))*1E+10))&gt;=1E+10,"",SUMPRODUCT(MIN(((Agenda!$E$5:$E$3004=A55)*((Agenda!$H$5:$H$3004="Agendado")+(Agenda!$H$5:$H$3004="Confirmado")))*Agenda!$A$5:$A$3004+(1-((Agenda!$E$5:$E$3004=A55)*((Agenda!$H$5:$H$3004="Agendado")+(Agenda!$H$5:$H$3004="Confirmado"))))*1E+10))))</f>
        <v>46286.0</v>
      </c>
    </row>
    <row r="56">
      <c r="A56" s="37" t="inlineStr">
        <is>
          <t>Gisele Xavier</t>
        </is>
      </c>
      <c r="B56" s="38" t="inlineStr">
        <is>
          <t>Particular</t>
        </is>
      </c>
      <c r="C56" s="38" t="inlineStr">
        <is>
          <t>Dra. Carolina Mendes</t>
        </is>
      </c>
      <c r="D56" s="37" t="inlineStr">
        <is>
          <t>(11) 90000-0159</t>
        </is>
      </c>
      <c r="E56" s="37" t="n"/>
      <c r="F56" s="30">
        <f>IF(A56="","",COUNTIFS(Agenda!$E$5:$E$3004,A56,Agenda!$H$5:$H$3004,"Realizado"))</f>
        <v>10</v>
      </c>
      <c r="G56" s="30">
        <f>IF(A56="","",COUNTIFS(Agenda!$E$5:$E$3004,A56,Agenda!$H$5:$H$3004,"Falta"))</f>
        <v>0</v>
      </c>
      <c r="H56" s="34">
        <f>IF(A56="","",IF(SUMPRODUCT(MAX((Agenda!$E$5:$E$3004=A56)*(Agenda!$H$5:$H$3004="Realizado")*Agenda!$A$5:$A$3004))=0,"",SUMPRODUCT(MAX((Agenda!$E$5:$E$3004=A56)*(Agenda!$H$5:$H$3004="Realizado")*Agenda!$A$5:$A$3004))))</f>
        <v>46273.0</v>
      </c>
      <c r="I56" s="34">
        <f>IF(A56="","",IF(SUMPRODUCT(MIN(((Agenda!$E$5:$E$3004=A56)*((Agenda!$H$5:$H$3004="Agendado")+(Agenda!$H$5:$H$3004="Confirmado")))*Agenda!$A$5:$A$3004+(1-((Agenda!$E$5:$E$3004=A56)*((Agenda!$H$5:$H$3004="Agendado")+(Agenda!$H$5:$H$3004="Confirmado"))))*1E+10))&gt;=1E+10,"",SUMPRODUCT(MIN(((Agenda!$E$5:$E$3004=A56)*((Agenda!$H$5:$H$3004="Agendado")+(Agenda!$H$5:$H$3004="Confirmado")))*Agenda!$A$5:$A$3004+(1-((Agenda!$E$5:$E$3004=A56)*((Agenda!$H$5:$H$3004="Agendado")+(Agenda!$H$5:$H$3004="Confirmado"))))*1E+10))))</f>
        <v>46279.0</v>
      </c>
    </row>
    <row r="57">
      <c r="A57" s="37" t="inlineStr">
        <is>
          <t>Gustavo Barbosa</t>
        </is>
      </c>
      <c r="B57" s="38" t="inlineStr">
        <is>
          <t>Saúde Total</t>
        </is>
      </c>
      <c r="C57" s="38" t="inlineStr">
        <is>
          <t>Dra. Carolina Mendes</t>
        </is>
      </c>
      <c r="D57" s="37" t="inlineStr">
        <is>
          <t>(11) 90000-0110</t>
        </is>
      </c>
      <c r="E57" s="37" t="n"/>
      <c r="F57" s="30">
        <f>IF(A57="","",COUNTIFS(Agenda!$E$5:$E$3004,A57,Agenda!$H$5:$H$3004,"Realizado"))</f>
        <v>8</v>
      </c>
      <c r="G57" s="30">
        <f>IF(A57="","",COUNTIFS(Agenda!$E$5:$E$3004,A57,Agenda!$H$5:$H$3004,"Falta"))</f>
        <v>2</v>
      </c>
      <c r="H57" s="34">
        <f>IF(A57="","",IF(SUMPRODUCT(MAX((Agenda!$E$5:$E$3004=A57)*(Agenda!$H$5:$H$3004="Realizado")*Agenda!$A$5:$A$3004))=0,"",SUMPRODUCT(MAX((Agenda!$E$5:$E$3004=A57)*(Agenda!$H$5:$H$3004="Realizado")*Agenda!$A$5:$A$3004))))</f>
        <v>46273.0</v>
      </c>
      <c r="I57" s="34">
        <f>IF(A57="","",IF(SUMPRODUCT(MIN(((Agenda!$E$5:$E$3004=A57)*((Agenda!$H$5:$H$3004="Agendado")+(Agenda!$H$5:$H$3004="Confirmado")))*Agenda!$A$5:$A$3004+(1-((Agenda!$E$5:$E$3004=A57)*((Agenda!$H$5:$H$3004="Agendado")+(Agenda!$H$5:$H$3004="Confirmado"))))*1E+10))&gt;=1E+10,"",SUMPRODUCT(MIN(((Agenda!$E$5:$E$3004=A57)*((Agenda!$H$5:$H$3004="Agendado")+(Agenda!$H$5:$H$3004="Confirmado")))*Agenda!$A$5:$A$3004+(1-((Agenda!$E$5:$E$3004=A57)*((Agenda!$H$5:$H$3004="Agendado")+(Agenda!$H$5:$H$3004="Confirmado"))))*1E+10))))</f>
        <v>46280.0</v>
      </c>
    </row>
    <row r="58">
      <c r="A58" s="37" t="inlineStr">
        <is>
          <t>Gustavo Carvalho</t>
        </is>
      </c>
      <c r="B58" s="38" t="inlineStr">
        <is>
          <t>Particular</t>
        </is>
      </c>
      <c r="C58" s="38" t="inlineStr">
        <is>
          <t>Dra. Renata Sousa</t>
        </is>
      </c>
      <c r="D58" s="37" t="inlineStr">
        <is>
          <t>(11) 90000-0235</t>
        </is>
      </c>
      <c r="E58" s="37" t="n"/>
      <c r="F58" s="30">
        <f>IF(A58="","",COUNTIFS(Agenda!$E$5:$E$3004,A58,Agenda!$H$5:$H$3004,"Realizado"))</f>
        <v>4</v>
      </c>
      <c r="G58" s="30">
        <f>IF(A58="","",COUNTIFS(Agenda!$E$5:$E$3004,A58,Agenda!$H$5:$H$3004,"Falta"))</f>
        <v>0</v>
      </c>
      <c r="H58" s="34">
        <f>IF(A58="","",IF(SUMPRODUCT(MAX((Agenda!$E$5:$E$3004=A58)*(Agenda!$H$5:$H$3004="Realizado")*Agenda!$A$5:$A$3004))=0,"",SUMPRODUCT(MAX((Agenda!$E$5:$E$3004=A58)*(Agenda!$H$5:$H$3004="Realizado")*Agenda!$A$5:$A$3004))))</f>
        <v>46252.0</v>
      </c>
      <c r="I58" s="34">
        <f>IF(A58="","",IF(SUMPRODUCT(MIN(((Agenda!$E$5:$E$3004=A58)*((Agenda!$H$5:$H$3004="Agendado")+(Agenda!$H$5:$H$3004="Confirmado")))*Agenda!$A$5:$A$3004+(1-((Agenda!$E$5:$E$3004=A58)*((Agenda!$H$5:$H$3004="Agendado")+(Agenda!$H$5:$H$3004="Confirmado"))))*1E+10))&gt;=1E+10,"",SUMPRODUCT(MIN(((Agenda!$E$5:$E$3004=A58)*((Agenda!$H$5:$H$3004="Agendado")+(Agenda!$H$5:$H$3004="Confirmado")))*Agenda!$A$5:$A$3004+(1-((Agenda!$E$5:$E$3004=A58)*((Agenda!$H$5:$H$3004="Agendado")+(Agenda!$H$5:$H$3004="Confirmado"))))*1E+10))))</f>
        <v/>
      </c>
    </row>
    <row r="59">
      <c r="A59" s="37" t="inlineStr">
        <is>
          <t>Gustavo Ferreira</t>
        </is>
      </c>
      <c r="B59" s="38" t="inlineStr">
        <is>
          <t>Particular</t>
        </is>
      </c>
      <c r="C59" s="38" t="inlineStr">
        <is>
          <t>Dra. Carolina Mendes</t>
        </is>
      </c>
      <c r="D59" s="37" t="inlineStr">
        <is>
          <t>(11) 90000-0145</t>
        </is>
      </c>
      <c r="E59" s="37" t="n"/>
      <c r="F59" s="30">
        <f>IF(A59="","",COUNTIFS(Agenda!$E$5:$E$3004,A59,Agenda!$H$5:$H$3004,"Realizado"))</f>
        <v>12</v>
      </c>
      <c r="G59" s="30">
        <f>IF(A59="","",COUNTIFS(Agenda!$E$5:$E$3004,A59,Agenda!$H$5:$H$3004,"Falta"))</f>
        <v>2</v>
      </c>
      <c r="H59" s="34">
        <f>IF(A59="","",IF(SUMPRODUCT(MAX((Agenda!$E$5:$E$3004=A59)*(Agenda!$H$5:$H$3004="Realizado")*Agenda!$A$5:$A$3004))=0,"",SUMPRODUCT(MAX((Agenda!$E$5:$E$3004=A59)*(Agenda!$H$5:$H$3004="Realizado")*Agenda!$A$5:$A$3004))))</f>
        <v>46274.0</v>
      </c>
      <c r="I59" s="34">
        <f>IF(A59="","",IF(SUMPRODUCT(MIN(((Agenda!$E$5:$E$3004=A59)*((Agenda!$H$5:$H$3004="Agendado")+(Agenda!$H$5:$H$3004="Confirmado")))*Agenda!$A$5:$A$3004+(1-((Agenda!$E$5:$E$3004=A59)*((Agenda!$H$5:$H$3004="Agendado")+(Agenda!$H$5:$H$3004="Confirmado"))))*1E+10))&gt;=1E+10,"",SUMPRODUCT(MIN(((Agenda!$E$5:$E$3004=A59)*((Agenda!$H$5:$H$3004="Agendado")+(Agenda!$H$5:$H$3004="Confirmado")))*Agenda!$A$5:$A$3004+(1-((Agenda!$E$5:$E$3004=A59)*((Agenda!$H$5:$H$3004="Agendado")+(Agenda!$H$5:$H$3004="Confirmado"))))*1E+10))))</f>
        <v>46280.0</v>
      </c>
    </row>
    <row r="60">
      <c r="A60" s="37" t="inlineStr">
        <is>
          <t>Gustavo Pinto</t>
        </is>
      </c>
      <c r="B60" s="38" t="inlineStr">
        <is>
          <t>Particular</t>
        </is>
      </c>
      <c r="C60" s="38" t="inlineStr">
        <is>
          <t>Dr. Paulo Andrade</t>
        </is>
      </c>
      <c r="D60" s="37" t="inlineStr">
        <is>
          <t>(11) 90000-0181</t>
        </is>
      </c>
      <c r="E60" s="37" t="n"/>
      <c r="F60" s="30">
        <f>IF(A60="","",COUNTIFS(Agenda!$E$5:$E$3004,A60,Agenda!$H$5:$H$3004,"Realizado"))</f>
        <v>2</v>
      </c>
      <c r="G60" s="30">
        <f>IF(A60="","",COUNTIFS(Agenda!$E$5:$E$3004,A60,Agenda!$H$5:$H$3004,"Falta"))</f>
        <v>0</v>
      </c>
      <c r="H60" s="34">
        <f>IF(A60="","",IF(SUMPRODUCT(MAX((Agenda!$E$5:$E$3004=A60)*(Agenda!$H$5:$H$3004="Realizado")*Agenda!$A$5:$A$3004))=0,"",SUMPRODUCT(MAX((Agenda!$E$5:$E$3004=A60)*(Agenda!$H$5:$H$3004="Realizado")*Agenda!$A$5:$A$3004))))</f>
        <v>46254.0</v>
      </c>
      <c r="I60" s="34">
        <f>IF(A60="","",IF(SUMPRODUCT(MIN(((Agenda!$E$5:$E$3004=A60)*((Agenda!$H$5:$H$3004="Agendado")+(Agenda!$H$5:$H$3004="Confirmado")))*Agenda!$A$5:$A$3004+(1-((Agenda!$E$5:$E$3004=A60)*((Agenda!$H$5:$H$3004="Agendado")+(Agenda!$H$5:$H$3004="Confirmado"))))*1E+10))&gt;=1E+10,"",SUMPRODUCT(MIN(((Agenda!$E$5:$E$3004=A60)*((Agenda!$H$5:$H$3004="Agendado")+(Agenda!$H$5:$H$3004="Confirmado")))*Agenda!$A$5:$A$3004+(1-((Agenda!$E$5:$E$3004=A60)*((Agenda!$H$5:$H$3004="Agendado")+(Agenda!$H$5:$H$3004="Confirmado"))))*1E+10))))</f>
        <v>46287.0</v>
      </c>
    </row>
    <row r="61">
      <c r="A61" s="37" t="inlineStr">
        <is>
          <t>Helena Moreira</t>
        </is>
      </c>
      <c r="B61" s="38" t="inlineStr">
        <is>
          <t>Particular</t>
        </is>
      </c>
      <c r="C61" s="38" t="inlineStr">
        <is>
          <t>Dra. Carolina Mendes</t>
        </is>
      </c>
      <c r="D61" s="37" t="inlineStr">
        <is>
          <t>(11) 90000-0138</t>
        </is>
      </c>
      <c r="E61" s="37" t="n"/>
      <c r="F61" s="30">
        <f>IF(A61="","",COUNTIFS(Agenda!$E$5:$E$3004,A61,Agenda!$H$5:$H$3004,"Realizado"))</f>
        <v>13</v>
      </c>
      <c r="G61" s="30">
        <f>IF(A61="","",COUNTIFS(Agenda!$E$5:$E$3004,A61,Agenda!$H$5:$H$3004,"Falta"))</f>
        <v>1</v>
      </c>
      <c r="H61" s="34">
        <f>IF(A61="","",IF(SUMPRODUCT(MAX((Agenda!$E$5:$E$3004=A61)*(Agenda!$H$5:$H$3004="Realizado")*Agenda!$A$5:$A$3004))=0,"",SUMPRODUCT(MAX((Agenda!$E$5:$E$3004=A61)*(Agenda!$H$5:$H$3004="Realizado")*Agenda!$A$5:$A$3004))))</f>
        <v>46275.0</v>
      </c>
      <c r="I61" s="34">
        <f>IF(A61="","",IF(SUMPRODUCT(MIN(((Agenda!$E$5:$E$3004=A61)*((Agenda!$H$5:$H$3004="Agendado")+(Agenda!$H$5:$H$3004="Confirmado")))*Agenda!$A$5:$A$3004+(1-((Agenda!$E$5:$E$3004=A61)*((Agenda!$H$5:$H$3004="Agendado")+(Agenda!$H$5:$H$3004="Confirmado"))))*1E+10))&gt;=1E+10,"",SUMPRODUCT(MIN(((Agenda!$E$5:$E$3004=A61)*((Agenda!$H$5:$H$3004="Agendado")+(Agenda!$H$5:$H$3004="Confirmado")))*Agenda!$A$5:$A$3004+(1-((Agenda!$E$5:$E$3004=A61)*((Agenda!$H$5:$H$3004="Agendado")+(Agenda!$H$5:$H$3004="Confirmado"))))*1E+10))))</f>
        <v>46282.0</v>
      </c>
    </row>
    <row r="62">
      <c r="A62" s="37" t="inlineStr">
        <is>
          <t>Helena Ribeiro</t>
        </is>
      </c>
      <c r="B62" s="38" t="inlineStr">
        <is>
          <t>MediPlan</t>
        </is>
      </c>
      <c r="C62" s="38" t="inlineStr">
        <is>
          <t>Dr. Paulo Andrade</t>
        </is>
      </c>
      <c r="D62" s="37" t="inlineStr">
        <is>
          <t>(11) 90000-0219</t>
        </is>
      </c>
      <c r="E62" s="37" t="n"/>
      <c r="F62" s="30">
        <f>IF(A62="","",COUNTIFS(Agenda!$E$5:$E$3004,A62,Agenda!$H$5:$H$3004,"Realizado"))</f>
        <v>8</v>
      </c>
      <c r="G62" s="30">
        <f>IF(A62="","",COUNTIFS(Agenda!$E$5:$E$3004,A62,Agenda!$H$5:$H$3004,"Falta"))</f>
        <v>0</v>
      </c>
      <c r="H62" s="34">
        <f>IF(A62="","",IF(SUMPRODUCT(MAX((Agenda!$E$5:$E$3004=A62)*(Agenda!$H$5:$H$3004="Realizado")*Agenda!$A$5:$A$3004))=0,"",SUMPRODUCT(MAX((Agenda!$E$5:$E$3004=A62)*(Agenda!$H$5:$H$3004="Realizado")*Agenda!$A$5:$A$3004))))</f>
        <v>46266.0</v>
      </c>
      <c r="I62" s="34">
        <f>IF(A62="","",IF(SUMPRODUCT(MIN(((Agenda!$E$5:$E$3004=A62)*((Agenda!$H$5:$H$3004="Agendado")+(Agenda!$H$5:$H$3004="Confirmado")))*Agenda!$A$5:$A$3004+(1-((Agenda!$E$5:$E$3004=A62)*((Agenda!$H$5:$H$3004="Agendado")+(Agenda!$H$5:$H$3004="Confirmado"))))*1E+10))&gt;=1E+10,"",SUMPRODUCT(MIN(((Agenda!$E$5:$E$3004=A62)*((Agenda!$H$5:$H$3004="Agendado")+(Agenda!$H$5:$H$3004="Confirmado")))*Agenda!$A$5:$A$3004+(1-((Agenda!$E$5:$E$3004=A62)*((Agenda!$H$5:$H$3004="Agendado")+(Agenda!$H$5:$H$3004="Confirmado"))))*1E+10))))</f>
        <v>46283.0</v>
      </c>
    </row>
    <row r="63">
      <c r="A63" s="37" t="inlineStr">
        <is>
          <t>Henrique Ribeiro</t>
        </is>
      </c>
      <c r="B63" s="38" t="inlineStr">
        <is>
          <t>Particular</t>
        </is>
      </c>
      <c r="C63" s="38" t="inlineStr">
        <is>
          <t>Dr. Paulo Andrade</t>
        </is>
      </c>
      <c r="D63" s="37" t="inlineStr">
        <is>
          <t>(11) 90000-0170</t>
        </is>
      </c>
      <c r="E63" s="37" t="n"/>
      <c r="F63" s="30">
        <f>IF(A63="","",COUNTIFS(Agenda!$E$5:$E$3004,A63,Agenda!$H$5:$H$3004,"Realizado"))</f>
        <v>4</v>
      </c>
      <c r="G63" s="30">
        <f>IF(A63="","",COUNTIFS(Agenda!$E$5:$E$3004,A63,Agenda!$H$5:$H$3004,"Falta"))</f>
        <v>0</v>
      </c>
      <c r="H63" s="34">
        <f>IF(A63="","",IF(SUMPRODUCT(MAX((Agenda!$E$5:$E$3004=A63)*(Agenda!$H$5:$H$3004="Realizado")*Agenda!$A$5:$A$3004))=0,"",SUMPRODUCT(MAX((Agenda!$E$5:$E$3004=A63)*(Agenda!$H$5:$H$3004="Realizado")*Agenda!$A$5:$A$3004))))</f>
        <v>46265.0</v>
      </c>
      <c r="I63" s="34">
        <f>IF(A63="","",IF(SUMPRODUCT(MIN(((Agenda!$E$5:$E$3004=A63)*((Agenda!$H$5:$H$3004="Agendado")+(Agenda!$H$5:$H$3004="Confirmado")))*Agenda!$A$5:$A$3004+(1-((Agenda!$E$5:$E$3004=A63)*((Agenda!$H$5:$H$3004="Agendado")+(Agenda!$H$5:$H$3004="Confirmado"))))*1E+10))&gt;=1E+10,"",SUMPRODUCT(MIN(((Agenda!$E$5:$E$3004=A63)*((Agenda!$H$5:$H$3004="Agendado")+(Agenda!$H$5:$H$3004="Confirmado")))*Agenda!$A$5:$A$3004+(1-((Agenda!$E$5:$E$3004=A63)*((Agenda!$H$5:$H$3004="Agendado")+(Agenda!$H$5:$H$3004="Confirmado"))))*1E+10))))</f>
        <v>46279.0</v>
      </c>
    </row>
    <row r="64">
      <c r="A64" s="37" t="inlineStr">
        <is>
          <t>Henrique Santos</t>
        </is>
      </c>
      <c r="B64" s="38" t="inlineStr">
        <is>
          <t>Vida Care</t>
        </is>
      </c>
      <c r="C64" s="38" t="inlineStr">
        <is>
          <t>Dr. Paulo Andrade</t>
        </is>
      </c>
      <c r="D64" s="37" t="inlineStr">
        <is>
          <t>(11) 90000-0220</t>
        </is>
      </c>
      <c r="E64" s="37" t="n"/>
      <c r="F64" s="30">
        <f>IF(A64="","",COUNTIFS(Agenda!$E$5:$E$3004,A64,Agenda!$H$5:$H$3004,"Realizado"))</f>
        <v>3</v>
      </c>
      <c r="G64" s="30">
        <f>IF(A64="","",COUNTIFS(Agenda!$E$5:$E$3004,A64,Agenda!$H$5:$H$3004,"Falta"))</f>
        <v>1</v>
      </c>
      <c r="H64" s="34">
        <f>IF(A64="","",IF(SUMPRODUCT(MAX((Agenda!$E$5:$E$3004=A64)*(Agenda!$H$5:$H$3004="Realizado")*Agenda!$A$5:$A$3004))=0,"",SUMPRODUCT(MAX((Agenda!$E$5:$E$3004=A64)*(Agenda!$H$5:$H$3004="Realizado")*Agenda!$A$5:$A$3004))))</f>
        <v>46262.0</v>
      </c>
      <c r="I64" s="34">
        <f>IF(A64="","",IF(SUMPRODUCT(MIN(((Agenda!$E$5:$E$3004=A64)*((Agenda!$H$5:$H$3004="Agendado")+(Agenda!$H$5:$H$3004="Confirmado")))*Agenda!$A$5:$A$3004+(1-((Agenda!$E$5:$E$3004=A64)*((Agenda!$H$5:$H$3004="Agendado")+(Agenda!$H$5:$H$3004="Confirmado"))))*1E+10))&gt;=1E+10,"",SUMPRODUCT(MIN(((Agenda!$E$5:$E$3004=A64)*((Agenda!$H$5:$H$3004="Agendado")+(Agenda!$H$5:$H$3004="Confirmado")))*Agenda!$A$5:$A$3004+(1-((Agenda!$E$5:$E$3004=A64)*((Agenda!$H$5:$H$3004="Agendado")+(Agenda!$H$5:$H$3004="Confirmado"))))*1E+10))))</f>
        <v/>
      </c>
    </row>
    <row r="65">
      <c r="A65" s="37" t="inlineStr">
        <is>
          <t>Isabela Barbosa</t>
        </is>
      </c>
      <c r="B65" s="38" t="inlineStr">
        <is>
          <t>Saúde Total</t>
        </is>
      </c>
      <c r="C65" s="38" t="inlineStr">
        <is>
          <t>Dra. Renata Sousa</t>
        </is>
      </c>
      <c r="D65" s="37" t="inlineStr">
        <is>
          <t>(11) 90000-0236</t>
        </is>
      </c>
      <c r="E65" s="37" t="n"/>
      <c r="F65" s="30">
        <f>IF(A65="","",COUNTIFS(Agenda!$E$5:$E$3004,A65,Agenda!$H$5:$H$3004,"Realizado"))</f>
        <v>2</v>
      </c>
      <c r="G65" s="30">
        <f>IF(A65="","",COUNTIFS(Agenda!$E$5:$E$3004,A65,Agenda!$H$5:$H$3004,"Falta"))</f>
        <v>0</v>
      </c>
      <c r="H65" s="34">
        <f>IF(A65="","",IF(SUMPRODUCT(MAX((Agenda!$E$5:$E$3004=A65)*(Agenda!$H$5:$H$3004="Realizado")*Agenda!$A$5:$A$3004))=0,"",SUMPRODUCT(MAX((Agenda!$E$5:$E$3004=A65)*(Agenda!$H$5:$H$3004="Realizado")*Agenda!$A$5:$A$3004))))</f>
        <v>46226.0</v>
      </c>
      <c r="I65" s="34">
        <f>IF(A65="","",IF(SUMPRODUCT(MIN(((Agenda!$E$5:$E$3004=A65)*((Agenda!$H$5:$H$3004="Agendado")+(Agenda!$H$5:$H$3004="Confirmado")))*Agenda!$A$5:$A$3004+(1-((Agenda!$E$5:$E$3004=A65)*((Agenda!$H$5:$H$3004="Agendado")+(Agenda!$H$5:$H$3004="Confirmado"))))*1E+10))&gt;=1E+10,"",SUMPRODUCT(MIN(((Agenda!$E$5:$E$3004=A65)*((Agenda!$H$5:$H$3004="Agendado")+(Agenda!$H$5:$H$3004="Confirmado")))*Agenda!$A$5:$A$3004+(1-((Agenda!$E$5:$E$3004=A65)*((Agenda!$H$5:$H$3004="Agendado")+(Agenda!$H$5:$H$3004="Confirmado"))))*1E+10))))</f>
        <v/>
      </c>
    </row>
    <row r="66">
      <c r="A66" s="37" t="inlineStr">
        <is>
          <t>Isabela Nascimento</t>
        </is>
      </c>
      <c r="B66" s="38" t="inlineStr">
        <is>
          <t>Vida Care</t>
        </is>
      </c>
      <c r="C66" s="38" t="inlineStr">
        <is>
          <t>Dra. Carolina Mendes</t>
        </is>
      </c>
      <c r="D66" s="37" t="inlineStr">
        <is>
          <t>(11) 90000-0142</t>
        </is>
      </c>
      <c r="E66" s="37" t="n"/>
      <c r="F66" s="30">
        <f>IF(A66="","",COUNTIFS(Agenda!$E$5:$E$3004,A66,Agenda!$H$5:$H$3004,"Realizado"))</f>
        <v>3</v>
      </c>
      <c r="G66" s="30">
        <f>IF(A66="","",COUNTIFS(Agenda!$E$5:$E$3004,A66,Agenda!$H$5:$H$3004,"Falta"))</f>
        <v>1</v>
      </c>
      <c r="H66" s="34">
        <f>IF(A66="","",IF(SUMPRODUCT(MAX((Agenda!$E$5:$E$3004=A66)*(Agenda!$H$5:$H$3004="Realizado")*Agenda!$A$5:$A$3004))=0,"",SUMPRODUCT(MAX((Agenda!$E$5:$E$3004=A66)*(Agenda!$H$5:$H$3004="Realizado")*Agenda!$A$5:$A$3004))))</f>
        <v>46275.0</v>
      </c>
      <c r="I66" s="34">
        <f>IF(A66="","",IF(SUMPRODUCT(MIN(((Agenda!$E$5:$E$3004=A66)*((Agenda!$H$5:$H$3004="Agendado")+(Agenda!$H$5:$H$3004="Confirmado")))*Agenda!$A$5:$A$3004+(1-((Agenda!$E$5:$E$3004=A66)*((Agenda!$H$5:$H$3004="Agendado")+(Agenda!$H$5:$H$3004="Confirmado"))))*1E+10))&gt;=1E+10,"",SUMPRODUCT(MIN(((Agenda!$E$5:$E$3004=A66)*((Agenda!$H$5:$H$3004="Agendado")+(Agenda!$H$5:$H$3004="Confirmado")))*Agenda!$A$5:$A$3004+(1-((Agenda!$E$5:$E$3004=A66)*((Agenda!$H$5:$H$3004="Agendado")+(Agenda!$H$5:$H$3004="Confirmado"))))*1E+10))))</f>
        <v>46286.0</v>
      </c>
    </row>
    <row r="67">
      <c r="A67" s="37" t="inlineStr">
        <is>
          <t>Isabela Pinto</t>
        </is>
      </c>
      <c r="B67" s="38" t="inlineStr">
        <is>
          <t>Saúde Total</t>
        </is>
      </c>
      <c r="C67" s="38" t="inlineStr">
        <is>
          <t>Dra. Carolina Mendes</t>
        </is>
      </c>
      <c r="D67" s="37" t="inlineStr">
        <is>
          <t>(11) 90000-0130</t>
        </is>
      </c>
      <c r="E67" s="37" t="n"/>
      <c r="F67" s="30">
        <f>IF(A67="","",COUNTIFS(Agenda!$E$5:$E$3004,A67,Agenda!$H$5:$H$3004,"Realizado"))</f>
        <v>11</v>
      </c>
      <c r="G67" s="30">
        <f>IF(A67="","",COUNTIFS(Agenda!$E$5:$E$3004,A67,Agenda!$H$5:$H$3004,"Falta"))</f>
        <v>0</v>
      </c>
      <c r="H67" s="34">
        <f>IF(A67="","",IF(SUMPRODUCT(MAX((Agenda!$E$5:$E$3004=A67)*(Agenda!$H$5:$H$3004="Realizado")*Agenda!$A$5:$A$3004))=0,"",SUMPRODUCT(MAX((Agenda!$E$5:$E$3004=A67)*(Agenda!$H$5:$H$3004="Realizado")*Agenda!$A$5:$A$3004))))</f>
        <v>46268.0</v>
      </c>
      <c r="I67" s="34">
        <f>IF(A67="","",IF(SUMPRODUCT(MIN(((Agenda!$E$5:$E$3004=A67)*((Agenda!$H$5:$H$3004="Agendado")+(Agenda!$H$5:$H$3004="Confirmado")))*Agenda!$A$5:$A$3004+(1-((Agenda!$E$5:$E$3004=A67)*((Agenda!$H$5:$H$3004="Agendado")+(Agenda!$H$5:$H$3004="Confirmado"))))*1E+10))&gt;=1E+10,"",SUMPRODUCT(MIN(((Agenda!$E$5:$E$3004=A67)*((Agenda!$H$5:$H$3004="Agendado")+(Agenda!$H$5:$H$3004="Confirmado")))*Agenda!$A$5:$A$3004+(1-((Agenda!$E$5:$E$3004=A67)*((Agenda!$H$5:$H$3004="Agendado")+(Agenda!$H$5:$H$3004="Confirmado"))))*1E+10))))</f>
        <v>46300.0</v>
      </c>
    </row>
    <row r="68">
      <c r="A68" s="37" t="inlineStr">
        <is>
          <t>Isabela Xavier</t>
        </is>
      </c>
      <c r="B68" s="38" t="inlineStr">
        <is>
          <t>Particular</t>
        </is>
      </c>
      <c r="C68" s="38" t="inlineStr">
        <is>
          <t>Dra. Renata Sousa</t>
        </is>
      </c>
      <c r="D68" s="37" t="inlineStr">
        <is>
          <t>(11) 90000-0248</t>
        </is>
      </c>
      <c r="E68" s="37" t="n"/>
      <c r="F68" s="30">
        <f>IF(A68="","",COUNTIFS(Agenda!$E$5:$E$3004,A68,Agenda!$H$5:$H$3004,"Realizado"))</f>
        <v>5</v>
      </c>
      <c r="G68" s="30">
        <f>IF(A68="","",COUNTIFS(Agenda!$E$5:$E$3004,A68,Agenda!$H$5:$H$3004,"Falta"))</f>
        <v>0</v>
      </c>
      <c r="H68" s="34">
        <f>IF(A68="","",IF(SUMPRODUCT(MAX((Agenda!$E$5:$E$3004=A68)*(Agenda!$H$5:$H$3004="Realizado")*Agenda!$A$5:$A$3004))=0,"",SUMPRODUCT(MAX((Agenda!$E$5:$E$3004=A68)*(Agenda!$H$5:$H$3004="Realizado")*Agenda!$A$5:$A$3004))))</f>
        <v>46266.0</v>
      </c>
      <c r="I68" s="34">
        <f>IF(A68="","",IF(SUMPRODUCT(MIN(((Agenda!$E$5:$E$3004=A68)*((Agenda!$H$5:$H$3004="Agendado")+(Agenda!$H$5:$H$3004="Confirmado")))*Agenda!$A$5:$A$3004+(1-((Agenda!$E$5:$E$3004=A68)*((Agenda!$H$5:$H$3004="Agendado")+(Agenda!$H$5:$H$3004="Confirmado"))))*1E+10))&gt;=1E+10,"",SUMPRODUCT(MIN(((Agenda!$E$5:$E$3004=A68)*((Agenda!$H$5:$H$3004="Agendado")+(Agenda!$H$5:$H$3004="Confirmado")))*Agenda!$A$5:$A$3004+(1-((Agenda!$E$5:$E$3004=A68)*((Agenda!$H$5:$H$3004="Agendado")+(Agenda!$H$5:$H$3004="Confirmado"))))*1E+10))))</f>
        <v>46280.0</v>
      </c>
    </row>
    <row r="69">
      <c r="A69" s="37" t="inlineStr">
        <is>
          <t>Juliana Ribeiro</t>
        </is>
      </c>
      <c r="B69" s="38" t="inlineStr">
        <is>
          <t>Saúde Total</t>
        </is>
      </c>
      <c r="C69" s="38" t="inlineStr">
        <is>
          <t>Dra. Carolina Mendes</t>
        </is>
      </c>
      <c r="D69" s="37" t="inlineStr">
        <is>
          <t>(11) 90000-0121</t>
        </is>
      </c>
      <c r="E69" s="37" t="n"/>
      <c r="F69" s="30">
        <f>IF(A69="","",COUNTIFS(Agenda!$E$5:$E$3004,A69,Agenda!$H$5:$H$3004,"Realizado"))</f>
        <v>6</v>
      </c>
      <c r="G69" s="30">
        <f>IF(A69="","",COUNTIFS(Agenda!$E$5:$E$3004,A69,Agenda!$H$5:$H$3004,"Falta"))</f>
        <v>0</v>
      </c>
      <c r="H69" s="34">
        <f>IF(A69="","",IF(SUMPRODUCT(MAX((Agenda!$E$5:$E$3004=A69)*(Agenda!$H$5:$H$3004="Realizado")*Agenda!$A$5:$A$3004))=0,"",SUMPRODUCT(MAX((Agenda!$E$5:$E$3004=A69)*(Agenda!$H$5:$H$3004="Realizado")*Agenda!$A$5:$A$3004))))</f>
        <v>46266.0</v>
      </c>
      <c r="I69" s="34">
        <f>IF(A69="","",IF(SUMPRODUCT(MIN(((Agenda!$E$5:$E$3004=A69)*((Agenda!$H$5:$H$3004="Agendado")+(Agenda!$H$5:$H$3004="Confirmado")))*Agenda!$A$5:$A$3004+(1-((Agenda!$E$5:$E$3004=A69)*((Agenda!$H$5:$H$3004="Agendado")+(Agenda!$H$5:$H$3004="Confirmado"))))*1E+10))&gt;=1E+10,"",SUMPRODUCT(MIN(((Agenda!$E$5:$E$3004=A69)*((Agenda!$H$5:$H$3004="Agendado")+(Agenda!$H$5:$H$3004="Confirmado")))*Agenda!$A$5:$A$3004+(1-((Agenda!$E$5:$E$3004=A69)*((Agenda!$H$5:$H$3004="Agendado")+(Agenda!$H$5:$H$3004="Confirmado"))))*1E+10))))</f>
        <v/>
      </c>
    </row>
    <row r="70">
      <c r="A70" s="37" t="inlineStr">
        <is>
          <t>Juliana Silva</t>
        </is>
      </c>
      <c r="B70" s="38" t="inlineStr">
        <is>
          <t>Vida Care</t>
        </is>
      </c>
      <c r="C70" s="38" t="inlineStr">
        <is>
          <t>Dra. Carolina Mendes</t>
        </is>
      </c>
      <c r="D70" s="37" t="inlineStr">
        <is>
          <t>(11) 90000-0132</t>
        </is>
      </c>
      <c r="E70" s="37" t="n"/>
      <c r="F70" s="30">
        <f>IF(A70="","",COUNTIFS(Agenda!$E$5:$E$3004,A70,Agenda!$H$5:$H$3004,"Realizado"))</f>
        <v>6</v>
      </c>
      <c r="G70" s="30">
        <f>IF(A70="","",COUNTIFS(Agenda!$E$5:$E$3004,A70,Agenda!$H$5:$H$3004,"Falta"))</f>
        <v>0</v>
      </c>
      <c r="H70" s="34">
        <f>IF(A70="","",IF(SUMPRODUCT(MAX((Agenda!$E$5:$E$3004=A70)*(Agenda!$H$5:$H$3004="Realizado")*Agenda!$A$5:$A$3004))=0,"",SUMPRODUCT(MAX((Agenda!$E$5:$E$3004=A70)*(Agenda!$H$5:$H$3004="Realizado")*Agenda!$A$5:$A$3004))))</f>
        <v>46275.0</v>
      </c>
      <c r="I70" s="34">
        <f>IF(A70="","",IF(SUMPRODUCT(MIN(((Agenda!$E$5:$E$3004=A70)*((Agenda!$H$5:$H$3004="Agendado")+(Agenda!$H$5:$H$3004="Confirmado")))*Agenda!$A$5:$A$3004+(1-((Agenda!$E$5:$E$3004=A70)*((Agenda!$H$5:$H$3004="Agendado")+(Agenda!$H$5:$H$3004="Confirmado"))))*1E+10))&gt;=1E+10,"",SUMPRODUCT(MIN(((Agenda!$E$5:$E$3004=A70)*((Agenda!$H$5:$H$3004="Agendado")+(Agenda!$H$5:$H$3004="Confirmado")))*Agenda!$A$5:$A$3004+(1-((Agenda!$E$5:$E$3004=A70)*((Agenda!$H$5:$H$3004="Agendado")+(Agenda!$H$5:$H$3004="Confirmado"))))*1E+10))))</f>
        <v>46279.0</v>
      </c>
    </row>
    <row r="71">
      <c r="A71" s="37" t="inlineStr">
        <is>
          <t>Larissa Costa</t>
        </is>
      </c>
      <c r="B71" s="38" t="inlineStr">
        <is>
          <t>Particular</t>
        </is>
      </c>
      <c r="C71" s="38" t="inlineStr">
        <is>
          <t>Dra. Carolina Mendes</t>
        </is>
      </c>
      <c r="D71" s="37" t="inlineStr">
        <is>
          <t>(11) 90000-0101</t>
        </is>
      </c>
      <c r="E71" s="37" t="n"/>
      <c r="F71" s="30">
        <f>IF(A71="","",COUNTIFS(Agenda!$E$5:$E$3004,A71,Agenda!$H$5:$H$3004,"Realizado"))</f>
        <v>7</v>
      </c>
      <c r="G71" s="30">
        <f>IF(A71="","",COUNTIFS(Agenda!$E$5:$E$3004,A71,Agenda!$H$5:$H$3004,"Falta"))</f>
        <v>0</v>
      </c>
      <c r="H71" s="34">
        <f>IF(A71="","",IF(SUMPRODUCT(MAX((Agenda!$E$5:$E$3004=A71)*(Agenda!$H$5:$H$3004="Realizado")*Agenda!$A$5:$A$3004))=0,"",SUMPRODUCT(MAX((Agenda!$E$5:$E$3004=A71)*(Agenda!$H$5:$H$3004="Realizado")*Agenda!$A$5:$A$3004))))</f>
        <v>46275.0</v>
      </c>
      <c r="I71" s="34">
        <f>IF(A71="","",IF(SUMPRODUCT(MIN(((Agenda!$E$5:$E$3004=A71)*((Agenda!$H$5:$H$3004="Agendado")+(Agenda!$H$5:$H$3004="Confirmado")))*Agenda!$A$5:$A$3004+(1-((Agenda!$E$5:$E$3004=A71)*((Agenda!$H$5:$H$3004="Agendado")+(Agenda!$H$5:$H$3004="Confirmado"))))*1E+10))&gt;=1E+10,"",SUMPRODUCT(MIN(((Agenda!$E$5:$E$3004=A71)*((Agenda!$H$5:$H$3004="Agendado")+(Agenda!$H$5:$H$3004="Confirmado")))*Agenda!$A$5:$A$3004+(1-((Agenda!$E$5:$E$3004=A71)*((Agenda!$H$5:$H$3004="Agendado")+(Agenda!$H$5:$H$3004="Confirmado"))))*1E+10))))</f>
        <v>46282.0</v>
      </c>
    </row>
    <row r="72">
      <c r="A72" s="37" t="inlineStr">
        <is>
          <t>Leandro Cardoso</t>
        </is>
      </c>
      <c r="B72" s="38" t="inlineStr">
        <is>
          <t>MediPlan</t>
        </is>
      </c>
      <c r="C72" s="38" t="inlineStr">
        <is>
          <t>Dr. Paulo Andrade</t>
        </is>
      </c>
      <c r="D72" s="37" t="inlineStr">
        <is>
          <t>(11) 90000-0188</t>
        </is>
      </c>
      <c r="E72" s="37" t="n"/>
      <c r="F72" s="30">
        <f>IF(A72="","",COUNTIFS(Agenda!$E$5:$E$3004,A72,Agenda!$H$5:$H$3004,"Realizado"))</f>
        <v>7</v>
      </c>
      <c r="G72" s="30">
        <f>IF(A72="","",COUNTIFS(Agenda!$E$5:$E$3004,A72,Agenda!$H$5:$H$3004,"Falta"))</f>
        <v>0</v>
      </c>
      <c r="H72" s="34">
        <f>IF(A72="","",IF(SUMPRODUCT(MAX((Agenda!$E$5:$E$3004=A72)*(Agenda!$H$5:$H$3004="Realizado")*Agenda!$A$5:$A$3004))=0,"",SUMPRODUCT(MAX((Agenda!$E$5:$E$3004=A72)*(Agenda!$H$5:$H$3004="Realizado")*Agenda!$A$5:$A$3004))))</f>
        <v>46265.0</v>
      </c>
      <c r="I72" s="34">
        <f>IF(A72="","",IF(SUMPRODUCT(MIN(((Agenda!$E$5:$E$3004=A72)*((Agenda!$H$5:$H$3004="Agendado")+(Agenda!$H$5:$H$3004="Confirmado")))*Agenda!$A$5:$A$3004+(1-((Agenda!$E$5:$E$3004=A72)*((Agenda!$H$5:$H$3004="Agendado")+(Agenda!$H$5:$H$3004="Confirmado"))))*1E+10))&gt;=1E+10,"",SUMPRODUCT(MIN(((Agenda!$E$5:$E$3004=A72)*((Agenda!$H$5:$H$3004="Agendado")+(Agenda!$H$5:$H$3004="Confirmado")))*Agenda!$A$5:$A$3004+(1-((Agenda!$E$5:$E$3004=A72)*((Agenda!$H$5:$H$3004="Agendado")+(Agenda!$H$5:$H$3004="Confirmado"))))*1E+10))))</f>
        <v>46283.0</v>
      </c>
    </row>
    <row r="73">
      <c r="A73" s="37" t="inlineStr">
        <is>
          <t>Leandro Ferreira</t>
        </is>
      </c>
      <c r="B73" s="38" t="inlineStr">
        <is>
          <t>Saúde Total</t>
        </is>
      </c>
      <c r="C73" s="38" t="inlineStr">
        <is>
          <t>Dr. Paulo Andrade</t>
        </is>
      </c>
      <c r="D73" s="37" t="inlineStr">
        <is>
          <t>(11) 90000-0173</t>
        </is>
      </c>
      <c r="E73" s="37" t="n"/>
      <c r="F73" s="30">
        <f>IF(A73="","",COUNTIFS(Agenda!$E$5:$E$3004,A73,Agenda!$H$5:$H$3004,"Realizado"))</f>
        <v>3</v>
      </c>
      <c r="G73" s="30">
        <f>IF(A73="","",COUNTIFS(Agenda!$E$5:$E$3004,A73,Agenda!$H$5:$H$3004,"Falta"))</f>
        <v>1</v>
      </c>
      <c r="H73" s="34">
        <f>IF(A73="","",IF(SUMPRODUCT(MAX((Agenda!$E$5:$E$3004=A73)*(Agenda!$H$5:$H$3004="Realizado")*Agenda!$A$5:$A$3004))=0,"",SUMPRODUCT(MAX((Agenda!$E$5:$E$3004=A73)*(Agenda!$H$5:$H$3004="Realizado")*Agenda!$A$5:$A$3004))))</f>
        <v>46212.0</v>
      </c>
      <c r="I73" s="34">
        <f>IF(A73="","",IF(SUMPRODUCT(MIN(((Agenda!$E$5:$E$3004=A73)*((Agenda!$H$5:$H$3004="Agendado")+(Agenda!$H$5:$H$3004="Confirmado")))*Agenda!$A$5:$A$3004+(1-((Agenda!$E$5:$E$3004=A73)*((Agenda!$H$5:$H$3004="Agendado")+(Agenda!$H$5:$H$3004="Confirmado"))))*1E+10))&gt;=1E+10,"",SUMPRODUCT(MIN(((Agenda!$E$5:$E$3004=A73)*((Agenda!$H$5:$H$3004="Agendado")+(Agenda!$H$5:$H$3004="Confirmado")))*Agenda!$A$5:$A$3004+(1-((Agenda!$E$5:$E$3004=A73)*((Agenda!$H$5:$H$3004="Agendado")+(Agenda!$H$5:$H$3004="Confirmado"))))*1E+10))))</f>
        <v>46296.0</v>
      </c>
    </row>
    <row r="74">
      <c r="A74" s="37" t="inlineStr">
        <is>
          <t>Leandro Gomes</t>
        </is>
      </c>
      <c r="B74" s="38" t="inlineStr">
        <is>
          <t>Saúde Total</t>
        </is>
      </c>
      <c r="C74" s="38" t="inlineStr">
        <is>
          <t>Dra. Carolina Mendes</t>
        </is>
      </c>
      <c r="D74" s="37" t="inlineStr">
        <is>
          <t>(11) 90000-0164</t>
        </is>
      </c>
      <c r="E74" s="37" t="n"/>
      <c r="F74" s="30">
        <f>IF(A74="","",COUNTIFS(Agenda!$E$5:$E$3004,A74,Agenda!$H$5:$H$3004,"Realizado"))</f>
        <v>3</v>
      </c>
      <c r="G74" s="30">
        <f>IF(A74="","",COUNTIFS(Agenda!$E$5:$E$3004,A74,Agenda!$H$5:$H$3004,"Falta"))</f>
        <v>1</v>
      </c>
      <c r="H74" s="34">
        <f>IF(A74="","",IF(SUMPRODUCT(MAX((Agenda!$E$5:$E$3004=A74)*(Agenda!$H$5:$H$3004="Realizado")*Agenda!$A$5:$A$3004))=0,"",SUMPRODUCT(MAX((Agenda!$E$5:$E$3004=A74)*(Agenda!$H$5:$H$3004="Realizado")*Agenda!$A$5:$A$3004))))</f>
        <v>46247.0</v>
      </c>
      <c r="I74" s="34">
        <f>IF(A74="","",IF(SUMPRODUCT(MIN(((Agenda!$E$5:$E$3004=A74)*((Agenda!$H$5:$H$3004="Agendado")+(Agenda!$H$5:$H$3004="Confirmado")))*Agenda!$A$5:$A$3004+(1-((Agenda!$E$5:$E$3004=A74)*((Agenda!$H$5:$H$3004="Agendado")+(Agenda!$H$5:$H$3004="Confirmado"))))*1E+10))&gt;=1E+10,"",SUMPRODUCT(MIN(((Agenda!$E$5:$E$3004=A74)*((Agenda!$H$5:$H$3004="Agendado")+(Agenda!$H$5:$H$3004="Confirmado")))*Agenda!$A$5:$A$3004+(1-((Agenda!$E$5:$E$3004=A74)*((Agenda!$H$5:$H$3004="Agendado")+(Agenda!$H$5:$H$3004="Confirmado"))))*1E+10))))</f>
        <v>46300.0</v>
      </c>
    </row>
    <row r="75">
      <c r="A75" s="37" t="inlineStr">
        <is>
          <t>Leandro Oliveira</t>
        </is>
      </c>
      <c r="B75" s="38" t="inlineStr">
        <is>
          <t>Particular</t>
        </is>
      </c>
      <c r="C75" s="38" t="inlineStr">
        <is>
          <t>Dra. Carolina Mendes</t>
        </is>
      </c>
      <c r="D75" s="37" t="inlineStr">
        <is>
          <t>(11) 90000-0122</t>
        </is>
      </c>
      <c r="E75" s="37" t="n"/>
      <c r="F75" s="30">
        <f>IF(A75="","",COUNTIFS(Agenda!$E$5:$E$3004,A75,Agenda!$H$5:$H$3004,"Realizado"))</f>
        <v>5</v>
      </c>
      <c r="G75" s="30">
        <f>IF(A75="","",COUNTIFS(Agenda!$E$5:$E$3004,A75,Agenda!$H$5:$H$3004,"Falta"))</f>
        <v>0</v>
      </c>
      <c r="H75" s="34">
        <f>IF(A75="","",IF(SUMPRODUCT(MAX((Agenda!$E$5:$E$3004=A75)*(Agenda!$H$5:$H$3004="Realizado")*Agenda!$A$5:$A$3004))=0,"",SUMPRODUCT(MAX((Agenda!$E$5:$E$3004=A75)*(Agenda!$H$5:$H$3004="Realizado")*Agenda!$A$5:$A$3004))))</f>
        <v>46202.0</v>
      </c>
      <c r="I75" s="34">
        <f>IF(A75="","",IF(SUMPRODUCT(MIN(((Agenda!$E$5:$E$3004=A75)*((Agenda!$H$5:$H$3004="Agendado")+(Agenda!$H$5:$H$3004="Confirmado")))*Agenda!$A$5:$A$3004+(1-((Agenda!$E$5:$E$3004=A75)*((Agenda!$H$5:$H$3004="Agendado")+(Agenda!$H$5:$H$3004="Confirmado"))))*1E+10))&gt;=1E+10,"",SUMPRODUCT(MIN(((Agenda!$E$5:$E$3004=A75)*((Agenda!$H$5:$H$3004="Agendado")+(Agenda!$H$5:$H$3004="Confirmado")))*Agenda!$A$5:$A$3004+(1-((Agenda!$E$5:$E$3004=A75)*((Agenda!$H$5:$H$3004="Agendado")+(Agenda!$H$5:$H$3004="Confirmado"))))*1E+10))))</f>
        <v>46287.0</v>
      </c>
    </row>
    <row r="76">
      <c r="A76" s="37" t="inlineStr">
        <is>
          <t>Letícia Vieira</t>
        </is>
      </c>
      <c r="B76" s="38" t="inlineStr">
        <is>
          <t>Saúde Total</t>
        </is>
      </c>
      <c r="C76" s="38" t="inlineStr">
        <is>
          <t>Dra. Carolina Mendes</t>
        </is>
      </c>
      <c r="D76" s="37" t="inlineStr">
        <is>
          <t>(11) 90000-0128</t>
        </is>
      </c>
      <c r="E76" s="37" t="n"/>
      <c r="F76" s="30">
        <f>IF(A76="","",COUNTIFS(Agenda!$E$5:$E$3004,A76,Agenda!$H$5:$H$3004,"Realizado"))</f>
        <v>7</v>
      </c>
      <c r="G76" s="30">
        <f>IF(A76="","",COUNTIFS(Agenda!$E$5:$E$3004,A76,Agenda!$H$5:$H$3004,"Falta"))</f>
        <v>0</v>
      </c>
      <c r="H76" s="34">
        <f>IF(A76="","",IF(SUMPRODUCT(MAX((Agenda!$E$5:$E$3004=A76)*(Agenda!$H$5:$H$3004="Realizado")*Agenda!$A$5:$A$3004))=0,"",SUMPRODUCT(MAX((Agenda!$E$5:$E$3004=A76)*(Agenda!$H$5:$H$3004="Realizado")*Agenda!$A$5:$A$3004))))</f>
        <v>46251.0</v>
      </c>
      <c r="I76" s="34">
        <f>IF(A76="","",IF(SUMPRODUCT(MIN(((Agenda!$E$5:$E$3004=A76)*((Agenda!$H$5:$H$3004="Agendado")+(Agenda!$H$5:$H$3004="Confirmado")))*Agenda!$A$5:$A$3004+(1-((Agenda!$E$5:$E$3004=A76)*((Agenda!$H$5:$H$3004="Agendado")+(Agenda!$H$5:$H$3004="Confirmado"))))*1E+10))&gt;=1E+10,"",SUMPRODUCT(MIN(((Agenda!$E$5:$E$3004=A76)*((Agenda!$H$5:$H$3004="Agendado")+(Agenda!$H$5:$H$3004="Confirmado")))*Agenda!$A$5:$A$3004+(1-((Agenda!$E$5:$E$3004=A76)*((Agenda!$H$5:$H$3004="Agendado")+(Agenda!$H$5:$H$3004="Confirmado"))))*1E+10))))</f>
        <v>46280.0</v>
      </c>
    </row>
    <row r="77">
      <c r="A77" s="37" t="inlineStr">
        <is>
          <t>Lucas Cardoso</t>
        </is>
      </c>
      <c r="B77" s="38" t="inlineStr">
        <is>
          <t>Particular</t>
        </is>
      </c>
      <c r="C77" s="38" t="inlineStr">
        <is>
          <t>Dr. Paulo Andrade</t>
        </is>
      </c>
      <c r="D77" s="37" t="inlineStr">
        <is>
          <t>(11) 90000-0180</t>
        </is>
      </c>
      <c r="E77" s="37" t="n"/>
      <c r="F77" s="30">
        <f>IF(A77="","",COUNTIFS(Agenda!$E$5:$E$3004,A77,Agenda!$H$5:$H$3004,"Realizado"))</f>
        <v>6</v>
      </c>
      <c r="G77" s="30">
        <f>IF(A77="","",COUNTIFS(Agenda!$E$5:$E$3004,A77,Agenda!$H$5:$H$3004,"Falta"))</f>
        <v>1</v>
      </c>
      <c r="H77" s="34">
        <f>IF(A77="","",IF(SUMPRODUCT(MAX((Agenda!$E$5:$E$3004=A77)*(Agenda!$H$5:$H$3004="Realizado")*Agenda!$A$5:$A$3004))=0,"",SUMPRODUCT(MAX((Agenda!$E$5:$E$3004=A77)*(Agenda!$H$5:$H$3004="Realizado")*Agenda!$A$5:$A$3004))))</f>
        <v>46259.0</v>
      </c>
      <c r="I77" s="34">
        <f>IF(A77="","",IF(SUMPRODUCT(MIN(((Agenda!$E$5:$E$3004=A77)*((Agenda!$H$5:$H$3004="Agendado")+(Agenda!$H$5:$H$3004="Confirmado")))*Agenda!$A$5:$A$3004+(1-((Agenda!$E$5:$E$3004=A77)*((Agenda!$H$5:$H$3004="Agendado")+(Agenda!$H$5:$H$3004="Confirmado"))))*1E+10))&gt;=1E+10,"",SUMPRODUCT(MIN(((Agenda!$E$5:$E$3004=A77)*((Agenda!$H$5:$H$3004="Agendado")+(Agenda!$H$5:$H$3004="Confirmado")))*Agenda!$A$5:$A$3004+(1-((Agenda!$E$5:$E$3004=A77)*((Agenda!$H$5:$H$3004="Agendado")+(Agenda!$H$5:$H$3004="Confirmado"))))*1E+10))))</f>
        <v>46280.0</v>
      </c>
    </row>
    <row r="78">
      <c r="A78" s="37" t="inlineStr">
        <is>
          <t>Lucas Lopes</t>
        </is>
      </c>
      <c r="B78" s="38" t="inlineStr">
        <is>
          <t>Particular</t>
        </is>
      </c>
      <c r="C78" s="38" t="inlineStr">
        <is>
          <t>Dra. Carolina Mendes</t>
        </is>
      </c>
      <c r="D78" s="37" t="inlineStr">
        <is>
          <t>(11) 90000-0119</t>
        </is>
      </c>
      <c r="E78" s="37" t="n"/>
      <c r="F78" s="30">
        <f>IF(A78="","",COUNTIFS(Agenda!$E$5:$E$3004,A78,Agenda!$H$5:$H$3004,"Realizado"))</f>
        <v>8</v>
      </c>
      <c r="G78" s="30">
        <f>IF(A78="","",COUNTIFS(Agenda!$E$5:$E$3004,A78,Agenda!$H$5:$H$3004,"Falta"))</f>
        <v>1</v>
      </c>
      <c r="H78" s="34">
        <f>IF(A78="","",IF(SUMPRODUCT(MAX((Agenda!$E$5:$E$3004=A78)*(Agenda!$H$5:$H$3004="Realizado")*Agenda!$A$5:$A$3004))=0,"",SUMPRODUCT(MAX((Agenda!$E$5:$E$3004=A78)*(Agenda!$H$5:$H$3004="Realizado")*Agenda!$A$5:$A$3004))))</f>
        <v>46231.0</v>
      </c>
      <c r="I78" s="34">
        <f>IF(A78="","",IF(SUMPRODUCT(MIN(((Agenda!$E$5:$E$3004=A78)*((Agenda!$H$5:$H$3004="Agendado")+(Agenda!$H$5:$H$3004="Confirmado")))*Agenda!$A$5:$A$3004+(1-((Agenda!$E$5:$E$3004=A78)*((Agenda!$H$5:$H$3004="Agendado")+(Agenda!$H$5:$H$3004="Confirmado"))))*1E+10))&gt;=1E+10,"",SUMPRODUCT(MIN(((Agenda!$E$5:$E$3004=A78)*((Agenda!$H$5:$H$3004="Agendado")+(Agenda!$H$5:$H$3004="Confirmado")))*Agenda!$A$5:$A$3004+(1-((Agenda!$E$5:$E$3004=A78)*((Agenda!$H$5:$H$3004="Agendado")+(Agenda!$H$5:$H$3004="Confirmado"))))*1E+10))))</f>
        <v>46296.0</v>
      </c>
    </row>
    <row r="79">
      <c r="A79" s="37" t="inlineStr">
        <is>
          <t>Lucas Xavier</t>
        </is>
      </c>
      <c r="B79" s="38" t="inlineStr">
        <is>
          <t>Saúde Total</t>
        </is>
      </c>
      <c r="C79" s="38" t="inlineStr">
        <is>
          <t>Dra. Carolina Mendes</t>
        </is>
      </c>
      <c r="D79" s="37" t="inlineStr">
        <is>
          <t>(11) 90000-0148</t>
        </is>
      </c>
      <c r="E79" s="37" t="n"/>
      <c r="F79" s="30">
        <f>IF(A79="","",COUNTIFS(Agenda!$E$5:$E$3004,A79,Agenda!$H$5:$H$3004,"Realizado"))</f>
        <v>4</v>
      </c>
      <c r="G79" s="30">
        <f>IF(A79="","",COUNTIFS(Agenda!$E$5:$E$3004,A79,Agenda!$H$5:$H$3004,"Falta"))</f>
        <v>1</v>
      </c>
      <c r="H79" s="34">
        <f>IF(A79="","",IF(SUMPRODUCT(MAX((Agenda!$E$5:$E$3004=A79)*(Agenda!$H$5:$H$3004="Realizado")*Agenda!$A$5:$A$3004))=0,"",SUMPRODUCT(MAX((Agenda!$E$5:$E$3004=A79)*(Agenda!$H$5:$H$3004="Realizado")*Agenda!$A$5:$A$3004))))</f>
        <v>46265.0</v>
      </c>
      <c r="I79" s="34">
        <f>IF(A79="","",IF(SUMPRODUCT(MIN(((Agenda!$E$5:$E$3004=A79)*((Agenda!$H$5:$H$3004="Agendado")+(Agenda!$H$5:$H$3004="Confirmado")))*Agenda!$A$5:$A$3004+(1-((Agenda!$E$5:$E$3004=A79)*((Agenda!$H$5:$H$3004="Agendado")+(Agenda!$H$5:$H$3004="Confirmado"))))*1E+10))&gt;=1E+10,"",SUMPRODUCT(MIN(((Agenda!$E$5:$E$3004=A79)*((Agenda!$H$5:$H$3004="Agendado")+(Agenda!$H$5:$H$3004="Confirmado")))*Agenda!$A$5:$A$3004+(1-((Agenda!$E$5:$E$3004=A79)*((Agenda!$H$5:$H$3004="Agendado")+(Agenda!$H$5:$H$3004="Confirmado"))))*1E+10))))</f>
        <v/>
      </c>
    </row>
    <row r="80">
      <c r="A80" s="37" t="inlineStr">
        <is>
          <t>Marcelo Ferreira</t>
        </is>
      </c>
      <c r="B80" s="38" t="inlineStr">
        <is>
          <t>Particular</t>
        </is>
      </c>
      <c r="C80" s="38" t="inlineStr">
        <is>
          <t>Dr. Paulo Andrade</t>
        </is>
      </c>
      <c r="D80" s="37" t="inlineStr">
        <is>
          <t>(11) 90000-0175</t>
        </is>
      </c>
      <c r="E80" s="37" t="n"/>
      <c r="F80" s="30">
        <f>IF(A80="","",COUNTIFS(Agenda!$E$5:$E$3004,A80,Agenda!$H$5:$H$3004,"Realizado"))</f>
        <v>7</v>
      </c>
      <c r="G80" s="30">
        <f>IF(A80="","",COUNTIFS(Agenda!$E$5:$E$3004,A80,Agenda!$H$5:$H$3004,"Falta"))</f>
        <v>0</v>
      </c>
      <c r="H80" s="34">
        <f>IF(A80="","",IF(SUMPRODUCT(MAX((Agenda!$E$5:$E$3004=A80)*(Agenda!$H$5:$H$3004="Realizado")*Agenda!$A$5:$A$3004))=0,"",SUMPRODUCT(MAX((Agenda!$E$5:$E$3004=A80)*(Agenda!$H$5:$H$3004="Realizado")*Agenda!$A$5:$A$3004))))</f>
        <v>46265.0</v>
      </c>
      <c r="I80" s="34">
        <f>IF(A80="","",IF(SUMPRODUCT(MIN(((Agenda!$E$5:$E$3004=A80)*((Agenda!$H$5:$H$3004="Agendado")+(Agenda!$H$5:$H$3004="Confirmado")))*Agenda!$A$5:$A$3004+(1-((Agenda!$E$5:$E$3004=A80)*((Agenda!$H$5:$H$3004="Agendado")+(Agenda!$H$5:$H$3004="Confirmado"))))*1E+10))&gt;=1E+10,"",SUMPRODUCT(MIN(((Agenda!$E$5:$E$3004=A80)*((Agenda!$H$5:$H$3004="Agendado")+(Agenda!$H$5:$H$3004="Confirmado")))*Agenda!$A$5:$A$3004+(1-((Agenda!$E$5:$E$3004=A80)*((Agenda!$H$5:$H$3004="Agendado")+(Agenda!$H$5:$H$3004="Confirmado"))))*1E+10))))</f>
        <v>46283.0</v>
      </c>
    </row>
    <row r="81">
      <c r="A81" s="37" t="inlineStr">
        <is>
          <t>Marcelo Moreira</t>
        </is>
      </c>
      <c r="B81" s="38" t="inlineStr">
        <is>
          <t>Particular</t>
        </is>
      </c>
      <c r="C81" s="38" t="inlineStr">
        <is>
          <t>Dra. Carolina Mendes</t>
        </is>
      </c>
      <c r="D81" s="37" t="inlineStr">
        <is>
          <t>(11) 90000-0152</t>
        </is>
      </c>
      <c r="E81" s="37" t="n"/>
      <c r="F81" s="30">
        <f>IF(A81="","",COUNTIFS(Agenda!$E$5:$E$3004,A81,Agenda!$H$5:$H$3004,"Realizado"))</f>
        <v>3</v>
      </c>
      <c r="G81" s="30">
        <f>IF(A81="","",COUNTIFS(Agenda!$E$5:$E$3004,A81,Agenda!$H$5:$H$3004,"Falta"))</f>
        <v>0</v>
      </c>
      <c r="H81" s="34">
        <f>IF(A81="","",IF(SUMPRODUCT(MAX((Agenda!$E$5:$E$3004=A81)*(Agenda!$H$5:$H$3004="Realizado")*Agenda!$A$5:$A$3004))=0,"",SUMPRODUCT(MAX((Agenda!$E$5:$E$3004=A81)*(Agenda!$H$5:$H$3004="Realizado")*Agenda!$A$5:$A$3004))))</f>
        <v>46244.0</v>
      </c>
      <c r="I81" s="34">
        <f>IF(A81="","",IF(SUMPRODUCT(MIN(((Agenda!$E$5:$E$3004=A81)*((Agenda!$H$5:$H$3004="Agendado")+(Agenda!$H$5:$H$3004="Confirmado")))*Agenda!$A$5:$A$3004+(1-((Agenda!$E$5:$E$3004=A81)*((Agenda!$H$5:$H$3004="Agendado")+(Agenda!$H$5:$H$3004="Confirmado"))))*1E+10))&gt;=1E+10,"",SUMPRODUCT(MIN(((Agenda!$E$5:$E$3004=A81)*((Agenda!$H$5:$H$3004="Agendado")+(Agenda!$H$5:$H$3004="Confirmado")))*Agenda!$A$5:$A$3004+(1-((Agenda!$E$5:$E$3004=A81)*((Agenda!$H$5:$H$3004="Agendado")+(Agenda!$H$5:$H$3004="Confirmado"))))*1E+10))))</f>
        <v/>
      </c>
    </row>
    <row r="82">
      <c r="A82" s="37" t="inlineStr">
        <is>
          <t>Marcelo Santos</t>
        </is>
      </c>
      <c r="B82" s="38" t="inlineStr">
        <is>
          <t>Particular</t>
        </is>
      </c>
      <c r="C82" s="38" t="inlineStr">
        <is>
          <t>Dra. Carolina Mendes</t>
        </is>
      </c>
      <c r="D82" s="37" t="inlineStr">
        <is>
          <t>(11) 90000-0140</t>
        </is>
      </c>
      <c r="E82" s="37" t="n"/>
      <c r="F82" s="30">
        <f>IF(A82="","",COUNTIFS(Agenda!$E$5:$E$3004,A82,Agenda!$H$5:$H$3004,"Realizado"))</f>
        <v>10</v>
      </c>
      <c r="G82" s="30">
        <f>IF(A82="","",COUNTIFS(Agenda!$E$5:$E$3004,A82,Agenda!$H$5:$H$3004,"Falta"))</f>
        <v>1</v>
      </c>
      <c r="H82" s="34">
        <f>IF(A82="","",IF(SUMPRODUCT(MAX((Agenda!$E$5:$E$3004=A82)*(Agenda!$H$5:$H$3004="Realizado")*Agenda!$A$5:$A$3004))=0,"",SUMPRODUCT(MAX((Agenda!$E$5:$E$3004=A82)*(Agenda!$H$5:$H$3004="Realizado")*Agenda!$A$5:$A$3004))))</f>
        <v>46268.0</v>
      </c>
      <c r="I82" s="34">
        <f>IF(A82="","",IF(SUMPRODUCT(MIN(((Agenda!$E$5:$E$3004=A82)*((Agenda!$H$5:$H$3004="Agendado")+(Agenda!$H$5:$H$3004="Confirmado")))*Agenda!$A$5:$A$3004+(1-((Agenda!$E$5:$E$3004=A82)*((Agenda!$H$5:$H$3004="Agendado")+(Agenda!$H$5:$H$3004="Confirmado"))))*1E+10))&gt;=1E+10,"",SUMPRODUCT(MIN(((Agenda!$E$5:$E$3004=A82)*((Agenda!$H$5:$H$3004="Agendado")+(Agenda!$H$5:$H$3004="Confirmado")))*Agenda!$A$5:$A$3004+(1-((Agenda!$E$5:$E$3004=A82)*((Agenda!$H$5:$H$3004="Agendado")+(Agenda!$H$5:$H$3004="Confirmado"))))*1E+10))))</f>
        <v>46279.0</v>
      </c>
    </row>
    <row r="83">
      <c r="A83" s="37" t="inlineStr">
        <is>
          <t>Mariana Gomes</t>
        </is>
      </c>
      <c r="B83" s="38" t="inlineStr">
        <is>
          <t>Particular</t>
        </is>
      </c>
      <c r="C83" s="38" t="inlineStr">
        <is>
          <t>Dra. Renata Sousa</t>
        </is>
      </c>
      <c r="D83" s="37" t="inlineStr">
        <is>
          <t>(11) 90000-0238</t>
        </is>
      </c>
      <c r="E83" s="37" t="n"/>
      <c r="F83" s="30">
        <f>IF(A83="","",COUNTIFS(Agenda!$E$5:$E$3004,A83,Agenda!$H$5:$H$3004,"Realizado"))</f>
        <v>3</v>
      </c>
      <c r="G83" s="30">
        <f>IF(A83="","",COUNTIFS(Agenda!$E$5:$E$3004,A83,Agenda!$H$5:$H$3004,"Falta"))</f>
        <v>0</v>
      </c>
      <c r="H83" s="34">
        <f>IF(A83="","",IF(SUMPRODUCT(MAX((Agenda!$E$5:$E$3004=A83)*(Agenda!$H$5:$H$3004="Realizado")*Agenda!$A$5:$A$3004))=0,"",SUMPRODUCT(MAX((Agenda!$E$5:$E$3004=A83)*(Agenda!$H$5:$H$3004="Realizado")*Agenda!$A$5:$A$3004))))</f>
        <v>46196.0</v>
      </c>
      <c r="I83" s="34">
        <f>IF(A83="","",IF(SUMPRODUCT(MIN(((Agenda!$E$5:$E$3004=A83)*((Agenda!$H$5:$H$3004="Agendado")+(Agenda!$H$5:$H$3004="Confirmado")))*Agenda!$A$5:$A$3004+(1-((Agenda!$E$5:$E$3004=A83)*((Agenda!$H$5:$H$3004="Agendado")+(Agenda!$H$5:$H$3004="Confirmado"))))*1E+10))&gt;=1E+10,"",SUMPRODUCT(MIN(((Agenda!$E$5:$E$3004=A83)*((Agenda!$H$5:$H$3004="Agendado")+(Agenda!$H$5:$H$3004="Confirmado")))*Agenda!$A$5:$A$3004+(1-((Agenda!$E$5:$E$3004=A83)*((Agenda!$H$5:$H$3004="Agendado")+(Agenda!$H$5:$H$3004="Confirmado"))))*1E+10))))</f>
        <v>46296.0</v>
      </c>
    </row>
    <row r="84">
      <c r="A84" s="37" t="inlineStr">
        <is>
          <t>Mariana Nascimento</t>
        </is>
      </c>
      <c r="B84" s="38" t="inlineStr">
        <is>
          <t>Particular</t>
        </is>
      </c>
      <c r="C84" s="38" t="inlineStr">
        <is>
          <t>Dra. Carolina Mendes</t>
        </is>
      </c>
      <c r="D84" s="37" t="inlineStr">
        <is>
          <t>(11) 90000-0105</t>
        </is>
      </c>
      <c r="E84" s="37" t="n"/>
      <c r="F84" s="30">
        <f>IF(A84="","",COUNTIFS(Agenda!$E$5:$E$3004,A84,Agenda!$H$5:$H$3004,"Realizado"))</f>
        <v>12</v>
      </c>
      <c r="G84" s="30">
        <f>IF(A84="","",COUNTIFS(Agenda!$E$5:$E$3004,A84,Agenda!$H$5:$H$3004,"Falta"))</f>
        <v>3</v>
      </c>
      <c r="H84" s="34">
        <f>IF(A84="","",IF(SUMPRODUCT(MAX((Agenda!$E$5:$E$3004=A84)*(Agenda!$H$5:$H$3004="Realizado")*Agenda!$A$5:$A$3004))=0,"",SUMPRODUCT(MAX((Agenda!$E$5:$E$3004=A84)*(Agenda!$H$5:$H$3004="Realizado")*Agenda!$A$5:$A$3004))))</f>
        <v>46273.0</v>
      </c>
      <c r="I84" s="34">
        <f>IF(A84="","",IF(SUMPRODUCT(MIN(((Agenda!$E$5:$E$3004=A84)*((Agenda!$H$5:$H$3004="Agendado")+(Agenda!$H$5:$H$3004="Confirmado")))*Agenda!$A$5:$A$3004+(1-((Agenda!$E$5:$E$3004=A84)*((Agenda!$H$5:$H$3004="Agendado")+(Agenda!$H$5:$H$3004="Confirmado"))))*1E+10))&gt;=1E+10,"",SUMPRODUCT(MIN(((Agenda!$E$5:$E$3004=A84)*((Agenda!$H$5:$H$3004="Agendado")+(Agenda!$H$5:$H$3004="Confirmado")))*Agenda!$A$5:$A$3004+(1-((Agenda!$E$5:$E$3004=A84)*((Agenda!$H$5:$H$3004="Agendado")+(Agenda!$H$5:$H$3004="Confirmado"))))*1E+10))))</f>
        <v>46279.0</v>
      </c>
    </row>
    <row r="85">
      <c r="A85" s="37" t="inlineStr">
        <is>
          <t>Mariana Reis</t>
        </is>
      </c>
      <c r="B85" s="38" t="inlineStr">
        <is>
          <t>Particular</t>
        </is>
      </c>
      <c r="C85" s="38" t="inlineStr">
        <is>
          <t>Dra. Renata Sousa</t>
        </is>
      </c>
      <c r="D85" s="37" t="inlineStr">
        <is>
          <t>(11) 90000-0229</t>
        </is>
      </c>
      <c r="E85" s="37" t="n"/>
      <c r="F85" s="30">
        <f>IF(A85="","",COUNTIFS(Agenda!$E$5:$E$3004,A85,Agenda!$H$5:$H$3004,"Realizado"))</f>
        <v>8</v>
      </c>
      <c r="G85" s="30">
        <f>IF(A85="","",COUNTIFS(Agenda!$E$5:$E$3004,A85,Agenda!$H$5:$H$3004,"Falta"))</f>
        <v>0</v>
      </c>
      <c r="H85" s="34">
        <f>IF(A85="","",IF(SUMPRODUCT(MAX((Agenda!$E$5:$E$3004=A85)*(Agenda!$H$5:$H$3004="Realizado")*Agenda!$A$5:$A$3004))=0,"",SUMPRODUCT(MAX((Agenda!$E$5:$E$3004=A85)*(Agenda!$H$5:$H$3004="Realizado")*Agenda!$A$5:$A$3004))))</f>
        <v>46266.0</v>
      </c>
      <c r="I85" s="34">
        <f>IF(A85="","",IF(SUMPRODUCT(MIN(((Agenda!$E$5:$E$3004=A85)*((Agenda!$H$5:$H$3004="Agendado")+(Agenda!$H$5:$H$3004="Confirmado")))*Agenda!$A$5:$A$3004+(1-((Agenda!$E$5:$E$3004=A85)*((Agenda!$H$5:$H$3004="Agendado")+(Agenda!$H$5:$H$3004="Confirmado"))))*1E+10))&gt;=1E+10,"",SUMPRODUCT(MIN(((Agenda!$E$5:$E$3004=A85)*((Agenda!$H$5:$H$3004="Agendado")+(Agenda!$H$5:$H$3004="Confirmado")))*Agenda!$A$5:$A$3004+(1-((Agenda!$E$5:$E$3004=A85)*((Agenda!$H$5:$H$3004="Agendado")+(Agenda!$H$5:$H$3004="Confirmado"))))*1E+10))))</f>
        <v/>
      </c>
    </row>
    <row r="86">
      <c r="A86" s="37" t="inlineStr">
        <is>
          <t>Mateus Dias</t>
        </is>
      </c>
      <c r="B86" s="38" t="inlineStr">
        <is>
          <t>Saúde Total</t>
        </is>
      </c>
      <c r="C86" s="38" t="inlineStr">
        <is>
          <t>Dr. Paulo Andrade</t>
        </is>
      </c>
      <c r="D86" s="37" t="inlineStr">
        <is>
          <t>(11) 90000-0206</t>
        </is>
      </c>
      <c r="E86" s="37" t="n"/>
      <c r="F86" s="30">
        <f>IF(A86="","",COUNTIFS(Agenda!$E$5:$E$3004,A86,Agenda!$H$5:$H$3004,"Realizado"))</f>
        <v>6</v>
      </c>
      <c r="G86" s="30">
        <f>IF(A86="","",COUNTIFS(Agenda!$E$5:$E$3004,A86,Agenda!$H$5:$H$3004,"Falta"))</f>
        <v>1</v>
      </c>
      <c r="H86" s="34">
        <f>IF(A86="","",IF(SUMPRODUCT(MAX((Agenda!$E$5:$E$3004=A86)*(Agenda!$H$5:$H$3004="Realizado")*Agenda!$A$5:$A$3004))=0,"",SUMPRODUCT(MAX((Agenda!$E$5:$E$3004=A86)*(Agenda!$H$5:$H$3004="Realizado")*Agenda!$A$5:$A$3004))))</f>
        <v>46266.0</v>
      </c>
      <c r="I86" s="34">
        <f>IF(A86="","",IF(SUMPRODUCT(MIN(((Agenda!$E$5:$E$3004=A86)*((Agenda!$H$5:$H$3004="Agendado")+(Agenda!$H$5:$H$3004="Confirmado")))*Agenda!$A$5:$A$3004+(1-((Agenda!$E$5:$E$3004=A86)*((Agenda!$H$5:$H$3004="Agendado")+(Agenda!$H$5:$H$3004="Confirmado"))))*1E+10))&gt;=1E+10,"",SUMPRODUCT(MIN(((Agenda!$E$5:$E$3004=A86)*((Agenda!$H$5:$H$3004="Agendado")+(Agenda!$H$5:$H$3004="Confirmado")))*Agenda!$A$5:$A$3004+(1-((Agenda!$E$5:$E$3004=A86)*((Agenda!$H$5:$H$3004="Agendado")+(Agenda!$H$5:$H$3004="Confirmado"))))*1E+10))))</f>
        <v>46289.0</v>
      </c>
    </row>
    <row r="87">
      <c r="A87" s="37" t="inlineStr">
        <is>
          <t>Mateus Lima</t>
        </is>
      </c>
      <c r="B87" s="38" t="inlineStr">
        <is>
          <t>MediPlan</t>
        </is>
      </c>
      <c r="C87" s="38" t="inlineStr">
        <is>
          <t>Dra. Carolina Mendes</t>
        </is>
      </c>
      <c r="D87" s="37" t="inlineStr">
        <is>
          <t>(11) 90000-0133</t>
        </is>
      </c>
      <c r="E87" s="37" t="n"/>
      <c r="F87" s="30">
        <f>IF(A87="","",COUNTIFS(Agenda!$E$5:$E$3004,A87,Agenda!$H$5:$H$3004,"Realizado"))</f>
        <v>6</v>
      </c>
      <c r="G87" s="30">
        <f>IF(A87="","",COUNTIFS(Agenda!$E$5:$E$3004,A87,Agenda!$H$5:$H$3004,"Falta"))</f>
        <v>1</v>
      </c>
      <c r="H87" s="34">
        <f>IF(A87="","",IF(SUMPRODUCT(MAX((Agenda!$E$5:$E$3004=A87)*(Agenda!$H$5:$H$3004="Realizado")*Agenda!$A$5:$A$3004))=0,"",SUMPRODUCT(MAX((Agenda!$E$5:$E$3004=A87)*(Agenda!$H$5:$H$3004="Realizado")*Agenda!$A$5:$A$3004))))</f>
        <v>46275.0</v>
      </c>
      <c r="I87" s="34">
        <f>IF(A87="","",IF(SUMPRODUCT(MIN(((Agenda!$E$5:$E$3004=A87)*((Agenda!$H$5:$H$3004="Agendado")+(Agenda!$H$5:$H$3004="Confirmado")))*Agenda!$A$5:$A$3004+(1-((Agenda!$E$5:$E$3004=A87)*((Agenda!$H$5:$H$3004="Agendado")+(Agenda!$H$5:$H$3004="Confirmado"))))*1E+10))&gt;=1E+10,"",SUMPRODUCT(MIN(((Agenda!$E$5:$E$3004=A87)*((Agenda!$H$5:$H$3004="Agendado")+(Agenda!$H$5:$H$3004="Confirmado")))*Agenda!$A$5:$A$3004+(1-((Agenda!$E$5:$E$3004=A87)*((Agenda!$H$5:$H$3004="Agendado")+(Agenda!$H$5:$H$3004="Confirmado"))))*1E+10))))</f>
        <v>46286.0</v>
      </c>
    </row>
    <row r="88">
      <c r="A88" s="37" t="inlineStr">
        <is>
          <t>Mateus Martins</t>
        </is>
      </c>
      <c r="B88" s="38" t="inlineStr">
        <is>
          <t>Vida Care</t>
        </is>
      </c>
      <c r="C88" s="38" t="inlineStr">
        <is>
          <t>Dr. Paulo Andrade</t>
        </is>
      </c>
      <c r="D88" s="37" t="inlineStr">
        <is>
          <t>(11) 90000-0179</t>
        </is>
      </c>
      <c r="E88" s="37" t="n"/>
      <c r="F88" s="30">
        <f>IF(A88="","",COUNTIFS(Agenda!$E$5:$E$3004,A88,Agenda!$H$5:$H$3004,"Realizado"))</f>
        <v>2</v>
      </c>
      <c r="G88" s="30">
        <f>IF(A88="","",COUNTIFS(Agenda!$E$5:$E$3004,A88,Agenda!$H$5:$H$3004,"Falta"))</f>
        <v>0</v>
      </c>
      <c r="H88" s="34">
        <f>IF(A88="","",IF(SUMPRODUCT(MAX((Agenda!$E$5:$E$3004=A88)*(Agenda!$H$5:$H$3004="Realizado")*Agenda!$A$5:$A$3004))=0,"",SUMPRODUCT(MAX((Agenda!$E$5:$E$3004=A88)*(Agenda!$H$5:$H$3004="Realizado")*Agenda!$A$5:$A$3004))))</f>
        <v>46262.0</v>
      </c>
      <c r="I88" s="34">
        <f>IF(A88="","",IF(SUMPRODUCT(MIN(((Agenda!$E$5:$E$3004=A88)*((Agenda!$H$5:$H$3004="Agendado")+(Agenda!$H$5:$H$3004="Confirmado")))*Agenda!$A$5:$A$3004+(1-((Agenda!$E$5:$E$3004=A88)*((Agenda!$H$5:$H$3004="Agendado")+(Agenda!$H$5:$H$3004="Confirmado"))))*1E+10))&gt;=1E+10,"",SUMPRODUCT(MIN(((Agenda!$E$5:$E$3004=A88)*((Agenda!$H$5:$H$3004="Agendado")+(Agenda!$H$5:$H$3004="Confirmado")))*Agenda!$A$5:$A$3004+(1-((Agenda!$E$5:$E$3004=A88)*((Agenda!$H$5:$H$3004="Agendado")+(Agenda!$H$5:$H$3004="Confirmado"))))*1E+10))))</f>
        <v>46279.0</v>
      </c>
    </row>
    <row r="89">
      <c r="A89" s="37" t="inlineStr">
        <is>
          <t>Márcia Duarte</t>
        </is>
      </c>
      <c r="B89" s="38" t="inlineStr">
        <is>
          <t>Particular</t>
        </is>
      </c>
      <c r="C89" s="38" t="inlineStr">
        <is>
          <t>Dra. Renata Sousa</t>
        </is>
      </c>
      <c r="D89" s="37" t="inlineStr">
        <is>
          <t>(11) 90000-0230</t>
        </is>
      </c>
      <c r="E89" s="37" t="n"/>
      <c r="F89" s="30">
        <f>IF(A89="","",COUNTIFS(Agenda!$E$5:$E$3004,A89,Agenda!$H$5:$H$3004,"Realizado"))</f>
        <v>5</v>
      </c>
      <c r="G89" s="30">
        <f>IF(A89="","",COUNTIFS(Agenda!$E$5:$E$3004,A89,Agenda!$H$5:$H$3004,"Falta"))</f>
        <v>1</v>
      </c>
      <c r="H89" s="34">
        <f>IF(A89="","",IF(SUMPRODUCT(MAX((Agenda!$E$5:$E$3004=A89)*(Agenda!$H$5:$H$3004="Realizado")*Agenda!$A$5:$A$3004))=0,"",SUMPRODUCT(MAX((Agenda!$E$5:$E$3004=A89)*(Agenda!$H$5:$H$3004="Realizado")*Agenda!$A$5:$A$3004))))</f>
        <v>46233.0</v>
      </c>
      <c r="I89" s="34">
        <f>IF(A89="","",IF(SUMPRODUCT(MIN(((Agenda!$E$5:$E$3004=A89)*((Agenda!$H$5:$H$3004="Agendado")+(Agenda!$H$5:$H$3004="Confirmado")))*Agenda!$A$5:$A$3004+(1-((Agenda!$E$5:$E$3004=A89)*((Agenda!$H$5:$H$3004="Agendado")+(Agenda!$H$5:$H$3004="Confirmado"))))*1E+10))&gt;=1E+10,"",SUMPRODUCT(MIN(((Agenda!$E$5:$E$3004=A89)*((Agenda!$H$5:$H$3004="Agendado")+(Agenda!$H$5:$H$3004="Confirmado")))*Agenda!$A$5:$A$3004+(1-((Agenda!$E$5:$E$3004=A89)*((Agenda!$H$5:$H$3004="Agendado")+(Agenda!$H$5:$H$3004="Confirmado"))))*1E+10))))</f>
        <v/>
      </c>
    </row>
    <row r="90">
      <c r="A90" s="37" t="inlineStr">
        <is>
          <t>Mônica Almeida</t>
        </is>
      </c>
      <c r="B90" s="38" t="inlineStr">
        <is>
          <t>Particular</t>
        </is>
      </c>
      <c r="C90" s="38" t="inlineStr">
        <is>
          <t>Dra. Renata Sousa</t>
        </is>
      </c>
      <c r="D90" s="37" t="inlineStr">
        <is>
          <t>(11) 90000-0246</t>
        </is>
      </c>
      <c r="E90" s="37" t="n"/>
      <c r="F90" s="30">
        <f>IF(A90="","",COUNTIFS(Agenda!$E$5:$E$3004,A90,Agenda!$H$5:$H$3004,"Realizado"))</f>
        <v>3</v>
      </c>
      <c r="G90" s="30">
        <f>IF(A90="","",COUNTIFS(Agenda!$E$5:$E$3004,A90,Agenda!$H$5:$H$3004,"Falta"))</f>
        <v>0</v>
      </c>
      <c r="H90" s="34">
        <f>IF(A90="","",IF(SUMPRODUCT(MAX((Agenda!$E$5:$E$3004=A90)*(Agenda!$H$5:$H$3004="Realizado")*Agenda!$A$5:$A$3004))=0,"",SUMPRODUCT(MAX((Agenda!$E$5:$E$3004=A90)*(Agenda!$H$5:$H$3004="Realizado")*Agenda!$A$5:$A$3004))))</f>
        <v>46275.0</v>
      </c>
      <c r="I90" s="34">
        <f>IF(A90="","",IF(SUMPRODUCT(MIN(((Agenda!$E$5:$E$3004=A90)*((Agenda!$H$5:$H$3004="Agendado")+(Agenda!$H$5:$H$3004="Confirmado")))*Agenda!$A$5:$A$3004+(1-((Agenda!$E$5:$E$3004=A90)*((Agenda!$H$5:$H$3004="Agendado")+(Agenda!$H$5:$H$3004="Confirmado"))))*1E+10))&gt;=1E+10,"",SUMPRODUCT(MIN(((Agenda!$E$5:$E$3004=A90)*((Agenda!$H$5:$H$3004="Agendado")+(Agenda!$H$5:$H$3004="Confirmado")))*Agenda!$A$5:$A$3004+(1-((Agenda!$E$5:$E$3004=A90)*((Agenda!$H$5:$H$3004="Agendado")+(Agenda!$H$5:$H$3004="Confirmado"))))*1E+10))))</f>
        <v>46282.0</v>
      </c>
    </row>
    <row r="91">
      <c r="A91" s="37" t="inlineStr">
        <is>
          <t>Mônica Batista</t>
        </is>
      </c>
      <c r="B91" s="38" t="inlineStr">
        <is>
          <t>MediPlan</t>
        </is>
      </c>
      <c r="C91" s="38" t="inlineStr">
        <is>
          <t>Dra. Carolina Mendes</t>
        </is>
      </c>
      <c r="D91" s="37" t="inlineStr">
        <is>
          <t>(11) 90000-0129</t>
        </is>
      </c>
      <c r="E91" s="37" t="n"/>
      <c r="F91" s="30">
        <f>IF(A91="","",COUNTIFS(Agenda!$E$5:$E$3004,A91,Agenda!$H$5:$H$3004,"Realizado"))</f>
        <v>11</v>
      </c>
      <c r="G91" s="30">
        <f>IF(A91="","",COUNTIFS(Agenda!$E$5:$E$3004,A91,Agenda!$H$5:$H$3004,"Falta"))</f>
        <v>1</v>
      </c>
      <c r="H91" s="34">
        <f>IF(A91="","",IF(SUMPRODUCT(MAX((Agenda!$E$5:$E$3004=A91)*(Agenda!$H$5:$H$3004="Realizado")*Agenda!$A$5:$A$3004))=0,"",SUMPRODUCT(MAX((Agenda!$E$5:$E$3004=A91)*(Agenda!$H$5:$H$3004="Realizado")*Agenda!$A$5:$A$3004))))</f>
        <v>46275.0</v>
      </c>
      <c r="I91" s="34">
        <f>IF(A91="","",IF(SUMPRODUCT(MIN(((Agenda!$E$5:$E$3004=A91)*((Agenda!$H$5:$H$3004="Agendado")+(Agenda!$H$5:$H$3004="Confirmado")))*Agenda!$A$5:$A$3004+(1-((Agenda!$E$5:$E$3004=A91)*((Agenda!$H$5:$H$3004="Agendado")+(Agenda!$H$5:$H$3004="Confirmado"))))*1E+10))&gt;=1E+10,"",SUMPRODUCT(MIN(((Agenda!$E$5:$E$3004=A91)*((Agenda!$H$5:$H$3004="Agendado")+(Agenda!$H$5:$H$3004="Confirmado")))*Agenda!$A$5:$A$3004+(1-((Agenda!$E$5:$E$3004=A91)*((Agenda!$H$5:$H$3004="Agendado")+(Agenda!$H$5:$H$3004="Confirmado"))))*1E+10))))</f>
        <v>46282.0</v>
      </c>
    </row>
    <row r="92">
      <c r="A92" s="37" t="inlineStr">
        <is>
          <t>Mônica Martins</t>
        </is>
      </c>
      <c r="B92" s="38" t="inlineStr">
        <is>
          <t>Particular</t>
        </is>
      </c>
      <c r="C92" s="38" t="inlineStr">
        <is>
          <t>Dra. Carolina Mendes</t>
        </is>
      </c>
      <c r="D92" s="37" t="inlineStr">
        <is>
          <t>(11) 90000-0135</t>
        </is>
      </c>
      <c r="E92" s="37" t="n"/>
      <c r="F92" s="30">
        <f>IF(A92="","",COUNTIFS(Agenda!$E$5:$E$3004,A92,Agenda!$H$5:$H$3004,"Realizado"))</f>
        <v>9</v>
      </c>
      <c r="G92" s="30">
        <f>IF(A92="","",COUNTIFS(Agenda!$E$5:$E$3004,A92,Agenda!$H$5:$H$3004,"Falta"))</f>
        <v>1</v>
      </c>
      <c r="H92" s="34">
        <f>IF(A92="","",IF(SUMPRODUCT(MAX((Agenda!$E$5:$E$3004=A92)*(Agenda!$H$5:$H$3004="Realizado")*Agenda!$A$5:$A$3004))=0,"",SUMPRODUCT(MAX((Agenda!$E$5:$E$3004=A92)*(Agenda!$H$5:$H$3004="Realizado")*Agenda!$A$5:$A$3004))))</f>
        <v>46239.0</v>
      </c>
      <c r="I92" s="34">
        <f>IF(A92="","",IF(SUMPRODUCT(MIN(((Agenda!$E$5:$E$3004=A92)*((Agenda!$H$5:$H$3004="Agendado")+(Agenda!$H$5:$H$3004="Confirmado")))*Agenda!$A$5:$A$3004+(1-((Agenda!$E$5:$E$3004=A92)*((Agenda!$H$5:$H$3004="Agendado")+(Agenda!$H$5:$H$3004="Confirmado"))))*1E+10))&gt;=1E+10,"",SUMPRODUCT(MIN(((Agenda!$E$5:$E$3004=A92)*((Agenda!$H$5:$H$3004="Agendado")+(Agenda!$H$5:$H$3004="Confirmado")))*Agenda!$A$5:$A$3004+(1-((Agenda!$E$5:$E$3004=A92)*((Agenda!$H$5:$H$3004="Agendado")+(Agenda!$H$5:$H$3004="Confirmado"))))*1E+10))))</f>
        <v/>
      </c>
    </row>
    <row r="93">
      <c r="A93" s="37" t="inlineStr">
        <is>
          <t>Mônica Pinto</t>
        </is>
      </c>
      <c r="B93" s="38" t="inlineStr">
        <is>
          <t>Saúde Total</t>
        </is>
      </c>
      <c r="C93" s="38" t="inlineStr">
        <is>
          <t>Dra. Carolina Mendes</t>
        </is>
      </c>
      <c r="D93" s="37" t="inlineStr">
        <is>
          <t>(11) 90000-0162</t>
        </is>
      </c>
      <c r="E93" s="37" t="n"/>
      <c r="F93" s="30">
        <f>IF(A93="","",COUNTIFS(Agenda!$E$5:$E$3004,A93,Agenda!$H$5:$H$3004,"Realizado"))</f>
        <v>3</v>
      </c>
      <c r="G93" s="30">
        <f>IF(A93="","",COUNTIFS(Agenda!$E$5:$E$3004,A93,Agenda!$H$5:$H$3004,"Falta"))</f>
        <v>0</v>
      </c>
      <c r="H93" s="34">
        <f>IF(A93="","",IF(SUMPRODUCT(MAX((Agenda!$E$5:$E$3004=A93)*(Agenda!$H$5:$H$3004="Realizado")*Agenda!$A$5:$A$3004))=0,"",SUMPRODUCT(MAX((Agenda!$E$5:$E$3004=A93)*(Agenda!$H$5:$H$3004="Realizado")*Agenda!$A$5:$A$3004))))</f>
        <v>46276.0</v>
      </c>
      <c r="I93" s="34">
        <f>IF(A93="","",IF(SUMPRODUCT(MIN(((Agenda!$E$5:$E$3004=A93)*((Agenda!$H$5:$H$3004="Agendado")+(Agenda!$H$5:$H$3004="Confirmado")))*Agenda!$A$5:$A$3004+(1-((Agenda!$E$5:$E$3004=A93)*((Agenda!$H$5:$H$3004="Agendado")+(Agenda!$H$5:$H$3004="Confirmado"))))*1E+10))&gt;=1E+10,"",SUMPRODUCT(MIN(((Agenda!$E$5:$E$3004=A93)*((Agenda!$H$5:$H$3004="Agendado")+(Agenda!$H$5:$H$3004="Confirmado")))*Agenda!$A$5:$A$3004+(1-((Agenda!$E$5:$E$3004=A93)*((Agenda!$H$5:$H$3004="Agendado")+(Agenda!$H$5:$H$3004="Confirmado"))))*1E+10))))</f>
        <v/>
      </c>
    </row>
    <row r="94">
      <c r="A94" s="37" t="inlineStr">
        <is>
          <t>Mônica Teixeira</t>
        </is>
      </c>
      <c r="B94" s="38" t="inlineStr">
        <is>
          <t>Vida Care</t>
        </is>
      </c>
      <c r="C94" s="38" t="inlineStr">
        <is>
          <t>Dra. Carolina Mendes</t>
        </is>
      </c>
      <c r="D94" s="37" t="inlineStr">
        <is>
          <t>(11) 90000-0118</t>
        </is>
      </c>
      <c r="E94" s="37" t="n"/>
      <c r="F94" s="30">
        <f>IF(A94="","",COUNTIFS(Agenda!$E$5:$E$3004,A94,Agenda!$H$5:$H$3004,"Realizado"))</f>
        <v>7</v>
      </c>
      <c r="G94" s="30">
        <f>IF(A94="","",COUNTIFS(Agenda!$E$5:$E$3004,A94,Agenda!$H$5:$H$3004,"Falta"))</f>
        <v>1</v>
      </c>
      <c r="H94" s="34">
        <f>IF(A94="","",IF(SUMPRODUCT(MAX((Agenda!$E$5:$E$3004=A94)*(Agenda!$H$5:$H$3004="Realizado")*Agenda!$A$5:$A$3004))=0,"",SUMPRODUCT(MAX((Agenda!$E$5:$E$3004=A94)*(Agenda!$H$5:$H$3004="Realizado")*Agenda!$A$5:$A$3004))))</f>
        <v>46276.0</v>
      </c>
      <c r="I94" s="34">
        <f>IF(A94="","",IF(SUMPRODUCT(MIN(((Agenda!$E$5:$E$3004=A94)*((Agenda!$H$5:$H$3004="Agendado")+(Agenda!$H$5:$H$3004="Confirmado")))*Agenda!$A$5:$A$3004+(1-((Agenda!$E$5:$E$3004=A94)*((Agenda!$H$5:$H$3004="Agendado")+(Agenda!$H$5:$H$3004="Confirmado"))))*1E+10))&gt;=1E+10,"",SUMPRODUCT(MIN(((Agenda!$E$5:$E$3004=A94)*((Agenda!$H$5:$H$3004="Agendado")+(Agenda!$H$5:$H$3004="Confirmado")))*Agenda!$A$5:$A$3004+(1-((Agenda!$E$5:$E$3004=A94)*((Agenda!$H$5:$H$3004="Agendado")+(Agenda!$H$5:$H$3004="Confirmado"))))*1E+10))))</f>
        <v>46280.0</v>
      </c>
    </row>
    <row r="95">
      <c r="A95" s="37" t="inlineStr">
        <is>
          <t>Natália Martins</t>
        </is>
      </c>
      <c r="B95" s="38" t="inlineStr">
        <is>
          <t>Particular</t>
        </is>
      </c>
      <c r="C95" s="38" t="inlineStr">
        <is>
          <t>Dr. Paulo Andrade</t>
        </is>
      </c>
      <c r="D95" s="37" t="inlineStr">
        <is>
          <t>(11) 90000-0194</t>
        </is>
      </c>
      <c r="E95" s="37" t="n"/>
      <c r="F95" s="30">
        <f>IF(A95="","",COUNTIFS(Agenda!$E$5:$E$3004,A95,Agenda!$H$5:$H$3004,"Realizado"))</f>
        <v>2</v>
      </c>
      <c r="G95" s="30">
        <f>IF(A95="","",COUNTIFS(Agenda!$E$5:$E$3004,A95,Agenda!$H$5:$H$3004,"Falta"))</f>
        <v>1</v>
      </c>
      <c r="H95" s="34">
        <f>IF(A95="","",IF(SUMPRODUCT(MAX((Agenda!$E$5:$E$3004=A95)*(Agenda!$H$5:$H$3004="Realizado")*Agenda!$A$5:$A$3004))=0,"",SUMPRODUCT(MAX((Agenda!$E$5:$E$3004=A95)*(Agenda!$H$5:$H$3004="Realizado")*Agenda!$A$5:$A$3004))))</f>
        <v>46198.0</v>
      </c>
      <c r="I95" s="34">
        <f>IF(A95="","",IF(SUMPRODUCT(MIN(((Agenda!$E$5:$E$3004=A95)*((Agenda!$H$5:$H$3004="Agendado")+(Agenda!$H$5:$H$3004="Confirmado")))*Agenda!$A$5:$A$3004+(1-((Agenda!$E$5:$E$3004=A95)*((Agenda!$H$5:$H$3004="Agendado")+(Agenda!$H$5:$H$3004="Confirmado"))))*1E+10))&gt;=1E+10,"",SUMPRODUCT(MIN(((Agenda!$E$5:$E$3004=A95)*((Agenda!$H$5:$H$3004="Agendado")+(Agenda!$H$5:$H$3004="Confirmado")))*Agenda!$A$5:$A$3004+(1-((Agenda!$E$5:$E$3004=A95)*((Agenda!$H$5:$H$3004="Agendado")+(Agenda!$H$5:$H$3004="Confirmado"))))*1E+10))))</f>
        <v>46282.0</v>
      </c>
    </row>
    <row r="96">
      <c r="A96" s="37" t="inlineStr">
        <is>
          <t>Natália Xavier</t>
        </is>
      </c>
      <c r="B96" s="38" t="inlineStr">
        <is>
          <t>MediPlan</t>
        </is>
      </c>
      <c r="C96" s="38" t="inlineStr">
        <is>
          <t>Dr. Paulo Andrade</t>
        </is>
      </c>
      <c r="D96" s="37" t="inlineStr">
        <is>
          <t>(11) 90000-0208</t>
        </is>
      </c>
      <c r="E96" s="37" t="n"/>
      <c r="F96" s="30">
        <f>IF(A96="","",COUNTIFS(Agenda!$E$5:$E$3004,A96,Agenda!$H$5:$H$3004,"Realizado"))</f>
        <v>9</v>
      </c>
      <c r="G96" s="30">
        <f>IF(A96="","",COUNTIFS(Agenda!$E$5:$E$3004,A96,Agenda!$H$5:$H$3004,"Falta"))</f>
        <v>0</v>
      </c>
      <c r="H96" s="34">
        <f>IF(A96="","",IF(SUMPRODUCT(MAX((Agenda!$E$5:$E$3004=A96)*(Agenda!$H$5:$H$3004="Realizado")*Agenda!$A$5:$A$3004))=0,"",SUMPRODUCT(MAX((Agenda!$E$5:$E$3004=A96)*(Agenda!$H$5:$H$3004="Realizado")*Agenda!$A$5:$A$3004))))</f>
        <v>46266.0</v>
      </c>
      <c r="I96" s="34">
        <f>IF(A96="","",IF(SUMPRODUCT(MIN(((Agenda!$E$5:$E$3004=A96)*((Agenda!$H$5:$H$3004="Agendado")+(Agenda!$H$5:$H$3004="Confirmado")))*Agenda!$A$5:$A$3004+(1-((Agenda!$E$5:$E$3004=A96)*((Agenda!$H$5:$H$3004="Agendado")+(Agenda!$H$5:$H$3004="Confirmado"))))*1E+10))&gt;=1E+10,"",SUMPRODUCT(MIN(((Agenda!$E$5:$E$3004=A96)*((Agenda!$H$5:$H$3004="Agendado")+(Agenda!$H$5:$H$3004="Confirmado")))*Agenda!$A$5:$A$3004+(1-((Agenda!$E$5:$E$3004=A96)*((Agenda!$H$5:$H$3004="Agendado")+(Agenda!$H$5:$H$3004="Confirmado"))))*1E+10))))</f>
        <v/>
      </c>
    </row>
    <row r="97">
      <c r="A97" s="37" t="inlineStr">
        <is>
          <t>Otávio Cardoso</t>
        </is>
      </c>
      <c r="B97" s="38" t="inlineStr">
        <is>
          <t>Particular</t>
        </is>
      </c>
      <c r="C97" s="38" t="inlineStr">
        <is>
          <t>Dra. Carolina Mendes</t>
        </is>
      </c>
      <c r="D97" s="37" t="inlineStr">
        <is>
          <t>(11) 90000-0139</t>
        </is>
      </c>
      <c r="E97" s="37" t="n"/>
      <c r="F97" s="30">
        <f>IF(A97="","",COUNTIFS(Agenda!$E$5:$E$3004,A97,Agenda!$H$5:$H$3004,"Realizado"))</f>
        <v>10</v>
      </c>
      <c r="G97" s="30">
        <f>IF(A97="","",COUNTIFS(Agenda!$E$5:$E$3004,A97,Agenda!$H$5:$H$3004,"Falta"))</f>
        <v>1</v>
      </c>
      <c r="H97" s="34">
        <f>IF(A97="","",IF(SUMPRODUCT(MAX((Agenda!$E$5:$E$3004=A97)*(Agenda!$H$5:$H$3004="Realizado")*Agenda!$A$5:$A$3004))=0,"",SUMPRODUCT(MAX((Agenda!$E$5:$E$3004=A97)*(Agenda!$H$5:$H$3004="Realizado")*Agenda!$A$5:$A$3004))))</f>
        <v>46273.0</v>
      </c>
      <c r="I97" s="34">
        <f>IF(A97="","",IF(SUMPRODUCT(MIN(((Agenda!$E$5:$E$3004=A97)*((Agenda!$H$5:$H$3004="Agendado")+(Agenda!$H$5:$H$3004="Confirmado")))*Agenda!$A$5:$A$3004+(1-((Agenda!$E$5:$E$3004=A97)*((Agenda!$H$5:$H$3004="Agendado")+(Agenda!$H$5:$H$3004="Confirmado"))))*1E+10))&gt;=1E+10,"",SUMPRODUCT(MIN(((Agenda!$E$5:$E$3004=A97)*((Agenda!$H$5:$H$3004="Agendado")+(Agenda!$H$5:$H$3004="Confirmado")))*Agenda!$A$5:$A$3004+(1-((Agenda!$E$5:$E$3004=A97)*((Agenda!$H$5:$H$3004="Agendado")+(Agenda!$H$5:$H$3004="Confirmado"))))*1E+10))))</f>
        <v>46280.0</v>
      </c>
    </row>
    <row r="98">
      <c r="A98" s="37" t="inlineStr">
        <is>
          <t>Otávio Martins</t>
        </is>
      </c>
      <c r="B98" s="38" t="inlineStr">
        <is>
          <t>MediPlan</t>
        </is>
      </c>
      <c r="C98" s="38" t="inlineStr">
        <is>
          <t>Dr. Paulo Andrade</t>
        </is>
      </c>
      <c r="D98" s="37" t="inlineStr">
        <is>
          <t>(11) 90000-0176</t>
        </is>
      </c>
      <c r="E98" s="37" t="n"/>
      <c r="F98" s="30">
        <f>IF(A98="","",COUNTIFS(Agenda!$E$5:$E$3004,A98,Agenda!$H$5:$H$3004,"Realizado"))</f>
        <v>7</v>
      </c>
      <c r="G98" s="30">
        <f>IF(A98="","",COUNTIFS(Agenda!$E$5:$E$3004,A98,Agenda!$H$5:$H$3004,"Falta"))</f>
        <v>2</v>
      </c>
      <c r="H98" s="34">
        <f>IF(A98="","",IF(SUMPRODUCT(MAX((Agenda!$E$5:$E$3004=A98)*(Agenda!$H$5:$H$3004="Realizado")*Agenda!$A$5:$A$3004))=0,"",SUMPRODUCT(MAX((Agenda!$E$5:$E$3004=A98)*(Agenda!$H$5:$H$3004="Realizado")*Agenda!$A$5:$A$3004))))</f>
        <v>46258.0</v>
      </c>
      <c r="I98" s="34">
        <f>IF(A98="","",IF(SUMPRODUCT(MIN(((Agenda!$E$5:$E$3004=A98)*((Agenda!$H$5:$H$3004="Agendado")+(Agenda!$H$5:$H$3004="Confirmado")))*Agenda!$A$5:$A$3004+(1-((Agenda!$E$5:$E$3004=A98)*((Agenda!$H$5:$H$3004="Agendado")+(Agenda!$H$5:$H$3004="Confirmado"))))*1E+10))&gt;=1E+10,"",SUMPRODUCT(MIN(((Agenda!$E$5:$E$3004=A98)*((Agenda!$H$5:$H$3004="Agendado")+(Agenda!$H$5:$H$3004="Confirmado")))*Agenda!$A$5:$A$3004+(1-((Agenda!$E$5:$E$3004=A98)*((Agenda!$H$5:$H$3004="Agendado")+(Agenda!$H$5:$H$3004="Confirmado"))))*1E+10))))</f>
        <v>46286.0</v>
      </c>
    </row>
    <row r="99">
      <c r="A99" s="37" t="inlineStr">
        <is>
          <t>Otávio Nascimento</t>
        </is>
      </c>
      <c r="B99" s="38" t="inlineStr">
        <is>
          <t>Particular</t>
        </is>
      </c>
      <c r="C99" s="38" t="inlineStr">
        <is>
          <t>Dra. Carolina Mendes</t>
        </is>
      </c>
      <c r="D99" s="37" t="inlineStr">
        <is>
          <t>(11) 90000-0125</t>
        </is>
      </c>
      <c r="E99" s="37" t="n"/>
      <c r="F99" s="30">
        <f>IF(A99="","",COUNTIFS(Agenda!$E$5:$E$3004,A99,Agenda!$H$5:$H$3004,"Realizado"))</f>
        <v>11</v>
      </c>
      <c r="G99" s="30">
        <f>IF(A99="","",COUNTIFS(Agenda!$E$5:$E$3004,A99,Agenda!$H$5:$H$3004,"Falta"))</f>
        <v>2</v>
      </c>
      <c r="H99" s="34">
        <f>IF(A99="","",IF(SUMPRODUCT(MAX((Agenda!$E$5:$E$3004=A99)*(Agenda!$H$5:$H$3004="Realizado")*Agenda!$A$5:$A$3004))=0,"",SUMPRODUCT(MAX((Agenda!$E$5:$E$3004=A99)*(Agenda!$H$5:$H$3004="Realizado")*Agenda!$A$5:$A$3004))))</f>
        <v>46273.0</v>
      </c>
      <c r="I99" s="34">
        <f>IF(A99="","",IF(SUMPRODUCT(MIN(((Agenda!$E$5:$E$3004=A99)*((Agenda!$H$5:$H$3004="Agendado")+(Agenda!$H$5:$H$3004="Confirmado")))*Agenda!$A$5:$A$3004+(1-((Agenda!$E$5:$E$3004=A99)*((Agenda!$H$5:$H$3004="Agendado")+(Agenda!$H$5:$H$3004="Confirmado"))))*1E+10))&gt;=1E+10,"",SUMPRODUCT(MIN(((Agenda!$E$5:$E$3004=A99)*((Agenda!$H$5:$H$3004="Agendado")+(Agenda!$H$5:$H$3004="Confirmado")))*Agenda!$A$5:$A$3004+(1-((Agenda!$E$5:$E$3004=A99)*((Agenda!$H$5:$H$3004="Agendado")+(Agenda!$H$5:$H$3004="Confirmado"))))*1E+10))))</f>
        <v>46280.0</v>
      </c>
    </row>
    <row r="100">
      <c r="A100" s="37" t="inlineStr">
        <is>
          <t>Patrícia Correia</t>
        </is>
      </c>
      <c r="B100" s="38" t="inlineStr">
        <is>
          <t>Saúde Total</t>
        </is>
      </c>
      <c r="C100" s="38" t="inlineStr">
        <is>
          <t>Dr. Paulo Andrade</t>
        </is>
      </c>
      <c r="D100" s="37" t="inlineStr">
        <is>
          <t>(11) 90000-0204</t>
        </is>
      </c>
      <c r="E100" s="37" t="n"/>
      <c r="F100" s="30">
        <f>IF(A100="","",COUNTIFS(Agenda!$E$5:$E$3004,A100,Agenda!$H$5:$H$3004,"Realizado"))</f>
        <v>1</v>
      </c>
      <c r="G100" s="30">
        <f>IF(A100="","",COUNTIFS(Agenda!$E$5:$E$3004,A100,Agenda!$H$5:$H$3004,"Falta"))</f>
        <v>0</v>
      </c>
      <c r="H100" s="34">
        <f>IF(A100="","",IF(SUMPRODUCT(MAX((Agenda!$E$5:$E$3004=A100)*(Agenda!$H$5:$H$3004="Realizado")*Agenda!$A$5:$A$3004))=0,"",SUMPRODUCT(MAX((Agenda!$E$5:$E$3004=A100)*(Agenda!$H$5:$H$3004="Realizado")*Agenda!$A$5:$A$3004))))</f>
        <v>46213.0</v>
      </c>
      <c r="I100" s="34">
        <f>IF(A100="","",IF(SUMPRODUCT(MIN(((Agenda!$E$5:$E$3004=A100)*((Agenda!$H$5:$H$3004="Agendado")+(Agenda!$H$5:$H$3004="Confirmado")))*Agenda!$A$5:$A$3004+(1-((Agenda!$E$5:$E$3004=A100)*((Agenda!$H$5:$H$3004="Agendado")+(Agenda!$H$5:$H$3004="Confirmado"))))*1E+10))&gt;=1E+10,"",SUMPRODUCT(MIN(((Agenda!$E$5:$E$3004=A100)*((Agenda!$H$5:$H$3004="Agendado")+(Agenda!$H$5:$H$3004="Confirmado")))*Agenda!$A$5:$A$3004+(1-((Agenda!$E$5:$E$3004=A100)*((Agenda!$H$5:$H$3004="Agendado")+(Agenda!$H$5:$H$3004="Confirmado"))))*1E+10))))</f>
        <v>46287.0</v>
      </c>
    </row>
    <row r="101">
      <c r="A101" s="37" t="inlineStr">
        <is>
          <t>Patrícia Dias</t>
        </is>
      </c>
      <c r="B101" s="38" t="inlineStr">
        <is>
          <t>Particular</t>
        </is>
      </c>
      <c r="C101" s="38" t="inlineStr">
        <is>
          <t>Dra. Renata Sousa</t>
        </is>
      </c>
      <c r="D101" s="37" t="inlineStr">
        <is>
          <t>(11) 90000-0253</t>
        </is>
      </c>
      <c r="E101" s="37" t="n"/>
      <c r="F101" s="30">
        <f>IF(A101="","",COUNTIFS(Agenda!$E$5:$E$3004,A101,Agenda!$H$5:$H$3004,"Realizado"))</f>
        <v>6</v>
      </c>
      <c r="G101" s="30">
        <f>IF(A101="","",COUNTIFS(Agenda!$E$5:$E$3004,A101,Agenda!$H$5:$H$3004,"Falta"))</f>
        <v>2</v>
      </c>
      <c r="H101" s="34">
        <f>IF(A101="","",IF(SUMPRODUCT(MAX((Agenda!$E$5:$E$3004=A101)*(Agenda!$H$5:$H$3004="Realizado")*Agenda!$A$5:$A$3004))=0,"",SUMPRODUCT(MAX((Agenda!$E$5:$E$3004=A101)*(Agenda!$H$5:$H$3004="Realizado")*Agenda!$A$5:$A$3004))))</f>
        <v>46268.0</v>
      </c>
      <c r="I101" s="34">
        <f>IF(A101="","",IF(SUMPRODUCT(MIN(((Agenda!$E$5:$E$3004=A101)*((Agenda!$H$5:$H$3004="Agendado")+(Agenda!$H$5:$H$3004="Confirmado")))*Agenda!$A$5:$A$3004+(1-((Agenda!$E$5:$E$3004=A101)*((Agenda!$H$5:$H$3004="Agendado")+(Agenda!$H$5:$H$3004="Confirmado"))))*1E+10))&gt;=1E+10,"",SUMPRODUCT(MIN(((Agenda!$E$5:$E$3004=A101)*((Agenda!$H$5:$H$3004="Agendado")+(Agenda!$H$5:$H$3004="Confirmado")))*Agenda!$A$5:$A$3004+(1-((Agenda!$E$5:$E$3004=A101)*((Agenda!$H$5:$H$3004="Agendado")+(Agenda!$H$5:$H$3004="Confirmado"))))*1E+10))))</f>
        <v/>
      </c>
    </row>
    <row r="102">
      <c r="A102" s="37" t="inlineStr">
        <is>
          <t>Patrícia Fernandes</t>
        </is>
      </c>
      <c r="B102" s="38" t="inlineStr">
        <is>
          <t>Particular</t>
        </is>
      </c>
      <c r="C102" s="38" t="inlineStr">
        <is>
          <t>Dra. Carolina Mendes</t>
        </is>
      </c>
      <c r="D102" s="37" t="inlineStr">
        <is>
          <t>(11) 90000-0104</t>
        </is>
      </c>
      <c r="E102" s="37" t="n"/>
      <c r="F102" s="30">
        <f>IF(A102="","",COUNTIFS(Agenda!$E$5:$E$3004,A102,Agenda!$H$5:$H$3004,"Realizado"))</f>
        <v>4</v>
      </c>
      <c r="G102" s="30">
        <f>IF(A102="","",COUNTIFS(Agenda!$E$5:$E$3004,A102,Agenda!$H$5:$H$3004,"Falta"))</f>
        <v>0</v>
      </c>
      <c r="H102" s="34">
        <f>IF(A102="","",IF(SUMPRODUCT(MAX((Agenda!$E$5:$E$3004=A102)*(Agenda!$H$5:$H$3004="Realizado")*Agenda!$A$5:$A$3004))=0,"",SUMPRODUCT(MAX((Agenda!$E$5:$E$3004=A102)*(Agenda!$H$5:$H$3004="Realizado")*Agenda!$A$5:$A$3004))))</f>
        <v>46240.0</v>
      </c>
      <c r="I102" s="34">
        <f>IF(A102="","",IF(SUMPRODUCT(MIN(((Agenda!$E$5:$E$3004=A102)*((Agenda!$H$5:$H$3004="Agendado")+(Agenda!$H$5:$H$3004="Confirmado")))*Agenda!$A$5:$A$3004+(1-((Agenda!$E$5:$E$3004=A102)*((Agenda!$H$5:$H$3004="Agendado")+(Agenda!$H$5:$H$3004="Confirmado"))))*1E+10))&gt;=1E+10,"",SUMPRODUCT(MIN(((Agenda!$E$5:$E$3004=A102)*((Agenda!$H$5:$H$3004="Agendado")+(Agenda!$H$5:$H$3004="Confirmado")))*Agenda!$A$5:$A$3004+(1-((Agenda!$E$5:$E$3004=A102)*((Agenda!$H$5:$H$3004="Agendado")+(Agenda!$H$5:$H$3004="Confirmado"))))*1E+10))))</f>
        <v>46283.0</v>
      </c>
    </row>
    <row r="103">
      <c r="A103" s="37" t="inlineStr">
        <is>
          <t>Patrícia Vieira</t>
        </is>
      </c>
      <c r="B103" s="38" t="inlineStr">
        <is>
          <t>Saúde Total</t>
        </is>
      </c>
      <c r="C103" s="38" t="inlineStr">
        <is>
          <t>Dr. Paulo Andrade</t>
        </is>
      </c>
      <c r="D103" s="37" t="inlineStr">
        <is>
          <t>(11) 90000-0216</t>
        </is>
      </c>
      <c r="E103" s="37" t="n"/>
      <c r="F103" s="30">
        <f>IF(A103="","",COUNTIFS(Agenda!$E$5:$E$3004,A103,Agenda!$H$5:$H$3004,"Realizado"))</f>
        <v>4</v>
      </c>
      <c r="G103" s="30">
        <f>IF(A103="","",COUNTIFS(Agenda!$E$5:$E$3004,A103,Agenda!$H$5:$H$3004,"Falta"))</f>
        <v>1</v>
      </c>
      <c r="H103" s="34">
        <f>IF(A103="","",IF(SUMPRODUCT(MAX((Agenda!$E$5:$E$3004=A103)*(Agenda!$H$5:$H$3004="Realizado")*Agenda!$A$5:$A$3004))=0,"",SUMPRODUCT(MAX((Agenda!$E$5:$E$3004=A103)*(Agenda!$H$5:$H$3004="Realizado")*Agenda!$A$5:$A$3004))))</f>
        <v>46241.0</v>
      </c>
      <c r="I103" s="34">
        <f>IF(A103="","",IF(SUMPRODUCT(MIN(((Agenda!$E$5:$E$3004=A103)*((Agenda!$H$5:$H$3004="Agendado")+(Agenda!$H$5:$H$3004="Confirmado")))*Agenda!$A$5:$A$3004+(1-((Agenda!$E$5:$E$3004=A103)*((Agenda!$H$5:$H$3004="Agendado")+(Agenda!$H$5:$H$3004="Confirmado"))))*1E+10))&gt;=1E+10,"",SUMPRODUCT(MIN(((Agenda!$E$5:$E$3004=A103)*((Agenda!$H$5:$H$3004="Agendado")+(Agenda!$H$5:$H$3004="Confirmado")))*Agenda!$A$5:$A$3004+(1-((Agenda!$E$5:$E$3004=A103)*((Agenda!$H$5:$H$3004="Agendado")+(Agenda!$H$5:$H$3004="Confirmado"))))*1E+10))))</f>
        <v/>
      </c>
    </row>
    <row r="104">
      <c r="A104" s="37" t="inlineStr">
        <is>
          <t>Paulo Fernandes</t>
        </is>
      </c>
      <c r="B104" s="38" t="inlineStr">
        <is>
          <t>Particular</t>
        </is>
      </c>
      <c r="C104" s="38" t="inlineStr">
        <is>
          <t>Dra. Renata Sousa</t>
        </is>
      </c>
      <c r="D104" s="37" t="inlineStr">
        <is>
          <t>(11) 90000-0252</t>
        </is>
      </c>
      <c r="E104" s="37" t="n"/>
      <c r="F104" s="30">
        <f>IF(A104="","",COUNTIFS(Agenda!$E$5:$E$3004,A104,Agenda!$H$5:$H$3004,"Realizado"))</f>
        <v>2</v>
      </c>
      <c r="G104" s="30">
        <f>IF(A104="","",COUNTIFS(Agenda!$E$5:$E$3004,A104,Agenda!$H$5:$H$3004,"Falta"))</f>
        <v>0</v>
      </c>
      <c r="H104" s="34">
        <f>IF(A104="","",IF(SUMPRODUCT(MAX((Agenda!$E$5:$E$3004=A104)*(Agenda!$H$5:$H$3004="Realizado")*Agenda!$A$5:$A$3004))=0,"",SUMPRODUCT(MAX((Agenda!$E$5:$E$3004=A104)*(Agenda!$H$5:$H$3004="Realizado")*Agenda!$A$5:$A$3004))))</f>
        <v>46266.0</v>
      </c>
      <c r="I104" s="34">
        <f>IF(A104="","",IF(SUMPRODUCT(MIN(((Agenda!$E$5:$E$3004=A104)*((Agenda!$H$5:$H$3004="Agendado")+(Agenda!$H$5:$H$3004="Confirmado")))*Agenda!$A$5:$A$3004+(1-((Agenda!$E$5:$E$3004=A104)*((Agenda!$H$5:$H$3004="Agendado")+(Agenda!$H$5:$H$3004="Confirmado"))))*1E+10))&gt;=1E+10,"",SUMPRODUCT(MIN(((Agenda!$E$5:$E$3004=A104)*((Agenda!$H$5:$H$3004="Agendado")+(Agenda!$H$5:$H$3004="Confirmado")))*Agenda!$A$5:$A$3004+(1-((Agenda!$E$5:$E$3004=A104)*((Agenda!$H$5:$H$3004="Agendado")+(Agenda!$H$5:$H$3004="Confirmado"))))*1E+10))))</f>
        <v/>
      </c>
    </row>
    <row r="105">
      <c r="A105" s="37" t="inlineStr">
        <is>
          <t>Paulo Freitas</t>
        </is>
      </c>
      <c r="B105" s="38" t="inlineStr">
        <is>
          <t>Saúde Total</t>
        </is>
      </c>
      <c r="C105" s="38" t="inlineStr">
        <is>
          <t>Dra. Renata Sousa</t>
        </is>
      </c>
      <c r="D105" s="37" t="inlineStr">
        <is>
          <t>(11) 90000-0249</t>
        </is>
      </c>
      <c r="E105" s="37" t="n"/>
      <c r="F105" s="30">
        <f>IF(A105="","",COUNTIFS(Agenda!$E$5:$E$3004,A105,Agenda!$H$5:$H$3004,"Realizado"))</f>
        <v>5</v>
      </c>
      <c r="G105" s="30">
        <f>IF(A105="","",COUNTIFS(Agenda!$E$5:$E$3004,A105,Agenda!$H$5:$H$3004,"Falta"))</f>
        <v>0</v>
      </c>
      <c r="H105" s="34">
        <f>IF(A105="","",IF(SUMPRODUCT(MAX((Agenda!$E$5:$E$3004=A105)*(Agenda!$H$5:$H$3004="Realizado")*Agenda!$A$5:$A$3004))=0,"",SUMPRODUCT(MAX((Agenda!$E$5:$E$3004=A105)*(Agenda!$H$5:$H$3004="Realizado")*Agenda!$A$5:$A$3004))))</f>
        <v>46233.0</v>
      </c>
      <c r="I105" s="34">
        <f>IF(A105="","",IF(SUMPRODUCT(MIN(((Agenda!$E$5:$E$3004=A105)*((Agenda!$H$5:$H$3004="Agendado")+(Agenda!$H$5:$H$3004="Confirmado")))*Agenda!$A$5:$A$3004+(1-((Agenda!$E$5:$E$3004=A105)*((Agenda!$H$5:$H$3004="Agendado")+(Agenda!$H$5:$H$3004="Confirmado"))))*1E+10))&gt;=1E+10,"",SUMPRODUCT(MIN(((Agenda!$E$5:$E$3004=A105)*((Agenda!$H$5:$H$3004="Agendado")+(Agenda!$H$5:$H$3004="Confirmado")))*Agenda!$A$5:$A$3004+(1-((Agenda!$E$5:$E$3004=A105)*((Agenda!$H$5:$H$3004="Agendado")+(Agenda!$H$5:$H$3004="Confirmado"))))*1E+10))))</f>
        <v/>
      </c>
    </row>
    <row r="106">
      <c r="A106" s="37" t="inlineStr">
        <is>
          <t>Paulo Nascimento</t>
        </is>
      </c>
      <c r="B106" s="38" t="inlineStr">
        <is>
          <t>MediPlan</t>
        </is>
      </c>
      <c r="C106" s="38" t="inlineStr">
        <is>
          <t>Dr. Paulo Andrade</t>
        </is>
      </c>
      <c r="D106" s="37" t="inlineStr">
        <is>
          <t>(11) 90000-0203</t>
        </is>
      </c>
      <c r="E106" s="37" t="n"/>
      <c r="F106" s="30">
        <f>IF(A106="","",COUNTIFS(Agenda!$E$5:$E$3004,A106,Agenda!$H$5:$H$3004,"Realizado"))</f>
        <v>8</v>
      </c>
      <c r="G106" s="30">
        <f>IF(A106="","",COUNTIFS(Agenda!$E$5:$E$3004,A106,Agenda!$H$5:$H$3004,"Falta"))</f>
        <v>1</v>
      </c>
      <c r="H106" s="34">
        <f>IF(A106="","",IF(SUMPRODUCT(MAX((Agenda!$E$5:$E$3004=A106)*(Agenda!$H$5:$H$3004="Realizado")*Agenda!$A$5:$A$3004))=0,"",SUMPRODUCT(MAX((Agenda!$E$5:$E$3004=A106)*(Agenda!$H$5:$H$3004="Realizado")*Agenda!$A$5:$A$3004))))</f>
        <v>46273.0</v>
      </c>
      <c r="I106" s="34">
        <f>IF(A106="","",IF(SUMPRODUCT(MIN(((Agenda!$E$5:$E$3004=A106)*((Agenda!$H$5:$H$3004="Agendado")+(Agenda!$H$5:$H$3004="Confirmado")))*Agenda!$A$5:$A$3004+(1-((Agenda!$E$5:$E$3004=A106)*((Agenda!$H$5:$H$3004="Agendado")+(Agenda!$H$5:$H$3004="Confirmado"))))*1E+10))&gt;=1E+10,"",SUMPRODUCT(MIN(((Agenda!$E$5:$E$3004=A106)*((Agenda!$H$5:$H$3004="Agendado")+(Agenda!$H$5:$H$3004="Confirmado")))*Agenda!$A$5:$A$3004+(1-((Agenda!$E$5:$E$3004=A106)*((Agenda!$H$5:$H$3004="Agendado")+(Agenda!$H$5:$H$3004="Confirmado"))))*1E+10))))</f>
        <v>46286.0</v>
      </c>
    </row>
    <row r="107">
      <c r="A107" s="37" t="inlineStr">
        <is>
          <t>Paulo Reis</t>
        </is>
      </c>
      <c r="B107" s="38" t="inlineStr">
        <is>
          <t>Particular</t>
        </is>
      </c>
      <c r="C107" s="38" t="inlineStr">
        <is>
          <t>Dr. Paulo Andrade</t>
        </is>
      </c>
      <c r="D107" s="37" t="inlineStr">
        <is>
          <t>(11) 90000-0205</t>
        </is>
      </c>
      <c r="E107" s="37" t="n"/>
      <c r="F107" s="30">
        <f>IF(A107="","",COUNTIFS(Agenda!$E$5:$E$3004,A107,Agenda!$H$5:$H$3004,"Realizado"))</f>
        <v>6</v>
      </c>
      <c r="G107" s="30">
        <f>IF(A107="","",COUNTIFS(Agenda!$E$5:$E$3004,A107,Agenda!$H$5:$H$3004,"Falta"))</f>
        <v>0</v>
      </c>
      <c r="H107" s="34">
        <f>IF(A107="","",IF(SUMPRODUCT(MAX((Agenda!$E$5:$E$3004=A107)*(Agenda!$H$5:$H$3004="Realizado")*Agenda!$A$5:$A$3004))=0,"",SUMPRODUCT(MAX((Agenda!$E$5:$E$3004=A107)*(Agenda!$H$5:$H$3004="Realizado")*Agenda!$A$5:$A$3004))))</f>
        <v>46259.0</v>
      </c>
      <c r="I107" s="34">
        <f>IF(A107="","",IF(SUMPRODUCT(MIN(((Agenda!$E$5:$E$3004=A107)*((Agenda!$H$5:$H$3004="Agendado")+(Agenda!$H$5:$H$3004="Confirmado")))*Agenda!$A$5:$A$3004+(1-((Agenda!$E$5:$E$3004=A107)*((Agenda!$H$5:$H$3004="Agendado")+(Agenda!$H$5:$H$3004="Confirmado"))))*1E+10))&gt;=1E+10,"",SUMPRODUCT(MIN(((Agenda!$E$5:$E$3004=A107)*((Agenda!$H$5:$H$3004="Agendado")+(Agenda!$H$5:$H$3004="Confirmado")))*Agenda!$A$5:$A$3004+(1-((Agenda!$E$5:$E$3004=A107)*((Agenda!$H$5:$H$3004="Agendado")+(Agenda!$H$5:$H$3004="Confirmado"))))*1E+10))))</f>
        <v>46282.0</v>
      </c>
    </row>
    <row r="108">
      <c r="A108" s="37" t="inlineStr">
        <is>
          <t>Paulo Ribeiro</t>
        </is>
      </c>
      <c r="B108" s="38" t="inlineStr">
        <is>
          <t>Saúde Total</t>
        </is>
      </c>
      <c r="C108" s="38" t="inlineStr">
        <is>
          <t>Dr. Paulo Andrade</t>
        </is>
      </c>
      <c r="D108" s="37" t="inlineStr">
        <is>
          <t>(11) 90000-0210</t>
        </is>
      </c>
      <c r="E108" s="37" t="n"/>
      <c r="F108" s="30">
        <f>IF(A108="","",COUNTIFS(Agenda!$E$5:$E$3004,A108,Agenda!$H$5:$H$3004,"Realizado"))</f>
        <v>8</v>
      </c>
      <c r="G108" s="30">
        <f>IF(A108="","",COUNTIFS(Agenda!$E$5:$E$3004,A108,Agenda!$H$5:$H$3004,"Falta"))</f>
        <v>0</v>
      </c>
      <c r="H108" s="34">
        <f>IF(A108="","",IF(SUMPRODUCT(MAX((Agenda!$E$5:$E$3004=A108)*(Agenda!$H$5:$H$3004="Realizado")*Agenda!$A$5:$A$3004))=0,"",SUMPRODUCT(MAX((Agenda!$E$5:$E$3004=A108)*(Agenda!$H$5:$H$3004="Realizado")*Agenda!$A$5:$A$3004))))</f>
        <v>46268.0</v>
      </c>
      <c r="I108" s="34">
        <f>IF(A108="","",IF(SUMPRODUCT(MIN(((Agenda!$E$5:$E$3004=A108)*((Agenda!$H$5:$H$3004="Agendado")+(Agenda!$H$5:$H$3004="Confirmado")))*Agenda!$A$5:$A$3004+(1-((Agenda!$E$5:$E$3004=A108)*((Agenda!$H$5:$H$3004="Agendado")+(Agenda!$H$5:$H$3004="Confirmado"))))*1E+10))&gt;=1E+10,"",SUMPRODUCT(MIN(((Agenda!$E$5:$E$3004=A108)*((Agenda!$H$5:$H$3004="Agendado")+(Agenda!$H$5:$H$3004="Confirmado")))*Agenda!$A$5:$A$3004+(1-((Agenda!$E$5:$E$3004=A108)*((Agenda!$H$5:$H$3004="Agendado")+(Agenda!$H$5:$H$3004="Confirmado"))))*1E+10))))</f>
        <v>46287.0</v>
      </c>
    </row>
    <row r="109">
      <c r="A109" s="37" t="inlineStr">
        <is>
          <t>Priscila Carvalho</t>
        </is>
      </c>
      <c r="B109" s="38" t="inlineStr">
        <is>
          <t>Vida Care</t>
        </is>
      </c>
      <c r="C109" s="38" t="inlineStr">
        <is>
          <t>Dra. Carolina Mendes</t>
        </is>
      </c>
      <c r="D109" s="37" t="inlineStr">
        <is>
          <t>(11) 90000-0157</t>
        </is>
      </c>
      <c r="E109" s="37" t="n"/>
      <c r="F109" s="30">
        <f>IF(A109="","",COUNTIFS(Agenda!$E$5:$E$3004,A109,Agenda!$H$5:$H$3004,"Realizado"))</f>
        <v>8</v>
      </c>
      <c r="G109" s="30">
        <f>IF(A109="","",COUNTIFS(Agenda!$E$5:$E$3004,A109,Agenda!$H$5:$H$3004,"Falta"))</f>
        <v>3</v>
      </c>
      <c r="H109" s="34">
        <f>IF(A109="","",IF(SUMPRODUCT(MAX((Agenda!$E$5:$E$3004=A109)*(Agenda!$H$5:$H$3004="Realizado")*Agenda!$A$5:$A$3004))=0,"",SUMPRODUCT(MAX((Agenda!$E$5:$E$3004=A109)*(Agenda!$H$5:$H$3004="Realizado")*Agenda!$A$5:$A$3004))))</f>
        <v>46252.0</v>
      </c>
      <c r="I109" s="34">
        <f>IF(A109="","",IF(SUMPRODUCT(MIN(((Agenda!$E$5:$E$3004=A109)*((Agenda!$H$5:$H$3004="Agendado")+(Agenda!$H$5:$H$3004="Confirmado")))*Agenda!$A$5:$A$3004+(1-((Agenda!$E$5:$E$3004=A109)*((Agenda!$H$5:$H$3004="Agendado")+(Agenda!$H$5:$H$3004="Confirmado"))))*1E+10))&gt;=1E+10,"",SUMPRODUCT(MIN(((Agenda!$E$5:$E$3004=A109)*((Agenda!$H$5:$H$3004="Agendado")+(Agenda!$H$5:$H$3004="Confirmado")))*Agenda!$A$5:$A$3004+(1-((Agenda!$E$5:$E$3004=A109)*((Agenda!$H$5:$H$3004="Agendado")+(Agenda!$H$5:$H$3004="Confirmado"))))*1E+10))))</f>
        <v>46279.0</v>
      </c>
    </row>
    <row r="110">
      <c r="A110" s="37" t="inlineStr">
        <is>
          <t>Priscila Castro</t>
        </is>
      </c>
      <c r="B110" s="38" t="inlineStr">
        <is>
          <t>Saúde Total</t>
        </is>
      </c>
      <c r="C110" s="38" t="inlineStr">
        <is>
          <t>Dra. Carolina Mendes</t>
        </is>
      </c>
      <c r="D110" s="37" t="inlineStr">
        <is>
          <t>(11) 90000-0112</t>
        </is>
      </c>
      <c r="E110" s="37" t="n"/>
      <c r="F110" s="30">
        <f>IF(A110="","",COUNTIFS(Agenda!$E$5:$E$3004,A110,Agenda!$H$5:$H$3004,"Realizado"))</f>
        <v>12</v>
      </c>
      <c r="G110" s="30">
        <f>IF(A110="","",COUNTIFS(Agenda!$E$5:$E$3004,A110,Agenda!$H$5:$H$3004,"Falta"))</f>
        <v>2</v>
      </c>
      <c r="H110" s="34">
        <f>IF(A110="","",IF(SUMPRODUCT(MAX((Agenda!$E$5:$E$3004=A110)*(Agenda!$H$5:$H$3004="Realizado")*Agenda!$A$5:$A$3004))=0,"",SUMPRODUCT(MAX((Agenda!$E$5:$E$3004=A110)*(Agenda!$H$5:$H$3004="Realizado")*Agenda!$A$5:$A$3004))))</f>
        <v>46273.0</v>
      </c>
      <c r="I110" s="34">
        <f>IF(A110="","",IF(SUMPRODUCT(MIN(((Agenda!$E$5:$E$3004=A110)*((Agenda!$H$5:$H$3004="Agendado")+(Agenda!$H$5:$H$3004="Confirmado")))*Agenda!$A$5:$A$3004+(1-((Agenda!$E$5:$E$3004=A110)*((Agenda!$H$5:$H$3004="Agendado")+(Agenda!$H$5:$H$3004="Confirmado"))))*1E+10))&gt;=1E+10,"",SUMPRODUCT(MIN(((Agenda!$E$5:$E$3004=A110)*((Agenda!$H$5:$H$3004="Agendado")+(Agenda!$H$5:$H$3004="Confirmado")))*Agenda!$A$5:$A$3004+(1-((Agenda!$E$5:$E$3004=A110)*((Agenda!$H$5:$H$3004="Agendado")+(Agenda!$H$5:$H$3004="Confirmado"))))*1E+10))))</f>
        <v>46280.0</v>
      </c>
    </row>
    <row r="111">
      <c r="A111" s="37" t="inlineStr">
        <is>
          <t>Priscila Nascimento</t>
        </is>
      </c>
      <c r="B111" s="38" t="inlineStr">
        <is>
          <t>MediPlan</t>
        </is>
      </c>
      <c r="C111" s="38" t="inlineStr">
        <is>
          <t>Dr. Paulo Andrade</t>
        </is>
      </c>
      <c r="D111" s="37" t="inlineStr">
        <is>
          <t>(11) 90000-0200</t>
        </is>
      </c>
      <c r="E111" s="37" t="n"/>
      <c r="F111" s="30">
        <f>IF(A111="","",COUNTIFS(Agenda!$E$5:$E$3004,A111,Agenda!$H$5:$H$3004,"Realizado"))</f>
        <v>1</v>
      </c>
      <c r="G111" s="30">
        <f>IF(A111="","",COUNTIFS(Agenda!$E$5:$E$3004,A111,Agenda!$H$5:$H$3004,"Falta"))</f>
        <v>0</v>
      </c>
      <c r="H111" s="34">
        <f>IF(A111="","",IF(SUMPRODUCT(MAX((Agenda!$E$5:$E$3004=A111)*(Agenda!$H$5:$H$3004="Realizado")*Agenda!$A$5:$A$3004))=0,"",SUMPRODUCT(MAX((Agenda!$E$5:$E$3004=A111)*(Agenda!$H$5:$H$3004="Realizado")*Agenda!$A$5:$A$3004))))</f>
        <v>46273.0</v>
      </c>
      <c r="I111" s="34">
        <f>IF(A111="","",IF(SUMPRODUCT(MIN(((Agenda!$E$5:$E$3004=A111)*((Agenda!$H$5:$H$3004="Agendado")+(Agenda!$H$5:$H$3004="Confirmado")))*Agenda!$A$5:$A$3004+(1-((Agenda!$E$5:$E$3004=A111)*((Agenda!$H$5:$H$3004="Agendado")+(Agenda!$H$5:$H$3004="Confirmado"))))*1E+10))&gt;=1E+10,"",SUMPRODUCT(MIN(((Agenda!$E$5:$E$3004=A111)*((Agenda!$H$5:$H$3004="Agendado")+(Agenda!$H$5:$H$3004="Confirmado")))*Agenda!$A$5:$A$3004+(1-((Agenda!$E$5:$E$3004=A111)*((Agenda!$H$5:$H$3004="Agendado")+(Agenda!$H$5:$H$3004="Confirmado"))))*1E+10))))</f>
        <v>46296.0</v>
      </c>
    </row>
    <row r="112">
      <c r="A112" s="37" t="inlineStr">
        <is>
          <t>Priscila Nunes</t>
        </is>
      </c>
      <c r="B112" s="38" t="inlineStr">
        <is>
          <t>MediPlan</t>
        </is>
      </c>
      <c r="C112" s="38" t="inlineStr">
        <is>
          <t>Dra. Carolina Mendes</t>
        </is>
      </c>
      <c r="D112" s="37" t="inlineStr">
        <is>
          <t>(11) 90000-0117</t>
        </is>
      </c>
      <c r="E112" s="37" t="n"/>
      <c r="F112" s="30">
        <f>IF(A112="","",COUNTIFS(Agenda!$E$5:$E$3004,A112,Agenda!$H$5:$H$3004,"Realizado"))</f>
        <v>7</v>
      </c>
      <c r="G112" s="30">
        <f>IF(A112="","",COUNTIFS(Agenda!$E$5:$E$3004,A112,Agenda!$H$5:$H$3004,"Falta"))</f>
        <v>0</v>
      </c>
      <c r="H112" s="34">
        <f>IF(A112="","",IF(SUMPRODUCT(MAX((Agenda!$E$5:$E$3004=A112)*(Agenda!$H$5:$H$3004="Realizado")*Agenda!$A$5:$A$3004))=0,"",SUMPRODUCT(MAX((Agenda!$E$5:$E$3004=A112)*(Agenda!$H$5:$H$3004="Realizado")*Agenda!$A$5:$A$3004))))</f>
        <v>46265.0</v>
      </c>
      <c r="I112" s="34">
        <f>IF(A112="","",IF(SUMPRODUCT(MIN(((Agenda!$E$5:$E$3004=A112)*((Agenda!$H$5:$H$3004="Agendado")+(Agenda!$H$5:$H$3004="Confirmado")))*Agenda!$A$5:$A$3004+(1-((Agenda!$E$5:$E$3004=A112)*((Agenda!$H$5:$H$3004="Agendado")+(Agenda!$H$5:$H$3004="Confirmado"))))*1E+10))&gt;=1E+10,"",SUMPRODUCT(MIN(((Agenda!$E$5:$E$3004=A112)*((Agenda!$H$5:$H$3004="Agendado")+(Agenda!$H$5:$H$3004="Confirmado")))*Agenda!$A$5:$A$3004+(1-((Agenda!$E$5:$E$3004=A112)*((Agenda!$H$5:$H$3004="Agendado")+(Agenda!$H$5:$H$3004="Confirmado"))))*1E+10))))</f>
        <v>46300.0</v>
      </c>
    </row>
    <row r="113">
      <c r="A113" s="37" t="inlineStr">
        <is>
          <t>Priscila Pinto</t>
        </is>
      </c>
      <c r="B113" s="38" t="inlineStr">
        <is>
          <t>Saúde Total</t>
        </is>
      </c>
      <c r="C113" s="38" t="inlineStr">
        <is>
          <t>Dr. Paulo Andrade</t>
        </is>
      </c>
      <c r="D113" s="37" t="inlineStr">
        <is>
          <t>(11) 90000-0218</t>
        </is>
      </c>
      <c r="E113" s="37" t="n"/>
      <c r="F113" s="30">
        <f>IF(A113="","",COUNTIFS(Agenda!$E$5:$E$3004,A113,Agenda!$H$5:$H$3004,"Realizado"))</f>
        <v>4</v>
      </c>
      <c r="G113" s="30">
        <f>IF(A113="","",COUNTIFS(Agenda!$E$5:$E$3004,A113,Agenda!$H$5:$H$3004,"Falta"))</f>
        <v>1</v>
      </c>
      <c r="H113" s="34">
        <f>IF(A113="","",IF(SUMPRODUCT(MAX((Agenda!$E$5:$E$3004=A113)*(Agenda!$H$5:$H$3004="Realizado")*Agenda!$A$5:$A$3004))=0,"",SUMPRODUCT(MAX((Agenda!$E$5:$E$3004=A113)*(Agenda!$H$5:$H$3004="Realizado")*Agenda!$A$5:$A$3004))))</f>
        <v>46212.0</v>
      </c>
      <c r="I113" s="34">
        <f>IF(A113="","",IF(SUMPRODUCT(MIN(((Agenda!$E$5:$E$3004=A113)*((Agenda!$H$5:$H$3004="Agendado")+(Agenda!$H$5:$H$3004="Confirmado")))*Agenda!$A$5:$A$3004+(1-((Agenda!$E$5:$E$3004=A113)*((Agenda!$H$5:$H$3004="Agendado")+(Agenda!$H$5:$H$3004="Confirmado"))))*1E+10))&gt;=1E+10,"",SUMPRODUCT(MIN(((Agenda!$E$5:$E$3004=A113)*((Agenda!$H$5:$H$3004="Agendado")+(Agenda!$H$5:$H$3004="Confirmado")))*Agenda!$A$5:$A$3004+(1-((Agenda!$E$5:$E$3004=A113)*((Agenda!$H$5:$H$3004="Agendado")+(Agenda!$H$5:$H$3004="Confirmado"))))*1E+10))))</f>
        <v/>
      </c>
    </row>
    <row r="114">
      <c r="A114" s="37" t="inlineStr">
        <is>
          <t>Priscila Reis</t>
        </is>
      </c>
      <c r="B114" s="38" t="inlineStr">
        <is>
          <t>Particular</t>
        </is>
      </c>
      <c r="C114" s="38" t="inlineStr">
        <is>
          <t>Dra. Renata Sousa</t>
        </is>
      </c>
      <c r="D114" s="37" t="inlineStr">
        <is>
          <t>(11) 90000-0239</t>
        </is>
      </c>
      <c r="E114" s="37" t="n"/>
      <c r="F114" s="30">
        <f>IF(A114="","",COUNTIFS(Agenda!$E$5:$E$3004,A114,Agenda!$H$5:$H$3004,"Realizado"))</f>
        <v>6</v>
      </c>
      <c r="G114" s="30">
        <f>IF(A114="","",COUNTIFS(Agenda!$E$5:$E$3004,A114,Agenda!$H$5:$H$3004,"Falta"))</f>
        <v>0</v>
      </c>
      <c r="H114" s="34">
        <f>IF(A114="","",IF(SUMPRODUCT(MAX((Agenda!$E$5:$E$3004=A114)*(Agenda!$H$5:$H$3004="Realizado")*Agenda!$A$5:$A$3004))=0,"",SUMPRODUCT(MAX((Agenda!$E$5:$E$3004=A114)*(Agenda!$H$5:$H$3004="Realizado")*Agenda!$A$5:$A$3004))))</f>
        <v>46275.0</v>
      </c>
      <c r="I114" s="34">
        <f>IF(A114="","",IF(SUMPRODUCT(MIN(((Agenda!$E$5:$E$3004=A114)*((Agenda!$H$5:$H$3004="Agendado")+(Agenda!$H$5:$H$3004="Confirmado")))*Agenda!$A$5:$A$3004+(1-((Agenda!$E$5:$E$3004=A114)*((Agenda!$H$5:$H$3004="Agendado")+(Agenda!$H$5:$H$3004="Confirmado"))))*1E+10))&gt;=1E+10,"",SUMPRODUCT(MIN(((Agenda!$E$5:$E$3004=A114)*((Agenda!$H$5:$H$3004="Agendado")+(Agenda!$H$5:$H$3004="Confirmado")))*Agenda!$A$5:$A$3004+(1-((Agenda!$E$5:$E$3004=A114)*((Agenda!$H$5:$H$3004="Agendado")+(Agenda!$H$5:$H$3004="Confirmado"))))*1E+10))))</f>
        <v>46287.0</v>
      </c>
    </row>
    <row r="115">
      <c r="A115" s="37" t="inlineStr">
        <is>
          <t>Priscila Rocha</t>
        </is>
      </c>
      <c r="B115" s="38" t="inlineStr">
        <is>
          <t>MediPlan</t>
        </is>
      </c>
      <c r="C115" s="38" t="inlineStr">
        <is>
          <t>Dr. Paulo Andrade</t>
        </is>
      </c>
      <c r="D115" s="37" t="inlineStr">
        <is>
          <t>(11) 90000-0172</t>
        </is>
      </c>
      <c r="E115" s="37" t="n"/>
      <c r="F115" s="30">
        <f>IF(A115="","",COUNTIFS(Agenda!$E$5:$E$3004,A115,Agenda!$H$5:$H$3004,"Realizado"))</f>
        <v>5</v>
      </c>
      <c r="G115" s="30">
        <f>IF(A115="","",COUNTIFS(Agenda!$E$5:$E$3004,A115,Agenda!$H$5:$H$3004,"Falta"))</f>
        <v>1</v>
      </c>
      <c r="H115" s="34">
        <f>IF(A115="","",IF(SUMPRODUCT(MAX((Agenda!$E$5:$E$3004=A115)*(Agenda!$H$5:$H$3004="Realizado")*Agenda!$A$5:$A$3004))=0,"",SUMPRODUCT(MAX((Agenda!$E$5:$E$3004=A115)*(Agenda!$H$5:$H$3004="Realizado")*Agenda!$A$5:$A$3004))))</f>
        <v>46231.0</v>
      </c>
      <c r="I115" s="34">
        <f>IF(A115="","",IF(SUMPRODUCT(MIN(((Agenda!$E$5:$E$3004=A115)*((Agenda!$H$5:$H$3004="Agendado")+(Agenda!$H$5:$H$3004="Confirmado")))*Agenda!$A$5:$A$3004+(1-((Agenda!$E$5:$E$3004=A115)*((Agenda!$H$5:$H$3004="Agendado")+(Agenda!$H$5:$H$3004="Confirmado"))))*1E+10))&gt;=1E+10,"",SUMPRODUCT(MIN(((Agenda!$E$5:$E$3004=A115)*((Agenda!$H$5:$H$3004="Agendado")+(Agenda!$H$5:$H$3004="Confirmado")))*Agenda!$A$5:$A$3004+(1-((Agenda!$E$5:$E$3004=A115)*((Agenda!$H$5:$H$3004="Agendado")+(Agenda!$H$5:$H$3004="Confirmado"))))*1E+10))))</f>
        <v>46279.0</v>
      </c>
    </row>
    <row r="116">
      <c r="A116" s="37" t="inlineStr">
        <is>
          <t>Rafael Araújo</t>
        </is>
      </c>
      <c r="B116" s="38" t="inlineStr">
        <is>
          <t>MediPlan</t>
        </is>
      </c>
      <c r="C116" s="38" t="inlineStr">
        <is>
          <t>Dr. Paulo Andrade</t>
        </is>
      </c>
      <c r="D116" s="37" t="inlineStr">
        <is>
          <t>(11) 90000-0214</t>
        </is>
      </c>
      <c r="E116" s="37" t="n"/>
      <c r="F116" s="30">
        <f>IF(A116="","",COUNTIFS(Agenda!$E$5:$E$3004,A116,Agenda!$H$5:$H$3004,"Realizado"))</f>
        <v>5</v>
      </c>
      <c r="G116" s="30">
        <f>IF(A116="","",COUNTIFS(Agenda!$E$5:$E$3004,A116,Agenda!$H$5:$H$3004,"Falta"))</f>
        <v>0</v>
      </c>
      <c r="H116" s="34">
        <f>IF(A116="","",IF(SUMPRODUCT(MAX((Agenda!$E$5:$E$3004=A116)*(Agenda!$H$5:$H$3004="Realizado")*Agenda!$A$5:$A$3004))=0,"",SUMPRODUCT(MAX((Agenda!$E$5:$E$3004=A116)*(Agenda!$H$5:$H$3004="Realizado")*Agenda!$A$5:$A$3004))))</f>
        <v>46234.0</v>
      </c>
      <c r="I116" s="34">
        <f>IF(A116="","",IF(SUMPRODUCT(MIN(((Agenda!$E$5:$E$3004=A116)*((Agenda!$H$5:$H$3004="Agendado")+(Agenda!$H$5:$H$3004="Confirmado")))*Agenda!$A$5:$A$3004+(1-((Agenda!$E$5:$E$3004=A116)*((Agenda!$H$5:$H$3004="Agendado")+(Agenda!$H$5:$H$3004="Confirmado"))))*1E+10))&gt;=1E+10,"",SUMPRODUCT(MIN(((Agenda!$E$5:$E$3004=A116)*((Agenda!$H$5:$H$3004="Agendado")+(Agenda!$H$5:$H$3004="Confirmado")))*Agenda!$A$5:$A$3004+(1-((Agenda!$E$5:$E$3004=A116)*((Agenda!$H$5:$H$3004="Agendado")+(Agenda!$H$5:$H$3004="Confirmado"))))*1E+10))))</f>
        <v/>
      </c>
    </row>
    <row r="117">
      <c r="A117" s="37" t="inlineStr">
        <is>
          <t>Rafael Barros</t>
        </is>
      </c>
      <c r="B117" s="38" t="inlineStr">
        <is>
          <t>Particular</t>
        </is>
      </c>
      <c r="C117" s="38" t="inlineStr">
        <is>
          <t>Dr. Paulo Andrade</t>
        </is>
      </c>
      <c r="D117" s="37" t="inlineStr">
        <is>
          <t>(11) 90000-0209</t>
        </is>
      </c>
      <c r="E117" s="37" t="n"/>
      <c r="F117" s="30">
        <f>IF(A117="","",COUNTIFS(Agenda!$E$5:$E$3004,A117,Agenda!$H$5:$H$3004,"Realizado"))</f>
        <v>9</v>
      </c>
      <c r="G117" s="30">
        <f>IF(A117="","",COUNTIFS(Agenda!$E$5:$E$3004,A117,Agenda!$H$5:$H$3004,"Falta"))</f>
        <v>0</v>
      </c>
      <c r="H117" s="34">
        <f>IF(A117="","",IF(SUMPRODUCT(MAX((Agenda!$E$5:$E$3004=A117)*(Agenda!$H$5:$H$3004="Realizado")*Agenda!$A$5:$A$3004))=0,"",SUMPRODUCT(MAX((Agenda!$E$5:$E$3004=A117)*(Agenda!$H$5:$H$3004="Realizado")*Agenda!$A$5:$A$3004))))</f>
        <v>46273.0</v>
      </c>
      <c r="I117" s="34">
        <f>IF(A117="","",IF(SUMPRODUCT(MIN(((Agenda!$E$5:$E$3004=A117)*((Agenda!$H$5:$H$3004="Agendado")+(Agenda!$H$5:$H$3004="Confirmado")))*Agenda!$A$5:$A$3004+(1-((Agenda!$E$5:$E$3004=A117)*((Agenda!$H$5:$H$3004="Agendado")+(Agenda!$H$5:$H$3004="Confirmado"))))*1E+10))&gt;=1E+10,"",SUMPRODUCT(MIN(((Agenda!$E$5:$E$3004=A117)*((Agenda!$H$5:$H$3004="Agendado")+(Agenda!$H$5:$H$3004="Confirmado")))*Agenda!$A$5:$A$3004+(1-((Agenda!$E$5:$E$3004=A117)*((Agenda!$H$5:$H$3004="Agendado")+(Agenda!$H$5:$H$3004="Confirmado"))))*1E+10))))</f>
        <v>46289.0</v>
      </c>
    </row>
    <row r="118">
      <c r="A118" s="37" t="inlineStr">
        <is>
          <t>Rafael Batista</t>
        </is>
      </c>
      <c r="B118" s="38" t="inlineStr">
        <is>
          <t>Saúde Total</t>
        </is>
      </c>
      <c r="C118" s="38" t="inlineStr">
        <is>
          <t>Dra. Carolina Mendes</t>
        </is>
      </c>
      <c r="D118" s="37" t="inlineStr">
        <is>
          <t>(11) 90000-0115</t>
        </is>
      </c>
      <c r="E118" s="37" t="n"/>
      <c r="F118" s="30">
        <f>IF(A118="","",COUNTIFS(Agenda!$E$5:$E$3004,A118,Agenda!$H$5:$H$3004,"Realizado"))</f>
        <v>2</v>
      </c>
      <c r="G118" s="30">
        <f>IF(A118="","",COUNTIFS(Agenda!$E$5:$E$3004,A118,Agenda!$H$5:$H$3004,"Falta"))</f>
        <v>0</v>
      </c>
      <c r="H118" s="34">
        <f>IF(A118="","",IF(SUMPRODUCT(MAX((Agenda!$E$5:$E$3004=A118)*(Agenda!$H$5:$H$3004="Realizado")*Agenda!$A$5:$A$3004))=0,"",SUMPRODUCT(MAX((Agenda!$E$5:$E$3004=A118)*(Agenda!$H$5:$H$3004="Realizado")*Agenda!$A$5:$A$3004))))</f>
        <v>46237.0</v>
      </c>
      <c r="I118" s="34">
        <f>IF(A118="","",IF(SUMPRODUCT(MIN(((Agenda!$E$5:$E$3004=A118)*((Agenda!$H$5:$H$3004="Agendado")+(Agenda!$H$5:$H$3004="Confirmado")))*Agenda!$A$5:$A$3004+(1-((Agenda!$E$5:$E$3004=A118)*((Agenda!$H$5:$H$3004="Agendado")+(Agenda!$H$5:$H$3004="Confirmado"))))*1E+10))&gt;=1E+10,"",SUMPRODUCT(MIN(((Agenda!$E$5:$E$3004=A118)*((Agenda!$H$5:$H$3004="Agendado")+(Agenda!$H$5:$H$3004="Confirmado")))*Agenda!$A$5:$A$3004+(1-((Agenda!$E$5:$E$3004=A118)*((Agenda!$H$5:$H$3004="Agendado")+(Agenda!$H$5:$H$3004="Confirmado"))))*1E+10))))</f>
        <v>46290.0</v>
      </c>
    </row>
    <row r="119">
      <c r="A119" s="37" t="inlineStr">
        <is>
          <t>Rafael Correia</t>
        </is>
      </c>
      <c r="B119" s="38" t="inlineStr">
        <is>
          <t>Particular</t>
        </is>
      </c>
      <c r="C119" s="38" t="inlineStr">
        <is>
          <t>Dr. Paulo Andrade</t>
        </is>
      </c>
      <c r="D119" s="37" t="inlineStr">
        <is>
          <t>(11) 90000-0195</t>
        </is>
      </c>
      <c r="E119" s="37" t="n"/>
      <c r="F119" s="30">
        <f>IF(A119="","",COUNTIFS(Agenda!$E$5:$E$3004,A119,Agenda!$H$5:$H$3004,"Realizado"))</f>
        <v>3</v>
      </c>
      <c r="G119" s="30">
        <f>IF(A119="","",COUNTIFS(Agenda!$E$5:$E$3004,A119,Agenda!$H$5:$H$3004,"Falta"))</f>
        <v>0</v>
      </c>
      <c r="H119" s="34">
        <f>IF(A119="","",IF(SUMPRODUCT(MAX((Agenda!$E$5:$E$3004=A119)*(Agenda!$H$5:$H$3004="Realizado")*Agenda!$A$5:$A$3004))=0,"",SUMPRODUCT(MAX((Agenda!$E$5:$E$3004=A119)*(Agenda!$H$5:$H$3004="Realizado")*Agenda!$A$5:$A$3004))))</f>
        <v>46265.0</v>
      </c>
      <c r="I119" s="34">
        <f>IF(A119="","",IF(SUMPRODUCT(MIN(((Agenda!$E$5:$E$3004=A119)*((Agenda!$H$5:$H$3004="Agendado")+(Agenda!$H$5:$H$3004="Confirmado")))*Agenda!$A$5:$A$3004+(1-((Agenda!$E$5:$E$3004=A119)*((Agenda!$H$5:$H$3004="Agendado")+(Agenda!$H$5:$H$3004="Confirmado"))))*1E+10))&gt;=1E+10,"",SUMPRODUCT(MIN(((Agenda!$E$5:$E$3004=A119)*((Agenda!$H$5:$H$3004="Agendado")+(Agenda!$H$5:$H$3004="Confirmado")))*Agenda!$A$5:$A$3004+(1-((Agenda!$E$5:$E$3004=A119)*((Agenda!$H$5:$H$3004="Agendado")+(Agenda!$H$5:$H$3004="Confirmado"))))*1E+10))))</f>
        <v>46280.0</v>
      </c>
    </row>
    <row r="120">
      <c r="A120" s="37" t="inlineStr">
        <is>
          <t>Rafael Dias</t>
        </is>
      </c>
      <c r="B120" s="38" t="inlineStr">
        <is>
          <t>Particular</t>
        </is>
      </c>
      <c r="C120" s="38" t="inlineStr">
        <is>
          <t>Dra. Carolina Mendes</t>
        </is>
      </c>
      <c r="D120" s="37" t="inlineStr">
        <is>
          <t>(11) 90000-0113</t>
        </is>
      </c>
      <c r="E120" s="37" t="n"/>
      <c r="F120" s="30">
        <f>IF(A120="","",COUNTIFS(Agenda!$E$5:$E$3004,A120,Agenda!$H$5:$H$3004,"Realizado"))</f>
        <v>9</v>
      </c>
      <c r="G120" s="30">
        <f>IF(A120="","",COUNTIFS(Agenda!$E$5:$E$3004,A120,Agenda!$H$5:$H$3004,"Falta"))</f>
        <v>0</v>
      </c>
      <c r="H120" s="34">
        <f>IF(A120="","",IF(SUMPRODUCT(MAX((Agenda!$E$5:$E$3004=A120)*(Agenda!$H$5:$H$3004="Realizado")*Agenda!$A$5:$A$3004))=0,"",SUMPRODUCT(MAX((Agenda!$E$5:$E$3004=A120)*(Agenda!$H$5:$H$3004="Realizado")*Agenda!$A$5:$A$3004))))</f>
        <v>46275.0</v>
      </c>
      <c r="I120" s="34">
        <f>IF(A120="","",IF(SUMPRODUCT(MIN(((Agenda!$E$5:$E$3004=A120)*((Agenda!$H$5:$H$3004="Agendado")+(Agenda!$H$5:$H$3004="Confirmado")))*Agenda!$A$5:$A$3004+(1-((Agenda!$E$5:$E$3004=A120)*((Agenda!$H$5:$H$3004="Agendado")+(Agenda!$H$5:$H$3004="Confirmado"))))*1E+10))&gt;=1E+10,"",SUMPRODUCT(MIN(((Agenda!$E$5:$E$3004=A120)*((Agenda!$H$5:$H$3004="Agendado")+(Agenda!$H$5:$H$3004="Confirmado")))*Agenda!$A$5:$A$3004+(1-((Agenda!$E$5:$E$3004=A120)*((Agenda!$H$5:$H$3004="Agendado")+(Agenda!$H$5:$H$3004="Confirmado"))))*1E+10))))</f>
        <v>46281.0</v>
      </c>
    </row>
    <row r="121">
      <c r="A121" s="37" t="inlineStr">
        <is>
          <t>Rafael Nascimento</t>
        </is>
      </c>
      <c r="B121" s="38" t="inlineStr">
        <is>
          <t>Saúde Total</t>
        </is>
      </c>
      <c r="C121" s="38" t="inlineStr">
        <is>
          <t>Dra. Renata Sousa</t>
        </is>
      </c>
      <c r="D121" s="37" t="inlineStr">
        <is>
          <t>(11) 90000-0247</t>
        </is>
      </c>
      <c r="E121" s="37" t="n"/>
      <c r="F121" s="30">
        <f>IF(A121="","",COUNTIFS(Agenda!$E$5:$E$3004,A121,Agenda!$H$5:$H$3004,"Realizado"))</f>
        <v>3</v>
      </c>
      <c r="G121" s="30">
        <f>IF(A121="","",COUNTIFS(Agenda!$E$5:$E$3004,A121,Agenda!$H$5:$H$3004,"Falta"))</f>
        <v>0</v>
      </c>
      <c r="H121" s="34">
        <f>IF(A121="","",IF(SUMPRODUCT(MAX((Agenda!$E$5:$E$3004=A121)*(Agenda!$H$5:$H$3004="Realizado")*Agenda!$A$5:$A$3004))=0,"",SUMPRODUCT(MAX((Agenda!$E$5:$E$3004=A121)*(Agenda!$H$5:$H$3004="Realizado")*Agenda!$A$5:$A$3004))))</f>
        <v>46245.0</v>
      </c>
      <c r="I121" s="34">
        <f>IF(A121="","",IF(SUMPRODUCT(MIN(((Agenda!$E$5:$E$3004=A121)*((Agenda!$H$5:$H$3004="Agendado")+(Agenda!$H$5:$H$3004="Confirmado")))*Agenda!$A$5:$A$3004+(1-((Agenda!$E$5:$E$3004=A121)*((Agenda!$H$5:$H$3004="Agendado")+(Agenda!$H$5:$H$3004="Confirmado"))))*1E+10))&gt;=1E+10,"",SUMPRODUCT(MIN(((Agenda!$E$5:$E$3004=A121)*((Agenda!$H$5:$H$3004="Agendado")+(Agenda!$H$5:$H$3004="Confirmado")))*Agenda!$A$5:$A$3004+(1-((Agenda!$E$5:$E$3004=A121)*((Agenda!$H$5:$H$3004="Agendado")+(Agenda!$H$5:$H$3004="Confirmado"))))*1E+10))))</f>
        <v/>
      </c>
    </row>
    <row r="122">
      <c r="A122" s="37" t="inlineStr">
        <is>
          <t>Rafael Pereira</t>
        </is>
      </c>
      <c r="B122" s="38" t="inlineStr">
        <is>
          <t>Particular</t>
        </is>
      </c>
      <c r="C122" s="38" t="inlineStr">
        <is>
          <t>Dra. Renata Sousa</t>
        </is>
      </c>
      <c r="D122" s="37" t="inlineStr">
        <is>
          <t>(11) 90000-0232</t>
        </is>
      </c>
      <c r="E122" s="37" t="n"/>
      <c r="F122" s="30">
        <f>IF(A122="","",COUNTIFS(Agenda!$E$5:$E$3004,A122,Agenda!$H$5:$H$3004,"Realizado"))</f>
        <v>8</v>
      </c>
      <c r="G122" s="30">
        <f>IF(A122="","",COUNTIFS(Agenda!$E$5:$E$3004,A122,Agenda!$H$5:$H$3004,"Falta"))</f>
        <v>2</v>
      </c>
      <c r="H122" s="34">
        <f>IF(A122="","",IF(SUMPRODUCT(MAX((Agenda!$E$5:$E$3004=A122)*(Agenda!$H$5:$H$3004="Realizado")*Agenda!$A$5:$A$3004))=0,"",SUMPRODUCT(MAX((Agenda!$E$5:$E$3004=A122)*(Agenda!$H$5:$H$3004="Realizado")*Agenda!$A$5:$A$3004))))</f>
        <v>46268.0</v>
      </c>
      <c r="I122" s="34">
        <f>IF(A122="","",IF(SUMPRODUCT(MIN(((Agenda!$E$5:$E$3004=A122)*((Agenda!$H$5:$H$3004="Agendado")+(Agenda!$H$5:$H$3004="Confirmado")))*Agenda!$A$5:$A$3004+(1-((Agenda!$E$5:$E$3004=A122)*((Agenda!$H$5:$H$3004="Agendado")+(Agenda!$H$5:$H$3004="Confirmado"))))*1E+10))&gt;=1E+10,"",SUMPRODUCT(MIN(((Agenda!$E$5:$E$3004=A122)*((Agenda!$H$5:$H$3004="Agendado")+(Agenda!$H$5:$H$3004="Confirmado")))*Agenda!$A$5:$A$3004+(1-((Agenda!$E$5:$E$3004=A122)*((Agenda!$H$5:$H$3004="Agendado")+(Agenda!$H$5:$H$3004="Confirmado"))))*1E+10))))</f>
        <v/>
      </c>
    </row>
    <row r="123">
      <c r="A123" s="37" t="inlineStr">
        <is>
          <t>Regina Castro</t>
        </is>
      </c>
      <c r="B123" s="38" t="inlineStr">
        <is>
          <t>Vida Care</t>
        </is>
      </c>
      <c r="C123" s="38" t="inlineStr">
        <is>
          <t>Dra. Carolina Mendes</t>
        </is>
      </c>
      <c r="D123" s="37" t="inlineStr">
        <is>
          <t>(11) 90000-0107</t>
        </is>
      </c>
      <c r="E123" s="37" t="n"/>
      <c r="F123" s="30">
        <f>IF(A123="","",COUNTIFS(Agenda!$E$5:$E$3004,A123,Agenda!$H$5:$H$3004,"Realizado"))</f>
        <v>7</v>
      </c>
      <c r="G123" s="30">
        <f>IF(A123="","",COUNTIFS(Agenda!$E$5:$E$3004,A123,Agenda!$H$5:$H$3004,"Falta"))</f>
        <v>1</v>
      </c>
      <c r="H123" s="34">
        <f>IF(A123="","",IF(SUMPRODUCT(MAX((Agenda!$E$5:$E$3004=A123)*(Agenda!$H$5:$H$3004="Realizado")*Agenda!$A$5:$A$3004))=0,"",SUMPRODUCT(MAX((Agenda!$E$5:$E$3004=A123)*(Agenda!$H$5:$H$3004="Realizado")*Agenda!$A$5:$A$3004))))</f>
        <v>46261.0</v>
      </c>
      <c r="I123" s="34">
        <f>IF(A123="","",IF(SUMPRODUCT(MIN(((Agenda!$E$5:$E$3004=A123)*((Agenda!$H$5:$H$3004="Agendado")+(Agenda!$H$5:$H$3004="Confirmado")))*Agenda!$A$5:$A$3004+(1-((Agenda!$E$5:$E$3004=A123)*((Agenda!$H$5:$H$3004="Agendado")+(Agenda!$H$5:$H$3004="Confirmado"))))*1E+10))&gt;=1E+10,"",SUMPRODUCT(MIN(((Agenda!$E$5:$E$3004=A123)*((Agenda!$H$5:$H$3004="Agendado")+(Agenda!$H$5:$H$3004="Confirmado")))*Agenda!$A$5:$A$3004+(1-((Agenda!$E$5:$E$3004=A123)*((Agenda!$H$5:$H$3004="Agendado")+(Agenda!$H$5:$H$3004="Confirmado"))))*1E+10))))</f>
        <v>46279.0</v>
      </c>
    </row>
    <row r="124">
      <c r="A124" s="37" t="inlineStr">
        <is>
          <t>Regina Duarte</t>
        </is>
      </c>
      <c r="B124" s="38" t="inlineStr">
        <is>
          <t>Particular</t>
        </is>
      </c>
      <c r="C124" s="38" t="inlineStr">
        <is>
          <t>Dra. Carolina Mendes</t>
        </is>
      </c>
      <c r="D124" s="37" t="inlineStr">
        <is>
          <t>(11) 90000-0114</t>
        </is>
      </c>
      <c r="E124" s="37" t="n"/>
      <c r="F124" s="30">
        <f>IF(A124="","",COUNTIFS(Agenda!$E$5:$E$3004,A124,Agenda!$H$5:$H$3004,"Realizado"))</f>
        <v>8</v>
      </c>
      <c r="G124" s="30">
        <f>IF(A124="","",COUNTIFS(Agenda!$E$5:$E$3004,A124,Agenda!$H$5:$H$3004,"Falta"))</f>
        <v>0</v>
      </c>
      <c r="H124" s="34">
        <f>IF(A124="","",IF(SUMPRODUCT(MAX((Agenda!$E$5:$E$3004=A124)*(Agenda!$H$5:$H$3004="Realizado")*Agenda!$A$5:$A$3004))=0,"",SUMPRODUCT(MAX((Agenda!$E$5:$E$3004=A124)*(Agenda!$H$5:$H$3004="Realizado")*Agenda!$A$5:$A$3004))))</f>
        <v>46276.0</v>
      </c>
      <c r="I124" s="34">
        <f>IF(A124="","",IF(SUMPRODUCT(MIN(((Agenda!$E$5:$E$3004=A124)*((Agenda!$H$5:$H$3004="Agendado")+(Agenda!$H$5:$H$3004="Confirmado")))*Agenda!$A$5:$A$3004+(1-((Agenda!$E$5:$E$3004=A124)*((Agenda!$H$5:$H$3004="Agendado")+(Agenda!$H$5:$H$3004="Confirmado"))))*1E+10))&gt;=1E+10,"",SUMPRODUCT(MIN(((Agenda!$E$5:$E$3004=A124)*((Agenda!$H$5:$H$3004="Agendado")+(Agenda!$H$5:$H$3004="Confirmado")))*Agenda!$A$5:$A$3004+(1-((Agenda!$E$5:$E$3004=A124)*((Agenda!$H$5:$H$3004="Agendado")+(Agenda!$H$5:$H$3004="Confirmado"))))*1E+10))))</f>
        <v>46279.0</v>
      </c>
    </row>
    <row r="125">
      <c r="A125" s="37" t="inlineStr">
        <is>
          <t>Regina Macedo</t>
        </is>
      </c>
      <c r="B125" s="38" t="inlineStr">
        <is>
          <t>Particular</t>
        </is>
      </c>
      <c r="C125" s="38" t="inlineStr">
        <is>
          <t>Dra. Carolina Mendes</t>
        </is>
      </c>
      <c r="D125" s="37" t="inlineStr">
        <is>
          <t>(11) 90000-0127</t>
        </is>
      </c>
      <c r="E125" s="37" t="n"/>
      <c r="F125" s="30">
        <f>IF(A125="","",COUNTIFS(Agenda!$E$5:$E$3004,A125,Agenda!$H$5:$H$3004,"Realizado"))</f>
        <v>11</v>
      </c>
      <c r="G125" s="30">
        <f>IF(A125="","",COUNTIFS(Agenda!$E$5:$E$3004,A125,Agenda!$H$5:$H$3004,"Falta"))</f>
        <v>0</v>
      </c>
      <c r="H125" s="34">
        <f>IF(A125="","",IF(SUMPRODUCT(MAX((Agenda!$E$5:$E$3004=A125)*(Agenda!$H$5:$H$3004="Realizado")*Agenda!$A$5:$A$3004))=0,"",SUMPRODUCT(MAX((Agenda!$E$5:$E$3004=A125)*(Agenda!$H$5:$H$3004="Realizado")*Agenda!$A$5:$A$3004))))</f>
        <v>46275.0</v>
      </c>
      <c r="I125" s="34">
        <f>IF(A125="","",IF(SUMPRODUCT(MIN(((Agenda!$E$5:$E$3004=A125)*((Agenda!$H$5:$H$3004="Agendado")+(Agenda!$H$5:$H$3004="Confirmado")))*Agenda!$A$5:$A$3004+(1-((Agenda!$E$5:$E$3004=A125)*((Agenda!$H$5:$H$3004="Agendado")+(Agenda!$H$5:$H$3004="Confirmado"))))*1E+10))&gt;=1E+10,"",SUMPRODUCT(MIN(((Agenda!$E$5:$E$3004=A125)*((Agenda!$H$5:$H$3004="Agendado")+(Agenda!$H$5:$H$3004="Confirmado")))*Agenda!$A$5:$A$3004+(1-((Agenda!$E$5:$E$3004=A125)*((Agenda!$H$5:$H$3004="Agendado")+(Agenda!$H$5:$H$3004="Confirmado"))))*1E+10))))</f>
        <v>46283.0</v>
      </c>
    </row>
    <row r="126">
      <c r="A126" s="37" t="inlineStr">
        <is>
          <t>Regina Teixeira</t>
        </is>
      </c>
      <c r="B126" s="38" t="inlineStr">
        <is>
          <t>Particular</t>
        </is>
      </c>
      <c r="C126" s="38" t="inlineStr">
        <is>
          <t>Dra. Carolina Mendes</t>
        </is>
      </c>
      <c r="D126" s="37" t="inlineStr">
        <is>
          <t>(11) 90000-0109</t>
        </is>
      </c>
      <c r="E126" s="37" t="n"/>
      <c r="F126" s="30">
        <f>IF(A126="","",COUNTIFS(Agenda!$E$5:$E$3004,A126,Agenda!$H$5:$H$3004,"Realizado"))</f>
        <v>10</v>
      </c>
      <c r="G126" s="30">
        <f>IF(A126="","",COUNTIFS(Agenda!$E$5:$E$3004,A126,Agenda!$H$5:$H$3004,"Falta"))</f>
        <v>0</v>
      </c>
      <c r="H126" s="34">
        <f>IF(A126="","",IF(SUMPRODUCT(MAX((Agenda!$E$5:$E$3004=A126)*(Agenda!$H$5:$H$3004="Realizado")*Agenda!$A$5:$A$3004))=0,"",SUMPRODUCT(MAX((Agenda!$E$5:$E$3004=A126)*(Agenda!$H$5:$H$3004="Realizado")*Agenda!$A$5:$A$3004))))</f>
        <v>46268.0</v>
      </c>
      <c r="I126" s="34">
        <f>IF(A126="","",IF(SUMPRODUCT(MIN(((Agenda!$E$5:$E$3004=A126)*((Agenda!$H$5:$H$3004="Agendado")+(Agenda!$H$5:$H$3004="Confirmado")))*Agenda!$A$5:$A$3004+(1-((Agenda!$E$5:$E$3004=A126)*((Agenda!$H$5:$H$3004="Agendado")+(Agenda!$H$5:$H$3004="Confirmado"))))*1E+10))&gt;=1E+10,"",SUMPRODUCT(MIN(((Agenda!$E$5:$E$3004=A126)*((Agenda!$H$5:$H$3004="Agendado")+(Agenda!$H$5:$H$3004="Confirmado")))*Agenda!$A$5:$A$3004+(1-((Agenda!$E$5:$E$3004=A126)*((Agenda!$H$5:$H$3004="Agendado")+(Agenda!$H$5:$H$3004="Confirmado"))))*1E+10))))</f>
        <v/>
      </c>
    </row>
    <row r="127">
      <c r="A127" s="37" t="inlineStr">
        <is>
          <t>Renato Dias</t>
        </is>
      </c>
      <c r="B127" s="38" t="inlineStr">
        <is>
          <t>Particular</t>
        </is>
      </c>
      <c r="C127" s="38" t="inlineStr">
        <is>
          <t>Dra. Carolina Mendes</t>
        </is>
      </c>
      <c r="D127" s="37" t="inlineStr">
        <is>
          <t>(11) 90000-0146</t>
        </is>
      </c>
      <c r="E127" s="37" t="n"/>
      <c r="F127" s="30">
        <f>IF(A127="","",COUNTIFS(Agenda!$E$5:$E$3004,A127,Agenda!$H$5:$H$3004,"Realizado"))</f>
        <v>4</v>
      </c>
      <c r="G127" s="30">
        <f>IF(A127="","",COUNTIFS(Agenda!$E$5:$E$3004,A127,Agenda!$H$5:$H$3004,"Falta"))</f>
        <v>0</v>
      </c>
      <c r="H127" s="34">
        <f>IF(A127="","",IF(SUMPRODUCT(MAX((Agenda!$E$5:$E$3004=A127)*(Agenda!$H$5:$H$3004="Realizado")*Agenda!$A$5:$A$3004))=0,"",SUMPRODUCT(MAX((Agenda!$E$5:$E$3004=A127)*(Agenda!$H$5:$H$3004="Realizado")*Agenda!$A$5:$A$3004))))</f>
        <v>46265.0</v>
      </c>
      <c r="I127" s="34">
        <f>IF(A127="","",IF(SUMPRODUCT(MIN(((Agenda!$E$5:$E$3004=A127)*((Agenda!$H$5:$H$3004="Agendado")+(Agenda!$H$5:$H$3004="Confirmado")))*Agenda!$A$5:$A$3004+(1-((Agenda!$E$5:$E$3004=A127)*((Agenda!$H$5:$H$3004="Agendado")+(Agenda!$H$5:$H$3004="Confirmado"))))*1E+10))&gt;=1E+10,"",SUMPRODUCT(MIN(((Agenda!$E$5:$E$3004=A127)*((Agenda!$H$5:$H$3004="Agendado")+(Agenda!$H$5:$H$3004="Confirmado")))*Agenda!$A$5:$A$3004+(1-((Agenda!$E$5:$E$3004=A127)*((Agenda!$H$5:$H$3004="Agendado")+(Agenda!$H$5:$H$3004="Confirmado"))))*1E+10))))</f>
        <v>46279.0</v>
      </c>
    </row>
    <row r="128">
      <c r="A128" s="37" t="inlineStr">
        <is>
          <t>Renato Pereira</t>
        </is>
      </c>
      <c r="B128" s="38" t="inlineStr">
        <is>
          <t>MediPlan</t>
        </is>
      </c>
      <c r="C128" s="38" t="inlineStr">
        <is>
          <t>Dr. Paulo Andrade</t>
        </is>
      </c>
      <c r="D128" s="37" t="inlineStr">
        <is>
          <t>(11) 90000-0192</t>
        </is>
      </c>
      <c r="E128" s="37" t="n"/>
      <c r="F128" s="30">
        <f>IF(A128="","",COUNTIFS(Agenda!$E$5:$E$3004,A128,Agenda!$H$5:$H$3004,"Realizado"))</f>
        <v>2</v>
      </c>
      <c r="G128" s="30">
        <f>IF(A128="","",COUNTIFS(Agenda!$E$5:$E$3004,A128,Agenda!$H$5:$H$3004,"Falta"))</f>
        <v>0</v>
      </c>
      <c r="H128" s="34">
        <f>IF(A128="","",IF(SUMPRODUCT(MAX((Agenda!$E$5:$E$3004=A128)*(Agenda!$H$5:$H$3004="Realizado")*Agenda!$A$5:$A$3004))=0,"",SUMPRODUCT(MAX((Agenda!$E$5:$E$3004=A128)*(Agenda!$H$5:$H$3004="Realizado")*Agenda!$A$5:$A$3004))))</f>
        <v>46237.0</v>
      </c>
      <c r="I128" s="34">
        <f>IF(A128="","",IF(SUMPRODUCT(MIN(((Agenda!$E$5:$E$3004=A128)*((Agenda!$H$5:$H$3004="Agendado")+(Agenda!$H$5:$H$3004="Confirmado")))*Agenda!$A$5:$A$3004+(1-((Agenda!$E$5:$E$3004=A128)*((Agenda!$H$5:$H$3004="Agendado")+(Agenda!$H$5:$H$3004="Confirmado"))))*1E+10))&gt;=1E+10,"",SUMPRODUCT(MIN(((Agenda!$E$5:$E$3004=A128)*((Agenda!$H$5:$H$3004="Agendado")+(Agenda!$H$5:$H$3004="Confirmado")))*Agenda!$A$5:$A$3004+(1-((Agenda!$E$5:$E$3004=A128)*((Agenda!$H$5:$H$3004="Agendado")+(Agenda!$H$5:$H$3004="Confirmado"))))*1E+10))))</f>
        <v>46282.0</v>
      </c>
    </row>
    <row r="129">
      <c r="A129" s="37" t="inlineStr">
        <is>
          <t>Ricardo Melo</t>
        </is>
      </c>
      <c r="B129" s="38" t="inlineStr">
        <is>
          <t>Saúde Total</t>
        </is>
      </c>
      <c r="C129" s="38" t="inlineStr">
        <is>
          <t>Dra. Carolina Mendes</t>
        </is>
      </c>
      <c r="D129" s="37" t="inlineStr">
        <is>
          <t>(11) 90000-0161</t>
        </is>
      </c>
      <c r="E129" s="37" t="n"/>
      <c r="F129" s="30">
        <f>IF(A129="","",COUNTIFS(Agenda!$E$5:$E$3004,A129,Agenda!$H$5:$H$3004,"Realizado"))</f>
        <v>8</v>
      </c>
      <c r="G129" s="30">
        <f>IF(A129="","",COUNTIFS(Agenda!$E$5:$E$3004,A129,Agenda!$H$5:$H$3004,"Falta"))</f>
        <v>1</v>
      </c>
      <c r="H129" s="34">
        <f>IF(A129="","",IF(SUMPRODUCT(MAX((Agenda!$E$5:$E$3004=A129)*(Agenda!$H$5:$H$3004="Realizado")*Agenda!$A$5:$A$3004))=0,"",SUMPRODUCT(MAX((Agenda!$E$5:$E$3004=A129)*(Agenda!$H$5:$H$3004="Realizado")*Agenda!$A$5:$A$3004))))</f>
        <v>46240.0</v>
      </c>
      <c r="I129" s="34">
        <f>IF(A129="","",IF(SUMPRODUCT(MIN(((Agenda!$E$5:$E$3004=A129)*((Agenda!$H$5:$H$3004="Agendado")+(Agenda!$H$5:$H$3004="Confirmado")))*Agenda!$A$5:$A$3004+(1-((Agenda!$E$5:$E$3004=A129)*((Agenda!$H$5:$H$3004="Agendado")+(Agenda!$H$5:$H$3004="Confirmado"))))*1E+10))&gt;=1E+10,"",SUMPRODUCT(MIN(((Agenda!$E$5:$E$3004=A129)*((Agenda!$H$5:$H$3004="Agendado")+(Agenda!$H$5:$H$3004="Confirmado")))*Agenda!$A$5:$A$3004+(1-((Agenda!$E$5:$E$3004=A129)*((Agenda!$H$5:$H$3004="Agendado")+(Agenda!$H$5:$H$3004="Confirmado"))))*1E+10))))</f>
        <v>46300.0</v>
      </c>
    </row>
    <row r="130">
      <c r="A130" s="37" t="inlineStr">
        <is>
          <t>Roberta Almeida</t>
        </is>
      </c>
      <c r="B130" s="38" t="inlineStr">
        <is>
          <t>Saúde Total</t>
        </is>
      </c>
      <c r="C130" s="38" t="inlineStr">
        <is>
          <t>Dr. Paulo Andrade</t>
        </is>
      </c>
      <c r="D130" s="37" t="inlineStr">
        <is>
          <t>(11) 90000-0183</t>
        </is>
      </c>
      <c r="E130" s="37" t="n"/>
      <c r="F130" s="30">
        <f>IF(A130="","",COUNTIFS(Agenda!$E$5:$E$3004,A130,Agenda!$H$5:$H$3004,"Realizado"))</f>
        <v>2</v>
      </c>
      <c r="G130" s="30">
        <f>IF(A130="","",COUNTIFS(Agenda!$E$5:$E$3004,A130,Agenda!$H$5:$H$3004,"Falta"))</f>
        <v>0</v>
      </c>
      <c r="H130" s="34">
        <f>IF(A130="","",IF(SUMPRODUCT(MAX((Agenda!$E$5:$E$3004=A130)*(Agenda!$H$5:$H$3004="Realizado")*Agenda!$A$5:$A$3004))=0,"",SUMPRODUCT(MAX((Agenda!$E$5:$E$3004=A130)*(Agenda!$H$5:$H$3004="Realizado")*Agenda!$A$5:$A$3004))))</f>
        <v>46230.0</v>
      </c>
      <c r="I130" s="34">
        <f>IF(A130="","",IF(SUMPRODUCT(MIN(((Agenda!$E$5:$E$3004=A130)*((Agenda!$H$5:$H$3004="Agendado")+(Agenda!$H$5:$H$3004="Confirmado")))*Agenda!$A$5:$A$3004+(1-((Agenda!$E$5:$E$3004=A130)*((Agenda!$H$5:$H$3004="Agendado")+(Agenda!$H$5:$H$3004="Confirmado"))))*1E+10))&gt;=1E+10,"",SUMPRODUCT(MIN(((Agenda!$E$5:$E$3004=A130)*((Agenda!$H$5:$H$3004="Agendado")+(Agenda!$H$5:$H$3004="Confirmado")))*Agenda!$A$5:$A$3004+(1-((Agenda!$E$5:$E$3004=A130)*((Agenda!$H$5:$H$3004="Agendado")+(Agenda!$H$5:$H$3004="Confirmado"))))*1E+10))))</f>
        <v/>
      </c>
    </row>
    <row r="131">
      <c r="A131" s="37" t="inlineStr">
        <is>
          <t>Roberta Araújo</t>
        </is>
      </c>
      <c r="B131" s="38" t="inlineStr">
        <is>
          <t>Particular</t>
        </is>
      </c>
      <c r="C131" s="38" t="inlineStr">
        <is>
          <t>Dra. Carolina Mendes</t>
        </is>
      </c>
      <c r="D131" s="37" t="inlineStr">
        <is>
          <t>(11) 90000-0158</t>
        </is>
      </c>
      <c r="E131" s="37" t="n"/>
      <c r="F131" s="30">
        <f>IF(A131="","",COUNTIFS(Agenda!$E$5:$E$3004,A131,Agenda!$H$5:$H$3004,"Realizado"))</f>
        <v>7</v>
      </c>
      <c r="G131" s="30">
        <f>IF(A131="","",COUNTIFS(Agenda!$E$5:$E$3004,A131,Agenda!$H$5:$H$3004,"Falta"))</f>
        <v>0</v>
      </c>
      <c r="H131" s="34">
        <f>IF(A131="","",IF(SUMPRODUCT(MAX((Agenda!$E$5:$E$3004=A131)*(Agenda!$H$5:$H$3004="Realizado")*Agenda!$A$5:$A$3004))=0,"",SUMPRODUCT(MAX((Agenda!$E$5:$E$3004=A131)*(Agenda!$H$5:$H$3004="Realizado")*Agenda!$A$5:$A$3004))))</f>
        <v>46259.0</v>
      </c>
      <c r="I131" s="34">
        <f>IF(A131="","",IF(SUMPRODUCT(MIN(((Agenda!$E$5:$E$3004=A131)*((Agenda!$H$5:$H$3004="Agendado")+(Agenda!$H$5:$H$3004="Confirmado")))*Agenda!$A$5:$A$3004+(1-((Agenda!$E$5:$E$3004=A131)*((Agenda!$H$5:$H$3004="Agendado")+(Agenda!$H$5:$H$3004="Confirmado"))))*1E+10))&gt;=1E+10,"",SUMPRODUCT(MIN(((Agenda!$E$5:$E$3004=A131)*((Agenda!$H$5:$H$3004="Agendado")+(Agenda!$H$5:$H$3004="Confirmado")))*Agenda!$A$5:$A$3004+(1-((Agenda!$E$5:$E$3004=A131)*((Agenda!$H$5:$H$3004="Agendado")+(Agenda!$H$5:$H$3004="Confirmado"))))*1E+10))))</f>
        <v>46293.0</v>
      </c>
    </row>
    <row r="132">
      <c r="A132" s="37" t="inlineStr">
        <is>
          <t>Roberta Fernandes</t>
        </is>
      </c>
      <c r="B132" s="38" t="inlineStr">
        <is>
          <t>Saúde Total</t>
        </is>
      </c>
      <c r="C132" s="38" t="inlineStr">
        <is>
          <t>Dra. Carolina Mendes</t>
        </is>
      </c>
      <c r="D132" s="37" t="inlineStr">
        <is>
          <t>(11) 90000-0116</t>
        </is>
      </c>
      <c r="E132" s="37" t="n"/>
      <c r="F132" s="30">
        <f>IF(A132="","",COUNTIFS(Agenda!$E$5:$E$3004,A132,Agenda!$H$5:$H$3004,"Realizado"))</f>
        <v>6</v>
      </c>
      <c r="G132" s="30">
        <f>IF(A132="","",COUNTIFS(Agenda!$E$5:$E$3004,A132,Agenda!$H$5:$H$3004,"Falta"))</f>
        <v>0</v>
      </c>
      <c r="H132" s="34">
        <f>IF(A132="","",IF(SUMPRODUCT(MAX((Agenda!$E$5:$E$3004=A132)*(Agenda!$H$5:$H$3004="Realizado")*Agenda!$A$5:$A$3004))=0,"",SUMPRODUCT(MAX((Agenda!$E$5:$E$3004=A132)*(Agenda!$H$5:$H$3004="Realizado")*Agenda!$A$5:$A$3004))))</f>
        <v>46274.0</v>
      </c>
      <c r="I132" s="34">
        <f>IF(A132="","",IF(SUMPRODUCT(MIN(((Agenda!$E$5:$E$3004=A132)*((Agenda!$H$5:$H$3004="Agendado")+(Agenda!$H$5:$H$3004="Confirmado")))*Agenda!$A$5:$A$3004+(1-((Agenda!$E$5:$E$3004=A132)*((Agenda!$H$5:$H$3004="Agendado")+(Agenda!$H$5:$H$3004="Confirmado"))))*1E+10))&gt;=1E+10,"",SUMPRODUCT(MIN(((Agenda!$E$5:$E$3004=A132)*((Agenda!$H$5:$H$3004="Agendado")+(Agenda!$H$5:$H$3004="Confirmado")))*Agenda!$A$5:$A$3004+(1-((Agenda!$E$5:$E$3004=A132)*((Agenda!$H$5:$H$3004="Agendado")+(Agenda!$H$5:$H$3004="Confirmado"))))*1E+10))))</f>
        <v>46282.0</v>
      </c>
    </row>
    <row r="133">
      <c r="A133" s="37" t="inlineStr">
        <is>
          <t>Roberta Lima</t>
        </is>
      </c>
      <c r="B133" s="38" t="inlineStr">
        <is>
          <t>Particular</t>
        </is>
      </c>
      <c r="C133" s="38" t="inlineStr">
        <is>
          <t>Dra. Renata Sousa</t>
        </is>
      </c>
      <c r="D133" s="37" t="inlineStr">
        <is>
          <t>(11) 90000-0234</t>
        </is>
      </c>
      <c r="E133" s="37" t="n"/>
      <c r="F133" s="30">
        <f>IF(A133="","",COUNTIFS(Agenda!$E$5:$E$3004,A133,Agenda!$H$5:$H$3004,"Realizado"))</f>
        <v>8</v>
      </c>
      <c r="G133" s="30">
        <f>IF(A133="","",COUNTIFS(Agenda!$E$5:$E$3004,A133,Agenda!$H$5:$H$3004,"Falta"))</f>
        <v>0</v>
      </c>
      <c r="H133" s="34">
        <f>IF(A133="","",IF(SUMPRODUCT(MAX((Agenda!$E$5:$E$3004=A133)*(Agenda!$H$5:$H$3004="Realizado")*Agenda!$A$5:$A$3004))=0,"",SUMPRODUCT(MAX((Agenda!$E$5:$E$3004=A133)*(Agenda!$H$5:$H$3004="Realizado")*Agenda!$A$5:$A$3004))))</f>
        <v>46240.0</v>
      </c>
      <c r="I133" s="34">
        <f>IF(A133="","",IF(SUMPRODUCT(MIN(((Agenda!$E$5:$E$3004=A133)*((Agenda!$H$5:$H$3004="Agendado")+(Agenda!$H$5:$H$3004="Confirmado")))*Agenda!$A$5:$A$3004+(1-((Agenda!$E$5:$E$3004=A133)*((Agenda!$H$5:$H$3004="Agendado")+(Agenda!$H$5:$H$3004="Confirmado"))))*1E+10))&gt;=1E+10,"",SUMPRODUCT(MIN(((Agenda!$E$5:$E$3004=A133)*((Agenda!$H$5:$H$3004="Agendado")+(Agenda!$H$5:$H$3004="Confirmado")))*Agenda!$A$5:$A$3004+(1-((Agenda!$E$5:$E$3004=A133)*((Agenda!$H$5:$H$3004="Agendado")+(Agenda!$H$5:$H$3004="Confirmado"))))*1E+10))))</f>
        <v/>
      </c>
    </row>
    <row r="134">
      <c r="A134" s="37" t="inlineStr">
        <is>
          <t>Rodrigo Cardoso</t>
        </is>
      </c>
      <c r="B134" s="38" t="inlineStr">
        <is>
          <t>Saúde Total</t>
        </is>
      </c>
      <c r="C134" s="38" t="inlineStr">
        <is>
          <t>Dra. Renata Sousa</t>
        </is>
      </c>
      <c r="D134" s="37" t="inlineStr">
        <is>
          <t>(11) 90000-0243</t>
        </is>
      </c>
      <c r="E134" s="37" t="n"/>
      <c r="F134" s="30">
        <f>IF(A134="","",COUNTIFS(Agenda!$E$5:$E$3004,A134,Agenda!$H$5:$H$3004,"Realizado"))</f>
        <v>4</v>
      </c>
      <c r="G134" s="30">
        <f>IF(A134="","",COUNTIFS(Agenda!$E$5:$E$3004,A134,Agenda!$H$5:$H$3004,"Falta"))</f>
        <v>0</v>
      </c>
      <c r="H134" s="34">
        <f>IF(A134="","",IF(SUMPRODUCT(MAX((Agenda!$E$5:$E$3004=A134)*(Agenda!$H$5:$H$3004="Realizado")*Agenda!$A$5:$A$3004))=0,"",SUMPRODUCT(MAX((Agenda!$E$5:$E$3004=A134)*(Agenda!$H$5:$H$3004="Realizado")*Agenda!$A$5:$A$3004))))</f>
        <v>46275.0</v>
      </c>
      <c r="I134" s="34">
        <f>IF(A134="","",IF(SUMPRODUCT(MIN(((Agenda!$E$5:$E$3004=A134)*((Agenda!$H$5:$H$3004="Agendado")+(Agenda!$H$5:$H$3004="Confirmado")))*Agenda!$A$5:$A$3004+(1-((Agenda!$E$5:$E$3004=A134)*((Agenda!$H$5:$H$3004="Agendado")+(Agenda!$H$5:$H$3004="Confirmado"))))*1E+10))&gt;=1E+10,"",SUMPRODUCT(MIN(((Agenda!$E$5:$E$3004=A134)*((Agenda!$H$5:$H$3004="Agendado")+(Agenda!$H$5:$H$3004="Confirmado")))*Agenda!$A$5:$A$3004+(1-((Agenda!$E$5:$E$3004=A134)*((Agenda!$H$5:$H$3004="Agendado")+(Agenda!$H$5:$H$3004="Confirmado"))))*1E+10))))</f>
        <v>46282.0</v>
      </c>
    </row>
    <row r="135">
      <c r="A135" s="37" t="inlineStr">
        <is>
          <t>Rodrigo Gomes</t>
        </is>
      </c>
      <c r="B135" s="38" t="inlineStr">
        <is>
          <t>Vida Care</t>
        </is>
      </c>
      <c r="C135" s="38" t="inlineStr">
        <is>
          <t>Dra. Carolina Mendes</t>
        </is>
      </c>
      <c r="D135" s="37" t="inlineStr">
        <is>
          <t>(11) 90000-0160</t>
        </is>
      </c>
      <c r="E135" s="37" t="n"/>
      <c r="F135" s="30">
        <f>IF(A135="","",COUNTIFS(Agenda!$E$5:$E$3004,A135,Agenda!$H$5:$H$3004,"Realizado"))</f>
        <v>3</v>
      </c>
      <c r="G135" s="30">
        <f>IF(A135="","",COUNTIFS(Agenda!$E$5:$E$3004,A135,Agenda!$H$5:$H$3004,"Falta"))</f>
        <v>0</v>
      </c>
      <c r="H135" s="34">
        <f>IF(A135="","",IF(SUMPRODUCT(MAX((Agenda!$E$5:$E$3004=A135)*(Agenda!$H$5:$H$3004="Realizado")*Agenda!$A$5:$A$3004))=0,"",SUMPRODUCT(MAX((Agenda!$E$5:$E$3004=A135)*(Agenda!$H$5:$H$3004="Realizado")*Agenda!$A$5:$A$3004))))</f>
        <v>46226.0</v>
      </c>
      <c r="I135" s="34">
        <f>IF(A135="","",IF(SUMPRODUCT(MIN(((Agenda!$E$5:$E$3004=A135)*((Agenda!$H$5:$H$3004="Agendado")+(Agenda!$H$5:$H$3004="Confirmado")))*Agenda!$A$5:$A$3004+(1-((Agenda!$E$5:$E$3004=A135)*((Agenda!$H$5:$H$3004="Agendado")+(Agenda!$H$5:$H$3004="Confirmado"))))*1E+10))&gt;=1E+10,"",SUMPRODUCT(MIN(((Agenda!$E$5:$E$3004=A135)*((Agenda!$H$5:$H$3004="Agendado")+(Agenda!$H$5:$H$3004="Confirmado")))*Agenda!$A$5:$A$3004+(1-((Agenda!$E$5:$E$3004=A135)*((Agenda!$H$5:$H$3004="Agendado")+(Agenda!$H$5:$H$3004="Confirmado"))))*1E+10))))</f>
        <v>46279.0</v>
      </c>
    </row>
    <row r="136">
      <c r="A136" s="37" t="inlineStr">
        <is>
          <t>Rodrigo Moreira</t>
        </is>
      </c>
      <c r="B136" s="38" t="inlineStr">
        <is>
          <t>Particular</t>
        </is>
      </c>
      <c r="C136" s="38" t="inlineStr">
        <is>
          <t>Dra. Carolina Mendes</t>
        </is>
      </c>
      <c r="D136" s="37" t="inlineStr">
        <is>
          <t>(11) 90000-0153</t>
        </is>
      </c>
      <c r="E136" s="37" t="n"/>
      <c r="F136" s="30">
        <f>IF(A136="","",COUNTIFS(Agenda!$E$5:$E$3004,A136,Agenda!$H$5:$H$3004,"Realizado"))</f>
        <v>8</v>
      </c>
      <c r="G136" s="30">
        <f>IF(A136="","",COUNTIFS(Agenda!$E$5:$E$3004,A136,Agenda!$H$5:$H$3004,"Falta"))</f>
        <v>0</v>
      </c>
      <c r="H136" s="34">
        <f>IF(A136="","",IF(SUMPRODUCT(MAX((Agenda!$E$5:$E$3004=A136)*(Agenda!$H$5:$H$3004="Realizado")*Agenda!$A$5:$A$3004))=0,"",SUMPRODUCT(MAX((Agenda!$E$5:$E$3004=A136)*(Agenda!$H$5:$H$3004="Realizado")*Agenda!$A$5:$A$3004))))</f>
        <v>46266.0</v>
      </c>
      <c r="I136" s="34">
        <f>IF(A136="","",IF(SUMPRODUCT(MIN(((Agenda!$E$5:$E$3004=A136)*((Agenda!$H$5:$H$3004="Agendado")+(Agenda!$H$5:$H$3004="Confirmado")))*Agenda!$A$5:$A$3004+(1-((Agenda!$E$5:$E$3004=A136)*((Agenda!$H$5:$H$3004="Agendado")+(Agenda!$H$5:$H$3004="Confirmado"))))*1E+10))&gt;=1E+10,"",SUMPRODUCT(MIN(((Agenda!$E$5:$E$3004=A136)*((Agenda!$H$5:$H$3004="Agendado")+(Agenda!$H$5:$H$3004="Confirmado")))*Agenda!$A$5:$A$3004+(1-((Agenda!$E$5:$E$3004=A136)*((Agenda!$H$5:$H$3004="Agendado")+(Agenda!$H$5:$H$3004="Confirmado"))))*1E+10))))</f>
        <v>46297.0</v>
      </c>
    </row>
    <row r="137">
      <c r="A137" s="37" t="inlineStr">
        <is>
          <t>Rodrigo Teixeira</t>
        </is>
      </c>
      <c r="B137" s="38" t="inlineStr">
        <is>
          <t>Vida Care</t>
        </is>
      </c>
      <c r="C137" s="38" t="inlineStr">
        <is>
          <t>Dra. Carolina Mendes</t>
        </is>
      </c>
      <c r="D137" s="37" t="inlineStr">
        <is>
          <t>(11) 90000-0108</t>
        </is>
      </c>
      <c r="E137" s="37" t="n"/>
      <c r="F137" s="30">
        <f>IF(A137="","",COUNTIFS(Agenda!$E$5:$E$3004,A137,Agenda!$H$5:$H$3004,"Realizado"))</f>
        <v>2</v>
      </c>
      <c r="G137" s="30">
        <f>IF(A137="","",COUNTIFS(Agenda!$E$5:$E$3004,A137,Agenda!$H$5:$H$3004,"Falta"))</f>
        <v>1</v>
      </c>
      <c r="H137" s="34">
        <f>IF(A137="","",IF(SUMPRODUCT(MAX((Agenda!$E$5:$E$3004=A137)*(Agenda!$H$5:$H$3004="Realizado")*Agenda!$A$5:$A$3004))=0,"",SUMPRODUCT(MAX((Agenda!$E$5:$E$3004=A137)*(Agenda!$H$5:$H$3004="Realizado")*Agenda!$A$5:$A$3004))))</f>
        <v>46252.0</v>
      </c>
      <c r="I137" s="34">
        <f>IF(A137="","",IF(SUMPRODUCT(MIN(((Agenda!$E$5:$E$3004=A137)*((Agenda!$H$5:$H$3004="Agendado")+(Agenda!$H$5:$H$3004="Confirmado")))*Agenda!$A$5:$A$3004+(1-((Agenda!$E$5:$E$3004=A137)*((Agenda!$H$5:$H$3004="Agendado")+(Agenda!$H$5:$H$3004="Confirmado"))))*1E+10))&gt;=1E+10,"",SUMPRODUCT(MIN(((Agenda!$E$5:$E$3004=A137)*((Agenda!$H$5:$H$3004="Agendado")+(Agenda!$H$5:$H$3004="Confirmado")))*Agenda!$A$5:$A$3004+(1-((Agenda!$E$5:$E$3004=A137)*((Agenda!$H$5:$H$3004="Agendado")+(Agenda!$H$5:$H$3004="Confirmado"))))*1E+10))))</f>
        <v>46296.0</v>
      </c>
    </row>
    <row r="138">
      <c r="A138" s="37" t="inlineStr">
        <is>
          <t>Sandra Barros</t>
        </is>
      </c>
      <c r="B138" s="38" t="inlineStr">
        <is>
          <t>Saúde Total</t>
        </is>
      </c>
      <c r="C138" s="38" t="inlineStr">
        <is>
          <t>Dra. Carolina Mendes</t>
        </is>
      </c>
      <c r="D138" s="37" t="inlineStr">
        <is>
          <t>(11) 90000-0150</t>
        </is>
      </c>
      <c r="E138" s="37" t="n"/>
      <c r="F138" s="30">
        <f>IF(A138="","",COUNTIFS(Agenda!$E$5:$E$3004,A138,Agenda!$H$5:$H$3004,"Realizado"))</f>
        <v>3</v>
      </c>
      <c r="G138" s="30">
        <f>IF(A138="","",COUNTIFS(Agenda!$E$5:$E$3004,A138,Agenda!$H$5:$H$3004,"Falta"))</f>
        <v>1</v>
      </c>
      <c r="H138" s="34">
        <f>IF(A138="","",IF(SUMPRODUCT(MAX((Agenda!$E$5:$E$3004=A138)*(Agenda!$H$5:$H$3004="Realizado")*Agenda!$A$5:$A$3004))=0,"",SUMPRODUCT(MAX((Agenda!$E$5:$E$3004=A138)*(Agenda!$H$5:$H$3004="Realizado")*Agenda!$A$5:$A$3004))))</f>
        <v>46266.0</v>
      </c>
      <c r="I138" s="34">
        <f>IF(A138="","",IF(SUMPRODUCT(MIN(((Agenda!$E$5:$E$3004=A138)*((Agenda!$H$5:$H$3004="Agendado")+(Agenda!$H$5:$H$3004="Confirmado")))*Agenda!$A$5:$A$3004+(1-((Agenda!$E$5:$E$3004=A138)*((Agenda!$H$5:$H$3004="Agendado")+(Agenda!$H$5:$H$3004="Confirmado"))))*1E+10))&gt;=1E+10,"",SUMPRODUCT(MIN(((Agenda!$E$5:$E$3004=A138)*((Agenda!$H$5:$H$3004="Agendado")+(Agenda!$H$5:$H$3004="Confirmado")))*Agenda!$A$5:$A$3004+(1-((Agenda!$E$5:$E$3004=A138)*((Agenda!$H$5:$H$3004="Agendado")+(Agenda!$H$5:$H$3004="Confirmado"))))*1E+10))))</f>
        <v>46281.0</v>
      </c>
    </row>
    <row r="139">
      <c r="A139" s="37" t="inlineStr">
        <is>
          <t>Sandra Cardoso</t>
        </is>
      </c>
      <c r="B139" s="38" t="inlineStr">
        <is>
          <t>Saúde Total</t>
        </is>
      </c>
      <c r="C139" s="38" t="inlineStr">
        <is>
          <t>Dr. Paulo Andrade</t>
        </is>
      </c>
      <c r="D139" s="37" t="inlineStr">
        <is>
          <t>(11) 90000-0169</t>
        </is>
      </c>
      <c r="E139" s="37" t="n"/>
      <c r="F139" s="30">
        <f>IF(A139="","",COUNTIFS(Agenda!$E$5:$E$3004,A139,Agenda!$H$5:$H$3004,"Realizado"))</f>
        <v>7</v>
      </c>
      <c r="G139" s="30">
        <f>IF(A139="","",COUNTIFS(Agenda!$E$5:$E$3004,A139,Agenda!$H$5:$H$3004,"Falta"))</f>
        <v>2</v>
      </c>
      <c r="H139" s="34">
        <f>IF(A139="","",IF(SUMPRODUCT(MAX((Agenda!$E$5:$E$3004=A139)*(Agenda!$H$5:$H$3004="Realizado")*Agenda!$A$5:$A$3004))=0,"",SUMPRODUCT(MAX((Agenda!$E$5:$E$3004=A139)*(Agenda!$H$5:$H$3004="Realizado")*Agenda!$A$5:$A$3004))))</f>
        <v>46265.0</v>
      </c>
      <c r="I139" s="34">
        <f>IF(A139="","",IF(SUMPRODUCT(MIN(((Agenda!$E$5:$E$3004=A139)*((Agenda!$H$5:$H$3004="Agendado")+(Agenda!$H$5:$H$3004="Confirmado")))*Agenda!$A$5:$A$3004+(1-((Agenda!$E$5:$E$3004=A139)*((Agenda!$H$5:$H$3004="Agendado")+(Agenda!$H$5:$H$3004="Confirmado"))))*1E+10))&gt;=1E+10,"",SUMPRODUCT(MIN(((Agenda!$E$5:$E$3004=A139)*((Agenda!$H$5:$H$3004="Agendado")+(Agenda!$H$5:$H$3004="Confirmado")))*Agenda!$A$5:$A$3004+(1-((Agenda!$E$5:$E$3004=A139)*((Agenda!$H$5:$H$3004="Agendado")+(Agenda!$H$5:$H$3004="Confirmado"))))*1E+10))))</f>
        <v>46290.0</v>
      </c>
    </row>
    <row r="140">
      <c r="A140" s="37" t="inlineStr">
        <is>
          <t>Sandra Martins</t>
        </is>
      </c>
      <c r="B140" s="38" t="inlineStr">
        <is>
          <t>MediPlan</t>
        </is>
      </c>
      <c r="C140" s="38" t="inlineStr">
        <is>
          <t>Dr. Paulo Andrade</t>
        </is>
      </c>
      <c r="D140" s="37" t="inlineStr">
        <is>
          <t>(11) 90000-0184</t>
        </is>
      </c>
      <c r="E140" s="37" t="n"/>
      <c r="F140" s="30">
        <f>IF(A140="","",COUNTIFS(Agenda!$E$5:$E$3004,A140,Agenda!$H$5:$H$3004,"Realizado"))</f>
        <v>4</v>
      </c>
      <c r="G140" s="30">
        <f>IF(A140="","",COUNTIFS(Agenda!$E$5:$E$3004,A140,Agenda!$H$5:$H$3004,"Falta"))</f>
        <v>0</v>
      </c>
      <c r="H140" s="34">
        <f>IF(A140="","",IF(SUMPRODUCT(MAX((Agenda!$E$5:$E$3004=A140)*(Agenda!$H$5:$H$3004="Realizado")*Agenda!$A$5:$A$3004))=0,"",SUMPRODUCT(MAX((Agenda!$E$5:$E$3004=A140)*(Agenda!$H$5:$H$3004="Realizado")*Agenda!$A$5:$A$3004))))</f>
        <v>46265.0</v>
      </c>
      <c r="I140" s="34">
        <f>IF(A140="","",IF(SUMPRODUCT(MIN(((Agenda!$E$5:$E$3004=A140)*((Agenda!$H$5:$H$3004="Agendado")+(Agenda!$H$5:$H$3004="Confirmado")))*Agenda!$A$5:$A$3004+(1-((Agenda!$E$5:$E$3004=A140)*((Agenda!$H$5:$H$3004="Agendado")+(Agenda!$H$5:$H$3004="Confirmado"))))*1E+10))&gt;=1E+10,"",SUMPRODUCT(MIN(((Agenda!$E$5:$E$3004=A140)*((Agenda!$H$5:$H$3004="Agendado")+(Agenda!$H$5:$H$3004="Confirmado")))*Agenda!$A$5:$A$3004+(1-((Agenda!$E$5:$E$3004=A140)*((Agenda!$H$5:$H$3004="Agendado")+(Agenda!$H$5:$H$3004="Confirmado"))))*1E+10))))</f>
        <v/>
      </c>
    </row>
    <row r="141">
      <c r="A141" s="37" t="inlineStr">
        <is>
          <t>Simone Monteiro</t>
        </is>
      </c>
      <c r="B141" s="38" t="inlineStr">
        <is>
          <t>Vida Care</t>
        </is>
      </c>
      <c r="C141" s="38" t="inlineStr">
        <is>
          <t>Dra. Carolina Mendes</t>
        </is>
      </c>
      <c r="D141" s="37" t="inlineStr">
        <is>
          <t>(11) 90000-0143</t>
        </is>
      </c>
      <c r="E141" s="37" t="n"/>
      <c r="F141" s="30">
        <f>IF(A141="","",COUNTIFS(Agenda!$E$5:$E$3004,A141,Agenda!$H$5:$H$3004,"Realizado"))</f>
        <v>7</v>
      </c>
      <c r="G141" s="30">
        <f>IF(A141="","",COUNTIFS(Agenda!$E$5:$E$3004,A141,Agenda!$H$5:$H$3004,"Falta"))</f>
        <v>1</v>
      </c>
      <c r="H141" s="34">
        <f>IF(A141="","",IF(SUMPRODUCT(MAX((Agenda!$E$5:$E$3004=A141)*(Agenda!$H$5:$H$3004="Realizado")*Agenda!$A$5:$A$3004))=0,"",SUMPRODUCT(MAX((Agenda!$E$5:$E$3004=A141)*(Agenda!$H$5:$H$3004="Realizado")*Agenda!$A$5:$A$3004))))</f>
        <v>46274.0</v>
      </c>
      <c r="I141" s="34">
        <f>IF(A141="","",IF(SUMPRODUCT(MIN(((Agenda!$E$5:$E$3004=A141)*((Agenda!$H$5:$H$3004="Agendado")+(Agenda!$H$5:$H$3004="Confirmado")))*Agenda!$A$5:$A$3004+(1-((Agenda!$E$5:$E$3004=A141)*((Agenda!$H$5:$H$3004="Agendado")+(Agenda!$H$5:$H$3004="Confirmado"))))*1E+10))&gt;=1E+10,"",SUMPRODUCT(MIN(((Agenda!$E$5:$E$3004=A141)*((Agenda!$H$5:$H$3004="Agendado")+(Agenda!$H$5:$H$3004="Confirmado")))*Agenda!$A$5:$A$3004+(1-((Agenda!$E$5:$E$3004=A141)*((Agenda!$H$5:$H$3004="Agendado")+(Agenda!$H$5:$H$3004="Confirmado"))))*1E+10))))</f>
        <v>46281.0</v>
      </c>
    </row>
    <row r="142">
      <c r="A142" s="37" t="inlineStr">
        <is>
          <t>Sérgio Batista</t>
        </is>
      </c>
      <c r="B142" s="38" t="inlineStr">
        <is>
          <t>MediPlan</t>
        </is>
      </c>
      <c r="C142" s="38" t="inlineStr">
        <is>
          <t>Dra. Carolina Mendes</t>
        </is>
      </c>
      <c r="D142" s="37" t="inlineStr">
        <is>
          <t>(11) 90000-0126</t>
        </is>
      </c>
      <c r="E142" s="37" t="n"/>
      <c r="F142" s="30">
        <f>IF(A142="","",COUNTIFS(Agenda!$E$5:$E$3004,A142,Agenda!$H$5:$H$3004,"Realizado"))</f>
        <v>7</v>
      </c>
      <c r="G142" s="30">
        <f>IF(A142="","",COUNTIFS(Agenda!$E$5:$E$3004,A142,Agenda!$H$5:$H$3004,"Falta"))</f>
        <v>1</v>
      </c>
      <c r="H142" s="34">
        <f>IF(A142="","",IF(SUMPRODUCT(MAX((Agenda!$E$5:$E$3004=A142)*(Agenda!$H$5:$H$3004="Realizado")*Agenda!$A$5:$A$3004))=0,"",SUMPRODUCT(MAX((Agenda!$E$5:$E$3004=A142)*(Agenda!$H$5:$H$3004="Realizado")*Agenda!$A$5:$A$3004))))</f>
        <v>46275.0</v>
      </c>
      <c r="I142" s="34">
        <f>IF(A142="","",IF(SUMPRODUCT(MIN(((Agenda!$E$5:$E$3004=A142)*((Agenda!$H$5:$H$3004="Agendado")+(Agenda!$H$5:$H$3004="Confirmado")))*Agenda!$A$5:$A$3004+(1-((Agenda!$E$5:$E$3004=A142)*((Agenda!$H$5:$H$3004="Agendado")+(Agenda!$H$5:$H$3004="Confirmado"))))*1E+10))&gt;=1E+10,"",SUMPRODUCT(MIN(((Agenda!$E$5:$E$3004=A142)*((Agenda!$H$5:$H$3004="Agendado")+(Agenda!$H$5:$H$3004="Confirmado")))*Agenda!$A$5:$A$3004+(1-((Agenda!$E$5:$E$3004=A142)*((Agenda!$H$5:$H$3004="Agendado")+(Agenda!$H$5:$H$3004="Confirmado"))))*1E+10))))</f>
        <v>46280.0</v>
      </c>
    </row>
    <row r="143">
      <c r="A143" s="37" t="inlineStr">
        <is>
          <t>Sérgio Martins</t>
        </is>
      </c>
      <c r="B143" s="38" t="inlineStr">
        <is>
          <t>Particular</t>
        </is>
      </c>
      <c r="C143" s="38" t="inlineStr">
        <is>
          <t>Dra. Carolina Mendes</t>
        </is>
      </c>
      <c r="D143" s="37" t="inlineStr">
        <is>
          <t>(11) 90000-0134</t>
        </is>
      </c>
      <c r="E143" s="37" t="n"/>
      <c r="F143" s="30">
        <f>IF(A143="","",COUNTIFS(Agenda!$E$5:$E$3004,A143,Agenda!$H$5:$H$3004,"Realizado"))</f>
        <v>7</v>
      </c>
      <c r="G143" s="30">
        <f>IF(A143="","",COUNTIFS(Agenda!$E$5:$E$3004,A143,Agenda!$H$5:$H$3004,"Falta"))</f>
        <v>0</v>
      </c>
      <c r="H143" s="34">
        <f>IF(A143="","",IF(SUMPRODUCT(MAX((Agenda!$E$5:$E$3004=A143)*(Agenda!$H$5:$H$3004="Realizado")*Agenda!$A$5:$A$3004))=0,"",SUMPRODUCT(MAX((Agenda!$E$5:$E$3004=A143)*(Agenda!$H$5:$H$3004="Realizado")*Agenda!$A$5:$A$3004))))</f>
        <v>46274.0</v>
      </c>
      <c r="I143" s="34">
        <f>IF(A143="","",IF(SUMPRODUCT(MIN(((Agenda!$E$5:$E$3004=A143)*((Agenda!$H$5:$H$3004="Agendado")+(Agenda!$H$5:$H$3004="Confirmado")))*Agenda!$A$5:$A$3004+(1-((Agenda!$E$5:$E$3004=A143)*((Agenda!$H$5:$H$3004="Agendado")+(Agenda!$H$5:$H$3004="Confirmado"))))*1E+10))&gt;=1E+10,"",SUMPRODUCT(MIN(((Agenda!$E$5:$E$3004=A143)*((Agenda!$H$5:$H$3004="Agendado")+(Agenda!$H$5:$H$3004="Confirmado")))*Agenda!$A$5:$A$3004+(1-((Agenda!$E$5:$E$3004=A143)*((Agenda!$H$5:$H$3004="Agendado")+(Agenda!$H$5:$H$3004="Confirmado"))))*1E+10))))</f>
        <v>46286.0</v>
      </c>
    </row>
    <row r="144">
      <c r="A144" s="37" t="inlineStr">
        <is>
          <t>Sérgio Teixeira</t>
        </is>
      </c>
      <c r="B144" s="38" t="inlineStr">
        <is>
          <t>MediPlan</t>
        </is>
      </c>
      <c r="C144" s="38" t="inlineStr">
        <is>
          <t>Dr. Paulo Andrade</t>
        </is>
      </c>
      <c r="D144" s="37" t="inlineStr">
        <is>
          <t>(11) 90000-0202</t>
        </is>
      </c>
      <c r="E144" s="37" t="n"/>
      <c r="F144" s="30">
        <f>IF(A144="","",COUNTIFS(Agenda!$E$5:$E$3004,A144,Agenda!$H$5:$H$3004,"Realizado"))</f>
        <v>6</v>
      </c>
      <c r="G144" s="30">
        <f>IF(A144="","",COUNTIFS(Agenda!$E$5:$E$3004,A144,Agenda!$H$5:$H$3004,"Falta"))</f>
        <v>0</v>
      </c>
      <c r="H144" s="34">
        <f>IF(A144="","",IF(SUMPRODUCT(MAX((Agenda!$E$5:$E$3004=A144)*(Agenda!$H$5:$H$3004="Realizado")*Agenda!$A$5:$A$3004))=0,"",SUMPRODUCT(MAX((Agenda!$E$5:$E$3004=A144)*(Agenda!$H$5:$H$3004="Realizado")*Agenda!$A$5:$A$3004))))</f>
        <v>46266.0</v>
      </c>
      <c r="I144" s="34">
        <f>IF(A144="","",IF(SUMPRODUCT(MIN(((Agenda!$E$5:$E$3004=A144)*((Agenda!$H$5:$H$3004="Agendado")+(Agenda!$H$5:$H$3004="Confirmado")))*Agenda!$A$5:$A$3004+(1-((Agenda!$E$5:$E$3004=A144)*((Agenda!$H$5:$H$3004="Agendado")+(Agenda!$H$5:$H$3004="Confirmado"))))*1E+10))&gt;=1E+10,"",SUMPRODUCT(MIN(((Agenda!$E$5:$E$3004=A144)*((Agenda!$H$5:$H$3004="Agendado")+(Agenda!$H$5:$H$3004="Confirmado")))*Agenda!$A$5:$A$3004+(1-((Agenda!$E$5:$E$3004=A144)*((Agenda!$H$5:$H$3004="Agendado")+(Agenda!$H$5:$H$3004="Confirmado"))))*1E+10))))</f>
        <v>46282.0</v>
      </c>
    </row>
    <row r="145">
      <c r="A145" s="37" t="inlineStr">
        <is>
          <t>Tatiana Cunha</t>
        </is>
      </c>
      <c r="B145" s="38" t="inlineStr">
        <is>
          <t>Saúde Total</t>
        </is>
      </c>
      <c r="C145" s="38" t="inlineStr">
        <is>
          <t>Dra. Carolina Mendes</t>
        </is>
      </c>
      <c r="D145" s="37" t="inlineStr">
        <is>
          <t>(11) 90000-0165</t>
        </is>
      </c>
      <c r="E145" s="37" t="n"/>
      <c r="F145" s="30">
        <f>IF(A145="","",COUNTIFS(Agenda!$E$5:$E$3004,A145,Agenda!$H$5:$H$3004,"Realizado"))</f>
        <v>9</v>
      </c>
      <c r="G145" s="30">
        <f>IF(A145="","",COUNTIFS(Agenda!$E$5:$E$3004,A145,Agenda!$H$5:$H$3004,"Falta"))</f>
        <v>0</v>
      </c>
      <c r="H145" s="34">
        <f>IF(A145="","",IF(SUMPRODUCT(MAX((Agenda!$E$5:$E$3004=A145)*(Agenda!$H$5:$H$3004="Realizado")*Agenda!$A$5:$A$3004))=0,"",SUMPRODUCT(MAX((Agenda!$E$5:$E$3004=A145)*(Agenda!$H$5:$H$3004="Realizado")*Agenda!$A$5:$A$3004))))</f>
        <v>46252.0</v>
      </c>
      <c r="I145" s="34">
        <f>IF(A145="","",IF(SUMPRODUCT(MIN(((Agenda!$E$5:$E$3004=A145)*((Agenda!$H$5:$H$3004="Agendado")+(Agenda!$H$5:$H$3004="Confirmado")))*Agenda!$A$5:$A$3004+(1-((Agenda!$E$5:$E$3004=A145)*((Agenda!$H$5:$H$3004="Agendado")+(Agenda!$H$5:$H$3004="Confirmado"))))*1E+10))&gt;=1E+10,"",SUMPRODUCT(MIN(((Agenda!$E$5:$E$3004=A145)*((Agenda!$H$5:$H$3004="Agendado")+(Agenda!$H$5:$H$3004="Confirmado")))*Agenda!$A$5:$A$3004+(1-((Agenda!$E$5:$E$3004=A145)*((Agenda!$H$5:$H$3004="Agendado")+(Agenda!$H$5:$H$3004="Confirmado"))))*1E+10))))</f>
        <v>46296.0</v>
      </c>
    </row>
    <row r="146">
      <c r="A146" s="37" t="inlineStr">
        <is>
          <t>Tatiana Gonçalves</t>
        </is>
      </c>
      <c r="B146" s="38" t="inlineStr">
        <is>
          <t>Saúde Total</t>
        </is>
      </c>
      <c r="C146" s="38" t="inlineStr">
        <is>
          <t>Dr. Paulo Andrade</t>
        </is>
      </c>
      <c r="D146" s="37" t="inlineStr">
        <is>
          <t>(11) 90000-0217</t>
        </is>
      </c>
      <c r="E146" s="37" t="n"/>
      <c r="F146" s="30">
        <f>IF(A146="","",COUNTIFS(Agenda!$E$5:$E$3004,A146,Agenda!$H$5:$H$3004,"Realizado"))</f>
        <v>3</v>
      </c>
      <c r="G146" s="30">
        <f>IF(A146="","",COUNTIFS(Agenda!$E$5:$E$3004,A146,Agenda!$H$5:$H$3004,"Falta"))</f>
        <v>0</v>
      </c>
      <c r="H146" s="34">
        <f>IF(A146="","",IF(SUMPRODUCT(MAX((Agenda!$E$5:$E$3004=A146)*(Agenda!$H$5:$H$3004="Realizado")*Agenda!$A$5:$A$3004))=0,"",SUMPRODUCT(MAX((Agenda!$E$5:$E$3004=A146)*(Agenda!$H$5:$H$3004="Realizado")*Agenda!$A$5:$A$3004))))</f>
        <v>46195.0</v>
      </c>
      <c r="I146" s="34">
        <f>IF(A146="","",IF(SUMPRODUCT(MIN(((Agenda!$E$5:$E$3004=A146)*((Agenda!$H$5:$H$3004="Agendado")+(Agenda!$H$5:$H$3004="Confirmado")))*Agenda!$A$5:$A$3004+(1-((Agenda!$E$5:$E$3004=A146)*((Agenda!$H$5:$H$3004="Agendado")+(Agenda!$H$5:$H$3004="Confirmado"))))*1E+10))&gt;=1E+10,"",SUMPRODUCT(MIN(((Agenda!$E$5:$E$3004=A146)*((Agenda!$H$5:$H$3004="Agendado")+(Agenda!$H$5:$H$3004="Confirmado")))*Agenda!$A$5:$A$3004+(1-((Agenda!$E$5:$E$3004=A146)*((Agenda!$H$5:$H$3004="Agendado")+(Agenda!$H$5:$H$3004="Confirmado"))))*1E+10))))</f>
        <v>46286.0</v>
      </c>
    </row>
    <row r="147">
      <c r="A147" s="37" t="inlineStr">
        <is>
          <t>Tatiana Macedo</t>
        </is>
      </c>
      <c r="B147" s="38" t="inlineStr">
        <is>
          <t>Particular</t>
        </is>
      </c>
      <c r="C147" s="38" t="inlineStr">
        <is>
          <t>Dra. Renata Sousa</t>
        </is>
      </c>
      <c r="D147" s="37" t="inlineStr">
        <is>
          <t>(11) 90000-0240</t>
        </is>
      </c>
      <c r="E147" s="37" t="n"/>
      <c r="F147" s="30">
        <f>IF(A147="","",COUNTIFS(Agenda!$E$5:$E$3004,A147,Agenda!$H$5:$H$3004,"Realizado"))</f>
        <v>3</v>
      </c>
      <c r="G147" s="30">
        <f>IF(A147="","",COUNTIFS(Agenda!$E$5:$E$3004,A147,Agenda!$H$5:$H$3004,"Falta"))</f>
        <v>0</v>
      </c>
      <c r="H147" s="34">
        <f>IF(A147="","",IF(SUMPRODUCT(MAX((Agenda!$E$5:$E$3004=A147)*(Agenda!$H$5:$H$3004="Realizado")*Agenda!$A$5:$A$3004))=0,"",SUMPRODUCT(MAX((Agenda!$E$5:$E$3004=A147)*(Agenda!$H$5:$H$3004="Realizado")*Agenda!$A$5:$A$3004))))</f>
        <v>46275.0</v>
      </c>
      <c r="I147" s="34">
        <f>IF(A147="","",IF(SUMPRODUCT(MIN(((Agenda!$E$5:$E$3004=A147)*((Agenda!$H$5:$H$3004="Agendado")+(Agenda!$H$5:$H$3004="Confirmado")))*Agenda!$A$5:$A$3004+(1-((Agenda!$E$5:$E$3004=A147)*((Agenda!$H$5:$H$3004="Agendado")+(Agenda!$H$5:$H$3004="Confirmado"))))*1E+10))&gt;=1E+10,"",SUMPRODUCT(MIN(((Agenda!$E$5:$E$3004=A147)*((Agenda!$H$5:$H$3004="Agendado")+(Agenda!$H$5:$H$3004="Confirmado")))*Agenda!$A$5:$A$3004+(1-((Agenda!$E$5:$E$3004=A147)*((Agenda!$H$5:$H$3004="Agendado")+(Agenda!$H$5:$H$3004="Confirmado"))))*1E+10))))</f>
        <v>46282.0</v>
      </c>
    </row>
    <row r="148">
      <c r="A148" s="37" t="inlineStr">
        <is>
          <t>Tatiana Rocha</t>
        </is>
      </c>
      <c r="B148" s="38" t="inlineStr">
        <is>
          <t>Vida Care</t>
        </is>
      </c>
      <c r="C148" s="38" t="inlineStr">
        <is>
          <t>Dra. Carolina Mendes</t>
        </is>
      </c>
      <c r="D148" s="37" t="inlineStr">
        <is>
          <t>(11) 90000-0167</t>
        </is>
      </c>
      <c r="E148" s="37" t="n"/>
      <c r="F148" s="30">
        <f>IF(A148="","",COUNTIFS(Agenda!$E$5:$E$3004,A148,Agenda!$H$5:$H$3004,"Realizado"))</f>
        <v>4</v>
      </c>
      <c r="G148" s="30">
        <f>IF(A148="","",COUNTIFS(Agenda!$E$5:$E$3004,A148,Agenda!$H$5:$H$3004,"Falta"))</f>
        <v>1</v>
      </c>
      <c r="H148" s="34">
        <f>IF(A148="","",IF(SUMPRODUCT(MAX((Agenda!$E$5:$E$3004=A148)*(Agenda!$H$5:$H$3004="Realizado")*Agenda!$A$5:$A$3004))=0,"",SUMPRODUCT(MAX((Agenda!$E$5:$E$3004=A148)*(Agenda!$H$5:$H$3004="Realizado")*Agenda!$A$5:$A$3004))))</f>
        <v>46245.0</v>
      </c>
      <c r="I148" s="34">
        <f>IF(A148="","",IF(SUMPRODUCT(MIN(((Agenda!$E$5:$E$3004=A148)*((Agenda!$H$5:$H$3004="Agendado")+(Agenda!$H$5:$H$3004="Confirmado")))*Agenda!$A$5:$A$3004+(1-((Agenda!$E$5:$E$3004=A148)*((Agenda!$H$5:$H$3004="Agendado")+(Agenda!$H$5:$H$3004="Confirmado"))))*1E+10))&gt;=1E+10,"",SUMPRODUCT(MIN(((Agenda!$E$5:$E$3004=A148)*((Agenda!$H$5:$H$3004="Agendado")+(Agenda!$H$5:$H$3004="Confirmado")))*Agenda!$A$5:$A$3004+(1-((Agenda!$E$5:$E$3004=A148)*((Agenda!$H$5:$H$3004="Agendado")+(Agenda!$H$5:$H$3004="Confirmado"))))*1E+10))))</f>
        <v/>
      </c>
    </row>
    <row r="149">
      <c r="A149" s="37" t="inlineStr">
        <is>
          <t>Thiago Duarte</t>
        </is>
      </c>
      <c r="B149" s="38" t="inlineStr">
        <is>
          <t>Saúde Total</t>
        </is>
      </c>
      <c r="C149" s="38" t="inlineStr">
        <is>
          <t>Dr. Paulo Andrade</t>
        </is>
      </c>
      <c r="D149" s="37" t="inlineStr">
        <is>
          <t>(11) 90000-0186</t>
        </is>
      </c>
      <c r="E149" s="37" t="n"/>
      <c r="F149" s="30">
        <f>IF(A149="","",COUNTIFS(Agenda!$E$5:$E$3004,A149,Agenda!$H$5:$H$3004,"Realizado"))</f>
        <v>2</v>
      </c>
      <c r="G149" s="30">
        <f>IF(A149="","",COUNTIFS(Agenda!$E$5:$E$3004,A149,Agenda!$H$5:$H$3004,"Falta"))</f>
        <v>0</v>
      </c>
      <c r="H149" s="34">
        <f>IF(A149="","",IF(SUMPRODUCT(MAX((Agenda!$E$5:$E$3004=A149)*(Agenda!$H$5:$H$3004="Realizado")*Agenda!$A$5:$A$3004))=0,"",SUMPRODUCT(MAX((Agenda!$E$5:$E$3004=A149)*(Agenda!$H$5:$H$3004="Realizado")*Agenda!$A$5:$A$3004))))</f>
        <v>46261.0</v>
      </c>
      <c r="I149" s="34">
        <f>IF(A149="","",IF(SUMPRODUCT(MIN(((Agenda!$E$5:$E$3004=A149)*((Agenda!$H$5:$H$3004="Agendado")+(Agenda!$H$5:$H$3004="Confirmado")))*Agenda!$A$5:$A$3004+(1-((Agenda!$E$5:$E$3004=A149)*((Agenda!$H$5:$H$3004="Agendado")+(Agenda!$H$5:$H$3004="Confirmado"))))*1E+10))&gt;=1E+10,"",SUMPRODUCT(MIN(((Agenda!$E$5:$E$3004=A149)*((Agenda!$H$5:$H$3004="Agendado")+(Agenda!$H$5:$H$3004="Confirmado")))*Agenda!$A$5:$A$3004+(1-((Agenda!$E$5:$E$3004=A149)*((Agenda!$H$5:$H$3004="Agendado")+(Agenda!$H$5:$H$3004="Confirmado"))))*1E+10))))</f>
        <v>46283.0</v>
      </c>
    </row>
    <row r="150">
      <c r="A150" s="37" t="inlineStr">
        <is>
          <t>Thiago Melo</t>
        </is>
      </c>
      <c r="B150" s="38" t="inlineStr">
        <is>
          <t>Particular</t>
        </is>
      </c>
      <c r="C150" s="38" t="inlineStr">
        <is>
          <t>Dra. Renata Sousa</t>
        </is>
      </c>
      <c r="D150" s="37" t="inlineStr">
        <is>
          <t>(11) 90000-0225</t>
        </is>
      </c>
      <c r="E150" s="37" t="n"/>
      <c r="F150" s="30">
        <f>IF(A150="","",COUNTIFS(Agenda!$E$5:$E$3004,A150,Agenda!$H$5:$H$3004,"Realizado"))</f>
        <v>5</v>
      </c>
      <c r="G150" s="30">
        <f>IF(A150="","",COUNTIFS(Agenda!$E$5:$E$3004,A150,Agenda!$H$5:$H$3004,"Falta"))</f>
        <v>0</v>
      </c>
      <c r="H150" s="34">
        <f>IF(A150="","",IF(SUMPRODUCT(MAX((Agenda!$E$5:$E$3004=A150)*(Agenda!$H$5:$H$3004="Realizado")*Agenda!$A$5:$A$3004))=0,"",SUMPRODUCT(MAX((Agenda!$E$5:$E$3004=A150)*(Agenda!$H$5:$H$3004="Realizado")*Agenda!$A$5:$A$3004))))</f>
        <v>46231.0</v>
      </c>
      <c r="I150" s="34">
        <f>IF(A150="","",IF(SUMPRODUCT(MIN(((Agenda!$E$5:$E$3004=A150)*((Agenda!$H$5:$H$3004="Agendado")+(Agenda!$H$5:$H$3004="Confirmado")))*Agenda!$A$5:$A$3004+(1-((Agenda!$E$5:$E$3004=A150)*((Agenda!$H$5:$H$3004="Agendado")+(Agenda!$H$5:$H$3004="Confirmado"))))*1E+10))&gt;=1E+10,"",SUMPRODUCT(MIN(((Agenda!$E$5:$E$3004=A150)*((Agenda!$H$5:$H$3004="Agendado")+(Agenda!$H$5:$H$3004="Confirmado")))*Agenda!$A$5:$A$3004+(1-((Agenda!$E$5:$E$3004=A150)*((Agenda!$H$5:$H$3004="Agendado")+(Agenda!$H$5:$H$3004="Confirmado"))))*1E+10))))</f>
        <v>46280.0</v>
      </c>
    </row>
    <row r="151">
      <c r="A151" s="37" t="inlineStr">
        <is>
          <t>Vanessa Carvalho</t>
        </is>
      </c>
      <c r="B151" s="38" t="inlineStr">
        <is>
          <t>Saúde Total</t>
        </is>
      </c>
      <c r="C151" s="38" t="inlineStr">
        <is>
          <t>Dr. Paulo Andrade</t>
        </is>
      </c>
      <c r="D151" s="37" t="inlineStr">
        <is>
          <t>(11) 90000-0196</t>
        </is>
      </c>
      <c r="E151" s="37" t="n"/>
      <c r="F151" s="30">
        <f>IF(A151="","",COUNTIFS(Agenda!$E$5:$E$3004,A151,Agenda!$H$5:$H$3004,"Realizado"))</f>
        <v>3</v>
      </c>
      <c r="G151" s="30">
        <f>IF(A151="","",COUNTIFS(Agenda!$E$5:$E$3004,A151,Agenda!$H$5:$H$3004,"Falta"))</f>
        <v>1</v>
      </c>
      <c r="H151" s="34">
        <f>IF(A151="","",IF(SUMPRODUCT(MAX((Agenda!$E$5:$E$3004=A151)*(Agenda!$H$5:$H$3004="Realizado")*Agenda!$A$5:$A$3004))=0,"",SUMPRODUCT(MAX((Agenda!$E$5:$E$3004=A151)*(Agenda!$H$5:$H$3004="Realizado")*Agenda!$A$5:$A$3004))))</f>
        <v>46269.0</v>
      </c>
      <c r="I151" s="34">
        <f>IF(A151="","",IF(SUMPRODUCT(MIN(((Agenda!$E$5:$E$3004=A151)*((Agenda!$H$5:$H$3004="Agendado")+(Agenda!$H$5:$H$3004="Confirmado")))*Agenda!$A$5:$A$3004+(1-((Agenda!$E$5:$E$3004=A151)*((Agenda!$H$5:$H$3004="Agendado")+(Agenda!$H$5:$H$3004="Confirmado"))))*1E+10))&gt;=1E+10,"",SUMPRODUCT(MIN(((Agenda!$E$5:$E$3004=A151)*((Agenda!$H$5:$H$3004="Agendado")+(Agenda!$H$5:$H$3004="Confirmado")))*Agenda!$A$5:$A$3004+(1-((Agenda!$E$5:$E$3004=A151)*((Agenda!$H$5:$H$3004="Agendado")+(Agenda!$H$5:$H$3004="Confirmado"))))*1E+10))))</f>
        <v>46283.0</v>
      </c>
    </row>
    <row r="152">
      <c r="A152" s="37" t="inlineStr">
        <is>
          <t>Vanessa Moreira</t>
        </is>
      </c>
      <c r="B152" s="38" t="inlineStr">
        <is>
          <t>Saúde Total</t>
        </is>
      </c>
      <c r="C152" s="38" t="inlineStr">
        <is>
          <t>Dr. Paulo Andrade</t>
        </is>
      </c>
      <c r="D152" s="37" t="inlineStr">
        <is>
          <t>(11) 90000-0189</t>
        </is>
      </c>
      <c r="E152" s="37" t="n"/>
      <c r="F152" s="30">
        <f>IF(A152="","",COUNTIFS(Agenda!$E$5:$E$3004,A152,Agenda!$H$5:$H$3004,"Realizado"))</f>
        <v>6</v>
      </c>
      <c r="G152" s="30">
        <f>IF(A152="","",COUNTIFS(Agenda!$E$5:$E$3004,A152,Agenda!$H$5:$H$3004,"Falta"))</f>
        <v>0</v>
      </c>
      <c r="H152" s="34">
        <f>IF(A152="","",IF(SUMPRODUCT(MAX((Agenda!$E$5:$E$3004=A152)*(Agenda!$H$5:$H$3004="Realizado")*Agenda!$A$5:$A$3004))=0,"",SUMPRODUCT(MAX((Agenda!$E$5:$E$3004=A152)*(Agenda!$H$5:$H$3004="Realizado")*Agenda!$A$5:$A$3004))))</f>
        <v>46226.0</v>
      </c>
      <c r="I152" s="34">
        <f>IF(A152="","",IF(SUMPRODUCT(MIN(((Agenda!$E$5:$E$3004=A152)*((Agenda!$H$5:$H$3004="Agendado")+(Agenda!$H$5:$H$3004="Confirmado")))*Agenda!$A$5:$A$3004+(1-((Agenda!$E$5:$E$3004=A152)*((Agenda!$H$5:$H$3004="Agendado")+(Agenda!$H$5:$H$3004="Confirmado"))))*1E+10))&gt;=1E+10,"",SUMPRODUCT(MIN(((Agenda!$E$5:$E$3004=A152)*((Agenda!$H$5:$H$3004="Agendado")+(Agenda!$H$5:$H$3004="Confirmado")))*Agenda!$A$5:$A$3004+(1-((Agenda!$E$5:$E$3004=A152)*((Agenda!$H$5:$H$3004="Agendado")+(Agenda!$H$5:$H$3004="Confirmado"))))*1E+10))))</f>
        <v/>
      </c>
    </row>
    <row r="153">
      <c r="A153" s="37" t="inlineStr">
        <is>
          <t>Vinícius Cardoso</t>
        </is>
      </c>
      <c r="B153" s="38" t="inlineStr">
        <is>
          <t>MediPlan</t>
        </is>
      </c>
      <c r="C153" s="38" t="inlineStr">
        <is>
          <t>Dr. Paulo Andrade</t>
        </is>
      </c>
      <c r="D153" s="37" t="inlineStr">
        <is>
          <t>(11) 90000-0190</t>
        </is>
      </c>
      <c r="E153" s="37" t="n"/>
      <c r="F153" s="30">
        <f>IF(A153="","",COUNTIFS(Agenda!$E$5:$E$3004,A153,Agenda!$H$5:$H$3004,"Realizado"))</f>
        <v>2</v>
      </c>
      <c r="G153" s="30">
        <f>IF(A153="","",COUNTIFS(Agenda!$E$5:$E$3004,A153,Agenda!$H$5:$H$3004,"Falta"))</f>
        <v>0</v>
      </c>
      <c r="H153" s="34">
        <f>IF(A153="","",IF(SUMPRODUCT(MAX((Agenda!$E$5:$E$3004=A153)*(Agenda!$H$5:$H$3004="Realizado")*Agenda!$A$5:$A$3004))=0,"",SUMPRODUCT(MAX((Agenda!$E$5:$E$3004=A153)*(Agenda!$H$5:$H$3004="Realizado")*Agenda!$A$5:$A$3004))))</f>
        <v>46268.0</v>
      </c>
      <c r="I153" s="34">
        <f>IF(A153="","",IF(SUMPRODUCT(MIN(((Agenda!$E$5:$E$3004=A153)*((Agenda!$H$5:$H$3004="Agendado")+(Agenda!$H$5:$H$3004="Confirmado")))*Agenda!$A$5:$A$3004+(1-((Agenda!$E$5:$E$3004=A153)*((Agenda!$H$5:$H$3004="Agendado")+(Agenda!$H$5:$H$3004="Confirmado"))))*1E+10))&gt;=1E+10,"",SUMPRODUCT(MIN(((Agenda!$E$5:$E$3004=A153)*((Agenda!$H$5:$H$3004="Agendado")+(Agenda!$H$5:$H$3004="Confirmado")))*Agenda!$A$5:$A$3004+(1-((Agenda!$E$5:$E$3004=A153)*((Agenda!$H$5:$H$3004="Agendado")+(Agenda!$H$5:$H$3004="Confirmado"))))*1E+10))))</f>
        <v>46282.0</v>
      </c>
    </row>
    <row r="154">
      <c r="A154" s="37" t="inlineStr">
        <is>
          <t>Viviane Duarte</t>
        </is>
      </c>
      <c r="B154" s="38" t="inlineStr">
        <is>
          <t>MediPlan</t>
        </is>
      </c>
      <c r="C154" s="38" t="inlineStr">
        <is>
          <t>Dr. Paulo Andrade</t>
        </is>
      </c>
      <c r="D154" s="37" t="inlineStr">
        <is>
          <t>(11) 90000-0174</t>
        </is>
      </c>
      <c r="E154" s="37" t="n"/>
      <c r="F154" s="30">
        <f>IF(A154="","",COUNTIFS(Agenda!$E$5:$E$3004,A154,Agenda!$H$5:$H$3004,"Realizado"))</f>
        <v>3</v>
      </c>
      <c r="G154" s="30">
        <f>IF(A154="","",COUNTIFS(Agenda!$E$5:$E$3004,A154,Agenda!$H$5:$H$3004,"Falta"))</f>
        <v>0</v>
      </c>
      <c r="H154" s="34">
        <f>IF(A154="","",IF(SUMPRODUCT(MAX((Agenda!$E$5:$E$3004=A154)*(Agenda!$H$5:$H$3004="Realizado")*Agenda!$A$5:$A$3004))=0,"",SUMPRODUCT(MAX((Agenda!$E$5:$E$3004=A154)*(Agenda!$H$5:$H$3004="Realizado")*Agenda!$A$5:$A$3004))))</f>
        <v>46266.0</v>
      </c>
      <c r="I154" s="34">
        <f>IF(A154="","",IF(SUMPRODUCT(MIN(((Agenda!$E$5:$E$3004=A154)*((Agenda!$H$5:$H$3004="Agendado")+(Agenda!$H$5:$H$3004="Confirmado")))*Agenda!$A$5:$A$3004+(1-((Agenda!$E$5:$E$3004=A154)*((Agenda!$H$5:$H$3004="Agendado")+(Agenda!$H$5:$H$3004="Confirmado"))))*1E+10))&gt;=1E+10,"",SUMPRODUCT(MIN(((Agenda!$E$5:$E$3004=A154)*((Agenda!$H$5:$H$3004="Agendado")+(Agenda!$H$5:$H$3004="Confirmado")))*Agenda!$A$5:$A$3004+(1-((Agenda!$E$5:$E$3004=A154)*((Agenda!$H$5:$H$3004="Agendado")+(Agenda!$H$5:$H$3004="Confirmado"))))*1E+10))))</f>
        <v>46282.0</v>
      </c>
    </row>
    <row r="155">
      <c r="A155" s="37" t="inlineStr">
        <is>
          <t>Viviane Ribeiro</t>
        </is>
      </c>
      <c r="B155" s="38" t="inlineStr">
        <is>
          <t>Particular</t>
        </is>
      </c>
      <c r="C155" s="38" t="inlineStr">
        <is>
          <t>Dra. Carolina Mendes</t>
        </is>
      </c>
      <c r="D155" s="37" t="inlineStr">
        <is>
          <t>(11) 90000-0168</t>
        </is>
      </c>
      <c r="E155" s="37" t="n"/>
      <c r="F155" s="30">
        <f>IF(A155="","",COUNTIFS(Agenda!$E$5:$E$3004,A155,Agenda!$H$5:$H$3004,"Realizado"))</f>
        <v>3</v>
      </c>
      <c r="G155" s="30">
        <f>IF(A155="","",COUNTIFS(Agenda!$E$5:$E$3004,A155,Agenda!$H$5:$H$3004,"Falta"))</f>
        <v>0</v>
      </c>
      <c r="H155" s="34">
        <f>IF(A155="","",IF(SUMPRODUCT(MAX((Agenda!$E$5:$E$3004=A155)*(Agenda!$H$5:$H$3004="Realizado")*Agenda!$A$5:$A$3004))=0,"",SUMPRODUCT(MAX((Agenda!$E$5:$E$3004=A155)*(Agenda!$H$5:$H$3004="Realizado")*Agenda!$A$5:$A$3004))))</f>
        <v>46254.0</v>
      </c>
      <c r="I155" s="34">
        <f>IF(A155="","",IF(SUMPRODUCT(MIN(((Agenda!$E$5:$E$3004=A155)*((Agenda!$H$5:$H$3004="Agendado")+(Agenda!$H$5:$H$3004="Confirmado")))*Agenda!$A$5:$A$3004+(1-((Agenda!$E$5:$E$3004=A155)*((Agenda!$H$5:$H$3004="Agendado")+(Agenda!$H$5:$H$3004="Confirmado"))))*1E+10))&gt;=1E+10,"",SUMPRODUCT(MIN(((Agenda!$E$5:$E$3004=A155)*((Agenda!$H$5:$H$3004="Agendado")+(Agenda!$H$5:$H$3004="Confirmado")))*Agenda!$A$5:$A$3004+(1-((Agenda!$E$5:$E$3004=A155)*((Agenda!$H$5:$H$3004="Agendado")+(Agenda!$H$5:$H$3004="Confirmado"))))*1E+10))))</f>
        <v>46287.0</v>
      </c>
    </row>
    <row r="156">
      <c r="A156" s="37" t="inlineStr">
        <is>
          <t>Viviane Teixeira</t>
        </is>
      </c>
      <c r="B156" s="38" t="inlineStr">
        <is>
          <t>Particular</t>
        </is>
      </c>
      <c r="C156" s="38" t="inlineStr">
        <is>
          <t>Dr. Paulo Andrade</t>
        </is>
      </c>
      <c r="D156" s="37" t="inlineStr">
        <is>
          <t>(11) 90000-0199</t>
        </is>
      </c>
      <c r="E156" s="37" t="n"/>
      <c r="F156" s="30">
        <f>IF(A156="","",COUNTIFS(Agenda!$E$5:$E$3004,A156,Agenda!$H$5:$H$3004,"Realizado"))</f>
        <v>1</v>
      </c>
      <c r="G156" s="30">
        <f>IF(A156="","",COUNTIFS(Agenda!$E$5:$E$3004,A156,Agenda!$H$5:$H$3004,"Falta"))</f>
        <v>1</v>
      </c>
      <c r="H156" s="34">
        <f>IF(A156="","",IF(SUMPRODUCT(MAX((Agenda!$E$5:$E$3004=A156)*(Agenda!$H$5:$H$3004="Realizado")*Agenda!$A$5:$A$3004))=0,"",SUMPRODUCT(MAX((Agenda!$E$5:$E$3004=A156)*(Agenda!$H$5:$H$3004="Realizado")*Agenda!$A$5:$A$3004))))</f>
        <v>46238.0</v>
      </c>
      <c r="I156" s="34">
        <f>IF(A156="","",IF(SUMPRODUCT(MIN(((Agenda!$E$5:$E$3004=A156)*((Agenda!$H$5:$H$3004="Agendado")+(Agenda!$H$5:$H$3004="Confirmado")))*Agenda!$A$5:$A$3004+(1-((Agenda!$E$5:$E$3004=A156)*((Agenda!$H$5:$H$3004="Agendado")+(Agenda!$H$5:$H$3004="Confirmado"))))*1E+10))&gt;=1E+10,"",SUMPRODUCT(MIN(((Agenda!$E$5:$E$3004=A156)*((Agenda!$H$5:$H$3004="Agendado")+(Agenda!$H$5:$H$3004="Confirmado")))*Agenda!$A$5:$A$3004+(1-((Agenda!$E$5:$E$3004=A156)*((Agenda!$H$5:$H$3004="Agendado")+(Agenda!$H$5:$H$3004="Confirmado"))))*1E+10))))</f>
        <v/>
      </c>
    </row>
    <row r="157">
      <c r="A157" s="37" t="inlineStr">
        <is>
          <t>Wagner Carvalho</t>
        </is>
      </c>
      <c r="B157" s="38" t="inlineStr">
        <is>
          <t>Vida Care</t>
        </is>
      </c>
      <c r="C157" s="38" t="inlineStr">
        <is>
          <t>Dr. Paulo Andrade</t>
        </is>
      </c>
      <c r="D157" s="37" t="inlineStr">
        <is>
          <t>(11) 90000-0211</t>
        </is>
      </c>
      <c r="E157" s="37" t="n"/>
      <c r="F157" s="30">
        <f>IF(A157="","",COUNTIFS(Agenda!$E$5:$E$3004,A157,Agenda!$H$5:$H$3004,"Realizado"))</f>
        <v>3</v>
      </c>
      <c r="G157" s="30">
        <f>IF(A157="","",COUNTIFS(Agenda!$E$5:$E$3004,A157,Agenda!$H$5:$H$3004,"Falta"))</f>
        <v>2</v>
      </c>
      <c r="H157" s="34">
        <f>IF(A157="","",IF(SUMPRODUCT(MAX((Agenda!$E$5:$E$3004=A157)*(Agenda!$H$5:$H$3004="Realizado")*Agenda!$A$5:$A$3004))=0,"",SUMPRODUCT(MAX((Agenda!$E$5:$E$3004=A157)*(Agenda!$H$5:$H$3004="Realizado")*Agenda!$A$5:$A$3004))))</f>
        <v>46261.0</v>
      </c>
      <c r="I157" s="34">
        <f>IF(A157="","",IF(SUMPRODUCT(MIN(((Agenda!$E$5:$E$3004=A157)*((Agenda!$H$5:$H$3004="Agendado")+(Agenda!$H$5:$H$3004="Confirmado")))*Agenda!$A$5:$A$3004+(1-((Agenda!$E$5:$E$3004=A157)*((Agenda!$H$5:$H$3004="Agendado")+(Agenda!$H$5:$H$3004="Confirmado"))))*1E+10))&gt;=1E+10,"",SUMPRODUCT(MIN(((Agenda!$E$5:$E$3004=A157)*((Agenda!$H$5:$H$3004="Agendado")+(Agenda!$H$5:$H$3004="Confirmado")))*Agenda!$A$5:$A$3004+(1-((Agenda!$E$5:$E$3004=A157)*((Agenda!$H$5:$H$3004="Agendado")+(Agenda!$H$5:$H$3004="Confirmado"))))*1E+10))))</f>
        <v>46293.0</v>
      </c>
    </row>
    <row r="158">
      <c r="A158" s="37" t="inlineStr">
        <is>
          <t>Wagner Costa</t>
        </is>
      </c>
      <c r="B158" s="38" t="inlineStr">
        <is>
          <t>Particular</t>
        </is>
      </c>
      <c r="C158" s="38" t="inlineStr">
        <is>
          <t>Dr. Paulo Andrade</t>
        </is>
      </c>
      <c r="D158" s="37" t="inlineStr">
        <is>
          <t>(11) 90000-0207</t>
        </is>
      </c>
      <c r="E158" s="37" t="n"/>
      <c r="F158" s="30">
        <f>IF(A158="","",COUNTIFS(Agenda!$E$5:$E$3004,A158,Agenda!$H$5:$H$3004,"Realizado"))</f>
        <v>9</v>
      </c>
      <c r="G158" s="30">
        <f>IF(A158="","",COUNTIFS(Agenda!$E$5:$E$3004,A158,Agenda!$H$5:$H$3004,"Falta"))</f>
        <v>2</v>
      </c>
      <c r="H158" s="34">
        <f>IF(A158="","",IF(SUMPRODUCT(MAX((Agenda!$E$5:$E$3004=A158)*(Agenda!$H$5:$H$3004="Realizado")*Agenda!$A$5:$A$3004))=0,"",SUMPRODUCT(MAX((Agenda!$E$5:$E$3004=A158)*(Agenda!$H$5:$H$3004="Realizado")*Agenda!$A$5:$A$3004))))</f>
        <v>46269.0</v>
      </c>
      <c r="I158" s="34">
        <f>IF(A158="","",IF(SUMPRODUCT(MIN(((Agenda!$E$5:$E$3004=A158)*((Agenda!$H$5:$H$3004="Agendado")+(Agenda!$H$5:$H$3004="Confirmado")))*Agenda!$A$5:$A$3004+(1-((Agenda!$E$5:$E$3004=A158)*((Agenda!$H$5:$H$3004="Agendado")+(Agenda!$H$5:$H$3004="Confirmado"))))*1E+10))&gt;=1E+10,"",SUMPRODUCT(MIN(((Agenda!$E$5:$E$3004=A158)*((Agenda!$H$5:$H$3004="Agendado")+(Agenda!$H$5:$H$3004="Confirmado")))*Agenda!$A$5:$A$3004+(1-((Agenda!$E$5:$E$3004=A158)*((Agenda!$H$5:$H$3004="Agendado")+(Agenda!$H$5:$H$3004="Confirmado"))))*1E+10))))</f>
        <v>46296.0</v>
      </c>
    </row>
    <row r="159">
      <c r="A159" s="37" t="inlineStr">
        <is>
          <t>Wagner Lima</t>
        </is>
      </c>
      <c r="B159" s="38" t="inlineStr">
        <is>
          <t>Particular</t>
        </is>
      </c>
      <c r="C159" s="38" t="inlineStr">
        <is>
          <t>Dra. Carolina Mendes</t>
        </is>
      </c>
      <c r="D159" s="37" t="inlineStr">
        <is>
          <t>(11) 90000-0137</t>
        </is>
      </c>
      <c r="E159" s="37" t="n"/>
      <c r="F159" s="30">
        <f>IF(A159="","",COUNTIFS(Agenda!$E$5:$E$3004,A159,Agenda!$H$5:$H$3004,"Realizado"))</f>
        <v>8</v>
      </c>
      <c r="G159" s="30">
        <f>IF(A159="","",COUNTIFS(Agenda!$E$5:$E$3004,A159,Agenda!$H$5:$H$3004,"Falta"))</f>
        <v>0</v>
      </c>
      <c r="H159" s="34">
        <f>IF(A159="","",IF(SUMPRODUCT(MAX((Agenda!$E$5:$E$3004=A159)*(Agenda!$H$5:$H$3004="Realizado")*Agenda!$A$5:$A$3004))=0,"",SUMPRODUCT(MAX((Agenda!$E$5:$E$3004=A159)*(Agenda!$H$5:$H$3004="Realizado")*Agenda!$A$5:$A$3004))))</f>
        <v>46273.0</v>
      </c>
      <c r="I159" s="34">
        <f>IF(A159="","",IF(SUMPRODUCT(MIN(((Agenda!$E$5:$E$3004=A159)*((Agenda!$H$5:$H$3004="Agendado")+(Agenda!$H$5:$H$3004="Confirmado")))*Agenda!$A$5:$A$3004+(1-((Agenda!$E$5:$E$3004=A159)*((Agenda!$H$5:$H$3004="Agendado")+(Agenda!$H$5:$H$3004="Confirmado"))))*1E+10))&gt;=1E+10,"",SUMPRODUCT(MIN(((Agenda!$E$5:$E$3004=A159)*((Agenda!$H$5:$H$3004="Agendado")+(Agenda!$H$5:$H$3004="Confirmado")))*Agenda!$A$5:$A$3004+(1-((Agenda!$E$5:$E$3004=A159)*((Agenda!$H$5:$H$3004="Agendado")+(Agenda!$H$5:$H$3004="Confirmado"))))*1E+10))))</f>
        <v>46280.0</v>
      </c>
    </row>
    <row r="160">
      <c r="A160" s="37" t="inlineStr">
        <is>
          <t>Wagner Santos</t>
        </is>
      </c>
      <c r="B160" s="38" t="inlineStr">
        <is>
          <t>Particular</t>
        </is>
      </c>
      <c r="C160" s="38" t="inlineStr">
        <is>
          <t>Dra. Carolina Mendes</t>
        </is>
      </c>
      <c r="D160" s="37" t="inlineStr">
        <is>
          <t>(11) 90000-0151</t>
        </is>
      </c>
      <c r="E160" s="37" t="n"/>
      <c r="F160" s="30">
        <f>IF(A160="","",COUNTIFS(Agenda!$E$5:$E$3004,A160,Agenda!$H$5:$H$3004,"Realizado"))</f>
        <v>8</v>
      </c>
      <c r="G160" s="30">
        <f>IF(A160="","",COUNTIFS(Agenda!$E$5:$E$3004,A160,Agenda!$H$5:$H$3004,"Falta"))</f>
        <v>0</v>
      </c>
      <c r="H160" s="34">
        <f>IF(A160="","",IF(SUMPRODUCT(MAX((Agenda!$E$5:$E$3004=A160)*(Agenda!$H$5:$H$3004="Realizado")*Agenda!$A$5:$A$3004))=0,"",SUMPRODUCT(MAX((Agenda!$E$5:$E$3004=A160)*(Agenda!$H$5:$H$3004="Realizado")*Agenda!$A$5:$A$3004))))</f>
        <v>46245.0</v>
      </c>
      <c r="I160" s="34">
        <f>IF(A160="","",IF(SUMPRODUCT(MIN(((Agenda!$E$5:$E$3004=A160)*((Agenda!$H$5:$H$3004="Agendado")+(Agenda!$H$5:$H$3004="Confirmado")))*Agenda!$A$5:$A$3004+(1-((Agenda!$E$5:$E$3004=A160)*((Agenda!$H$5:$H$3004="Agendado")+(Agenda!$H$5:$H$3004="Confirmado"))))*1E+10))&gt;=1E+10,"",SUMPRODUCT(MIN(((Agenda!$E$5:$E$3004=A160)*((Agenda!$H$5:$H$3004="Agendado")+(Agenda!$H$5:$H$3004="Confirmado")))*Agenda!$A$5:$A$3004+(1-((Agenda!$E$5:$E$3004=A160)*((Agenda!$H$5:$H$3004="Agendado")+(Agenda!$H$5:$H$3004="Confirmado"))))*1E+10))))</f>
        <v>46286.0</v>
      </c>
    </row>
    <row r="161">
      <c r="A161" s="37" t="n"/>
      <c r="B161" s="38" t="n"/>
      <c r="C161" s="38" t="n"/>
      <c r="D161" s="37" t="n"/>
      <c r="E161" s="37" t="n"/>
      <c r="F161" s="30">
        <f>IF(A161="","",COUNTIFS(Agenda!$E$5:$E$3004,A161,Agenda!$H$5:$H$3004,"Realizado"))</f>
        <v/>
      </c>
      <c r="G161" s="30">
        <f>IF(A161="","",COUNTIFS(Agenda!$E$5:$E$3004,A161,Agenda!$H$5:$H$3004,"Falta"))</f>
        <v/>
      </c>
      <c r="H161" s="34">
        <f>IF(A161="","",IF(SUMPRODUCT(MAX((Agenda!$E$5:$E$3004=A161)*(Agenda!$H$5:$H$3004="Realizado")*Agenda!$A$5:$A$3004))=0,"",SUMPRODUCT(MAX((Agenda!$E$5:$E$3004=A161)*(Agenda!$H$5:$H$3004="Realizado")*Agenda!$A$5:$A$3004))))</f>
        <v/>
      </c>
      <c r="I161" s="34">
        <f>IF(A161="","",IF(SUMPRODUCT(MIN(((Agenda!$E$5:$E$3004=A161)*((Agenda!$H$5:$H$3004="Agendado")+(Agenda!$H$5:$H$3004="Confirmado")))*Agenda!$A$5:$A$3004+(1-((Agenda!$E$5:$E$3004=A161)*((Agenda!$H$5:$H$3004="Agendado")+(Agenda!$H$5:$H$3004="Confirmado"))))*1E+10))&gt;=1E+10,"",SUMPRODUCT(MIN(((Agenda!$E$5:$E$3004=A161)*((Agenda!$H$5:$H$3004="Agendado")+(Agenda!$H$5:$H$3004="Confirmado")))*Agenda!$A$5:$A$3004+(1-((Agenda!$E$5:$E$3004=A161)*((Agenda!$H$5:$H$3004="Agendado")+(Agenda!$H$5:$H$3004="Confirmado"))))*1E+10))))</f>
        <v/>
      </c>
    </row>
    <row r="162">
      <c r="A162" s="37" t="n"/>
      <c r="B162" s="38" t="n"/>
      <c r="C162" s="38" t="n"/>
      <c r="D162" s="37" t="n"/>
      <c r="E162" s="37" t="n"/>
      <c r="F162" s="30">
        <f>IF(A162="","",COUNTIFS(Agenda!$E$5:$E$3004,A162,Agenda!$H$5:$H$3004,"Realizado"))</f>
        <v/>
      </c>
      <c r="G162" s="30">
        <f>IF(A162="","",COUNTIFS(Agenda!$E$5:$E$3004,A162,Agenda!$H$5:$H$3004,"Falta"))</f>
        <v/>
      </c>
      <c r="H162" s="34">
        <f>IF(A162="","",IF(SUMPRODUCT(MAX((Agenda!$E$5:$E$3004=A162)*(Agenda!$H$5:$H$3004="Realizado")*Agenda!$A$5:$A$3004))=0,"",SUMPRODUCT(MAX((Agenda!$E$5:$E$3004=A162)*(Agenda!$H$5:$H$3004="Realizado")*Agenda!$A$5:$A$3004))))</f>
        <v/>
      </c>
      <c r="I162" s="34">
        <f>IF(A162="","",IF(SUMPRODUCT(MIN(((Agenda!$E$5:$E$3004=A162)*((Agenda!$H$5:$H$3004="Agendado")+(Agenda!$H$5:$H$3004="Confirmado")))*Agenda!$A$5:$A$3004+(1-((Agenda!$E$5:$E$3004=A162)*((Agenda!$H$5:$H$3004="Agendado")+(Agenda!$H$5:$H$3004="Confirmado"))))*1E+10))&gt;=1E+10,"",SUMPRODUCT(MIN(((Agenda!$E$5:$E$3004=A162)*((Agenda!$H$5:$H$3004="Agendado")+(Agenda!$H$5:$H$3004="Confirmado")))*Agenda!$A$5:$A$3004+(1-((Agenda!$E$5:$E$3004=A162)*((Agenda!$H$5:$H$3004="Agendado")+(Agenda!$H$5:$H$3004="Confirmado"))))*1E+10))))</f>
        <v/>
      </c>
    </row>
    <row r="163">
      <c r="A163" s="37" t="n"/>
      <c r="B163" s="38" t="n"/>
      <c r="C163" s="38" t="n"/>
      <c r="D163" s="37" t="n"/>
      <c r="E163" s="37" t="n"/>
      <c r="F163" s="30">
        <f>IF(A163="","",COUNTIFS(Agenda!$E$5:$E$3004,A163,Agenda!$H$5:$H$3004,"Realizado"))</f>
        <v/>
      </c>
      <c r="G163" s="30">
        <f>IF(A163="","",COUNTIFS(Agenda!$E$5:$E$3004,A163,Agenda!$H$5:$H$3004,"Falta"))</f>
        <v/>
      </c>
      <c r="H163" s="34">
        <f>IF(A163="","",IF(SUMPRODUCT(MAX((Agenda!$E$5:$E$3004=A163)*(Agenda!$H$5:$H$3004="Realizado")*Agenda!$A$5:$A$3004))=0,"",SUMPRODUCT(MAX((Agenda!$E$5:$E$3004=A163)*(Agenda!$H$5:$H$3004="Realizado")*Agenda!$A$5:$A$3004))))</f>
        <v/>
      </c>
      <c r="I163" s="34">
        <f>IF(A163="","",IF(SUMPRODUCT(MIN(((Agenda!$E$5:$E$3004=A163)*((Agenda!$H$5:$H$3004="Agendado")+(Agenda!$H$5:$H$3004="Confirmado")))*Agenda!$A$5:$A$3004+(1-((Agenda!$E$5:$E$3004=A163)*((Agenda!$H$5:$H$3004="Agendado")+(Agenda!$H$5:$H$3004="Confirmado"))))*1E+10))&gt;=1E+10,"",SUMPRODUCT(MIN(((Agenda!$E$5:$E$3004=A163)*((Agenda!$H$5:$H$3004="Agendado")+(Agenda!$H$5:$H$3004="Confirmado")))*Agenda!$A$5:$A$3004+(1-((Agenda!$E$5:$E$3004=A163)*((Agenda!$H$5:$H$3004="Agendado")+(Agenda!$H$5:$H$3004="Confirmado"))))*1E+10))))</f>
        <v/>
      </c>
    </row>
    <row r="164">
      <c r="A164" s="37" t="n"/>
      <c r="B164" s="38" t="n"/>
      <c r="C164" s="38" t="n"/>
      <c r="D164" s="37" t="n"/>
      <c r="E164" s="37" t="n"/>
      <c r="F164" s="30">
        <f>IF(A164="","",COUNTIFS(Agenda!$E$5:$E$3004,A164,Agenda!$H$5:$H$3004,"Realizado"))</f>
        <v/>
      </c>
      <c r="G164" s="30">
        <f>IF(A164="","",COUNTIFS(Agenda!$E$5:$E$3004,A164,Agenda!$H$5:$H$3004,"Falta"))</f>
        <v/>
      </c>
      <c r="H164" s="34">
        <f>IF(A164="","",IF(SUMPRODUCT(MAX((Agenda!$E$5:$E$3004=A164)*(Agenda!$H$5:$H$3004="Realizado")*Agenda!$A$5:$A$3004))=0,"",SUMPRODUCT(MAX((Agenda!$E$5:$E$3004=A164)*(Agenda!$H$5:$H$3004="Realizado")*Agenda!$A$5:$A$3004))))</f>
        <v/>
      </c>
      <c r="I164" s="34">
        <f>IF(A164="","",IF(SUMPRODUCT(MIN(((Agenda!$E$5:$E$3004=A164)*((Agenda!$H$5:$H$3004="Agendado")+(Agenda!$H$5:$H$3004="Confirmado")))*Agenda!$A$5:$A$3004+(1-((Agenda!$E$5:$E$3004=A164)*((Agenda!$H$5:$H$3004="Agendado")+(Agenda!$H$5:$H$3004="Confirmado"))))*1E+10))&gt;=1E+10,"",SUMPRODUCT(MIN(((Agenda!$E$5:$E$3004=A164)*((Agenda!$H$5:$H$3004="Agendado")+(Agenda!$H$5:$H$3004="Confirmado")))*Agenda!$A$5:$A$3004+(1-((Agenda!$E$5:$E$3004=A164)*((Agenda!$H$5:$H$3004="Agendado")+(Agenda!$H$5:$H$3004="Confirmado"))))*1E+10))))</f>
        <v/>
      </c>
    </row>
    <row r="165">
      <c r="A165" s="37" t="n"/>
      <c r="B165" s="38" t="n"/>
      <c r="C165" s="38" t="n"/>
      <c r="D165" s="37" t="n"/>
      <c r="E165" s="37" t="n"/>
      <c r="F165" s="30">
        <f>IF(A165="","",COUNTIFS(Agenda!$E$5:$E$3004,A165,Agenda!$H$5:$H$3004,"Realizado"))</f>
        <v/>
      </c>
      <c r="G165" s="30">
        <f>IF(A165="","",COUNTIFS(Agenda!$E$5:$E$3004,A165,Agenda!$H$5:$H$3004,"Falta"))</f>
        <v/>
      </c>
      <c r="H165" s="34">
        <f>IF(A165="","",IF(SUMPRODUCT(MAX((Agenda!$E$5:$E$3004=A165)*(Agenda!$H$5:$H$3004="Realizado")*Agenda!$A$5:$A$3004))=0,"",SUMPRODUCT(MAX((Agenda!$E$5:$E$3004=A165)*(Agenda!$H$5:$H$3004="Realizado")*Agenda!$A$5:$A$3004))))</f>
        <v/>
      </c>
      <c r="I165" s="34">
        <f>IF(A165="","",IF(SUMPRODUCT(MIN(((Agenda!$E$5:$E$3004=A165)*((Agenda!$H$5:$H$3004="Agendado")+(Agenda!$H$5:$H$3004="Confirmado")))*Agenda!$A$5:$A$3004+(1-((Agenda!$E$5:$E$3004=A165)*((Agenda!$H$5:$H$3004="Agendado")+(Agenda!$H$5:$H$3004="Confirmado"))))*1E+10))&gt;=1E+10,"",SUMPRODUCT(MIN(((Agenda!$E$5:$E$3004=A165)*((Agenda!$H$5:$H$3004="Agendado")+(Agenda!$H$5:$H$3004="Confirmado")))*Agenda!$A$5:$A$3004+(1-((Agenda!$E$5:$E$3004=A165)*((Agenda!$H$5:$H$3004="Agendado")+(Agenda!$H$5:$H$3004="Confirmado"))))*1E+10))))</f>
        <v/>
      </c>
    </row>
    <row r="166">
      <c r="A166" s="37" t="n"/>
      <c r="B166" s="38" t="n"/>
      <c r="C166" s="38" t="n"/>
      <c r="D166" s="37" t="n"/>
      <c r="E166" s="37" t="n"/>
      <c r="F166" s="30">
        <f>IF(A166="","",COUNTIFS(Agenda!$E$5:$E$3004,A166,Agenda!$H$5:$H$3004,"Realizado"))</f>
        <v/>
      </c>
      <c r="G166" s="30">
        <f>IF(A166="","",COUNTIFS(Agenda!$E$5:$E$3004,A166,Agenda!$H$5:$H$3004,"Falta"))</f>
        <v/>
      </c>
      <c r="H166" s="34">
        <f>IF(A166="","",IF(SUMPRODUCT(MAX((Agenda!$E$5:$E$3004=A166)*(Agenda!$H$5:$H$3004="Realizado")*Agenda!$A$5:$A$3004))=0,"",SUMPRODUCT(MAX((Agenda!$E$5:$E$3004=A166)*(Agenda!$H$5:$H$3004="Realizado")*Agenda!$A$5:$A$3004))))</f>
        <v/>
      </c>
      <c r="I166" s="34">
        <f>IF(A166="","",IF(SUMPRODUCT(MIN(((Agenda!$E$5:$E$3004=A166)*((Agenda!$H$5:$H$3004="Agendado")+(Agenda!$H$5:$H$3004="Confirmado")))*Agenda!$A$5:$A$3004+(1-((Agenda!$E$5:$E$3004=A166)*((Agenda!$H$5:$H$3004="Agendado")+(Agenda!$H$5:$H$3004="Confirmado"))))*1E+10))&gt;=1E+10,"",SUMPRODUCT(MIN(((Agenda!$E$5:$E$3004=A166)*((Agenda!$H$5:$H$3004="Agendado")+(Agenda!$H$5:$H$3004="Confirmado")))*Agenda!$A$5:$A$3004+(1-((Agenda!$E$5:$E$3004=A166)*((Agenda!$H$5:$H$3004="Agendado")+(Agenda!$H$5:$H$3004="Confirmado"))))*1E+10))))</f>
        <v/>
      </c>
    </row>
    <row r="167">
      <c r="A167" s="37" t="n"/>
      <c r="B167" s="38" t="n"/>
      <c r="C167" s="38" t="n"/>
      <c r="D167" s="37" t="n"/>
      <c r="E167" s="37" t="n"/>
      <c r="F167" s="30">
        <f>IF(A167="","",COUNTIFS(Agenda!$E$5:$E$3004,A167,Agenda!$H$5:$H$3004,"Realizado"))</f>
        <v/>
      </c>
      <c r="G167" s="30">
        <f>IF(A167="","",COUNTIFS(Agenda!$E$5:$E$3004,A167,Agenda!$H$5:$H$3004,"Falta"))</f>
        <v/>
      </c>
      <c r="H167" s="34">
        <f>IF(A167="","",IF(SUMPRODUCT(MAX((Agenda!$E$5:$E$3004=A167)*(Agenda!$H$5:$H$3004="Realizado")*Agenda!$A$5:$A$3004))=0,"",SUMPRODUCT(MAX((Agenda!$E$5:$E$3004=A167)*(Agenda!$H$5:$H$3004="Realizado")*Agenda!$A$5:$A$3004))))</f>
        <v/>
      </c>
      <c r="I167" s="34">
        <f>IF(A167="","",IF(SUMPRODUCT(MIN(((Agenda!$E$5:$E$3004=A167)*((Agenda!$H$5:$H$3004="Agendado")+(Agenda!$H$5:$H$3004="Confirmado")))*Agenda!$A$5:$A$3004+(1-((Agenda!$E$5:$E$3004=A167)*((Agenda!$H$5:$H$3004="Agendado")+(Agenda!$H$5:$H$3004="Confirmado"))))*1E+10))&gt;=1E+10,"",SUMPRODUCT(MIN(((Agenda!$E$5:$E$3004=A167)*((Agenda!$H$5:$H$3004="Agendado")+(Agenda!$H$5:$H$3004="Confirmado")))*Agenda!$A$5:$A$3004+(1-((Agenda!$E$5:$E$3004=A167)*((Agenda!$H$5:$H$3004="Agendado")+(Agenda!$H$5:$H$3004="Confirmado"))))*1E+10))))</f>
        <v/>
      </c>
    </row>
    <row r="168">
      <c r="A168" s="37" t="n"/>
      <c r="B168" s="38" t="n"/>
      <c r="C168" s="38" t="n"/>
      <c r="D168" s="37" t="n"/>
      <c r="E168" s="37" t="n"/>
      <c r="F168" s="30">
        <f>IF(A168="","",COUNTIFS(Agenda!$E$5:$E$3004,A168,Agenda!$H$5:$H$3004,"Realizado"))</f>
        <v/>
      </c>
      <c r="G168" s="30">
        <f>IF(A168="","",COUNTIFS(Agenda!$E$5:$E$3004,A168,Agenda!$H$5:$H$3004,"Falta"))</f>
        <v/>
      </c>
      <c r="H168" s="34">
        <f>IF(A168="","",IF(SUMPRODUCT(MAX((Agenda!$E$5:$E$3004=A168)*(Agenda!$H$5:$H$3004="Realizado")*Agenda!$A$5:$A$3004))=0,"",SUMPRODUCT(MAX((Agenda!$E$5:$E$3004=A168)*(Agenda!$H$5:$H$3004="Realizado")*Agenda!$A$5:$A$3004))))</f>
        <v/>
      </c>
      <c r="I168" s="34">
        <f>IF(A168="","",IF(SUMPRODUCT(MIN(((Agenda!$E$5:$E$3004=A168)*((Agenda!$H$5:$H$3004="Agendado")+(Agenda!$H$5:$H$3004="Confirmado")))*Agenda!$A$5:$A$3004+(1-((Agenda!$E$5:$E$3004=A168)*((Agenda!$H$5:$H$3004="Agendado")+(Agenda!$H$5:$H$3004="Confirmado"))))*1E+10))&gt;=1E+10,"",SUMPRODUCT(MIN(((Agenda!$E$5:$E$3004=A168)*((Agenda!$H$5:$H$3004="Agendado")+(Agenda!$H$5:$H$3004="Confirmado")))*Agenda!$A$5:$A$3004+(1-((Agenda!$E$5:$E$3004=A168)*((Agenda!$H$5:$H$3004="Agendado")+(Agenda!$H$5:$H$3004="Confirmado"))))*1E+10))))</f>
        <v/>
      </c>
    </row>
    <row r="169">
      <c r="A169" s="37" t="n"/>
      <c r="B169" s="38" t="n"/>
      <c r="C169" s="38" t="n"/>
      <c r="D169" s="37" t="n"/>
      <c r="E169" s="37" t="n"/>
      <c r="F169" s="30">
        <f>IF(A169="","",COUNTIFS(Agenda!$E$5:$E$3004,A169,Agenda!$H$5:$H$3004,"Realizado"))</f>
        <v/>
      </c>
      <c r="G169" s="30">
        <f>IF(A169="","",COUNTIFS(Agenda!$E$5:$E$3004,A169,Agenda!$H$5:$H$3004,"Falta"))</f>
        <v/>
      </c>
      <c r="H169" s="34">
        <f>IF(A169="","",IF(SUMPRODUCT(MAX((Agenda!$E$5:$E$3004=A169)*(Agenda!$H$5:$H$3004="Realizado")*Agenda!$A$5:$A$3004))=0,"",SUMPRODUCT(MAX((Agenda!$E$5:$E$3004=A169)*(Agenda!$H$5:$H$3004="Realizado")*Agenda!$A$5:$A$3004))))</f>
        <v/>
      </c>
      <c r="I169" s="34">
        <f>IF(A169="","",IF(SUMPRODUCT(MIN(((Agenda!$E$5:$E$3004=A169)*((Agenda!$H$5:$H$3004="Agendado")+(Agenda!$H$5:$H$3004="Confirmado")))*Agenda!$A$5:$A$3004+(1-((Agenda!$E$5:$E$3004=A169)*((Agenda!$H$5:$H$3004="Agendado")+(Agenda!$H$5:$H$3004="Confirmado"))))*1E+10))&gt;=1E+10,"",SUMPRODUCT(MIN(((Agenda!$E$5:$E$3004=A169)*((Agenda!$H$5:$H$3004="Agendado")+(Agenda!$H$5:$H$3004="Confirmado")))*Agenda!$A$5:$A$3004+(1-((Agenda!$E$5:$E$3004=A169)*((Agenda!$H$5:$H$3004="Agendado")+(Agenda!$H$5:$H$3004="Confirmado"))))*1E+10))))</f>
        <v/>
      </c>
    </row>
    <row r="170">
      <c r="A170" s="37" t="n"/>
      <c r="B170" s="38" t="n"/>
      <c r="C170" s="38" t="n"/>
      <c r="D170" s="37" t="n"/>
      <c r="E170" s="37" t="n"/>
      <c r="F170" s="30">
        <f>IF(A170="","",COUNTIFS(Agenda!$E$5:$E$3004,A170,Agenda!$H$5:$H$3004,"Realizado"))</f>
        <v/>
      </c>
      <c r="G170" s="30">
        <f>IF(A170="","",COUNTIFS(Agenda!$E$5:$E$3004,A170,Agenda!$H$5:$H$3004,"Falta"))</f>
        <v/>
      </c>
      <c r="H170" s="34">
        <f>IF(A170="","",IF(SUMPRODUCT(MAX((Agenda!$E$5:$E$3004=A170)*(Agenda!$H$5:$H$3004="Realizado")*Agenda!$A$5:$A$3004))=0,"",SUMPRODUCT(MAX((Agenda!$E$5:$E$3004=A170)*(Agenda!$H$5:$H$3004="Realizado")*Agenda!$A$5:$A$3004))))</f>
        <v/>
      </c>
      <c r="I170" s="34">
        <f>IF(A170="","",IF(SUMPRODUCT(MIN(((Agenda!$E$5:$E$3004=A170)*((Agenda!$H$5:$H$3004="Agendado")+(Agenda!$H$5:$H$3004="Confirmado")))*Agenda!$A$5:$A$3004+(1-((Agenda!$E$5:$E$3004=A170)*((Agenda!$H$5:$H$3004="Agendado")+(Agenda!$H$5:$H$3004="Confirmado"))))*1E+10))&gt;=1E+10,"",SUMPRODUCT(MIN(((Agenda!$E$5:$E$3004=A170)*((Agenda!$H$5:$H$3004="Agendado")+(Agenda!$H$5:$H$3004="Confirmado")))*Agenda!$A$5:$A$3004+(1-((Agenda!$E$5:$E$3004=A170)*((Agenda!$H$5:$H$3004="Agendado")+(Agenda!$H$5:$H$3004="Confirmado"))))*1E+10))))</f>
        <v/>
      </c>
    </row>
    <row r="171">
      <c r="A171" s="37" t="n"/>
      <c r="B171" s="38" t="n"/>
      <c r="C171" s="38" t="n"/>
      <c r="D171" s="37" t="n"/>
      <c r="E171" s="37" t="n"/>
      <c r="F171" s="30">
        <f>IF(A171="","",COUNTIFS(Agenda!$E$5:$E$3004,A171,Agenda!$H$5:$H$3004,"Realizado"))</f>
        <v/>
      </c>
      <c r="G171" s="30">
        <f>IF(A171="","",COUNTIFS(Agenda!$E$5:$E$3004,A171,Agenda!$H$5:$H$3004,"Falta"))</f>
        <v/>
      </c>
      <c r="H171" s="34">
        <f>IF(A171="","",IF(SUMPRODUCT(MAX((Agenda!$E$5:$E$3004=A171)*(Agenda!$H$5:$H$3004="Realizado")*Agenda!$A$5:$A$3004))=0,"",SUMPRODUCT(MAX((Agenda!$E$5:$E$3004=A171)*(Agenda!$H$5:$H$3004="Realizado")*Agenda!$A$5:$A$3004))))</f>
        <v/>
      </c>
      <c r="I171" s="34">
        <f>IF(A171="","",IF(SUMPRODUCT(MIN(((Agenda!$E$5:$E$3004=A171)*((Agenda!$H$5:$H$3004="Agendado")+(Agenda!$H$5:$H$3004="Confirmado")))*Agenda!$A$5:$A$3004+(1-((Agenda!$E$5:$E$3004=A171)*((Agenda!$H$5:$H$3004="Agendado")+(Agenda!$H$5:$H$3004="Confirmado"))))*1E+10))&gt;=1E+10,"",SUMPRODUCT(MIN(((Agenda!$E$5:$E$3004=A171)*((Agenda!$H$5:$H$3004="Agendado")+(Agenda!$H$5:$H$3004="Confirmado")))*Agenda!$A$5:$A$3004+(1-((Agenda!$E$5:$E$3004=A171)*((Agenda!$H$5:$H$3004="Agendado")+(Agenda!$H$5:$H$3004="Confirmado"))))*1E+10))))</f>
        <v/>
      </c>
    </row>
    <row r="172">
      <c r="A172" s="37" t="n"/>
      <c r="B172" s="38" t="n"/>
      <c r="C172" s="38" t="n"/>
      <c r="D172" s="37" t="n"/>
      <c r="E172" s="37" t="n"/>
      <c r="F172" s="30">
        <f>IF(A172="","",COUNTIFS(Agenda!$E$5:$E$3004,A172,Agenda!$H$5:$H$3004,"Realizado"))</f>
        <v/>
      </c>
      <c r="G172" s="30">
        <f>IF(A172="","",COUNTIFS(Agenda!$E$5:$E$3004,A172,Agenda!$H$5:$H$3004,"Falta"))</f>
        <v/>
      </c>
      <c r="H172" s="34">
        <f>IF(A172="","",IF(SUMPRODUCT(MAX((Agenda!$E$5:$E$3004=A172)*(Agenda!$H$5:$H$3004="Realizado")*Agenda!$A$5:$A$3004))=0,"",SUMPRODUCT(MAX((Agenda!$E$5:$E$3004=A172)*(Agenda!$H$5:$H$3004="Realizado")*Agenda!$A$5:$A$3004))))</f>
        <v/>
      </c>
      <c r="I172" s="34">
        <f>IF(A172="","",IF(SUMPRODUCT(MIN(((Agenda!$E$5:$E$3004=A172)*((Agenda!$H$5:$H$3004="Agendado")+(Agenda!$H$5:$H$3004="Confirmado")))*Agenda!$A$5:$A$3004+(1-((Agenda!$E$5:$E$3004=A172)*((Agenda!$H$5:$H$3004="Agendado")+(Agenda!$H$5:$H$3004="Confirmado"))))*1E+10))&gt;=1E+10,"",SUMPRODUCT(MIN(((Agenda!$E$5:$E$3004=A172)*((Agenda!$H$5:$H$3004="Agendado")+(Agenda!$H$5:$H$3004="Confirmado")))*Agenda!$A$5:$A$3004+(1-((Agenda!$E$5:$E$3004=A172)*((Agenda!$H$5:$H$3004="Agendado")+(Agenda!$H$5:$H$3004="Confirmado"))))*1E+10))))</f>
        <v/>
      </c>
    </row>
    <row r="173">
      <c r="A173" s="37" t="n"/>
      <c r="B173" s="38" t="n"/>
      <c r="C173" s="38" t="n"/>
      <c r="D173" s="37" t="n"/>
      <c r="E173" s="37" t="n"/>
      <c r="F173" s="30">
        <f>IF(A173="","",COUNTIFS(Agenda!$E$5:$E$3004,A173,Agenda!$H$5:$H$3004,"Realizado"))</f>
        <v/>
      </c>
      <c r="G173" s="30">
        <f>IF(A173="","",COUNTIFS(Agenda!$E$5:$E$3004,A173,Agenda!$H$5:$H$3004,"Falta"))</f>
        <v/>
      </c>
      <c r="H173" s="34">
        <f>IF(A173="","",IF(SUMPRODUCT(MAX((Agenda!$E$5:$E$3004=A173)*(Agenda!$H$5:$H$3004="Realizado")*Agenda!$A$5:$A$3004))=0,"",SUMPRODUCT(MAX((Agenda!$E$5:$E$3004=A173)*(Agenda!$H$5:$H$3004="Realizado")*Agenda!$A$5:$A$3004))))</f>
        <v/>
      </c>
      <c r="I173" s="34">
        <f>IF(A173="","",IF(SUMPRODUCT(MIN(((Agenda!$E$5:$E$3004=A173)*((Agenda!$H$5:$H$3004="Agendado")+(Agenda!$H$5:$H$3004="Confirmado")))*Agenda!$A$5:$A$3004+(1-((Agenda!$E$5:$E$3004=A173)*((Agenda!$H$5:$H$3004="Agendado")+(Agenda!$H$5:$H$3004="Confirmado"))))*1E+10))&gt;=1E+10,"",SUMPRODUCT(MIN(((Agenda!$E$5:$E$3004=A173)*((Agenda!$H$5:$H$3004="Agendado")+(Agenda!$H$5:$H$3004="Confirmado")))*Agenda!$A$5:$A$3004+(1-((Agenda!$E$5:$E$3004=A173)*((Agenda!$H$5:$H$3004="Agendado")+(Agenda!$H$5:$H$3004="Confirmado"))))*1E+10))))</f>
        <v/>
      </c>
    </row>
    <row r="174">
      <c r="A174" s="37" t="n"/>
      <c r="B174" s="38" t="n"/>
      <c r="C174" s="38" t="n"/>
      <c r="D174" s="37" t="n"/>
      <c r="E174" s="37" t="n"/>
      <c r="F174" s="30">
        <f>IF(A174="","",COUNTIFS(Agenda!$E$5:$E$3004,A174,Agenda!$H$5:$H$3004,"Realizado"))</f>
        <v/>
      </c>
      <c r="G174" s="30">
        <f>IF(A174="","",COUNTIFS(Agenda!$E$5:$E$3004,A174,Agenda!$H$5:$H$3004,"Falta"))</f>
        <v/>
      </c>
      <c r="H174" s="34">
        <f>IF(A174="","",IF(SUMPRODUCT(MAX((Agenda!$E$5:$E$3004=A174)*(Agenda!$H$5:$H$3004="Realizado")*Agenda!$A$5:$A$3004))=0,"",SUMPRODUCT(MAX((Agenda!$E$5:$E$3004=A174)*(Agenda!$H$5:$H$3004="Realizado")*Agenda!$A$5:$A$3004))))</f>
        <v/>
      </c>
      <c r="I174" s="34">
        <f>IF(A174="","",IF(SUMPRODUCT(MIN(((Agenda!$E$5:$E$3004=A174)*((Agenda!$H$5:$H$3004="Agendado")+(Agenda!$H$5:$H$3004="Confirmado")))*Agenda!$A$5:$A$3004+(1-((Agenda!$E$5:$E$3004=A174)*((Agenda!$H$5:$H$3004="Agendado")+(Agenda!$H$5:$H$3004="Confirmado"))))*1E+10))&gt;=1E+10,"",SUMPRODUCT(MIN(((Agenda!$E$5:$E$3004=A174)*((Agenda!$H$5:$H$3004="Agendado")+(Agenda!$H$5:$H$3004="Confirmado")))*Agenda!$A$5:$A$3004+(1-((Agenda!$E$5:$E$3004=A174)*((Agenda!$H$5:$H$3004="Agendado")+(Agenda!$H$5:$H$3004="Confirmado"))))*1E+10))))</f>
        <v/>
      </c>
    </row>
    <row r="175">
      <c r="A175" s="37" t="n"/>
      <c r="B175" s="38" t="n"/>
      <c r="C175" s="38" t="n"/>
      <c r="D175" s="37" t="n"/>
      <c r="E175" s="37" t="n"/>
      <c r="F175" s="30">
        <f>IF(A175="","",COUNTIFS(Agenda!$E$5:$E$3004,A175,Agenda!$H$5:$H$3004,"Realizado"))</f>
        <v/>
      </c>
      <c r="G175" s="30">
        <f>IF(A175="","",COUNTIFS(Agenda!$E$5:$E$3004,A175,Agenda!$H$5:$H$3004,"Falta"))</f>
        <v/>
      </c>
      <c r="H175" s="34">
        <f>IF(A175="","",IF(SUMPRODUCT(MAX((Agenda!$E$5:$E$3004=A175)*(Agenda!$H$5:$H$3004="Realizado")*Agenda!$A$5:$A$3004))=0,"",SUMPRODUCT(MAX((Agenda!$E$5:$E$3004=A175)*(Agenda!$H$5:$H$3004="Realizado")*Agenda!$A$5:$A$3004))))</f>
        <v/>
      </c>
      <c r="I175" s="34">
        <f>IF(A175="","",IF(SUMPRODUCT(MIN(((Agenda!$E$5:$E$3004=A175)*((Agenda!$H$5:$H$3004="Agendado")+(Agenda!$H$5:$H$3004="Confirmado")))*Agenda!$A$5:$A$3004+(1-((Agenda!$E$5:$E$3004=A175)*((Agenda!$H$5:$H$3004="Agendado")+(Agenda!$H$5:$H$3004="Confirmado"))))*1E+10))&gt;=1E+10,"",SUMPRODUCT(MIN(((Agenda!$E$5:$E$3004=A175)*((Agenda!$H$5:$H$3004="Agendado")+(Agenda!$H$5:$H$3004="Confirmado")))*Agenda!$A$5:$A$3004+(1-((Agenda!$E$5:$E$3004=A175)*((Agenda!$H$5:$H$3004="Agendado")+(Agenda!$H$5:$H$3004="Confirmado"))))*1E+10))))</f>
        <v/>
      </c>
    </row>
    <row r="176">
      <c r="A176" s="37" t="n"/>
      <c r="B176" s="38" t="n"/>
      <c r="C176" s="38" t="n"/>
      <c r="D176" s="37" t="n"/>
      <c r="E176" s="37" t="n"/>
      <c r="F176" s="30">
        <f>IF(A176="","",COUNTIFS(Agenda!$E$5:$E$3004,A176,Agenda!$H$5:$H$3004,"Realizado"))</f>
        <v/>
      </c>
      <c r="G176" s="30">
        <f>IF(A176="","",COUNTIFS(Agenda!$E$5:$E$3004,A176,Agenda!$H$5:$H$3004,"Falta"))</f>
        <v/>
      </c>
      <c r="H176" s="34">
        <f>IF(A176="","",IF(SUMPRODUCT(MAX((Agenda!$E$5:$E$3004=A176)*(Agenda!$H$5:$H$3004="Realizado")*Agenda!$A$5:$A$3004))=0,"",SUMPRODUCT(MAX((Agenda!$E$5:$E$3004=A176)*(Agenda!$H$5:$H$3004="Realizado")*Agenda!$A$5:$A$3004))))</f>
        <v/>
      </c>
      <c r="I176" s="34">
        <f>IF(A176="","",IF(SUMPRODUCT(MIN(((Agenda!$E$5:$E$3004=A176)*((Agenda!$H$5:$H$3004="Agendado")+(Agenda!$H$5:$H$3004="Confirmado")))*Agenda!$A$5:$A$3004+(1-((Agenda!$E$5:$E$3004=A176)*((Agenda!$H$5:$H$3004="Agendado")+(Agenda!$H$5:$H$3004="Confirmado"))))*1E+10))&gt;=1E+10,"",SUMPRODUCT(MIN(((Agenda!$E$5:$E$3004=A176)*((Agenda!$H$5:$H$3004="Agendado")+(Agenda!$H$5:$H$3004="Confirmado")))*Agenda!$A$5:$A$3004+(1-((Agenda!$E$5:$E$3004=A176)*((Agenda!$H$5:$H$3004="Agendado")+(Agenda!$H$5:$H$3004="Confirmado"))))*1E+10))))</f>
        <v/>
      </c>
    </row>
    <row r="177">
      <c r="A177" s="37" t="n"/>
      <c r="B177" s="38" t="n"/>
      <c r="C177" s="38" t="n"/>
      <c r="D177" s="37" t="n"/>
      <c r="E177" s="37" t="n"/>
      <c r="F177" s="30">
        <f>IF(A177="","",COUNTIFS(Agenda!$E$5:$E$3004,A177,Agenda!$H$5:$H$3004,"Realizado"))</f>
        <v/>
      </c>
      <c r="G177" s="30">
        <f>IF(A177="","",COUNTIFS(Agenda!$E$5:$E$3004,A177,Agenda!$H$5:$H$3004,"Falta"))</f>
        <v/>
      </c>
      <c r="H177" s="34">
        <f>IF(A177="","",IF(SUMPRODUCT(MAX((Agenda!$E$5:$E$3004=A177)*(Agenda!$H$5:$H$3004="Realizado")*Agenda!$A$5:$A$3004))=0,"",SUMPRODUCT(MAX((Agenda!$E$5:$E$3004=A177)*(Agenda!$H$5:$H$3004="Realizado")*Agenda!$A$5:$A$3004))))</f>
        <v/>
      </c>
      <c r="I177" s="34">
        <f>IF(A177="","",IF(SUMPRODUCT(MIN(((Agenda!$E$5:$E$3004=A177)*((Agenda!$H$5:$H$3004="Agendado")+(Agenda!$H$5:$H$3004="Confirmado")))*Agenda!$A$5:$A$3004+(1-((Agenda!$E$5:$E$3004=A177)*((Agenda!$H$5:$H$3004="Agendado")+(Agenda!$H$5:$H$3004="Confirmado"))))*1E+10))&gt;=1E+10,"",SUMPRODUCT(MIN(((Agenda!$E$5:$E$3004=A177)*((Agenda!$H$5:$H$3004="Agendado")+(Agenda!$H$5:$H$3004="Confirmado")))*Agenda!$A$5:$A$3004+(1-((Agenda!$E$5:$E$3004=A177)*((Agenda!$H$5:$H$3004="Agendado")+(Agenda!$H$5:$H$3004="Confirmado"))))*1E+10))))</f>
        <v/>
      </c>
    </row>
    <row r="178">
      <c r="A178" s="37" t="n"/>
      <c r="B178" s="38" t="n"/>
      <c r="C178" s="38" t="n"/>
      <c r="D178" s="37" t="n"/>
      <c r="E178" s="37" t="n"/>
      <c r="F178" s="30">
        <f>IF(A178="","",COUNTIFS(Agenda!$E$5:$E$3004,A178,Agenda!$H$5:$H$3004,"Realizado"))</f>
        <v/>
      </c>
      <c r="G178" s="30">
        <f>IF(A178="","",COUNTIFS(Agenda!$E$5:$E$3004,A178,Agenda!$H$5:$H$3004,"Falta"))</f>
        <v/>
      </c>
      <c r="H178" s="34">
        <f>IF(A178="","",IF(SUMPRODUCT(MAX((Agenda!$E$5:$E$3004=A178)*(Agenda!$H$5:$H$3004="Realizado")*Agenda!$A$5:$A$3004))=0,"",SUMPRODUCT(MAX((Agenda!$E$5:$E$3004=A178)*(Agenda!$H$5:$H$3004="Realizado")*Agenda!$A$5:$A$3004))))</f>
        <v/>
      </c>
      <c r="I178" s="34">
        <f>IF(A178="","",IF(SUMPRODUCT(MIN(((Agenda!$E$5:$E$3004=A178)*((Agenda!$H$5:$H$3004="Agendado")+(Agenda!$H$5:$H$3004="Confirmado")))*Agenda!$A$5:$A$3004+(1-((Agenda!$E$5:$E$3004=A178)*((Agenda!$H$5:$H$3004="Agendado")+(Agenda!$H$5:$H$3004="Confirmado"))))*1E+10))&gt;=1E+10,"",SUMPRODUCT(MIN(((Agenda!$E$5:$E$3004=A178)*((Agenda!$H$5:$H$3004="Agendado")+(Agenda!$H$5:$H$3004="Confirmado")))*Agenda!$A$5:$A$3004+(1-((Agenda!$E$5:$E$3004=A178)*((Agenda!$H$5:$H$3004="Agendado")+(Agenda!$H$5:$H$3004="Confirmado"))))*1E+10))))</f>
        <v/>
      </c>
    </row>
    <row r="179">
      <c r="A179" s="37" t="n"/>
      <c r="B179" s="38" t="n"/>
      <c r="C179" s="38" t="n"/>
      <c r="D179" s="37" t="n"/>
      <c r="E179" s="37" t="n"/>
      <c r="F179" s="30">
        <f>IF(A179="","",COUNTIFS(Agenda!$E$5:$E$3004,A179,Agenda!$H$5:$H$3004,"Realizado"))</f>
        <v/>
      </c>
      <c r="G179" s="30">
        <f>IF(A179="","",COUNTIFS(Agenda!$E$5:$E$3004,A179,Agenda!$H$5:$H$3004,"Falta"))</f>
        <v/>
      </c>
      <c r="H179" s="34">
        <f>IF(A179="","",IF(SUMPRODUCT(MAX((Agenda!$E$5:$E$3004=A179)*(Agenda!$H$5:$H$3004="Realizado")*Agenda!$A$5:$A$3004))=0,"",SUMPRODUCT(MAX((Agenda!$E$5:$E$3004=A179)*(Agenda!$H$5:$H$3004="Realizado")*Agenda!$A$5:$A$3004))))</f>
        <v/>
      </c>
      <c r="I179" s="34">
        <f>IF(A179="","",IF(SUMPRODUCT(MIN(((Agenda!$E$5:$E$3004=A179)*((Agenda!$H$5:$H$3004="Agendado")+(Agenda!$H$5:$H$3004="Confirmado")))*Agenda!$A$5:$A$3004+(1-((Agenda!$E$5:$E$3004=A179)*((Agenda!$H$5:$H$3004="Agendado")+(Agenda!$H$5:$H$3004="Confirmado"))))*1E+10))&gt;=1E+10,"",SUMPRODUCT(MIN(((Agenda!$E$5:$E$3004=A179)*((Agenda!$H$5:$H$3004="Agendado")+(Agenda!$H$5:$H$3004="Confirmado")))*Agenda!$A$5:$A$3004+(1-((Agenda!$E$5:$E$3004=A179)*((Agenda!$H$5:$H$3004="Agendado")+(Agenda!$H$5:$H$3004="Confirmado"))))*1E+10))))</f>
        <v/>
      </c>
    </row>
    <row r="180">
      <c r="A180" s="37" t="n"/>
      <c r="B180" s="38" t="n"/>
      <c r="C180" s="38" t="n"/>
      <c r="D180" s="37" t="n"/>
      <c r="E180" s="37" t="n"/>
      <c r="F180" s="30">
        <f>IF(A180="","",COUNTIFS(Agenda!$E$5:$E$3004,A180,Agenda!$H$5:$H$3004,"Realizado"))</f>
        <v/>
      </c>
      <c r="G180" s="30">
        <f>IF(A180="","",COUNTIFS(Agenda!$E$5:$E$3004,A180,Agenda!$H$5:$H$3004,"Falta"))</f>
        <v/>
      </c>
      <c r="H180" s="34">
        <f>IF(A180="","",IF(SUMPRODUCT(MAX((Agenda!$E$5:$E$3004=A180)*(Agenda!$H$5:$H$3004="Realizado")*Agenda!$A$5:$A$3004))=0,"",SUMPRODUCT(MAX((Agenda!$E$5:$E$3004=A180)*(Agenda!$H$5:$H$3004="Realizado")*Agenda!$A$5:$A$3004))))</f>
        <v/>
      </c>
      <c r="I180" s="34">
        <f>IF(A180="","",IF(SUMPRODUCT(MIN(((Agenda!$E$5:$E$3004=A180)*((Agenda!$H$5:$H$3004="Agendado")+(Agenda!$H$5:$H$3004="Confirmado")))*Agenda!$A$5:$A$3004+(1-((Agenda!$E$5:$E$3004=A180)*((Agenda!$H$5:$H$3004="Agendado")+(Agenda!$H$5:$H$3004="Confirmado"))))*1E+10))&gt;=1E+10,"",SUMPRODUCT(MIN(((Agenda!$E$5:$E$3004=A180)*((Agenda!$H$5:$H$3004="Agendado")+(Agenda!$H$5:$H$3004="Confirmado")))*Agenda!$A$5:$A$3004+(1-((Agenda!$E$5:$E$3004=A180)*((Agenda!$H$5:$H$3004="Agendado")+(Agenda!$H$5:$H$3004="Confirmado"))))*1E+10))))</f>
        <v/>
      </c>
    </row>
    <row r="181">
      <c r="A181" s="37" t="n"/>
      <c r="B181" s="38" t="n"/>
      <c r="C181" s="38" t="n"/>
      <c r="D181" s="37" t="n"/>
      <c r="E181" s="37" t="n"/>
      <c r="F181" s="30">
        <f>IF(A181="","",COUNTIFS(Agenda!$E$5:$E$3004,A181,Agenda!$H$5:$H$3004,"Realizado"))</f>
        <v/>
      </c>
      <c r="G181" s="30">
        <f>IF(A181="","",COUNTIFS(Agenda!$E$5:$E$3004,A181,Agenda!$H$5:$H$3004,"Falta"))</f>
        <v/>
      </c>
      <c r="H181" s="34">
        <f>IF(A181="","",IF(SUMPRODUCT(MAX((Agenda!$E$5:$E$3004=A181)*(Agenda!$H$5:$H$3004="Realizado")*Agenda!$A$5:$A$3004))=0,"",SUMPRODUCT(MAX((Agenda!$E$5:$E$3004=A181)*(Agenda!$H$5:$H$3004="Realizado")*Agenda!$A$5:$A$3004))))</f>
        <v/>
      </c>
      <c r="I181" s="34">
        <f>IF(A181="","",IF(SUMPRODUCT(MIN(((Agenda!$E$5:$E$3004=A181)*((Agenda!$H$5:$H$3004="Agendado")+(Agenda!$H$5:$H$3004="Confirmado")))*Agenda!$A$5:$A$3004+(1-((Agenda!$E$5:$E$3004=A181)*((Agenda!$H$5:$H$3004="Agendado")+(Agenda!$H$5:$H$3004="Confirmado"))))*1E+10))&gt;=1E+10,"",SUMPRODUCT(MIN(((Agenda!$E$5:$E$3004=A181)*((Agenda!$H$5:$H$3004="Agendado")+(Agenda!$H$5:$H$3004="Confirmado")))*Agenda!$A$5:$A$3004+(1-((Agenda!$E$5:$E$3004=A181)*((Agenda!$H$5:$H$3004="Agendado")+(Agenda!$H$5:$H$3004="Confirmado"))))*1E+10))))</f>
        <v/>
      </c>
    </row>
    <row r="182">
      <c r="A182" s="37" t="n"/>
      <c r="B182" s="38" t="n"/>
      <c r="C182" s="38" t="n"/>
      <c r="D182" s="37" t="n"/>
      <c r="E182" s="37" t="n"/>
      <c r="F182" s="30">
        <f>IF(A182="","",COUNTIFS(Agenda!$E$5:$E$3004,A182,Agenda!$H$5:$H$3004,"Realizado"))</f>
        <v/>
      </c>
      <c r="G182" s="30">
        <f>IF(A182="","",COUNTIFS(Agenda!$E$5:$E$3004,A182,Agenda!$H$5:$H$3004,"Falta"))</f>
        <v/>
      </c>
      <c r="H182" s="34">
        <f>IF(A182="","",IF(SUMPRODUCT(MAX((Agenda!$E$5:$E$3004=A182)*(Agenda!$H$5:$H$3004="Realizado")*Agenda!$A$5:$A$3004))=0,"",SUMPRODUCT(MAX((Agenda!$E$5:$E$3004=A182)*(Agenda!$H$5:$H$3004="Realizado")*Agenda!$A$5:$A$3004))))</f>
        <v/>
      </c>
      <c r="I182" s="34">
        <f>IF(A182="","",IF(SUMPRODUCT(MIN(((Agenda!$E$5:$E$3004=A182)*((Agenda!$H$5:$H$3004="Agendado")+(Agenda!$H$5:$H$3004="Confirmado")))*Agenda!$A$5:$A$3004+(1-((Agenda!$E$5:$E$3004=A182)*((Agenda!$H$5:$H$3004="Agendado")+(Agenda!$H$5:$H$3004="Confirmado"))))*1E+10))&gt;=1E+10,"",SUMPRODUCT(MIN(((Agenda!$E$5:$E$3004=A182)*((Agenda!$H$5:$H$3004="Agendado")+(Agenda!$H$5:$H$3004="Confirmado")))*Agenda!$A$5:$A$3004+(1-((Agenda!$E$5:$E$3004=A182)*((Agenda!$H$5:$H$3004="Agendado")+(Agenda!$H$5:$H$3004="Confirmado"))))*1E+10))))</f>
        <v/>
      </c>
    </row>
    <row r="183">
      <c r="A183" s="37" t="n"/>
      <c r="B183" s="38" t="n"/>
      <c r="C183" s="38" t="n"/>
      <c r="D183" s="37" t="n"/>
      <c r="E183" s="37" t="n"/>
      <c r="F183" s="30">
        <f>IF(A183="","",COUNTIFS(Agenda!$E$5:$E$3004,A183,Agenda!$H$5:$H$3004,"Realizado"))</f>
        <v/>
      </c>
      <c r="G183" s="30">
        <f>IF(A183="","",COUNTIFS(Agenda!$E$5:$E$3004,A183,Agenda!$H$5:$H$3004,"Falta"))</f>
        <v/>
      </c>
      <c r="H183" s="34">
        <f>IF(A183="","",IF(SUMPRODUCT(MAX((Agenda!$E$5:$E$3004=A183)*(Agenda!$H$5:$H$3004="Realizado")*Agenda!$A$5:$A$3004))=0,"",SUMPRODUCT(MAX((Agenda!$E$5:$E$3004=A183)*(Agenda!$H$5:$H$3004="Realizado")*Agenda!$A$5:$A$3004))))</f>
        <v/>
      </c>
      <c r="I183" s="34">
        <f>IF(A183="","",IF(SUMPRODUCT(MIN(((Agenda!$E$5:$E$3004=A183)*((Agenda!$H$5:$H$3004="Agendado")+(Agenda!$H$5:$H$3004="Confirmado")))*Agenda!$A$5:$A$3004+(1-((Agenda!$E$5:$E$3004=A183)*((Agenda!$H$5:$H$3004="Agendado")+(Agenda!$H$5:$H$3004="Confirmado"))))*1E+10))&gt;=1E+10,"",SUMPRODUCT(MIN(((Agenda!$E$5:$E$3004=A183)*((Agenda!$H$5:$H$3004="Agendado")+(Agenda!$H$5:$H$3004="Confirmado")))*Agenda!$A$5:$A$3004+(1-((Agenda!$E$5:$E$3004=A183)*((Agenda!$H$5:$H$3004="Agendado")+(Agenda!$H$5:$H$3004="Confirmado"))))*1E+10))))</f>
        <v/>
      </c>
    </row>
    <row r="184">
      <c r="A184" s="37" t="n"/>
      <c r="B184" s="38" t="n"/>
      <c r="C184" s="38" t="n"/>
      <c r="D184" s="37" t="n"/>
      <c r="E184" s="37" t="n"/>
      <c r="F184" s="30">
        <f>IF(A184="","",COUNTIFS(Agenda!$E$5:$E$3004,A184,Agenda!$H$5:$H$3004,"Realizado"))</f>
        <v/>
      </c>
      <c r="G184" s="30">
        <f>IF(A184="","",COUNTIFS(Agenda!$E$5:$E$3004,A184,Agenda!$H$5:$H$3004,"Falta"))</f>
        <v/>
      </c>
      <c r="H184" s="34">
        <f>IF(A184="","",IF(SUMPRODUCT(MAX((Agenda!$E$5:$E$3004=A184)*(Agenda!$H$5:$H$3004="Realizado")*Agenda!$A$5:$A$3004))=0,"",SUMPRODUCT(MAX((Agenda!$E$5:$E$3004=A184)*(Agenda!$H$5:$H$3004="Realizado")*Agenda!$A$5:$A$3004))))</f>
        <v/>
      </c>
      <c r="I184" s="34">
        <f>IF(A184="","",IF(SUMPRODUCT(MIN(((Agenda!$E$5:$E$3004=A184)*((Agenda!$H$5:$H$3004="Agendado")+(Agenda!$H$5:$H$3004="Confirmado")))*Agenda!$A$5:$A$3004+(1-((Agenda!$E$5:$E$3004=A184)*((Agenda!$H$5:$H$3004="Agendado")+(Agenda!$H$5:$H$3004="Confirmado"))))*1E+10))&gt;=1E+10,"",SUMPRODUCT(MIN(((Agenda!$E$5:$E$3004=A184)*((Agenda!$H$5:$H$3004="Agendado")+(Agenda!$H$5:$H$3004="Confirmado")))*Agenda!$A$5:$A$3004+(1-((Agenda!$E$5:$E$3004=A184)*((Agenda!$H$5:$H$3004="Agendado")+(Agenda!$H$5:$H$3004="Confirmado"))))*1E+10))))</f>
        <v/>
      </c>
    </row>
    <row r="185">
      <c r="A185" s="37" t="n"/>
      <c r="B185" s="38" t="n"/>
      <c r="C185" s="38" t="n"/>
      <c r="D185" s="37" t="n"/>
      <c r="E185" s="37" t="n"/>
      <c r="F185" s="30">
        <f>IF(A185="","",COUNTIFS(Agenda!$E$5:$E$3004,A185,Agenda!$H$5:$H$3004,"Realizado"))</f>
        <v/>
      </c>
      <c r="G185" s="30">
        <f>IF(A185="","",COUNTIFS(Agenda!$E$5:$E$3004,A185,Agenda!$H$5:$H$3004,"Falta"))</f>
        <v/>
      </c>
      <c r="H185" s="34">
        <f>IF(A185="","",IF(SUMPRODUCT(MAX((Agenda!$E$5:$E$3004=A185)*(Agenda!$H$5:$H$3004="Realizado")*Agenda!$A$5:$A$3004))=0,"",SUMPRODUCT(MAX((Agenda!$E$5:$E$3004=A185)*(Agenda!$H$5:$H$3004="Realizado")*Agenda!$A$5:$A$3004))))</f>
        <v/>
      </c>
      <c r="I185" s="34">
        <f>IF(A185="","",IF(SUMPRODUCT(MIN(((Agenda!$E$5:$E$3004=A185)*((Agenda!$H$5:$H$3004="Agendado")+(Agenda!$H$5:$H$3004="Confirmado")))*Agenda!$A$5:$A$3004+(1-((Agenda!$E$5:$E$3004=A185)*((Agenda!$H$5:$H$3004="Agendado")+(Agenda!$H$5:$H$3004="Confirmado"))))*1E+10))&gt;=1E+10,"",SUMPRODUCT(MIN(((Agenda!$E$5:$E$3004=A185)*((Agenda!$H$5:$H$3004="Agendado")+(Agenda!$H$5:$H$3004="Confirmado")))*Agenda!$A$5:$A$3004+(1-((Agenda!$E$5:$E$3004=A185)*((Agenda!$H$5:$H$3004="Agendado")+(Agenda!$H$5:$H$3004="Confirmado"))))*1E+10))))</f>
        <v/>
      </c>
    </row>
    <row r="186">
      <c r="A186" s="37" t="n"/>
      <c r="B186" s="38" t="n"/>
      <c r="C186" s="38" t="n"/>
      <c r="D186" s="37" t="n"/>
      <c r="E186" s="37" t="n"/>
      <c r="F186" s="30">
        <f>IF(A186="","",COUNTIFS(Agenda!$E$5:$E$3004,A186,Agenda!$H$5:$H$3004,"Realizado"))</f>
        <v/>
      </c>
      <c r="G186" s="30">
        <f>IF(A186="","",COUNTIFS(Agenda!$E$5:$E$3004,A186,Agenda!$H$5:$H$3004,"Falta"))</f>
        <v/>
      </c>
      <c r="H186" s="34">
        <f>IF(A186="","",IF(SUMPRODUCT(MAX((Agenda!$E$5:$E$3004=A186)*(Agenda!$H$5:$H$3004="Realizado")*Agenda!$A$5:$A$3004))=0,"",SUMPRODUCT(MAX((Agenda!$E$5:$E$3004=A186)*(Agenda!$H$5:$H$3004="Realizado")*Agenda!$A$5:$A$3004))))</f>
        <v/>
      </c>
      <c r="I186" s="34">
        <f>IF(A186="","",IF(SUMPRODUCT(MIN(((Agenda!$E$5:$E$3004=A186)*((Agenda!$H$5:$H$3004="Agendado")+(Agenda!$H$5:$H$3004="Confirmado")))*Agenda!$A$5:$A$3004+(1-((Agenda!$E$5:$E$3004=A186)*((Agenda!$H$5:$H$3004="Agendado")+(Agenda!$H$5:$H$3004="Confirmado"))))*1E+10))&gt;=1E+10,"",SUMPRODUCT(MIN(((Agenda!$E$5:$E$3004=A186)*((Agenda!$H$5:$H$3004="Agendado")+(Agenda!$H$5:$H$3004="Confirmado")))*Agenda!$A$5:$A$3004+(1-((Agenda!$E$5:$E$3004=A186)*((Agenda!$H$5:$H$3004="Agendado")+(Agenda!$H$5:$H$3004="Confirmado"))))*1E+10))))</f>
        <v/>
      </c>
    </row>
    <row r="187">
      <c r="A187" s="37" t="n"/>
      <c r="B187" s="38" t="n"/>
      <c r="C187" s="38" t="n"/>
      <c r="D187" s="37" t="n"/>
      <c r="E187" s="37" t="n"/>
      <c r="F187" s="30">
        <f>IF(A187="","",COUNTIFS(Agenda!$E$5:$E$3004,A187,Agenda!$H$5:$H$3004,"Realizado"))</f>
        <v/>
      </c>
      <c r="G187" s="30">
        <f>IF(A187="","",COUNTIFS(Agenda!$E$5:$E$3004,A187,Agenda!$H$5:$H$3004,"Falta"))</f>
        <v/>
      </c>
      <c r="H187" s="34">
        <f>IF(A187="","",IF(SUMPRODUCT(MAX((Agenda!$E$5:$E$3004=A187)*(Agenda!$H$5:$H$3004="Realizado")*Agenda!$A$5:$A$3004))=0,"",SUMPRODUCT(MAX((Agenda!$E$5:$E$3004=A187)*(Agenda!$H$5:$H$3004="Realizado")*Agenda!$A$5:$A$3004))))</f>
        <v/>
      </c>
      <c r="I187" s="34">
        <f>IF(A187="","",IF(SUMPRODUCT(MIN(((Agenda!$E$5:$E$3004=A187)*((Agenda!$H$5:$H$3004="Agendado")+(Agenda!$H$5:$H$3004="Confirmado")))*Agenda!$A$5:$A$3004+(1-((Agenda!$E$5:$E$3004=A187)*((Agenda!$H$5:$H$3004="Agendado")+(Agenda!$H$5:$H$3004="Confirmado"))))*1E+10))&gt;=1E+10,"",SUMPRODUCT(MIN(((Agenda!$E$5:$E$3004=A187)*((Agenda!$H$5:$H$3004="Agendado")+(Agenda!$H$5:$H$3004="Confirmado")))*Agenda!$A$5:$A$3004+(1-((Agenda!$E$5:$E$3004=A187)*((Agenda!$H$5:$H$3004="Agendado")+(Agenda!$H$5:$H$3004="Confirmado"))))*1E+10))))</f>
        <v/>
      </c>
    </row>
    <row r="188">
      <c r="A188" s="37" t="n"/>
      <c r="B188" s="38" t="n"/>
      <c r="C188" s="38" t="n"/>
      <c r="D188" s="37" t="n"/>
      <c r="E188" s="37" t="n"/>
      <c r="F188" s="30">
        <f>IF(A188="","",COUNTIFS(Agenda!$E$5:$E$3004,A188,Agenda!$H$5:$H$3004,"Realizado"))</f>
        <v/>
      </c>
      <c r="G188" s="30">
        <f>IF(A188="","",COUNTIFS(Agenda!$E$5:$E$3004,A188,Agenda!$H$5:$H$3004,"Falta"))</f>
        <v/>
      </c>
      <c r="H188" s="34">
        <f>IF(A188="","",IF(SUMPRODUCT(MAX((Agenda!$E$5:$E$3004=A188)*(Agenda!$H$5:$H$3004="Realizado")*Agenda!$A$5:$A$3004))=0,"",SUMPRODUCT(MAX((Agenda!$E$5:$E$3004=A188)*(Agenda!$H$5:$H$3004="Realizado")*Agenda!$A$5:$A$3004))))</f>
        <v/>
      </c>
      <c r="I188" s="34">
        <f>IF(A188="","",IF(SUMPRODUCT(MIN(((Agenda!$E$5:$E$3004=A188)*((Agenda!$H$5:$H$3004="Agendado")+(Agenda!$H$5:$H$3004="Confirmado")))*Agenda!$A$5:$A$3004+(1-((Agenda!$E$5:$E$3004=A188)*((Agenda!$H$5:$H$3004="Agendado")+(Agenda!$H$5:$H$3004="Confirmado"))))*1E+10))&gt;=1E+10,"",SUMPRODUCT(MIN(((Agenda!$E$5:$E$3004=A188)*((Agenda!$H$5:$H$3004="Agendado")+(Agenda!$H$5:$H$3004="Confirmado")))*Agenda!$A$5:$A$3004+(1-((Agenda!$E$5:$E$3004=A188)*((Agenda!$H$5:$H$3004="Agendado")+(Agenda!$H$5:$H$3004="Confirmado"))))*1E+10))))</f>
        <v/>
      </c>
    </row>
    <row r="189">
      <c r="A189" s="37" t="n"/>
      <c r="B189" s="38" t="n"/>
      <c r="C189" s="38" t="n"/>
      <c r="D189" s="37" t="n"/>
      <c r="E189" s="37" t="n"/>
      <c r="F189" s="30">
        <f>IF(A189="","",COUNTIFS(Agenda!$E$5:$E$3004,A189,Agenda!$H$5:$H$3004,"Realizado"))</f>
        <v/>
      </c>
      <c r="G189" s="30">
        <f>IF(A189="","",COUNTIFS(Agenda!$E$5:$E$3004,A189,Agenda!$H$5:$H$3004,"Falta"))</f>
        <v/>
      </c>
      <c r="H189" s="34">
        <f>IF(A189="","",IF(SUMPRODUCT(MAX((Agenda!$E$5:$E$3004=A189)*(Agenda!$H$5:$H$3004="Realizado")*Agenda!$A$5:$A$3004))=0,"",SUMPRODUCT(MAX((Agenda!$E$5:$E$3004=A189)*(Agenda!$H$5:$H$3004="Realizado")*Agenda!$A$5:$A$3004))))</f>
        <v/>
      </c>
      <c r="I189" s="34">
        <f>IF(A189="","",IF(SUMPRODUCT(MIN(((Agenda!$E$5:$E$3004=A189)*((Agenda!$H$5:$H$3004="Agendado")+(Agenda!$H$5:$H$3004="Confirmado")))*Agenda!$A$5:$A$3004+(1-((Agenda!$E$5:$E$3004=A189)*((Agenda!$H$5:$H$3004="Agendado")+(Agenda!$H$5:$H$3004="Confirmado"))))*1E+10))&gt;=1E+10,"",SUMPRODUCT(MIN(((Agenda!$E$5:$E$3004=A189)*((Agenda!$H$5:$H$3004="Agendado")+(Agenda!$H$5:$H$3004="Confirmado")))*Agenda!$A$5:$A$3004+(1-((Agenda!$E$5:$E$3004=A189)*((Agenda!$H$5:$H$3004="Agendado")+(Agenda!$H$5:$H$3004="Confirmado"))))*1E+10))))</f>
        <v/>
      </c>
    </row>
    <row r="190">
      <c r="A190" s="37" t="n"/>
      <c r="B190" s="38" t="n"/>
      <c r="C190" s="38" t="n"/>
      <c r="D190" s="37" t="n"/>
      <c r="E190" s="37" t="n"/>
      <c r="F190" s="30">
        <f>IF(A190="","",COUNTIFS(Agenda!$E$5:$E$3004,A190,Agenda!$H$5:$H$3004,"Realizado"))</f>
        <v/>
      </c>
      <c r="G190" s="30">
        <f>IF(A190="","",COUNTIFS(Agenda!$E$5:$E$3004,A190,Agenda!$H$5:$H$3004,"Falta"))</f>
        <v/>
      </c>
      <c r="H190" s="34">
        <f>IF(A190="","",IF(SUMPRODUCT(MAX((Agenda!$E$5:$E$3004=A190)*(Agenda!$H$5:$H$3004="Realizado")*Agenda!$A$5:$A$3004))=0,"",SUMPRODUCT(MAX((Agenda!$E$5:$E$3004=A190)*(Agenda!$H$5:$H$3004="Realizado")*Agenda!$A$5:$A$3004))))</f>
        <v/>
      </c>
      <c r="I190" s="34">
        <f>IF(A190="","",IF(SUMPRODUCT(MIN(((Agenda!$E$5:$E$3004=A190)*((Agenda!$H$5:$H$3004="Agendado")+(Agenda!$H$5:$H$3004="Confirmado")))*Agenda!$A$5:$A$3004+(1-((Agenda!$E$5:$E$3004=A190)*((Agenda!$H$5:$H$3004="Agendado")+(Agenda!$H$5:$H$3004="Confirmado"))))*1E+10))&gt;=1E+10,"",SUMPRODUCT(MIN(((Agenda!$E$5:$E$3004=A190)*((Agenda!$H$5:$H$3004="Agendado")+(Agenda!$H$5:$H$3004="Confirmado")))*Agenda!$A$5:$A$3004+(1-((Agenda!$E$5:$E$3004=A190)*((Agenda!$H$5:$H$3004="Agendado")+(Agenda!$H$5:$H$3004="Confirmado"))))*1E+10))))</f>
        <v/>
      </c>
    </row>
    <row r="191">
      <c r="A191" s="37" t="n"/>
      <c r="B191" s="38" t="n"/>
      <c r="C191" s="38" t="n"/>
      <c r="D191" s="37" t="n"/>
      <c r="E191" s="37" t="n"/>
      <c r="F191" s="30">
        <f>IF(A191="","",COUNTIFS(Agenda!$E$5:$E$3004,A191,Agenda!$H$5:$H$3004,"Realizado"))</f>
        <v/>
      </c>
      <c r="G191" s="30">
        <f>IF(A191="","",COUNTIFS(Agenda!$E$5:$E$3004,A191,Agenda!$H$5:$H$3004,"Falta"))</f>
        <v/>
      </c>
      <c r="H191" s="34">
        <f>IF(A191="","",IF(SUMPRODUCT(MAX((Agenda!$E$5:$E$3004=A191)*(Agenda!$H$5:$H$3004="Realizado")*Agenda!$A$5:$A$3004))=0,"",SUMPRODUCT(MAX((Agenda!$E$5:$E$3004=A191)*(Agenda!$H$5:$H$3004="Realizado")*Agenda!$A$5:$A$3004))))</f>
        <v/>
      </c>
      <c r="I191" s="34">
        <f>IF(A191="","",IF(SUMPRODUCT(MIN(((Agenda!$E$5:$E$3004=A191)*((Agenda!$H$5:$H$3004="Agendado")+(Agenda!$H$5:$H$3004="Confirmado")))*Agenda!$A$5:$A$3004+(1-((Agenda!$E$5:$E$3004=A191)*((Agenda!$H$5:$H$3004="Agendado")+(Agenda!$H$5:$H$3004="Confirmado"))))*1E+10))&gt;=1E+10,"",SUMPRODUCT(MIN(((Agenda!$E$5:$E$3004=A191)*((Agenda!$H$5:$H$3004="Agendado")+(Agenda!$H$5:$H$3004="Confirmado")))*Agenda!$A$5:$A$3004+(1-((Agenda!$E$5:$E$3004=A191)*((Agenda!$H$5:$H$3004="Agendado")+(Agenda!$H$5:$H$3004="Confirmado"))))*1E+10))))</f>
        <v/>
      </c>
    </row>
    <row r="192">
      <c r="A192" s="37" t="n"/>
      <c r="B192" s="38" t="n"/>
      <c r="C192" s="38" t="n"/>
      <c r="D192" s="37" t="n"/>
      <c r="E192" s="37" t="n"/>
      <c r="F192" s="30">
        <f>IF(A192="","",COUNTIFS(Agenda!$E$5:$E$3004,A192,Agenda!$H$5:$H$3004,"Realizado"))</f>
        <v/>
      </c>
      <c r="G192" s="30">
        <f>IF(A192="","",COUNTIFS(Agenda!$E$5:$E$3004,A192,Agenda!$H$5:$H$3004,"Falta"))</f>
        <v/>
      </c>
      <c r="H192" s="34">
        <f>IF(A192="","",IF(SUMPRODUCT(MAX((Agenda!$E$5:$E$3004=A192)*(Agenda!$H$5:$H$3004="Realizado")*Agenda!$A$5:$A$3004))=0,"",SUMPRODUCT(MAX((Agenda!$E$5:$E$3004=A192)*(Agenda!$H$5:$H$3004="Realizado")*Agenda!$A$5:$A$3004))))</f>
        <v/>
      </c>
      <c r="I192" s="34">
        <f>IF(A192="","",IF(SUMPRODUCT(MIN(((Agenda!$E$5:$E$3004=A192)*((Agenda!$H$5:$H$3004="Agendado")+(Agenda!$H$5:$H$3004="Confirmado")))*Agenda!$A$5:$A$3004+(1-((Agenda!$E$5:$E$3004=A192)*((Agenda!$H$5:$H$3004="Agendado")+(Agenda!$H$5:$H$3004="Confirmado"))))*1E+10))&gt;=1E+10,"",SUMPRODUCT(MIN(((Agenda!$E$5:$E$3004=A192)*((Agenda!$H$5:$H$3004="Agendado")+(Agenda!$H$5:$H$3004="Confirmado")))*Agenda!$A$5:$A$3004+(1-((Agenda!$E$5:$E$3004=A192)*((Agenda!$H$5:$H$3004="Agendado")+(Agenda!$H$5:$H$3004="Confirmado"))))*1E+10))))</f>
        <v/>
      </c>
    </row>
    <row r="193">
      <c r="A193" s="37" t="n"/>
      <c r="B193" s="38" t="n"/>
      <c r="C193" s="38" t="n"/>
      <c r="D193" s="37" t="n"/>
      <c r="E193" s="37" t="n"/>
      <c r="F193" s="30">
        <f>IF(A193="","",COUNTIFS(Agenda!$E$5:$E$3004,A193,Agenda!$H$5:$H$3004,"Realizado"))</f>
        <v/>
      </c>
      <c r="G193" s="30">
        <f>IF(A193="","",COUNTIFS(Agenda!$E$5:$E$3004,A193,Agenda!$H$5:$H$3004,"Falta"))</f>
        <v/>
      </c>
      <c r="H193" s="34">
        <f>IF(A193="","",IF(SUMPRODUCT(MAX((Agenda!$E$5:$E$3004=A193)*(Agenda!$H$5:$H$3004="Realizado")*Agenda!$A$5:$A$3004))=0,"",SUMPRODUCT(MAX((Agenda!$E$5:$E$3004=A193)*(Agenda!$H$5:$H$3004="Realizado")*Agenda!$A$5:$A$3004))))</f>
        <v/>
      </c>
      <c r="I193" s="34">
        <f>IF(A193="","",IF(SUMPRODUCT(MIN(((Agenda!$E$5:$E$3004=A193)*((Agenda!$H$5:$H$3004="Agendado")+(Agenda!$H$5:$H$3004="Confirmado")))*Agenda!$A$5:$A$3004+(1-((Agenda!$E$5:$E$3004=A193)*((Agenda!$H$5:$H$3004="Agendado")+(Agenda!$H$5:$H$3004="Confirmado"))))*1E+10))&gt;=1E+10,"",SUMPRODUCT(MIN(((Agenda!$E$5:$E$3004=A193)*((Agenda!$H$5:$H$3004="Agendado")+(Agenda!$H$5:$H$3004="Confirmado")))*Agenda!$A$5:$A$3004+(1-((Agenda!$E$5:$E$3004=A193)*((Agenda!$H$5:$H$3004="Agendado")+(Agenda!$H$5:$H$3004="Confirmado"))))*1E+10))))</f>
        <v/>
      </c>
    </row>
    <row r="194">
      <c r="A194" s="37" t="n"/>
      <c r="B194" s="38" t="n"/>
      <c r="C194" s="38" t="n"/>
      <c r="D194" s="37" t="n"/>
      <c r="E194" s="37" t="n"/>
      <c r="F194" s="30">
        <f>IF(A194="","",COUNTIFS(Agenda!$E$5:$E$3004,A194,Agenda!$H$5:$H$3004,"Realizado"))</f>
        <v/>
      </c>
      <c r="G194" s="30">
        <f>IF(A194="","",COUNTIFS(Agenda!$E$5:$E$3004,A194,Agenda!$H$5:$H$3004,"Falta"))</f>
        <v/>
      </c>
      <c r="H194" s="34">
        <f>IF(A194="","",IF(SUMPRODUCT(MAX((Agenda!$E$5:$E$3004=A194)*(Agenda!$H$5:$H$3004="Realizado")*Agenda!$A$5:$A$3004))=0,"",SUMPRODUCT(MAX((Agenda!$E$5:$E$3004=A194)*(Agenda!$H$5:$H$3004="Realizado")*Agenda!$A$5:$A$3004))))</f>
        <v/>
      </c>
      <c r="I194" s="34">
        <f>IF(A194="","",IF(SUMPRODUCT(MIN(((Agenda!$E$5:$E$3004=A194)*((Agenda!$H$5:$H$3004="Agendado")+(Agenda!$H$5:$H$3004="Confirmado")))*Agenda!$A$5:$A$3004+(1-((Agenda!$E$5:$E$3004=A194)*((Agenda!$H$5:$H$3004="Agendado")+(Agenda!$H$5:$H$3004="Confirmado"))))*1E+10))&gt;=1E+10,"",SUMPRODUCT(MIN(((Agenda!$E$5:$E$3004=A194)*((Agenda!$H$5:$H$3004="Agendado")+(Agenda!$H$5:$H$3004="Confirmado")))*Agenda!$A$5:$A$3004+(1-((Agenda!$E$5:$E$3004=A194)*((Agenda!$H$5:$H$3004="Agendado")+(Agenda!$H$5:$H$3004="Confirmado"))))*1E+10))))</f>
        <v/>
      </c>
    </row>
    <row r="195">
      <c r="A195" s="37" t="n"/>
      <c r="B195" s="38" t="n"/>
      <c r="C195" s="38" t="n"/>
      <c r="D195" s="37" t="n"/>
      <c r="E195" s="37" t="n"/>
      <c r="F195" s="30">
        <f>IF(A195="","",COUNTIFS(Agenda!$E$5:$E$3004,A195,Agenda!$H$5:$H$3004,"Realizado"))</f>
        <v/>
      </c>
      <c r="G195" s="30">
        <f>IF(A195="","",COUNTIFS(Agenda!$E$5:$E$3004,A195,Agenda!$H$5:$H$3004,"Falta"))</f>
        <v/>
      </c>
      <c r="H195" s="34">
        <f>IF(A195="","",IF(SUMPRODUCT(MAX((Agenda!$E$5:$E$3004=A195)*(Agenda!$H$5:$H$3004="Realizado")*Agenda!$A$5:$A$3004))=0,"",SUMPRODUCT(MAX((Agenda!$E$5:$E$3004=A195)*(Agenda!$H$5:$H$3004="Realizado")*Agenda!$A$5:$A$3004))))</f>
        <v/>
      </c>
      <c r="I195" s="34">
        <f>IF(A195="","",IF(SUMPRODUCT(MIN(((Agenda!$E$5:$E$3004=A195)*((Agenda!$H$5:$H$3004="Agendado")+(Agenda!$H$5:$H$3004="Confirmado")))*Agenda!$A$5:$A$3004+(1-((Agenda!$E$5:$E$3004=A195)*((Agenda!$H$5:$H$3004="Agendado")+(Agenda!$H$5:$H$3004="Confirmado"))))*1E+10))&gt;=1E+10,"",SUMPRODUCT(MIN(((Agenda!$E$5:$E$3004=A195)*((Agenda!$H$5:$H$3004="Agendado")+(Agenda!$H$5:$H$3004="Confirmado")))*Agenda!$A$5:$A$3004+(1-((Agenda!$E$5:$E$3004=A195)*((Agenda!$H$5:$H$3004="Agendado")+(Agenda!$H$5:$H$3004="Confirmado"))))*1E+10))))</f>
        <v/>
      </c>
    </row>
    <row r="196">
      <c r="A196" s="37" t="n"/>
      <c r="B196" s="38" t="n"/>
      <c r="C196" s="38" t="n"/>
      <c r="D196" s="37" t="n"/>
      <c r="E196" s="37" t="n"/>
      <c r="F196" s="30">
        <f>IF(A196="","",COUNTIFS(Agenda!$E$5:$E$3004,A196,Agenda!$H$5:$H$3004,"Realizado"))</f>
        <v/>
      </c>
      <c r="G196" s="30">
        <f>IF(A196="","",COUNTIFS(Agenda!$E$5:$E$3004,A196,Agenda!$H$5:$H$3004,"Falta"))</f>
        <v/>
      </c>
      <c r="H196" s="34">
        <f>IF(A196="","",IF(SUMPRODUCT(MAX((Agenda!$E$5:$E$3004=A196)*(Agenda!$H$5:$H$3004="Realizado")*Agenda!$A$5:$A$3004))=0,"",SUMPRODUCT(MAX((Agenda!$E$5:$E$3004=A196)*(Agenda!$H$5:$H$3004="Realizado")*Agenda!$A$5:$A$3004))))</f>
        <v/>
      </c>
      <c r="I196" s="34">
        <f>IF(A196="","",IF(SUMPRODUCT(MIN(((Agenda!$E$5:$E$3004=A196)*((Agenda!$H$5:$H$3004="Agendado")+(Agenda!$H$5:$H$3004="Confirmado")))*Agenda!$A$5:$A$3004+(1-((Agenda!$E$5:$E$3004=A196)*((Agenda!$H$5:$H$3004="Agendado")+(Agenda!$H$5:$H$3004="Confirmado"))))*1E+10))&gt;=1E+10,"",SUMPRODUCT(MIN(((Agenda!$E$5:$E$3004=A196)*((Agenda!$H$5:$H$3004="Agendado")+(Agenda!$H$5:$H$3004="Confirmado")))*Agenda!$A$5:$A$3004+(1-((Agenda!$E$5:$E$3004=A196)*((Agenda!$H$5:$H$3004="Agendado")+(Agenda!$H$5:$H$3004="Confirmado"))))*1E+10))))</f>
        <v/>
      </c>
    </row>
    <row r="197">
      <c r="A197" s="37" t="n"/>
      <c r="B197" s="38" t="n"/>
      <c r="C197" s="38" t="n"/>
      <c r="D197" s="37" t="n"/>
      <c r="E197" s="37" t="n"/>
      <c r="F197" s="30">
        <f>IF(A197="","",COUNTIFS(Agenda!$E$5:$E$3004,A197,Agenda!$H$5:$H$3004,"Realizado"))</f>
        <v/>
      </c>
      <c r="G197" s="30">
        <f>IF(A197="","",COUNTIFS(Agenda!$E$5:$E$3004,A197,Agenda!$H$5:$H$3004,"Falta"))</f>
        <v/>
      </c>
      <c r="H197" s="34">
        <f>IF(A197="","",IF(SUMPRODUCT(MAX((Agenda!$E$5:$E$3004=A197)*(Agenda!$H$5:$H$3004="Realizado")*Agenda!$A$5:$A$3004))=0,"",SUMPRODUCT(MAX((Agenda!$E$5:$E$3004=A197)*(Agenda!$H$5:$H$3004="Realizado")*Agenda!$A$5:$A$3004))))</f>
        <v/>
      </c>
      <c r="I197" s="34">
        <f>IF(A197="","",IF(SUMPRODUCT(MIN(((Agenda!$E$5:$E$3004=A197)*((Agenda!$H$5:$H$3004="Agendado")+(Agenda!$H$5:$H$3004="Confirmado")))*Agenda!$A$5:$A$3004+(1-((Agenda!$E$5:$E$3004=A197)*((Agenda!$H$5:$H$3004="Agendado")+(Agenda!$H$5:$H$3004="Confirmado"))))*1E+10))&gt;=1E+10,"",SUMPRODUCT(MIN(((Agenda!$E$5:$E$3004=A197)*((Agenda!$H$5:$H$3004="Agendado")+(Agenda!$H$5:$H$3004="Confirmado")))*Agenda!$A$5:$A$3004+(1-((Agenda!$E$5:$E$3004=A197)*((Agenda!$H$5:$H$3004="Agendado")+(Agenda!$H$5:$H$3004="Confirmado"))))*1E+10))))</f>
        <v/>
      </c>
    </row>
    <row r="198">
      <c r="A198" s="37" t="n"/>
      <c r="B198" s="38" t="n"/>
      <c r="C198" s="38" t="n"/>
      <c r="D198" s="37" t="n"/>
      <c r="E198" s="37" t="n"/>
      <c r="F198" s="30">
        <f>IF(A198="","",COUNTIFS(Agenda!$E$5:$E$3004,A198,Agenda!$H$5:$H$3004,"Realizado"))</f>
        <v/>
      </c>
      <c r="G198" s="30">
        <f>IF(A198="","",COUNTIFS(Agenda!$E$5:$E$3004,A198,Agenda!$H$5:$H$3004,"Falta"))</f>
        <v/>
      </c>
      <c r="H198" s="34">
        <f>IF(A198="","",IF(SUMPRODUCT(MAX((Agenda!$E$5:$E$3004=A198)*(Agenda!$H$5:$H$3004="Realizado")*Agenda!$A$5:$A$3004))=0,"",SUMPRODUCT(MAX((Agenda!$E$5:$E$3004=A198)*(Agenda!$H$5:$H$3004="Realizado")*Agenda!$A$5:$A$3004))))</f>
        <v/>
      </c>
      <c r="I198" s="34">
        <f>IF(A198="","",IF(SUMPRODUCT(MIN(((Agenda!$E$5:$E$3004=A198)*((Agenda!$H$5:$H$3004="Agendado")+(Agenda!$H$5:$H$3004="Confirmado")))*Agenda!$A$5:$A$3004+(1-((Agenda!$E$5:$E$3004=A198)*((Agenda!$H$5:$H$3004="Agendado")+(Agenda!$H$5:$H$3004="Confirmado"))))*1E+10))&gt;=1E+10,"",SUMPRODUCT(MIN(((Agenda!$E$5:$E$3004=A198)*((Agenda!$H$5:$H$3004="Agendado")+(Agenda!$H$5:$H$3004="Confirmado")))*Agenda!$A$5:$A$3004+(1-((Agenda!$E$5:$E$3004=A198)*((Agenda!$H$5:$H$3004="Agendado")+(Agenda!$H$5:$H$3004="Confirmado"))))*1E+10))))</f>
        <v/>
      </c>
    </row>
    <row r="199">
      <c r="A199" s="37" t="n"/>
      <c r="B199" s="38" t="n"/>
      <c r="C199" s="38" t="n"/>
      <c r="D199" s="37" t="n"/>
      <c r="E199" s="37" t="n"/>
      <c r="F199" s="30">
        <f>IF(A199="","",COUNTIFS(Agenda!$E$5:$E$3004,A199,Agenda!$H$5:$H$3004,"Realizado"))</f>
        <v/>
      </c>
      <c r="G199" s="30">
        <f>IF(A199="","",COUNTIFS(Agenda!$E$5:$E$3004,A199,Agenda!$H$5:$H$3004,"Falta"))</f>
        <v/>
      </c>
      <c r="H199" s="34">
        <f>IF(A199="","",IF(SUMPRODUCT(MAX((Agenda!$E$5:$E$3004=A199)*(Agenda!$H$5:$H$3004="Realizado")*Agenda!$A$5:$A$3004))=0,"",SUMPRODUCT(MAX((Agenda!$E$5:$E$3004=A199)*(Agenda!$H$5:$H$3004="Realizado")*Agenda!$A$5:$A$3004))))</f>
        <v/>
      </c>
      <c r="I199" s="34">
        <f>IF(A199="","",IF(SUMPRODUCT(MIN(((Agenda!$E$5:$E$3004=A199)*((Agenda!$H$5:$H$3004="Agendado")+(Agenda!$H$5:$H$3004="Confirmado")))*Agenda!$A$5:$A$3004+(1-((Agenda!$E$5:$E$3004=A199)*((Agenda!$H$5:$H$3004="Agendado")+(Agenda!$H$5:$H$3004="Confirmado"))))*1E+10))&gt;=1E+10,"",SUMPRODUCT(MIN(((Agenda!$E$5:$E$3004=A199)*((Agenda!$H$5:$H$3004="Agendado")+(Agenda!$H$5:$H$3004="Confirmado")))*Agenda!$A$5:$A$3004+(1-((Agenda!$E$5:$E$3004=A199)*((Agenda!$H$5:$H$3004="Agendado")+(Agenda!$H$5:$H$3004="Confirmado"))))*1E+10))))</f>
        <v/>
      </c>
    </row>
    <row r="200">
      <c r="A200" s="37" t="n"/>
      <c r="B200" s="38" t="n"/>
      <c r="C200" s="38" t="n"/>
      <c r="D200" s="37" t="n"/>
      <c r="E200" s="37" t="n"/>
      <c r="F200" s="30">
        <f>IF(A200="","",COUNTIFS(Agenda!$E$5:$E$3004,A200,Agenda!$H$5:$H$3004,"Realizado"))</f>
        <v/>
      </c>
      <c r="G200" s="30">
        <f>IF(A200="","",COUNTIFS(Agenda!$E$5:$E$3004,A200,Agenda!$H$5:$H$3004,"Falta"))</f>
        <v/>
      </c>
      <c r="H200" s="34">
        <f>IF(A200="","",IF(SUMPRODUCT(MAX((Agenda!$E$5:$E$3004=A200)*(Agenda!$H$5:$H$3004="Realizado")*Agenda!$A$5:$A$3004))=0,"",SUMPRODUCT(MAX((Agenda!$E$5:$E$3004=A200)*(Agenda!$H$5:$H$3004="Realizado")*Agenda!$A$5:$A$3004))))</f>
        <v/>
      </c>
      <c r="I200" s="34">
        <f>IF(A200="","",IF(SUMPRODUCT(MIN(((Agenda!$E$5:$E$3004=A200)*((Agenda!$H$5:$H$3004="Agendado")+(Agenda!$H$5:$H$3004="Confirmado")))*Agenda!$A$5:$A$3004+(1-((Agenda!$E$5:$E$3004=A200)*((Agenda!$H$5:$H$3004="Agendado")+(Agenda!$H$5:$H$3004="Confirmado"))))*1E+10))&gt;=1E+10,"",SUMPRODUCT(MIN(((Agenda!$E$5:$E$3004=A200)*((Agenda!$H$5:$H$3004="Agendado")+(Agenda!$H$5:$H$3004="Confirmado")))*Agenda!$A$5:$A$3004+(1-((Agenda!$E$5:$E$3004=A200)*((Agenda!$H$5:$H$3004="Agendado")+(Agenda!$H$5:$H$3004="Confirmado"))))*1E+10))))</f>
        <v/>
      </c>
    </row>
    <row r="201">
      <c r="A201" s="37" t="n"/>
      <c r="B201" s="38" t="n"/>
      <c r="C201" s="38" t="n"/>
      <c r="D201" s="37" t="n"/>
      <c r="E201" s="37" t="n"/>
      <c r="F201" s="30">
        <f>IF(A201="","",COUNTIFS(Agenda!$E$5:$E$3004,A201,Agenda!$H$5:$H$3004,"Realizado"))</f>
        <v/>
      </c>
      <c r="G201" s="30">
        <f>IF(A201="","",COUNTIFS(Agenda!$E$5:$E$3004,A201,Agenda!$H$5:$H$3004,"Falta"))</f>
        <v/>
      </c>
      <c r="H201" s="34">
        <f>IF(A201="","",IF(SUMPRODUCT(MAX((Agenda!$E$5:$E$3004=A201)*(Agenda!$H$5:$H$3004="Realizado")*Agenda!$A$5:$A$3004))=0,"",SUMPRODUCT(MAX((Agenda!$E$5:$E$3004=A201)*(Agenda!$H$5:$H$3004="Realizado")*Agenda!$A$5:$A$3004))))</f>
        <v/>
      </c>
      <c r="I201" s="34">
        <f>IF(A201="","",IF(SUMPRODUCT(MIN(((Agenda!$E$5:$E$3004=A201)*((Agenda!$H$5:$H$3004="Agendado")+(Agenda!$H$5:$H$3004="Confirmado")))*Agenda!$A$5:$A$3004+(1-((Agenda!$E$5:$E$3004=A201)*((Agenda!$H$5:$H$3004="Agendado")+(Agenda!$H$5:$H$3004="Confirmado"))))*1E+10))&gt;=1E+10,"",SUMPRODUCT(MIN(((Agenda!$E$5:$E$3004=A201)*((Agenda!$H$5:$H$3004="Agendado")+(Agenda!$H$5:$H$3004="Confirmado")))*Agenda!$A$5:$A$3004+(1-((Agenda!$E$5:$E$3004=A201)*((Agenda!$H$5:$H$3004="Agendado")+(Agenda!$H$5:$H$3004="Confirmado"))))*1E+10))))</f>
        <v/>
      </c>
    </row>
    <row r="202">
      <c r="A202" s="37" t="n"/>
      <c r="B202" s="38" t="n"/>
      <c r="C202" s="38" t="n"/>
      <c r="D202" s="37" t="n"/>
      <c r="E202" s="37" t="n"/>
      <c r="F202" s="30">
        <f>IF(A202="","",COUNTIFS(Agenda!$E$5:$E$3004,A202,Agenda!$H$5:$H$3004,"Realizado"))</f>
        <v/>
      </c>
      <c r="G202" s="30">
        <f>IF(A202="","",COUNTIFS(Agenda!$E$5:$E$3004,A202,Agenda!$H$5:$H$3004,"Falta"))</f>
        <v/>
      </c>
      <c r="H202" s="34">
        <f>IF(A202="","",IF(SUMPRODUCT(MAX((Agenda!$E$5:$E$3004=A202)*(Agenda!$H$5:$H$3004="Realizado")*Agenda!$A$5:$A$3004))=0,"",SUMPRODUCT(MAX((Agenda!$E$5:$E$3004=A202)*(Agenda!$H$5:$H$3004="Realizado")*Agenda!$A$5:$A$3004))))</f>
        <v/>
      </c>
      <c r="I202" s="34">
        <f>IF(A202="","",IF(SUMPRODUCT(MIN(((Agenda!$E$5:$E$3004=A202)*((Agenda!$H$5:$H$3004="Agendado")+(Agenda!$H$5:$H$3004="Confirmado")))*Agenda!$A$5:$A$3004+(1-((Agenda!$E$5:$E$3004=A202)*((Agenda!$H$5:$H$3004="Agendado")+(Agenda!$H$5:$H$3004="Confirmado"))))*1E+10))&gt;=1E+10,"",SUMPRODUCT(MIN(((Agenda!$E$5:$E$3004=A202)*((Agenda!$H$5:$H$3004="Agendado")+(Agenda!$H$5:$H$3004="Confirmado")))*Agenda!$A$5:$A$3004+(1-((Agenda!$E$5:$E$3004=A202)*((Agenda!$H$5:$H$3004="Agendado")+(Agenda!$H$5:$H$3004="Confirmado"))))*1E+10))))</f>
        <v/>
      </c>
    </row>
    <row r="203">
      <c r="A203" s="37" t="n"/>
      <c r="B203" s="38" t="n"/>
      <c r="C203" s="38" t="n"/>
      <c r="D203" s="37" t="n"/>
      <c r="E203" s="37" t="n"/>
      <c r="F203" s="30">
        <f>IF(A203="","",COUNTIFS(Agenda!$E$5:$E$3004,A203,Agenda!$H$5:$H$3004,"Realizado"))</f>
        <v/>
      </c>
      <c r="G203" s="30">
        <f>IF(A203="","",COUNTIFS(Agenda!$E$5:$E$3004,A203,Agenda!$H$5:$H$3004,"Falta"))</f>
        <v/>
      </c>
      <c r="H203" s="34">
        <f>IF(A203="","",IF(SUMPRODUCT(MAX((Agenda!$E$5:$E$3004=A203)*(Agenda!$H$5:$H$3004="Realizado")*Agenda!$A$5:$A$3004))=0,"",SUMPRODUCT(MAX((Agenda!$E$5:$E$3004=A203)*(Agenda!$H$5:$H$3004="Realizado")*Agenda!$A$5:$A$3004))))</f>
        <v/>
      </c>
      <c r="I203" s="34">
        <f>IF(A203="","",IF(SUMPRODUCT(MIN(((Agenda!$E$5:$E$3004=A203)*((Agenda!$H$5:$H$3004="Agendado")+(Agenda!$H$5:$H$3004="Confirmado")))*Agenda!$A$5:$A$3004+(1-((Agenda!$E$5:$E$3004=A203)*((Agenda!$H$5:$H$3004="Agendado")+(Agenda!$H$5:$H$3004="Confirmado"))))*1E+10))&gt;=1E+10,"",SUMPRODUCT(MIN(((Agenda!$E$5:$E$3004=A203)*((Agenda!$H$5:$H$3004="Agendado")+(Agenda!$H$5:$H$3004="Confirmado")))*Agenda!$A$5:$A$3004+(1-((Agenda!$E$5:$E$3004=A203)*((Agenda!$H$5:$H$3004="Agendado")+(Agenda!$H$5:$H$3004="Confirmado"))))*1E+10))))</f>
        <v/>
      </c>
    </row>
    <row r="204">
      <c r="A204" s="37" t="n"/>
      <c r="B204" s="38" t="n"/>
      <c r="C204" s="38" t="n"/>
      <c r="D204" s="37" t="n"/>
      <c r="E204" s="37" t="n"/>
      <c r="F204" s="30">
        <f>IF(A204="","",COUNTIFS(Agenda!$E$5:$E$3004,A204,Agenda!$H$5:$H$3004,"Realizado"))</f>
        <v/>
      </c>
      <c r="G204" s="30">
        <f>IF(A204="","",COUNTIFS(Agenda!$E$5:$E$3004,A204,Agenda!$H$5:$H$3004,"Falta"))</f>
        <v/>
      </c>
      <c r="H204" s="34">
        <f>IF(A204="","",IF(SUMPRODUCT(MAX((Agenda!$E$5:$E$3004=A204)*(Agenda!$H$5:$H$3004="Realizado")*Agenda!$A$5:$A$3004))=0,"",SUMPRODUCT(MAX((Agenda!$E$5:$E$3004=A204)*(Agenda!$H$5:$H$3004="Realizado")*Agenda!$A$5:$A$3004))))</f>
        <v/>
      </c>
      <c r="I204" s="34">
        <f>IF(A204="","",IF(SUMPRODUCT(MIN(((Agenda!$E$5:$E$3004=A204)*((Agenda!$H$5:$H$3004="Agendado")+(Agenda!$H$5:$H$3004="Confirmado")))*Agenda!$A$5:$A$3004+(1-((Agenda!$E$5:$E$3004=A204)*((Agenda!$H$5:$H$3004="Agendado")+(Agenda!$H$5:$H$3004="Confirmado"))))*1E+10))&gt;=1E+10,"",SUMPRODUCT(MIN(((Agenda!$E$5:$E$3004=A204)*((Agenda!$H$5:$H$3004="Agendado")+(Agenda!$H$5:$H$3004="Confirmado")))*Agenda!$A$5:$A$3004+(1-((Agenda!$E$5:$E$3004=A204)*((Agenda!$H$5:$H$3004="Agendado")+(Agenda!$H$5:$H$3004="Confirmado"))))*1E+10))))</f>
        <v/>
      </c>
    </row>
    <row r="205">
      <c r="A205" s="37" t="n"/>
      <c r="B205" s="38" t="n"/>
      <c r="C205" s="38" t="n"/>
      <c r="D205" s="37" t="n"/>
      <c r="E205" s="37" t="n"/>
      <c r="F205" s="30">
        <f>IF(A205="","",COUNTIFS(Agenda!$E$5:$E$3004,A205,Agenda!$H$5:$H$3004,"Realizado"))</f>
        <v/>
      </c>
      <c r="G205" s="30">
        <f>IF(A205="","",COUNTIFS(Agenda!$E$5:$E$3004,A205,Agenda!$H$5:$H$3004,"Falta"))</f>
        <v/>
      </c>
      <c r="H205" s="34">
        <f>IF(A205="","",IF(SUMPRODUCT(MAX((Agenda!$E$5:$E$3004=A205)*(Agenda!$H$5:$H$3004="Realizado")*Agenda!$A$5:$A$3004))=0,"",SUMPRODUCT(MAX((Agenda!$E$5:$E$3004=A205)*(Agenda!$H$5:$H$3004="Realizado")*Agenda!$A$5:$A$3004))))</f>
        <v/>
      </c>
      <c r="I205" s="34">
        <f>IF(A205="","",IF(SUMPRODUCT(MIN(((Agenda!$E$5:$E$3004=A205)*((Agenda!$H$5:$H$3004="Agendado")+(Agenda!$H$5:$H$3004="Confirmado")))*Agenda!$A$5:$A$3004+(1-((Agenda!$E$5:$E$3004=A205)*((Agenda!$H$5:$H$3004="Agendado")+(Agenda!$H$5:$H$3004="Confirmado"))))*1E+10))&gt;=1E+10,"",SUMPRODUCT(MIN(((Agenda!$E$5:$E$3004=A205)*((Agenda!$H$5:$H$3004="Agendado")+(Agenda!$H$5:$H$3004="Confirmado")))*Agenda!$A$5:$A$3004+(1-((Agenda!$E$5:$E$3004=A205)*((Agenda!$H$5:$H$3004="Agendado")+(Agenda!$H$5:$H$3004="Confirmado"))))*1E+10))))</f>
        <v/>
      </c>
    </row>
    <row r="206">
      <c r="A206" s="37" t="n"/>
      <c r="B206" s="38" t="n"/>
      <c r="C206" s="38" t="n"/>
      <c r="D206" s="37" t="n"/>
      <c r="E206" s="37" t="n"/>
      <c r="F206" s="30">
        <f>IF(A206="","",COUNTIFS(Agenda!$E$5:$E$3004,A206,Agenda!$H$5:$H$3004,"Realizado"))</f>
        <v/>
      </c>
      <c r="G206" s="30">
        <f>IF(A206="","",COUNTIFS(Agenda!$E$5:$E$3004,A206,Agenda!$H$5:$H$3004,"Falta"))</f>
        <v/>
      </c>
      <c r="H206" s="34">
        <f>IF(A206="","",IF(SUMPRODUCT(MAX((Agenda!$E$5:$E$3004=A206)*(Agenda!$H$5:$H$3004="Realizado")*Agenda!$A$5:$A$3004))=0,"",SUMPRODUCT(MAX((Agenda!$E$5:$E$3004=A206)*(Agenda!$H$5:$H$3004="Realizado")*Agenda!$A$5:$A$3004))))</f>
        <v/>
      </c>
      <c r="I206" s="34">
        <f>IF(A206="","",IF(SUMPRODUCT(MIN(((Agenda!$E$5:$E$3004=A206)*((Agenda!$H$5:$H$3004="Agendado")+(Agenda!$H$5:$H$3004="Confirmado")))*Agenda!$A$5:$A$3004+(1-((Agenda!$E$5:$E$3004=A206)*((Agenda!$H$5:$H$3004="Agendado")+(Agenda!$H$5:$H$3004="Confirmado"))))*1E+10))&gt;=1E+10,"",SUMPRODUCT(MIN(((Agenda!$E$5:$E$3004=A206)*((Agenda!$H$5:$H$3004="Agendado")+(Agenda!$H$5:$H$3004="Confirmado")))*Agenda!$A$5:$A$3004+(1-((Agenda!$E$5:$E$3004=A206)*((Agenda!$H$5:$H$3004="Agendado")+(Agenda!$H$5:$H$3004="Confirmado"))))*1E+10))))</f>
        <v/>
      </c>
    </row>
    <row r="207">
      <c r="A207" s="37" t="n"/>
      <c r="B207" s="38" t="n"/>
      <c r="C207" s="38" t="n"/>
      <c r="D207" s="37" t="n"/>
      <c r="E207" s="37" t="n"/>
      <c r="F207" s="30">
        <f>IF(A207="","",COUNTIFS(Agenda!$E$5:$E$3004,A207,Agenda!$H$5:$H$3004,"Realizado"))</f>
        <v/>
      </c>
      <c r="G207" s="30">
        <f>IF(A207="","",COUNTIFS(Agenda!$E$5:$E$3004,A207,Agenda!$H$5:$H$3004,"Falta"))</f>
        <v/>
      </c>
      <c r="H207" s="34">
        <f>IF(A207="","",IF(SUMPRODUCT(MAX((Agenda!$E$5:$E$3004=A207)*(Agenda!$H$5:$H$3004="Realizado")*Agenda!$A$5:$A$3004))=0,"",SUMPRODUCT(MAX((Agenda!$E$5:$E$3004=A207)*(Agenda!$H$5:$H$3004="Realizado")*Agenda!$A$5:$A$3004))))</f>
        <v/>
      </c>
      <c r="I207" s="34">
        <f>IF(A207="","",IF(SUMPRODUCT(MIN(((Agenda!$E$5:$E$3004=A207)*((Agenda!$H$5:$H$3004="Agendado")+(Agenda!$H$5:$H$3004="Confirmado")))*Agenda!$A$5:$A$3004+(1-((Agenda!$E$5:$E$3004=A207)*((Agenda!$H$5:$H$3004="Agendado")+(Agenda!$H$5:$H$3004="Confirmado"))))*1E+10))&gt;=1E+10,"",SUMPRODUCT(MIN(((Agenda!$E$5:$E$3004=A207)*((Agenda!$H$5:$H$3004="Agendado")+(Agenda!$H$5:$H$3004="Confirmado")))*Agenda!$A$5:$A$3004+(1-((Agenda!$E$5:$E$3004=A207)*((Agenda!$H$5:$H$3004="Agendado")+(Agenda!$H$5:$H$3004="Confirmado"))))*1E+10))))</f>
        <v/>
      </c>
    </row>
    <row r="208">
      <c r="A208" s="37" t="n"/>
      <c r="B208" s="38" t="n"/>
      <c r="C208" s="38" t="n"/>
      <c r="D208" s="37" t="n"/>
      <c r="E208" s="37" t="n"/>
      <c r="F208" s="30">
        <f>IF(A208="","",COUNTIFS(Agenda!$E$5:$E$3004,A208,Agenda!$H$5:$H$3004,"Realizado"))</f>
        <v/>
      </c>
      <c r="G208" s="30">
        <f>IF(A208="","",COUNTIFS(Agenda!$E$5:$E$3004,A208,Agenda!$H$5:$H$3004,"Falta"))</f>
        <v/>
      </c>
      <c r="H208" s="34">
        <f>IF(A208="","",IF(SUMPRODUCT(MAX((Agenda!$E$5:$E$3004=A208)*(Agenda!$H$5:$H$3004="Realizado")*Agenda!$A$5:$A$3004))=0,"",SUMPRODUCT(MAX((Agenda!$E$5:$E$3004=A208)*(Agenda!$H$5:$H$3004="Realizado")*Agenda!$A$5:$A$3004))))</f>
        <v/>
      </c>
      <c r="I208" s="34">
        <f>IF(A208="","",IF(SUMPRODUCT(MIN(((Agenda!$E$5:$E$3004=A208)*((Agenda!$H$5:$H$3004="Agendado")+(Agenda!$H$5:$H$3004="Confirmado")))*Agenda!$A$5:$A$3004+(1-((Agenda!$E$5:$E$3004=A208)*((Agenda!$H$5:$H$3004="Agendado")+(Agenda!$H$5:$H$3004="Confirmado"))))*1E+10))&gt;=1E+10,"",SUMPRODUCT(MIN(((Agenda!$E$5:$E$3004=A208)*((Agenda!$H$5:$H$3004="Agendado")+(Agenda!$H$5:$H$3004="Confirmado")))*Agenda!$A$5:$A$3004+(1-((Agenda!$E$5:$E$3004=A208)*((Agenda!$H$5:$H$3004="Agendado")+(Agenda!$H$5:$H$3004="Confirmado"))))*1E+10))))</f>
        <v/>
      </c>
    </row>
    <row r="209">
      <c r="A209" s="37" t="n"/>
      <c r="B209" s="38" t="n"/>
      <c r="C209" s="38" t="n"/>
      <c r="D209" s="37" t="n"/>
      <c r="E209" s="37" t="n"/>
      <c r="F209" s="30">
        <f>IF(A209="","",COUNTIFS(Agenda!$E$5:$E$3004,A209,Agenda!$H$5:$H$3004,"Realizado"))</f>
        <v/>
      </c>
      <c r="G209" s="30">
        <f>IF(A209="","",COUNTIFS(Agenda!$E$5:$E$3004,A209,Agenda!$H$5:$H$3004,"Falta"))</f>
        <v/>
      </c>
      <c r="H209" s="34">
        <f>IF(A209="","",IF(SUMPRODUCT(MAX((Agenda!$E$5:$E$3004=A209)*(Agenda!$H$5:$H$3004="Realizado")*Agenda!$A$5:$A$3004))=0,"",SUMPRODUCT(MAX((Agenda!$E$5:$E$3004=A209)*(Agenda!$H$5:$H$3004="Realizado")*Agenda!$A$5:$A$3004))))</f>
        <v/>
      </c>
      <c r="I209" s="34">
        <f>IF(A209="","",IF(SUMPRODUCT(MIN(((Agenda!$E$5:$E$3004=A209)*((Agenda!$H$5:$H$3004="Agendado")+(Agenda!$H$5:$H$3004="Confirmado")))*Agenda!$A$5:$A$3004+(1-((Agenda!$E$5:$E$3004=A209)*((Agenda!$H$5:$H$3004="Agendado")+(Agenda!$H$5:$H$3004="Confirmado"))))*1E+10))&gt;=1E+10,"",SUMPRODUCT(MIN(((Agenda!$E$5:$E$3004=A209)*((Agenda!$H$5:$H$3004="Agendado")+(Agenda!$H$5:$H$3004="Confirmado")))*Agenda!$A$5:$A$3004+(1-((Agenda!$E$5:$E$3004=A209)*((Agenda!$H$5:$H$3004="Agendado")+(Agenda!$H$5:$H$3004="Confirmado"))))*1E+10))))</f>
        <v/>
      </c>
    </row>
    <row r="210">
      <c r="A210" s="37" t="n"/>
      <c r="B210" s="38" t="n"/>
      <c r="C210" s="38" t="n"/>
      <c r="D210" s="37" t="n"/>
      <c r="E210" s="37" t="n"/>
      <c r="F210" s="30">
        <f>IF(A210="","",COUNTIFS(Agenda!$E$5:$E$3004,A210,Agenda!$H$5:$H$3004,"Realizado"))</f>
        <v/>
      </c>
      <c r="G210" s="30">
        <f>IF(A210="","",COUNTIFS(Agenda!$E$5:$E$3004,A210,Agenda!$H$5:$H$3004,"Falta"))</f>
        <v/>
      </c>
      <c r="H210" s="34">
        <f>IF(A210="","",IF(SUMPRODUCT(MAX((Agenda!$E$5:$E$3004=A210)*(Agenda!$H$5:$H$3004="Realizado")*Agenda!$A$5:$A$3004))=0,"",SUMPRODUCT(MAX((Agenda!$E$5:$E$3004=A210)*(Agenda!$H$5:$H$3004="Realizado")*Agenda!$A$5:$A$3004))))</f>
        <v/>
      </c>
      <c r="I210" s="34">
        <f>IF(A210="","",IF(SUMPRODUCT(MIN(((Agenda!$E$5:$E$3004=A210)*((Agenda!$H$5:$H$3004="Agendado")+(Agenda!$H$5:$H$3004="Confirmado")))*Agenda!$A$5:$A$3004+(1-((Agenda!$E$5:$E$3004=A210)*((Agenda!$H$5:$H$3004="Agendado")+(Agenda!$H$5:$H$3004="Confirmado"))))*1E+10))&gt;=1E+10,"",SUMPRODUCT(MIN(((Agenda!$E$5:$E$3004=A210)*((Agenda!$H$5:$H$3004="Agendado")+(Agenda!$H$5:$H$3004="Confirmado")))*Agenda!$A$5:$A$3004+(1-((Agenda!$E$5:$E$3004=A210)*((Agenda!$H$5:$H$3004="Agendado")+(Agenda!$H$5:$H$3004="Confirmado"))))*1E+10))))</f>
        <v/>
      </c>
    </row>
    <row r="211">
      <c r="A211" s="37" t="n"/>
      <c r="B211" s="38" t="n"/>
      <c r="C211" s="38" t="n"/>
      <c r="D211" s="37" t="n"/>
      <c r="E211" s="37" t="n"/>
      <c r="F211" s="30">
        <f>IF(A211="","",COUNTIFS(Agenda!$E$5:$E$3004,A211,Agenda!$H$5:$H$3004,"Realizado"))</f>
        <v/>
      </c>
      <c r="G211" s="30">
        <f>IF(A211="","",COUNTIFS(Agenda!$E$5:$E$3004,A211,Agenda!$H$5:$H$3004,"Falta"))</f>
        <v/>
      </c>
      <c r="H211" s="34">
        <f>IF(A211="","",IF(SUMPRODUCT(MAX((Agenda!$E$5:$E$3004=A211)*(Agenda!$H$5:$H$3004="Realizado")*Agenda!$A$5:$A$3004))=0,"",SUMPRODUCT(MAX((Agenda!$E$5:$E$3004=A211)*(Agenda!$H$5:$H$3004="Realizado")*Agenda!$A$5:$A$3004))))</f>
        <v/>
      </c>
      <c r="I211" s="34">
        <f>IF(A211="","",IF(SUMPRODUCT(MIN(((Agenda!$E$5:$E$3004=A211)*((Agenda!$H$5:$H$3004="Agendado")+(Agenda!$H$5:$H$3004="Confirmado")))*Agenda!$A$5:$A$3004+(1-((Agenda!$E$5:$E$3004=A211)*((Agenda!$H$5:$H$3004="Agendado")+(Agenda!$H$5:$H$3004="Confirmado"))))*1E+10))&gt;=1E+10,"",SUMPRODUCT(MIN(((Agenda!$E$5:$E$3004=A211)*((Agenda!$H$5:$H$3004="Agendado")+(Agenda!$H$5:$H$3004="Confirmado")))*Agenda!$A$5:$A$3004+(1-((Agenda!$E$5:$E$3004=A211)*((Agenda!$H$5:$H$3004="Agendado")+(Agenda!$H$5:$H$3004="Confirmado"))))*1E+10))))</f>
        <v/>
      </c>
    </row>
    <row r="212">
      <c r="A212" s="37" t="n"/>
      <c r="B212" s="38" t="n"/>
      <c r="C212" s="38" t="n"/>
      <c r="D212" s="37" t="n"/>
      <c r="E212" s="37" t="n"/>
      <c r="F212" s="30">
        <f>IF(A212="","",COUNTIFS(Agenda!$E$5:$E$3004,A212,Agenda!$H$5:$H$3004,"Realizado"))</f>
        <v/>
      </c>
      <c r="G212" s="30">
        <f>IF(A212="","",COUNTIFS(Agenda!$E$5:$E$3004,A212,Agenda!$H$5:$H$3004,"Falta"))</f>
        <v/>
      </c>
      <c r="H212" s="34">
        <f>IF(A212="","",IF(SUMPRODUCT(MAX((Agenda!$E$5:$E$3004=A212)*(Agenda!$H$5:$H$3004="Realizado")*Agenda!$A$5:$A$3004))=0,"",SUMPRODUCT(MAX((Agenda!$E$5:$E$3004=A212)*(Agenda!$H$5:$H$3004="Realizado")*Agenda!$A$5:$A$3004))))</f>
        <v/>
      </c>
      <c r="I212" s="34">
        <f>IF(A212="","",IF(SUMPRODUCT(MIN(((Agenda!$E$5:$E$3004=A212)*((Agenda!$H$5:$H$3004="Agendado")+(Agenda!$H$5:$H$3004="Confirmado")))*Agenda!$A$5:$A$3004+(1-((Agenda!$E$5:$E$3004=A212)*((Agenda!$H$5:$H$3004="Agendado")+(Agenda!$H$5:$H$3004="Confirmado"))))*1E+10))&gt;=1E+10,"",SUMPRODUCT(MIN(((Agenda!$E$5:$E$3004=A212)*((Agenda!$H$5:$H$3004="Agendado")+(Agenda!$H$5:$H$3004="Confirmado")))*Agenda!$A$5:$A$3004+(1-((Agenda!$E$5:$E$3004=A212)*((Agenda!$H$5:$H$3004="Agendado")+(Agenda!$H$5:$H$3004="Confirmado"))))*1E+10))))</f>
        <v/>
      </c>
    </row>
    <row r="213">
      <c r="A213" s="37" t="n"/>
      <c r="B213" s="38" t="n"/>
      <c r="C213" s="38" t="n"/>
      <c r="D213" s="37" t="n"/>
      <c r="E213" s="37" t="n"/>
      <c r="F213" s="30">
        <f>IF(A213="","",COUNTIFS(Agenda!$E$5:$E$3004,A213,Agenda!$H$5:$H$3004,"Realizado"))</f>
        <v/>
      </c>
      <c r="G213" s="30">
        <f>IF(A213="","",COUNTIFS(Agenda!$E$5:$E$3004,A213,Agenda!$H$5:$H$3004,"Falta"))</f>
        <v/>
      </c>
      <c r="H213" s="34">
        <f>IF(A213="","",IF(SUMPRODUCT(MAX((Agenda!$E$5:$E$3004=A213)*(Agenda!$H$5:$H$3004="Realizado")*Agenda!$A$5:$A$3004))=0,"",SUMPRODUCT(MAX((Agenda!$E$5:$E$3004=A213)*(Agenda!$H$5:$H$3004="Realizado")*Agenda!$A$5:$A$3004))))</f>
        <v/>
      </c>
      <c r="I213" s="34">
        <f>IF(A213="","",IF(SUMPRODUCT(MIN(((Agenda!$E$5:$E$3004=A213)*((Agenda!$H$5:$H$3004="Agendado")+(Agenda!$H$5:$H$3004="Confirmado")))*Agenda!$A$5:$A$3004+(1-((Agenda!$E$5:$E$3004=A213)*((Agenda!$H$5:$H$3004="Agendado")+(Agenda!$H$5:$H$3004="Confirmado"))))*1E+10))&gt;=1E+10,"",SUMPRODUCT(MIN(((Agenda!$E$5:$E$3004=A213)*((Agenda!$H$5:$H$3004="Agendado")+(Agenda!$H$5:$H$3004="Confirmado")))*Agenda!$A$5:$A$3004+(1-((Agenda!$E$5:$E$3004=A213)*((Agenda!$H$5:$H$3004="Agendado")+(Agenda!$H$5:$H$3004="Confirmado"))))*1E+10))))</f>
        <v/>
      </c>
    </row>
    <row r="214">
      <c r="A214" s="37" t="n"/>
      <c r="B214" s="38" t="n"/>
      <c r="C214" s="38" t="n"/>
      <c r="D214" s="37" t="n"/>
      <c r="E214" s="37" t="n"/>
      <c r="F214" s="30">
        <f>IF(A214="","",COUNTIFS(Agenda!$E$5:$E$3004,A214,Agenda!$H$5:$H$3004,"Realizado"))</f>
        <v/>
      </c>
      <c r="G214" s="30">
        <f>IF(A214="","",COUNTIFS(Agenda!$E$5:$E$3004,A214,Agenda!$H$5:$H$3004,"Falta"))</f>
        <v/>
      </c>
      <c r="H214" s="34">
        <f>IF(A214="","",IF(SUMPRODUCT(MAX((Agenda!$E$5:$E$3004=A214)*(Agenda!$H$5:$H$3004="Realizado")*Agenda!$A$5:$A$3004))=0,"",SUMPRODUCT(MAX((Agenda!$E$5:$E$3004=A214)*(Agenda!$H$5:$H$3004="Realizado")*Agenda!$A$5:$A$3004))))</f>
        <v/>
      </c>
      <c r="I214" s="34">
        <f>IF(A214="","",IF(SUMPRODUCT(MIN(((Agenda!$E$5:$E$3004=A214)*((Agenda!$H$5:$H$3004="Agendado")+(Agenda!$H$5:$H$3004="Confirmado")))*Agenda!$A$5:$A$3004+(1-((Agenda!$E$5:$E$3004=A214)*((Agenda!$H$5:$H$3004="Agendado")+(Agenda!$H$5:$H$3004="Confirmado"))))*1E+10))&gt;=1E+10,"",SUMPRODUCT(MIN(((Agenda!$E$5:$E$3004=A214)*((Agenda!$H$5:$H$3004="Agendado")+(Agenda!$H$5:$H$3004="Confirmado")))*Agenda!$A$5:$A$3004+(1-((Agenda!$E$5:$E$3004=A214)*((Agenda!$H$5:$H$3004="Agendado")+(Agenda!$H$5:$H$3004="Confirmado"))))*1E+10))))</f>
        <v/>
      </c>
    </row>
    <row r="215">
      <c r="A215" s="37" t="n"/>
      <c r="B215" s="38" t="n"/>
      <c r="C215" s="38" t="n"/>
      <c r="D215" s="37" t="n"/>
      <c r="E215" s="37" t="n"/>
      <c r="F215" s="30">
        <f>IF(A215="","",COUNTIFS(Agenda!$E$5:$E$3004,A215,Agenda!$H$5:$H$3004,"Realizado"))</f>
        <v/>
      </c>
      <c r="G215" s="30">
        <f>IF(A215="","",COUNTIFS(Agenda!$E$5:$E$3004,A215,Agenda!$H$5:$H$3004,"Falta"))</f>
        <v/>
      </c>
      <c r="H215" s="34">
        <f>IF(A215="","",IF(SUMPRODUCT(MAX((Agenda!$E$5:$E$3004=A215)*(Agenda!$H$5:$H$3004="Realizado")*Agenda!$A$5:$A$3004))=0,"",SUMPRODUCT(MAX((Agenda!$E$5:$E$3004=A215)*(Agenda!$H$5:$H$3004="Realizado")*Agenda!$A$5:$A$3004))))</f>
        <v/>
      </c>
      <c r="I215" s="34">
        <f>IF(A215="","",IF(SUMPRODUCT(MIN(((Agenda!$E$5:$E$3004=A215)*((Agenda!$H$5:$H$3004="Agendado")+(Agenda!$H$5:$H$3004="Confirmado")))*Agenda!$A$5:$A$3004+(1-((Agenda!$E$5:$E$3004=A215)*((Agenda!$H$5:$H$3004="Agendado")+(Agenda!$H$5:$H$3004="Confirmado"))))*1E+10))&gt;=1E+10,"",SUMPRODUCT(MIN(((Agenda!$E$5:$E$3004=A215)*((Agenda!$H$5:$H$3004="Agendado")+(Agenda!$H$5:$H$3004="Confirmado")))*Agenda!$A$5:$A$3004+(1-((Agenda!$E$5:$E$3004=A215)*((Agenda!$H$5:$H$3004="Agendado")+(Agenda!$H$5:$H$3004="Confirmado"))))*1E+10))))</f>
        <v/>
      </c>
    </row>
    <row r="216">
      <c r="A216" s="37" t="n"/>
      <c r="B216" s="38" t="n"/>
      <c r="C216" s="38" t="n"/>
      <c r="D216" s="37" t="n"/>
      <c r="E216" s="37" t="n"/>
      <c r="F216" s="30">
        <f>IF(A216="","",COUNTIFS(Agenda!$E$5:$E$3004,A216,Agenda!$H$5:$H$3004,"Realizado"))</f>
        <v/>
      </c>
      <c r="G216" s="30">
        <f>IF(A216="","",COUNTIFS(Agenda!$E$5:$E$3004,A216,Agenda!$H$5:$H$3004,"Falta"))</f>
        <v/>
      </c>
      <c r="H216" s="34">
        <f>IF(A216="","",IF(SUMPRODUCT(MAX((Agenda!$E$5:$E$3004=A216)*(Agenda!$H$5:$H$3004="Realizado")*Agenda!$A$5:$A$3004))=0,"",SUMPRODUCT(MAX((Agenda!$E$5:$E$3004=A216)*(Agenda!$H$5:$H$3004="Realizado")*Agenda!$A$5:$A$3004))))</f>
        <v/>
      </c>
      <c r="I216" s="34">
        <f>IF(A216="","",IF(SUMPRODUCT(MIN(((Agenda!$E$5:$E$3004=A216)*((Agenda!$H$5:$H$3004="Agendado")+(Agenda!$H$5:$H$3004="Confirmado")))*Agenda!$A$5:$A$3004+(1-((Agenda!$E$5:$E$3004=A216)*((Agenda!$H$5:$H$3004="Agendado")+(Agenda!$H$5:$H$3004="Confirmado"))))*1E+10))&gt;=1E+10,"",SUMPRODUCT(MIN(((Agenda!$E$5:$E$3004=A216)*((Agenda!$H$5:$H$3004="Agendado")+(Agenda!$H$5:$H$3004="Confirmado")))*Agenda!$A$5:$A$3004+(1-((Agenda!$E$5:$E$3004=A216)*((Agenda!$H$5:$H$3004="Agendado")+(Agenda!$H$5:$H$3004="Confirmado"))))*1E+10))))</f>
        <v/>
      </c>
    </row>
    <row r="217">
      <c r="A217" s="37" t="n"/>
      <c r="B217" s="38" t="n"/>
      <c r="C217" s="38" t="n"/>
      <c r="D217" s="37" t="n"/>
      <c r="E217" s="37" t="n"/>
      <c r="F217" s="30">
        <f>IF(A217="","",COUNTIFS(Agenda!$E$5:$E$3004,A217,Agenda!$H$5:$H$3004,"Realizado"))</f>
        <v/>
      </c>
      <c r="G217" s="30">
        <f>IF(A217="","",COUNTIFS(Agenda!$E$5:$E$3004,A217,Agenda!$H$5:$H$3004,"Falta"))</f>
        <v/>
      </c>
      <c r="H217" s="34">
        <f>IF(A217="","",IF(SUMPRODUCT(MAX((Agenda!$E$5:$E$3004=A217)*(Agenda!$H$5:$H$3004="Realizado")*Agenda!$A$5:$A$3004))=0,"",SUMPRODUCT(MAX((Agenda!$E$5:$E$3004=A217)*(Agenda!$H$5:$H$3004="Realizado")*Agenda!$A$5:$A$3004))))</f>
        <v/>
      </c>
      <c r="I217" s="34">
        <f>IF(A217="","",IF(SUMPRODUCT(MIN(((Agenda!$E$5:$E$3004=A217)*((Agenda!$H$5:$H$3004="Agendado")+(Agenda!$H$5:$H$3004="Confirmado")))*Agenda!$A$5:$A$3004+(1-((Agenda!$E$5:$E$3004=A217)*((Agenda!$H$5:$H$3004="Agendado")+(Agenda!$H$5:$H$3004="Confirmado"))))*1E+10))&gt;=1E+10,"",SUMPRODUCT(MIN(((Agenda!$E$5:$E$3004=A217)*((Agenda!$H$5:$H$3004="Agendado")+(Agenda!$H$5:$H$3004="Confirmado")))*Agenda!$A$5:$A$3004+(1-((Agenda!$E$5:$E$3004=A217)*((Agenda!$H$5:$H$3004="Agendado")+(Agenda!$H$5:$H$3004="Confirmado"))))*1E+10))))</f>
        <v/>
      </c>
    </row>
    <row r="218">
      <c r="A218" s="37" t="n"/>
      <c r="B218" s="38" t="n"/>
      <c r="C218" s="38" t="n"/>
      <c r="D218" s="37" t="n"/>
      <c r="E218" s="37" t="n"/>
      <c r="F218" s="30">
        <f>IF(A218="","",COUNTIFS(Agenda!$E$5:$E$3004,A218,Agenda!$H$5:$H$3004,"Realizado"))</f>
        <v/>
      </c>
      <c r="G218" s="30">
        <f>IF(A218="","",COUNTIFS(Agenda!$E$5:$E$3004,A218,Agenda!$H$5:$H$3004,"Falta"))</f>
        <v/>
      </c>
      <c r="H218" s="34">
        <f>IF(A218="","",IF(SUMPRODUCT(MAX((Agenda!$E$5:$E$3004=A218)*(Agenda!$H$5:$H$3004="Realizado")*Agenda!$A$5:$A$3004))=0,"",SUMPRODUCT(MAX((Agenda!$E$5:$E$3004=A218)*(Agenda!$H$5:$H$3004="Realizado")*Agenda!$A$5:$A$3004))))</f>
        <v/>
      </c>
      <c r="I218" s="34">
        <f>IF(A218="","",IF(SUMPRODUCT(MIN(((Agenda!$E$5:$E$3004=A218)*((Agenda!$H$5:$H$3004="Agendado")+(Agenda!$H$5:$H$3004="Confirmado")))*Agenda!$A$5:$A$3004+(1-((Agenda!$E$5:$E$3004=A218)*((Agenda!$H$5:$H$3004="Agendado")+(Agenda!$H$5:$H$3004="Confirmado"))))*1E+10))&gt;=1E+10,"",SUMPRODUCT(MIN(((Agenda!$E$5:$E$3004=A218)*((Agenda!$H$5:$H$3004="Agendado")+(Agenda!$H$5:$H$3004="Confirmado")))*Agenda!$A$5:$A$3004+(1-((Agenda!$E$5:$E$3004=A218)*((Agenda!$H$5:$H$3004="Agendado")+(Agenda!$H$5:$H$3004="Confirmado"))))*1E+10))))</f>
        <v/>
      </c>
    </row>
    <row r="219">
      <c r="A219" s="37" t="n"/>
      <c r="B219" s="38" t="n"/>
      <c r="C219" s="38" t="n"/>
      <c r="D219" s="37" t="n"/>
      <c r="E219" s="37" t="n"/>
      <c r="F219" s="30">
        <f>IF(A219="","",COUNTIFS(Agenda!$E$5:$E$3004,A219,Agenda!$H$5:$H$3004,"Realizado"))</f>
        <v/>
      </c>
      <c r="G219" s="30">
        <f>IF(A219="","",COUNTIFS(Agenda!$E$5:$E$3004,A219,Agenda!$H$5:$H$3004,"Falta"))</f>
        <v/>
      </c>
      <c r="H219" s="34">
        <f>IF(A219="","",IF(SUMPRODUCT(MAX((Agenda!$E$5:$E$3004=A219)*(Agenda!$H$5:$H$3004="Realizado")*Agenda!$A$5:$A$3004))=0,"",SUMPRODUCT(MAX((Agenda!$E$5:$E$3004=A219)*(Agenda!$H$5:$H$3004="Realizado")*Agenda!$A$5:$A$3004))))</f>
        <v/>
      </c>
      <c r="I219" s="34">
        <f>IF(A219="","",IF(SUMPRODUCT(MIN(((Agenda!$E$5:$E$3004=A219)*((Agenda!$H$5:$H$3004="Agendado")+(Agenda!$H$5:$H$3004="Confirmado")))*Agenda!$A$5:$A$3004+(1-((Agenda!$E$5:$E$3004=A219)*((Agenda!$H$5:$H$3004="Agendado")+(Agenda!$H$5:$H$3004="Confirmado"))))*1E+10))&gt;=1E+10,"",SUMPRODUCT(MIN(((Agenda!$E$5:$E$3004=A219)*((Agenda!$H$5:$H$3004="Agendado")+(Agenda!$H$5:$H$3004="Confirmado")))*Agenda!$A$5:$A$3004+(1-((Agenda!$E$5:$E$3004=A219)*((Agenda!$H$5:$H$3004="Agendado")+(Agenda!$H$5:$H$3004="Confirmado"))))*1E+10))))</f>
        <v/>
      </c>
    </row>
    <row r="220">
      <c r="A220" s="37" t="n"/>
      <c r="B220" s="38" t="n"/>
      <c r="C220" s="38" t="n"/>
      <c r="D220" s="37" t="n"/>
      <c r="E220" s="37" t="n"/>
      <c r="F220" s="30">
        <f>IF(A220="","",COUNTIFS(Agenda!$E$5:$E$3004,A220,Agenda!$H$5:$H$3004,"Realizado"))</f>
        <v/>
      </c>
      <c r="G220" s="30">
        <f>IF(A220="","",COUNTIFS(Agenda!$E$5:$E$3004,A220,Agenda!$H$5:$H$3004,"Falta"))</f>
        <v/>
      </c>
      <c r="H220" s="34">
        <f>IF(A220="","",IF(SUMPRODUCT(MAX((Agenda!$E$5:$E$3004=A220)*(Agenda!$H$5:$H$3004="Realizado")*Agenda!$A$5:$A$3004))=0,"",SUMPRODUCT(MAX((Agenda!$E$5:$E$3004=A220)*(Agenda!$H$5:$H$3004="Realizado")*Agenda!$A$5:$A$3004))))</f>
        <v/>
      </c>
      <c r="I220" s="34">
        <f>IF(A220="","",IF(SUMPRODUCT(MIN(((Agenda!$E$5:$E$3004=A220)*((Agenda!$H$5:$H$3004="Agendado")+(Agenda!$H$5:$H$3004="Confirmado")))*Agenda!$A$5:$A$3004+(1-((Agenda!$E$5:$E$3004=A220)*((Agenda!$H$5:$H$3004="Agendado")+(Agenda!$H$5:$H$3004="Confirmado"))))*1E+10))&gt;=1E+10,"",SUMPRODUCT(MIN(((Agenda!$E$5:$E$3004=A220)*((Agenda!$H$5:$H$3004="Agendado")+(Agenda!$H$5:$H$3004="Confirmado")))*Agenda!$A$5:$A$3004+(1-((Agenda!$E$5:$E$3004=A220)*((Agenda!$H$5:$H$3004="Agendado")+(Agenda!$H$5:$H$3004="Confirmado"))))*1E+10))))</f>
        <v/>
      </c>
    </row>
    <row r="221">
      <c r="A221" s="37" t="n"/>
      <c r="B221" s="38" t="n"/>
      <c r="C221" s="38" t="n"/>
      <c r="D221" s="37" t="n"/>
      <c r="E221" s="37" t="n"/>
      <c r="F221" s="30">
        <f>IF(A221="","",COUNTIFS(Agenda!$E$5:$E$3004,A221,Agenda!$H$5:$H$3004,"Realizado"))</f>
        <v/>
      </c>
      <c r="G221" s="30">
        <f>IF(A221="","",COUNTIFS(Agenda!$E$5:$E$3004,A221,Agenda!$H$5:$H$3004,"Falta"))</f>
        <v/>
      </c>
      <c r="H221" s="34">
        <f>IF(A221="","",IF(SUMPRODUCT(MAX((Agenda!$E$5:$E$3004=A221)*(Agenda!$H$5:$H$3004="Realizado")*Agenda!$A$5:$A$3004))=0,"",SUMPRODUCT(MAX((Agenda!$E$5:$E$3004=A221)*(Agenda!$H$5:$H$3004="Realizado")*Agenda!$A$5:$A$3004))))</f>
        <v/>
      </c>
      <c r="I221" s="34">
        <f>IF(A221="","",IF(SUMPRODUCT(MIN(((Agenda!$E$5:$E$3004=A221)*((Agenda!$H$5:$H$3004="Agendado")+(Agenda!$H$5:$H$3004="Confirmado")))*Agenda!$A$5:$A$3004+(1-((Agenda!$E$5:$E$3004=A221)*((Agenda!$H$5:$H$3004="Agendado")+(Agenda!$H$5:$H$3004="Confirmado"))))*1E+10))&gt;=1E+10,"",SUMPRODUCT(MIN(((Agenda!$E$5:$E$3004=A221)*((Agenda!$H$5:$H$3004="Agendado")+(Agenda!$H$5:$H$3004="Confirmado")))*Agenda!$A$5:$A$3004+(1-((Agenda!$E$5:$E$3004=A221)*((Agenda!$H$5:$H$3004="Agendado")+(Agenda!$H$5:$H$3004="Confirmado"))))*1E+10))))</f>
        <v/>
      </c>
    </row>
    <row r="222">
      <c r="A222" s="37" t="n"/>
      <c r="B222" s="38" t="n"/>
      <c r="C222" s="38" t="n"/>
      <c r="D222" s="37" t="n"/>
      <c r="E222" s="37" t="n"/>
      <c r="F222" s="30">
        <f>IF(A222="","",COUNTIFS(Agenda!$E$5:$E$3004,A222,Agenda!$H$5:$H$3004,"Realizado"))</f>
        <v/>
      </c>
      <c r="G222" s="30">
        <f>IF(A222="","",COUNTIFS(Agenda!$E$5:$E$3004,A222,Agenda!$H$5:$H$3004,"Falta"))</f>
        <v/>
      </c>
      <c r="H222" s="34">
        <f>IF(A222="","",IF(SUMPRODUCT(MAX((Agenda!$E$5:$E$3004=A222)*(Agenda!$H$5:$H$3004="Realizado")*Agenda!$A$5:$A$3004))=0,"",SUMPRODUCT(MAX((Agenda!$E$5:$E$3004=A222)*(Agenda!$H$5:$H$3004="Realizado")*Agenda!$A$5:$A$3004))))</f>
        <v/>
      </c>
      <c r="I222" s="34">
        <f>IF(A222="","",IF(SUMPRODUCT(MIN(((Agenda!$E$5:$E$3004=A222)*((Agenda!$H$5:$H$3004="Agendado")+(Agenda!$H$5:$H$3004="Confirmado")))*Agenda!$A$5:$A$3004+(1-((Agenda!$E$5:$E$3004=A222)*((Agenda!$H$5:$H$3004="Agendado")+(Agenda!$H$5:$H$3004="Confirmado"))))*1E+10))&gt;=1E+10,"",SUMPRODUCT(MIN(((Agenda!$E$5:$E$3004=A222)*((Agenda!$H$5:$H$3004="Agendado")+(Agenda!$H$5:$H$3004="Confirmado")))*Agenda!$A$5:$A$3004+(1-((Agenda!$E$5:$E$3004=A222)*((Agenda!$H$5:$H$3004="Agendado")+(Agenda!$H$5:$H$3004="Confirmado"))))*1E+10))))</f>
        <v/>
      </c>
    </row>
    <row r="223">
      <c r="A223" s="37" t="n"/>
      <c r="B223" s="38" t="n"/>
      <c r="C223" s="38" t="n"/>
      <c r="D223" s="37" t="n"/>
      <c r="E223" s="37" t="n"/>
      <c r="F223" s="30">
        <f>IF(A223="","",COUNTIFS(Agenda!$E$5:$E$3004,A223,Agenda!$H$5:$H$3004,"Realizado"))</f>
        <v/>
      </c>
      <c r="G223" s="30">
        <f>IF(A223="","",COUNTIFS(Agenda!$E$5:$E$3004,A223,Agenda!$H$5:$H$3004,"Falta"))</f>
        <v/>
      </c>
      <c r="H223" s="34">
        <f>IF(A223="","",IF(SUMPRODUCT(MAX((Agenda!$E$5:$E$3004=A223)*(Agenda!$H$5:$H$3004="Realizado")*Agenda!$A$5:$A$3004))=0,"",SUMPRODUCT(MAX((Agenda!$E$5:$E$3004=A223)*(Agenda!$H$5:$H$3004="Realizado")*Agenda!$A$5:$A$3004))))</f>
        <v/>
      </c>
      <c r="I223" s="34">
        <f>IF(A223="","",IF(SUMPRODUCT(MIN(((Agenda!$E$5:$E$3004=A223)*((Agenda!$H$5:$H$3004="Agendado")+(Agenda!$H$5:$H$3004="Confirmado")))*Agenda!$A$5:$A$3004+(1-((Agenda!$E$5:$E$3004=A223)*((Agenda!$H$5:$H$3004="Agendado")+(Agenda!$H$5:$H$3004="Confirmado"))))*1E+10))&gt;=1E+10,"",SUMPRODUCT(MIN(((Agenda!$E$5:$E$3004=A223)*((Agenda!$H$5:$H$3004="Agendado")+(Agenda!$H$5:$H$3004="Confirmado")))*Agenda!$A$5:$A$3004+(1-((Agenda!$E$5:$E$3004=A223)*((Agenda!$H$5:$H$3004="Agendado")+(Agenda!$H$5:$H$3004="Confirmado"))))*1E+10))))</f>
        <v/>
      </c>
    </row>
    <row r="224">
      <c r="A224" s="37" t="n"/>
      <c r="B224" s="38" t="n"/>
      <c r="C224" s="38" t="n"/>
      <c r="D224" s="37" t="n"/>
      <c r="E224" s="37" t="n"/>
      <c r="F224" s="30">
        <f>IF(A224="","",COUNTIFS(Agenda!$E$5:$E$3004,A224,Agenda!$H$5:$H$3004,"Realizado"))</f>
        <v/>
      </c>
      <c r="G224" s="30">
        <f>IF(A224="","",COUNTIFS(Agenda!$E$5:$E$3004,A224,Agenda!$H$5:$H$3004,"Falta"))</f>
        <v/>
      </c>
      <c r="H224" s="34">
        <f>IF(A224="","",IF(SUMPRODUCT(MAX((Agenda!$E$5:$E$3004=A224)*(Agenda!$H$5:$H$3004="Realizado")*Agenda!$A$5:$A$3004))=0,"",SUMPRODUCT(MAX((Agenda!$E$5:$E$3004=A224)*(Agenda!$H$5:$H$3004="Realizado")*Agenda!$A$5:$A$3004))))</f>
        <v/>
      </c>
      <c r="I224" s="34">
        <f>IF(A224="","",IF(SUMPRODUCT(MIN(((Agenda!$E$5:$E$3004=A224)*((Agenda!$H$5:$H$3004="Agendado")+(Agenda!$H$5:$H$3004="Confirmado")))*Agenda!$A$5:$A$3004+(1-((Agenda!$E$5:$E$3004=A224)*((Agenda!$H$5:$H$3004="Agendado")+(Agenda!$H$5:$H$3004="Confirmado"))))*1E+10))&gt;=1E+10,"",SUMPRODUCT(MIN(((Agenda!$E$5:$E$3004=A224)*((Agenda!$H$5:$H$3004="Agendado")+(Agenda!$H$5:$H$3004="Confirmado")))*Agenda!$A$5:$A$3004+(1-((Agenda!$E$5:$E$3004=A224)*((Agenda!$H$5:$H$3004="Agendado")+(Agenda!$H$5:$H$3004="Confirmado"))))*1E+10))))</f>
        <v/>
      </c>
    </row>
    <row r="225">
      <c r="A225" s="37" t="n"/>
      <c r="B225" s="38" t="n"/>
      <c r="C225" s="38" t="n"/>
      <c r="D225" s="37" t="n"/>
      <c r="E225" s="37" t="n"/>
      <c r="F225" s="30">
        <f>IF(A225="","",COUNTIFS(Agenda!$E$5:$E$3004,A225,Agenda!$H$5:$H$3004,"Realizado"))</f>
        <v/>
      </c>
      <c r="G225" s="30">
        <f>IF(A225="","",COUNTIFS(Agenda!$E$5:$E$3004,A225,Agenda!$H$5:$H$3004,"Falta"))</f>
        <v/>
      </c>
      <c r="H225" s="34">
        <f>IF(A225="","",IF(SUMPRODUCT(MAX((Agenda!$E$5:$E$3004=A225)*(Agenda!$H$5:$H$3004="Realizado")*Agenda!$A$5:$A$3004))=0,"",SUMPRODUCT(MAX((Agenda!$E$5:$E$3004=A225)*(Agenda!$H$5:$H$3004="Realizado")*Agenda!$A$5:$A$3004))))</f>
        <v/>
      </c>
      <c r="I225" s="34">
        <f>IF(A225="","",IF(SUMPRODUCT(MIN(((Agenda!$E$5:$E$3004=A225)*((Agenda!$H$5:$H$3004="Agendado")+(Agenda!$H$5:$H$3004="Confirmado")))*Agenda!$A$5:$A$3004+(1-((Agenda!$E$5:$E$3004=A225)*((Agenda!$H$5:$H$3004="Agendado")+(Agenda!$H$5:$H$3004="Confirmado"))))*1E+10))&gt;=1E+10,"",SUMPRODUCT(MIN(((Agenda!$E$5:$E$3004=A225)*((Agenda!$H$5:$H$3004="Agendado")+(Agenda!$H$5:$H$3004="Confirmado")))*Agenda!$A$5:$A$3004+(1-((Agenda!$E$5:$E$3004=A225)*((Agenda!$H$5:$H$3004="Agendado")+(Agenda!$H$5:$H$3004="Confirmado"))))*1E+10))))</f>
        <v/>
      </c>
    </row>
    <row r="226">
      <c r="A226" s="37" t="n"/>
      <c r="B226" s="38" t="n"/>
      <c r="C226" s="38" t="n"/>
      <c r="D226" s="37" t="n"/>
      <c r="E226" s="37" t="n"/>
      <c r="F226" s="30">
        <f>IF(A226="","",COUNTIFS(Agenda!$E$5:$E$3004,A226,Agenda!$H$5:$H$3004,"Realizado"))</f>
        <v/>
      </c>
      <c r="G226" s="30">
        <f>IF(A226="","",COUNTIFS(Agenda!$E$5:$E$3004,A226,Agenda!$H$5:$H$3004,"Falta"))</f>
        <v/>
      </c>
      <c r="H226" s="34">
        <f>IF(A226="","",IF(SUMPRODUCT(MAX((Agenda!$E$5:$E$3004=A226)*(Agenda!$H$5:$H$3004="Realizado")*Agenda!$A$5:$A$3004))=0,"",SUMPRODUCT(MAX((Agenda!$E$5:$E$3004=A226)*(Agenda!$H$5:$H$3004="Realizado")*Agenda!$A$5:$A$3004))))</f>
        <v/>
      </c>
      <c r="I226" s="34">
        <f>IF(A226="","",IF(SUMPRODUCT(MIN(((Agenda!$E$5:$E$3004=A226)*((Agenda!$H$5:$H$3004="Agendado")+(Agenda!$H$5:$H$3004="Confirmado")))*Agenda!$A$5:$A$3004+(1-((Agenda!$E$5:$E$3004=A226)*((Agenda!$H$5:$H$3004="Agendado")+(Agenda!$H$5:$H$3004="Confirmado"))))*1E+10))&gt;=1E+10,"",SUMPRODUCT(MIN(((Agenda!$E$5:$E$3004=A226)*((Agenda!$H$5:$H$3004="Agendado")+(Agenda!$H$5:$H$3004="Confirmado")))*Agenda!$A$5:$A$3004+(1-((Agenda!$E$5:$E$3004=A226)*((Agenda!$H$5:$H$3004="Agendado")+(Agenda!$H$5:$H$3004="Confirmado"))))*1E+10))))</f>
        <v/>
      </c>
    </row>
    <row r="227">
      <c r="A227" s="37" t="n"/>
      <c r="B227" s="38" t="n"/>
      <c r="C227" s="38" t="n"/>
      <c r="D227" s="37" t="n"/>
      <c r="E227" s="37" t="n"/>
      <c r="F227" s="30">
        <f>IF(A227="","",COUNTIFS(Agenda!$E$5:$E$3004,A227,Agenda!$H$5:$H$3004,"Realizado"))</f>
        <v/>
      </c>
      <c r="G227" s="30">
        <f>IF(A227="","",COUNTIFS(Agenda!$E$5:$E$3004,A227,Agenda!$H$5:$H$3004,"Falta"))</f>
        <v/>
      </c>
      <c r="H227" s="34">
        <f>IF(A227="","",IF(SUMPRODUCT(MAX((Agenda!$E$5:$E$3004=A227)*(Agenda!$H$5:$H$3004="Realizado")*Agenda!$A$5:$A$3004))=0,"",SUMPRODUCT(MAX((Agenda!$E$5:$E$3004=A227)*(Agenda!$H$5:$H$3004="Realizado")*Agenda!$A$5:$A$3004))))</f>
        <v/>
      </c>
      <c r="I227" s="34">
        <f>IF(A227="","",IF(SUMPRODUCT(MIN(((Agenda!$E$5:$E$3004=A227)*((Agenda!$H$5:$H$3004="Agendado")+(Agenda!$H$5:$H$3004="Confirmado")))*Agenda!$A$5:$A$3004+(1-((Agenda!$E$5:$E$3004=A227)*((Agenda!$H$5:$H$3004="Agendado")+(Agenda!$H$5:$H$3004="Confirmado"))))*1E+10))&gt;=1E+10,"",SUMPRODUCT(MIN(((Agenda!$E$5:$E$3004=A227)*((Agenda!$H$5:$H$3004="Agendado")+(Agenda!$H$5:$H$3004="Confirmado")))*Agenda!$A$5:$A$3004+(1-((Agenda!$E$5:$E$3004=A227)*((Agenda!$H$5:$H$3004="Agendado")+(Agenda!$H$5:$H$3004="Confirmado"))))*1E+10))))</f>
        <v/>
      </c>
    </row>
    <row r="228">
      <c r="A228" s="37" t="n"/>
      <c r="B228" s="38" t="n"/>
      <c r="C228" s="38" t="n"/>
      <c r="D228" s="37" t="n"/>
      <c r="E228" s="37" t="n"/>
      <c r="F228" s="30">
        <f>IF(A228="","",COUNTIFS(Agenda!$E$5:$E$3004,A228,Agenda!$H$5:$H$3004,"Realizado"))</f>
        <v/>
      </c>
      <c r="G228" s="30">
        <f>IF(A228="","",COUNTIFS(Agenda!$E$5:$E$3004,A228,Agenda!$H$5:$H$3004,"Falta"))</f>
        <v/>
      </c>
      <c r="H228" s="34">
        <f>IF(A228="","",IF(SUMPRODUCT(MAX((Agenda!$E$5:$E$3004=A228)*(Agenda!$H$5:$H$3004="Realizado")*Agenda!$A$5:$A$3004))=0,"",SUMPRODUCT(MAX((Agenda!$E$5:$E$3004=A228)*(Agenda!$H$5:$H$3004="Realizado")*Agenda!$A$5:$A$3004))))</f>
        <v/>
      </c>
      <c r="I228" s="34">
        <f>IF(A228="","",IF(SUMPRODUCT(MIN(((Agenda!$E$5:$E$3004=A228)*((Agenda!$H$5:$H$3004="Agendado")+(Agenda!$H$5:$H$3004="Confirmado")))*Agenda!$A$5:$A$3004+(1-((Agenda!$E$5:$E$3004=A228)*((Agenda!$H$5:$H$3004="Agendado")+(Agenda!$H$5:$H$3004="Confirmado"))))*1E+10))&gt;=1E+10,"",SUMPRODUCT(MIN(((Agenda!$E$5:$E$3004=A228)*((Agenda!$H$5:$H$3004="Agendado")+(Agenda!$H$5:$H$3004="Confirmado")))*Agenda!$A$5:$A$3004+(1-((Agenda!$E$5:$E$3004=A228)*((Agenda!$H$5:$H$3004="Agendado")+(Agenda!$H$5:$H$3004="Confirmado"))))*1E+10))))</f>
        <v/>
      </c>
    </row>
    <row r="229">
      <c r="A229" s="37" t="n"/>
      <c r="B229" s="38" t="n"/>
      <c r="C229" s="38" t="n"/>
      <c r="D229" s="37" t="n"/>
      <c r="E229" s="37" t="n"/>
      <c r="F229" s="30">
        <f>IF(A229="","",COUNTIFS(Agenda!$E$5:$E$3004,A229,Agenda!$H$5:$H$3004,"Realizado"))</f>
        <v/>
      </c>
      <c r="G229" s="30">
        <f>IF(A229="","",COUNTIFS(Agenda!$E$5:$E$3004,A229,Agenda!$H$5:$H$3004,"Falta"))</f>
        <v/>
      </c>
      <c r="H229" s="34">
        <f>IF(A229="","",IF(SUMPRODUCT(MAX((Agenda!$E$5:$E$3004=A229)*(Agenda!$H$5:$H$3004="Realizado")*Agenda!$A$5:$A$3004))=0,"",SUMPRODUCT(MAX((Agenda!$E$5:$E$3004=A229)*(Agenda!$H$5:$H$3004="Realizado")*Agenda!$A$5:$A$3004))))</f>
        <v/>
      </c>
      <c r="I229" s="34">
        <f>IF(A229="","",IF(SUMPRODUCT(MIN(((Agenda!$E$5:$E$3004=A229)*((Agenda!$H$5:$H$3004="Agendado")+(Agenda!$H$5:$H$3004="Confirmado")))*Agenda!$A$5:$A$3004+(1-((Agenda!$E$5:$E$3004=A229)*((Agenda!$H$5:$H$3004="Agendado")+(Agenda!$H$5:$H$3004="Confirmado"))))*1E+10))&gt;=1E+10,"",SUMPRODUCT(MIN(((Agenda!$E$5:$E$3004=A229)*((Agenda!$H$5:$H$3004="Agendado")+(Agenda!$H$5:$H$3004="Confirmado")))*Agenda!$A$5:$A$3004+(1-((Agenda!$E$5:$E$3004=A229)*((Agenda!$H$5:$H$3004="Agendado")+(Agenda!$H$5:$H$3004="Confirmado"))))*1E+10))))</f>
        <v/>
      </c>
    </row>
    <row r="230">
      <c r="A230" s="37" t="n"/>
      <c r="B230" s="38" t="n"/>
      <c r="C230" s="38" t="n"/>
      <c r="D230" s="37" t="n"/>
      <c r="E230" s="37" t="n"/>
      <c r="F230" s="30">
        <f>IF(A230="","",COUNTIFS(Agenda!$E$5:$E$3004,A230,Agenda!$H$5:$H$3004,"Realizado"))</f>
        <v/>
      </c>
      <c r="G230" s="30">
        <f>IF(A230="","",COUNTIFS(Agenda!$E$5:$E$3004,A230,Agenda!$H$5:$H$3004,"Falta"))</f>
        <v/>
      </c>
      <c r="H230" s="34">
        <f>IF(A230="","",IF(SUMPRODUCT(MAX((Agenda!$E$5:$E$3004=A230)*(Agenda!$H$5:$H$3004="Realizado")*Agenda!$A$5:$A$3004))=0,"",SUMPRODUCT(MAX((Agenda!$E$5:$E$3004=A230)*(Agenda!$H$5:$H$3004="Realizado")*Agenda!$A$5:$A$3004))))</f>
        <v/>
      </c>
      <c r="I230" s="34">
        <f>IF(A230="","",IF(SUMPRODUCT(MIN(((Agenda!$E$5:$E$3004=A230)*((Agenda!$H$5:$H$3004="Agendado")+(Agenda!$H$5:$H$3004="Confirmado")))*Agenda!$A$5:$A$3004+(1-((Agenda!$E$5:$E$3004=A230)*((Agenda!$H$5:$H$3004="Agendado")+(Agenda!$H$5:$H$3004="Confirmado"))))*1E+10))&gt;=1E+10,"",SUMPRODUCT(MIN(((Agenda!$E$5:$E$3004=A230)*((Agenda!$H$5:$H$3004="Agendado")+(Agenda!$H$5:$H$3004="Confirmado")))*Agenda!$A$5:$A$3004+(1-((Agenda!$E$5:$E$3004=A230)*((Agenda!$H$5:$H$3004="Agendado")+(Agenda!$H$5:$H$3004="Confirmado"))))*1E+10))))</f>
        <v/>
      </c>
    </row>
    <row r="231">
      <c r="A231" s="37" t="n"/>
      <c r="B231" s="38" t="n"/>
      <c r="C231" s="38" t="n"/>
      <c r="D231" s="37" t="n"/>
      <c r="E231" s="37" t="n"/>
      <c r="F231" s="30">
        <f>IF(A231="","",COUNTIFS(Agenda!$E$5:$E$3004,A231,Agenda!$H$5:$H$3004,"Realizado"))</f>
        <v/>
      </c>
      <c r="G231" s="30">
        <f>IF(A231="","",COUNTIFS(Agenda!$E$5:$E$3004,A231,Agenda!$H$5:$H$3004,"Falta"))</f>
        <v/>
      </c>
      <c r="H231" s="34">
        <f>IF(A231="","",IF(SUMPRODUCT(MAX((Agenda!$E$5:$E$3004=A231)*(Agenda!$H$5:$H$3004="Realizado")*Agenda!$A$5:$A$3004))=0,"",SUMPRODUCT(MAX((Agenda!$E$5:$E$3004=A231)*(Agenda!$H$5:$H$3004="Realizado")*Agenda!$A$5:$A$3004))))</f>
        <v/>
      </c>
      <c r="I231" s="34">
        <f>IF(A231="","",IF(SUMPRODUCT(MIN(((Agenda!$E$5:$E$3004=A231)*((Agenda!$H$5:$H$3004="Agendado")+(Agenda!$H$5:$H$3004="Confirmado")))*Agenda!$A$5:$A$3004+(1-((Agenda!$E$5:$E$3004=A231)*((Agenda!$H$5:$H$3004="Agendado")+(Agenda!$H$5:$H$3004="Confirmado"))))*1E+10))&gt;=1E+10,"",SUMPRODUCT(MIN(((Agenda!$E$5:$E$3004=A231)*((Agenda!$H$5:$H$3004="Agendado")+(Agenda!$H$5:$H$3004="Confirmado")))*Agenda!$A$5:$A$3004+(1-((Agenda!$E$5:$E$3004=A231)*((Agenda!$H$5:$H$3004="Agendado")+(Agenda!$H$5:$H$3004="Confirmado"))))*1E+10))))</f>
        <v/>
      </c>
    </row>
    <row r="232">
      <c r="A232" s="37" t="n"/>
      <c r="B232" s="38" t="n"/>
      <c r="C232" s="38" t="n"/>
      <c r="D232" s="37" t="n"/>
      <c r="E232" s="37" t="n"/>
      <c r="F232" s="30">
        <f>IF(A232="","",COUNTIFS(Agenda!$E$5:$E$3004,A232,Agenda!$H$5:$H$3004,"Realizado"))</f>
        <v/>
      </c>
      <c r="G232" s="30">
        <f>IF(A232="","",COUNTIFS(Agenda!$E$5:$E$3004,A232,Agenda!$H$5:$H$3004,"Falta"))</f>
        <v/>
      </c>
      <c r="H232" s="34">
        <f>IF(A232="","",IF(SUMPRODUCT(MAX((Agenda!$E$5:$E$3004=A232)*(Agenda!$H$5:$H$3004="Realizado")*Agenda!$A$5:$A$3004))=0,"",SUMPRODUCT(MAX((Agenda!$E$5:$E$3004=A232)*(Agenda!$H$5:$H$3004="Realizado")*Agenda!$A$5:$A$3004))))</f>
        <v/>
      </c>
      <c r="I232" s="34">
        <f>IF(A232="","",IF(SUMPRODUCT(MIN(((Agenda!$E$5:$E$3004=A232)*((Agenda!$H$5:$H$3004="Agendado")+(Agenda!$H$5:$H$3004="Confirmado")))*Agenda!$A$5:$A$3004+(1-((Agenda!$E$5:$E$3004=A232)*((Agenda!$H$5:$H$3004="Agendado")+(Agenda!$H$5:$H$3004="Confirmado"))))*1E+10))&gt;=1E+10,"",SUMPRODUCT(MIN(((Agenda!$E$5:$E$3004=A232)*((Agenda!$H$5:$H$3004="Agendado")+(Agenda!$H$5:$H$3004="Confirmado")))*Agenda!$A$5:$A$3004+(1-((Agenda!$E$5:$E$3004=A232)*((Agenda!$H$5:$H$3004="Agendado")+(Agenda!$H$5:$H$3004="Confirmado"))))*1E+10))))</f>
        <v/>
      </c>
    </row>
    <row r="233">
      <c r="A233" s="37" t="n"/>
      <c r="B233" s="38" t="n"/>
      <c r="C233" s="38" t="n"/>
      <c r="D233" s="37" t="n"/>
      <c r="E233" s="37" t="n"/>
      <c r="F233" s="30">
        <f>IF(A233="","",COUNTIFS(Agenda!$E$5:$E$3004,A233,Agenda!$H$5:$H$3004,"Realizado"))</f>
        <v/>
      </c>
      <c r="G233" s="30">
        <f>IF(A233="","",COUNTIFS(Agenda!$E$5:$E$3004,A233,Agenda!$H$5:$H$3004,"Falta"))</f>
        <v/>
      </c>
      <c r="H233" s="34">
        <f>IF(A233="","",IF(SUMPRODUCT(MAX((Agenda!$E$5:$E$3004=A233)*(Agenda!$H$5:$H$3004="Realizado")*Agenda!$A$5:$A$3004))=0,"",SUMPRODUCT(MAX((Agenda!$E$5:$E$3004=A233)*(Agenda!$H$5:$H$3004="Realizado")*Agenda!$A$5:$A$3004))))</f>
        <v/>
      </c>
      <c r="I233" s="34">
        <f>IF(A233="","",IF(SUMPRODUCT(MIN(((Agenda!$E$5:$E$3004=A233)*((Agenda!$H$5:$H$3004="Agendado")+(Agenda!$H$5:$H$3004="Confirmado")))*Agenda!$A$5:$A$3004+(1-((Agenda!$E$5:$E$3004=A233)*((Agenda!$H$5:$H$3004="Agendado")+(Agenda!$H$5:$H$3004="Confirmado"))))*1E+10))&gt;=1E+10,"",SUMPRODUCT(MIN(((Agenda!$E$5:$E$3004=A233)*((Agenda!$H$5:$H$3004="Agendado")+(Agenda!$H$5:$H$3004="Confirmado")))*Agenda!$A$5:$A$3004+(1-((Agenda!$E$5:$E$3004=A233)*((Agenda!$H$5:$H$3004="Agendado")+(Agenda!$H$5:$H$3004="Confirmado"))))*1E+10))))</f>
        <v/>
      </c>
    </row>
    <row r="234">
      <c r="A234" s="37" t="n"/>
      <c r="B234" s="38" t="n"/>
      <c r="C234" s="38" t="n"/>
      <c r="D234" s="37" t="n"/>
      <c r="E234" s="37" t="n"/>
      <c r="F234" s="30">
        <f>IF(A234="","",COUNTIFS(Agenda!$E$5:$E$3004,A234,Agenda!$H$5:$H$3004,"Realizado"))</f>
        <v/>
      </c>
      <c r="G234" s="30">
        <f>IF(A234="","",COUNTIFS(Agenda!$E$5:$E$3004,A234,Agenda!$H$5:$H$3004,"Falta"))</f>
        <v/>
      </c>
      <c r="H234" s="34">
        <f>IF(A234="","",IF(SUMPRODUCT(MAX((Agenda!$E$5:$E$3004=A234)*(Agenda!$H$5:$H$3004="Realizado")*Agenda!$A$5:$A$3004))=0,"",SUMPRODUCT(MAX((Agenda!$E$5:$E$3004=A234)*(Agenda!$H$5:$H$3004="Realizado")*Agenda!$A$5:$A$3004))))</f>
        <v/>
      </c>
      <c r="I234" s="34">
        <f>IF(A234="","",IF(SUMPRODUCT(MIN(((Agenda!$E$5:$E$3004=A234)*((Agenda!$H$5:$H$3004="Agendado")+(Agenda!$H$5:$H$3004="Confirmado")))*Agenda!$A$5:$A$3004+(1-((Agenda!$E$5:$E$3004=A234)*((Agenda!$H$5:$H$3004="Agendado")+(Agenda!$H$5:$H$3004="Confirmado"))))*1E+10))&gt;=1E+10,"",SUMPRODUCT(MIN(((Agenda!$E$5:$E$3004=A234)*((Agenda!$H$5:$H$3004="Agendado")+(Agenda!$H$5:$H$3004="Confirmado")))*Agenda!$A$5:$A$3004+(1-((Agenda!$E$5:$E$3004=A234)*((Agenda!$H$5:$H$3004="Agendado")+(Agenda!$H$5:$H$3004="Confirmado"))))*1E+10))))</f>
        <v/>
      </c>
    </row>
    <row r="235">
      <c r="A235" s="37" t="n"/>
      <c r="B235" s="38" t="n"/>
      <c r="C235" s="38" t="n"/>
      <c r="D235" s="37" t="n"/>
      <c r="E235" s="37" t="n"/>
      <c r="F235" s="30">
        <f>IF(A235="","",COUNTIFS(Agenda!$E$5:$E$3004,A235,Agenda!$H$5:$H$3004,"Realizado"))</f>
        <v/>
      </c>
      <c r="G235" s="30">
        <f>IF(A235="","",COUNTIFS(Agenda!$E$5:$E$3004,A235,Agenda!$H$5:$H$3004,"Falta"))</f>
        <v/>
      </c>
      <c r="H235" s="34">
        <f>IF(A235="","",IF(SUMPRODUCT(MAX((Agenda!$E$5:$E$3004=A235)*(Agenda!$H$5:$H$3004="Realizado")*Agenda!$A$5:$A$3004))=0,"",SUMPRODUCT(MAX((Agenda!$E$5:$E$3004=A235)*(Agenda!$H$5:$H$3004="Realizado")*Agenda!$A$5:$A$3004))))</f>
        <v/>
      </c>
      <c r="I235" s="34">
        <f>IF(A235="","",IF(SUMPRODUCT(MIN(((Agenda!$E$5:$E$3004=A235)*((Agenda!$H$5:$H$3004="Agendado")+(Agenda!$H$5:$H$3004="Confirmado")))*Agenda!$A$5:$A$3004+(1-((Agenda!$E$5:$E$3004=A235)*((Agenda!$H$5:$H$3004="Agendado")+(Agenda!$H$5:$H$3004="Confirmado"))))*1E+10))&gt;=1E+10,"",SUMPRODUCT(MIN(((Agenda!$E$5:$E$3004=A235)*((Agenda!$H$5:$H$3004="Agendado")+(Agenda!$H$5:$H$3004="Confirmado")))*Agenda!$A$5:$A$3004+(1-((Agenda!$E$5:$E$3004=A235)*((Agenda!$H$5:$H$3004="Agendado")+(Agenda!$H$5:$H$3004="Confirmado"))))*1E+10))))</f>
        <v/>
      </c>
    </row>
    <row r="236">
      <c r="A236" s="37" t="n"/>
      <c r="B236" s="38" t="n"/>
      <c r="C236" s="38" t="n"/>
      <c r="D236" s="37" t="n"/>
      <c r="E236" s="37" t="n"/>
      <c r="F236" s="30">
        <f>IF(A236="","",COUNTIFS(Agenda!$E$5:$E$3004,A236,Agenda!$H$5:$H$3004,"Realizado"))</f>
        <v/>
      </c>
      <c r="G236" s="30">
        <f>IF(A236="","",COUNTIFS(Agenda!$E$5:$E$3004,A236,Agenda!$H$5:$H$3004,"Falta"))</f>
        <v/>
      </c>
      <c r="H236" s="34">
        <f>IF(A236="","",IF(SUMPRODUCT(MAX((Agenda!$E$5:$E$3004=A236)*(Agenda!$H$5:$H$3004="Realizado")*Agenda!$A$5:$A$3004))=0,"",SUMPRODUCT(MAX((Agenda!$E$5:$E$3004=A236)*(Agenda!$H$5:$H$3004="Realizado")*Agenda!$A$5:$A$3004))))</f>
        <v/>
      </c>
      <c r="I236" s="34">
        <f>IF(A236="","",IF(SUMPRODUCT(MIN(((Agenda!$E$5:$E$3004=A236)*((Agenda!$H$5:$H$3004="Agendado")+(Agenda!$H$5:$H$3004="Confirmado")))*Agenda!$A$5:$A$3004+(1-((Agenda!$E$5:$E$3004=A236)*((Agenda!$H$5:$H$3004="Agendado")+(Agenda!$H$5:$H$3004="Confirmado"))))*1E+10))&gt;=1E+10,"",SUMPRODUCT(MIN(((Agenda!$E$5:$E$3004=A236)*((Agenda!$H$5:$H$3004="Agendado")+(Agenda!$H$5:$H$3004="Confirmado")))*Agenda!$A$5:$A$3004+(1-((Agenda!$E$5:$E$3004=A236)*((Agenda!$H$5:$H$3004="Agendado")+(Agenda!$H$5:$H$3004="Confirmado"))))*1E+10))))</f>
        <v/>
      </c>
    </row>
    <row r="237">
      <c r="A237" s="37" t="n"/>
      <c r="B237" s="38" t="n"/>
      <c r="C237" s="38" t="n"/>
      <c r="D237" s="37" t="n"/>
      <c r="E237" s="37" t="n"/>
      <c r="F237" s="30">
        <f>IF(A237="","",COUNTIFS(Agenda!$E$5:$E$3004,A237,Agenda!$H$5:$H$3004,"Realizado"))</f>
        <v/>
      </c>
      <c r="G237" s="30">
        <f>IF(A237="","",COUNTIFS(Agenda!$E$5:$E$3004,A237,Agenda!$H$5:$H$3004,"Falta"))</f>
        <v/>
      </c>
      <c r="H237" s="34">
        <f>IF(A237="","",IF(SUMPRODUCT(MAX((Agenda!$E$5:$E$3004=A237)*(Agenda!$H$5:$H$3004="Realizado")*Agenda!$A$5:$A$3004))=0,"",SUMPRODUCT(MAX((Agenda!$E$5:$E$3004=A237)*(Agenda!$H$5:$H$3004="Realizado")*Agenda!$A$5:$A$3004))))</f>
        <v/>
      </c>
      <c r="I237" s="34">
        <f>IF(A237="","",IF(SUMPRODUCT(MIN(((Agenda!$E$5:$E$3004=A237)*((Agenda!$H$5:$H$3004="Agendado")+(Agenda!$H$5:$H$3004="Confirmado")))*Agenda!$A$5:$A$3004+(1-((Agenda!$E$5:$E$3004=A237)*((Agenda!$H$5:$H$3004="Agendado")+(Agenda!$H$5:$H$3004="Confirmado"))))*1E+10))&gt;=1E+10,"",SUMPRODUCT(MIN(((Agenda!$E$5:$E$3004=A237)*((Agenda!$H$5:$H$3004="Agendado")+(Agenda!$H$5:$H$3004="Confirmado")))*Agenda!$A$5:$A$3004+(1-((Agenda!$E$5:$E$3004=A237)*((Agenda!$H$5:$H$3004="Agendado")+(Agenda!$H$5:$H$3004="Confirmado"))))*1E+10))))</f>
        <v/>
      </c>
    </row>
    <row r="238">
      <c r="A238" s="37" t="n"/>
      <c r="B238" s="38" t="n"/>
      <c r="C238" s="38" t="n"/>
      <c r="D238" s="37" t="n"/>
      <c r="E238" s="37" t="n"/>
      <c r="F238" s="30">
        <f>IF(A238="","",COUNTIFS(Agenda!$E$5:$E$3004,A238,Agenda!$H$5:$H$3004,"Realizado"))</f>
        <v/>
      </c>
      <c r="G238" s="30">
        <f>IF(A238="","",COUNTIFS(Agenda!$E$5:$E$3004,A238,Agenda!$H$5:$H$3004,"Falta"))</f>
        <v/>
      </c>
      <c r="H238" s="34">
        <f>IF(A238="","",IF(SUMPRODUCT(MAX((Agenda!$E$5:$E$3004=A238)*(Agenda!$H$5:$H$3004="Realizado")*Agenda!$A$5:$A$3004))=0,"",SUMPRODUCT(MAX((Agenda!$E$5:$E$3004=A238)*(Agenda!$H$5:$H$3004="Realizado")*Agenda!$A$5:$A$3004))))</f>
        <v/>
      </c>
      <c r="I238" s="34">
        <f>IF(A238="","",IF(SUMPRODUCT(MIN(((Agenda!$E$5:$E$3004=A238)*((Agenda!$H$5:$H$3004="Agendado")+(Agenda!$H$5:$H$3004="Confirmado")))*Agenda!$A$5:$A$3004+(1-((Agenda!$E$5:$E$3004=A238)*((Agenda!$H$5:$H$3004="Agendado")+(Agenda!$H$5:$H$3004="Confirmado"))))*1E+10))&gt;=1E+10,"",SUMPRODUCT(MIN(((Agenda!$E$5:$E$3004=A238)*((Agenda!$H$5:$H$3004="Agendado")+(Agenda!$H$5:$H$3004="Confirmado")))*Agenda!$A$5:$A$3004+(1-((Agenda!$E$5:$E$3004=A238)*((Agenda!$H$5:$H$3004="Agendado")+(Agenda!$H$5:$H$3004="Confirmado"))))*1E+10))))</f>
        <v/>
      </c>
    </row>
    <row r="239">
      <c r="A239" s="37" t="n"/>
      <c r="B239" s="38" t="n"/>
      <c r="C239" s="38" t="n"/>
      <c r="D239" s="37" t="n"/>
      <c r="E239" s="37" t="n"/>
      <c r="F239" s="30">
        <f>IF(A239="","",COUNTIFS(Agenda!$E$5:$E$3004,A239,Agenda!$H$5:$H$3004,"Realizado"))</f>
        <v/>
      </c>
      <c r="G239" s="30">
        <f>IF(A239="","",COUNTIFS(Agenda!$E$5:$E$3004,A239,Agenda!$H$5:$H$3004,"Falta"))</f>
        <v/>
      </c>
      <c r="H239" s="34">
        <f>IF(A239="","",IF(SUMPRODUCT(MAX((Agenda!$E$5:$E$3004=A239)*(Agenda!$H$5:$H$3004="Realizado")*Agenda!$A$5:$A$3004))=0,"",SUMPRODUCT(MAX((Agenda!$E$5:$E$3004=A239)*(Agenda!$H$5:$H$3004="Realizado")*Agenda!$A$5:$A$3004))))</f>
        <v/>
      </c>
      <c r="I239" s="34">
        <f>IF(A239="","",IF(SUMPRODUCT(MIN(((Agenda!$E$5:$E$3004=A239)*((Agenda!$H$5:$H$3004="Agendado")+(Agenda!$H$5:$H$3004="Confirmado")))*Agenda!$A$5:$A$3004+(1-((Agenda!$E$5:$E$3004=A239)*((Agenda!$H$5:$H$3004="Agendado")+(Agenda!$H$5:$H$3004="Confirmado"))))*1E+10))&gt;=1E+10,"",SUMPRODUCT(MIN(((Agenda!$E$5:$E$3004=A239)*((Agenda!$H$5:$H$3004="Agendado")+(Agenda!$H$5:$H$3004="Confirmado")))*Agenda!$A$5:$A$3004+(1-((Agenda!$E$5:$E$3004=A239)*((Agenda!$H$5:$H$3004="Agendado")+(Agenda!$H$5:$H$3004="Confirmado"))))*1E+10))))</f>
        <v/>
      </c>
    </row>
    <row r="240">
      <c r="A240" s="37" t="n"/>
      <c r="B240" s="38" t="n"/>
      <c r="C240" s="38" t="n"/>
      <c r="D240" s="37" t="n"/>
      <c r="E240" s="37" t="n"/>
      <c r="F240" s="30">
        <f>IF(A240="","",COUNTIFS(Agenda!$E$5:$E$3004,A240,Agenda!$H$5:$H$3004,"Realizado"))</f>
        <v/>
      </c>
      <c r="G240" s="30">
        <f>IF(A240="","",COUNTIFS(Agenda!$E$5:$E$3004,A240,Agenda!$H$5:$H$3004,"Falta"))</f>
        <v/>
      </c>
      <c r="H240" s="34">
        <f>IF(A240="","",IF(SUMPRODUCT(MAX((Agenda!$E$5:$E$3004=A240)*(Agenda!$H$5:$H$3004="Realizado")*Agenda!$A$5:$A$3004))=0,"",SUMPRODUCT(MAX((Agenda!$E$5:$E$3004=A240)*(Agenda!$H$5:$H$3004="Realizado")*Agenda!$A$5:$A$3004))))</f>
        <v/>
      </c>
      <c r="I240" s="34">
        <f>IF(A240="","",IF(SUMPRODUCT(MIN(((Agenda!$E$5:$E$3004=A240)*((Agenda!$H$5:$H$3004="Agendado")+(Agenda!$H$5:$H$3004="Confirmado")))*Agenda!$A$5:$A$3004+(1-((Agenda!$E$5:$E$3004=A240)*((Agenda!$H$5:$H$3004="Agendado")+(Agenda!$H$5:$H$3004="Confirmado"))))*1E+10))&gt;=1E+10,"",SUMPRODUCT(MIN(((Agenda!$E$5:$E$3004=A240)*((Agenda!$H$5:$H$3004="Agendado")+(Agenda!$H$5:$H$3004="Confirmado")))*Agenda!$A$5:$A$3004+(1-((Agenda!$E$5:$E$3004=A240)*((Agenda!$H$5:$H$3004="Agendado")+(Agenda!$H$5:$H$3004="Confirmado"))))*1E+10))))</f>
        <v/>
      </c>
    </row>
    <row r="241">
      <c r="A241" s="37" t="n"/>
      <c r="B241" s="38" t="n"/>
      <c r="C241" s="38" t="n"/>
      <c r="D241" s="37" t="n"/>
      <c r="E241" s="37" t="n"/>
      <c r="F241" s="30">
        <f>IF(A241="","",COUNTIFS(Agenda!$E$5:$E$3004,A241,Agenda!$H$5:$H$3004,"Realizado"))</f>
        <v/>
      </c>
      <c r="G241" s="30">
        <f>IF(A241="","",COUNTIFS(Agenda!$E$5:$E$3004,A241,Agenda!$H$5:$H$3004,"Falta"))</f>
        <v/>
      </c>
      <c r="H241" s="34">
        <f>IF(A241="","",IF(SUMPRODUCT(MAX((Agenda!$E$5:$E$3004=A241)*(Agenda!$H$5:$H$3004="Realizado")*Agenda!$A$5:$A$3004))=0,"",SUMPRODUCT(MAX((Agenda!$E$5:$E$3004=A241)*(Agenda!$H$5:$H$3004="Realizado")*Agenda!$A$5:$A$3004))))</f>
        <v/>
      </c>
      <c r="I241" s="34">
        <f>IF(A241="","",IF(SUMPRODUCT(MIN(((Agenda!$E$5:$E$3004=A241)*((Agenda!$H$5:$H$3004="Agendado")+(Agenda!$H$5:$H$3004="Confirmado")))*Agenda!$A$5:$A$3004+(1-((Agenda!$E$5:$E$3004=A241)*((Agenda!$H$5:$H$3004="Agendado")+(Agenda!$H$5:$H$3004="Confirmado"))))*1E+10))&gt;=1E+10,"",SUMPRODUCT(MIN(((Agenda!$E$5:$E$3004=A241)*((Agenda!$H$5:$H$3004="Agendado")+(Agenda!$H$5:$H$3004="Confirmado")))*Agenda!$A$5:$A$3004+(1-((Agenda!$E$5:$E$3004=A241)*((Agenda!$H$5:$H$3004="Agendado")+(Agenda!$H$5:$H$3004="Confirmado"))))*1E+10))))</f>
        <v/>
      </c>
    </row>
    <row r="242">
      <c r="A242" s="37" t="n"/>
      <c r="B242" s="38" t="n"/>
      <c r="C242" s="38" t="n"/>
      <c r="D242" s="37" t="n"/>
      <c r="E242" s="37" t="n"/>
      <c r="F242" s="30">
        <f>IF(A242="","",COUNTIFS(Agenda!$E$5:$E$3004,A242,Agenda!$H$5:$H$3004,"Realizado"))</f>
        <v/>
      </c>
      <c r="G242" s="30">
        <f>IF(A242="","",COUNTIFS(Agenda!$E$5:$E$3004,A242,Agenda!$H$5:$H$3004,"Falta"))</f>
        <v/>
      </c>
      <c r="H242" s="34">
        <f>IF(A242="","",IF(SUMPRODUCT(MAX((Agenda!$E$5:$E$3004=A242)*(Agenda!$H$5:$H$3004="Realizado")*Agenda!$A$5:$A$3004))=0,"",SUMPRODUCT(MAX((Agenda!$E$5:$E$3004=A242)*(Agenda!$H$5:$H$3004="Realizado")*Agenda!$A$5:$A$3004))))</f>
        <v/>
      </c>
      <c r="I242" s="34">
        <f>IF(A242="","",IF(SUMPRODUCT(MIN(((Agenda!$E$5:$E$3004=A242)*((Agenda!$H$5:$H$3004="Agendado")+(Agenda!$H$5:$H$3004="Confirmado")))*Agenda!$A$5:$A$3004+(1-((Agenda!$E$5:$E$3004=A242)*((Agenda!$H$5:$H$3004="Agendado")+(Agenda!$H$5:$H$3004="Confirmado"))))*1E+10))&gt;=1E+10,"",SUMPRODUCT(MIN(((Agenda!$E$5:$E$3004=A242)*((Agenda!$H$5:$H$3004="Agendado")+(Agenda!$H$5:$H$3004="Confirmado")))*Agenda!$A$5:$A$3004+(1-((Agenda!$E$5:$E$3004=A242)*((Agenda!$H$5:$H$3004="Agendado")+(Agenda!$H$5:$H$3004="Confirmado"))))*1E+10))))</f>
        <v/>
      </c>
    </row>
    <row r="243">
      <c r="A243" s="37" t="n"/>
      <c r="B243" s="38" t="n"/>
      <c r="C243" s="38" t="n"/>
      <c r="D243" s="37" t="n"/>
      <c r="E243" s="37" t="n"/>
      <c r="F243" s="30">
        <f>IF(A243="","",COUNTIFS(Agenda!$E$5:$E$3004,A243,Agenda!$H$5:$H$3004,"Realizado"))</f>
        <v/>
      </c>
      <c r="G243" s="30">
        <f>IF(A243="","",COUNTIFS(Agenda!$E$5:$E$3004,A243,Agenda!$H$5:$H$3004,"Falta"))</f>
        <v/>
      </c>
      <c r="H243" s="34">
        <f>IF(A243="","",IF(SUMPRODUCT(MAX((Agenda!$E$5:$E$3004=A243)*(Agenda!$H$5:$H$3004="Realizado")*Agenda!$A$5:$A$3004))=0,"",SUMPRODUCT(MAX((Agenda!$E$5:$E$3004=A243)*(Agenda!$H$5:$H$3004="Realizado")*Agenda!$A$5:$A$3004))))</f>
        <v/>
      </c>
      <c r="I243" s="34">
        <f>IF(A243="","",IF(SUMPRODUCT(MIN(((Agenda!$E$5:$E$3004=A243)*((Agenda!$H$5:$H$3004="Agendado")+(Agenda!$H$5:$H$3004="Confirmado")))*Agenda!$A$5:$A$3004+(1-((Agenda!$E$5:$E$3004=A243)*((Agenda!$H$5:$H$3004="Agendado")+(Agenda!$H$5:$H$3004="Confirmado"))))*1E+10))&gt;=1E+10,"",SUMPRODUCT(MIN(((Agenda!$E$5:$E$3004=A243)*((Agenda!$H$5:$H$3004="Agendado")+(Agenda!$H$5:$H$3004="Confirmado")))*Agenda!$A$5:$A$3004+(1-((Agenda!$E$5:$E$3004=A243)*((Agenda!$H$5:$H$3004="Agendado")+(Agenda!$H$5:$H$3004="Confirmado"))))*1E+10))))</f>
        <v/>
      </c>
    </row>
    <row r="244">
      <c r="A244" s="37" t="n"/>
      <c r="B244" s="38" t="n"/>
      <c r="C244" s="38" t="n"/>
      <c r="D244" s="37" t="n"/>
      <c r="E244" s="37" t="n"/>
      <c r="F244" s="30">
        <f>IF(A244="","",COUNTIFS(Agenda!$E$5:$E$3004,A244,Agenda!$H$5:$H$3004,"Realizado"))</f>
        <v/>
      </c>
      <c r="G244" s="30">
        <f>IF(A244="","",COUNTIFS(Agenda!$E$5:$E$3004,A244,Agenda!$H$5:$H$3004,"Falta"))</f>
        <v/>
      </c>
      <c r="H244" s="34">
        <f>IF(A244="","",IF(SUMPRODUCT(MAX((Agenda!$E$5:$E$3004=A244)*(Agenda!$H$5:$H$3004="Realizado")*Agenda!$A$5:$A$3004))=0,"",SUMPRODUCT(MAX((Agenda!$E$5:$E$3004=A244)*(Agenda!$H$5:$H$3004="Realizado")*Agenda!$A$5:$A$3004))))</f>
        <v/>
      </c>
      <c r="I244" s="34">
        <f>IF(A244="","",IF(SUMPRODUCT(MIN(((Agenda!$E$5:$E$3004=A244)*((Agenda!$H$5:$H$3004="Agendado")+(Agenda!$H$5:$H$3004="Confirmado")))*Agenda!$A$5:$A$3004+(1-((Agenda!$E$5:$E$3004=A244)*((Agenda!$H$5:$H$3004="Agendado")+(Agenda!$H$5:$H$3004="Confirmado"))))*1E+10))&gt;=1E+10,"",SUMPRODUCT(MIN(((Agenda!$E$5:$E$3004=A244)*((Agenda!$H$5:$H$3004="Agendado")+(Agenda!$H$5:$H$3004="Confirmado")))*Agenda!$A$5:$A$3004+(1-((Agenda!$E$5:$E$3004=A244)*((Agenda!$H$5:$H$3004="Agendado")+(Agenda!$H$5:$H$3004="Confirmado"))))*1E+10))))</f>
        <v/>
      </c>
    </row>
    <row r="245">
      <c r="A245" s="37" t="n"/>
      <c r="B245" s="38" t="n"/>
      <c r="C245" s="38" t="n"/>
      <c r="D245" s="37" t="n"/>
      <c r="E245" s="37" t="n"/>
      <c r="F245" s="30">
        <f>IF(A245="","",COUNTIFS(Agenda!$E$5:$E$3004,A245,Agenda!$H$5:$H$3004,"Realizado"))</f>
        <v/>
      </c>
      <c r="G245" s="30">
        <f>IF(A245="","",COUNTIFS(Agenda!$E$5:$E$3004,A245,Agenda!$H$5:$H$3004,"Falta"))</f>
        <v/>
      </c>
      <c r="H245" s="34">
        <f>IF(A245="","",IF(SUMPRODUCT(MAX((Agenda!$E$5:$E$3004=A245)*(Agenda!$H$5:$H$3004="Realizado")*Agenda!$A$5:$A$3004))=0,"",SUMPRODUCT(MAX((Agenda!$E$5:$E$3004=A245)*(Agenda!$H$5:$H$3004="Realizado")*Agenda!$A$5:$A$3004))))</f>
        <v/>
      </c>
      <c r="I245" s="34">
        <f>IF(A245="","",IF(SUMPRODUCT(MIN(((Agenda!$E$5:$E$3004=A245)*((Agenda!$H$5:$H$3004="Agendado")+(Agenda!$H$5:$H$3004="Confirmado")))*Agenda!$A$5:$A$3004+(1-((Agenda!$E$5:$E$3004=A245)*((Agenda!$H$5:$H$3004="Agendado")+(Agenda!$H$5:$H$3004="Confirmado"))))*1E+10))&gt;=1E+10,"",SUMPRODUCT(MIN(((Agenda!$E$5:$E$3004=A245)*((Agenda!$H$5:$H$3004="Agendado")+(Agenda!$H$5:$H$3004="Confirmado")))*Agenda!$A$5:$A$3004+(1-((Agenda!$E$5:$E$3004=A245)*((Agenda!$H$5:$H$3004="Agendado")+(Agenda!$H$5:$H$3004="Confirmado"))))*1E+10))))</f>
        <v/>
      </c>
    </row>
    <row r="246">
      <c r="A246" s="37" t="n"/>
      <c r="B246" s="38" t="n"/>
      <c r="C246" s="38" t="n"/>
      <c r="D246" s="37" t="n"/>
      <c r="E246" s="37" t="n"/>
      <c r="F246" s="30">
        <f>IF(A246="","",COUNTIFS(Agenda!$E$5:$E$3004,A246,Agenda!$H$5:$H$3004,"Realizado"))</f>
        <v/>
      </c>
      <c r="G246" s="30">
        <f>IF(A246="","",COUNTIFS(Agenda!$E$5:$E$3004,A246,Agenda!$H$5:$H$3004,"Falta"))</f>
        <v/>
      </c>
      <c r="H246" s="34">
        <f>IF(A246="","",IF(SUMPRODUCT(MAX((Agenda!$E$5:$E$3004=A246)*(Agenda!$H$5:$H$3004="Realizado")*Agenda!$A$5:$A$3004))=0,"",SUMPRODUCT(MAX((Agenda!$E$5:$E$3004=A246)*(Agenda!$H$5:$H$3004="Realizado")*Agenda!$A$5:$A$3004))))</f>
        <v/>
      </c>
      <c r="I246" s="34">
        <f>IF(A246="","",IF(SUMPRODUCT(MIN(((Agenda!$E$5:$E$3004=A246)*((Agenda!$H$5:$H$3004="Agendado")+(Agenda!$H$5:$H$3004="Confirmado")))*Agenda!$A$5:$A$3004+(1-((Agenda!$E$5:$E$3004=A246)*((Agenda!$H$5:$H$3004="Agendado")+(Agenda!$H$5:$H$3004="Confirmado"))))*1E+10))&gt;=1E+10,"",SUMPRODUCT(MIN(((Agenda!$E$5:$E$3004=A246)*((Agenda!$H$5:$H$3004="Agendado")+(Agenda!$H$5:$H$3004="Confirmado")))*Agenda!$A$5:$A$3004+(1-((Agenda!$E$5:$E$3004=A246)*((Agenda!$H$5:$H$3004="Agendado")+(Agenda!$H$5:$H$3004="Confirmado"))))*1E+10))))</f>
        <v/>
      </c>
    </row>
    <row r="247">
      <c r="A247" s="37" t="n"/>
      <c r="B247" s="38" t="n"/>
      <c r="C247" s="38" t="n"/>
      <c r="D247" s="37" t="n"/>
      <c r="E247" s="37" t="n"/>
      <c r="F247" s="30">
        <f>IF(A247="","",COUNTIFS(Agenda!$E$5:$E$3004,A247,Agenda!$H$5:$H$3004,"Realizado"))</f>
        <v/>
      </c>
      <c r="G247" s="30">
        <f>IF(A247="","",COUNTIFS(Agenda!$E$5:$E$3004,A247,Agenda!$H$5:$H$3004,"Falta"))</f>
        <v/>
      </c>
      <c r="H247" s="34">
        <f>IF(A247="","",IF(SUMPRODUCT(MAX((Agenda!$E$5:$E$3004=A247)*(Agenda!$H$5:$H$3004="Realizado")*Agenda!$A$5:$A$3004))=0,"",SUMPRODUCT(MAX((Agenda!$E$5:$E$3004=A247)*(Agenda!$H$5:$H$3004="Realizado")*Agenda!$A$5:$A$3004))))</f>
        <v/>
      </c>
      <c r="I247" s="34">
        <f>IF(A247="","",IF(SUMPRODUCT(MIN(((Agenda!$E$5:$E$3004=A247)*((Agenda!$H$5:$H$3004="Agendado")+(Agenda!$H$5:$H$3004="Confirmado")))*Agenda!$A$5:$A$3004+(1-((Agenda!$E$5:$E$3004=A247)*((Agenda!$H$5:$H$3004="Agendado")+(Agenda!$H$5:$H$3004="Confirmado"))))*1E+10))&gt;=1E+10,"",SUMPRODUCT(MIN(((Agenda!$E$5:$E$3004=A247)*((Agenda!$H$5:$H$3004="Agendado")+(Agenda!$H$5:$H$3004="Confirmado")))*Agenda!$A$5:$A$3004+(1-((Agenda!$E$5:$E$3004=A247)*((Agenda!$H$5:$H$3004="Agendado")+(Agenda!$H$5:$H$3004="Confirmado"))))*1E+10))))</f>
        <v/>
      </c>
    </row>
    <row r="248">
      <c r="A248" s="37" t="n"/>
      <c r="B248" s="38" t="n"/>
      <c r="C248" s="38" t="n"/>
      <c r="D248" s="37" t="n"/>
      <c r="E248" s="37" t="n"/>
      <c r="F248" s="30">
        <f>IF(A248="","",COUNTIFS(Agenda!$E$5:$E$3004,A248,Agenda!$H$5:$H$3004,"Realizado"))</f>
        <v/>
      </c>
      <c r="G248" s="30">
        <f>IF(A248="","",COUNTIFS(Agenda!$E$5:$E$3004,A248,Agenda!$H$5:$H$3004,"Falta"))</f>
        <v/>
      </c>
      <c r="H248" s="34">
        <f>IF(A248="","",IF(SUMPRODUCT(MAX((Agenda!$E$5:$E$3004=A248)*(Agenda!$H$5:$H$3004="Realizado")*Agenda!$A$5:$A$3004))=0,"",SUMPRODUCT(MAX((Agenda!$E$5:$E$3004=A248)*(Agenda!$H$5:$H$3004="Realizado")*Agenda!$A$5:$A$3004))))</f>
        <v/>
      </c>
      <c r="I248" s="34">
        <f>IF(A248="","",IF(SUMPRODUCT(MIN(((Agenda!$E$5:$E$3004=A248)*((Agenda!$H$5:$H$3004="Agendado")+(Agenda!$H$5:$H$3004="Confirmado")))*Agenda!$A$5:$A$3004+(1-((Agenda!$E$5:$E$3004=A248)*((Agenda!$H$5:$H$3004="Agendado")+(Agenda!$H$5:$H$3004="Confirmado"))))*1E+10))&gt;=1E+10,"",SUMPRODUCT(MIN(((Agenda!$E$5:$E$3004=A248)*((Agenda!$H$5:$H$3004="Agendado")+(Agenda!$H$5:$H$3004="Confirmado")))*Agenda!$A$5:$A$3004+(1-((Agenda!$E$5:$E$3004=A248)*((Agenda!$H$5:$H$3004="Agendado")+(Agenda!$H$5:$H$3004="Confirmado"))))*1E+10))))</f>
        <v/>
      </c>
    </row>
    <row r="249">
      <c r="A249" s="37" t="n"/>
      <c r="B249" s="38" t="n"/>
      <c r="C249" s="38" t="n"/>
      <c r="D249" s="37" t="n"/>
      <c r="E249" s="37" t="n"/>
      <c r="F249" s="30">
        <f>IF(A249="","",COUNTIFS(Agenda!$E$5:$E$3004,A249,Agenda!$H$5:$H$3004,"Realizado"))</f>
        <v/>
      </c>
      <c r="G249" s="30">
        <f>IF(A249="","",COUNTIFS(Agenda!$E$5:$E$3004,A249,Agenda!$H$5:$H$3004,"Falta"))</f>
        <v/>
      </c>
      <c r="H249" s="34">
        <f>IF(A249="","",IF(SUMPRODUCT(MAX((Agenda!$E$5:$E$3004=A249)*(Agenda!$H$5:$H$3004="Realizado")*Agenda!$A$5:$A$3004))=0,"",SUMPRODUCT(MAX((Agenda!$E$5:$E$3004=A249)*(Agenda!$H$5:$H$3004="Realizado")*Agenda!$A$5:$A$3004))))</f>
        <v/>
      </c>
      <c r="I249" s="34">
        <f>IF(A249="","",IF(SUMPRODUCT(MIN(((Agenda!$E$5:$E$3004=A249)*((Agenda!$H$5:$H$3004="Agendado")+(Agenda!$H$5:$H$3004="Confirmado")))*Agenda!$A$5:$A$3004+(1-((Agenda!$E$5:$E$3004=A249)*((Agenda!$H$5:$H$3004="Agendado")+(Agenda!$H$5:$H$3004="Confirmado"))))*1E+10))&gt;=1E+10,"",SUMPRODUCT(MIN(((Agenda!$E$5:$E$3004=A249)*((Agenda!$H$5:$H$3004="Agendado")+(Agenda!$H$5:$H$3004="Confirmado")))*Agenda!$A$5:$A$3004+(1-((Agenda!$E$5:$E$3004=A249)*((Agenda!$H$5:$H$3004="Agendado")+(Agenda!$H$5:$H$3004="Confirmado"))))*1E+10))))</f>
        <v/>
      </c>
    </row>
    <row r="250">
      <c r="A250" s="37" t="n"/>
      <c r="B250" s="38" t="n"/>
      <c r="C250" s="38" t="n"/>
      <c r="D250" s="37" t="n"/>
      <c r="E250" s="37" t="n"/>
      <c r="F250" s="30">
        <f>IF(A250="","",COUNTIFS(Agenda!$E$5:$E$3004,A250,Agenda!$H$5:$H$3004,"Realizado"))</f>
        <v/>
      </c>
      <c r="G250" s="30">
        <f>IF(A250="","",COUNTIFS(Agenda!$E$5:$E$3004,A250,Agenda!$H$5:$H$3004,"Falta"))</f>
        <v/>
      </c>
      <c r="H250" s="34">
        <f>IF(A250="","",IF(SUMPRODUCT(MAX((Agenda!$E$5:$E$3004=A250)*(Agenda!$H$5:$H$3004="Realizado")*Agenda!$A$5:$A$3004))=0,"",SUMPRODUCT(MAX((Agenda!$E$5:$E$3004=A250)*(Agenda!$H$5:$H$3004="Realizado")*Agenda!$A$5:$A$3004))))</f>
        <v/>
      </c>
      <c r="I250" s="34">
        <f>IF(A250="","",IF(SUMPRODUCT(MIN(((Agenda!$E$5:$E$3004=A250)*((Agenda!$H$5:$H$3004="Agendado")+(Agenda!$H$5:$H$3004="Confirmado")))*Agenda!$A$5:$A$3004+(1-((Agenda!$E$5:$E$3004=A250)*((Agenda!$H$5:$H$3004="Agendado")+(Agenda!$H$5:$H$3004="Confirmado"))))*1E+10))&gt;=1E+10,"",SUMPRODUCT(MIN(((Agenda!$E$5:$E$3004=A250)*((Agenda!$H$5:$H$3004="Agendado")+(Agenda!$H$5:$H$3004="Confirmado")))*Agenda!$A$5:$A$3004+(1-((Agenda!$E$5:$E$3004=A250)*((Agenda!$H$5:$H$3004="Agendado")+(Agenda!$H$5:$H$3004="Confirmado"))))*1E+10))))</f>
        <v/>
      </c>
    </row>
    <row r="251">
      <c r="A251" s="37" t="n"/>
      <c r="B251" s="38" t="n"/>
      <c r="C251" s="38" t="n"/>
      <c r="D251" s="37" t="n"/>
      <c r="E251" s="37" t="n"/>
      <c r="F251" s="30">
        <f>IF(A251="","",COUNTIFS(Agenda!$E$5:$E$3004,A251,Agenda!$H$5:$H$3004,"Realizado"))</f>
        <v/>
      </c>
      <c r="G251" s="30">
        <f>IF(A251="","",COUNTIFS(Agenda!$E$5:$E$3004,A251,Agenda!$H$5:$H$3004,"Falta"))</f>
        <v/>
      </c>
      <c r="H251" s="34">
        <f>IF(A251="","",IF(SUMPRODUCT(MAX((Agenda!$E$5:$E$3004=A251)*(Agenda!$H$5:$H$3004="Realizado")*Agenda!$A$5:$A$3004))=0,"",SUMPRODUCT(MAX((Agenda!$E$5:$E$3004=A251)*(Agenda!$H$5:$H$3004="Realizado")*Agenda!$A$5:$A$3004))))</f>
        <v/>
      </c>
      <c r="I251" s="34">
        <f>IF(A251="","",IF(SUMPRODUCT(MIN(((Agenda!$E$5:$E$3004=A251)*((Agenda!$H$5:$H$3004="Agendado")+(Agenda!$H$5:$H$3004="Confirmado")))*Agenda!$A$5:$A$3004+(1-((Agenda!$E$5:$E$3004=A251)*((Agenda!$H$5:$H$3004="Agendado")+(Agenda!$H$5:$H$3004="Confirmado"))))*1E+10))&gt;=1E+10,"",SUMPRODUCT(MIN(((Agenda!$E$5:$E$3004=A251)*((Agenda!$H$5:$H$3004="Agendado")+(Agenda!$H$5:$H$3004="Confirmado")))*Agenda!$A$5:$A$3004+(1-((Agenda!$E$5:$E$3004=A251)*((Agenda!$H$5:$H$3004="Agendado")+(Agenda!$H$5:$H$3004="Confirmado"))))*1E+10))))</f>
        <v/>
      </c>
    </row>
    <row r="252">
      <c r="A252" s="37" t="n"/>
      <c r="B252" s="38" t="n"/>
      <c r="C252" s="38" t="n"/>
      <c r="D252" s="37" t="n"/>
      <c r="E252" s="37" t="n"/>
      <c r="F252" s="30">
        <f>IF(A252="","",COUNTIFS(Agenda!$E$5:$E$3004,A252,Agenda!$H$5:$H$3004,"Realizado"))</f>
        <v/>
      </c>
      <c r="G252" s="30">
        <f>IF(A252="","",COUNTIFS(Agenda!$E$5:$E$3004,A252,Agenda!$H$5:$H$3004,"Falta"))</f>
        <v/>
      </c>
      <c r="H252" s="34">
        <f>IF(A252="","",IF(SUMPRODUCT(MAX((Agenda!$E$5:$E$3004=A252)*(Agenda!$H$5:$H$3004="Realizado")*Agenda!$A$5:$A$3004))=0,"",SUMPRODUCT(MAX((Agenda!$E$5:$E$3004=A252)*(Agenda!$H$5:$H$3004="Realizado")*Agenda!$A$5:$A$3004))))</f>
        <v/>
      </c>
      <c r="I252" s="34">
        <f>IF(A252="","",IF(SUMPRODUCT(MIN(((Agenda!$E$5:$E$3004=A252)*((Agenda!$H$5:$H$3004="Agendado")+(Agenda!$H$5:$H$3004="Confirmado")))*Agenda!$A$5:$A$3004+(1-((Agenda!$E$5:$E$3004=A252)*((Agenda!$H$5:$H$3004="Agendado")+(Agenda!$H$5:$H$3004="Confirmado"))))*1E+10))&gt;=1E+10,"",SUMPRODUCT(MIN(((Agenda!$E$5:$E$3004=A252)*((Agenda!$H$5:$H$3004="Agendado")+(Agenda!$H$5:$H$3004="Confirmado")))*Agenda!$A$5:$A$3004+(1-((Agenda!$E$5:$E$3004=A252)*((Agenda!$H$5:$H$3004="Agendado")+(Agenda!$H$5:$H$3004="Confirmado"))))*1E+10))))</f>
        <v/>
      </c>
    </row>
    <row r="253">
      <c r="A253" s="37" t="n"/>
      <c r="B253" s="38" t="n"/>
      <c r="C253" s="38" t="n"/>
      <c r="D253" s="37" t="n"/>
      <c r="E253" s="37" t="n"/>
      <c r="F253" s="30">
        <f>IF(A253="","",COUNTIFS(Agenda!$E$5:$E$3004,A253,Agenda!$H$5:$H$3004,"Realizado"))</f>
        <v/>
      </c>
      <c r="G253" s="30">
        <f>IF(A253="","",COUNTIFS(Agenda!$E$5:$E$3004,A253,Agenda!$H$5:$H$3004,"Falta"))</f>
        <v/>
      </c>
      <c r="H253" s="34">
        <f>IF(A253="","",IF(SUMPRODUCT(MAX((Agenda!$E$5:$E$3004=A253)*(Agenda!$H$5:$H$3004="Realizado")*Agenda!$A$5:$A$3004))=0,"",SUMPRODUCT(MAX((Agenda!$E$5:$E$3004=A253)*(Agenda!$H$5:$H$3004="Realizado")*Agenda!$A$5:$A$3004))))</f>
        <v/>
      </c>
      <c r="I253" s="34">
        <f>IF(A253="","",IF(SUMPRODUCT(MIN(((Agenda!$E$5:$E$3004=A253)*((Agenda!$H$5:$H$3004="Agendado")+(Agenda!$H$5:$H$3004="Confirmado")))*Agenda!$A$5:$A$3004+(1-((Agenda!$E$5:$E$3004=A253)*((Agenda!$H$5:$H$3004="Agendado")+(Agenda!$H$5:$H$3004="Confirmado"))))*1E+10))&gt;=1E+10,"",SUMPRODUCT(MIN(((Agenda!$E$5:$E$3004=A253)*((Agenda!$H$5:$H$3004="Agendado")+(Agenda!$H$5:$H$3004="Confirmado")))*Agenda!$A$5:$A$3004+(1-((Agenda!$E$5:$E$3004=A253)*((Agenda!$H$5:$H$3004="Agendado")+(Agenda!$H$5:$H$3004="Confirmado"))))*1E+10))))</f>
        <v/>
      </c>
    </row>
    <row r="254">
      <c r="A254" s="37" t="n"/>
      <c r="B254" s="38" t="n"/>
      <c r="C254" s="38" t="n"/>
      <c r="D254" s="37" t="n"/>
      <c r="E254" s="37" t="n"/>
      <c r="F254" s="30">
        <f>IF(A254="","",COUNTIFS(Agenda!$E$5:$E$3004,A254,Agenda!$H$5:$H$3004,"Realizado"))</f>
        <v/>
      </c>
      <c r="G254" s="30">
        <f>IF(A254="","",COUNTIFS(Agenda!$E$5:$E$3004,A254,Agenda!$H$5:$H$3004,"Falta"))</f>
        <v/>
      </c>
      <c r="H254" s="34">
        <f>IF(A254="","",IF(SUMPRODUCT(MAX((Agenda!$E$5:$E$3004=A254)*(Agenda!$H$5:$H$3004="Realizado")*Agenda!$A$5:$A$3004))=0,"",SUMPRODUCT(MAX((Agenda!$E$5:$E$3004=A254)*(Agenda!$H$5:$H$3004="Realizado")*Agenda!$A$5:$A$3004))))</f>
        <v/>
      </c>
      <c r="I254" s="34">
        <f>IF(A254="","",IF(SUMPRODUCT(MIN(((Agenda!$E$5:$E$3004=A254)*((Agenda!$H$5:$H$3004="Agendado")+(Agenda!$H$5:$H$3004="Confirmado")))*Agenda!$A$5:$A$3004+(1-((Agenda!$E$5:$E$3004=A254)*((Agenda!$H$5:$H$3004="Agendado")+(Agenda!$H$5:$H$3004="Confirmado"))))*1E+10))&gt;=1E+10,"",SUMPRODUCT(MIN(((Agenda!$E$5:$E$3004=A254)*((Agenda!$H$5:$H$3004="Agendado")+(Agenda!$H$5:$H$3004="Confirmado")))*Agenda!$A$5:$A$3004+(1-((Agenda!$E$5:$E$3004=A254)*((Agenda!$H$5:$H$3004="Agendado")+(Agenda!$H$5:$H$3004="Confirmado"))))*1E+10))))</f>
        <v/>
      </c>
    </row>
    <row r="255">
      <c r="A255" s="37" t="n"/>
      <c r="B255" s="38" t="n"/>
      <c r="C255" s="38" t="n"/>
      <c r="D255" s="37" t="n"/>
      <c r="E255" s="37" t="n"/>
      <c r="F255" s="30">
        <f>IF(A255="","",COUNTIFS(Agenda!$E$5:$E$3004,A255,Agenda!$H$5:$H$3004,"Realizado"))</f>
        <v/>
      </c>
      <c r="G255" s="30">
        <f>IF(A255="","",COUNTIFS(Agenda!$E$5:$E$3004,A255,Agenda!$H$5:$H$3004,"Falta"))</f>
        <v/>
      </c>
      <c r="H255" s="34">
        <f>IF(A255="","",IF(SUMPRODUCT(MAX((Agenda!$E$5:$E$3004=A255)*(Agenda!$H$5:$H$3004="Realizado")*Agenda!$A$5:$A$3004))=0,"",SUMPRODUCT(MAX((Agenda!$E$5:$E$3004=A255)*(Agenda!$H$5:$H$3004="Realizado")*Agenda!$A$5:$A$3004))))</f>
        <v/>
      </c>
      <c r="I255" s="34">
        <f>IF(A255="","",IF(SUMPRODUCT(MIN(((Agenda!$E$5:$E$3004=A255)*((Agenda!$H$5:$H$3004="Agendado")+(Agenda!$H$5:$H$3004="Confirmado")))*Agenda!$A$5:$A$3004+(1-((Agenda!$E$5:$E$3004=A255)*((Agenda!$H$5:$H$3004="Agendado")+(Agenda!$H$5:$H$3004="Confirmado"))))*1E+10))&gt;=1E+10,"",SUMPRODUCT(MIN(((Agenda!$E$5:$E$3004=A255)*((Agenda!$H$5:$H$3004="Agendado")+(Agenda!$H$5:$H$3004="Confirmado")))*Agenda!$A$5:$A$3004+(1-((Agenda!$E$5:$E$3004=A255)*((Agenda!$H$5:$H$3004="Agendado")+(Agenda!$H$5:$H$3004="Confirmado"))))*1E+10))))</f>
        <v/>
      </c>
    </row>
    <row r="256">
      <c r="A256" s="37" t="n"/>
      <c r="B256" s="38" t="n"/>
      <c r="C256" s="38" t="n"/>
      <c r="D256" s="37" t="n"/>
      <c r="E256" s="37" t="n"/>
      <c r="F256" s="30">
        <f>IF(A256="","",COUNTIFS(Agenda!$E$5:$E$3004,A256,Agenda!$H$5:$H$3004,"Realizado"))</f>
        <v/>
      </c>
      <c r="G256" s="30">
        <f>IF(A256="","",COUNTIFS(Agenda!$E$5:$E$3004,A256,Agenda!$H$5:$H$3004,"Falta"))</f>
        <v/>
      </c>
      <c r="H256" s="34">
        <f>IF(A256="","",IF(SUMPRODUCT(MAX((Agenda!$E$5:$E$3004=A256)*(Agenda!$H$5:$H$3004="Realizado")*Agenda!$A$5:$A$3004))=0,"",SUMPRODUCT(MAX((Agenda!$E$5:$E$3004=A256)*(Agenda!$H$5:$H$3004="Realizado")*Agenda!$A$5:$A$3004))))</f>
        <v/>
      </c>
      <c r="I256" s="34">
        <f>IF(A256="","",IF(SUMPRODUCT(MIN(((Agenda!$E$5:$E$3004=A256)*((Agenda!$H$5:$H$3004="Agendado")+(Agenda!$H$5:$H$3004="Confirmado")))*Agenda!$A$5:$A$3004+(1-((Agenda!$E$5:$E$3004=A256)*((Agenda!$H$5:$H$3004="Agendado")+(Agenda!$H$5:$H$3004="Confirmado"))))*1E+10))&gt;=1E+10,"",SUMPRODUCT(MIN(((Agenda!$E$5:$E$3004=A256)*((Agenda!$H$5:$H$3004="Agendado")+(Agenda!$H$5:$H$3004="Confirmado")))*Agenda!$A$5:$A$3004+(1-((Agenda!$E$5:$E$3004=A256)*((Agenda!$H$5:$H$3004="Agendado")+(Agenda!$H$5:$H$3004="Confirmado"))))*1E+10))))</f>
        <v/>
      </c>
    </row>
    <row r="257">
      <c r="A257" s="37" t="n"/>
      <c r="B257" s="38" t="n"/>
      <c r="C257" s="38" t="n"/>
      <c r="D257" s="37" t="n"/>
      <c r="E257" s="37" t="n"/>
      <c r="F257" s="30">
        <f>IF(A257="","",COUNTIFS(Agenda!$E$5:$E$3004,A257,Agenda!$H$5:$H$3004,"Realizado"))</f>
        <v/>
      </c>
      <c r="G257" s="30">
        <f>IF(A257="","",COUNTIFS(Agenda!$E$5:$E$3004,A257,Agenda!$H$5:$H$3004,"Falta"))</f>
        <v/>
      </c>
      <c r="H257" s="34">
        <f>IF(A257="","",IF(SUMPRODUCT(MAX((Agenda!$E$5:$E$3004=A257)*(Agenda!$H$5:$H$3004="Realizado")*Agenda!$A$5:$A$3004))=0,"",SUMPRODUCT(MAX((Agenda!$E$5:$E$3004=A257)*(Agenda!$H$5:$H$3004="Realizado")*Agenda!$A$5:$A$3004))))</f>
        <v/>
      </c>
      <c r="I257" s="34">
        <f>IF(A257="","",IF(SUMPRODUCT(MIN(((Agenda!$E$5:$E$3004=A257)*((Agenda!$H$5:$H$3004="Agendado")+(Agenda!$H$5:$H$3004="Confirmado")))*Agenda!$A$5:$A$3004+(1-((Agenda!$E$5:$E$3004=A257)*((Agenda!$H$5:$H$3004="Agendado")+(Agenda!$H$5:$H$3004="Confirmado"))))*1E+10))&gt;=1E+10,"",SUMPRODUCT(MIN(((Agenda!$E$5:$E$3004=A257)*((Agenda!$H$5:$H$3004="Agendado")+(Agenda!$H$5:$H$3004="Confirmado")))*Agenda!$A$5:$A$3004+(1-((Agenda!$E$5:$E$3004=A257)*((Agenda!$H$5:$H$3004="Agendado")+(Agenda!$H$5:$H$3004="Confirmado"))))*1E+10))))</f>
        <v/>
      </c>
    </row>
    <row r="258">
      <c r="A258" s="37" t="n"/>
      <c r="B258" s="38" t="n"/>
      <c r="C258" s="38" t="n"/>
      <c r="D258" s="37" t="n"/>
      <c r="E258" s="37" t="n"/>
      <c r="F258" s="30">
        <f>IF(A258="","",COUNTIFS(Agenda!$E$5:$E$3004,A258,Agenda!$H$5:$H$3004,"Realizado"))</f>
        <v/>
      </c>
      <c r="G258" s="30">
        <f>IF(A258="","",COUNTIFS(Agenda!$E$5:$E$3004,A258,Agenda!$H$5:$H$3004,"Falta"))</f>
        <v/>
      </c>
      <c r="H258" s="34">
        <f>IF(A258="","",IF(SUMPRODUCT(MAX((Agenda!$E$5:$E$3004=A258)*(Agenda!$H$5:$H$3004="Realizado")*Agenda!$A$5:$A$3004))=0,"",SUMPRODUCT(MAX((Agenda!$E$5:$E$3004=A258)*(Agenda!$H$5:$H$3004="Realizado")*Agenda!$A$5:$A$3004))))</f>
        <v/>
      </c>
      <c r="I258" s="34">
        <f>IF(A258="","",IF(SUMPRODUCT(MIN(((Agenda!$E$5:$E$3004=A258)*((Agenda!$H$5:$H$3004="Agendado")+(Agenda!$H$5:$H$3004="Confirmado")))*Agenda!$A$5:$A$3004+(1-((Agenda!$E$5:$E$3004=A258)*((Agenda!$H$5:$H$3004="Agendado")+(Agenda!$H$5:$H$3004="Confirmado"))))*1E+10))&gt;=1E+10,"",SUMPRODUCT(MIN(((Agenda!$E$5:$E$3004=A258)*((Agenda!$H$5:$H$3004="Agendado")+(Agenda!$H$5:$H$3004="Confirmado")))*Agenda!$A$5:$A$3004+(1-((Agenda!$E$5:$E$3004=A258)*((Agenda!$H$5:$H$3004="Agendado")+(Agenda!$H$5:$H$3004="Confirmado"))))*1E+10))))</f>
        <v/>
      </c>
    </row>
    <row r="259">
      <c r="A259" s="37" t="n"/>
      <c r="B259" s="38" t="n"/>
      <c r="C259" s="38" t="n"/>
      <c r="D259" s="37" t="n"/>
      <c r="E259" s="37" t="n"/>
      <c r="F259" s="30">
        <f>IF(A259="","",COUNTIFS(Agenda!$E$5:$E$3004,A259,Agenda!$H$5:$H$3004,"Realizado"))</f>
        <v/>
      </c>
      <c r="G259" s="30">
        <f>IF(A259="","",COUNTIFS(Agenda!$E$5:$E$3004,A259,Agenda!$H$5:$H$3004,"Falta"))</f>
        <v/>
      </c>
      <c r="H259" s="34">
        <f>IF(A259="","",IF(SUMPRODUCT(MAX((Agenda!$E$5:$E$3004=A259)*(Agenda!$H$5:$H$3004="Realizado")*Agenda!$A$5:$A$3004))=0,"",SUMPRODUCT(MAX((Agenda!$E$5:$E$3004=A259)*(Agenda!$H$5:$H$3004="Realizado")*Agenda!$A$5:$A$3004))))</f>
        <v/>
      </c>
      <c r="I259" s="34">
        <f>IF(A259="","",IF(SUMPRODUCT(MIN(((Agenda!$E$5:$E$3004=A259)*((Agenda!$H$5:$H$3004="Agendado")+(Agenda!$H$5:$H$3004="Confirmado")))*Agenda!$A$5:$A$3004+(1-((Agenda!$E$5:$E$3004=A259)*((Agenda!$H$5:$H$3004="Agendado")+(Agenda!$H$5:$H$3004="Confirmado"))))*1E+10))&gt;=1E+10,"",SUMPRODUCT(MIN(((Agenda!$E$5:$E$3004=A259)*((Agenda!$H$5:$H$3004="Agendado")+(Agenda!$H$5:$H$3004="Confirmado")))*Agenda!$A$5:$A$3004+(1-((Agenda!$E$5:$E$3004=A259)*((Agenda!$H$5:$H$3004="Agendado")+(Agenda!$H$5:$H$3004="Confirmado"))))*1E+10))))</f>
        <v/>
      </c>
    </row>
    <row r="260">
      <c r="A260" s="37" t="n"/>
      <c r="B260" s="38" t="n"/>
      <c r="C260" s="38" t="n"/>
      <c r="D260" s="37" t="n"/>
      <c r="E260" s="37" t="n"/>
      <c r="F260" s="30">
        <f>IF(A260="","",COUNTIFS(Agenda!$E$5:$E$3004,A260,Agenda!$H$5:$H$3004,"Realizado"))</f>
        <v/>
      </c>
      <c r="G260" s="30">
        <f>IF(A260="","",COUNTIFS(Agenda!$E$5:$E$3004,A260,Agenda!$H$5:$H$3004,"Falta"))</f>
        <v/>
      </c>
      <c r="H260" s="34">
        <f>IF(A260="","",IF(SUMPRODUCT(MAX((Agenda!$E$5:$E$3004=A260)*(Agenda!$H$5:$H$3004="Realizado")*Agenda!$A$5:$A$3004))=0,"",SUMPRODUCT(MAX((Agenda!$E$5:$E$3004=A260)*(Agenda!$H$5:$H$3004="Realizado")*Agenda!$A$5:$A$3004))))</f>
        <v/>
      </c>
      <c r="I260" s="34">
        <f>IF(A260="","",IF(SUMPRODUCT(MIN(((Agenda!$E$5:$E$3004=A260)*((Agenda!$H$5:$H$3004="Agendado")+(Agenda!$H$5:$H$3004="Confirmado")))*Agenda!$A$5:$A$3004+(1-((Agenda!$E$5:$E$3004=A260)*((Agenda!$H$5:$H$3004="Agendado")+(Agenda!$H$5:$H$3004="Confirmado"))))*1E+10))&gt;=1E+10,"",SUMPRODUCT(MIN(((Agenda!$E$5:$E$3004=A260)*((Agenda!$H$5:$H$3004="Agendado")+(Agenda!$H$5:$H$3004="Confirmado")))*Agenda!$A$5:$A$3004+(1-((Agenda!$E$5:$E$3004=A260)*((Agenda!$H$5:$H$3004="Agendado")+(Agenda!$H$5:$H$3004="Confirmado"))))*1E+10))))</f>
        <v/>
      </c>
    </row>
    <row r="261">
      <c r="A261" s="37" t="n"/>
      <c r="B261" s="38" t="n"/>
      <c r="C261" s="38" t="n"/>
      <c r="D261" s="37" t="n"/>
      <c r="E261" s="37" t="n"/>
      <c r="F261" s="30">
        <f>IF(A261="","",COUNTIFS(Agenda!$E$5:$E$3004,A261,Agenda!$H$5:$H$3004,"Realizado"))</f>
        <v/>
      </c>
      <c r="G261" s="30">
        <f>IF(A261="","",COUNTIFS(Agenda!$E$5:$E$3004,A261,Agenda!$H$5:$H$3004,"Falta"))</f>
        <v/>
      </c>
      <c r="H261" s="34">
        <f>IF(A261="","",IF(SUMPRODUCT(MAX((Agenda!$E$5:$E$3004=A261)*(Agenda!$H$5:$H$3004="Realizado")*Agenda!$A$5:$A$3004))=0,"",SUMPRODUCT(MAX((Agenda!$E$5:$E$3004=A261)*(Agenda!$H$5:$H$3004="Realizado")*Agenda!$A$5:$A$3004))))</f>
        <v/>
      </c>
      <c r="I261" s="34">
        <f>IF(A261="","",IF(SUMPRODUCT(MIN(((Agenda!$E$5:$E$3004=A261)*((Agenda!$H$5:$H$3004="Agendado")+(Agenda!$H$5:$H$3004="Confirmado")))*Agenda!$A$5:$A$3004+(1-((Agenda!$E$5:$E$3004=A261)*((Agenda!$H$5:$H$3004="Agendado")+(Agenda!$H$5:$H$3004="Confirmado"))))*1E+10))&gt;=1E+10,"",SUMPRODUCT(MIN(((Agenda!$E$5:$E$3004=A261)*((Agenda!$H$5:$H$3004="Agendado")+(Agenda!$H$5:$H$3004="Confirmado")))*Agenda!$A$5:$A$3004+(1-((Agenda!$E$5:$E$3004=A261)*((Agenda!$H$5:$H$3004="Agendado")+(Agenda!$H$5:$H$3004="Confirmado"))))*1E+10))))</f>
        <v/>
      </c>
    </row>
    <row r="262">
      <c r="A262" s="37" t="n"/>
      <c r="B262" s="38" t="n"/>
      <c r="C262" s="38" t="n"/>
      <c r="D262" s="37" t="n"/>
      <c r="E262" s="37" t="n"/>
      <c r="F262" s="30">
        <f>IF(A262="","",COUNTIFS(Agenda!$E$5:$E$3004,A262,Agenda!$H$5:$H$3004,"Realizado"))</f>
        <v/>
      </c>
      <c r="G262" s="30">
        <f>IF(A262="","",COUNTIFS(Agenda!$E$5:$E$3004,A262,Agenda!$H$5:$H$3004,"Falta"))</f>
        <v/>
      </c>
      <c r="H262" s="34">
        <f>IF(A262="","",IF(SUMPRODUCT(MAX((Agenda!$E$5:$E$3004=A262)*(Agenda!$H$5:$H$3004="Realizado")*Agenda!$A$5:$A$3004))=0,"",SUMPRODUCT(MAX((Agenda!$E$5:$E$3004=A262)*(Agenda!$H$5:$H$3004="Realizado")*Agenda!$A$5:$A$3004))))</f>
        <v/>
      </c>
      <c r="I262" s="34">
        <f>IF(A262="","",IF(SUMPRODUCT(MIN(((Agenda!$E$5:$E$3004=A262)*((Agenda!$H$5:$H$3004="Agendado")+(Agenda!$H$5:$H$3004="Confirmado")))*Agenda!$A$5:$A$3004+(1-((Agenda!$E$5:$E$3004=A262)*((Agenda!$H$5:$H$3004="Agendado")+(Agenda!$H$5:$H$3004="Confirmado"))))*1E+10))&gt;=1E+10,"",SUMPRODUCT(MIN(((Agenda!$E$5:$E$3004=A262)*((Agenda!$H$5:$H$3004="Agendado")+(Agenda!$H$5:$H$3004="Confirmado")))*Agenda!$A$5:$A$3004+(1-((Agenda!$E$5:$E$3004=A262)*((Agenda!$H$5:$H$3004="Agendado")+(Agenda!$H$5:$H$3004="Confirmado"))))*1E+10))))</f>
        <v/>
      </c>
    </row>
    <row r="263">
      <c r="A263" s="37" t="n"/>
      <c r="B263" s="38" t="n"/>
      <c r="C263" s="38" t="n"/>
      <c r="D263" s="37" t="n"/>
      <c r="E263" s="37" t="n"/>
      <c r="F263" s="30">
        <f>IF(A263="","",COUNTIFS(Agenda!$E$5:$E$3004,A263,Agenda!$H$5:$H$3004,"Realizado"))</f>
        <v/>
      </c>
      <c r="G263" s="30">
        <f>IF(A263="","",COUNTIFS(Agenda!$E$5:$E$3004,A263,Agenda!$H$5:$H$3004,"Falta"))</f>
        <v/>
      </c>
      <c r="H263" s="34">
        <f>IF(A263="","",IF(SUMPRODUCT(MAX((Agenda!$E$5:$E$3004=A263)*(Agenda!$H$5:$H$3004="Realizado")*Agenda!$A$5:$A$3004))=0,"",SUMPRODUCT(MAX((Agenda!$E$5:$E$3004=A263)*(Agenda!$H$5:$H$3004="Realizado")*Agenda!$A$5:$A$3004))))</f>
        <v/>
      </c>
      <c r="I263" s="34">
        <f>IF(A263="","",IF(SUMPRODUCT(MIN(((Agenda!$E$5:$E$3004=A263)*((Agenda!$H$5:$H$3004="Agendado")+(Agenda!$H$5:$H$3004="Confirmado")))*Agenda!$A$5:$A$3004+(1-((Agenda!$E$5:$E$3004=A263)*((Agenda!$H$5:$H$3004="Agendado")+(Agenda!$H$5:$H$3004="Confirmado"))))*1E+10))&gt;=1E+10,"",SUMPRODUCT(MIN(((Agenda!$E$5:$E$3004=A263)*((Agenda!$H$5:$H$3004="Agendado")+(Agenda!$H$5:$H$3004="Confirmado")))*Agenda!$A$5:$A$3004+(1-((Agenda!$E$5:$E$3004=A263)*((Agenda!$H$5:$H$3004="Agendado")+(Agenda!$H$5:$H$3004="Confirmado"))))*1E+10))))</f>
        <v/>
      </c>
    </row>
    <row r="264">
      <c r="A264" s="37" t="n"/>
      <c r="B264" s="38" t="n"/>
      <c r="C264" s="38" t="n"/>
      <c r="D264" s="37" t="n"/>
      <c r="E264" s="37" t="n"/>
      <c r="F264" s="30">
        <f>IF(A264="","",COUNTIFS(Agenda!$E$5:$E$3004,A264,Agenda!$H$5:$H$3004,"Realizado"))</f>
        <v/>
      </c>
      <c r="G264" s="30">
        <f>IF(A264="","",COUNTIFS(Agenda!$E$5:$E$3004,A264,Agenda!$H$5:$H$3004,"Falta"))</f>
        <v/>
      </c>
      <c r="H264" s="34">
        <f>IF(A264="","",IF(SUMPRODUCT(MAX((Agenda!$E$5:$E$3004=A264)*(Agenda!$H$5:$H$3004="Realizado")*Agenda!$A$5:$A$3004))=0,"",SUMPRODUCT(MAX((Agenda!$E$5:$E$3004=A264)*(Agenda!$H$5:$H$3004="Realizado")*Agenda!$A$5:$A$3004))))</f>
        <v/>
      </c>
      <c r="I264" s="34">
        <f>IF(A264="","",IF(SUMPRODUCT(MIN(((Agenda!$E$5:$E$3004=A264)*((Agenda!$H$5:$H$3004="Agendado")+(Agenda!$H$5:$H$3004="Confirmado")))*Agenda!$A$5:$A$3004+(1-((Agenda!$E$5:$E$3004=A264)*((Agenda!$H$5:$H$3004="Agendado")+(Agenda!$H$5:$H$3004="Confirmado"))))*1E+10))&gt;=1E+10,"",SUMPRODUCT(MIN(((Agenda!$E$5:$E$3004=A264)*((Agenda!$H$5:$H$3004="Agendado")+(Agenda!$H$5:$H$3004="Confirmado")))*Agenda!$A$5:$A$3004+(1-((Agenda!$E$5:$E$3004=A264)*((Agenda!$H$5:$H$3004="Agendado")+(Agenda!$H$5:$H$3004="Confirmado"))))*1E+10))))</f>
        <v/>
      </c>
    </row>
    <row r="265">
      <c r="A265" s="37" t="n"/>
      <c r="B265" s="38" t="n"/>
      <c r="C265" s="38" t="n"/>
      <c r="D265" s="37" t="n"/>
      <c r="E265" s="37" t="n"/>
      <c r="F265" s="30">
        <f>IF(A265="","",COUNTIFS(Agenda!$E$5:$E$3004,A265,Agenda!$H$5:$H$3004,"Realizado"))</f>
        <v/>
      </c>
      <c r="G265" s="30">
        <f>IF(A265="","",COUNTIFS(Agenda!$E$5:$E$3004,A265,Agenda!$H$5:$H$3004,"Falta"))</f>
        <v/>
      </c>
      <c r="H265" s="34">
        <f>IF(A265="","",IF(SUMPRODUCT(MAX((Agenda!$E$5:$E$3004=A265)*(Agenda!$H$5:$H$3004="Realizado")*Agenda!$A$5:$A$3004))=0,"",SUMPRODUCT(MAX((Agenda!$E$5:$E$3004=A265)*(Agenda!$H$5:$H$3004="Realizado")*Agenda!$A$5:$A$3004))))</f>
        <v/>
      </c>
      <c r="I265" s="34">
        <f>IF(A265="","",IF(SUMPRODUCT(MIN(((Agenda!$E$5:$E$3004=A265)*((Agenda!$H$5:$H$3004="Agendado")+(Agenda!$H$5:$H$3004="Confirmado")))*Agenda!$A$5:$A$3004+(1-((Agenda!$E$5:$E$3004=A265)*((Agenda!$H$5:$H$3004="Agendado")+(Agenda!$H$5:$H$3004="Confirmado"))))*1E+10))&gt;=1E+10,"",SUMPRODUCT(MIN(((Agenda!$E$5:$E$3004=A265)*((Agenda!$H$5:$H$3004="Agendado")+(Agenda!$H$5:$H$3004="Confirmado")))*Agenda!$A$5:$A$3004+(1-((Agenda!$E$5:$E$3004=A265)*((Agenda!$H$5:$H$3004="Agendado")+(Agenda!$H$5:$H$3004="Confirmado"))))*1E+10))))</f>
        <v/>
      </c>
    </row>
    <row r="266">
      <c r="A266" s="37" t="n"/>
      <c r="B266" s="38" t="n"/>
      <c r="C266" s="38" t="n"/>
      <c r="D266" s="37" t="n"/>
      <c r="E266" s="37" t="n"/>
      <c r="F266" s="30">
        <f>IF(A266="","",COUNTIFS(Agenda!$E$5:$E$3004,A266,Agenda!$H$5:$H$3004,"Realizado"))</f>
        <v/>
      </c>
      <c r="G266" s="30">
        <f>IF(A266="","",COUNTIFS(Agenda!$E$5:$E$3004,A266,Agenda!$H$5:$H$3004,"Falta"))</f>
        <v/>
      </c>
      <c r="H266" s="34">
        <f>IF(A266="","",IF(SUMPRODUCT(MAX((Agenda!$E$5:$E$3004=A266)*(Agenda!$H$5:$H$3004="Realizado")*Agenda!$A$5:$A$3004))=0,"",SUMPRODUCT(MAX((Agenda!$E$5:$E$3004=A266)*(Agenda!$H$5:$H$3004="Realizado")*Agenda!$A$5:$A$3004))))</f>
        <v/>
      </c>
      <c r="I266" s="34">
        <f>IF(A266="","",IF(SUMPRODUCT(MIN(((Agenda!$E$5:$E$3004=A266)*((Agenda!$H$5:$H$3004="Agendado")+(Agenda!$H$5:$H$3004="Confirmado")))*Agenda!$A$5:$A$3004+(1-((Agenda!$E$5:$E$3004=A266)*((Agenda!$H$5:$H$3004="Agendado")+(Agenda!$H$5:$H$3004="Confirmado"))))*1E+10))&gt;=1E+10,"",SUMPRODUCT(MIN(((Agenda!$E$5:$E$3004=A266)*((Agenda!$H$5:$H$3004="Agendado")+(Agenda!$H$5:$H$3004="Confirmado")))*Agenda!$A$5:$A$3004+(1-((Agenda!$E$5:$E$3004=A266)*((Agenda!$H$5:$H$3004="Agendado")+(Agenda!$H$5:$H$3004="Confirmado"))))*1E+10))))</f>
        <v/>
      </c>
    </row>
    <row r="267">
      <c r="A267" s="37" t="n"/>
      <c r="B267" s="38" t="n"/>
      <c r="C267" s="38" t="n"/>
      <c r="D267" s="37" t="n"/>
      <c r="E267" s="37" t="n"/>
      <c r="F267" s="30">
        <f>IF(A267="","",COUNTIFS(Agenda!$E$5:$E$3004,A267,Agenda!$H$5:$H$3004,"Realizado"))</f>
        <v/>
      </c>
      <c r="G267" s="30">
        <f>IF(A267="","",COUNTIFS(Agenda!$E$5:$E$3004,A267,Agenda!$H$5:$H$3004,"Falta"))</f>
        <v/>
      </c>
      <c r="H267" s="34">
        <f>IF(A267="","",IF(SUMPRODUCT(MAX((Agenda!$E$5:$E$3004=A267)*(Agenda!$H$5:$H$3004="Realizado")*Agenda!$A$5:$A$3004))=0,"",SUMPRODUCT(MAX((Agenda!$E$5:$E$3004=A267)*(Agenda!$H$5:$H$3004="Realizado")*Agenda!$A$5:$A$3004))))</f>
        <v/>
      </c>
      <c r="I267" s="34">
        <f>IF(A267="","",IF(SUMPRODUCT(MIN(((Agenda!$E$5:$E$3004=A267)*((Agenda!$H$5:$H$3004="Agendado")+(Agenda!$H$5:$H$3004="Confirmado")))*Agenda!$A$5:$A$3004+(1-((Agenda!$E$5:$E$3004=A267)*((Agenda!$H$5:$H$3004="Agendado")+(Agenda!$H$5:$H$3004="Confirmado"))))*1E+10))&gt;=1E+10,"",SUMPRODUCT(MIN(((Agenda!$E$5:$E$3004=A267)*((Agenda!$H$5:$H$3004="Agendado")+(Agenda!$H$5:$H$3004="Confirmado")))*Agenda!$A$5:$A$3004+(1-((Agenda!$E$5:$E$3004=A267)*((Agenda!$H$5:$H$3004="Agendado")+(Agenda!$H$5:$H$3004="Confirmado"))))*1E+10))))</f>
        <v/>
      </c>
    </row>
    <row r="268">
      <c r="A268" s="37" t="n"/>
      <c r="B268" s="38" t="n"/>
      <c r="C268" s="38" t="n"/>
      <c r="D268" s="37" t="n"/>
      <c r="E268" s="37" t="n"/>
      <c r="F268" s="30">
        <f>IF(A268="","",COUNTIFS(Agenda!$E$5:$E$3004,A268,Agenda!$H$5:$H$3004,"Realizado"))</f>
        <v/>
      </c>
      <c r="G268" s="30">
        <f>IF(A268="","",COUNTIFS(Agenda!$E$5:$E$3004,A268,Agenda!$H$5:$H$3004,"Falta"))</f>
        <v/>
      </c>
      <c r="H268" s="34">
        <f>IF(A268="","",IF(SUMPRODUCT(MAX((Agenda!$E$5:$E$3004=A268)*(Agenda!$H$5:$H$3004="Realizado")*Agenda!$A$5:$A$3004))=0,"",SUMPRODUCT(MAX((Agenda!$E$5:$E$3004=A268)*(Agenda!$H$5:$H$3004="Realizado")*Agenda!$A$5:$A$3004))))</f>
        <v/>
      </c>
      <c r="I268" s="34">
        <f>IF(A268="","",IF(SUMPRODUCT(MIN(((Agenda!$E$5:$E$3004=A268)*((Agenda!$H$5:$H$3004="Agendado")+(Agenda!$H$5:$H$3004="Confirmado")))*Agenda!$A$5:$A$3004+(1-((Agenda!$E$5:$E$3004=A268)*((Agenda!$H$5:$H$3004="Agendado")+(Agenda!$H$5:$H$3004="Confirmado"))))*1E+10))&gt;=1E+10,"",SUMPRODUCT(MIN(((Agenda!$E$5:$E$3004=A268)*((Agenda!$H$5:$H$3004="Agendado")+(Agenda!$H$5:$H$3004="Confirmado")))*Agenda!$A$5:$A$3004+(1-((Agenda!$E$5:$E$3004=A268)*((Agenda!$H$5:$H$3004="Agendado")+(Agenda!$H$5:$H$3004="Confirmado"))))*1E+10))))</f>
        <v/>
      </c>
    </row>
    <row r="269">
      <c r="A269" s="37" t="n"/>
      <c r="B269" s="38" t="n"/>
      <c r="C269" s="38" t="n"/>
      <c r="D269" s="37" t="n"/>
      <c r="E269" s="37" t="n"/>
      <c r="F269" s="30">
        <f>IF(A269="","",COUNTIFS(Agenda!$E$5:$E$3004,A269,Agenda!$H$5:$H$3004,"Realizado"))</f>
        <v/>
      </c>
      <c r="G269" s="30">
        <f>IF(A269="","",COUNTIFS(Agenda!$E$5:$E$3004,A269,Agenda!$H$5:$H$3004,"Falta"))</f>
        <v/>
      </c>
      <c r="H269" s="34">
        <f>IF(A269="","",IF(SUMPRODUCT(MAX((Agenda!$E$5:$E$3004=A269)*(Agenda!$H$5:$H$3004="Realizado")*Agenda!$A$5:$A$3004))=0,"",SUMPRODUCT(MAX((Agenda!$E$5:$E$3004=A269)*(Agenda!$H$5:$H$3004="Realizado")*Agenda!$A$5:$A$3004))))</f>
        <v/>
      </c>
      <c r="I269" s="34">
        <f>IF(A269="","",IF(SUMPRODUCT(MIN(((Agenda!$E$5:$E$3004=A269)*((Agenda!$H$5:$H$3004="Agendado")+(Agenda!$H$5:$H$3004="Confirmado")))*Agenda!$A$5:$A$3004+(1-((Agenda!$E$5:$E$3004=A269)*((Agenda!$H$5:$H$3004="Agendado")+(Agenda!$H$5:$H$3004="Confirmado"))))*1E+10))&gt;=1E+10,"",SUMPRODUCT(MIN(((Agenda!$E$5:$E$3004=A269)*((Agenda!$H$5:$H$3004="Agendado")+(Agenda!$H$5:$H$3004="Confirmado")))*Agenda!$A$5:$A$3004+(1-((Agenda!$E$5:$E$3004=A269)*((Agenda!$H$5:$H$3004="Agendado")+(Agenda!$H$5:$H$3004="Confirmado"))))*1E+10))))</f>
        <v/>
      </c>
    </row>
    <row r="270">
      <c r="A270" s="37" t="n"/>
      <c r="B270" s="38" t="n"/>
      <c r="C270" s="38" t="n"/>
      <c r="D270" s="37" t="n"/>
      <c r="E270" s="37" t="n"/>
      <c r="F270" s="30">
        <f>IF(A270="","",COUNTIFS(Agenda!$E$5:$E$3004,A270,Agenda!$H$5:$H$3004,"Realizado"))</f>
        <v/>
      </c>
      <c r="G270" s="30">
        <f>IF(A270="","",COUNTIFS(Agenda!$E$5:$E$3004,A270,Agenda!$H$5:$H$3004,"Falta"))</f>
        <v/>
      </c>
      <c r="H270" s="34">
        <f>IF(A270="","",IF(SUMPRODUCT(MAX((Agenda!$E$5:$E$3004=A270)*(Agenda!$H$5:$H$3004="Realizado")*Agenda!$A$5:$A$3004))=0,"",SUMPRODUCT(MAX((Agenda!$E$5:$E$3004=A270)*(Agenda!$H$5:$H$3004="Realizado")*Agenda!$A$5:$A$3004))))</f>
        <v/>
      </c>
      <c r="I270" s="34">
        <f>IF(A270="","",IF(SUMPRODUCT(MIN(((Agenda!$E$5:$E$3004=A270)*((Agenda!$H$5:$H$3004="Agendado")+(Agenda!$H$5:$H$3004="Confirmado")))*Agenda!$A$5:$A$3004+(1-((Agenda!$E$5:$E$3004=A270)*((Agenda!$H$5:$H$3004="Agendado")+(Agenda!$H$5:$H$3004="Confirmado"))))*1E+10))&gt;=1E+10,"",SUMPRODUCT(MIN(((Agenda!$E$5:$E$3004=A270)*((Agenda!$H$5:$H$3004="Agendado")+(Agenda!$H$5:$H$3004="Confirmado")))*Agenda!$A$5:$A$3004+(1-((Agenda!$E$5:$E$3004=A270)*((Agenda!$H$5:$H$3004="Agendado")+(Agenda!$H$5:$H$3004="Confirmado"))))*1E+10))))</f>
        <v/>
      </c>
    </row>
    <row r="271">
      <c r="A271" s="37" t="n"/>
      <c r="B271" s="38" t="n"/>
      <c r="C271" s="38" t="n"/>
      <c r="D271" s="37" t="n"/>
      <c r="E271" s="37" t="n"/>
      <c r="F271" s="30">
        <f>IF(A271="","",COUNTIFS(Agenda!$E$5:$E$3004,A271,Agenda!$H$5:$H$3004,"Realizado"))</f>
        <v/>
      </c>
      <c r="G271" s="30">
        <f>IF(A271="","",COUNTIFS(Agenda!$E$5:$E$3004,A271,Agenda!$H$5:$H$3004,"Falta"))</f>
        <v/>
      </c>
      <c r="H271" s="34">
        <f>IF(A271="","",IF(SUMPRODUCT(MAX((Agenda!$E$5:$E$3004=A271)*(Agenda!$H$5:$H$3004="Realizado")*Agenda!$A$5:$A$3004))=0,"",SUMPRODUCT(MAX((Agenda!$E$5:$E$3004=A271)*(Agenda!$H$5:$H$3004="Realizado")*Agenda!$A$5:$A$3004))))</f>
        <v/>
      </c>
      <c r="I271" s="34">
        <f>IF(A271="","",IF(SUMPRODUCT(MIN(((Agenda!$E$5:$E$3004=A271)*((Agenda!$H$5:$H$3004="Agendado")+(Agenda!$H$5:$H$3004="Confirmado")))*Agenda!$A$5:$A$3004+(1-((Agenda!$E$5:$E$3004=A271)*((Agenda!$H$5:$H$3004="Agendado")+(Agenda!$H$5:$H$3004="Confirmado"))))*1E+10))&gt;=1E+10,"",SUMPRODUCT(MIN(((Agenda!$E$5:$E$3004=A271)*((Agenda!$H$5:$H$3004="Agendado")+(Agenda!$H$5:$H$3004="Confirmado")))*Agenda!$A$5:$A$3004+(1-((Agenda!$E$5:$E$3004=A271)*((Agenda!$H$5:$H$3004="Agendado")+(Agenda!$H$5:$H$3004="Confirmado"))))*1E+10))))</f>
        <v/>
      </c>
    </row>
    <row r="272">
      <c r="A272" s="37" t="n"/>
      <c r="B272" s="38" t="n"/>
      <c r="C272" s="38" t="n"/>
      <c r="D272" s="37" t="n"/>
      <c r="E272" s="37" t="n"/>
      <c r="F272" s="30">
        <f>IF(A272="","",COUNTIFS(Agenda!$E$5:$E$3004,A272,Agenda!$H$5:$H$3004,"Realizado"))</f>
        <v/>
      </c>
      <c r="G272" s="30">
        <f>IF(A272="","",COUNTIFS(Agenda!$E$5:$E$3004,A272,Agenda!$H$5:$H$3004,"Falta"))</f>
        <v/>
      </c>
      <c r="H272" s="34">
        <f>IF(A272="","",IF(SUMPRODUCT(MAX((Agenda!$E$5:$E$3004=A272)*(Agenda!$H$5:$H$3004="Realizado")*Agenda!$A$5:$A$3004))=0,"",SUMPRODUCT(MAX((Agenda!$E$5:$E$3004=A272)*(Agenda!$H$5:$H$3004="Realizado")*Agenda!$A$5:$A$3004))))</f>
        <v/>
      </c>
      <c r="I272" s="34">
        <f>IF(A272="","",IF(SUMPRODUCT(MIN(((Agenda!$E$5:$E$3004=A272)*((Agenda!$H$5:$H$3004="Agendado")+(Agenda!$H$5:$H$3004="Confirmado")))*Agenda!$A$5:$A$3004+(1-((Agenda!$E$5:$E$3004=A272)*((Agenda!$H$5:$H$3004="Agendado")+(Agenda!$H$5:$H$3004="Confirmado"))))*1E+10))&gt;=1E+10,"",SUMPRODUCT(MIN(((Agenda!$E$5:$E$3004=A272)*((Agenda!$H$5:$H$3004="Agendado")+(Agenda!$H$5:$H$3004="Confirmado")))*Agenda!$A$5:$A$3004+(1-((Agenda!$E$5:$E$3004=A272)*((Agenda!$H$5:$H$3004="Agendado")+(Agenda!$H$5:$H$3004="Confirmado"))))*1E+10))))</f>
        <v/>
      </c>
    </row>
    <row r="273">
      <c r="A273" s="37" t="n"/>
      <c r="B273" s="38" t="n"/>
      <c r="C273" s="38" t="n"/>
      <c r="D273" s="37" t="n"/>
      <c r="E273" s="37" t="n"/>
      <c r="F273" s="30">
        <f>IF(A273="","",COUNTIFS(Agenda!$E$5:$E$3004,A273,Agenda!$H$5:$H$3004,"Realizado"))</f>
        <v/>
      </c>
      <c r="G273" s="30">
        <f>IF(A273="","",COUNTIFS(Agenda!$E$5:$E$3004,A273,Agenda!$H$5:$H$3004,"Falta"))</f>
        <v/>
      </c>
      <c r="H273" s="34">
        <f>IF(A273="","",IF(SUMPRODUCT(MAX((Agenda!$E$5:$E$3004=A273)*(Agenda!$H$5:$H$3004="Realizado")*Agenda!$A$5:$A$3004))=0,"",SUMPRODUCT(MAX((Agenda!$E$5:$E$3004=A273)*(Agenda!$H$5:$H$3004="Realizado")*Agenda!$A$5:$A$3004))))</f>
        <v/>
      </c>
      <c r="I273" s="34">
        <f>IF(A273="","",IF(SUMPRODUCT(MIN(((Agenda!$E$5:$E$3004=A273)*((Agenda!$H$5:$H$3004="Agendado")+(Agenda!$H$5:$H$3004="Confirmado")))*Agenda!$A$5:$A$3004+(1-((Agenda!$E$5:$E$3004=A273)*((Agenda!$H$5:$H$3004="Agendado")+(Agenda!$H$5:$H$3004="Confirmado"))))*1E+10))&gt;=1E+10,"",SUMPRODUCT(MIN(((Agenda!$E$5:$E$3004=A273)*((Agenda!$H$5:$H$3004="Agendado")+(Agenda!$H$5:$H$3004="Confirmado")))*Agenda!$A$5:$A$3004+(1-((Agenda!$E$5:$E$3004=A273)*((Agenda!$H$5:$H$3004="Agendado")+(Agenda!$H$5:$H$3004="Confirmado"))))*1E+10))))</f>
        <v/>
      </c>
    </row>
    <row r="274">
      <c r="A274" s="37" t="n"/>
      <c r="B274" s="38" t="n"/>
      <c r="C274" s="38" t="n"/>
      <c r="D274" s="37" t="n"/>
      <c r="E274" s="37" t="n"/>
      <c r="F274" s="30">
        <f>IF(A274="","",COUNTIFS(Agenda!$E$5:$E$3004,A274,Agenda!$H$5:$H$3004,"Realizado"))</f>
        <v/>
      </c>
      <c r="G274" s="30">
        <f>IF(A274="","",COUNTIFS(Agenda!$E$5:$E$3004,A274,Agenda!$H$5:$H$3004,"Falta"))</f>
        <v/>
      </c>
      <c r="H274" s="34">
        <f>IF(A274="","",IF(SUMPRODUCT(MAX((Agenda!$E$5:$E$3004=A274)*(Agenda!$H$5:$H$3004="Realizado")*Agenda!$A$5:$A$3004))=0,"",SUMPRODUCT(MAX((Agenda!$E$5:$E$3004=A274)*(Agenda!$H$5:$H$3004="Realizado")*Agenda!$A$5:$A$3004))))</f>
        <v/>
      </c>
      <c r="I274" s="34">
        <f>IF(A274="","",IF(SUMPRODUCT(MIN(((Agenda!$E$5:$E$3004=A274)*((Agenda!$H$5:$H$3004="Agendado")+(Agenda!$H$5:$H$3004="Confirmado")))*Agenda!$A$5:$A$3004+(1-((Agenda!$E$5:$E$3004=A274)*((Agenda!$H$5:$H$3004="Agendado")+(Agenda!$H$5:$H$3004="Confirmado"))))*1E+10))&gt;=1E+10,"",SUMPRODUCT(MIN(((Agenda!$E$5:$E$3004=A274)*((Agenda!$H$5:$H$3004="Agendado")+(Agenda!$H$5:$H$3004="Confirmado")))*Agenda!$A$5:$A$3004+(1-((Agenda!$E$5:$E$3004=A274)*((Agenda!$H$5:$H$3004="Agendado")+(Agenda!$H$5:$H$3004="Confirmado"))))*1E+10))))</f>
        <v/>
      </c>
    </row>
    <row r="275">
      <c r="A275" s="37" t="n"/>
      <c r="B275" s="38" t="n"/>
      <c r="C275" s="38" t="n"/>
      <c r="D275" s="37" t="n"/>
      <c r="E275" s="37" t="n"/>
      <c r="F275" s="30">
        <f>IF(A275="","",COUNTIFS(Agenda!$E$5:$E$3004,A275,Agenda!$H$5:$H$3004,"Realizado"))</f>
        <v/>
      </c>
      <c r="G275" s="30">
        <f>IF(A275="","",COUNTIFS(Agenda!$E$5:$E$3004,A275,Agenda!$H$5:$H$3004,"Falta"))</f>
        <v/>
      </c>
      <c r="H275" s="34">
        <f>IF(A275="","",IF(SUMPRODUCT(MAX((Agenda!$E$5:$E$3004=A275)*(Agenda!$H$5:$H$3004="Realizado")*Agenda!$A$5:$A$3004))=0,"",SUMPRODUCT(MAX((Agenda!$E$5:$E$3004=A275)*(Agenda!$H$5:$H$3004="Realizado")*Agenda!$A$5:$A$3004))))</f>
        <v/>
      </c>
      <c r="I275" s="34">
        <f>IF(A275="","",IF(SUMPRODUCT(MIN(((Agenda!$E$5:$E$3004=A275)*((Agenda!$H$5:$H$3004="Agendado")+(Agenda!$H$5:$H$3004="Confirmado")))*Agenda!$A$5:$A$3004+(1-((Agenda!$E$5:$E$3004=A275)*((Agenda!$H$5:$H$3004="Agendado")+(Agenda!$H$5:$H$3004="Confirmado"))))*1E+10))&gt;=1E+10,"",SUMPRODUCT(MIN(((Agenda!$E$5:$E$3004=A275)*((Agenda!$H$5:$H$3004="Agendado")+(Agenda!$H$5:$H$3004="Confirmado")))*Agenda!$A$5:$A$3004+(1-((Agenda!$E$5:$E$3004=A275)*((Agenda!$H$5:$H$3004="Agendado")+(Agenda!$H$5:$H$3004="Confirmado"))))*1E+10))))</f>
        <v/>
      </c>
    </row>
    <row r="276">
      <c r="A276" s="37" t="n"/>
      <c r="B276" s="38" t="n"/>
      <c r="C276" s="38" t="n"/>
      <c r="D276" s="37" t="n"/>
      <c r="E276" s="37" t="n"/>
      <c r="F276" s="30">
        <f>IF(A276="","",COUNTIFS(Agenda!$E$5:$E$3004,A276,Agenda!$H$5:$H$3004,"Realizado"))</f>
        <v/>
      </c>
      <c r="G276" s="30">
        <f>IF(A276="","",COUNTIFS(Agenda!$E$5:$E$3004,A276,Agenda!$H$5:$H$3004,"Falta"))</f>
        <v/>
      </c>
      <c r="H276" s="34">
        <f>IF(A276="","",IF(SUMPRODUCT(MAX((Agenda!$E$5:$E$3004=A276)*(Agenda!$H$5:$H$3004="Realizado")*Agenda!$A$5:$A$3004))=0,"",SUMPRODUCT(MAX((Agenda!$E$5:$E$3004=A276)*(Agenda!$H$5:$H$3004="Realizado")*Agenda!$A$5:$A$3004))))</f>
        <v/>
      </c>
      <c r="I276" s="34">
        <f>IF(A276="","",IF(SUMPRODUCT(MIN(((Agenda!$E$5:$E$3004=A276)*((Agenda!$H$5:$H$3004="Agendado")+(Agenda!$H$5:$H$3004="Confirmado")))*Agenda!$A$5:$A$3004+(1-((Agenda!$E$5:$E$3004=A276)*((Agenda!$H$5:$H$3004="Agendado")+(Agenda!$H$5:$H$3004="Confirmado"))))*1E+10))&gt;=1E+10,"",SUMPRODUCT(MIN(((Agenda!$E$5:$E$3004=A276)*((Agenda!$H$5:$H$3004="Agendado")+(Agenda!$H$5:$H$3004="Confirmado")))*Agenda!$A$5:$A$3004+(1-((Agenda!$E$5:$E$3004=A276)*((Agenda!$H$5:$H$3004="Agendado")+(Agenda!$H$5:$H$3004="Confirmado"))))*1E+10))))</f>
        <v/>
      </c>
    </row>
    <row r="277">
      <c r="A277" s="37" t="n"/>
      <c r="B277" s="38" t="n"/>
      <c r="C277" s="38" t="n"/>
      <c r="D277" s="37" t="n"/>
      <c r="E277" s="37" t="n"/>
      <c r="F277" s="30">
        <f>IF(A277="","",COUNTIFS(Agenda!$E$5:$E$3004,A277,Agenda!$H$5:$H$3004,"Realizado"))</f>
        <v/>
      </c>
      <c r="G277" s="30">
        <f>IF(A277="","",COUNTIFS(Agenda!$E$5:$E$3004,A277,Agenda!$H$5:$H$3004,"Falta"))</f>
        <v/>
      </c>
      <c r="H277" s="34">
        <f>IF(A277="","",IF(SUMPRODUCT(MAX((Agenda!$E$5:$E$3004=A277)*(Agenda!$H$5:$H$3004="Realizado")*Agenda!$A$5:$A$3004))=0,"",SUMPRODUCT(MAX((Agenda!$E$5:$E$3004=A277)*(Agenda!$H$5:$H$3004="Realizado")*Agenda!$A$5:$A$3004))))</f>
        <v/>
      </c>
      <c r="I277" s="34">
        <f>IF(A277="","",IF(SUMPRODUCT(MIN(((Agenda!$E$5:$E$3004=A277)*((Agenda!$H$5:$H$3004="Agendado")+(Agenda!$H$5:$H$3004="Confirmado")))*Agenda!$A$5:$A$3004+(1-((Agenda!$E$5:$E$3004=A277)*((Agenda!$H$5:$H$3004="Agendado")+(Agenda!$H$5:$H$3004="Confirmado"))))*1E+10))&gt;=1E+10,"",SUMPRODUCT(MIN(((Agenda!$E$5:$E$3004=A277)*((Agenda!$H$5:$H$3004="Agendado")+(Agenda!$H$5:$H$3004="Confirmado")))*Agenda!$A$5:$A$3004+(1-((Agenda!$E$5:$E$3004=A277)*((Agenda!$H$5:$H$3004="Agendado")+(Agenda!$H$5:$H$3004="Confirmado"))))*1E+10))))</f>
        <v/>
      </c>
    </row>
    <row r="278">
      <c r="A278" s="37" t="n"/>
      <c r="B278" s="38" t="n"/>
      <c r="C278" s="38" t="n"/>
      <c r="D278" s="37" t="n"/>
      <c r="E278" s="37" t="n"/>
      <c r="F278" s="30">
        <f>IF(A278="","",COUNTIFS(Agenda!$E$5:$E$3004,A278,Agenda!$H$5:$H$3004,"Realizado"))</f>
        <v/>
      </c>
      <c r="G278" s="30">
        <f>IF(A278="","",COUNTIFS(Agenda!$E$5:$E$3004,A278,Agenda!$H$5:$H$3004,"Falta"))</f>
        <v/>
      </c>
      <c r="H278" s="34">
        <f>IF(A278="","",IF(SUMPRODUCT(MAX((Agenda!$E$5:$E$3004=A278)*(Agenda!$H$5:$H$3004="Realizado")*Agenda!$A$5:$A$3004))=0,"",SUMPRODUCT(MAX((Agenda!$E$5:$E$3004=A278)*(Agenda!$H$5:$H$3004="Realizado")*Agenda!$A$5:$A$3004))))</f>
        <v/>
      </c>
      <c r="I278" s="34">
        <f>IF(A278="","",IF(SUMPRODUCT(MIN(((Agenda!$E$5:$E$3004=A278)*((Agenda!$H$5:$H$3004="Agendado")+(Agenda!$H$5:$H$3004="Confirmado")))*Agenda!$A$5:$A$3004+(1-((Agenda!$E$5:$E$3004=A278)*((Agenda!$H$5:$H$3004="Agendado")+(Agenda!$H$5:$H$3004="Confirmado"))))*1E+10))&gt;=1E+10,"",SUMPRODUCT(MIN(((Agenda!$E$5:$E$3004=A278)*((Agenda!$H$5:$H$3004="Agendado")+(Agenda!$H$5:$H$3004="Confirmado")))*Agenda!$A$5:$A$3004+(1-((Agenda!$E$5:$E$3004=A278)*((Agenda!$H$5:$H$3004="Agendado")+(Agenda!$H$5:$H$3004="Confirmado"))))*1E+10))))</f>
        <v/>
      </c>
    </row>
    <row r="279">
      <c r="A279" s="37" t="n"/>
      <c r="B279" s="38" t="n"/>
      <c r="C279" s="38" t="n"/>
      <c r="D279" s="37" t="n"/>
      <c r="E279" s="37" t="n"/>
      <c r="F279" s="30">
        <f>IF(A279="","",COUNTIFS(Agenda!$E$5:$E$3004,A279,Agenda!$H$5:$H$3004,"Realizado"))</f>
        <v/>
      </c>
      <c r="G279" s="30">
        <f>IF(A279="","",COUNTIFS(Agenda!$E$5:$E$3004,A279,Agenda!$H$5:$H$3004,"Falta"))</f>
        <v/>
      </c>
      <c r="H279" s="34">
        <f>IF(A279="","",IF(SUMPRODUCT(MAX((Agenda!$E$5:$E$3004=A279)*(Agenda!$H$5:$H$3004="Realizado")*Agenda!$A$5:$A$3004))=0,"",SUMPRODUCT(MAX((Agenda!$E$5:$E$3004=A279)*(Agenda!$H$5:$H$3004="Realizado")*Agenda!$A$5:$A$3004))))</f>
        <v/>
      </c>
      <c r="I279" s="34">
        <f>IF(A279="","",IF(SUMPRODUCT(MIN(((Agenda!$E$5:$E$3004=A279)*((Agenda!$H$5:$H$3004="Agendado")+(Agenda!$H$5:$H$3004="Confirmado")))*Agenda!$A$5:$A$3004+(1-((Agenda!$E$5:$E$3004=A279)*((Agenda!$H$5:$H$3004="Agendado")+(Agenda!$H$5:$H$3004="Confirmado"))))*1E+10))&gt;=1E+10,"",SUMPRODUCT(MIN(((Agenda!$E$5:$E$3004=A279)*((Agenda!$H$5:$H$3004="Agendado")+(Agenda!$H$5:$H$3004="Confirmado")))*Agenda!$A$5:$A$3004+(1-((Agenda!$E$5:$E$3004=A279)*((Agenda!$H$5:$H$3004="Agendado")+(Agenda!$H$5:$H$3004="Confirmado"))))*1E+10))))</f>
        <v/>
      </c>
    </row>
    <row r="280">
      <c r="A280" s="37" t="n"/>
      <c r="B280" s="38" t="n"/>
      <c r="C280" s="38" t="n"/>
      <c r="D280" s="37" t="n"/>
      <c r="E280" s="37" t="n"/>
      <c r="F280" s="30">
        <f>IF(A280="","",COUNTIFS(Agenda!$E$5:$E$3004,A280,Agenda!$H$5:$H$3004,"Realizado"))</f>
        <v/>
      </c>
      <c r="G280" s="30">
        <f>IF(A280="","",COUNTIFS(Agenda!$E$5:$E$3004,A280,Agenda!$H$5:$H$3004,"Falta"))</f>
        <v/>
      </c>
      <c r="H280" s="34">
        <f>IF(A280="","",IF(SUMPRODUCT(MAX((Agenda!$E$5:$E$3004=A280)*(Agenda!$H$5:$H$3004="Realizado")*Agenda!$A$5:$A$3004))=0,"",SUMPRODUCT(MAX((Agenda!$E$5:$E$3004=A280)*(Agenda!$H$5:$H$3004="Realizado")*Agenda!$A$5:$A$3004))))</f>
        <v/>
      </c>
      <c r="I280" s="34">
        <f>IF(A280="","",IF(SUMPRODUCT(MIN(((Agenda!$E$5:$E$3004=A280)*((Agenda!$H$5:$H$3004="Agendado")+(Agenda!$H$5:$H$3004="Confirmado")))*Agenda!$A$5:$A$3004+(1-((Agenda!$E$5:$E$3004=A280)*((Agenda!$H$5:$H$3004="Agendado")+(Agenda!$H$5:$H$3004="Confirmado"))))*1E+10))&gt;=1E+10,"",SUMPRODUCT(MIN(((Agenda!$E$5:$E$3004=A280)*((Agenda!$H$5:$H$3004="Agendado")+(Agenda!$H$5:$H$3004="Confirmado")))*Agenda!$A$5:$A$3004+(1-((Agenda!$E$5:$E$3004=A280)*((Agenda!$H$5:$H$3004="Agendado")+(Agenda!$H$5:$H$3004="Confirmado"))))*1E+10))))</f>
        <v/>
      </c>
    </row>
    <row r="281">
      <c r="A281" s="37" t="n"/>
      <c r="B281" s="38" t="n"/>
      <c r="C281" s="38" t="n"/>
      <c r="D281" s="37" t="n"/>
      <c r="E281" s="37" t="n"/>
      <c r="F281" s="30">
        <f>IF(A281="","",COUNTIFS(Agenda!$E$5:$E$3004,A281,Agenda!$H$5:$H$3004,"Realizado"))</f>
        <v/>
      </c>
      <c r="G281" s="30">
        <f>IF(A281="","",COUNTIFS(Agenda!$E$5:$E$3004,A281,Agenda!$H$5:$H$3004,"Falta"))</f>
        <v/>
      </c>
      <c r="H281" s="34">
        <f>IF(A281="","",IF(SUMPRODUCT(MAX((Agenda!$E$5:$E$3004=A281)*(Agenda!$H$5:$H$3004="Realizado")*Agenda!$A$5:$A$3004))=0,"",SUMPRODUCT(MAX((Agenda!$E$5:$E$3004=A281)*(Agenda!$H$5:$H$3004="Realizado")*Agenda!$A$5:$A$3004))))</f>
        <v/>
      </c>
      <c r="I281" s="34">
        <f>IF(A281="","",IF(SUMPRODUCT(MIN(((Agenda!$E$5:$E$3004=A281)*((Agenda!$H$5:$H$3004="Agendado")+(Agenda!$H$5:$H$3004="Confirmado")))*Agenda!$A$5:$A$3004+(1-((Agenda!$E$5:$E$3004=A281)*((Agenda!$H$5:$H$3004="Agendado")+(Agenda!$H$5:$H$3004="Confirmado"))))*1E+10))&gt;=1E+10,"",SUMPRODUCT(MIN(((Agenda!$E$5:$E$3004=A281)*((Agenda!$H$5:$H$3004="Agendado")+(Agenda!$H$5:$H$3004="Confirmado")))*Agenda!$A$5:$A$3004+(1-((Agenda!$E$5:$E$3004=A281)*((Agenda!$H$5:$H$3004="Agendado")+(Agenda!$H$5:$H$3004="Confirmado"))))*1E+10))))</f>
        <v/>
      </c>
    </row>
    <row r="282">
      <c r="A282" s="37" t="n"/>
      <c r="B282" s="38" t="n"/>
      <c r="C282" s="38" t="n"/>
      <c r="D282" s="37" t="n"/>
      <c r="E282" s="37" t="n"/>
      <c r="F282" s="30">
        <f>IF(A282="","",COUNTIFS(Agenda!$E$5:$E$3004,A282,Agenda!$H$5:$H$3004,"Realizado"))</f>
        <v/>
      </c>
      <c r="G282" s="30">
        <f>IF(A282="","",COUNTIFS(Agenda!$E$5:$E$3004,A282,Agenda!$H$5:$H$3004,"Falta"))</f>
        <v/>
      </c>
      <c r="H282" s="34">
        <f>IF(A282="","",IF(SUMPRODUCT(MAX((Agenda!$E$5:$E$3004=A282)*(Agenda!$H$5:$H$3004="Realizado")*Agenda!$A$5:$A$3004))=0,"",SUMPRODUCT(MAX((Agenda!$E$5:$E$3004=A282)*(Agenda!$H$5:$H$3004="Realizado")*Agenda!$A$5:$A$3004))))</f>
        <v/>
      </c>
      <c r="I282" s="34">
        <f>IF(A282="","",IF(SUMPRODUCT(MIN(((Agenda!$E$5:$E$3004=A282)*((Agenda!$H$5:$H$3004="Agendado")+(Agenda!$H$5:$H$3004="Confirmado")))*Agenda!$A$5:$A$3004+(1-((Agenda!$E$5:$E$3004=A282)*((Agenda!$H$5:$H$3004="Agendado")+(Agenda!$H$5:$H$3004="Confirmado"))))*1E+10))&gt;=1E+10,"",SUMPRODUCT(MIN(((Agenda!$E$5:$E$3004=A282)*((Agenda!$H$5:$H$3004="Agendado")+(Agenda!$H$5:$H$3004="Confirmado")))*Agenda!$A$5:$A$3004+(1-((Agenda!$E$5:$E$3004=A282)*((Agenda!$H$5:$H$3004="Agendado")+(Agenda!$H$5:$H$3004="Confirmado"))))*1E+10))))</f>
        <v/>
      </c>
    </row>
    <row r="283">
      <c r="A283" s="37" t="n"/>
      <c r="B283" s="38" t="n"/>
      <c r="C283" s="38" t="n"/>
      <c r="D283" s="37" t="n"/>
      <c r="E283" s="37" t="n"/>
      <c r="F283" s="30">
        <f>IF(A283="","",COUNTIFS(Agenda!$E$5:$E$3004,A283,Agenda!$H$5:$H$3004,"Realizado"))</f>
        <v/>
      </c>
      <c r="G283" s="30">
        <f>IF(A283="","",COUNTIFS(Agenda!$E$5:$E$3004,A283,Agenda!$H$5:$H$3004,"Falta"))</f>
        <v/>
      </c>
      <c r="H283" s="34">
        <f>IF(A283="","",IF(SUMPRODUCT(MAX((Agenda!$E$5:$E$3004=A283)*(Agenda!$H$5:$H$3004="Realizado")*Agenda!$A$5:$A$3004))=0,"",SUMPRODUCT(MAX((Agenda!$E$5:$E$3004=A283)*(Agenda!$H$5:$H$3004="Realizado")*Agenda!$A$5:$A$3004))))</f>
        <v/>
      </c>
      <c r="I283" s="34">
        <f>IF(A283="","",IF(SUMPRODUCT(MIN(((Agenda!$E$5:$E$3004=A283)*((Agenda!$H$5:$H$3004="Agendado")+(Agenda!$H$5:$H$3004="Confirmado")))*Agenda!$A$5:$A$3004+(1-((Agenda!$E$5:$E$3004=A283)*((Agenda!$H$5:$H$3004="Agendado")+(Agenda!$H$5:$H$3004="Confirmado"))))*1E+10))&gt;=1E+10,"",SUMPRODUCT(MIN(((Agenda!$E$5:$E$3004=A283)*((Agenda!$H$5:$H$3004="Agendado")+(Agenda!$H$5:$H$3004="Confirmado")))*Agenda!$A$5:$A$3004+(1-((Agenda!$E$5:$E$3004=A283)*((Agenda!$H$5:$H$3004="Agendado")+(Agenda!$H$5:$H$3004="Confirmado"))))*1E+10))))</f>
        <v/>
      </c>
    </row>
    <row r="284">
      <c r="A284" s="37" t="n"/>
      <c r="B284" s="38" t="n"/>
      <c r="C284" s="38" t="n"/>
      <c r="D284" s="37" t="n"/>
      <c r="E284" s="37" t="n"/>
      <c r="F284" s="30">
        <f>IF(A284="","",COUNTIFS(Agenda!$E$5:$E$3004,A284,Agenda!$H$5:$H$3004,"Realizado"))</f>
        <v/>
      </c>
      <c r="G284" s="30">
        <f>IF(A284="","",COUNTIFS(Agenda!$E$5:$E$3004,A284,Agenda!$H$5:$H$3004,"Falta"))</f>
        <v/>
      </c>
      <c r="H284" s="34">
        <f>IF(A284="","",IF(SUMPRODUCT(MAX((Agenda!$E$5:$E$3004=A284)*(Agenda!$H$5:$H$3004="Realizado")*Agenda!$A$5:$A$3004))=0,"",SUMPRODUCT(MAX((Agenda!$E$5:$E$3004=A284)*(Agenda!$H$5:$H$3004="Realizado")*Agenda!$A$5:$A$3004))))</f>
        <v/>
      </c>
      <c r="I284" s="34">
        <f>IF(A284="","",IF(SUMPRODUCT(MIN(((Agenda!$E$5:$E$3004=A284)*((Agenda!$H$5:$H$3004="Agendado")+(Agenda!$H$5:$H$3004="Confirmado")))*Agenda!$A$5:$A$3004+(1-((Agenda!$E$5:$E$3004=A284)*((Agenda!$H$5:$H$3004="Agendado")+(Agenda!$H$5:$H$3004="Confirmado"))))*1E+10))&gt;=1E+10,"",SUMPRODUCT(MIN(((Agenda!$E$5:$E$3004=A284)*((Agenda!$H$5:$H$3004="Agendado")+(Agenda!$H$5:$H$3004="Confirmado")))*Agenda!$A$5:$A$3004+(1-((Agenda!$E$5:$E$3004=A284)*((Agenda!$H$5:$H$3004="Agendado")+(Agenda!$H$5:$H$3004="Confirmado"))))*1E+10))))</f>
        <v/>
      </c>
    </row>
    <row r="285">
      <c r="A285" s="37" t="n"/>
      <c r="B285" s="38" t="n"/>
      <c r="C285" s="38" t="n"/>
      <c r="D285" s="37" t="n"/>
      <c r="E285" s="37" t="n"/>
      <c r="F285" s="30">
        <f>IF(A285="","",COUNTIFS(Agenda!$E$5:$E$3004,A285,Agenda!$H$5:$H$3004,"Realizado"))</f>
        <v/>
      </c>
      <c r="G285" s="30">
        <f>IF(A285="","",COUNTIFS(Agenda!$E$5:$E$3004,A285,Agenda!$H$5:$H$3004,"Falta"))</f>
        <v/>
      </c>
      <c r="H285" s="34">
        <f>IF(A285="","",IF(SUMPRODUCT(MAX((Agenda!$E$5:$E$3004=A285)*(Agenda!$H$5:$H$3004="Realizado")*Agenda!$A$5:$A$3004))=0,"",SUMPRODUCT(MAX((Agenda!$E$5:$E$3004=A285)*(Agenda!$H$5:$H$3004="Realizado")*Agenda!$A$5:$A$3004))))</f>
        <v/>
      </c>
      <c r="I285" s="34">
        <f>IF(A285="","",IF(SUMPRODUCT(MIN(((Agenda!$E$5:$E$3004=A285)*((Agenda!$H$5:$H$3004="Agendado")+(Agenda!$H$5:$H$3004="Confirmado")))*Agenda!$A$5:$A$3004+(1-((Agenda!$E$5:$E$3004=A285)*((Agenda!$H$5:$H$3004="Agendado")+(Agenda!$H$5:$H$3004="Confirmado"))))*1E+10))&gt;=1E+10,"",SUMPRODUCT(MIN(((Agenda!$E$5:$E$3004=A285)*((Agenda!$H$5:$H$3004="Agendado")+(Agenda!$H$5:$H$3004="Confirmado")))*Agenda!$A$5:$A$3004+(1-((Agenda!$E$5:$E$3004=A285)*((Agenda!$H$5:$H$3004="Agendado")+(Agenda!$H$5:$H$3004="Confirmado"))))*1E+10))))</f>
        <v/>
      </c>
    </row>
    <row r="286">
      <c r="A286" s="37" t="n"/>
      <c r="B286" s="38" t="n"/>
      <c r="C286" s="38" t="n"/>
      <c r="D286" s="37" t="n"/>
      <c r="E286" s="37" t="n"/>
      <c r="F286" s="30">
        <f>IF(A286="","",COUNTIFS(Agenda!$E$5:$E$3004,A286,Agenda!$H$5:$H$3004,"Realizado"))</f>
        <v/>
      </c>
      <c r="G286" s="30">
        <f>IF(A286="","",COUNTIFS(Agenda!$E$5:$E$3004,A286,Agenda!$H$5:$H$3004,"Falta"))</f>
        <v/>
      </c>
      <c r="H286" s="34">
        <f>IF(A286="","",IF(SUMPRODUCT(MAX((Agenda!$E$5:$E$3004=A286)*(Agenda!$H$5:$H$3004="Realizado")*Agenda!$A$5:$A$3004))=0,"",SUMPRODUCT(MAX((Agenda!$E$5:$E$3004=A286)*(Agenda!$H$5:$H$3004="Realizado")*Agenda!$A$5:$A$3004))))</f>
        <v/>
      </c>
      <c r="I286" s="34">
        <f>IF(A286="","",IF(SUMPRODUCT(MIN(((Agenda!$E$5:$E$3004=A286)*((Agenda!$H$5:$H$3004="Agendado")+(Agenda!$H$5:$H$3004="Confirmado")))*Agenda!$A$5:$A$3004+(1-((Agenda!$E$5:$E$3004=A286)*((Agenda!$H$5:$H$3004="Agendado")+(Agenda!$H$5:$H$3004="Confirmado"))))*1E+10))&gt;=1E+10,"",SUMPRODUCT(MIN(((Agenda!$E$5:$E$3004=A286)*((Agenda!$H$5:$H$3004="Agendado")+(Agenda!$H$5:$H$3004="Confirmado")))*Agenda!$A$5:$A$3004+(1-((Agenda!$E$5:$E$3004=A286)*((Agenda!$H$5:$H$3004="Agendado")+(Agenda!$H$5:$H$3004="Confirmado"))))*1E+10))))</f>
        <v/>
      </c>
    </row>
    <row r="287">
      <c r="A287" s="37" t="n"/>
      <c r="B287" s="38" t="n"/>
      <c r="C287" s="38" t="n"/>
      <c r="D287" s="37" t="n"/>
      <c r="E287" s="37" t="n"/>
      <c r="F287" s="30">
        <f>IF(A287="","",COUNTIFS(Agenda!$E$5:$E$3004,A287,Agenda!$H$5:$H$3004,"Realizado"))</f>
        <v/>
      </c>
      <c r="G287" s="30">
        <f>IF(A287="","",COUNTIFS(Agenda!$E$5:$E$3004,A287,Agenda!$H$5:$H$3004,"Falta"))</f>
        <v/>
      </c>
      <c r="H287" s="34">
        <f>IF(A287="","",IF(SUMPRODUCT(MAX((Agenda!$E$5:$E$3004=A287)*(Agenda!$H$5:$H$3004="Realizado")*Agenda!$A$5:$A$3004))=0,"",SUMPRODUCT(MAX((Agenda!$E$5:$E$3004=A287)*(Agenda!$H$5:$H$3004="Realizado")*Agenda!$A$5:$A$3004))))</f>
        <v/>
      </c>
      <c r="I287" s="34">
        <f>IF(A287="","",IF(SUMPRODUCT(MIN(((Agenda!$E$5:$E$3004=A287)*((Agenda!$H$5:$H$3004="Agendado")+(Agenda!$H$5:$H$3004="Confirmado")))*Agenda!$A$5:$A$3004+(1-((Agenda!$E$5:$E$3004=A287)*((Agenda!$H$5:$H$3004="Agendado")+(Agenda!$H$5:$H$3004="Confirmado"))))*1E+10))&gt;=1E+10,"",SUMPRODUCT(MIN(((Agenda!$E$5:$E$3004=A287)*((Agenda!$H$5:$H$3004="Agendado")+(Agenda!$H$5:$H$3004="Confirmado")))*Agenda!$A$5:$A$3004+(1-((Agenda!$E$5:$E$3004=A287)*((Agenda!$H$5:$H$3004="Agendado")+(Agenda!$H$5:$H$3004="Confirmado"))))*1E+10))))</f>
        <v/>
      </c>
    </row>
    <row r="288">
      <c r="A288" s="37" t="n"/>
      <c r="B288" s="38" t="n"/>
      <c r="C288" s="38" t="n"/>
      <c r="D288" s="37" t="n"/>
      <c r="E288" s="37" t="n"/>
      <c r="F288" s="30">
        <f>IF(A288="","",COUNTIFS(Agenda!$E$5:$E$3004,A288,Agenda!$H$5:$H$3004,"Realizado"))</f>
        <v/>
      </c>
      <c r="G288" s="30">
        <f>IF(A288="","",COUNTIFS(Agenda!$E$5:$E$3004,A288,Agenda!$H$5:$H$3004,"Falta"))</f>
        <v/>
      </c>
      <c r="H288" s="34">
        <f>IF(A288="","",IF(SUMPRODUCT(MAX((Agenda!$E$5:$E$3004=A288)*(Agenda!$H$5:$H$3004="Realizado")*Agenda!$A$5:$A$3004))=0,"",SUMPRODUCT(MAX((Agenda!$E$5:$E$3004=A288)*(Agenda!$H$5:$H$3004="Realizado")*Agenda!$A$5:$A$3004))))</f>
        <v/>
      </c>
      <c r="I288" s="34">
        <f>IF(A288="","",IF(SUMPRODUCT(MIN(((Agenda!$E$5:$E$3004=A288)*((Agenda!$H$5:$H$3004="Agendado")+(Agenda!$H$5:$H$3004="Confirmado")))*Agenda!$A$5:$A$3004+(1-((Agenda!$E$5:$E$3004=A288)*((Agenda!$H$5:$H$3004="Agendado")+(Agenda!$H$5:$H$3004="Confirmado"))))*1E+10))&gt;=1E+10,"",SUMPRODUCT(MIN(((Agenda!$E$5:$E$3004=A288)*((Agenda!$H$5:$H$3004="Agendado")+(Agenda!$H$5:$H$3004="Confirmado")))*Agenda!$A$5:$A$3004+(1-((Agenda!$E$5:$E$3004=A288)*((Agenda!$H$5:$H$3004="Agendado")+(Agenda!$H$5:$H$3004="Confirmado"))))*1E+10))))</f>
        <v/>
      </c>
    </row>
    <row r="289">
      <c r="A289" s="37" t="n"/>
      <c r="B289" s="38" t="n"/>
      <c r="C289" s="38" t="n"/>
      <c r="D289" s="37" t="n"/>
      <c r="E289" s="37" t="n"/>
      <c r="F289" s="30">
        <f>IF(A289="","",COUNTIFS(Agenda!$E$5:$E$3004,A289,Agenda!$H$5:$H$3004,"Realizado"))</f>
        <v/>
      </c>
      <c r="G289" s="30">
        <f>IF(A289="","",COUNTIFS(Agenda!$E$5:$E$3004,A289,Agenda!$H$5:$H$3004,"Falta"))</f>
        <v/>
      </c>
      <c r="H289" s="34">
        <f>IF(A289="","",IF(SUMPRODUCT(MAX((Agenda!$E$5:$E$3004=A289)*(Agenda!$H$5:$H$3004="Realizado")*Agenda!$A$5:$A$3004))=0,"",SUMPRODUCT(MAX((Agenda!$E$5:$E$3004=A289)*(Agenda!$H$5:$H$3004="Realizado")*Agenda!$A$5:$A$3004))))</f>
        <v/>
      </c>
      <c r="I289" s="34">
        <f>IF(A289="","",IF(SUMPRODUCT(MIN(((Agenda!$E$5:$E$3004=A289)*((Agenda!$H$5:$H$3004="Agendado")+(Agenda!$H$5:$H$3004="Confirmado")))*Agenda!$A$5:$A$3004+(1-((Agenda!$E$5:$E$3004=A289)*((Agenda!$H$5:$H$3004="Agendado")+(Agenda!$H$5:$H$3004="Confirmado"))))*1E+10))&gt;=1E+10,"",SUMPRODUCT(MIN(((Agenda!$E$5:$E$3004=A289)*((Agenda!$H$5:$H$3004="Agendado")+(Agenda!$H$5:$H$3004="Confirmado")))*Agenda!$A$5:$A$3004+(1-((Agenda!$E$5:$E$3004=A289)*((Agenda!$H$5:$H$3004="Agendado")+(Agenda!$H$5:$H$3004="Confirmado"))))*1E+10))))</f>
        <v/>
      </c>
    </row>
    <row r="290">
      <c r="A290" s="37" t="n"/>
      <c r="B290" s="38" t="n"/>
      <c r="C290" s="38" t="n"/>
      <c r="D290" s="37" t="n"/>
      <c r="E290" s="37" t="n"/>
      <c r="F290" s="30">
        <f>IF(A290="","",COUNTIFS(Agenda!$E$5:$E$3004,A290,Agenda!$H$5:$H$3004,"Realizado"))</f>
        <v/>
      </c>
      <c r="G290" s="30">
        <f>IF(A290="","",COUNTIFS(Agenda!$E$5:$E$3004,A290,Agenda!$H$5:$H$3004,"Falta"))</f>
        <v/>
      </c>
      <c r="H290" s="34">
        <f>IF(A290="","",IF(SUMPRODUCT(MAX((Agenda!$E$5:$E$3004=A290)*(Agenda!$H$5:$H$3004="Realizado")*Agenda!$A$5:$A$3004))=0,"",SUMPRODUCT(MAX((Agenda!$E$5:$E$3004=A290)*(Agenda!$H$5:$H$3004="Realizado")*Agenda!$A$5:$A$3004))))</f>
        <v/>
      </c>
      <c r="I290" s="34">
        <f>IF(A290="","",IF(SUMPRODUCT(MIN(((Agenda!$E$5:$E$3004=A290)*((Agenda!$H$5:$H$3004="Agendado")+(Agenda!$H$5:$H$3004="Confirmado")))*Agenda!$A$5:$A$3004+(1-((Agenda!$E$5:$E$3004=A290)*((Agenda!$H$5:$H$3004="Agendado")+(Agenda!$H$5:$H$3004="Confirmado"))))*1E+10))&gt;=1E+10,"",SUMPRODUCT(MIN(((Agenda!$E$5:$E$3004=A290)*((Agenda!$H$5:$H$3004="Agendado")+(Agenda!$H$5:$H$3004="Confirmado")))*Agenda!$A$5:$A$3004+(1-((Agenda!$E$5:$E$3004=A290)*((Agenda!$H$5:$H$3004="Agendado")+(Agenda!$H$5:$H$3004="Confirmado"))))*1E+10))))</f>
        <v/>
      </c>
    </row>
    <row r="291">
      <c r="A291" s="37" t="n"/>
      <c r="B291" s="38" t="n"/>
      <c r="C291" s="38" t="n"/>
      <c r="D291" s="37" t="n"/>
      <c r="E291" s="37" t="n"/>
      <c r="F291" s="30">
        <f>IF(A291="","",COUNTIFS(Agenda!$E$5:$E$3004,A291,Agenda!$H$5:$H$3004,"Realizado"))</f>
        <v/>
      </c>
      <c r="G291" s="30">
        <f>IF(A291="","",COUNTIFS(Agenda!$E$5:$E$3004,A291,Agenda!$H$5:$H$3004,"Falta"))</f>
        <v/>
      </c>
      <c r="H291" s="34">
        <f>IF(A291="","",IF(SUMPRODUCT(MAX((Agenda!$E$5:$E$3004=A291)*(Agenda!$H$5:$H$3004="Realizado")*Agenda!$A$5:$A$3004))=0,"",SUMPRODUCT(MAX((Agenda!$E$5:$E$3004=A291)*(Agenda!$H$5:$H$3004="Realizado")*Agenda!$A$5:$A$3004))))</f>
        <v/>
      </c>
      <c r="I291" s="34">
        <f>IF(A291="","",IF(SUMPRODUCT(MIN(((Agenda!$E$5:$E$3004=A291)*((Agenda!$H$5:$H$3004="Agendado")+(Agenda!$H$5:$H$3004="Confirmado")))*Agenda!$A$5:$A$3004+(1-((Agenda!$E$5:$E$3004=A291)*((Agenda!$H$5:$H$3004="Agendado")+(Agenda!$H$5:$H$3004="Confirmado"))))*1E+10))&gt;=1E+10,"",SUMPRODUCT(MIN(((Agenda!$E$5:$E$3004=A291)*((Agenda!$H$5:$H$3004="Agendado")+(Agenda!$H$5:$H$3004="Confirmado")))*Agenda!$A$5:$A$3004+(1-((Agenda!$E$5:$E$3004=A291)*((Agenda!$H$5:$H$3004="Agendado")+(Agenda!$H$5:$H$3004="Confirmado"))))*1E+10))))</f>
        <v/>
      </c>
    </row>
    <row r="292">
      <c r="A292" s="37" t="n"/>
      <c r="B292" s="38" t="n"/>
      <c r="C292" s="38" t="n"/>
      <c r="D292" s="37" t="n"/>
      <c r="E292" s="37" t="n"/>
      <c r="F292" s="30">
        <f>IF(A292="","",COUNTIFS(Agenda!$E$5:$E$3004,A292,Agenda!$H$5:$H$3004,"Realizado"))</f>
        <v/>
      </c>
      <c r="G292" s="30">
        <f>IF(A292="","",COUNTIFS(Agenda!$E$5:$E$3004,A292,Agenda!$H$5:$H$3004,"Falta"))</f>
        <v/>
      </c>
      <c r="H292" s="34">
        <f>IF(A292="","",IF(SUMPRODUCT(MAX((Agenda!$E$5:$E$3004=A292)*(Agenda!$H$5:$H$3004="Realizado")*Agenda!$A$5:$A$3004))=0,"",SUMPRODUCT(MAX((Agenda!$E$5:$E$3004=A292)*(Agenda!$H$5:$H$3004="Realizado")*Agenda!$A$5:$A$3004))))</f>
        <v/>
      </c>
      <c r="I292" s="34">
        <f>IF(A292="","",IF(SUMPRODUCT(MIN(((Agenda!$E$5:$E$3004=A292)*((Agenda!$H$5:$H$3004="Agendado")+(Agenda!$H$5:$H$3004="Confirmado")))*Agenda!$A$5:$A$3004+(1-((Agenda!$E$5:$E$3004=A292)*((Agenda!$H$5:$H$3004="Agendado")+(Agenda!$H$5:$H$3004="Confirmado"))))*1E+10))&gt;=1E+10,"",SUMPRODUCT(MIN(((Agenda!$E$5:$E$3004=A292)*((Agenda!$H$5:$H$3004="Agendado")+(Agenda!$H$5:$H$3004="Confirmado")))*Agenda!$A$5:$A$3004+(1-((Agenda!$E$5:$E$3004=A292)*((Agenda!$H$5:$H$3004="Agendado")+(Agenda!$H$5:$H$3004="Confirmado"))))*1E+10))))</f>
        <v/>
      </c>
    </row>
    <row r="293">
      <c r="A293" s="37" t="n"/>
      <c r="B293" s="38" t="n"/>
      <c r="C293" s="38" t="n"/>
      <c r="D293" s="37" t="n"/>
      <c r="E293" s="37" t="n"/>
      <c r="F293" s="30">
        <f>IF(A293="","",COUNTIFS(Agenda!$E$5:$E$3004,A293,Agenda!$H$5:$H$3004,"Realizado"))</f>
        <v/>
      </c>
      <c r="G293" s="30">
        <f>IF(A293="","",COUNTIFS(Agenda!$E$5:$E$3004,A293,Agenda!$H$5:$H$3004,"Falta"))</f>
        <v/>
      </c>
      <c r="H293" s="34">
        <f>IF(A293="","",IF(SUMPRODUCT(MAX((Agenda!$E$5:$E$3004=A293)*(Agenda!$H$5:$H$3004="Realizado")*Agenda!$A$5:$A$3004))=0,"",SUMPRODUCT(MAX((Agenda!$E$5:$E$3004=A293)*(Agenda!$H$5:$H$3004="Realizado")*Agenda!$A$5:$A$3004))))</f>
        <v/>
      </c>
      <c r="I293" s="34">
        <f>IF(A293="","",IF(SUMPRODUCT(MIN(((Agenda!$E$5:$E$3004=A293)*((Agenda!$H$5:$H$3004="Agendado")+(Agenda!$H$5:$H$3004="Confirmado")))*Agenda!$A$5:$A$3004+(1-((Agenda!$E$5:$E$3004=A293)*((Agenda!$H$5:$H$3004="Agendado")+(Agenda!$H$5:$H$3004="Confirmado"))))*1E+10))&gt;=1E+10,"",SUMPRODUCT(MIN(((Agenda!$E$5:$E$3004=A293)*((Agenda!$H$5:$H$3004="Agendado")+(Agenda!$H$5:$H$3004="Confirmado")))*Agenda!$A$5:$A$3004+(1-((Agenda!$E$5:$E$3004=A293)*((Agenda!$H$5:$H$3004="Agendado")+(Agenda!$H$5:$H$3004="Confirmado"))))*1E+10))))</f>
        <v/>
      </c>
    </row>
    <row r="294">
      <c r="A294" s="37" t="n"/>
      <c r="B294" s="38" t="n"/>
      <c r="C294" s="38" t="n"/>
      <c r="D294" s="37" t="n"/>
      <c r="E294" s="37" t="n"/>
      <c r="F294" s="30">
        <f>IF(A294="","",COUNTIFS(Agenda!$E$5:$E$3004,A294,Agenda!$H$5:$H$3004,"Realizado"))</f>
        <v/>
      </c>
      <c r="G294" s="30">
        <f>IF(A294="","",COUNTIFS(Agenda!$E$5:$E$3004,A294,Agenda!$H$5:$H$3004,"Falta"))</f>
        <v/>
      </c>
      <c r="H294" s="34">
        <f>IF(A294="","",IF(SUMPRODUCT(MAX((Agenda!$E$5:$E$3004=A294)*(Agenda!$H$5:$H$3004="Realizado")*Agenda!$A$5:$A$3004))=0,"",SUMPRODUCT(MAX((Agenda!$E$5:$E$3004=A294)*(Agenda!$H$5:$H$3004="Realizado")*Agenda!$A$5:$A$3004))))</f>
        <v/>
      </c>
      <c r="I294" s="34">
        <f>IF(A294="","",IF(SUMPRODUCT(MIN(((Agenda!$E$5:$E$3004=A294)*((Agenda!$H$5:$H$3004="Agendado")+(Agenda!$H$5:$H$3004="Confirmado")))*Agenda!$A$5:$A$3004+(1-((Agenda!$E$5:$E$3004=A294)*((Agenda!$H$5:$H$3004="Agendado")+(Agenda!$H$5:$H$3004="Confirmado"))))*1E+10))&gt;=1E+10,"",SUMPRODUCT(MIN(((Agenda!$E$5:$E$3004=A294)*((Agenda!$H$5:$H$3004="Agendado")+(Agenda!$H$5:$H$3004="Confirmado")))*Agenda!$A$5:$A$3004+(1-((Agenda!$E$5:$E$3004=A294)*((Agenda!$H$5:$H$3004="Agendado")+(Agenda!$H$5:$H$3004="Confirmado"))))*1E+10))))</f>
        <v/>
      </c>
    </row>
    <row r="295">
      <c r="A295" s="37" t="n"/>
      <c r="B295" s="38" t="n"/>
      <c r="C295" s="38" t="n"/>
      <c r="D295" s="37" t="n"/>
      <c r="E295" s="37" t="n"/>
      <c r="F295" s="30">
        <f>IF(A295="","",COUNTIFS(Agenda!$E$5:$E$3004,A295,Agenda!$H$5:$H$3004,"Realizado"))</f>
        <v/>
      </c>
      <c r="G295" s="30">
        <f>IF(A295="","",COUNTIFS(Agenda!$E$5:$E$3004,A295,Agenda!$H$5:$H$3004,"Falta"))</f>
        <v/>
      </c>
      <c r="H295" s="34">
        <f>IF(A295="","",IF(SUMPRODUCT(MAX((Agenda!$E$5:$E$3004=A295)*(Agenda!$H$5:$H$3004="Realizado")*Agenda!$A$5:$A$3004))=0,"",SUMPRODUCT(MAX((Agenda!$E$5:$E$3004=A295)*(Agenda!$H$5:$H$3004="Realizado")*Agenda!$A$5:$A$3004))))</f>
        <v/>
      </c>
      <c r="I295" s="34">
        <f>IF(A295="","",IF(SUMPRODUCT(MIN(((Agenda!$E$5:$E$3004=A295)*((Agenda!$H$5:$H$3004="Agendado")+(Agenda!$H$5:$H$3004="Confirmado")))*Agenda!$A$5:$A$3004+(1-((Agenda!$E$5:$E$3004=A295)*((Agenda!$H$5:$H$3004="Agendado")+(Agenda!$H$5:$H$3004="Confirmado"))))*1E+10))&gt;=1E+10,"",SUMPRODUCT(MIN(((Agenda!$E$5:$E$3004=A295)*((Agenda!$H$5:$H$3004="Agendado")+(Agenda!$H$5:$H$3004="Confirmado")))*Agenda!$A$5:$A$3004+(1-((Agenda!$E$5:$E$3004=A295)*((Agenda!$H$5:$H$3004="Agendado")+(Agenda!$H$5:$H$3004="Confirmado"))))*1E+10))))</f>
        <v/>
      </c>
    </row>
    <row r="296">
      <c r="A296" s="37" t="n"/>
      <c r="B296" s="38" t="n"/>
      <c r="C296" s="38" t="n"/>
      <c r="D296" s="37" t="n"/>
      <c r="E296" s="37" t="n"/>
      <c r="F296" s="30">
        <f>IF(A296="","",COUNTIFS(Agenda!$E$5:$E$3004,A296,Agenda!$H$5:$H$3004,"Realizado"))</f>
        <v/>
      </c>
      <c r="G296" s="30">
        <f>IF(A296="","",COUNTIFS(Agenda!$E$5:$E$3004,A296,Agenda!$H$5:$H$3004,"Falta"))</f>
        <v/>
      </c>
      <c r="H296" s="34">
        <f>IF(A296="","",IF(SUMPRODUCT(MAX((Agenda!$E$5:$E$3004=A296)*(Agenda!$H$5:$H$3004="Realizado")*Agenda!$A$5:$A$3004))=0,"",SUMPRODUCT(MAX((Agenda!$E$5:$E$3004=A296)*(Agenda!$H$5:$H$3004="Realizado")*Agenda!$A$5:$A$3004))))</f>
        <v/>
      </c>
      <c r="I296" s="34">
        <f>IF(A296="","",IF(SUMPRODUCT(MIN(((Agenda!$E$5:$E$3004=A296)*((Agenda!$H$5:$H$3004="Agendado")+(Agenda!$H$5:$H$3004="Confirmado")))*Agenda!$A$5:$A$3004+(1-((Agenda!$E$5:$E$3004=A296)*((Agenda!$H$5:$H$3004="Agendado")+(Agenda!$H$5:$H$3004="Confirmado"))))*1E+10))&gt;=1E+10,"",SUMPRODUCT(MIN(((Agenda!$E$5:$E$3004=A296)*((Agenda!$H$5:$H$3004="Agendado")+(Agenda!$H$5:$H$3004="Confirmado")))*Agenda!$A$5:$A$3004+(1-((Agenda!$E$5:$E$3004=A296)*((Agenda!$H$5:$H$3004="Agendado")+(Agenda!$H$5:$H$3004="Confirmado"))))*1E+10))))</f>
        <v/>
      </c>
    </row>
    <row r="297">
      <c r="A297" s="37" t="n"/>
      <c r="B297" s="38" t="n"/>
      <c r="C297" s="38" t="n"/>
      <c r="D297" s="37" t="n"/>
      <c r="E297" s="37" t="n"/>
      <c r="F297" s="30">
        <f>IF(A297="","",COUNTIFS(Agenda!$E$5:$E$3004,A297,Agenda!$H$5:$H$3004,"Realizado"))</f>
        <v/>
      </c>
      <c r="G297" s="30">
        <f>IF(A297="","",COUNTIFS(Agenda!$E$5:$E$3004,A297,Agenda!$H$5:$H$3004,"Falta"))</f>
        <v/>
      </c>
      <c r="H297" s="34">
        <f>IF(A297="","",IF(SUMPRODUCT(MAX((Agenda!$E$5:$E$3004=A297)*(Agenda!$H$5:$H$3004="Realizado")*Agenda!$A$5:$A$3004))=0,"",SUMPRODUCT(MAX((Agenda!$E$5:$E$3004=A297)*(Agenda!$H$5:$H$3004="Realizado")*Agenda!$A$5:$A$3004))))</f>
        <v/>
      </c>
      <c r="I297" s="34">
        <f>IF(A297="","",IF(SUMPRODUCT(MIN(((Agenda!$E$5:$E$3004=A297)*((Agenda!$H$5:$H$3004="Agendado")+(Agenda!$H$5:$H$3004="Confirmado")))*Agenda!$A$5:$A$3004+(1-((Agenda!$E$5:$E$3004=A297)*((Agenda!$H$5:$H$3004="Agendado")+(Agenda!$H$5:$H$3004="Confirmado"))))*1E+10))&gt;=1E+10,"",SUMPRODUCT(MIN(((Agenda!$E$5:$E$3004=A297)*((Agenda!$H$5:$H$3004="Agendado")+(Agenda!$H$5:$H$3004="Confirmado")))*Agenda!$A$5:$A$3004+(1-((Agenda!$E$5:$E$3004=A297)*((Agenda!$H$5:$H$3004="Agendado")+(Agenda!$H$5:$H$3004="Confirmado"))))*1E+10))))</f>
        <v/>
      </c>
    </row>
    <row r="298">
      <c r="A298" s="37" t="n"/>
      <c r="B298" s="38" t="n"/>
      <c r="C298" s="38" t="n"/>
      <c r="D298" s="37" t="n"/>
      <c r="E298" s="37" t="n"/>
      <c r="F298" s="30">
        <f>IF(A298="","",COUNTIFS(Agenda!$E$5:$E$3004,A298,Agenda!$H$5:$H$3004,"Realizado"))</f>
        <v/>
      </c>
      <c r="G298" s="30">
        <f>IF(A298="","",COUNTIFS(Agenda!$E$5:$E$3004,A298,Agenda!$H$5:$H$3004,"Falta"))</f>
        <v/>
      </c>
      <c r="H298" s="34">
        <f>IF(A298="","",IF(SUMPRODUCT(MAX((Agenda!$E$5:$E$3004=A298)*(Agenda!$H$5:$H$3004="Realizado")*Agenda!$A$5:$A$3004))=0,"",SUMPRODUCT(MAX((Agenda!$E$5:$E$3004=A298)*(Agenda!$H$5:$H$3004="Realizado")*Agenda!$A$5:$A$3004))))</f>
        <v/>
      </c>
      <c r="I298" s="34">
        <f>IF(A298="","",IF(SUMPRODUCT(MIN(((Agenda!$E$5:$E$3004=A298)*((Agenda!$H$5:$H$3004="Agendado")+(Agenda!$H$5:$H$3004="Confirmado")))*Agenda!$A$5:$A$3004+(1-((Agenda!$E$5:$E$3004=A298)*((Agenda!$H$5:$H$3004="Agendado")+(Agenda!$H$5:$H$3004="Confirmado"))))*1E+10))&gt;=1E+10,"",SUMPRODUCT(MIN(((Agenda!$E$5:$E$3004=A298)*((Agenda!$H$5:$H$3004="Agendado")+(Agenda!$H$5:$H$3004="Confirmado")))*Agenda!$A$5:$A$3004+(1-((Agenda!$E$5:$E$3004=A298)*((Agenda!$H$5:$H$3004="Agendado")+(Agenda!$H$5:$H$3004="Confirmado"))))*1E+10))))</f>
        <v/>
      </c>
    </row>
    <row r="299">
      <c r="A299" s="37" t="n"/>
      <c r="B299" s="38" t="n"/>
      <c r="C299" s="38" t="n"/>
      <c r="D299" s="37" t="n"/>
      <c r="E299" s="37" t="n"/>
      <c r="F299" s="30">
        <f>IF(A299="","",COUNTIFS(Agenda!$E$5:$E$3004,A299,Agenda!$H$5:$H$3004,"Realizado"))</f>
        <v/>
      </c>
      <c r="G299" s="30">
        <f>IF(A299="","",COUNTIFS(Agenda!$E$5:$E$3004,A299,Agenda!$H$5:$H$3004,"Falta"))</f>
        <v/>
      </c>
      <c r="H299" s="34">
        <f>IF(A299="","",IF(SUMPRODUCT(MAX((Agenda!$E$5:$E$3004=A299)*(Agenda!$H$5:$H$3004="Realizado")*Agenda!$A$5:$A$3004))=0,"",SUMPRODUCT(MAX((Agenda!$E$5:$E$3004=A299)*(Agenda!$H$5:$H$3004="Realizado")*Agenda!$A$5:$A$3004))))</f>
        <v/>
      </c>
      <c r="I299" s="34">
        <f>IF(A299="","",IF(SUMPRODUCT(MIN(((Agenda!$E$5:$E$3004=A299)*((Agenda!$H$5:$H$3004="Agendado")+(Agenda!$H$5:$H$3004="Confirmado")))*Agenda!$A$5:$A$3004+(1-((Agenda!$E$5:$E$3004=A299)*((Agenda!$H$5:$H$3004="Agendado")+(Agenda!$H$5:$H$3004="Confirmado"))))*1E+10))&gt;=1E+10,"",SUMPRODUCT(MIN(((Agenda!$E$5:$E$3004=A299)*((Agenda!$H$5:$H$3004="Agendado")+(Agenda!$H$5:$H$3004="Confirmado")))*Agenda!$A$5:$A$3004+(1-((Agenda!$E$5:$E$3004=A299)*((Agenda!$H$5:$H$3004="Agendado")+(Agenda!$H$5:$H$3004="Confirmado"))))*1E+10))))</f>
        <v/>
      </c>
    </row>
    <row r="300">
      <c r="A300" s="37" t="n"/>
      <c r="B300" s="38" t="n"/>
      <c r="C300" s="38" t="n"/>
      <c r="D300" s="37" t="n"/>
      <c r="E300" s="37" t="n"/>
      <c r="F300" s="30">
        <f>IF(A300="","",COUNTIFS(Agenda!$E$5:$E$3004,A300,Agenda!$H$5:$H$3004,"Realizado"))</f>
        <v/>
      </c>
      <c r="G300" s="30">
        <f>IF(A300="","",COUNTIFS(Agenda!$E$5:$E$3004,A300,Agenda!$H$5:$H$3004,"Falta"))</f>
        <v/>
      </c>
      <c r="H300" s="34">
        <f>IF(A300="","",IF(SUMPRODUCT(MAX((Agenda!$E$5:$E$3004=A300)*(Agenda!$H$5:$H$3004="Realizado")*Agenda!$A$5:$A$3004))=0,"",SUMPRODUCT(MAX((Agenda!$E$5:$E$3004=A300)*(Agenda!$H$5:$H$3004="Realizado")*Agenda!$A$5:$A$3004))))</f>
        <v/>
      </c>
      <c r="I300" s="34">
        <f>IF(A300="","",IF(SUMPRODUCT(MIN(((Agenda!$E$5:$E$3004=A300)*((Agenda!$H$5:$H$3004="Agendado")+(Agenda!$H$5:$H$3004="Confirmado")))*Agenda!$A$5:$A$3004+(1-((Agenda!$E$5:$E$3004=A300)*((Agenda!$H$5:$H$3004="Agendado")+(Agenda!$H$5:$H$3004="Confirmado"))))*1E+10))&gt;=1E+10,"",SUMPRODUCT(MIN(((Agenda!$E$5:$E$3004=A300)*((Agenda!$H$5:$H$3004="Agendado")+(Agenda!$H$5:$H$3004="Confirmado")))*Agenda!$A$5:$A$3004+(1-((Agenda!$E$5:$E$3004=A300)*((Agenda!$H$5:$H$3004="Agendado")+(Agenda!$H$5:$H$3004="Confirmado"))))*1E+10))))</f>
        <v/>
      </c>
    </row>
    <row r="301">
      <c r="A301" s="37" t="n"/>
      <c r="B301" s="38" t="n"/>
      <c r="C301" s="38" t="n"/>
      <c r="D301" s="37" t="n"/>
      <c r="E301" s="37" t="n"/>
      <c r="F301" s="30">
        <f>IF(A301="","",COUNTIFS(Agenda!$E$5:$E$3004,A301,Agenda!$H$5:$H$3004,"Realizado"))</f>
        <v/>
      </c>
      <c r="G301" s="30">
        <f>IF(A301="","",COUNTIFS(Agenda!$E$5:$E$3004,A301,Agenda!$H$5:$H$3004,"Falta"))</f>
        <v/>
      </c>
      <c r="H301" s="34">
        <f>IF(A301="","",IF(SUMPRODUCT(MAX((Agenda!$E$5:$E$3004=A301)*(Agenda!$H$5:$H$3004="Realizado")*Agenda!$A$5:$A$3004))=0,"",SUMPRODUCT(MAX((Agenda!$E$5:$E$3004=A301)*(Agenda!$H$5:$H$3004="Realizado")*Agenda!$A$5:$A$3004))))</f>
        <v/>
      </c>
      <c r="I301" s="34">
        <f>IF(A301="","",IF(SUMPRODUCT(MIN(((Agenda!$E$5:$E$3004=A301)*((Agenda!$H$5:$H$3004="Agendado")+(Agenda!$H$5:$H$3004="Confirmado")))*Agenda!$A$5:$A$3004+(1-((Agenda!$E$5:$E$3004=A301)*((Agenda!$H$5:$H$3004="Agendado")+(Agenda!$H$5:$H$3004="Confirmado"))))*1E+10))&gt;=1E+10,"",SUMPRODUCT(MIN(((Agenda!$E$5:$E$3004=A301)*((Agenda!$H$5:$H$3004="Agendado")+(Agenda!$H$5:$H$3004="Confirmado")))*Agenda!$A$5:$A$3004+(1-((Agenda!$E$5:$E$3004=A301)*((Agenda!$H$5:$H$3004="Agendado")+(Agenda!$H$5:$H$3004="Confirmado"))))*1E+10))))</f>
        <v/>
      </c>
    </row>
    <row r="302">
      <c r="A302" s="37" t="n"/>
      <c r="B302" s="38" t="n"/>
      <c r="C302" s="38" t="n"/>
      <c r="D302" s="37" t="n"/>
      <c r="E302" s="37" t="n"/>
      <c r="F302" s="30">
        <f>IF(A302="","",COUNTIFS(Agenda!$E$5:$E$3004,A302,Agenda!$H$5:$H$3004,"Realizado"))</f>
        <v/>
      </c>
      <c r="G302" s="30">
        <f>IF(A302="","",COUNTIFS(Agenda!$E$5:$E$3004,A302,Agenda!$H$5:$H$3004,"Falta"))</f>
        <v/>
      </c>
      <c r="H302" s="34">
        <f>IF(A302="","",IF(SUMPRODUCT(MAX((Agenda!$E$5:$E$3004=A302)*(Agenda!$H$5:$H$3004="Realizado")*Agenda!$A$5:$A$3004))=0,"",SUMPRODUCT(MAX((Agenda!$E$5:$E$3004=A302)*(Agenda!$H$5:$H$3004="Realizado")*Agenda!$A$5:$A$3004))))</f>
        <v/>
      </c>
      <c r="I302" s="34">
        <f>IF(A302="","",IF(SUMPRODUCT(MIN(((Agenda!$E$5:$E$3004=A302)*((Agenda!$H$5:$H$3004="Agendado")+(Agenda!$H$5:$H$3004="Confirmado")))*Agenda!$A$5:$A$3004+(1-((Agenda!$E$5:$E$3004=A302)*((Agenda!$H$5:$H$3004="Agendado")+(Agenda!$H$5:$H$3004="Confirmado"))))*1E+10))&gt;=1E+10,"",SUMPRODUCT(MIN(((Agenda!$E$5:$E$3004=A302)*((Agenda!$H$5:$H$3004="Agendado")+(Agenda!$H$5:$H$3004="Confirmado")))*Agenda!$A$5:$A$3004+(1-((Agenda!$E$5:$E$3004=A302)*((Agenda!$H$5:$H$3004="Agendado")+(Agenda!$H$5:$H$3004="Confirmado"))))*1E+10))))</f>
        <v/>
      </c>
    </row>
    <row r="303">
      <c r="A303" s="37" t="n"/>
      <c r="B303" s="38" t="n"/>
      <c r="C303" s="38" t="n"/>
      <c r="D303" s="37" t="n"/>
      <c r="E303" s="37" t="n"/>
      <c r="F303" s="30">
        <f>IF(A303="","",COUNTIFS(Agenda!$E$5:$E$3004,A303,Agenda!$H$5:$H$3004,"Realizado"))</f>
        <v/>
      </c>
      <c r="G303" s="30">
        <f>IF(A303="","",COUNTIFS(Agenda!$E$5:$E$3004,A303,Agenda!$H$5:$H$3004,"Falta"))</f>
        <v/>
      </c>
      <c r="H303" s="34">
        <f>IF(A303="","",IF(SUMPRODUCT(MAX((Agenda!$E$5:$E$3004=A303)*(Agenda!$H$5:$H$3004="Realizado")*Agenda!$A$5:$A$3004))=0,"",SUMPRODUCT(MAX((Agenda!$E$5:$E$3004=A303)*(Agenda!$H$5:$H$3004="Realizado")*Agenda!$A$5:$A$3004))))</f>
        <v/>
      </c>
      <c r="I303" s="34">
        <f>IF(A303="","",IF(SUMPRODUCT(MIN(((Agenda!$E$5:$E$3004=A303)*((Agenda!$H$5:$H$3004="Agendado")+(Agenda!$H$5:$H$3004="Confirmado")))*Agenda!$A$5:$A$3004+(1-((Agenda!$E$5:$E$3004=A303)*((Agenda!$H$5:$H$3004="Agendado")+(Agenda!$H$5:$H$3004="Confirmado"))))*1E+10))&gt;=1E+10,"",SUMPRODUCT(MIN(((Agenda!$E$5:$E$3004=A303)*((Agenda!$H$5:$H$3004="Agendado")+(Agenda!$H$5:$H$3004="Confirmado")))*Agenda!$A$5:$A$3004+(1-((Agenda!$E$5:$E$3004=A303)*((Agenda!$H$5:$H$3004="Agendado")+(Agenda!$H$5:$H$3004="Confirmado"))))*1E+10))))</f>
        <v/>
      </c>
    </row>
    <row r="304">
      <c r="A304" s="37" t="n"/>
      <c r="B304" s="38" t="n"/>
      <c r="C304" s="38" t="n"/>
      <c r="D304" s="37" t="n"/>
      <c r="E304" s="37" t="n"/>
      <c r="F304" s="30">
        <f>IF(A304="","",COUNTIFS(Agenda!$E$5:$E$3004,A304,Agenda!$H$5:$H$3004,"Realizado"))</f>
        <v/>
      </c>
      <c r="G304" s="30">
        <f>IF(A304="","",COUNTIFS(Agenda!$E$5:$E$3004,A304,Agenda!$H$5:$H$3004,"Falta"))</f>
        <v/>
      </c>
      <c r="H304" s="34">
        <f>IF(A304="","",IF(SUMPRODUCT(MAX((Agenda!$E$5:$E$3004=A304)*(Agenda!$H$5:$H$3004="Realizado")*Agenda!$A$5:$A$3004))=0,"",SUMPRODUCT(MAX((Agenda!$E$5:$E$3004=A304)*(Agenda!$H$5:$H$3004="Realizado")*Agenda!$A$5:$A$3004))))</f>
        <v/>
      </c>
      <c r="I304" s="34">
        <f>IF(A304="","",IF(SUMPRODUCT(MIN(((Agenda!$E$5:$E$3004=A304)*((Agenda!$H$5:$H$3004="Agendado")+(Agenda!$H$5:$H$3004="Confirmado")))*Agenda!$A$5:$A$3004+(1-((Agenda!$E$5:$E$3004=A304)*((Agenda!$H$5:$H$3004="Agendado")+(Agenda!$H$5:$H$3004="Confirmado"))))*1E+10))&gt;=1E+10,"",SUMPRODUCT(MIN(((Agenda!$E$5:$E$3004=A304)*((Agenda!$H$5:$H$3004="Agendado")+(Agenda!$H$5:$H$3004="Confirmado")))*Agenda!$A$5:$A$3004+(1-((Agenda!$E$5:$E$3004=A304)*((Agenda!$H$5:$H$3004="Agendado")+(Agenda!$H$5:$H$3004="Confirmado"))))*1E+10))))</f>
        <v/>
      </c>
    </row>
    <row r="305">
      <c r="A305" s="37" t="n"/>
      <c r="B305" s="38" t="n"/>
      <c r="C305" s="38" t="n"/>
      <c r="D305" s="37" t="n"/>
      <c r="E305" s="37" t="n"/>
      <c r="F305" s="30">
        <f>IF(A305="","",COUNTIFS(Agenda!$E$5:$E$3004,A305,Agenda!$H$5:$H$3004,"Realizado"))</f>
        <v/>
      </c>
      <c r="G305" s="30">
        <f>IF(A305="","",COUNTIFS(Agenda!$E$5:$E$3004,A305,Agenda!$H$5:$H$3004,"Falta"))</f>
        <v/>
      </c>
      <c r="H305" s="34">
        <f>IF(A305="","",IF(SUMPRODUCT(MAX((Agenda!$E$5:$E$3004=A305)*(Agenda!$H$5:$H$3004="Realizado")*Agenda!$A$5:$A$3004))=0,"",SUMPRODUCT(MAX((Agenda!$E$5:$E$3004=A305)*(Agenda!$H$5:$H$3004="Realizado")*Agenda!$A$5:$A$3004))))</f>
        <v/>
      </c>
      <c r="I305" s="34">
        <f>IF(A305="","",IF(SUMPRODUCT(MIN(((Agenda!$E$5:$E$3004=A305)*((Agenda!$H$5:$H$3004="Agendado")+(Agenda!$H$5:$H$3004="Confirmado")))*Agenda!$A$5:$A$3004+(1-((Agenda!$E$5:$E$3004=A305)*((Agenda!$H$5:$H$3004="Agendado")+(Agenda!$H$5:$H$3004="Confirmado"))))*1E+10))&gt;=1E+10,"",SUMPRODUCT(MIN(((Agenda!$E$5:$E$3004=A305)*((Agenda!$H$5:$H$3004="Agendado")+(Agenda!$H$5:$H$3004="Confirmado")))*Agenda!$A$5:$A$3004+(1-((Agenda!$E$5:$E$3004=A305)*((Agenda!$H$5:$H$3004="Agendado")+(Agenda!$H$5:$H$3004="Confirmado"))))*1E+10))))</f>
        <v/>
      </c>
    </row>
    <row r="306">
      <c r="A306" s="37" t="n"/>
      <c r="B306" s="38" t="n"/>
      <c r="C306" s="38" t="n"/>
      <c r="D306" s="37" t="n"/>
      <c r="E306" s="37" t="n"/>
      <c r="F306" s="30">
        <f>IF(A306="","",COUNTIFS(Agenda!$E$5:$E$3004,A306,Agenda!$H$5:$H$3004,"Realizado"))</f>
        <v/>
      </c>
      <c r="G306" s="30">
        <f>IF(A306="","",COUNTIFS(Agenda!$E$5:$E$3004,A306,Agenda!$H$5:$H$3004,"Falta"))</f>
        <v/>
      </c>
      <c r="H306" s="34">
        <f>IF(A306="","",IF(SUMPRODUCT(MAX((Agenda!$E$5:$E$3004=A306)*(Agenda!$H$5:$H$3004="Realizado")*Agenda!$A$5:$A$3004))=0,"",SUMPRODUCT(MAX((Agenda!$E$5:$E$3004=A306)*(Agenda!$H$5:$H$3004="Realizado")*Agenda!$A$5:$A$3004))))</f>
        <v/>
      </c>
      <c r="I306" s="34">
        <f>IF(A306="","",IF(SUMPRODUCT(MIN(((Agenda!$E$5:$E$3004=A306)*((Agenda!$H$5:$H$3004="Agendado")+(Agenda!$H$5:$H$3004="Confirmado")))*Agenda!$A$5:$A$3004+(1-((Agenda!$E$5:$E$3004=A306)*((Agenda!$H$5:$H$3004="Agendado")+(Agenda!$H$5:$H$3004="Confirmado"))))*1E+10))&gt;=1E+10,"",SUMPRODUCT(MIN(((Agenda!$E$5:$E$3004=A306)*((Agenda!$H$5:$H$3004="Agendado")+(Agenda!$H$5:$H$3004="Confirmado")))*Agenda!$A$5:$A$3004+(1-((Agenda!$E$5:$E$3004=A306)*((Agenda!$H$5:$H$3004="Agendado")+(Agenda!$H$5:$H$3004="Confirmado"))))*1E+10))))</f>
        <v/>
      </c>
    </row>
    <row r="307">
      <c r="A307" s="37" t="n"/>
      <c r="B307" s="38" t="n"/>
      <c r="C307" s="38" t="n"/>
      <c r="D307" s="37" t="n"/>
      <c r="E307" s="37" t="n"/>
      <c r="F307" s="30">
        <f>IF(A307="","",COUNTIFS(Agenda!$E$5:$E$3004,A307,Agenda!$H$5:$H$3004,"Realizado"))</f>
        <v/>
      </c>
      <c r="G307" s="30">
        <f>IF(A307="","",COUNTIFS(Agenda!$E$5:$E$3004,A307,Agenda!$H$5:$H$3004,"Falta"))</f>
        <v/>
      </c>
      <c r="H307" s="34">
        <f>IF(A307="","",IF(SUMPRODUCT(MAX((Agenda!$E$5:$E$3004=A307)*(Agenda!$H$5:$H$3004="Realizado")*Agenda!$A$5:$A$3004))=0,"",SUMPRODUCT(MAX((Agenda!$E$5:$E$3004=A307)*(Agenda!$H$5:$H$3004="Realizado")*Agenda!$A$5:$A$3004))))</f>
        <v/>
      </c>
      <c r="I307" s="34">
        <f>IF(A307="","",IF(SUMPRODUCT(MIN(((Agenda!$E$5:$E$3004=A307)*((Agenda!$H$5:$H$3004="Agendado")+(Agenda!$H$5:$H$3004="Confirmado")))*Agenda!$A$5:$A$3004+(1-((Agenda!$E$5:$E$3004=A307)*((Agenda!$H$5:$H$3004="Agendado")+(Agenda!$H$5:$H$3004="Confirmado"))))*1E+10))&gt;=1E+10,"",SUMPRODUCT(MIN(((Agenda!$E$5:$E$3004=A307)*((Agenda!$H$5:$H$3004="Agendado")+(Agenda!$H$5:$H$3004="Confirmado")))*Agenda!$A$5:$A$3004+(1-((Agenda!$E$5:$E$3004=A307)*((Agenda!$H$5:$H$3004="Agendado")+(Agenda!$H$5:$H$3004="Confirmado"))))*1E+10))))</f>
        <v/>
      </c>
    </row>
    <row r="308">
      <c r="A308" s="37" t="n"/>
      <c r="B308" s="38" t="n"/>
      <c r="C308" s="38" t="n"/>
      <c r="D308" s="37" t="n"/>
      <c r="E308" s="37" t="n"/>
      <c r="F308" s="30">
        <f>IF(A308="","",COUNTIFS(Agenda!$E$5:$E$3004,A308,Agenda!$H$5:$H$3004,"Realizado"))</f>
        <v/>
      </c>
      <c r="G308" s="30">
        <f>IF(A308="","",COUNTIFS(Agenda!$E$5:$E$3004,A308,Agenda!$H$5:$H$3004,"Falta"))</f>
        <v/>
      </c>
      <c r="H308" s="34">
        <f>IF(A308="","",IF(SUMPRODUCT(MAX((Agenda!$E$5:$E$3004=A308)*(Agenda!$H$5:$H$3004="Realizado")*Agenda!$A$5:$A$3004))=0,"",SUMPRODUCT(MAX((Agenda!$E$5:$E$3004=A308)*(Agenda!$H$5:$H$3004="Realizado")*Agenda!$A$5:$A$3004))))</f>
        <v/>
      </c>
      <c r="I308" s="34">
        <f>IF(A308="","",IF(SUMPRODUCT(MIN(((Agenda!$E$5:$E$3004=A308)*((Agenda!$H$5:$H$3004="Agendado")+(Agenda!$H$5:$H$3004="Confirmado")))*Agenda!$A$5:$A$3004+(1-((Agenda!$E$5:$E$3004=A308)*((Agenda!$H$5:$H$3004="Agendado")+(Agenda!$H$5:$H$3004="Confirmado"))))*1E+10))&gt;=1E+10,"",SUMPRODUCT(MIN(((Agenda!$E$5:$E$3004=A308)*((Agenda!$H$5:$H$3004="Agendado")+(Agenda!$H$5:$H$3004="Confirmado")))*Agenda!$A$5:$A$3004+(1-((Agenda!$E$5:$E$3004=A308)*((Agenda!$H$5:$H$3004="Agendado")+(Agenda!$H$5:$H$3004="Confirmado"))))*1E+10))))</f>
        <v/>
      </c>
    </row>
    <row r="309">
      <c r="A309" s="37" t="n"/>
      <c r="B309" s="38" t="n"/>
      <c r="C309" s="38" t="n"/>
      <c r="D309" s="37" t="n"/>
      <c r="E309" s="37" t="n"/>
      <c r="F309" s="30">
        <f>IF(A309="","",COUNTIFS(Agenda!$E$5:$E$3004,A309,Agenda!$H$5:$H$3004,"Realizado"))</f>
        <v/>
      </c>
      <c r="G309" s="30">
        <f>IF(A309="","",COUNTIFS(Agenda!$E$5:$E$3004,A309,Agenda!$H$5:$H$3004,"Falta"))</f>
        <v/>
      </c>
      <c r="H309" s="34">
        <f>IF(A309="","",IF(SUMPRODUCT(MAX((Agenda!$E$5:$E$3004=A309)*(Agenda!$H$5:$H$3004="Realizado")*Agenda!$A$5:$A$3004))=0,"",SUMPRODUCT(MAX((Agenda!$E$5:$E$3004=A309)*(Agenda!$H$5:$H$3004="Realizado")*Agenda!$A$5:$A$3004))))</f>
        <v/>
      </c>
      <c r="I309" s="34">
        <f>IF(A309="","",IF(SUMPRODUCT(MIN(((Agenda!$E$5:$E$3004=A309)*((Agenda!$H$5:$H$3004="Agendado")+(Agenda!$H$5:$H$3004="Confirmado")))*Agenda!$A$5:$A$3004+(1-((Agenda!$E$5:$E$3004=A309)*((Agenda!$H$5:$H$3004="Agendado")+(Agenda!$H$5:$H$3004="Confirmado"))))*1E+10))&gt;=1E+10,"",SUMPRODUCT(MIN(((Agenda!$E$5:$E$3004=A309)*((Agenda!$H$5:$H$3004="Agendado")+(Agenda!$H$5:$H$3004="Confirmado")))*Agenda!$A$5:$A$3004+(1-((Agenda!$E$5:$E$3004=A309)*((Agenda!$H$5:$H$3004="Agendado")+(Agenda!$H$5:$H$3004="Confirmado"))))*1E+10))))</f>
        <v/>
      </c>
    </row>
    <row r="310">
      <c r="A310" s="37" t="n"/>
      <c r="B310" s="38" t="n"/>
      <c r="C310" s="38" t="n"/>
      <c r="D310" s="37" t="n"/>
      <c r="E310" s="37" t="n"/>
      <c r="F310" s="30">
        <f>IF(A310="","",COUNTIFS(Agenda!$E$5:$E$3004,A310,Agenda!$H$5:$H$3004,"Realizado"))</f>
        <v/>
      </c>
      <c r="G310" s="30">
        <f>IF(A310="","",COUNTIFS(Agenda!$E$5:$E$3004,A310,Agenda!$H$5:$H$3004,"Falta"))</f>
        <v/>
      </c>
      <c r="H310" s="34">
        <f>IF(A310="","",IF(SUMPRODUCT(MAX((Agenda!$E$5:$E$3004=A310)*(Agenda!$H$5:$H$3004="Realizado")*Agenda!$A$5:$A$3004))=0,"",SUMPRODUCT(MAX((Agenda!$E$5:$E$3004=A310)*(Agenda!$H$5:$H$3004="Realizado")*Agenda!$A$5:$A$3004))))</f>
        <v/>
      </c>
      <c r="I310" s="34">
        <f>IF(A310="","",IF(SUMPRODUCT(MIN(((Agenda!$E$5:$E$3004=A310)*((Agenda!$H$5:$H$3004="Agendado")+(Agenda!$H$5:$H$3004="Confirmado")))*Agenda!$A$5:$A$3004+(1-((Agenda!$E$5:$E$3004=A310)*((Agenda!$H$5:$H$3004="Agendado")+(Agenda!$H$5:$H$3004="Confirmado"))))*1E+10))&gt;=1E+10,"",SUMPRODUCT(MIN(((Agenda!$E$5:$E$3004=A310)*((Agenda!$H$5:$H$3004="Agendado")+(Agenda!$H$5:$H$3004="Confirmado")))*Agenda!$A$5:$A$3004+(1-((Agenda!$E$5:$E$3004=A310)*((Agenda!$H$5:$H$3004="Agendado")+(Agenda!$H$5:$H$3004="Confirmado"))))*1E+10))))</f>
        <v/>
      </c>
    </row>
    <row r="311">
      <c r="A311" s="37" t="n"/>
      <c r="B311" s="38" t="n"/>
      <c r="C311" s="38" t="n"/>
      <c r="D311" s="37" t="n"/>
      <c r="E311" s="37" t="n"/>
      <c r="F311" s="30">
        <f>IF(A311="","",COUNTIFS(Agenda!$E$5:$E$3004,A311,Agenda!$H$5:$H$3004,"Realizado"))</f>
        <v/>
      </c>
      <c r="G311" s="30">
        <f>IF(A311="","",COUNTIFS(Agenda!$E$5:$E$3004,A311,Agenda!$H$5:$H$3004,"Falta"))</f>
        <v/>
      </c>
      <c r="H311" s="34">
        <f>IF(A311="","",IF(SUMPRODUCT(MAX((Agenda!$E$5:$E$3004=A311)*(Agenda!$H$5:$H$3004="Realizado")*Agenda!$A$5:$A$3004))=0,"",SUMPRODUCT(MAX((Agenda!$E$5:$E$3004=A311)*(Agenda!$H$5:$H$3004="Realizado")*Agenda!$A$5:$A$3004))))</f>
        <v/>
      </c>
      <c r="I311" s="34">
        <f>IF(A311="","",IF(SUMPRODUCT(MIN(((Agenda!$E$5:$E$3004=A311)*((Agenda!$H$5:$H$3004="Agendado")+(Agenda!$H$5:$H$3004="Confirmado")))*Agenda!$A$5:$A$3004+(1-((Agenda!$E$5:$E$3004=A311)*((Agenda!$H$5:$H$3004="Agendado")+(Agenda!$H$5:$H$3004="Confirmado"))))*1E+10))&gt;=1E+10,"",SUMPRODUCT(MIN(((Agenda!$E$5:$E$3004=A311)*((Agenda!$H$5:$H$3004="Agendado")+(Agenda!$H$5:$H$3004="Confirmado")))*Agenda!$A$5:$A$3004+(1-((Agenda!$E$5:$E$3004=A311)*((Agenda!$H$5:$H$3004="Agendado")+(Agenda!$H$5:$H$3004="Confirmado"))))*1E+10))))</f>
        <v/>
      </c>
    </row>
    <row r="312">
      <c r="A312" s="37" t="n"/>
      <c r="B312" s="38" t="n"/>
      <c r="C312" s="38" t="n"/>
      <c r="D312" s="37" t="n"/>
      <c r="E312" s="37" t="n"/>
      <c r="F312" s="30">
        <f>IF(A312="","",COUNTIFS(Agenda!$E$5:$E$3004,A312,Agenda!$H$5:$H$3004,"Realizado"))</f>
        <v/>
      </c>
      <c r="G312" s="30">
        <f>IF(A312="","",COUNTIFS(Agenda!$E$5:$E$3004,A312,Agenda!$H$5:$H$3004,"Falta"))</f>
        <v/>
      </c>
      <c r="H312" s="34">
        <f>IF(A312="","",IF(SUMPRODUCT(MAX((Agenda!$E$5:$E$3004=A312)*(Agenda!$H$5:$H$3004="Realizado")*Agenda!$A$5:$A$3004))=0,"",SUMPRODUCT(MAX((Agenda!$E$5:$E$3004=A312)*(Agenda!$H$5:$H$3004="Realizado")*Agenda!$A$5:$A$3004))))</f>
        <v/>
      </c>
      <c r="I312" s="34">
        <f>IF(A312="","",IF(SUMPRODUCT(MIN(((Agenda!$E$5:$E$3004=A312)*((Agenda!$H$5:$H$3004="Agendado")+(Agenda!$H$5:$H$3004="Confirmado")))*Agenda!$A$5:$A$3004+(1-((Agenda!$E$5:$E$3004=A312)*((Agenda!$H$5:$H$3004="Agendado")+(Agenda!$H$5:$H$3004="Confirmado"))))*1E+10))&gt;=1E+10,"",SUMPRODUCT(MIN(((Agenda!$E$5:$E$3004=A312)*((Agenda!$H$5:$H$3004="Agendado")+(Agenda!$H$5:$H$3004="Confirmado")))*Agenda!$A$5:$A$3004+(1-((Agenda!$E$5:$E$3004=A312)*((Agenda!$H$5:$H$3004="Agendado")+(Agenda!$H$5:$H$3004="Confirmado"))))*1E+10))))</f>
        <v/>
      </c>
    </row>
    <row r="313">
      <c r="A313" s="37" t="n"/>
      <c r="B313" s="38" t="n"/>
      <c r="C313" s="38" t="n"/>
      <c r="D313" s="37" t="n"/>
      <c r="E313" s="37" t="n"/>
      <c r="F313" s="30">
        <f>IF(A313="","",COUNTIFS(Agenda!$E$5:$E$3004,A313,Agenda!$H$5:$H$3004,"Realizado"))</f>
        <v/>
      </c>
      <c r="G313" s="30">
        <f>IF(A313="","",COUNTIFS(Agenda!$E$5:$E$3004,A313,Agenda!$H$5:$H$3004,"Falta"))</f>
        <v/>
      </c>
      <c r="H313" s="34">
        <f>IF(A313="","",IF(SUMPRODUCT(MAX((Agenda!$E$5:$E$3004=A313)*(Agenda!$H$5:$H$3004="Realizado")*Agenda!$A$5:$A$3004))=0,"",SUMPRODUCT(MAX((Agenda!$E$5:$E$3004=A313)*(Agenda!$H$5:$H$3004="Realizado")*Agenda!$A$5:$A$3004))))</f>
        <v/>
      </c>
      <c r="I313" s="34">
        <f>IF(A313="","",IF(SUMPRODUCT(MIN(((Agenda!$E$5:$E$3004=A313)*((Agenda!$H$5:$H$3004="Agendado")+(Agenda!$H$5:$H$3004="Confirmado")))*Agenda!$A$5:$A$3004+(1-((Agenda!$E$5:$E$3004=A313)*((Agenda!$H$5:$H$3004="Agendado")+(Agenda!$H$5:$H$3004="Confirmado"))))*1E+10))&gt;=1E+10,"",SUMPRODUCT(MIN(((Agenda!$E$5:$E$3004=A313)*((Agenda!$H$5:$H$3004="Agendado")+(Agenda!$H$5:$H$3004="Confirmado")))*Agenda!$A$5:$A$3004+(1-((Agenda!$E$5:$E$3004=A313)*((Agenda!$H$5:$H$3004="Agendado")+(Agenda!$H$5:$H$3004="Confirmado"))))*1E+10))))</f>
        <v/>
      </c>
    </row>
    <row r="314">
      <c r="A314" s="37" t="n"/>
      <c r="B314" s="38" t="n"/>
      <c r="C314" s="38" t="n"/>
      <c r="D314" s="37" t="n"/>
      <c r="E314" s="37" t="n"/>
      <c r="F314" s="30">
        <f>IF(A314="","",COUNTIFS(Agenda!$E$5:$E$3004,A314,Agenda!$H$5:$H$3004,"Realizado"))</f>
        <v/>
      </c>
      <c r="G314" s="30">
        <f>IF(A314="","",COUNTIFS(Agenda!$E$5:$E$3004,A314,Agenda!$H$5:$H$3004,"Falta"))</f>
        <v/>
      </c>
      <c r="H314" s="34">
        <f>IF(A314="","",IF(SUMPRODUCT(MAX((Agenda!$E$5:$E$3004=A314)*(Agenda!$H$5:$H$3004="Realizado")*Agenda!$A$5:$A$3004))=0,"",SUMPRODUCT(MAX((Agenda!$E$5:$E$3004=A314)*(Agenda!$H$5:$H$3004="Realizado")*Agenda!$A$5:$A$3004))))</f>
        <v/>
      </c>
      <c r="I314" s="34">
        <f>IF(A314="","",IF(SUMPRODUCT(MIN(((Agenda!$E$5:$E$3004=A314)*((Agenda!$H$5:$H$3004="Agendado")+(Agenda!$H$5:$H$3004="Confirmado")))*Agenda!$A$5:$A$3004+(1-((Agenda!$E$5:$E$3004=A314)*((Agenda!$H$5:$H$3004="Agendado")+(Agenda!$H$5:$H$3004="Confirmado"))))*1E+10))&gt;=1E+10,"",SUMPRODUCT(MIN(((Agenda!$E$5:$E$3004=A314)*((Agenda!$H$5:$H$3004="Agendado")+(Agenda!$H$5:$H$3004="Confirmado")))*Agenda!$A$5:$A$3004+(1-((Agenda!$E$5:$E$3004=A314)*((Agenda!$H$5:$H$3004="Agendado")+(Agenda!$H$5:$H$3004="Confirmado"))))*1E+10))))</f>
        <v/>
      </c>
    </row>
    <row r="315">
      <c r="A315" s="37" t="n"/>
      <c r="B315" s="38" t="n"/>
      <c r="C315" s="38" t="n"/>
      <c r="D315" s="37" t="n"/>
      <c r="E315" s="37" t="n"/>
      <c r="F315" s="30">
        <f>IF(A315="","",COUNTIFS(Agenda!$E$5:$E$3004,A315,Agenda!$H$5:$H$3004,"Realizado"))</f>
        <v/>
      </c>
      <c r="G315" s="30">
        <f>IF(A315="","",COUNTIFS(Agenda!$E$5:$E$3004,A315,Agenda!$H$5:$H$3004,"Falta"))</f>
        <v/>
      </c>
      <c r="H315" s="34">
        <f>IF(A315="","",IF(SUMPRODUCT(MAX((Agenda!$E$5:$E$3004=A315)*(Agenda!$H$5:$H$3004="Realizado")*Agenda!$A$5:$A$3004))=0,"",SUMPRODUCT(MAX((Agenda!$E$5:$E$3004=A315)*(Agenda!$H$5:$H$3004="Realizado")*Agenda!$A$5:$A$3004))))</f>
        <v/>
      </c>
      <c r="I315" s="34">
        <f>IF(A315="","",IF(SUMPRODUCT(MIN(((Agenda!$E$5:$E$3004=A315)*((Agenda!$H$5:$H$3004="Agendado")+(Agenda!$H$5:$H$3004="Confirmado")))*Agenda!$A$5:$A$3004+(1-((Agenda!$E$5:$E$3004=A315)*((Agenda!$H$5:$H$3004="Agendado")+(Agenda!$H$5:$H$3004="Confirmado"))))*1E+10))&gt;=1E+10,"",SUMPRODUCT(MIN(((Agenda!$E$5:$E$3004=A315)*((Agenda!$H$5:$H$3004="Agendado")+(Agenda!$H$5:$H$3004="Confirmado")))*Agenda!$A$5:$A$3004+(1-((Agenda!$E$5:$E$3004=A315)*((Agenda!$H$5:$H$3004="Agendado")+(Agenda!$H$5:$H$3004="Confirmado"))))*1E+10))))</f>
        <v/>
      </c>
    </row>
    <row r="316">
      <c r="A316" s="37" t="n"/>
      <c r="B316" s="38" t="n"/>
      <c r="C316" s="38" t="n"/>
      <c r="D316" s="37" t="n"/>
      <c r="E316" s="37" t="n"/>
      <c r="F316" s="30">
        <f>IF(A316="","",COUNTIFS(Agenda!$E$5:$E$3004,A316,Agenda!$H$5:$H$3004,"Realizado"))</f>
        <v/>
      </c>
      <c r="G316" s="30">
        <f>IF(A316="","",COUNTIFS(Agenda!$E$5:$E$3004,A316,Agenda!$H$5:$H$3004,"Falta"))</f>
        <v/>
      </c>
      <c r="H316" s="34">
        <f>IF(A316="","",IF(SUMPRODUCT(MAX((Agenda!$E$5:$E$3004=A316)*(Agenda!$H$5:$H$3004="Realizado")*Agenda!$A$5:$A$3004))=0,"",SUMPRODUCT(MAX((Agenda!$E$5:$E$3004=A316)*(Agenda!$H$5:$H$3004="Realizado")*Agenda!$A$5:$A$3004))))</f>
        <v/>
      </c>
      <c r="I316" s="34">
        <f>IF(A316="","",IF(SUMPRODUCT(MIN(((Agenda!$E$5:$E$3004=A316)*((Agenda!$H$5:$H$3004="Agendado")+(Agenda!$H$5:$H$3004="Confirmado")))*Agenda!$A$5:$A$3004+(1-((Agenda!$E$5:$E$3004=A316)*((Agenda!$H$5:$H$3004="Agendado")+(Agenda!$H$5:$H$3004="Confirmado"))))*1E+10))&gt;=1E+10,"",SUMPRODUCT(MIN(((Agenda!$E$5:$E$3004=A316)*((Agenda!$H$5:$H$3004="Agendado")+(Agenda!$H$5:$H$3004="Confirmado")))*Agenda!$A$5:$A$3004+(1-((Agenda!$E$5:$E$3004=A316)*((Agenda!$H$5:$H$3004="Agendado")+(Agenda!$H$5:$H$3004="Confirmado"))))*1E+10))))</f>
        <v/>
      </c>
    </row>
    <row r="317">
      <c r="A317" s="37" t="n"/>
      <c r="B317" s="38" t="n"/>
      <c r="C317" s="38" t="n"/>
      <c r="D317" s="37" t="n"/>
      <c r="E317" s="37" t="n"/>
      <c r="F317" s="30">
        <f>IF(A317="","",COUNTIFS(Agenda!$E$5:$E$3004,A317,Agenda!$H$5:$H$3004,"Realizado"))</f>
        <v/>
      </c>
      <c r="G317" s="30">
        <f>IF(A317="","",COUNTIFS(Agenda!$E$5:$E$3004,A317,Agenda!$H$5:$H$3004,"Falta"))</f>
        <v/>
      </c>
      <c r="H317" s="34">
        <f>IF(A317="","",IF(SUMPRODUCT(MAX((Agenda!$E$5:$E$3004=A317)*(Agenda!$H$5:$H$3004="Realizado")*Agenda!$A$5:$A$3004))=0,"",SUMPRODUCT(MAX((Agenda!$E$5:$E$3004=A317)*(Agenda!$H$5:$H$3004="Realizado")*Agenda!$A$5:$A$3004))))</f>
        <v/>
      </c>
      <c r="I317" s="34">
        <f>IF(A317="","",IF(SUMPRODUCT(MIN(((Agenda!$E$5:$E$3004=A317)*((Agenda!$H$5:$H$3004="Agendado")+(Agenda!$H$5:$H$3004="Confirmado")))*Agenda!$A$5:$A$3004+(1-((Agenda!$E$5:$E$3004=A317)*((Agenda!$H$5:$H$3004="Agendado")+(Agenda!$H$5:$H$3004="Confirmado"))))*1E+10))&gt;=1E+10,"",SUMPRODUCT(MIN(((Agenda!$E$5:$E$3004=A317)*((Agenda!$H$5:$H$3004="Agendado")+(Agenda!$H$5:$H$3004="Confirmado")))*Agenda!$A$5:$A$3004+(1-((Agenda!$E$5:$E$3004=A317)*((Agenda!$H$5:$H$3004="Agendado")+(Agenda!$H$5:$H$3004="Confirmado"))))*1E+10))))</f>
        <v/>
      </c>
    </row>
    <row r="318">
      <c r="A318" s="37" t="n"/>
      <c r="B318" s="38" t="n"/>
      <c r="C318" s="38" t="n"/>
      <c r="D318" s="37" t="n"/>
      <c r="E318" s="37" t="n"/>
      <c r="F318" s="30">
        <f>IF(A318="","",COUNTIFS(Agenda!$E$5:$E$3004,A318,Agenda!$H$5:$H$3004,"Realizado"))</f>
        <v/>
      </c>
      <c r="G318" s="30">
        <f>IF(A318="","",COUNTIFS(Agenda!$E$5:$E$3004,A318,Agenda!$H$5:$H$3004,"Falta"))</f>
        <v/>
      </c>
      <c r="H318" s="34">
        <f>IF(A318="","",IF(SUMPRODUCT(MAX((Agenda!$E$5:$E$3004=A318)*(Agenda!$H$5:$H$3004="Realizado")*Agenda!$A$5:$A$3004))=0,"",SUMPRODUCT(MAX((Agenda!$E$5:$E$3004=A318)*(Agenda!$H$5:$H$3004="Realizado")*Agenda!$A$5:$A$3004))))</f>
        <v/>
      </c>
      <c r="I318" s="34">
        <f>IF(A318="","",IF(SUMPRODUCT(MIN(((Agenda!$E$5:$E$3004=A318)*((Agenda!$H$5:$H$3004="Agendado")+(Agenda!$H$5:$H$3004="Confirmado")))*Agenda!$A$5:$A$3004+(1-((Agenda!$E$5:$E$3004=A318)*((Agenda!$H$5:$H$3004="Agendado")+(Agenda!$H$5:$H$3004="Confirmado"))))*1E+10))&gt;=1E+10,"",SUMPRODUCT(MIN(((Agenda!$E$5:$E$3004=A318)*((Agenda!$H$5:$H$3004="Agendado")+(Agenda!$H$5:$H$3004="Confirmado")))*Agenda!$A$5:$A$3004+(1-((Agenda!$E$5:$E$3004=A318)*((Agenda!$H$5:$H$3004="Agendado")+(Agenda!$H$5:$H$3004="Confirmado"))))*1E+10))))</f>
        <v/>
      </c>
    </row>
    <row r="319">
      <c r="A319" s="37" t="n"/>
      <c r="B319" s="38" t="n"/>
      <c r="C319" s="38" t="n"/>
      <c r="D319" s="37" t="n"/>
      <c r="E319" s="37" t="n"/>
      <c r="F319" s="30">
        <f>IF(A319="","",COUNTIFS(Agenda!$E$5:$E$3004,A319,Agenda!$H$5:$H$3004,"Realizado"))</f>
        <v/>
      </c>
      <c r="G319" s="30">
        <f>IF(A319="","",COUNTIFS(Agenda!$E$5:$E$3004,A319,Agenda!$H$5:$H$3004,"Falta"))</f>
        <v/>
      </c>
      <c r="H319" s="34">
        <f>IF(A319="","",IF(SUMPRODUCT(MAX((Agenda!$E$5:$E$3004=A319)*(Agenda!$H$5:$H$3004="Realizado")*Agenda!$A$5:$A$3004))=0,"",SUMPRODUCT(MAX((Agenda!$E$5:$E$3004=A319)*(Agenda!$H$5:$H$3004="Realizado")*Agenda!$A$5:$A$3004))))</f>
        <v/>
      </c>
      <c r="I319" s="34">
        <f>IF(A319="","",IF(SUMPRODUCT(MIN(((Agenda!$E$5:$E$3004=A319)*((Agenda!$H$5:$H$3004="Agendado")+(Agenda!$H$5:$H$3004="Confirmado")))*Agenda!$A$5:$A$3004+(1-((Agenda!$E$5:$E$3004=A319)*((Agenda!$H$5:$H$3004="Agendado")+(Agenda!$H$5:$H$3004="Confirmado"))))*1E+10))&gt;=1E+10,"",SUMPRODUCT(MIN(((Agenda!$E$5:$E$3004=A319)*((Agenda!$H$5:$H$3004="Agendado")+(Agenda!$H$5:$H$3004="Confirmado")))*Agenda!$A$5:$A$3004+(1-((Agenda!$E$5:$E$3004=A319)*((Agenda!$H$5:$H$3004="Agendado")+(Agenda!$H$5:$H$3004="Confirmado"))))*1E+10))))</f>
        <v/>
      </c>
    </row>
    <row r="320">
      <c r="A320" s="37" t="n"/>
      <c r="B320" s="38" t="n"/>
      <c r="C320" s="38" t="n"/>
      <c r="D320" s="37" t="n"/>
      <c r="E320" s="37" t="n"/>
      <c r="F320" s="30">
        <f>IF(A320="","",COUNTIFS(Agenda!$E$5:$E$3004,A320,Agenda!$H$5:$H$3004,"Realizado"))</f>
        <v/>
      </c>
      <c r="G320" s="30">
        <f>IF(A320="","",COUNTIFS(Agenda!$E$5:$E$3004,A320,Agenda!$H$5:$H$3004,"Falta"))</f>
        <v/>
      </c>
      <c r="H320" s="34">
        <f>IF(A320="","",IF(SUMPRODUCT(MAX((Agenda!$E$5:$E$3004=A320)*(Agenda!$H$5:$H$3004="Realizado")*Agenda!$A$5:$A$3004))=0,"",SUMPRODUCT(MAX((Agenda!$E$5:$E$3004=A320)*(Agenda!$H$5:$H$3004="Realizado")*Agenda!$A$5:$A$3004))))</f>
        <v/>
      </c>
      <c r="I320" s="34">
        <f>IF(A320="","",IF(SUMPRODUCT(MIN(((Agenda!$E$5:$E$3004=A320)*((Agenda!$H$5:$H$3004="Agendado")+(Agenda!$H$5:$H$3004="Confirmado")))*Agenda!$A$5:$A$3004+(1-((Agenda!$E$5:$E$3004=A320)*((Agenda!$H$5:$H$3004="Agendado")+(Agenda!$H$5:$H$3004="Confirmado"))))*1E+10))&gt;=1E+10,"",SUMPRODUCT(MIN(((Agenda!$E$5:$E$3004=A320)*((Agenda!$H$5:$H$3004="Agendado")+(Agenda!$H$5:$H$3004="Confirmado")))*Agenda!$A$5:$A$3004+(1-((Agenda!$E$5:$E$3004=A320)*((Agenda!$H$5:$H$3004="Agendado")+(Agenda!$H$5:$H$3004="Confirmado"))))*1E+10))))</f>
        <v/>
      </c>
    </row>
    <row r="321">
      <c r="A321" s="37" t="n"/>
      <c r="B321" s="38" t="n"/>
      <c r="C321" s="38" t="n"/>
      <c r="D321" s="37" t="n"/>
      <c r="E321" s="37" t="n"/>
      <c r="F321" s="30">
        <f>IF(A321="","",COUNTIFS(Agenda!$E$5:$E$3004,A321,Agenda!$H$5:$H$3004,"Realizado"))</f>
        <v/>
      </c>
      <c r="G321" s="30">
        <f>IF(A321="","",COUNTIFS(Agenda!$E$5:$E$3004,A321,Agenda!$H$5:$H$3004,"Falta"))</f>
        <v/>
      </c>
      <c r="H321" s="34">
        <f>IF(A321="","",IF(SUMPRODUCT(MAX((Agenda!$E$5:$E$3004=A321)*(Agenda!$H$5:$H$3004="Realizado")*Agenda!$A$5:$A$3004))=0,"",SUMPRODUCT(MAX((Agenda!$E$5:$E$3004=A321)*(Agenda!$H$5:$H$3004="Realizado")*Agenda!$A$5:$A$3004))))</f>
        <v/>
      </c>
      <c r="I321" s="34">
        <f>IF(A321="","",IF(SUMPRODUCT(MIN(((Agenda!$E$5:$E$3004=A321)*((Agenda!$H$5:$H$3004="Agendado")+(Agenda!$H$5:$H$3004="Confirmado")))*Agenda!$A$5:$A$3004+(1-((Agenda!$E$5:$E$3004=A321)*((Agenda!$H$5:$H$3004="Agendado")+(Agenda!$H$5:$H$3004="Confirmado"))))*1E+10))&gt;=1E+10,"",SUMPRODUCT(MIN(((Agenda!$E$5:$E$3004=A321)*((Agenda!$H$5:$H$3004="Agendado")+(Agenda!$H$5:$H$3004="Confirmado")))*Agenda!$A$5:$A$3004+(1-((Agenda!$E$5:$E$3004=A321)*((Agenda!$H$5:$H$3004="Agendado")+(Agenda!$H$5:$H$3004="Confirmado"))))*1E+10))))</f>
        <v/>
      </c>
    </row>
    <row r="322">
      <c r="A322" s="37" t="n"/>
      <c r="B322" s="38" t="n"/>
      <c r="C322" s="38" t="n"/>
      <c r="D322" s="37" t="n"/>
      <c r="E322" s="37" t="n"/>
      <c r="F322" s="30">
        <f>IF(A322="","",COUNTIFS(Agenda!$E$5:$E$3004,A322,Agenda!$H$5:$H$3004,"Realizado"))</f>
        <v/>
      </c>
      <c r="G322" s="30">
        <f>IF(A322="","",COUNTIFS(Agenda!$E$5:$E$3004,A322,Agenda!$H$5:$H$3004,"Falta"))</f>
        <v/>
      </c>
      <c r="H322" s="34">
        <f>IF(A322="","",IF(SUMPRODUCT(MAX((Agenda!$E$5:$E$3004=A322)*(Agenda!$H$5:$H$3004="Realizado")*Agenda!$A$5:$A$3004))=0,"",SUMPRODUCT(MAX((Agenda!$E$5:$E$3004=A322)*(Agenda!$H$5:$H$3004="Realizado")*Agenda!$A$5:$A$3004))))</f>
        <v/>
      </c>
      <c r="I322" s="34">
        <f>IF(A322="","",IF(SUMPRODUCT(MIN(((Agenda!$E$5:$E$3004=A322)*((Agenda!$H$5:$H$3004="Agendado")+(Agenda!$H$5:$H$3004="Confirmado")))*Agenda!$A$5:$A$3004+(1-((Agenda!$E$5:$E$3004=A322)*((Agenda!$H$5:$H$3004="Agendado")+(Agenda!$H$5:$H$3004="Confirmado"))))*1E+10))&gt;=1E+10,"",SUMPRODUCT(MIN(((Agenda!$E$5:$E$3004=A322)*((Agenda!$H$5:$H$3004="Agendado")+(Agenda!$H$5:$H$3004="Confirmado")))*Agenda!$A$5:$A$3004+(1-((Agenda!$E$5:$E$3004=A322)*((Agenda!$H$5:$H$3004="Agendado")+(Agenda!$H$5:$H$3004="Confirmado"))))*1E+10))))</f>
        <v/>
      </c>
    </row>
    <row r="323">
      <c r="A323" s="37" t="n"/>
      <c r="B323" s="38" t="n"/>
      <c r="C323" s="38" t="n"/>
      <c r="D323" s="37" t="n"/>
      <c r="E323" s="37" t="n"/>
      <c r="F323" s="30">
        <f>IF(A323="","",COUNTIFS(Agenda!$E$5:$E$3004,A323,Agenda!$H$5:$H$3004,"Realizado"))</f>
        <v/>
      </c>
      <c r="G323" s="30">
        <f>IF(A323="","",COUNTIFS(Agenda!$E$5:$E$3004,A323,Agenda!$H$5:$H$3004,"Falta"))</f>
        <v/>
      </c>
      <c r="H323" s="34">
        <f>IF(A323="","",IF(SUMPRODUCT(MAX((Agenda!$E$5:$E$3004=A323)*(Agenda!$H$5:$H$3004="Realizado")*Agenda!$A$5:$A$3004))=0,"",SUMPRODUCT(MAX((Agenda!$E$5:$E$3004=A323)*(Agenda!$H$5:$H$3004="Realizado")*Agenda!$A$5:$A$3004))))</f>
        <v/>
      </c>
      <c r="I323" s="34">
        <f>IF(A323="","",IF(SUMPRODUCT(MIN(((Agenda!$E$5:$E$3004=A323)*((Agenda!$H$5:$H$3004="Agendado")+(Agenda!$H$5:$H$3004="Confirmado")))*Agenda!$A$5:$A$3004+(1-((Agenda!$E$5:$E$3004=A323)*((Agenda!$H$5:$H$3004="Agendado")+(Agenda!$H$5:$H$3004="Confirmado"))))*1E+10))&gt;=1E+10,"",SUMPRODUCT(MIN(((Agenda!$E$5:$E$3004=A323)*((Agenda!$H$5:$H$3004="Agendado")+(Agenda!$H$5:$H$3004="Confirmado")))*Agenda!$A$5:$A$3004+(1-((Agenda!$E$5:$E$3004=A323)*((Agenda!$H$5:$H$3004="Agendado")+(Agenda!$H$5:$H$3004="Confirmado"))))*1E+10))))</f>
        <v/>
      </c>
    </row>
    <row r="324">
      <c r="A324" s="37" t="n"/>
      <c r="B324" s="38" t="n"/>
      <c r="C324" s="38" t="n"/>
      <c r="D324" s="37" t="n"/>
      <c r="E324" s="37" t="n"/>
      <c r="F324" s="30">
        <f>IF(A324="","",COUNTIFS(Agenda!$E$5:$E$3004,A324,Agenda!$H$5:$H$3004,"Realizado"))</f>
        <v/>
      </c>
      <c r="G324" s="30">
        <f>IF(A324="","",COUNTIFS(Agenda!$E$5:$E$3004,A324,Agenda!$H$5:$H$3004,"Falta"))</f>
        <v/>
      </c>
      <c r="H324" s="34">
        <f>IF(A324="","",IF(SUMPRODUCT(MAX((Agenda!$E$5:$E$3004=A324)*(Agenda!$H$5:$H$3004="Realizado")*Agenda!$A$5:$A$3004))=0,"",SUMPRODUCT(MAX((Agenda!$E$5:$E$3004=A324)*(Agenda!$H$5:$H$3004="Realizado")*Agenda!$A$5:$A$3004))))</f>
        <v/>
      </c>
      <c r="I324" s="34">
        <f>IF(A324="","",IF(SUMPRODUCT(MIN(((Agenda!$E$5:$E$3004=A324)*((Agenda!$H$5:$H$3004="Agendado")+(Agenda!$H$5:$H$3004="Confirmado")))*Agenda!$A$5:$A$3004+(1-((Agenda!$E$5:$E$3004=A324)*((Agenda!$H$5:$H$3004="Agendado")+(Agenda!$H$5:$H$3004="Confirmado"))))*1E+10))&gt;=1E+10,"",SUMPRODUCT(MIN(((Agenda!$E$5:$E$3004=A324)*((Agenda!$H$5:$H$3004="Agendado")+(Agenda!$H$5:$H$3004="Confirmado")))*Agenda!$A$5:$A$3004+(1-((Agenda!$E$5:$E$3004=A324)*((Agenda!$H$5:$H$3004="Agendado")+(Agenda!$H$5:$H$3004="Confirmado"))))*1E+10))))</f>
        <v/>
      </c>
    </row>
    <row r="325">
      <c r="A325" s="37" t="n"/>
      <c r="B325" s="38" t="n"/>
      <c r="C325" s="38" t="n"/>
      <c r="D325" s="37" t="n"/>
      <c r="E325" s="37" t="n"/>
      <c r="F325" s="30">
        <f>IF(A325="","",COUNTIFS(Agenda!$E$5:$E$3004,A325,Agenda!$H$5:$H$3004,"Realizado"))</f>
        <v/>
      </c>
      <c r="G325" s="30">
        <f>IF(A325="","",COUNTIFS(Agenda!$E$5:$E$3004,A325,Agenda!$H$5:$H$3004,"Falta"))</f>
        <v/>
      </c>
      <c r="H325" s="34">
        <f>IF(A325="","",IF(SUMPRODUCT(MAX((Agenda!$E$5:$E$3004=A325)*(Agenda!$H$5:$H$3004="Realizado")*Agenda!$A$5:$A$3004))=0,"",SUMPRODUCT(MAX((Agenda!$E$5:$E$3004=A325)*(Agenda!$H$5:$H$3004="Realizado")*Agenda!$A$5:$A$3004))))</f>
        <v/>
      </c>
      <c r="I325" s="34">
        <f>IF(A325="","",IF(SUMPRODUCT(MIN(((Agenda!$E$5:$E$3004=A325)*((Agenda!$H$5:$H$3004="Agendado")+(Agenda!$H$5:$H$3004="Confirmado")))*Agenda!$A$5:$A$3004+(1-((Agenda!$E$5:$E$3004=A325)*((Agenda!$H$5:$H$3004="Agendado")+(Agenda!$H$5:$H$3004="Confirmado"))))*1E+10))&gt;=1E+10,"",SUMPRODUCT(MIN(((Agenda!$E$5:$E$3004=A325)*((Agenda!$H$5:$H$3004="Agendado")+(Agenda!$H$5:$H$3004="Confirmado")))*Agenda!$A$5:$A$3004+(1-((Agenda!$E$5:$E$3004=A325)*((Agenda!$H$5:$H$3004="Agendado")+(Agenda!$H$5:$H$3004="Confirmado"))))*1E+10))))</f>
        <v/>
      </c>
    </row>
    <row r="326">
      <c r="A326" s="37" t="n"/>
      <c r="B326" s="38" t="n"/>
      <c r="C326" s="38" t="n"/>
      <c r="D326" s="37" t="n"/>
      <c r="E326" s="37" t="n"/>
      <c r="F326" s="30">
        <f>IF(A326="","",COUNTIFS(Agenda!$E$5:$E$3004,A326,Agenda!$H$5:$H$3004,"Realizado"))</f>
        <v/>
      </c>
      <c r="G326" s="30">
        <f>IF(A326="","",COUNTIFS(Agenda!$E$5:$E$3004,A326,Agenda!$H$5:$H$3004,"Falta"))</f>
        <v/>
      </c>
      <c r="H326" s="34">
        <f>IF(A326="","",IF(SUMPRODUCT(MAX((Agenda!$E$5:$E$3004=A326)*(Agenda!$H$5:$H$3004="Realizado")*Agenda!$A$5:$A$3004))=0,"",SUMPRODUCT(MAX((Agenda!$E$5:$E$3004=A326)*(Agenda!$H$5:$H$3004="Realizado")*Agenda!$A$5:$A$3004))))</f>
        <v/>
      </c>
      <c r="I326" s="34">
        <f>IF(A326="","",IF(SUMPRODUCT(MIN(((Agenda!$E$5:$E$3004=A326)*((Agenda!$H$5:$H$3004="Agendado")+(Agenda!$H$5:$H$3004="Confirmado")))*Agenda!$A$5:$A$3004+(1-((Agenda!$E$5:$E$3004=A326)*((Agenda!$H$5:$H$3004="Agendado")+(Agenda!$H$5:$H$3004="Confirmado"))))*1E+10))&gt;=1E+10,"",SUMPRODUCT(MIN(((Agenda!$E$5:$E$3004=A326)*((Agenda!$H$5:$H$3004="Agendado")+(Agenda!$H$5:$H$3004="Confirmado")))*Agenda!$A$5:$A$3004+(1-((Agenda!$E$5:$E$3004=A326)*((Agenda!$H$5:$H$3004="Agendado")+(Agenda!$H$5:$H$3004="Confirmado"))))*1E+10))))</f>
        <v/>
      </c>
    </row>
    <row r="327">
      <c r="A327" s="37" t="n"/>
      <c r="B327" s="38" t="n"/>
      <c r="C327" s="38" t="n"/>
      <c r="D327" s="37" t="n"/>
      <c r="E327" s="37" t="n"/>
      <c r="F327" s="30">
        <f>IF(A327="","",COUNTIFS(Agenda!$E$5:$E$3004,A327,Agenda!$H$5:$H$3004,"Realizado"))</f>
        <v/>
      </c>
      <c r="G327" s="30">
        <f>IF(A327="","",COUNTIFS(Agenda!$E$5:$E$3004,A327,Agenda!$H$5:$H$3004,"Falta"))</f>
        <v/>
      </c>
      <c r="H327" s="34">
        <f>IF(A327="","",IF(SUMPRODUCT(MAX((Agenda!$E$5:$E$3004=A327)*(Agenda!$H$5:$H$3004="Realizado")*Agenda!$A$5:$A$3004))=0,"",SUMPRODUCT(MAX((Agenda!$E$5:$E$3004=A327)*(Agenda!$H$5:$H$3004="Realizado")*Agenda!$A$5:$A$3004))))</f>
        <v/>
      </c>
      <c r="I327" s="34">
        <f>IF(A327="","",IF(SUMPRODUCT(MIN(((Agenda!$E$5:$E$3004=A327)*((Agenda!$H$5:$H$3004="Agendado")+(Agenda!$H$5:$H$3004="Confirmado")))*Agenda!$A$5:$A$3004+(1-((Agenda!$E$5:$E$3004=A327)*((Agenda!$H$5:$H$3004="Agendado")+(Agenda!$H$5:$H$3004="Confirmado"))))*1E+10))&gt;=1E+10,"",SUMPRODUCT(MIN(((Agenda!$E$5:$E$3004=A327)*((Agenda!$H$5:$H$3004="Agendado")+(Agenda!$H$5:$H$3004="Confirmado")))*Agenda!$A$5:$A$3004+(1-((Agenda!$E$5:$E$3004=A327)*((Agenda!$H$5:$H$3004="Agendado")+(Agenda!$H$5:$H$3004="Confirmado"))))*1E+10))))</f>
        <v/>
      </c>
    </row>
    <row r="328">
      <c r="A328" s="37" t="n"/>
      <c r="B328" s="38" t="n"/>
      <c r="C328" s="38" t="n"/>
      <c r="D328" s="37" t="n"/>
      <c r="E328" s="37" t="n"/>
      <c r="F328" s="30">
        <f>IF(A328="","",COUNTIFS(Agenda!$E$5:$E$3004,A328,Agenda!$H$5:$H$3004,"Realizado"))</f>
        <v/>
      </c>
      <c r="G328" s="30">
        <f>IF(A328="","",COUNTIFS(Agenda!$E$5:$E$3004,A328,Agenda!$H$5:$H$3004,"Falta"))</f>
        <v/>
      </c>
      <c r="H328" s="34">
        <f>IF(A328="","",IF(SUMPRODUCT(MAX((Agenda!$E$5:$E$3004=A328)*(Agenda!$H$5:$H$3004="Realizado")*Agenda!$A$5:$A$3004))=0,"",SUMPRODUCT(MAX((Agenda!$E$5:$E$3004=A328)*(Agenda!$H$5:$H$3004="Realizado")*Agenda!$A$5:$A$3004))))</f>
        <v/>
      </c>
      <c r="I328" s="34">
        <f>IF(A328="","",IF(SUMPRODUCT(MIN(((Agenda!$E$5:$E$3004=A328)*((Agenda!$H$5:$H$3004="Agendado")+(Agenda!$H$5:$H$3004="Confirmado")))*Agenda!$A$5:$A$3004+(1-((Agenda!$E$5:$E$3004=A328)*((Agenda!$H$5:$H$3004="Agendado")+(Agenda!$H$5:$H$3004="Confirmado"))))*1E+10))&gt;=1E+10,"",SUMPRODUCT(MIN(((Agenda!$E$5:$E$3004=A328)*((Agenda!$H$5:$H$3004="Agendado")+(Agenda!$H$5:$H$3004="Confirmado")))*Agenda!$A$5:$A$3004+(1-((Agenda!$E$5:$E$3004=A328)*((Agenda!$H$5:$H$3004="Agendado")+(Agenda!$H$5:$H$3004="Confirmado"))))*1E+10))))</f>
        <v/>
      </c>
    </row>
    <row r="329">
      <c r="A329" s="37" t="n"/>
      <c r="B329" s="38" t="n"/>
      <c r="C329" s="38" t="n"/>
      <c r="D329" s="37" t="n"/>
      <c r="E329" s="37" t="n"/>
      <c r="F329" s="30">
        <f>IF(A329="","",COUNTIFS(Agenda!$E$5:$E$3004,A329,Agenda!$H$5:$H$3004,"Realizado"))</f>
        <v/>
      </c>
      <c r="G329" s="30">
        <f>IF(A329="","",COUNTIFS(Agenda!$E$5:$E$3004,A329,Agenda!$H$5:$H$3004,"Falta"))</f>
        <v/>
      </c>
      <c r="H329" s="34">
        <f>IF(A329="","",IF(SUMPRODUCT(MAX((Agenda!$E$5:$E$3004=A329)*(Agenda!$H$5:$H$3004="Realizado")*Agenda!$A$5:$A$3004))=0,"",SUMPRODUCT(MAX((Agenda!$E$5:$E$3004=A329)*(Agenda!$H$5:$H$3004="Realizado")*Agenda!$A$5:$A$3004))))</f>
        <v/>
      </c>
      <c r="I329" s="34">
        <f>IF(A329="","",IF(SUMPRODUCT(MIN(((Agenda!$E$5:$E$3004=A329)*((Agenda!$H$5:$H$3004="Agendado")+(Agenda!$H$5:$H$3004="Confirmado")))*Agenda!$A$5:$A$3004+(1-((Agenda!$E$5:$E$3004=A329)*((Agenda!$H$5:$H$3004="Agendado")+(Agenda!$H$5:$H$3004="Confirmado"))))*1E+10))&gt;=1E+10,"",SUMPRODUCT(MIN(((Agenda!$E$5:$E$3004=A329)*((Agenda!$H$5:$H$3004="Agendado")+(Agenda!$H$5:$H$3004="Confirmado")))*Agenda!$A$5:$A$3004+(1-((Agenda!$E$5:$E$3004=A329)*((Agenda!$H$5:$H$3004="Agendado")+(Agenda!$H$5:$H$3004="Confirmado"))))*1E+10))))</f>
        <v/>
      </c>
    </row>
    <row r="330">
      <c r="A330" s="37" t="n"/>
      <c r="B330" s="38" t="n"/>
      <c r="C330" s="38" t="n"/>
      <c r="D330" s="37" t="n"/>
      <c r="E330" s="37" t="n"/>
      <c r="F330" s="30">
        <f>IF(A330="","",COUNTIFS(Agenda!$E$5:$E$3004,A330,Agenda!$H$5:$H$3004,"Realizado"))</f>
        <v/>
      </c>
      <c r="G330" s="30">
        <f>IF(A330="","",COUNTIFS(Agenda!$E$5:$E$3004,A330,Agenda!$H$5:$H$3004,"Falta"))</f>
        <v/>
      </c>
      <c r="H330" s="34">
        <f>IF(A330="","",IF(SUMPRODUCT(MAX((Agenda!$E$5:$E$3004=A330)*(Agenda!$H$5:$H$3004="Realizado")*Agenda!$A$5:$A$3004))=0,"",SUMPRODUCT(MAX((Agenda!$E$5:$E$3004=A330)*(Agenda!$H$5:$H$3004="Realizado")*Agenda!$A$5:$A$3004))))</f>
        <v/>
      </c>
      <c r="I330" s="34">
        <f>IF(A330="","",IF(SUMPRODUCT(MIN(((Agenda!$E$5:$E$3004=A330)*((Agenda!$H$5:$H$3004="Agendado")+(Agenda!$H$5:$H$3004="Confirmado")))*Agenda!$A$5:$A$3004+(1-((Agenda!$E$5:$E$3004=A330)*((Agenda!$H$5:$H$3004="Agendado")+(Agenda!$H$5:$H$3004="Confirmado"))))*1E+10))&gt;=1E+10,"",SUMPRODUCT(MIN(((Agenda!$E$5:$E$3004=A330)*((Agenda!$H$5:$H$3004="Agendado")+(Agenda!$H$5:$H$3004="Confirmado")))*Agenda!$A$5:$A$3004+(1-((Agenda!$E$5:$E$3004=A330)*((Agenda!$H$5:$H$3004="Agendado")+(Agenda!$H$5:$H$3004="Confirmado"))))*1E+10))))</f>
        <v/>
      </c>
    </row>
    <row r="331">
      <c r="A331" s="37" t="n"/>
      <c r="B331" s="38" t="n"/>
      <c r="C331" s="38" t="n"/>
      <c r="D331" s="37" t="n"/>
      <c r="E331" s="37" t="n"/>
      <c r="F331" s="30">
        <f>IF(A331="","",COUNTIFS(Agenda!$E$5:$E$3004,A331,Agenda!$H$5:$H$3004,"Realizado"))</f>
        <v/>
      </c>
      <c r="G331" s="30">
        <f>IF(A331="","",COUNTIFS(Agenda!$E$5:$E$3004,A331,Agenda!$H$5:$H$3004,"Falta"))</f>
        <v/>
      </c>
      <c r="H331" s="34">
        <f>IF(A331="","",IF(SUMPRODUCT(MAX((Agenda!$E$5:$E$3004=A331)*(Agenda!$H$5:$H$3004="Realizado")*Agenda!$A$5:$A$3004))=0,"",SUMPRODUCT(MAX((Agenda!$E$5:$E$3004=A331)*(Agenda!$H$5:$H$3004="Realizado")*Agenda!$A$5:$A$3004))))</f>
        <v/>
      </c>
      <c r="I331" s="34">
        <f>IF(A331="","",IF(SUMPRODUCT(MIN(((Agenda!$E$5:$E$3004=A331)*((Agenda!$H$5:$H$3004="Agendado")+(Agenda!$H$5:$H$3004="Confirmado")))*Agenda!$A$5:$A$3004+(1-((Agenda!$E$5:$E$3004=A331)*((Agenda!$H$5:$H$3004="Agendado")+(Agenda!$H$5:$H$3004="Confirmado"))))*1E+10))&gt;=1E+10,"",SUMPRODUCT(MIN(((Agenda!$E$5:$E$3004=A331)*((Agenda!$H$5:$H$3004="Agendado")+(Agenda!$H$5:$H$3004="Confirmado")))*Agenda!$A$5:$A$3004+(1-((Agenda!$E$5:$E$3004=A331)*((Agenda!$H$5:$H$3004="Agendado")+(Agenda!$H$5:$H$3004="Confirmado"))))*1E+10))))</f>
        <v/>
      </c>
    </row>
    <row r="332">
      <c r="A332" s="37" t="n"/>
      <c r="B332" s="38" t="n"/>
      <c r="C332" s="38" t="n"/>
      <c r="D332" s="37" t="n"/>
      <c r="E332" s="37" t="n"/>
      <c r="F332" s="30">
        <f>IF(A332="","",COUNTIFS(Agenda!$E$5:$E$3004,A332,Agenda!$H$5:$H$3004,"Realizado"))</f>
        <v/>
      </c>
      <c r="G332" s="30">
        <f>IF(A332="","",COUNTIFS(Agenda!$E$5:$E$3004,A332,Agenda!$H$5:$H$3004,"Falta"))</f>
        <v/>
      </c>
      <c r="H332" s="34">
        <f>IF(A332="","",IF(SUMPRODUCT(MAX((Agenda!$E$5:$E$3004=A332)*(Agenda!$H$5:$H$3004="Realizado")*Agenda!$A$5:$A$3004))=0,"",SUMPRODUCT(MAX((Agenda!$E$5:$E$3004=A332)*(Agenda!$H$5:$H$3004="Realizado")*Agenda!$A$5:$A$3004))))</f>
        <v/>
      </c>
      <c r="I332" s="34">
        <f>IF(A332="","",IF(SUMPRODUCT(MIN(((Agenda!$E$5:$E$3004=A332)*((Agenda!$H$5:$H$3004="Agendado")+(Agenda!$H$5:$H$3004="Confirmado")))*Agenda!$A$5:$A$3004+(1-((Agenda!$E$5:$E$3004=A332)*((Agenda!$H$5:$H$3004="Agendado")+(Agenda!$H$5:$H$3004="Confirmado"))))*1E+10))&gt;=1E+10,"",SUMPRODUCT(MIN(((Agenda!$E$5:$E$3004=A332)*((Agenda!$H$5:$H$3004="Agendado")+(Agenda!$H$5:$H$3004="Confirmado")))*Agenda!$A$5:$A$3004+(1-((Agenda!$E$5:$E$3004=A332)*((Agenda!$H$5:$H$3004="Agendado")+(Agenda!$H$5:$H$3004="Confirmado"))))*1E+10))))</f>
        <v/>
      </c>
    </row>
    <row r="333">
      <c r="A333" s="37" t="n"/>
      <c r="B333" s="38" t="n"/>
      <c r="C333" s="38" t="n"/>
      <c r="D333" s="37" t="n"/>
      <c r="E333" s="37" t="n"/>
      <c r="F333" s="30">
        <f>IF(A333="","",COUNTIFS(Agenda!$E$5:$E$3004,A333,Agenda!$H$5:$H$3004,"Realizado"))</f>
        <v/>
      </c>
      <c r="G333" s="30">
        <f>IF(A333="","",COUNTIFS(Agenda!$E$5:$E$3004,A333,Agenda!$H$5:$H$3004,"Falta"))</f>
        <v/>
      </c>
      <c r="H333" s="34">
        <f>IF(A333="","",IF(SUMPRODUCT(MAX((Agenda!$E$5:$E$3004=A333)*(Agenda!$H$5:$H$3004="Realizado")*Agenda!$A$5:$A$3004))=0,"",SUMPRODUCT(MAX((Agenda!$E$5:$E$3004=A333)*(Agenda!$H$5:$H$3004="Realizado")*Agenda!$A$5:$A$3004))))</f>
        <v/>
      </c>
      <c r="I333" s="34">
        <f>IF(A333="","",IF(SUMPRODUCT(MIN(((Agenda!$E$5:$E$3004=A333)*((Agenda!$H$5:$H$3004="Agendado")+(Agenda!$H$5:$H$3004="Confirmado")))*Agenda!$A$5:$A$3004+(1-((Agenda!$E$5:$E$3004=A333)*((Agenda!$H$5:$H$3004="Agendado")+(Agenda!$H$5:$H$3004="Confirmado"))))*1E+10))&gt;=1E+10,"",SUMPRODUCT(MIN(((Agenda!$E$5:$E$3004=A333)*((Agenda!$H$5:$H$3004="Agendado")+(Agenda!$H$5:$H$3004="Confirmado")))*Agenda!$A$5:$A$3004+(1-((Agenda!$E$5:$E$3004=A333)*((Agenda!$H$5:$H$3004="Agendado")+(Agenda!$H$5:$H$3004="Confirmado"))))*1E+10))))</f>
        <v/>
      </c>
    </row>
    <row r="334">
      <c r="A334" s="37" t="n"/>
      <c r="B334" s="38" t="n"/>
      <c r="C334" s="38" t="n"/>
      <c r="D334" s="37" t="n"/>
      <c r="E334" s="37" t="n"/>
      <c r="F334" s="30">
        <f>IF(A334="","",COUNTIFS(Agenda!$E$5:$E$3004,A334,Agenda!$H$5:$H$3004,"Realizado"))</f>
        <v/>
      </c>
      <c r="G334" s="30">
        <f>IF(A334="","",COUNTIFS(Agenda!$E$5:$E$3004,A334,Agenda!$H$5:$H$3004,"Falta"))</f>
        <v/>
      </c>
      <c r="H334" s="34">
        <f>IF(A334="","",IF(SUMPRODUCT(MAX((Agenda!$E$5:$E$3004=A334)*(Agenda!$H$5:$H$3004="Realizado")*Agenda!$A$5:$A$3004))=0,"",SUMPRODUCT(MAX((Agenda!$E$5:$E$3004=A334)*(Agenda!$H$5:$H$3004="Realizado")*Agenda!$A$5:$A$3004))))</f>
        <v/>
      </c>
      <c r="I334" s="34">
        <f>IF(A334="","",IF(SUMPRODUCT(MIN(((Agenda!$E$5:$E$3004=A334)*((Agenda!$H$5:$H$3004="Agendado")+(Agenda!$H$5:$H$3004="Confirmado")))*Agenda!$A$5:$A$3004+(1-((Agenda!$E$5:$E$3004=A334)*((Agenda!$H$5:$H$3004="Agendado")+(Agenda!$H$5:$H$3004="Confirmado"))))*1E+10))&gt;=1E+10,"",SUMPRODUCT(MIN(((Agenda!$E$5:$E$3004=A334)*((Agenda!$H$5:$H$3004="Agendado")+(Agenda!$H$5:$H$3004="Confirmado")))*Agenda!$A$5:$A$3004+(1-((Agenda!$E$5:$E$3004=A334)*((Agenda!$H$5:$H$3004="Agendado")+(Agenda!$H$5:$H$3004="Confirmado"))))*1E+10))))</f>
        <v/>
      </c>
    </row>
    <row r="335">
      <c r="A335" s="37" t="n"/>
      <c r="B335" s="38" t="n"/>
      <c r="C335" s="38" t="n"/>
      <c r="D335" s="37" t="n"/>
      <c r="E335" s="37" t="n"/>
      <c r="F335" s="30">
        <f>IF(A335="","",COUNTIFS(Agenda!$E$5:$E$3004,A335,Agenda!$H$5:$H$3004,"Realizado"))</f>
        <v/>
      </c>
      <c r="G335" s="30">
        <f>IF(A335="","",COUNTIFS(Agenda!$E$5:$E$3004,A335,Agenda!$H$5:$H$3004,"Falta"))</f>
        <v/>
      </c>
      <c r="H335" s="34">
        <f>IF(A335="","",IF(SUMPRODUCT(MAX((Agenda!$E$5:$E$3004=A335)*(Agenda!$H$5:$H$3004="Realizado")*Agenda!$A$5:$A$3004))=0,"",SUMPRODUCT(MAX((Agenda!$E$5:$E$3004=A335)*(Agenda!$H$5:$H$3004="Realizado")*Agenda!$A$5:$A$3004))))</f>
        <v/>
      </c>
      <c r="I335" s="34">
        <f>IF(A335="","",IF(SUMPRODUCT(MIN(((Agenda!$E$5:$E$3004=A335)*((Agenda!$H$5:$H$3004="Agendado")+(Agenda!$H$5:$H$3004="Confirmado")))*Agenda!$A$5:$A$3004+(1-((Agenda!$E$5:$E$3004=A335)*((Agenda!$H$5:$H$3004="Agendado")+(Agenda!$H$5:$H$3004="Confirmado"))))*1E+10))&gt;=1E+10,"",SUMPRODUCT(MIN(((Agenda!$E$5:$E$3004=A335)*((Agenda!$H$5:$H$3004="Agendado")+(Agenda!$H$5:$H$3004="Confirmado")))*Agenda!$A$5:$A$3004+(1-((Agenda!$E$5:$E$3004=A335)*((Agenda!$H$5:$H$3004="Agendado")+(Agenda!$H$5:$H$3004="Confirmado"))))*1E+10))))</f>
        <v/>
      </c>
    </row>
    <row r="336">
      <c r="A336" s="37" t="n"/>
      <c r="B336" s="38" t="n"/>
      <c r="C336" s="38" t="n"/>
      <c r="D336" s="37" t="n"/>
      <c r="E336" s="37" t="n"/>
      <c r="F336" s="30">
        <f>IF(A336="","",COUNTIFS(Agenda!$E$5:$E$3004,A336,Agenda!$H$5:$H$3004,"Realizado"))</f>
        <v/>
      </c>
      <c r="G336" s="30">
        <f>IF(A336="","",COUNTIFS(Agenda!$E$5:$E$3004,A336,Agenda!$H$5:$H$3004,"Falta"))</f>
        <v/>
      </c>
      <c r="H336" s="34">
        <f>IF(A336="","",IF(SUMPRODUCT(MAX((Agenda!$E$5:$E$3004=A336)*(Agenda!$H$5:$H$3004="Realizado")*Agenda!$A$5:$A$3004))=0,"",SUMPRODUCT(MAX((Agenda!$E$5:$E$3004=A336)*(Agenda!$H$5:$H$3004="Realizado")*Agenda!$A$5:$A$3004))))</f>
        <v/>
      </c>
      <c r="I336" s="34">
        <f>IF(A336="","",IF(SUMPRODUCT(MIN(((Agenda!$E$5:$E$3004=A336)*((Agenda!$H$5:$H$3004="Agendado")+(Agenda!$H$5:$H$3004="Confirmado")))*Agenda!$A$5:$A$3004+(1-((Agenda!$E$5:$E$3004=A336)*((Agenda!$H$5:$H$3004="Agendado")+(Agenda!$H$5:$H$3004="Confirmado"))))*1E+10))&gt;=1E+10,"",SUMPRODUCT(MIN(((Agenda!$E$5:$E$3004=A336)*((Agenda!$H$5:$H$3004="Agendado")+(Agenda!$H$5:$H$3004="Confirmado")))*Agenda!$A$5:$A$3004+(1-((Agenda!$E$5:$E$3004=A336)*((Agenda!$H$5:$H$3004="Agendado")+(Agenda!$H$5:$H$3004="Confirmado"))))*1E+10))))</f>
        <v/>
      </c>
    </row>
    <row r="337">
      <c r="A337" s="37" t="n"/>
      <c r="B337" s="38" t="n"/>
      <c r="C337" s="38" t="n"/>
      <c r="D337" s="37" t="n"/>
      <c r="E337" s="37" t="n"/>
      <c r="F337" s="30">
        <f>IF(A337="","",COUNTIFS(Agenda!$E$5:$E$3004,A337,Agenda!$H$5:$H$3004,"Realizado"))</f>
        <v/>
      </c>
      <c r="G337" s="30">
        <f>IF(A337="","",COUNTIFS(Agenda!$E$5:$E$3004,A337,Agenda!$H$5:$H$3004,"Falta"))</f>
        <v/>
      </c>
      <c r="H337" s="34">
        <f>IF(A337="","",IF(SUMPRODUCT(MAX((Agenda!$E$5:$E$3004=A337)*(Agenda!$H$5:$H$3004="Realizado")*Agenda!$A$5:$A$3004))=0,"",SUMPRODUCT(MAX((Agenda!$E$5:$E$3004=A337)*(Agenda!$H$5:$H$3004="Realizado")*Agenda!$A$5:$A$3004))))</f>
        <v/>
      </c>
      <c r="I337" s="34">
        <f>IF(A337="","",IF(SUMPRODUCT(MIN(((Agenda!$E$5:$E$3004=A337)*((Agenda!$H$5:$H$3004="Agendado")+(Agenda!$H$5:$H$3004="Confirmado")))*Agenda!$A$5:$A$3004+(1-((Agenda!$E$5:$E$3004=A337)*((Agenda!$H$5:$H$3004="Agendado")+(Agenda!$H$5:$H$3004="Confirmado"))))*1E+10))&gt;=1E+10,"",SUMPRODUCT(MIN(((Agenda!$E$5:$E$3004=A337)*((Agenda!$H$5:$H$3004="Agendado")+(Agenda!$H$5:$H$3004="Confirmado")))*Agenda!$A$5:$A$3004+(1-((Agenda!$E$5:$E$3004=A337)*((Agenda!$H$5:$H$3004="Agendado")+(Agenda!$H$5:$H$3004="Confirmado"))))*1E+10))))</f>
        <v/>
      </c>
    </row>
    <row r="338">
      <c r="A338" s="37" t="n"/>
      <c r="B338" s="38" t="n"/>
      <c r="C338" s="38" t="n"/>
      <c r="D338" s="37" t="n"/>
      <c r="E338" s="37" t="n"/>
      <c r="F338" s="30">
        <f>IF(A338="","",COUNTIFS(Agenda!$E$5:$E$3004,A338,Agenda!$H$5:$H$3004,"Realizado"))</f>
        <v/>
      </c>
      <c r="G338" s="30">
        <f>IF(A338="","",COUNTIFS(Agenda!$E$5:$E$3004,A338,Agenda!$H$5:$H$3004,"Falta"))</f>
        <v/>
      </c>
      <c r="H338" s="34">
        <f>IF(A338="","",IF(SUMPRODUCT(MAX((Agenda!$E$5:$E$3004=A338)*(Agenda!$H$5:$H$3004="Realizado")*Agenda!$A$5:$A$3004))=0,"",SUMPRODUCT(MAX((Agenda!$E$5:$E$3004=A338)*(Agenda!$H$5:$H$3004="Realizado")*Agenda!$A$5:$A$3004))))</f>
        <v/>
      </c>
      <c r="I338" s="34">
        <f>IF(A338="","",IF(SUMPRODUCT(MIN(((Agenda!$E$5:$E$3004=A338)*((Agenda!$H$5:$H$3004="Agendado")+(Agenda!$H$5:$H$3004="Confirmado")))*Agenda!$A$5:$A$3004+(1-((Agenda!$E$5:$E$3004=A338)*((Agenda!$H$5:$H$3004="Agendado")+(Agenda!$H$5:$H$3004="Confirmado"))))*1E+10))&gt;=1E+10,"",SUMPRODUCT(MIN(((Agenda!$E$5:$E$3004=A338)*((Agenda!$H$5:$H$3004="Agendado")+(Agenda!$H$5:$H$3004="Confirmado")))*Agenda!$A$5:$A$3004+(1-((Agenda!$E$5:$E$3004=A338)*((Agenda!$H$5:$H$3004="Agendado")+(Agenda!$H$5:$H$3004="Confirmado"))))*1E+10))))</f>
        <v/>
      </c>
    </row>
    <row r="339">
      <c r="A339" s="37" t="n"/>
      <c r="B339" s="38" t="n"/>
      <c r="C339" s="38" t="n"/>
      <c r="D339" s="37" t="n"/>
      <c r="E339" s="37" t="n"/>
      <c r="F339" s="30">
        <f>IF(A339="","",COUNTIFS(Agenda!$E$5:$E$3004,A339,Agenda!$H$5:$H$3004,"Realizado"))</f>
        <v/>
      </c>
      <c r="G339" s="30">
        <f>IF(A339="","",COUNTIFS(Agenda!$E$5:$E$3004,A339,Agenda!$H$5:$H$3004,"Falta"))</f>
        <v/>
      </c>
      <c r="H339" s="34">
        <f>IF(A339="","",IF(SUMPRODUCT(MAX((Agenda!$E$5:$E$3004=A339)*(Agenda!$H$5:$H$3004="Realizado")*Agenda!$A$5:$A$3004))=0,"",SUMPRODUCT(MAX((Agenda!$E$5:$E$3004=A339)*(Agenda!$H$5:$H$3004="Realizado")*Agenda!$A$5:$A$3004))))</f>
        <v/>
      </c>
      <c r="I339" s="34">
        <f>IF(A339="","",IF(SUMPRODUCT(MIN(((Agenda!$E$5:$E$3004=A339)*((Agenda!$H$5:$H$3004="Agendado")+(Agenda!$H$5:$H$3004="Confirmado")))*Agenda!$A$5:$A$3004+(1-((Agenda!$E$5:$E$3004=A339)*((Agenda!$H$5:$H$3004="Agendado")+(Agenda!$H$5:$H$3004="Confirmado"))))*1E+10))&gt;=1E+10,"",SUMPRODUCT(MIN(((Agenda!$E$5:$E$3004=A339)*((Agenda!$H$5:$H$3004="Agendado")+(Agenda!$H$5:$H$3004="Confirmado")))*Agenda!$A$5:$A$3004+(1-((Agenda!$E$5:$E$3004=A339)*((Agenda!$H$5:$H$3004="Agendado")+(Agenda!$H$5:$H$3004="Confirmado"))))*1E+10))))</f>
        <v/>
      </c>
    </row>
    <row r="340">
      <c r="A340" s="37" t="n"/>
      <c r="B340" s="38" t="n"/>
      <c r="C340" s="38" t="n"/>
      <c r="D340" s="37" t="n"/>
      <c r="E340" s="37" t="n"/>
      <c r="F340" s="30">
        <f>IF(A340="","",COUNTIFS(Agenda!$E$5:$E$3004,A340,Agenda!$H$5:$H$3004,"Realizado"))</f>
        <v/>
      </c>
      <c r="G340" s="30">
        <f>IF(A340="","",COUNTIFS(Agenda!$E$5:$E$3004,A340,Agenda!$H$5:$H$3004,"Falta"))</f>
        <v/>
      </c>
      <c r="H340" s="34">
        <f>IF(A340="","",IF(SUMPRODUCT(MAX((Agenda!$E$5:$E$3004=A340)*(Agenda!$H$5:$H$3004="Realizado")*Agenda!$A$5:$A$3004))=0,"",SUMPRODUCT(MAX((Agenda!$E$5:$E$3004=A340)*(Agenda!$H$5:$H$3004="Realizado")*Agenda!$A$5:$A$3004))))</f>
        <v/>
      </c>
      <c r="I340" s="34">
        <f>IF(A340="","",IF(SUMPRODUCT(MIN(((Agenda!$E$5:$E$3004=A340)*((Agenda!$H$5:$H$3004="Agendado")+(Agenda!$H$5:$H$3004="Confirmado")))*Agenda!$A$5:$A$3004+(1-((Agenda!$E$5:$E$3004=A340)*((Agenda!$H$5:$H$3004="Agendado")+(Agenda!$H$5:$H$3004="Confirmado"))))*1E+10))&gt;=1E+10,"",SUMPRODUCT(MIN(((Agenda!$E$5:$E$3004=A340)*((Agenda!$H$5:$H$3004="Agendado")+(Agenda!$H$5:$H$3004="Confirmado")))*Agenda!$A$5:$A$3004+(1-((Agenda!$E$5:$E$3004=A340)*((Agenda!$H$5:$H$3004="Agendado")+(Agenda!$H$5:$H$3004="Confirmado"))))*1E+10))))</f>
        <v/>
      </c>
    </row>
    <row r="341">
      <c r="A341" s="37" t="n"/>
      <c r="B341" s="38" t="n"/>
      <c r="C341" s="38" t="n"/>
      <c r="D341" s="37" t="n"/>
      <c r="E341" s="37" t="n"/>
      <c r="F341" s="30">
        <f>IF(A341="","",COUNTIFS(Agenda!$E$5:$E$3004,A341,Agenda!$H$5:$H$3004,"Realizado"))</f>
        <v/>
      </c>
      <c r="G341" s="30">
        <f>IF(A341="","",COUNTIFS(Agenda!$E$5:$E$3004,A341,Agenda!$H$5:$H$3004,"Falta"))</f>
        <v/>
      </c>
      <c r="H341" s="34">
        <f>IF(A341="","",IF(SUMPRODUCT(MAX((Agenda!$E$5:$E$3004=A341)*(Agenda!$H$5:$H$3004="Realizado")*Agenda!$A$5:$A$3004))=0,"",SUMPRODUCT(MAX((Agenda!$E$5:$E$3004=A341)*(Agenda!$H$5:$H$3004="Realizado")*Agenda!$A$5:$A$3004))))</f>
        <v/>
      </c>
      <c r="I341" s="34">
        <f>IF(A341="","",IF(SUMPRODUCT(MIN(((Agenda!$E$5:$E$3004=A341)*((Agenda!$H$5:$H$3004="Agendado")+(Agenda!$H$5:$H$3004="Confirmado")))*Agenda!$A$5:$A$3004+(1-((Agenda!$E$5:$E$3004=A341)*((Agenda!$H$5:$H$3004="Agendado")+(Agenda!$H$5:$H$3004="Confirmado"))))*1E+10))&gt;=1E+10,"",SUMPRODUCT(MIN(((Agenda!$E$5:$E$3004=A341)*((Agenda!$H$5:$H$3004="Agendado")+(Agenda!$H$5:$H$3004="Confirmado")))*Agenda!$A$5:$A$3004+(1-((Agenda!$E$5:$E$3004=A341)*((Agenda!$H$5:$H$3004="Agendado")+(Agenda!$H$5:$H$3004="Confirmado"))))*1E+10))))</f>
        <v/>
      </c>
    </row>
    <row r="342">
      <c r="A342" s="37" t="n"/>
      <c r="B342" s="38" t="n"/>
      <c r="C342" s="38" t="n"/>
      <c r="D342" s="37" t="n"/>
      <c r="E342" s="37" t="n"/>
      <c r="F342" s="30">
        <f>IF(A342="","",COUNTIFS(Agenda!$E$5:$E$3004,A342,Agenda!$H$5:$H$3004,"Realizado"))</f>
        <v/>
      </c>
      <c r="G342" s="30">
        <f>IF(A342="","",COUNTIFS(Agenda!$E$5:$E$3004,A342,Agenda!$H$5:$H$3004,"Falta"))</f>
        <v/>
      </c>
      <c r="H342" s="34">
        <f>IF(A342="","",IF(SUMPRODUCT(MAX((Agenda!$E$5:$E$3004=A342)*(Agenda!$H$5:$H$3004="Realizado")*Agenda!$A$5:$A$3004))=0,"",SUMPRODUCT(MAX((Agenda!$E$5:$E$3004=A342)*(Agenda!$H$5:$H$3004="Realizado")*Agenda!$A$5:$A$3004))))</f>
        <v/>
      </c>
      <c r="I342" s="34">
        <f>IF(A342="","",IF(SUMPRODUCT(MIN(((Agenda!$E$5:$E$3004=A342)*((Agenda!$H$5:$H$3004="Agendado")+(Agenda!$H$5:$H$3004="Confirmado")))*Agenda!$A$5:$A$3004+(1-((Agenda!$E$5:$E$3004=A342)*((Agenda!$H$5:$H$3004="Agendado")+(Agenda!$H$5:$H$3004="Confirmado"))))*1E+10))&gt;=1E+10,"",SUMPRODUCT(MIN(((Agenda!$E$5:$E$3004=A342)*((Agenda!$H$5:$H$3004="Agendado")+(Agenda!$H$5:$H$3004="Confirmado")))*Agenda!$A$5:$A$3004+(1-((Agenda!$E$5:$E$3004=A342)*((Agenda!$H$5:$H$3004="Agendado")+(Agenda!$H$5:$H$3004="Confirmado"))))*1E+10))))</f>
        <v/>
      </c>
    </row>
    <row r="343">
      <c r="A343" s="37" t="n"/>
      <c r="B343" s="38" t="n"/>
      <c r="C343" s="38" t="n"/>
      <c r="D343" s="37" t="n"/>
      <c r="E343" s="37" t="n"/>
      <c r="F343" s="30">
        <f>IF(A343="","",COUNTIFS(Agenda!$E$5:$E$3004,A343,Agenda!$H$5:$H$3004,"Realizado"))</f>
        <v/>
      </c>
      <c r="G343" s="30">
        <f>IF(A343="","",COUNTIFS(Agenda!$E$5:$E$3004,A343,Agenda!$H$5:$H$3004,"Falta"))</f>
        <v/>
      </c>
      <c r="H343" s="34">
        <f>IF(A343="","",IF(SUMPRODUCT(MAX((Agenda!$E$5:$E$3004=A343)*(Agenda!$H$5:$H$3004="Realizado")*Agenda!$A$5:$A$3004))=0,"",SUMPRODUCT(MAX((Agenda!$E$5:$E$3004=A343)*(Agenda!$H$5:$H$3004="Realizado")*Agenda!$A$5:$A$3004))))</f>
        <v/>
      </c>
      <c r="I343" s="34">
        <f>IF(A343="","",IF(SUMPRODUCT(MIN(((Agenda!$E$5:$E$3004=A343)*((Agenda!$H$5:$H$3004="Agendado")+(Agenda!$H$5:$H$3004="Confirmado")))*Agenda!$A$5:$A$3004+(1-((Agenda!$E$5:$E$3004=A343)*((Agenda!$H$5:$H$3004="Agendado")+(Agenda!$H$5:$H$3004="Confirmado"))))*1E+10))&gt;=1E+10,"",SUMPRODUCT(MIN(((Agenda!$E$5:$E$3004=A343)*((Agenda!$H$5:$H$3004="Agendado")+(Agenda!$H$5:$H$3004="Confirmado")))*Agenda!$A$5:$A$3004+(1-((Agenda!$E$5:$E$3004=A343)*((Agenda!$H$5:$H$3004="Agendado")+(Agenda!$H$5:$H$3004="Confirmado"))))*1E+10))))</f>
        <v/>
      </c>
    </row>
    <row r="344">
      <c r="A344" s="37" t="n"/>
      <c r="B344" s="38" t="n"/>
      <c r="C344" s="38" t="n"/>
      <c r="D344" s="37" t="n"/>
      <c r="E344" s="37" t="n"/>
      <c r="F344" s="30">
        <f>IF(A344="","",COUNTIFS(Agenda!$E$5:$E$3004,A344,Agenda!$H$5:$H$3004,"Realizado"))</f>
        <v/>
      </c>
      <c r="G344" s="30">
        <f>IF(A344="","",COUNTIFS(Agenda!$E$5:$E$3004,A344,Agenda!$H$5:$H$3004,"Falta"))</f>
        <v/>
      </c>
      <c r="H344" s="34">
        <f>IF(A344="","",IF(SUMPRODUCT(MAX((Agenda!$E$5:$E$3004=A344)*(Agenda!$H$5:$H$3004="Realizado")*Agenda!$A$5:$A$3004))=0,"",SUMPRODUCT(MAX((Agenda!$E$5:$E$3004=A344)*(Agenda!$H$5:$H$3004="Realizado")*Agenda!$A$5:$A$3004))))</f>
        <v/>
      </c>
      <c r="I344" s="34">
        <f>IF(A344="","",IF(SUMPRODUCT(MIN(((Agenda!$E$5:$E$3004=A344)*((Agenda!$H$5:$H$3004="Agendado")+(Agenda!$H$5:$H$3004="Confirmado")))*Agenda!$A$5:$A$3004+(1-((Agenda!$E$5:$E$3004=A344)*((Agenda!$H$5:$H$3004="Agendado")+(Agenda!$H$5:$H$3004="Confirmado"))))*1E+10))&gt;=1E+10,"",SUMPRODUCT(MIN(((Agenda!$E$5:$E$3004=A344)*((Agenda!$H$5:$H$3004="Agendado")+(Agenda!$H$5:$H$3004="Confirmado")))*Agenda!$A$5:$A$3004+(1-((Agenda!$E$5:$E$3004=A344)*((Agenda!$H$5:$H$3004="Agendado")+(Agenda!$H$5:$H$3004="Confirmado"))))*1E+10))))</f>
        <v/>
      </c>
    </row>
    <row r="345">
      <c r="A345" s="37" t="n"/>
      <c r="B345" s="38" t="n"/>
      <c r="C345" s="38" t="n"/>
      <c r="D345" s="37" t="n"/>
      <c r="E345" s="37" t="n"/>
      <c r="F345" s="30">
        <f>IF(A345="","",COUNTIFS(Agenda!$E$5:$E$3004,A345,Agenda!$H$5:$H$3004,"Realizado"))</f>
        <v/>
      </c>
      <c r="G345" s="30">
        <f>IF(A345="","",COUNTIFS(Agenda!$E$5:$E$3004,A345,Agenda!$H$5:$H$3004,"Falta"))</f>
        <v/>
      </c>
      <c r="H345" s="34">
        <f>IF(A345="","",IF(SUMPRODUCT(MAX((Agenda!$E$5:$E$3004=A345)*(Agenda!$H$5:$H$3004="Realizado")*Agenda!$A$5:$A$3004))=0,"",SUMPRODUCT(MAX((Agenda!$E$5:$E$3004=A345)*(Agenda!$H$5:$H$3004="Realizado")*Agenda!$A$5:$A$3004))))</f>
        <v/>
      </c>
      <c r="I345" s="34">
        <f>IF(A345="","",IF(SUMPRODUCT(MIN(((Agenda!$E$5:$E$3004=A345)*((Agenda!$H$5:$H$3004="Agendado")+(Agenda!$H$5:$H$3004="Confirmado")))*Agenda!$A$5:$A$3004+(1-((Agenda!$E$5:$E$3004=A345)*((Agenda!$H$5:$H$3004="Agendado")+(Agenda!$H$5:$H$3004="Confirmado"))))*1E+10))&gt;=1E+10,"",SUMPRODUCT(MIN(((Agenda!$E$5:$E$3004=A345)*((Agenda!$H$5:$H$3004="Agendado")+(Agenda!$H$5:$H$3004="Confirmado")))*Agenda!$A$5:$A$3004+(1-((Agenda!$E$5:$E$3004=A345)*((Agenda!$H$5:$H$3004="Agendado")+(Agenda!$H$5:$H$3004="Confirmado"))))*1E+10))))</f>
        <v/>
      </c>
    </row>
    <row r="346">
      <c r="A346" s="37" t="n"/>
      <c r="B346" s="38" t="n"/>
      <c r="C346" s="38" t="n"/>
      <c r="D346" s="37" t="n"/>
      <c r="E346" s="37" t="n"/>
      <c r="F346" s="30">
        <f>IF(A346="","",COUNTIFS(Agenda!$E$5:$E$3004,A346,Agenda!$H$5:$H$3004,"Realizado"))</f>
        <v/>
      </c>
      <c r="G346" s="30">
        <f>IF(A346="","",COUNTIFS(Agenda!$E$5:$E$3004,A346,Agenda!$H$5:$H$3004,"Falta"))</f>
        <v/>
      </c>
      <c r="H346" s="34">
        <f>IF(A346="","",IF(SUMPRODUCT(MAX((Agenda!$E$5:$E$3004=A346)*(Agenda!$H$5:$H$3004="Realizado")*Agenda!$A$5:$A$3004))=0,"",SUMPRODUCT(MAX((Agenda!$E$5:$E$3004=A346)*(Agenda!$H$5:$H$3004="Realizado")*Agenda!$A$5:$A$3004))))</f>
        <v/>
      </c>
      <c r="I346" s="34">
        <f>IF(A346="","",IF(SUMPRODUCT(MIN(((Agenda!$E$5:$E$3004=A346)*((Agenda!$H$5:$H$3004="Agendado")+(Agenda!$H$5:$H$3004="Confirmado")))*Agenda!$A$5:$A$3004+(1-((Agenda!$E$5:$E$3004=A346)*((Agenda!$H$5:$H$3004="Agendado")+(Agenda!$H$5:$H$3004="Confirmado"))))*1E+10))&gt;=1E+10,"",SUMPRODUCT(MIN(((Agenda!$E$5:$E$3004=A346)*((Agenda!$H$5:$H$3004="Agendado")+(Agenda!$H$5:$H$3004="Confirmado")))*Agenda!$A$5:$A$3004+(1-((Agenda!$E$5:$E$3004=A346)*((Agenda!$H$5:$H$3004="Agendado")+(Agenda!$H$5:$H$3004="Confirmado"))))*1E+10))))</f>
        <v/>
      </c>
    </row>
    <row r="347">
      <c r="A347" s="37" t="n"/>
      <c r="B347" s="38" t="n"/>
      <c r="C347" s="38" t="n"/>
      <c r="D347" s="37" t="n"/>
      <c r="E347" s="37" t="n"/>
      <c r="F347" s="30">
        <f>IF(A347="","",COUNTIFS(Agenda!$E$5:$E$3004,A347,Agenda!$H$5:$H$3004,"Realizado"))</f>
        <v/>
      </c>
      <c r="G347" s="30">
        <f>IF(A347="","",COUNTIFS(Agenda!$E$5:$E$3004,A347,Agenda!$H$5:$H$3004,"Falta"))</f>
        <v/>
      </c>
      <c r="H347" s="34">
        <f>IF(A347="","",IF(SUMPRODUCT(MAX((Agenda!$E$5:$E$3004=A347)*(Agenda!$H$5:$H$3004="Realizado")*Agenda!$A$5:$A$3004))=0,"",SUMPRODUCT(MAX((Agenda!$E$5:$E$3004=A347)*(Agenda!$H$5:$H$3004="Realizado")*Agenda!$A$5:$A$3004))))</f>
        <v/>
      </c>
      <c r="I347" s="34">
        <f>IF(A347="","",IF(SUMPRODUCT(MIN(((Agenda!$E$5:$E$3004=A347)*((Agenda!$H$5:$H$3004="Agendado")+(Agenda!$H$5:$H$3004="Confirmado")))*Agenda!$A$5:$A$3004+(1-((Agenda!$E$5:$E$3004=A347)*((Agenda!$H$5:$H$3004="Agendado")+(Agenda!$H$5:$H$3004="Confirmado"))))*1E+10))&gt;=1E+10,"",SUMPRODUCT(MIN(((Agenda!$E$5:$E$3004=A347)*((Agenda!$H$5:$H$3004="Agendado")+(Agenda!$H$5:$H$3004="Confirmado")))*Agenda!$A$5:$A$3004+(1-((Agenda!$E$5:$E$3004=A347)*((Agenda!$H$5:$H$3004="Agendado")+(Agenda!$H$5:$H$3004="Confirmado"))))*1E+10))))</f>
        <v/>
      </c>
    </row>
    <row r="348">
      <c r="A348" s="37" t="n"/>
      <c r="B348" s="38" t="n"/>
      <c r="C348" s="38" t="n"/>
      <c r="D348" s="37" t="n"/>
      <c r="E348" s="37" t="n"/>
      <c r="F348" s="30">
        <f>IF(A348="","",COUNTIFS(Agenda!$E$5:$E$3004,A348,Agenda!$H$5:$H$3004,"Realizado"))</f>
        <v/>
      </c>
      <c r="G348" s="30">
        <f>IF(A348="","",COUNTIFS(Agenda!$E$5:$E$3004,A348,Agenda!$H$5:$H$3004,"Falta"))</f>
        <v/>
      </c>
      <c r="H348" s="34">
        <f>IF(A348="","",IF(SUMPRODUCT(MAX((Agenda!$E$5:$E$3004=A348)*(Agenda!$H$5:$H$3004="Realizado")*Agenda!$A$5:$A$3004))=0,"",SUMPRODUCT(MAX((Agenda!$E$5:$E$3004=A348)*(Agenda!$H$5:$H$3004="Realizado")*Agenda!$A$5:$A$3004))))</f>
        <v/>
      </c>
      <c r="I348" s="34">
        <f>IF(A348="","",IF(SUMPRODUCT(MIN(((Agenda!$E$5:$E$3004=A348)*((Agenda!$H$5:$H$3004="Agendado")+(Agenda!$H$5:$H$3004="Confirmado")))*Agenda!$A$5:$A$3004+(1-((Agenda!$E$5:$E$3004=A348)*((Agenda!$H$5:$H$3004="Agendado")+(Agenda!$H$5:$H$3004="Confirmado"))))*1E+10))&gt;=1E+10,"",SUMPRODUCT(MIN(((Agenda!$E$5:$E$3004=A348)*((Agenda!$H$5:$H$3004="Agendado")+(Agenda!$H$5:$H$3004="Confirmado")))*Agenda!$A$5:$A$3004+(1-((Agenda!$E$5:$E$3004=A348)*((Agenda!$H$5:$H$3004="Agendado")+(Agenda!$H$5:$H$3004="Confirmado"))))*1E+10))))</f>
        <v/>
      </c>
    </row>
    <row r="349">
      <c r="A349" s="37" t="n"/>
      <c r="B349" s="38" t="n"/>
      <c r="C349" s="38" t="n"/>
      <c r="D349" s="37" t="n"/>
      <c r="E349" s="37" t="n"/>
      <c r="F349" s="30">
        <f>IF(A349="","",COUNTIFS(Agenda!$E$5:$E$3004,A349,Agenda!$H$5:$H$3004,"Realizado"))</f>
        <v/>
      </c>
      <c r="G349" s="30">
        <f>IF(A349="","",COUNTIFS(Agenda!$E$5:$E$3004,A349,Agenda!$H$5:$H$3004,"Falta"))</f>
        <v/>
      </c>
      <c r="H349" s="34">
        <f>IF(A349="","",IF(SUMPRODUCT(MAX((Agenda!$E$5:$E$3004=A349)*(Agenda!$H$5:$H$3004="Realizado")*Agenda!$A$5:$A$3004))=0,"",SUMPRODUCT(MAX((Agenda!$E$5:$E$3004=A349)*(Agenda!$H$5:$H$3004="Realizado")*Agenda!$A$5:$A$3004))))</f>
        <v/>
      </c>
      <c r="I349" s="34">
        <f>IF(A349="","",IF(SUMPRODUCT(MIN(((Agenda!$E$5:$E$3004=A349)*((Agenda!$H$5:$H$3004="Agendado")+(Agenda!$H$5:$H$3004="Confirmado")))*Agenda!$A$5:$A$3004+(1-((Agenda!$E$5:$E$3004=A349)*((Agenda!$H$5:$H$3004="Agendado")+(Agenda!$H$5:$H$3004="Confirmado"))))*1E+10))&gt;=1E+10,"",SUMPRODUCT(MIN(((Agenda!$E$5:$E$3004=A349)*((Agenda!$H$5:$H$3004="Agendado")+(Agenda!$H$5:$H$3004="Confirmado")))*Agenda!$A$5:$A$3004+(1-((Agenda!$E$5:$E$3004=A349)*((Agenda!$H$5:$H$3004="Agendado")+(Agenda!$H$5:$H$3004="Confirmado"))))*1E+10))))</f>
        <v/>
      </c>
    </row>
    <row r="350">
      <c r="A350" s="37" t="n"/>
      <c r="B350" s="38" t="n"/>
      <c r="C350" s="38" t="n"/>
      <c r="D350" s="37" t="n"/>
      <c r="E350" s="37" t="n"/>
      <c r="F350" s="30">
        <f>IF(A350="","",COUNTIFS(Agenda!$E$5:$E$3004,A350,Agenda!$H$5:$H$3004,"Realizado"))</f>
        <v/>
      </c>
      <c r="G350" s="30">
        <f>IF(A350="","",COUNTIFS(Agenda!$E$5:$E$3004,A350,Agenda!$H$5:$H$3004,"Falta"))</f>
        <v/>
      </c>
      <c r="H350" s="34">
        <f>IF(A350="","",IF(SUMPRODUCT(MAX((Agenda!$E$5:$E$3004=A350)*(Agenda!$H$5:$H$3004="Realizado")*Agenda!$A$5:$A$3004))=0,"",SUMPRODUCT(MAX((Agenda!$E$5:$E$3004=A350)*(Agenda!$H$5:$H$3004="Realizado")*Agenda!$A$5:$A$3004))))</f>
        <v/>
      </c>
      <c r="I350" s="34">
        <f>IF(A350="","",IF(SUMPRODUCT(MIN(((Agenda!$E$5:$E$3004=A350)*((Agenda!$H$5:$H$3004="Agendado")+(Agenda!$H$5:$H$3004="Confirmado")))*Agenda!$A$5:$A$3004+(1-((Agenda!$E$5:$E$3004=A350)*((Agenda!$H$5:$H$3004="Agendado")+(Agenda!$H$5:$H$3004="Confirmado"))))*1E+10))&gt;=1E+10,"",SUMPRODUCT(MIN(((Agenda!$E$5:$E$3004=A350)*((Agenda!$H$5:$H$3004="Agendado")+(Agenda!$H$5:$H$3004="Confirmado")))*Agenda!$A$5:$A$3004+(1-((Agenda!$E$5:$E$3004=A350)*((Agenda!$H$5:$H$3004="Agendado")+(Agenda!$H$5:$H$3004="Confirmado"))))*1E+10))))</f>
        <v/>
      </c>
    </row>
    <row r="351">
      <c r="A351" s="37" t="n"/>
      <c r="B351" s="38" t="n"/>
      <c r="C351" s="38" t="n"/>
      <c r="D351" s="37" t="n"/>
      <c r="E351" s="37" t="n"/>
      <c r="F351" s="30">
        <f>IF(A351="","",COUNTIFS(Agenda!$E$5:$E$3004,A351,Agenda!$H$5:$H$3004,"Realizado"))</f>
        <v/>
      </c>
      <c r="G351" s="30">
        <f>IF(A351="","",COUNTIFS(Agenda!$E$5:$E$3004,A351,Agenda!$H$5:$H$3004,"Falta"))</f>
        <v/>
      </c>
      <c r="H351" s="34">
        <f>IF(A351="","",IF(SUMPRODUCT(MAX((Agenda!$E$5:$E$3004=A351)*(Agenda!$H$5:$H$3004="Realizado")*Agenda!$A$5:$A$3004))=0,"",SUMPRODUCT(MAX((Agenda!$E$5:$E$3004=A351)*(Agenda!$H$5:$H$3004="Realizado")*Agenda!$A$5:$A$3004))))</f>
        <v/>
      </c>
      <c r="I351" s="34">
        <f>IF(A351="","",IF(SUMPRODUCT(MIN(((Agenda!$E$5:$E$3004=A351)*((Agenda!$H$5:$H$3004="Agendado")+(Agenda!$H$5:$H$3004="Confirmado")))*Agenda!$A$5:$A$3004+(1-((Agenda!$E$5:$E$3004=A351)*((Agenda!$H$5:$H$3004="Agendado")+(Agenda!$H$5:$H$3004="Confirmado"))))*1E+10))&gt;=1E+10,"",SUMPRODUCT(MIN(((Agenda!$E$5:$E$3004=A351)*((Agenda!$H$5:$H$3004="Agendado")+(Agenda!$H$5:$H$3004="Confirmado")))*Agenda!$A$5:$A$3004+(1-((Agenda!$E$5:$E$3004=A351)*((Agenda!$H$5:$H$3004="Agendado")+(Agenda!$H$5:$H$3004="Confirmado"))))*1E+10))))</f>
        <v/>
      </c>
    </row>
    <row r="352">
      <c r="A352" s="37" t="n"/>
      <c r="B352" s="38" t="n"/>
      <c r="C352" s="38" t="n"/>
      <c r="D352" s="37" t="n"/>
      <c r="E352" s="37" t="n"/>
      <c r="F352" s="30">
        <f>IF(A352="","",COUNTIFS(Agenda!$E$5:$E$3004,A352,Agenda!$H$5:$H$3004,"Realizado"))</f>
        <v/>
      </c>
      <c r="G352" s="30">
        <f>IF(A352="","",COUNTIFS(Agenda!$E$5:$E$3004,A352,Agenda!$H$5:$H$3004,"Falta"))</f>
        <v/>
      </c>
      <c r="H352" s="34">
        <f>IF(A352="","",IF(SUMPRODUCT(MAX((Agenda!$E$5:$E$3004=A352)*(Agenda!$H$5:$H$3004="Realizado")*Agenda!$A$5:$A$3004))=0,"",SUMPRODUCT(MAX((Agenda!$E$5:$E$3004=A352)*(Agenda!$H$5:$H$3004="Realizado")*Agenda!$A$5:$A$3004))))</f>
        <v/>
      </c>
      <c r="I352" s="34">
        <f>IF(A352="","",IF(SUMPRODUCT(MIN(((Agenda!$E$5:$E$3004=A352)*((Agenda!$H$5:$H$3004="Agendado")+(Agenda!$H$5:$H$3004="Confirmado")))*Agenda!$A$5:$A$3004+(1-((Agenda!$E$5:$E$3004=A352)*((Agenda!$H$5:$H$3004="Agendado")+(Agenda!$H$5:$H$3004="Confirmado"))))*1E+10))&gt;=1E+10,"",SUMPRODUCT(MIN(((Agenda!$E$5:$E$3004=A352)*((Agenda!$H$5:$H$3004="Agendado")+(Agenda!$H$5:$H$3004="Confirmado")))*Agenda!$A$5:$A$3004+(1-((Agenda!$E$5:$E$3004=A352)*((Agenda!$H$5:$H$3004="Agendado")+(Agenda!$H$5:$H$3004="Confirmado"))))*1E+10))))</f>
        <v/>
      </c>
    </row>
    <row r="353">
      <c r="A353" s="37" t="n"/>
      <c r="B353" s="38" t="n"/>
      <c r="C353" s="38" t="n"/>
      <c r="D353" s="37" t="n"/>
      <c r="E353" s="37" t="n"/>
      <c r="F353" s="30">
        <f>IF(A353="","",COUNTIFS(Agenda!$E$5:$E$3004,A353,Agenda!$H$5:$H$3004,"Realizado"))</f>
        <v/>
      </c>
      <c r="G353" s="30">
        <f>IF(A353="","",COUNTIFS(Agenda!$E$5:$E$3004,A353,Agenda!$H$5:$H$3004,"Falta"))</f>
        <v/>
      </c>
      <c r="H353" s="34">
        <f>IF(A353="","",IF(SUMPRODUCT(MAX((Agenda!$E$5:$E$3004=A353)*(Agenda!$H$5:$H$3004="Realizado")*Agenda!$A$5:$A$3004))=0,"",SUMPRODUCT(MAX((Agenda!$E$5:$E$3004=A353)*(Agenda!$H$5:$H$3004="Realizado")*Agenda!$A$5:$A$3004))))</f>
        <v/>
      </c>
      <c r="I353" s="34">
        <f>IF(A353="","",IF(SUMPRODUCT(MIN(((Agenda!$E$5:$E$3004=A353)*((Agenda!$H$5:$H$3004="Agendado")+(Agenda!$H$5:$H$3004="Confirmado")))*Agenda!$A$5:$A$3004+(1-((Agenda!$E$5:$E$3004=A353)*((Agenda!$H$5:$H$3004="Agendado")+(Agenda!$H$5:$H$3004="Confirmado"))))*1E+10))&gt;=1E+10,"",SUMPRODUCT(MIN(((Agenda!$E$5:$E$3004=A353)*((Agenda!$H$5:$H$3004="Agendado")+(Agenda!$H$5:$H$3004="Confirmado")))*Agenda!$A$5:$A$3004+(1-((Agenda!$E$5:$E$3004=A353)*((Agenda!$H$5:$H$3004="Agendado")+(Agenda!$H$5:$H$3004="Confirmado"))))*1E+10))))</f>
        <v/>
      </c>
    </row>
    <row r="354">
      <c r="A354" s="37" t="n"/>
      <c r="B354" s="38" t="n"/>
      <c r="C354" s="38" t="n"/>
      <c r="D354" s="37" t="n"/>
      <c r="E354" s="37" t="n"/>
      <c r="F354" s="30">
        <f>IF(A354="","",COUNTIFS(Agenda!$E$5:$E$3004,A354,Agenda!$H$5:$H$3004,"Realizado"))</f>
        <v/>
      </c>
      <c r="G354" s="30">
        <f>IF(A354="","",COUNTIFS(Agenda!$E$5:$E$3004,A354,Agenda!$H$5:$H$3004,"Falta"))</f>
        <v/>
      </c>
      <c r="H354" s="34">
        <f>IF(A354="","",IF(SUMPRODUCT(MAX((Agenda!$E$5:$E$3004=A354)*(Agenda!$H$5:$H$3004="Realizado")*Agenda!$A$5:$A$3004))=0,"",SUMPRODUCT(MAX((Agenda!$E$5:$E$3004=A354)*(Agenda!$H$5:$H$3004="Realizado")*Agenda!$A$5:$A$3004))))</f>
        <v/>
      </c>
      <c r="I354" s="34">
        <f>IF(A354="","",IF(SUMPRODUCT(MIN(((Agenda!$E$5:$E$3004=A354)*((Agenda!$H$5:$H$3004="Agendado")+(Agenda!$H$5:$H$3004="Confirmado")))*Agenda!$A$5:$A$3004+(1-((Agenda!$E$5:$E$3004=A354)*((Agenda!$H$5:$H$3004="Agendado")+(Agenda!$H$5:$H$3004="Confirmado"))))*1E+10))&gt;=1E+10,"",SUMPRODUCT(MIN(((Agenda!$E$5:$E$3004=A354)*((Agenda!$H$5:$H$3004="Agendado")+(Agenda!$H$5:$H$3004="Confirmado")))*Agenda!$A$5:$A$3004+(1-((Agenda!$E$5:$E$3004=A354)*((Agenda!$H$5:$H$3004="Agendado")+(Agenda!$H$5:$H$3004="Confirmado"))))*1E+10))))</f>
        <v/>
      </c>
    </row>
    <row r="355">
      <c r="A355" s="37" t="n"/>
      <c r="B355" s="38" t="n"/>
      <c r="C355" s="38" t="n"/>
      <c r="D355" s="37" t="n"/>
      <c r="E355" s="37" t="n"/>
      <c r="F355" s="30">
        <f>IF(A355="","",COUNTIFS(Agenda!$E$5:$E$3004,A355,Agenda!$H$5:$H$3004,"Realizado"))</f>
        <v/>
      </c>
      <c r="G355" s="30">
        <f>IF(A355="","",COUNTIFS(Agenda!$E$5:$E$3004,A355,Agenda!$H$5:$H$3004,"Falta"))</f>
        <v/>
      </c>
      <c r="H355" s="34">
        <f>IF(A355="","",IF(SUMPRODUCT(MAX((Agenda!$E$5:$E$3004=A355)*(Agenda!$H$5:$H$3004="Realizado")*Agenda!$A$5:$A$3004))=0,"",SUMPRODUCT(MAX((Agenda!$E$5:$E$3004=A355)*(Agenda!$H$5:$H$3004="Realizado")*Agenda!$A$5:$A$3004))))</f>
        <v/>
      </c>
      <c r="I355" s="34">
        <f>IF(A355="","",IF(SUMPRODUCT(MIN(((Agenda!$E$5:$E$3004=A355)*((Agenda!$H$5:$H$3004="Agendado")+(Agenda!$H$5:$H$3004="Confirmado")))*Agenda!$A$5:$A$3004+(1-((Agenda!$E$5:$E$3004=A355)*((Agenda!$H$5:$H$3004="Agendado")+(Agenda!$H$5:$H$3004="Confirmado"))))*1E+10))&gt;=1E+10,"",SUMPRODUCT(MIN(((Agenda!$E$5:$E$3004=A355)*((Agenda!$H$5:$H$3004="Agendado")+(Agenda!$H$5:$H$3004="Confirmado")))*Agenda!$A$5:$A$3004+(1-((Agenda!$E$5:$E$3004=A355)*((Agenda!$H$5:$H$3004="Agendado")+(Agenda!$H$5:$H$3004="Confirmado"))))*1E+10))))</f>
        <v/>
      </c>
    </row>
    <row r="356">
      <c r="A356" s="37" t="n"/>
      <c r="B356" s="38" t="n"/>
      <c r="C356" s="38" t="n"/>
      <c r="D356" s="37" t="n"/>
      <c r="E356" s="37" t="n"/>
      <c r="F356" s="30">
        <f>IF(A356="","",COUNTIFS(Agenda!$E$5:$E$3004,A356,Agenda!$H$5:$H$3004,"Realizado"))</f>
        <v/>
      </c>
      <c r="G356" s="30">
        <f>IF(A356="","",COUNTIFS(Agenda!$E$5:$E$3004,A356,Agenda!$H$5:$H$3004,"Falta"))</f>
        <v/>
      </c>
      <c r="H356" s="34">
        <f>IF(A356="","",IF(SUMPRODUCT(MAX((Agenda!$E$5:$E$3004=A356)*(Agenda!$H$5:$H$3004="Realizado")*Agenda!$A$5:$A$3004))=0,"",SUMPRODUCT(MAX((Agenda!$E$5:$E$3004=A356)*(Agenda!$H$5:$H$3004="Realizado")*Agenda!$A$5:$A$3004))))</f>
        <v/>
      </c>
      <c r="I356" s="34">
        <f>IF(A356="","",IF(SUMPRODUCT(MIN(((Agenda!$E$5:$E$3004=A356)*((Agenda!$H$5:$H$3004="Agendado")+(Agenda!$H$5:$H$3004="Confirmado")))*Agenda!$A$5:$A$3004+(1-((Agenda!$E$5:$E$3004=A356)*((Agenda!$H$5:$H$3004="Agendado")+(Agenda!$H$5:$H$3004="Confirmado"))))*1E+10))&gt;=1E+10,"",SUMPRODUCT(MIN(((Agenda!$E$5:$E$3004=A356)*((Agenda!$H$5:$H$3004="Agendado")+(Agenda!$H$5:$H$3004="Confirmado")))*Agenda!$A$5:$A$3004+(1-((Agenda!$E$5:$E$3004=A356)*((Agenda!$H$5:$H$3004="Agendado")+(Agenda!$H$5:$H$3004="Confirmado"))))*1E+10))))</f>
        <v/>
      </c>
    </row>
    <row r="357">
      <c r="A357" s="37" t="n"/>
      <c r="B357" s="38" t="n"/>
      <c r="C357" s="38" t="n"/>
      <c r="D357" s="37" t="n"/>
      <c r="E357" s="37" t="n"/>
      <c r="F357" s="30">
        <f>IF(A357="","",COUNTIFS(Agenda!$E$5:$E$3004,A357,Agenda!$H$5:$H$3004,"Realizado"))</f>
        <v/>
      </c>
      <c r="G357" s="30">
        <f>IF(A357="","",COUNTIFS(Agenda!$E$5:$E$3004,A357,Agenda!$H$5:$H$3004,"Falta"))</f>
        <v/>
      </c>
      <c r="H357" s="34">
        <f>IF(A357="","",IF(SUMPRODUCT(MAX((Agenda!$E$5:$E$3004=A357)*(Agenda!$H$5:$H$3004="Realizado")*Agenda!$A$5:$A$3004))=0,"",SUMPRODUCT(MAX((Agenda!$E$5:$E$3004=A357)*(Agenda!$H$5:$H$3004="Realizado")*Agenda!$A$5:$A$3004))))</f>
        <v/>
      </c>
      <c r="I357" s="34">
        <f>IF(A357="","",IF(SUMPRODUCT(MIN(((Agenda!$E$5:$E$3004=A357)*((Agenda!$H$5:$H$3004="Agendado")+(Agenda!$H$5:$H$3004="Confirmado")))*Agenda!$A$5:$A$3004+(1-((Agenda!$E$5:$E$3004=A357)*((Agenda!$H$5:$H$3004="Agendado")+(Agenda!$H$5:$H$3004="Confirmado"))))*1E+10))&gt;=1E+10,"",SUMPRODUCT(MIN(((Agenda!$E$5:$E$3004=A357)*((Agenda!$H$5:$H$3004="Agendado")+(Agenda!$H$5:$H$3004="Confirmado")))*Agenda!$A$5:$A$3004+(1-((Agenda!$E$5:$E$3004=A357)*((Agenda!$H$5:$H$3004="Agendado")+(Agenda!$H$5:$H$3004="Confirmado"))))*1E+10))))</f>
        <v/>
      </c>
    </row>
    <row r="358">
      <c r="A358" s="37" t="n"/>
      <c r="B358" s="38" t="n"/>
      <c r="C358" s="38" t="n"/>
      <c r="D358" s="37" t="n"/>
      <c r="E358" s="37" t="n"/>
      <c r="F358" s="30">
        <f>IF(A358="","",COUNTIFS(Agenda!$E$5:$E$3004,A358,Agenda!$H$5:$H$3004,"Realizado"))</f>
        <v/>
      </c>
      <c r="G358" s="30">
        <f>IF(A358="","",COUNTIFS(Agenda!$E$5:$E$3004,A358,Agenda!$H$5:$H$3004,"Falta"))</f>
        <v/>
      </c>
      <c r="H358" s="34">
        <f>IF(A358="","",IF(SUMPRODUCT(MAX((Agenda!$E$5:$E$3004=A358)*(Agenda!$H$5:$H$3004="Realizado")*Agenda!$A$5:$A$3004))=0,"",SUMPRODUCT(MAX((Agenda!$E$5:$E$3004=A358)*(Agenda!$H$5:$H$3004="Realizado")*Agenda!$A$5:$A$3004))))</f>
        <v/>
      </c>
      <c r="I358" s="34">
        <f>IF(A358="","",IF(SUMPRODUCT(MIN(((Agenda!$E$5:$E$3004=A358)*((Agenda!$H$5:$H$3004="Agendado")+(Agenda!$H$5:$H$3004="Confirmado")))*Agenda!$A$5:$A$3004+(1-((Agenda!$E$5:$E$3004=A358)*((Agenda!$H$5:$H$3004="Agendado")+(Agenda!$H$5:$H$3004="Confirmado"))))*1E+10))&gt;=1E+10,"",SUMPRODUCT(MIN(((Agenda!$E$5:$E$3004=A358)*((Agenda!$H$5:$H$3004="Agendado")+(Agenda!$H$5:$H$3004="Confirmado")))*Agenda!$A$5:$A$3004+(1-((Agenda!$E$5:$E$3004=A358)*((Agenda!$H$5:$H$3004="Agendado")+(Agenda!$H$5:$H$3004="Confirmado"))))*1E+10))))</f>
        <v/>
      </c>
    </row>
    <row r="359">
      <c r="A359" s="37" t="n"/>
      <c r="B359" s="38" t="n"/>
      <c r="C359" s="38" t="n"/>
      <c r="D359" s="37" t="n"/>
      <c r="E359" s="37" t="n"/>
      <c r="F359" s="30">
        <f>IF(A359="","",COUNTIFS(Agenda!$E$5:$E$3004,A359,Agenda!$H$5:$H$3004,"Realizado"))</f>
        <v/>
      </c>
      <c r="G359" s="30">
        <f>IF(A359="","",COUNTIFS(Agenda!$E$5:$E$3004,A359,Agenda!$H$5:$H$3004,"Falta"))</f>
        <v/>
      </c>
      <c r="H359" s="34">
        <f>IF(A359="","",IF(SUMPRODUCT(MAX((Agenda!$E$5:$E$3004=A359)*(Agenda!$H$5:$H$3004="Realizado")*Agenda!$A$5:$A$3004))=0,"",SUMPRODUCT(MAX((Agenda!$E$5:$E$3004=A359)*(Agenda!$H$5:$H$3004="Realizado")*Agenda!$A$5:$A$3004))))</f>
        <v/>
      </c>
      <c r="I359" s="34">
        <f>IF(A359="","",IF(SUMPRODUCT(MIN(((Agenda!$E$5:$E$3004=A359)*((Agenda!$H$5:$H$3004="Agendado")+(Agenda!$H$5:$H$3004="Confirmado")))*Agenda!$A$5:$A$3004+(1-((Agenda!$E$5:$E$3004=A359)*((Agenda!$H$5:$H$3004="Agendado")+(Agenda!$H$5:$H$3004="Confirmado"))))*1E+10))&gt;=1E+10,"",SUMPRODUCT(MIN(((Agenda!$E$5:$E$3004=A359)*((Agenda!$H$5:$H$3004="Agendado")+(Agenda!$H$5:$H$3004="Confirmado")))*Agenda!$A$5:$A$3004+(1-((Agenda!$E$5:$E$3004=A359)*((Agenda!$H$5:$H$3004="Agendado")+(Agenda!$H$5:$H$3004="Confirmado"))))*1E+10))))</f>
        <v/>
      </c>
    </row>
    <row r="360">
      <c r="A360" s="37" t="n"/>
      <c r="B360" s="38" t="n"/>
      <c r="C360" s="38" t="n"/>
      <c r="D360" s="37" t="n"/>
      <c r="E360" s="37" t="n"/>
      <c r="F360" s="30">
        <f>IF(A360="","",COUNTIFS(Agenda!$E$5:$E$3004,A360,Agenda!$H$5:$H$3004,"Realizado"))</f>
        <v/>
      </c>
      <c r="G360" s="30">
        <f>IF(A360="","",COUNTIFS(Agenda!$E$5:$E$3004,A360,Agenda!$H$5:$H$3004,"Falta"))</f>
        <v/>
      </c>
      <c r="H360" s="34">
        <f>IF(A360="","",IF(SUMPRODUCT(MAX((Agenda!$E$5:$E$3004=A360)*(Agenda!$H$5:$H$3004="Realizado")*Agenda!$A$5:$A$3004))=0,"",SUMPRODUCT(MAX((Agenda!$E$5:$E$3004=A360)*(Agenda!$H$5:$H$3004="Realizado")*Agenda!$A$5:$A$3004))))</f>
        <v/>
      </c>
      <c r="I360" s="34">
        <f>IF(A360="","",IF(SUMPRODUCT(MIN(((Agenda!$E$5:$E$3004=A360)*((Agenda!$H$5:$H$3004="Agendado")+(Agenda!$H$5:$H$3004="Confirmado")))*Agenda!$A$5:$A$3004+(1-((Agenda!$E$5:$E$3004=A360)*((Agenda!$H$5:$H$3004="Agendado")+(Agenda!$H$5:$H$3004="Confirmado"))))*1E+10))&gt;=1E+10,"",SUMPRODUCT(MIN(((Agenda!$E$5:$E$3004=A360)*((Agenda!$H$5:$H$3004="Agendado")+(Agenda!$H$5:$H$3004="Confirmado")))*Agenda!$A$5:$A$3004+(1-((Agenda!$E$5:$E$3004=A360)*((Agenda!$H$5:$H$3004="Agendado")+(Agenda!$H$5:$H$3004="Confirmado"))))*1E+10))))</f>
        <v/>
      </c>
    </row>
    <row r="361">
      <c r="A361" s="37" t="n"/>
      <c r="B361" s="38" t="n"/>
      <c r="C361" s="38" t="n"/>
      <c r="D361" s="37" t="n"/>
      <c r="E361" s="37" t="n"/>
      <c r="F361" s="30">
        <f>IF(A361="","",COUNTIFS(Agenda!$E$5:$E$3004,A361,Agenda!$H$5:$H$3004,"Realizado"))</f>
        <v/>
      </c>
      <c r="G361" s="30">
        <f>IF(A361="","",COUNTIFS(Agenda!$E$5:$E$3004,A361,Agenda!$H$5:$H$3004,"Falta"))</f>
        <v/>
      </c>
      <c r="H361" s="34">
        <f>IF(A361="","",IF(SUMPRODUCT(MAX((Agenda!$E$5:$E$3004=A361)*(Agenda!$H$5:$H$3004="Realizado")*Agenda!$A$5:$A$3004))=0,"",SUMPRODUCT(MAX((Agenda!$E$5:$E$3004=A361)*(Agenda!$H$5:$H$3004="Realizado")*Agenda!$A$5:$A$3004))))</f>
        <v/>
      </c>
      <c r="I361" s="34">
        <f>IF(A361="","",IF(SUMPRODUCT(MIN(((Agenda!$E$5:$E$3004=A361)*((Agenda!$H$5:$H$3004="Agendado")+(Agenda!$H$5:$H$3004="Confirmado")))*Agenda!$A$5:$A$3004+(1-((Agenda!$E$5:$E$3004=A361)*((Agenda!$H$5:$H$3004="Agendado")+(Agenda!$H$5:$H$3004="Confirmado"))))*1E+10))&gt;=1E+10,"",SUMPRODUCT(MIN(((Agenda!$E$5:$E$3004=A361)*((Agenda!$H$5:$H$3004="Agendado")+(Agenda!$H$5:$H$3004="Confirmado")))*Agenda!$A$5:$A$3004+(1-((Agenda!$E$5:$E$3004=A361)*((Agenda!$H$5:$H$3004="Agendado")+(Agenda!$H$5:$H$3004="Confirmado"))))*1E+10))))</f>
        <v/>
      </c>
    </row>
    <row r="362">
      <c r="A362" s="37" t="n"/>
      <c r="B362" s="38" t="n"/>
      <c r="C362" s="38" t="n"/>
      <c r="D362" s="37" t="n"/>
      <c r="E362" s="37" t="n"/>
      <c r="F362" s="30">
        <f>IF(A362="","",COUNTIFS(Agenda!$E$5:$E$3004,A362,Agenda!$H$5:$H$3004,"Realizado"))</f>
        <v/>
      </c>
      <c r="G362" s="30">
        <f>IF(A362="","",COUNTIFS(Agenda!$E$5:$E$3004,A362,Agenda!$H$5:$H$3004,"Falta"))</f>
        <v/>
      </c>
      <c r="H362" s="34">
        <f>IF(A362="","",IF(SUMPRODUCT(MAX((Agenda!$E$5:$E$3004=A362)*(Agenda!$H$5:$H$3004="Realizado")*Agenda!$A$5:$A$3004))=0,"",SUMPRODUCT(MAX((Agenda!$E$5:$E$3004=A362)*(Agenda!$H$5:$H$3004="Realizado")*Agenda!$A$5:$A$3004))))</f>
        <v/>
      </c>
      <c r="I362" s="34">
        <f>IF(A362="","",IF(SUMPRODUCT(MIN(((Agenda!$E$5:$E$3004=A362)*((Agenda!$H$5:$H$3004="Agendado")+(Agenda!$H$5:$H$3004="Confirmado")))*Agenda!$A$5:$A$3004+(1-((Agenda!$E$5:$E$3004=A362)*((Agenda!$H$5:$H$3004="Agendado")+(Agenda!$H$5:$H$3004="Confirmado"))))*1E+10))&gt;=1E+10,"",SUMPRODUCT(MIN(((Agenda!$E$5:$E$3004=A362)*((Agenda!$H$5:$H$3004="Agendado")+(Agenda!$H$5:$H$3004="Confirmado")))*Agenda!$A$5:$A$3004+(1-((Agenda!$E$5:$E$3004=A362)*((Agenda!$H$5:$H$3004="Agendado")+(Agenda!$H$5:$H$3004="Confirmado"))))*1E+10))))</f>
        <v/>
      </c>
    </row>
    <row r="363">
      <c r="A363" s="37" t="n"/>
      <c r="B363" s="38" t="n"/>
      <c r="C363" s="38" t="n"/>
      <c r="D363" s="37" t="n"/>
      <c r="E363" s="37" t="n"/>
      <c r="F363" s="30">
        <f>IF(A363="","",COUNTIFS(Agenda!$E$5:$E$3004,A363,Agenda!$H$5:$H$3004,"Realizado"))</f>
        <v/>
      </c>
      <c r="G363" s="30">
        <f>IF(A363="","",COUNTIFS(Agenda!$E$5:$E$3004,A363,Agenda!$H$5:$H$3004,"Falta"))</f>
        <v/>
      </c>
      <c r="H363" s="34">
        <f>IF(A363="","",IF(SUMPRODUCT(MAX((Agenda!$E$5:$E$3004=A363)*(Agenda!$H$5:$H$3004="Realizado")*Agenda!$A$5:$A$3004))=0,"",SUMPRODUCT(MAX((Agenda!$E$5:$E$3004=A363)*(Agenda!$H$5:$H$3004="Realizado")*Agenda!$A$5:$A$3004))))</f>
        <v/>
      </c>
      <c r="I363" s="34">
        <f>IF(A363="","",IF(SUMPRODUCT(MIN(((Agenda!$E$5:$E$3004=A363)*((Agenda!$H$5:$H$3004="Agendado")+(Agenda!$H$5:$H$3004="Confirmado")))*Agenda!$A$5:$A$3004+(1-((Agenda!$E$5:$E$3004=A363)*((Agenda!$H$5:$H$3004="Agendado")+(Agenda!$H$5:$H$3004="Confirmado"))))*1E+10))&gt;=1E+10,"",SUMPRODUCT(MIN(((Agenda!$E$5:$E$3004=A363)*((Agenda!$H$5:$H$3004="Agendado")+(Agenda!$H$5:$H$3004="Confirmado")))*Agenda!$A$5:$A$3004+(1-((Agenda!$E$5:$E$3004=A363)*((Agenda!$H$5:$H$3004="Agendado")+(Agenda!$H$5:$H$3004="Confirmado"))))*1E+10))))</f>
        <v/>
      </c>
    </row>
    <row r="364">
      <c r="A364" s="37" t="n"/>
      <c r="B364" s="38" t="n"/>
      <c r="C364" s="38" t="n"/>
      <c r="D364" s="37" t="n"/>
      <c r="E364" s="37" t="n"/>
      <c r="F364" s="30">
        <f>IF(A364="","",COUNTIFS(Agenda!$E$5:$E$3004,A364,Agenda!$H$5:$H$3004,"Realizado"))</f>
        <v/>
      </c>
      <c r="G364" s="30">
        <f>IF(A364="","",COUNTIFS(Agenda!$E$5:$E$3004,A364,Agenda!$H$5:$H$3004,"Falta"))</f>
        <v/>
      </c>
      <c r="H364" s="34">
        <f>IF(A364="","",IF(SUMPRODUCT(MAX((Agenda!$E$5:$E$3004=A364)*(Agenda!$H$5:$H$3004="Realizado")*Agenda!$A$5:$A$3004))=0,"",SUMPRODUCT(MAX((Agenda!$E$5:$E$3004=A364)*(Agenda!$H$5:$H$3004="Realizado")*Agenda!$A$5:$A$3004))))</f>
        <v/>
      </c>
      <c r="I364" s="34">
        <f>IF(A364="","",IF(SUMPRODUCT(MIN(((Agenda!$E$5:$E$3004=A364)*((Agenda!$H$5:$H$3004="Agendado")+(Agenda!$H$5:$H$3004="Confirmado")))*Agenda!$A$5:$A$3004+(1-((Agenda!$E$5:$E$3004=A364)*((Agenda!$H$5:$H$3004="Agendado")+(Agenda!$H$5:$H$3004="Confirmado"))))*1E+10))&gt;=1E+10,"",SUMPRODUCT(MIN(((Agenda!$E$5:$E$3004=A364)*((Agenda!$H$5:$H$3004="Agendado")+(Agenda!$H$5:$H$3004="Confirmado")))*Agenda!$A$5:$A$3004+(1-((Agenda!$E$5:$E$3004=A364)*((Agenda!$H$5:$H$3004="Agendado")+(Agenda!$H$5:$H$3004="Confirmado"))))*1E+10))))</f>
        <v/>
      </c>
    </row>
    <row r="365">
      <c r="A365" s="37" t="n"/>
      <c r="B365" s="38" t="n"/>
      <c r="C365" s="38" t="n"/>
      <c r="D365" s="37" t="n"/>
      <c r="E365" s="37" t="n"/>
      <c r="F365" s="30">
        <f>IF(A365="","",COUNTIFS(Agenda!$E$5:$E$3004,A365,Agenda!$H$5:$H$3004,"Realizado"))</f>
        <v/>
      </c>
      <c r="G365" s="30">
        <f>IF(A365="","",COUNTIFS(Agenda!$E$5:$E$3004,A365,Agenda!$H$5:$H$3004,"Falta"))</f>
        <v/>
      </c>
      <c r="H365" s="34">
        <f>IF(A365="","",IF(SUMPRODUCT(MAX((Agenda!$E$5:$E$3004=A365)*(Agenda!$H$5:$H$3004="Realizado")*Agenda!$A$5:$A$3004))=0,"",SUMPRODUCT(MAX((Agenda!$E$5:$E$3004=A365)*(Agenda!$H$5:$H$3004="Realizado")*Agenda!$A$5:$A$3004))))</f>
        <v/>
      </c>
      <c r="I365" s="34">
        <f>IF(A365="","",IF(SUMPRODUCT(MIN(((Agenda!$E$5:$E$3004=A365)*((Agenda!$H$5:$H$3004="Agendado")+(Agenda!$H$5:$H$3004="Confirmado")))*Agenda!$A$5:$A$3004+(1-((Agenda!$E$5:$E$3004=A365)*((Agenda!$H$5:$H$3004="Agendado")+(Agenda!$H$5:$H$3004="Confirmado"))))*1E+10))&gt;=1E+10,"",SUMPRODUCT(MIN(((Agenda!$E$5:$E$3004=A365)*((Agenda!$H$5:$H$3004="Agendado")+(Agenda!$H$5:$H$3004="Confirmado")))*Agenda!$A$5:$A$3004+(1-((Agenda!$E$5:$E$3004=A365)*((Agenda!$H$5:$H$3004="Agendado")+(Agenda!$H$5:$H$3004="Confirmado"))))*1E+10))))</f>
        <v/>
      </c>
    </row>
    <row r="366">
      <c r="A366" s="37" t="n"/>
      <c r="B366" s="38" t="n"/>
      <c r="C366" s="38" t="n"/>
      <c r="D366" s="37" t="n"/>
      <c r="E366" s="37" t="n"/>
      <c r="F366" s="30">
        <f>IF(A366="","",COUNTIFS(Agenda!$E$5:$E$3004,A366,Agenda!$H$5:$H$3004,"Realizado"))</f>
        <v/>
      </c>
      <c r="G366" s="30">
        <f>IF(A366="","",COUNTIFS(Agenda!$E$5:$E$3004,A366,Agenda!$H$5:$H$3004,"Falta"))</f>
        <v/>
      </c>
      <c r="H366" s="34">
        <f>IF(A366="","",IF(SUMPRODUCT(MAX((Agenda!$E$5:$E$3004=A366)*(Agenda!$H$5:$H$3004="Realizado")*Agenda!$A$5:$A$3004))=0,"",SUMPRODUCT(MAX((Agenda!$E$5:$E$3004=A366)*(Agenda!$H$5:$H$3004="Realizado")*Agenda!$A$5:$A$3004))))</f>
        <v/>
      </c>
      <c r="I366" s="34">
        <f>IF(A366="","",IF(SUMPRODUCT(MIN(((Agenda!$E$5:$E$3004=A366)*((Agenda!$H$5:$H$3004="Agendado")+(Agenda!$H$5:$H$3004="Confirmado")))*Agenda!$A$5:$A$3004+(1-((Agenda!$E$5:$E$3004=A366)*((Agenda!$H$5:$H$3004="Agendado")+(Agenda!$H$5:$H$3004="Confirmado"))))*1E+10))&gt;=1E+10,"",SUMPRODUCT(MIN(((Agenda!$E$5:$E$3004=A366)*((Agenda!$H$5:$H$3004="Agendado")+(Agenda!$H$5:$H$3004="Confirmado")))*Agenda!$A$5:$A$3004+(1-((Agenda!$E$5:$E$3004=A366)*((Agenda!$H$5:$H$3004="Agendado")+(Agenda!$H$5:$H$3004="Confirmado"))))*1E+10))))</f>
        <v/>
      </c>
    </row>
    <row r="367">
      <c r="A367" s="37" t="n"/>
      <c r="B367" s="38" t="n"/>
      <c r="C367" s="38" t="n"/>
      <c r="D367" s="37" t="n"/>
      <c r="E367" s="37" t="n"/>
      <c r="F367" s="30">
        <f>IF(A367="","",COUNTIFS(Agenda!$E$5:$E$3004,A367,Agenda!$H$5:$H$3004,"Realizado"))</f>
        <v/>
      </c>
      <c r="G367" s="30">
        <f>IF(A367="","",COUNTIFS(Agenda!$E$5:$E$3004,A367,Agenda!$H$5:$H$3004,"Falta"))</f>
        <v/>
      </c>
      <c r="H367" s="34">
        <f>IF(A367="","",IF(SUMPRODUCT(MAX((Agenda!$E$5:$E$3004=A367)*(Agenda!$H$5:$H$3004="Realizado")*Agenda!$A$5:$A$3004))=0,"",SUMPRODUCT(MAX((Agenda!$E$5:$E$3004=A367)*(Agenda!$H$5:$H$3004="Realizado")*Agenda!$A$5:$A$3004))))</f>
        <v/>
      </c>
      <c r="I367" s="34">
        <f>IF(A367="","",IF(SUMPRODUCT(MIN(((Agenda!$E$5:$E$3004=A367)*((Agenda!$H$5:$H$3004="Agendado")+(Agenda!$H$5:$H$3004="Confirmado")))*Agenda!$A$5:$A$3004+(1-((Agenda!$E$5:$E$3004=A367)*((Agenda!$H$5:$H$3004="Agendado")+(Agenda!$H$5:$H$3004="Confirmado"))))*1E+10))&gt;=1E+10,"",SUMPRODUCT(MIN(((Agenda!$E$5:$E$3004=A367)*((Agenda!$H$5:$H$3004="Agendado")+(Agenda!$H$5:$H$3004="Confirmado")))*Agenda!$A$5:$A$3004+(1-((Agenda!$E$5:$E$3004=A367)*((Agenda!$H$5:$H$3004="Agendado")+(Agenda!$H$5:$H$3004="Confirmado"))))*1E+10))))</f>
        <v/>
      </c>
    </row>
    <row r="368">
      <c r="A368" s="37" t="n"/>
      <c r="B368" s="38" t="n"/>
      <c r="C368" s="38" t="n"/>
      <c r="D368" s="37" t="n"/>
      <c r="E368" s="37" t="n"/>
      <c r="F368" s="30">
        <f>IF(A368="","",COUNTIFS(Agenda!$E$5:$E$3004,A368,Agenda!$H$5:$H$3004,"Realizado"))</f>
        <v/>
      </c>
      <c r="G368" s="30">
        <f>IF(A368="","",COUNTIFS(Agenda!$E$5:$E$3004,A368,Agenda!$H$5:$H$3004,"Falta"))</f>
        <v/>
      </c>
      <c r="H368" s="34">
        <f>IF(A368="","",IF(SUMPRODUCT(MAX((Agenda!$E$5:$E$3004=A368)*(Agenda!$H$5:$H$3004="Realizado")*Agenda!$A$5:$A$3004))=0,"",SUMPRODUCT(MAX((Agenda!$E$5:$E$3004=A368)*(Agenda!$H$5:$H$3004="Realizado")*Agenda!$A$5:$A$3004))))</f>
        <v/>
      </c>
      <c r="I368" s="34">
        <f>IF(A368="","",IF(SUMPRODUCT(MIN(((Agenda!$E$5:$E$3004=A368)*((Agenda!$H$5:$H$3004="Agendado")+(Agenda!$H$5:$H$3004="Confirmado")))*Agenda!$A$5:$A$3004+(1-((Agenda!$E$5:$E$3004=A368)*((Agenda!$H$5:$H$3004="Agendado")+(Agenda!$H$5:$H$3004="Confirmado"))))*1E+10))&gt;=1E+10,"",SUMPRODUCT(MIN(((Agenda!$E$5:$E$3004=A368)*((Agenda!$H$5:$H$3004="Agendado")+(Agenda!$H$5:$H$3004="Confirmado")))*Agenda!$A$5:$A$3004+(1-((Agenda!$E$5:$E$3004=A368)*((Agenda!$H$5:$H$3004="Agendado")+(Agenda!$H$5:$H$3004="Confirmado"))))*1E+10))))</f>
        <v/>
      </c>
    </row>
    <row r="369">
      <c r="A369" s="37" t="n"/>
      <c r="B369" s="38" t="n"/>
      <c r="C369" s="38" t="n"/>
      <c r="D369" s="37" t="n"/>
      <c r="E369" s="37" t="n"/>
      <c r="F369" s="30">
        <f>IF(A369="","",COUNTIFS(Agenda!$E$5:$E$3004,A369,Agenda!$H$5:$H$3004,"Realizado"))</f>
        <v/>
      </c>
      <c r="G369" s="30">
        <f>IF(A369="","",COUNTIFS(Agenda!$E$5:$E$3004,A369,Agenda!$H$5:$H$3004,"Falta"))</f>
        <v/>
      </c>
      <c r="H369" s="34">
        <f>IF(A369="","",IF(SUMPRODUCT(MAX((Agenda!$E$5:$E$3004=A369)*(Agenda!$H$5:$H$3004="Realizado")*Agenda!$A$5:$A$3004))=0,"",SUMPRODUCT(MAX((Agenda!$E$5:$E$3004=A369)*(Agenda!$H$5:$H$3004="Realizado")*Agenda!$A$5:$A$3004))))</f>
        <v/>
      </c>
      <c r="I369" s="34">
        <f>IF(A369="","",IF(SUMPRODUCT(MIN(((Agenda!$E$5:$E$3004=A369)*((Agenda!$H$5:$H$3004="Agendado")+(Agenda!$H$5:$H$3004="Confirmado")))*Agenda!$A$5:$A$3004+(1-((Agenda!$E$5:$E$3004=A369)*((Agenda!$H$5:$H$3004="Agendado")+(Agenda!$H$5:$H$3004="Confirmado"))))*1E+10))&gt;=1E+10,"",SUMPRODUCT(MIN(((Agenda!$E$5:$E$3004=A369)*((Agenda!$H$5:$H$3004="Agendado")+(Agenda!$H$5:$H$3004="Confirmado")))*Agenda!$A$5:$A$3004+(1-((Agenda!$E$5:$E$3004=A369)*((Agenda!$H$5:$H$3004="Agendado")+(Agenda!$H$5:$H$3004="Confirmado"))))*1E+10))))</f>
        <v/>
      </c>
    </row>
    <row r="370">
      <c r="A370" s="37" t="n"/>
      <c r="B370" s="38" t="n"/>
      <c r="C370" s="38" t="n"/>
      <c r="D370" s="37" t="n"/>
      <c r="E370" s="37" t="n"/>
      <c r="F370" s="30">
        <f>IF(A370="","",COUNTIFS(Agenda!$E$5:$E$3004,A370,Agenda!$H$5:$H$3004,"Realizado"))</f>
        <v/>
      </c>
      <c r="G370" s="30">
        <f>IF(A370="","",COUNTIFS(Agenda!$E$5:$E$3004,A370,Agenda!$H$5:$H$3004,"Falta"))</f>
        <v/>
      </c>
      <c r="H370" s="34">
        <f>IF(A370="","",IF(SUMPRODUCT(MAX((Agenda!$E$5:$E$3004=A370)*(Agenda!$H$5:$H$3004="Realizado")*Agenda!$A$5:$A$3004))=0,"",SUMPRODUCT(MAX((Agenda!$E$5:$E$3004=A370)*(Agenda!$H$5:$H$3004="Realizado")*Agenda!$A$5:$A$3004))))</f>
        <v/>
      </c>
      <c r="I370" s="34">
        <f>IF(A370="","",IF(SUMPRODUCT(MIN(((Agenda!$E$5:$E$3004=A370)*((Agenda!$H$5:$H$3004="Agendado")+(Agenda!$H$5:$H$3004="Confirmado")))*Agenda!$A$5:$A$3004+(1-((Agenda!$E$5:$E$3004=A370)*((Agenda!$H$5:$H$3004="Agendado")+(Agenda!$H$5:$H$3004="Confirmado"))))*1E+10))&gt;=1E+10,"",SUMPRODUCT(MIN(((Agenda!$E$5:$E$3004=A370)*((Agenda!$H$5:$H$3004="Agendado")+(Agenda!$H$5:$H$3004="Confirmado")))*Agenda!$A$5:$A$3004+(1-((Agenda!$E$5:$E$3004=A370)*((Agenda!$H$5:$H$3004="Agendado")+(Agenda!$H$5:$H$3004="Confirmado"))))*1E+10))))</f>
        <v/>
      </c>
    </row>
    <row r="371">
      <c r="A371" s="37" t="n"/>
      <c r="B371" s="38" t="n"/>
      <c r="C371" s="38" t="n"/>
      <c r="D371" s="37" t="n"/>
      <c r="E371" s="37" t="n"/>
      <c r="F371" s="30">
        <f>IF(A371="","",COUNTIFS(Agenda!$E$5:$E$3004,A371,Agenda!$H$5:$H$3004,"Realizado"))</f>
        <v/>
      </c>
      <c r="G371" s="30">
        <f>IF(A371="","",COUNTIFS(Agenda!$E$5:$E$3004,A371,Agenda!$H$5:$H$3004,"Falta"))</f>
        <v/>
      </c>
      <c r="H371" s="34">
        <f>IF(A371="","",IF(SUMPRODUCT(MAX((Agenda!$E$5:$E$3004=A371)*(Agenda!$H$5:$H$3004="Realizado")*Agenda!$A$5:$A$3004))=0,"",SUMPRODUCT(MAX((Agenda!$E$5:$E$3004=A371)*(Agenda!$H$5:$H$3004="Realizado")*Agenda!$A$5:$A$3004))))</f>
        <v/>
      </c>
      <c r="I371" s="34">
        <f>IF(A371="","",IF(SUMPRODUCT(MIN(((Agenda!$E$5:$E$3004=A371)*((Agenda!$H$5:$H$3004="Agendado")+(Agenda!$H$5:$H$3004="Confirmado")))*Agenda!$A$5:$A$3004+(1-((Agenda!$E$5:$E$3004=A371)*((Agenda!$H$5:$H$3004="Agendado")+(Agenda!$H$5:$H$3004="Confirmado"))))*1E+10))&gt;=1E+10,"",SUMPRODUCT(MIN(((Agenda!$E$5:$E$3004=A371)*((Agenda!$H$5:$H$3004="Agendado")+(Agenda!$H$5:$H$3004="Confirmado")))*Agenda!$A$5:$A$3004+(1-((Agenda!$E$5:$E$3004=A371)*((Agenda!$H$5:$H$3004="Agendado")+(Agenda!$H$5:$H$3004="Confirmado"))))*1E+10))))</f>
        <v/>
      </c>
    </row>
    <row r="372">
      <c r="A372" s="37" t="n"/>
      <c r="B372" s="38" t="n"/>
      <c r="C372" s="38" t="n"/>
      <c r="D372" s="37" t="n"/>
      <c r="E372" s="37" t="n"/>
      <c r="F372" s="30">
        <f>IF(A372="","",COUNTIFS(Agenda!$E$5:$E$3004,A372,Agenda!$H$5:$H$3004,"Realizado"))</f>
        <v/>
      </c>
      <c r="G372" s="30">
        <f>IF(A372="","",COUNTIFS(Agenda!$E$5:$E$3004,A372,Agenda!$H$5:$H$3004,"Falta"))</f>
        <v/>
      </c>
      <c r="H372" s="34">
        <f>IF(A372="","",IF(SUMPRODUCT(MAX((Agenda!$E$5:$E$3004=A372)*(Agenda!$H$5:$H$3004="Realizado")*Agenda!$A$5:$A$3004))=0,"",SUMPRODUCT(MAX((Agenda!$E$5:$E$3004=A372)*(Agenda!$H$5:$H$3004="Realizado")*Agenda!$A$5:$A$3004))))</f>
        <v/>
      </c>
      <c r="I372" s="34">
        <f>IF(A372="","",IF(SUMPRODUCT(MIN(((Agenda!$E$5:$E$3004=A372)*((Agenda!$H$5:$H$3004="Agendado")+(Agenda!$H$5:$H$3004="Confirmado")))*Agenda!$A$5:$A$3004+(1-((Agenda!$E$5:$E$3004=A372)*((Agenda!$H$5:$H$3004="Agendado")+(Agenda!$H$5:$H$3004="Confirmado"))))*1E+10))&gt;=1E+10,"",SUMPRODUCT(MIN(((Agenda!$E$5:$E$3004=A372)*((Agenda!$H$5:$H$3004="Agendado")+(Agenda!$H$5:$H$3004="Confirmado")))*Agenda!$A$5:$A$3004+(1-((Agenda!$E$5:$E$3004=A372)*((Agenda!$H$5:$H$3004="Agendado")+(Agenda!$H$5:$H$3004="Confirmado"))))*1E+10))))</f>
        <v/>
      </c>
    </row>
    <row r="373">
      <c r="A373" s="37" t="n"/>
      <c r="B373" s="38" t="n"/>
      <c r="C373" s="38" t="n"/>
      <c r="D373" s="37" t="n"/>
      <c r="E373" s="37" t="n"/>
      <c r="F373" s="30">
        <f>IF(A373="","",COUNTIFS(Agenda!$E$5:$E$3004,A373,Agenda!$H$5:$H$3004,"Realizado"))</f>
        <v/>
      </c>
      <c r="G373" s="30">
        <f>IF(A373="","",COUNTIFS(Agenda!$E$5:$E$3004,A373,Agenda!$H$5:$H$3004,"Falta"))</f>
        <v/>
      </c>
      <c r="H373" s="34">
        <f>IF(A373="","",IF(SUMPRODUCT(MAX((Agenda!$E$5:$E$3004=A373)*(Agenda!$H$5:$H$3004="Realizado")*Agenda!$A$5:$A$3004))=0,"",SUMPRODUCT(MAX((Agenda!$E$5:$E$3004=A373)*(Agenda!$H$5:$H$3004="Realizado")*Agenda!$A$5:$A$3004))))</f>
        <v/>
      </c>
      <c r="I373" s="34">
        <f>IF(A373="","",IF(SUMPRODUCT(MIN(((Agenda!$E$5:$E$3004=A373)*((Agenda!$H$5:$H$3004="Agendado")+(Agenda!$H$5:$H$3004="Confirmado")))*Agenda!$A$5:$A$3004+(1-((Agenda!$E$5:$E$3004=A373)*((Agenda!$H$5:$H$3004="Agendado")+(Agenda!$H$5:$H$3004="Confirmado"))))*1E+10))&gt;=1E+10,"",SUMPRODUCT(MIN(((Agenda!$E$5:$E$3004=A373)*((Agenda!$H$5:$H$3004="Agendado")+(Agenda!$H$5:$H$3004="Confirmado")))*Agenda!$A$5:$A$3004+(1-((Agenda!$E$5:$E$3004=A373)*((Agenda!$H$5:$H$3004="Agendado")+(Agenda!$H$5:$H$3004="Confirmado"))))*1E+10))))</f>
        <v/>
      </c>
    </row>
    <row r="374">
      <c r="A374" s="37" t="n"/>
      <c r="B374" s="38" t="n"/>
      <c r="C374" s="38" t="n"/>
      <c r="D374" s="37" t="n"/>
      <c r="E374" s="37" t="n"/>
      <c r="F374" s="30">
        <f>IF(A374="","",COUNTIFS(Agenda!$E$5:$E$3004,A374,Agenda!$H$5:$H$3004,"Realizado"))</f>
        <v/>
      </c>
      <c r="G374" s="30">
        <f>IF(A374="","",COUNTIFS(Agenda!$E$5:$E$3004,A374,Agenda!$H$5:$H$3004,"Falta"))</f>
        <v/>
      </c>
      <c r="H374" s="34">
        <f>IF(A374="","",IF(SUMPRODUCT(MAX((Agenda!$E$5:$E$3004=A374)*(Agenda!$H$5:$H$3004="Realizado")*Agenda!$A$5:$A$3004))=0,"",SUMPRODUCT(MAX((Agenda!$E$5:$E$3004=A374)*(Agenda!$H$5:$H$3004="Realizado")*Agenda!$A$5:$A$3004))))</f>
        <v/>
      </c>
      <c r="I374" s="34">
        <f>IF(A374="","",IF(SUMPRODUCT(MIN(((Agenda!$E$5:$E$3004=A374)*((Agenda!$H$5:$H$3004="Agendado")+(Agenda!$H$5:$H$3004="Confirmado")))*Agenda!$A$5:$A$3004+(1-((Agenda!$E$5:$E$3004=A374)*((Agenda!$H$5:$H$3004="Agendado")+(Agenda!$H$5:$H$3004="Confirmado"))))*1E+10))&gt;=1E+10,"",SUMPRODUCT(MIN(((Agenda!$E$5:$E$3004=A374)*((Agenda!$H$5:$H$3004="Agendado")+(Agenda!$H$5:$H$3004="Confirmado")))*Agenda!$A$5:$A$3004+(1-((Agenda!$E$5:$E$3004=A374)*((Agenda!$H$5:$H$3004="Agendado")+(Agenda!$H$5:$H$3004="Confirmado"))))*1E+10))))</f>
        <v/>
      </c>
    </row>
    <row r="375">
      <c r="A375" s="37" t="n"/>
      <c r="B375" s="38" t="n"/>
      <c r="C375" s="38" t="n"/>
      <c r="D375" s="37" t="n"/>
      <c r="E375" s="37" t="n"/>
      <c r="F375" s="30">
        <f>IF(A375="","",COUNTIFS(Agenda!$E$5:$E$3004,A375,Agenda!$H$5:$H$3004,"Realizado"))</f>
        <v/>
      </c>
      <c r="G375" s="30">
        <f>IF(A375="","",COUNTIFS(Agenda!$E$5:$E$3004,A375,Agenda!$H$5:$H$3004,"Falta"))</f>
        <v/>
      </c>
      <c r="H375" s="34">
        <f>IF(A375="","",IF(SUMPRODUCT(MAX((Agenda!$E$5:$E$3004=A375)*(Agenda!$H$5:$H$3004="Realizado")*Agenda!$A$5:$A$3004))=0,"",SUMPRODUCT(MAX((Agenda!$E$5:$E$3004=A375)*(Agenda!$H$5:$H$3004="Realizado")*Agenda!$A$5:$A$3004))))</f>
        <v/>
      </c>
      <c r="I375" s="34">
        <f>IF(A375="","",IF(SUMPRODUCT(MIN(((Agenda!$E$5:$E$3004=A375)*((Agenda!$H$5:$H$3004="Agendado")+(Agenda!$H$5:$H$3004="Confirmado")))*Agenda!$A$5:$A$3004+(1-((Agenda!$E$5:$E$3004=A375)*((Agenda!$H$5:$H$3004="Agendado")+(Agenda!$H$5:$H$3004="Confirmado"))))*1E+10))&gt;=1E+10,"",SUMPRODUCT(MIN(((Agenda!$E$5:$E$3004=A375)*((Agenda!$H$5:$H$3004="Agendado")+(Agenda!$H$5:$H$3004="Confirmado")))*Agenda!$A$5:$A$3004+(1-((Agenda!$E$5:$E$3004=A375)*((Agenda!$H$5:$H$3004="Agendado")+(Agenda!$H$5:$H$3004="Confirmado"))))*1E+10))))</f>
        <v/>
      </c>
    </row>
    <row r="376">
      <c r="A376" s="37" t="n"/>
      <c r="B376" s="38" t="n"/>
      <c r="C376" s="38" t="n"/>
      <c r="D376" s="37" t="n"/>
      <c r="E376" s="37" t="n"/>
      <c r="F376" s="30">
        <f>IF(A376="","",COUNTIFS(Agenda!$E$5:$E$3004,A376,Agenda!$H$5:$H$3004,"Realizado"))</f>
        <v/>
      </c>
      <c r="G376" s="30">
        <f>IF(A376="","",COUNTIFS(Agenda!$E$5:$E$3004,A376,Agenda!$H$5:$H$3004,"Falta"))</f>
        <v/>
      </c>
      <c r="H376" s="34">
        <f>IF(A376="","",IF(SUMPRODUCT(MAX((Agenda!$E$5:$E$3004=A376)*(Agenda!$H$5:$H$3004="Realizado")*Agenda!$A$5:$A$3004))=0,"",SUMPRODUCT(MAX((Agenda!$E$5:$E$3004=A376)*(Agenda!$H$5:$H$3004="Realizado")*Agenda!$A$5:$A$3004))))</f>
        <v/>
      </c>
      <c r="I376" s="34">
        <f>IF(A376="","",IF(SUMPRODUCT(MIN(((Agenda!$E$5:$E$3004=A376)*((Agenda!$H$5:$H$3004="Agendado")+(Agenda!$H$5:$H$3004="Confirmado")))*Agenda!$A$5:$A$3004+(1-((Agenda!$E$5:$E$3004=A376)*((Agenda!$H$5:$H$3004="Agendado")+(Agenda!$H$5:$H$3004="Confirmado"))))*1E+10))&gt;=1E+10,"",SUMPRODUCT(MIN(((Agenda!$E$5:$E$3004=A376)*((Agenda!$H$5:$H$3004="Agendado")+(Agenda!$H$5:$H$3004="Confirmado")))*Agenda!$A$5:$A$3004+(1-((Agenda!$E$5:$E$3004=A376)*((Agenda!$H$5:$H$3004="Agendado")+(Agenda!$H$5:$H$3004="Confirmado"))))*1E+10))))</f>
        <v/>
      </c>
    </row>
    <row r="377">
      <c r="A377" s="37" t="n"/>
      <c r="B377" s="38" t="n"/>
      <c r="C377" s="38" t="n"/>
      <c r="D377" s="37" t="n"/>
      <c r="E377" s="37" t="n"/>
      <c r="F377" s="30">
        <f>IF(A377="","",COUNTIFS(Agenda!$E$5:$E$3004,A377,Agenda!$H$5:$H$3004,"Realizado"))</f>
        <v/>
      </c>
      <c r="G377" s="30">
        <f>IF(A377="","",COUNTIFS(Agenda!$E$5:$E$3004,A377,Agenda!$H$5:$H$3004,"Falta"))</f>
        <v/>
      </c>
      <c r="H377" s="34">
        <f>IF(A377="","",IF(SUMPRODUCT(MAX((Agenda!$E$5:$E$3004=A377)*(Agenda!$H$5:$H$3004="Realizado")*Agenda!$A$5:$A$3004))=0,"",SUMPRODUCT(MAX((Agenda!$E$5:$E$3004=A377)*(Agenda!$H$5:$H$3004="Realizado")*Agenda!$A$5:$A$3004))))</f>
        <v/>
      </c>
      <c r="I377" s="34">
        <f>IF(A377="","",IF(SUMPRODUCT(MIN(((Agenda!$E$5:$E$3004=A377)*((Agenda!$H$5:$H$3004="Agendado")+(Agenda!$H$5:$H$3004="Confirmado")))*Agenda!$A$5:$A$3004+(1-((Agenda!$E$5:$E$3004=A377)*((Agenda!$H$5:$H$3004="Agendado")+(Agenda!$H$5:$H$3004="Confirmado"))))*1E+10))&gt;=1E+10,"",SUMPRODUCT(MIN(((Agenda!$E$5:$E$3004=A377)*((Agenda!$H$5:$H$3004="Agendado")+(Agenda!$H$5:$H$3004="Confirmado")))*Agenda!$A$5:$A$3004+(1-((Agenda!$E$5:$E$3004=A377)*((Agenda!$H$5:$H$3004="Agendado")+(Agenda!$H$5:$H$3004="Confirmado"))))*1E+10))))</f>
        <v/>
      </c>
    </row>
    <row r="378">
      <c r="A378" s="37" t="n"/>
      <c r="B378" s="38" t="n"/>
      <c r="C378" s="38" t="n"/>
      <c r="D378" s="37" t="n"/>
      <c r="E378" s="37" t="n"/>
      <c r="F378" s="30">
        <f>IF(A378="","",COUNTIFS(Agenda!$E$5:$E$3004,A378,Agenda!$H$5:$H$3004,"Realizado"))</f>
        <v/>
      </c>
      <c r="G378" s="30">
        <f>IF(A378="","",COUNTIFS(Agenda!$E$5:$E$3004,A378,Agenda!$H$5:$H$3004,"Falta"))</f>
        <v/>
      </c>
      <c r="H378" s="34">
        <f>IF(A378="","",IF(SUMPRODUCT(MAX((Agenda!$E$5:$E$3004=A378)*(Agenda!$H$5:$H$3004="Realizado")*Agenda!$A$5:$A$3004))=0,"",SUMPRODUCT(MAX((Agenda!$E$5:$E$3004=A378)*(Agenda!$H$5:$H$3004="Realizado")*Agenda!$A$5:$A$3004))))</f>
        <v/>
      </c>
      <c r="I378" s="34">
        <f>IF(A378="","",IF(SUMPRODUCT(MIN(((Agenda!$E$5:$E$3004=A378)*((Agenda!$H$5:$H$3004="Agendado")+(Agenda!$H$5:$H$3004="Confirmado")))*Agenda!$A$5:$A$3004+(1-((Agenda!$E$5:$E$3004=A378)*((Agenda!$H$5:$H$3004="Agendado")+(Agenda!$H$5:$H$3004="Confirmado"))))*1E+10))&gt;=1E+10,"",SUMPRODUCT(MIN(((Agenda!$E$5:$E$3004=A378)*((Agenda!$H$5:$H$3004="Agendado")+(Agenda!$H$5:$H$3004="Confirmado")))*Agenda!$A$5:$A$3004+(1-((Agenda!$E$5:$E$3004=A378)*((Agenda!$H$5:$H$3004="Agendado")+(Agenda!$H$5:$H$3004="Confirmado"))))*1E+10))))</f>
        <v/>
      </c>
    </row>
    <row r="379">
      <c r="A379" s="37" t="n"/>
      <c r="B379" s="38" t="n"/>
      <c r="C379" s="38" t="n"/>
      <c r="D379" s="37" t="n"/>
      <c r="E379" s="37" t="n"/>
      <c r="F379" s="30">
        <f>IF(A379="","",COUNTIFS(Agenda!$E$5:$E$3004,A379,Agenda!$H$5:$H$3004,"Realizado"))</f>
        <v/>
      </c>
      <c r="G379" s="30">
        <f>IF(A379="","",COUNTIFS(Agenda!$E$5:$E$3004,A379,Agenda!$H$5:$H$3004,"Falta"))</f>
        <v/>
      </c>
      <c r="H379" s="34">
        <f>IF(A379="","",IF(SUMPRODUCT(MAX((Agenda!$E$5:$E$3004=A379)*(Agenda!$H$5:$H$3004="Realizado")*Agenda!$A$5:$A$3004))=0,"",SUMPRODUCT(MAX((Agenda!$E$5:$E$3004=A379)*(Agenda!$H$5:$H$3004="Realizado")*Agenda!$A$5:$A$3004))))</f>
        <v/>
      </c>
      <c r="I379" s="34">
        <f>IF(A379="","",IF(SUMPRODUCT(MIN(((Agenda!$E$5:$E$3004=A379)*((Agenda!$H$5:$H$3004="Agendado")+(Agenda!$H$5:$H$3004="Confirmado")))*Agenda!$A$5:$A$3004+(1-((Agenda!$E$5:$E$3004=A379)*((Agenda!$H$5:$H$3004="Agendado")+(Agenda!$H$5:$H$3004="Confirmado"))))*1E+10))&gt;=1E+10,"",SUMPRODUCT(MIN(((Agenda!$E$5:$E$3004=A379)*((Agenda!$H$5:$H$3004="Agendado")+(Agenda!$H$5:$H$3004="Confirmado")))*Agenda!$A$5:$A$3004+(1-((Agenda!$E$5:$E$3004=A379)*((Agenda!$H$5:$H$3004="Agendado")+(Agenda!$H$5:$H$3004="Confirmado"))))*1E+10))))</f>
        <v/>
      </c>
    </row>
    <row r="380">
      <c r="A380" s="37" t="n"/>
      <c r="B380" s="38" t="n"/>
      <c r="C380" s="38" t="n"/>
      <c r="D380" s="37" t="n"/>
      <c r="E380" s="37" t="n"/>
      <c r="F380" s="30">
        <f>IF(A380="","",COUNTIFS(Agenda!$E$5:$E$3004,A380,Agenda!$H$5:$H$3004,"Realizado"))</f>
        <v/>
      </c>
      <c r="G380" s="30">
        <f>IF(A380="","",COUNTIFS(Agenda!$E$5:$E$3004,A380,Agenda!$H$5:$H$3004,"Falta"))</f>
        <v/>
      </c>
      <c r="H380" s="34">
        <f>IF(A380="","",IF(SUMPRODUCT(MAX((Agenda!$E$5:$E$3004=A380)*(Agenda!$H$5:$H$3004="Realizado")*Agenda!$A$5:$A$3004))=0,"",SUMPRODUCT(MAX((Agenda!$E$5:$E$3004=A380)*(Agenda!$H$5:$H$3004="Realizado")*Agenda!$A$5:$A$3004))))</f>
        <v/>
      </c>
      <c r="I380" s="34">
        <f>IF(A380="","",IF(SUMPRODUCT(MIN(((Agenda!$E$5:$E$3004=A380)*((Agenda!$H$5:$H$3004="Agendado")+(Agenda!$H$5:$H$3004="Confirmado")))*Agenda!$A$5:$A$3004+(1-((Agenda!$E$5:$E$3004=A380)*((Agenda!$H$5:$H$3004="Agendado")+(Agenda!$H$5:$H$3004="Confirmado"))))*1E+10))&gt;=1E+10,"",SUMPRODUCT(MIN(((Agenda!$E$5:$E$3004=A380)*((Agenda!$H$5:$H$3004="Agendado")+(Agenda!$H$5:$H$3004="Confirmado")))*Agenda!$A$5:$A$3004+(1-((Agenda!$E$5:$E$3004=A380)*((Agenda!$H$5:$H$3004="Agendado")+(Agenda!$H$5:$H$3004="Confirmado"))))*1E+10))))</f>
        <v/>
      </c>
    </row>
    <row r="381">
      <c r="A381" s="37" t="n"/>
      <c r="B381" s="38" t="n"/>
      <c r="C381" s="38" t="n"/>
      <c r="D381" s="37" t="n"/>
      <c r="E381" s="37" t="n"/>
      <c r="F381" s="30">
        <f>IF(A381="","",COUNTIFS(Agenda!$E$5:$E$3004,A381,Agenda!$H$5:$H$3004,"Realizado"))</f>
        <v/>
      </c>
      <c r="G381" s="30">
        <f>IF(A381="","",COUNTIFS(Agenda!$E$5:$E$3004,A381,Agenda!$H$5:$H$3004,"Falta"))</f>
        <v/>
      </c>
      <c r="H381" s="34">
        <f>IF(A381="","",IF(SUMPRODUCT(MAX((Agenda!$E$5:$E$3004=A381)*(Agenda!$H$5:$H$3004="Realizado")*Agenda!$A$5:$A$3004))=0,"",SUMPRODUCT(MAX((Agenda!$E$5:$E$3004=A381)*(Agenda!$H$5:$H$3004="Realizado")*Agenda!$A$5:$A$3004))))</f>
        <v/>
      </c>
      <c r="I381" s="34">
        <f>IF(A381="","",IF(SUMPRODUCT(MIN(((Agenda!$E$5:$E$3004=A381)*((Agenda!$H$5:$H$3004="Agendado")+(Agenda!$H$5:$H$3004="Confirmado")))*Agenda!$A$5:$A$3004+(1-((Agenda!$E$5:$E$3004=A381)*((Agenda!$H$5:$H$3004="Agendado")+(Agenda!$H$5:$H$3004="Confirmado"))))*1E+10))&gt;=1E+10,"",SUMPRODUCT(MIN(((Agenda!$E$5:$E$3004=A381)*((Agenda!$H$5:$H$3004="Agendado")+(Agenda!$H$5:$H$3004="Confirmado")))*Agenda!$A$5:$A$3004+(1-((Agenda!$E$5:$E$3004=A381)*((Agenda!$H$5:$H$3004="Agendado")+(Agenda!$H$5:$H$3004="Confirmado"))))*1E+10))))</f>
        <v/>
      </c>
    </row>
    <row r="382">
      <c r="A382" s="37" t="n"/>
      <c r="B382" s="38" t="n"/>
      <c r="C382" s="38" t="n"/>
      <c r="D382" s="37" t="n"/>
      <c r="E382" s="37" t="n"/>
      <c r="F382" s="30">
        <f>IF(A382="","",COUNTIFS(Agenda!$E$5:$E$3004,A382,Agenda!$H$5:$H$3004,"Realizado"))</f>
        <v/>
      </c>
      <c r="G382" s="30">
        <f>IF(A382="","",COUNTIFS(Agenda!$E$5:$E$3004,A382,Agenda!$H$5:$H$3004,"Falta"))</f>
        <v/>
      </c>
      <c r="H382" s="34">
        <f>IF(A382="","",IF(SUMPRODUCT(MAX((Agenda!$E$5:$E$3004=A382)*(Agenda!$H$5:$H$3004="Realizado")*Agenda!$A$5:$A$3004))=0,"",SUMPRODUCT(MAX((Agenda!$E$5:$E$3004=A382)*(Agenda!$H$5:$H$3004="Realizado")*Agenda!$A$5:$A$3004))))</f>
        <v/>
      </c>
      <c r="I382" s="34">
        <f>IF(A382="","",IF(SUMPRODUCT(MIN(((Agenda!$E$5:$E$3004=A382)*((Agenda!$H$5:$H$3004="Agendado")+(Agenda!$H$5:$H$3004="Confirmado")))*Agenda!$A$5:$A$3004+(1-((Agenda!$E$5:$E$3004=A382)*((Agenda!$H$5:$H$3004="Agendado")+(Agenda!$H$5:$H$3004="Confirmado"))))*1E+10))&gt;=1E+10,"",SUMPRODUCT(MIN(((Agenda!$E$5:$E$3004=A382)*((Agenda!$H$5:$H$3004="Agendado")+(Agenda!$H$5:$H$3004="Confirmado")))*Agenda!$A$5:$A$3004+(1-((Agenda!$E$5:$E$3004=A382)*((Agenda!$H$5:$H$3004="Agendado")+(Agenda!$H$5:$H$3004="Confirmado"))))*1E+10))))</f>
        <v/>
      </c>
    </row>
    <row r="383">
      <c r="A383" s="37" t="n"/>
      <c r="B383" s="38" t="n"/>
      <c r="C383" s="38" t="n"/>
      <c r="D383" s="37" t="n"/>
      <c r="E383" s="37" t="n"/>
      <c r="F383" s="30">
        <f>IF(A383="","",COUNTIFS(Agenda!$E$5:$E$3004,A383,Agenda!$H$5:$H$3004,"Realizado"))</f>
        <v/>
      </c>
      <c r="G383" s="30">
        <f>IF(A383="","",COUNTIFS(Agenda!$E$5:$E$3004,A383,Agenda!$H$5:$H$3004,"Falta"))</f>
        <v/>
      </c>
      <c r="H383" s="34">
        <f>IF(A383="","",IF(SUMPRODUCT(MAX((Agenda!$E$5:$E$3004=A383)*(Agenda!$H$5:$H$3004="Realizado")*Agenda!$A$5:$A$3004))=0,"",SUMPRODUCT(MAX((Agenda!$E$5:$E$3004=A383)*(Agenda!$H$5:$H$3004="Realizado")*Agenda!$A$5:$A$3004))))</f>
        <v/>
      </c>
      <c r="I383" s="34">
        <f>IF(A383="","",IF(SUMPRODUCT(MIN(((Agenda!$E$5:$E$3004=A383)*((Agenda!$H$5:$H$3004="Agendado")+(Agenda!$H$5:$H$3004="Confirmado")))*Agenda!$A$5:$A$3004+(1-((Agenda!$E$5:$E$3004=A383)*((Agenda!$H$5:$H$3004="Agendado")+(Agenda!$H$5:$H$3004="Confirmado"))))*1E+10))&gt;=1E+10,"",SUMPRODUCT(MIN(((Agenda!$E$5:$E$3004=A383)*((Agenda!$H$5:$H$3004="Agendado")+(Agenda!$H$5:$H$3004="Confirmado")))*Agenda!$A$5:$A$3004+(1-((Agenda!$E$5:$E$3004=A383)*((Agenda!$H$5:$H$3004="Agendado")+(Agenda!$H$5:$H$3004="Confirmado"))))*1E+10))))</f>
        <v/>
      </c>
    </row>
    <row r="384">
      <c r="A384" s="37" t="n"/>
      <c r="B384" s="38" t="n"/>
      <c r="C384" s="38" t="n"/>
      <c r="D384" s="37" t="n"/>
      <c r="E384" s="37" t="n"/>
      <c r="F384" s="30">
        <f>IF(A384="","",COUNTIFS(Agenda!$E$5:$E$3004,A384,Agenda!$H$5:$H$3004,"Realizado"))</f>
        <v/>
      </c>
      <c r="G384" s="30">
        <f>IF(A384="","",COUNTIFS(Agenda!$E$5:$E$3004,A384,Agenda!$H$5:$H$3004,"Falta"))</f>
        <v/>
      </c>
      <c r="H384" s="34">
        <f>IF(A384="","",IF(SUMPRODUCT(MAX((Agenda!$E$5:$E$3004=A384)*(Agenda!$H$5:$H$3004="Realizado")*Agenda!$A$5:$A$3004))=0,"",SUMPRODUCT(MAX((Agenda!$E$5:$E$3004=A384)*(Agenda!$H$5:$H$3004="Realizado")*Agenda!$A$5:$A$3004))))</f>
        <v/>
      </c>
      <c r="I384" s="34">
        <f>IF(A384="","",IF(SUMPRODUCT(MIN(((Agenda!$E$5:$E$3004=A384)*((Agenda!$H$5:$H$3004="Agendado")+(Agenda!$H$5:$H$3004="Confirmado")))*Agenda!$A$5:$A$3004+(1-((Agenda!$E$5:$E$3004=A384)*((Agenda!$H$5:$H$3004="Agendado")+(Agenda!$H$5:$H$3004="Confirmado"))))*1E+10))&gt;=1E+10,"",SUMPRODUCT(MIN(((Agenda!$E$5:$E$3004=A384)*((Agenda!$H$5:$H$3004="Agendado")+(Agenda!$H$5:$H$3004="Confirmado")))*Agenda!$A$5:$A$3004+(1-((Agenda!$E$5:$E$3004=A384)*((Agenda!$H$5:$H$3004="Agendado")+(Agenda!$H$5:$H$3004="Confirmado"))))*1E+10))))</f>
        <v/>
      </c>
    </row>
    <row r="385">
      <c r="A385" s="37" t="n"/>
      <c r="B385" s="38" t="n"/>
      <c r="C385" s="38" t="n"/>
      <c r="D385" s="37" t="n"/>
      <c r="E385" s="37" t="n"/>
      <c r="F385" s="30">
        <f>IF(A385="","",COUNTIFS(Agenda!$E$5:$E$3004,A385,Agenda!$H$5:$H$3004,"Realizado"))</f>
        <v/>
      </c>
      <c r="G385" s="30">
        <f>IF(A385="","",COUNTIFS(Agenda!$E$5:$E$3004,A385,Agenda!$H$5:$H$3004,"Falta"))</f>
        <v/>
      </c>
      <c r="H385" s="34">
        <f>IF(A385="","",IF(SUMPRODUCT(MAX((Agenda!$E$5:$E$3004=A385)*(Agenda!$H$5:$H$3004="Realizado")*Agenda!$A$5:$A$3004))=0,"",SUMPRODUCT(MAX((Agenda!$E$5:$E$3004=A385)*(Agenda!$H$5:$H$3004="Realizado")*Agenda!$A$5:$A$3004))))</f>
        <v/>
      </c>
      <c r="I385" s="34">
        <f>IF(A385="","",IF(SUMPRODUCT(MIN(((Agenda!$E$5:$E$3004=A385)*((Agenda!$H$5:$H$3004="Agendado")+(Agenda!$H$5:$H$3004="Confirmado")))*Agenda!$A$5:$A$3004+(1-((Agenda!$E$5:$E$3004=A385)*((Agenda!$H$5:$H$3004="Agendado")+(Agenda!$H$5:$H$3004="Confirmado"))))*1E+10))&gt;=1E+10,"",SUMPRODUCT(MIN(((Agenda!$E$5:$E$3004=A385)*((Agenda!$H$5:$H$3004="Agendado")+(Agenda!$H$5:$H$3004="Confirmado")))*Agenda!$A$5:$A$3004+(1-((Agenda!$E$5:$E$3004=A385)*((Agenda!$H$5:$H$3004="Agendado")+(Agenda!$H$5:$H$3004="Confirmado"))))*1E+10))))</f>
        <v/>
      </c>
    </row>
    <row r="386">
      <c r="A386" s="37" t="n"/>
      <c r="B386" s="38" t="n"/>
      <c r="C386" s="38" t="n"/>
      <c r="D386" s="37" t="n"/>
      <c r="E386" s="37" t="n"/>
      <c r="F386" s="30">
        <f>IF(A386="","",COUNTIFS(Agenda!$E$5:$E$3004,A386,Agenda!$H$5:$H$3004,"Realizado"))</f>
        <v/>
      </c>
      <c r="G386" s="30">
        <f>IF(A386="","",COUNTIFS(Agenda!$E$5:$E$3004,A386,Agenda!$H$5:$H$3004,"Falta"))</f>
        <v/>
      </c>
      <c r="H386" s="34">
        <f>IF(A386="","",IF(SUMPRODUCT(MAX((Agenda!$E$5:$E$3004=A386)*(Agenda!$H$5:$H$3004="Realizado")*Agenda!$A$5:$A$3004))=0,"",SUMPRODUCT(MAX((Agenda!$E$5:$E$3004=A386)*(Agenda!$H$5:$H$3004="Realizado")*Agenda!$A$5:$A$3004))))</f>
        <v/>
      </c>
      <c r="I386" s="34">
        <f>IF(A386="","",IF(SUMPRODUCT(MIN(((Agenda!$E$5:$E$3004=A386)*((Agenda!$H$5:$H$3004="Agendado")+(Agenda!$H$5:$H$3004="Confirmado")))*Agenda!$A$5:$A$3004+(1-((Agenda!$E$5:$E$3004=A386)*((Agenda!$H$5:$H$3004="Agendado")+(Agenda!$H$5:$H$3004="Confirmado"))))*1E+10))&gt;=1E+10,"",SUMPRODUCT(MIN(((Agenda!$E$5:$E$3004=A386)*((Agenda!$H$5:$H$3004="Agendado")+(Agenda!$H$5:$H$3004="Confirmado")))*Agenda!$A$5:$A$3004+(1-((Agenda!$E$5:$E$3004=A386)*((Agenda!$H$5:$H$3004="Agendado")+(Agenda!$H$5:$H$3004="Confirmado"))))*1E+10))))</f>
        <v/>
      </c>
    </row>
    <row r="387">
      <c r="A387" s="37" t="n"/>
      <c r="B387" s="38" t="n"/>
      <c r="C387" s="38" t="n"/>
      <c r="D387" s="37" t="n"/>
      <c r="E387" s="37" t="n"/>
      <c r="F387" s="30">
        <f>IF(A387="","",COUNTIFS(Agenda!$E$5:$E$3004,A387,Agenda!$H$5:$H$3004,"Realizado"))</f>
        <v/>
      </c>
      <c r="G387" s="30">
        <f>IF(A387="","",COUNTIFS(Agenda!$E$5:$E$3004,A387,Agenda!$H$5:$H$3004,"Falta"))</f>
        <v/>
      </c>
      <c r="H387" s="34">
        <f>IF(A387="","",IF(SUMPRODUCT(MAX((Agenda!$E$5:$E$3004=A387)*(Agenda!$H$5:$H$3004="Realizado")*Agenda!$A$5:$A$3004))=0,"",SUMPRODUCT(MAX((Agenda!$E$5:$E$3004=A387)*(Agenda!$H$5:$H$3004="Realizado")*Agenda!$A$5:$A$3004))))</f>
        <v/>
      </c>
      <c r="I387" s="34">
        <f>IF(A387="","",IF(SUMPRODUCT(MIN(((Agenda!$E$5:$E$3004=A387)*((Agenda!$H$5:$H$3004="Agendado")+(Agenda!$H$5:$H$3004="Confirmado")))*Agenda!$A$5:$A$3004+(1-((Agenda!$E$5:$E$3004=A387)*((Agenda!$H$5:$H$3004="Agendado")+(Agenda!$H$5:$H$3004="Confirmado"))))*1E+10))&gt;=1E+10,"",SUMPRODUCT(MIN(((Agenda!$E$5:$E$3004=A387)*((Agenda!$H$5:$H$3004="Agendado")+(Agenda!$H$5:$H$3004="Confirmado")))*Agenda!$A$5:$A$3004+(1-((Agenda!$E$5:$E$3004=A387)*((Agenda!$H$5:$H$3004="Agendado")+(Agenda!$H$5:$H$3004="Confirmado"))))*1E+10))))</f>
        <v/>
      </c>
    </row>
    <row r="388">
      <c r="A388" s="37" t="n"/>
      <c r="B388" s="38" t="n"/>
      <c r="C388" s="38" t="n"/>
      <c r="D388" s="37" t="n"/>
      <c r="E388" s="37" t="n"/>
      <c r="F388" s="30">
        <f>IF(A388="","",COUNTIFS(Agenda!$E$5:$E$3004,A388,Agenda!$H$5:$H$3004,"Realizado"))</f>
        <v/>
      </c>
      <c r="G388" s="30">
        <f>IF(A388="","",COUNTIFS(Agenda!$E$5:$E$3004,A388,Agenda!$H$5:$H$3004,"Falta"))</f>
        <v/>
      </c>
      <c r="H388" s="34">
        <f>IF(A388="","",IF(SUMPRODUCT(MAX((Agenda!$E$5:$E$3004=A388)*(Agenda!$H$5:$H$3004="Realizado")*Agenda!$A$5:$A$3004))=0,"",SUMPRODUCT(MAX((Agenda!$E$5:$E$3004=A388)*(Agenda!$H$5:$H$3004="Realizado")*Agenda!$A$5:$A$3004))))</f>
        <v/>
      </c>
      <c r="I388" s="34">
        <f>IF(A388="","",IF(SUMPRODUCT(MIN(((Agenda!$E$5:$E$3004=A388)*((Agenda!$H$5:$H$3004="Agendado")+(Agenda!$H$5:$H$3004="Confirmado")))*Agenda!$A$5:$A$3004+(1-((Agenda!$E$5:$E$3004=A388)*((Agenda!$H$5:$H$3004="Agendado")+(Agenda!$H$5:$H$3004="Confirmado"))))*1E+10))&gt;=1E+10,"",SUMPRODUCT(MIN(((Agenda!$E$5:$E$3004=A388)*((Agenda!$H$5:$H$3004="Agendado")+(Agenda!$H$5:$H$3004="Confirmado")))*Agenda!$A$5:$A$3004+(1-((Agenda!$E$5:$E$3004=A388)*((Agenda!$H$5:$H$3004="Agendado")+(Agenda!$H$5:$H$3004="Confirmado"))))*1E+10))))</f>
        <v/>
      </c>
    </row>
    <row r="389">
      <c r="A389" s="37" t="n"/>
      <c r="B389" s="38" t="n"/>
      <c r="C389" s="38" t="n"/>
      <c r="D389" s="37" t="n"/>
      <c r="E389" s="37" t="n"/>
      <c r="F389" s="30">
        <f>IF(A389="","",COUNTIFS(Agenda!$E$5:$E$3004,A389,Agenda!$H$5:$H$3004,"Realizado"))</f>
        <v/>
      </c>
      <c r="G389" s="30">
        <f>IF(A389="","",COUNTIFS(Agenda!$E$5:$E$3004,A389,Agenda!$H$5:$H$3004,"Falta"))</f>
        <v/>
      </c>
      <c r="H389" s="34">
        <f>IF(A389="","",IF(SUMPRODUCT(MAX((Agenda!$E$5:$E$3004=A389)*(Agenda!$H$5:$H$3004="Realizado")*Agenda!$A$5:$A$3004))=0,"",SUMPRODUCT(MAX((Agenda!$E$5:$E$3004=A389)*(Agenda!$H$5:$H$3004="Realizado")*Agenda!$A$5:$A$3004))))</f>
        <v/>
      </c>
      <c r="I389" s="34">
        <f>IF(A389="","",IF(SUMPRODUCT(MIN(((Agenda!$E$5:$E$3004=A389)*((Agenda!$H$5:$H$3004="Agendado")+(Agenda!$H$5:$H$3004="Confirmado")))*Agenda!$A$5:$A$3004+(1-((Agenda!$E$5:$E$3004=A389)*((Agenda!$H$5:$H$3004="Agendado")+(Agenda!$H$5:$H$3004="Confirmado"))))*1E+10))&gt;=1E+10,"",SUMPRODUCT(MIN(((Agenda!$E$5:$E$3004=A389)*((Agenda!$H$5:$H$3004="Agendado")+(Agenda!$H$5:$H$3004="Confirmado")))*Agenda!$A$5:$A$3004+(1-((Agenda!$E$5:$E$3004=A389)*((Agenda!$H$5:$H$3004="Agendado")+(Agenda!$H$5:$H$3004="Confirmado"))))*1E+10))))</f>
        <v/>
      </c>
    </row>
    <row r="390">
      <c r="A390" s="37" t="n"/>
      <c r="B390" s="38" t="n"/>
      <c r="C390" s="38" t="n"/>
      <c r="D390" s="37" t="n"/>
      <c r="E390" s="37" t="n"/>
      <c r="F390" s="30">
        <f>IF(A390="","",COUNTIFS(Agenda!$E$5:$E$3004,A390,Agenda!$H$5:$H$3004,"Realizado"))</f>
        <v/>
      </c>
      <c r="G390" s="30">
        <f>IF(A390="","",COUNTIFS(Agenda!$E$5:$E$3004,A390,Agenda!$H$5:$H$3004,"Falta"))</f>
        <v/>
      </c>
      <c r="H390" s="34">
        <f>IF(A390="","",IF(SUMPRODUCT(MAX((Agenda!$E$5:$E$3004=A390)*(Agenda!$H$5:$H$3004="Realizado")*Agenda!$A$5:$A$3004))=0,"",SUMPRODUCT(MAX((Agenda!$E$5:$E$3004=A390)*(Agenda!$H$5:$H$3004="Realizado")*Agenda!$A$5:$A$3004))))</f>
        <v/>
      </c>
      <c r="I390" s="34">
        <f>IF(A390="","",IF(SUMPRODUCT(MIN(((Agenda!$E$5:$E$3004=A390)*((Agenda!$H$5:$H$3004="Agendado")+(Agenda!$H$5:$H$3004="Confirmado")))*Agenda!$A$5:$A$3004+(1-((Agenda!$E$5:$E$3004=A390)*((Agenda!$H$5:$H$3004="Agendado")+(Agenda!$H$5:$H$3004="Confirmado"))))*1E+10))&gt;=1E+10,"",SUMPRODUCT(MIN(((Agenda!$E$5:$E$3004=A390)*((Agenda!$H$5:$H$3004="Agendado")+(Agenda!$H$5:$H$3004="Confirmado")))*Agenda!$A$5:$A$3004+(1-((Agenda!$E$5:$E$3004=A390)*((Agenda!$H$5:$H$3004="Agendado")+(Agenda!$H$5:$H$3004="Confirmado"))))*1E+10))))</f>
        <v/>
      </c>
    </row>
    <row r="391">
      <c r="A391" s="37" t="n"/>
      <c r="B391" s="38" t="n"/>
      <c r="C391" s="38" t="n"/>
      <c r="D391" s="37" t="n"/>
      <c r="E391" s="37" t="n"/>
      <c r="F391" s="30">
        <f>IF(A391="","",COUNTIFS(Agenda!$E$5:$E$3004,A391,Agenda!$H$5:$H$3004,"Realizado"))</f>
        <v/>
      </c>
      <c r="G391" s="30">
        <f>IF(A391="","",COUNTIFS(Agenda!$E$5:$E$3004,A391,Agenda!$H$5:$H$3004,"Falta"))</f>
        <v/>
      </c>
      <c r="H391" s="34">
        <f>IF(A391="","",IF(SUMPRODUCT(MAX((Agenda!$E$5:$E$3004=A391)*(Agenda!$H$5:$H$3004="Realizado")*Agenda!$A$5:$A$3004))=0,"",SUMPRODUCT(MAX((Agenda!$E$5:$E$3004=A391)*(Agenda!$H$5:$H$3004="Realizado")*Agenda!$A$5:$A$3004))))</f>
        <v/>
      </c>
      <c r="I391" s="34">
        <f>IF(A391="","",IF(SUMPRODUCT(MIN(((Agenda!$E$5:$E$3004=A391)*((Agenda!$H$5:$H$3004="Agendado")+(Agenda!$H$5:$H$3004="Confirmado")))*Agenda!$A$5:$A$3004+(1-((Agenda!$E$5:$E$3004=A391)*((Agenda!$H$5:$H$3004="Agendado")+(Agenda!$H$5:$H$3004="Confirmado"))))*1E+10))&gt;=1E+10,"",SUMPRODUCT(MIN(((Agenda!$E$5:$E$3004=A391)*((Agenda!$H$5:$H$3004="Agendado")+(Agenda!$H$5:$H$3004="Confirmado")))*Agenda!$A$5:$A$3004+(1-((Agenda!$E$5:$E$3004=A391)*((Agenda!$H$5:$H$3004="Agendado")+(Agenda!$H$5:$H$3004="Confirmado"))))*1E+10))))</f>
        <v/>
      </c>
    </row>
    <row r="392">
      <c r="A392" s="37" t="n"/>
      <c r="B392" s="38" t="n"/>
      <c r="C392" s="38" t="n"/>
      <c r="D392" s="37" t="n"/>
      <c r="E392" s="37" t="n"/>
      <c r="F392" s="30">
        <f>IF(A392="","",COUNTIFS(Agenda!$E$5:$E$3004,A392,Agenda!$H$5:$H$3004,"Realizado"))</f>
        <v/>
      </c>
      <c r="G392" s="30">
        <f>IF(A392="","",COUNTIFS(Agenda!$E$5:$E$3004,A392,Agenda!$H$5:$H$3004,"Falta"))</f>
        <v/>
      </c>
      <c r="H392" s="34">
        <f>IF(A392="","",IF(SUMPRODUCT(MAX((Agenda!$E$5:$E$3004=A392)*(Agenda!$H$5:$H$3004="Realizado")*Agenda!$A$5:$A$3004))=0,"",SUMPRODUCT(MAX((Agenda!$E$5:$E$3004=A392)*(Agenda!$H$5:$H$3004="Realizado")*Agenda!$A$5:$A$3004))))</f>
        <v/>
      </c>
      <c r="I392" s="34">
        <f>IF(A392="","",IF(SUMPRODUCT(MIN(((Agenda!$E$5:$E$3004=A392)*((Agenda!$H$5:$H$3004="Agendado")+(Agenda!$H$5:$H$3004="Confirmado")))*Agenda!$A$5:$A$3004+(1-((Agenda!$E$5:$E$3004=A392)*((Agenda!$H$5:$H$3004="Agendado")+(Agenda!$H$5:$H$3004="Confirmado"))))*1E+10))&gt;=1E+10,"",SUMPRODUCT(MIN(((Agenda!$E$5:$E$3004=A392)*((Agenda!$H$5:$H$3004="Agendado")+(Agenda!$H$5:$H$3004="Confirmado")))*Agenda!$A$5:$A$3004+(1-((Agenda!$E$5:$E$3004=A392)*((Agenda!$H$5:$H$3004="Agendado")+(Agenda!$H$5:$H$3004="Confirmado"))))*1E+10))))</f>
        <v/>
      </c>
    </row>
    <row r="393">
      <c r="A393" s="37" t="n"/>
      <c r="B393" s="38" t="n"/>
      <c r="C393" s="38" t="n"/>
      <c r="D393" s="37" t="n"/>
      <c r="E393" s="37" t="n"/>
      <c r="F393" s="30">
        <f>IF(A393="","",COUNTIFS(Agenda!$E$5:$E$3004,A393,Agenda!$H$5:$H$3004,"Realizado"))</f>
        <v/>
      </c>
      <c r="G393" s="30">
        <f>IF(A393="","",COUNTIFS(Agenda!$E$5:$E$3004,A393,Agenda!$H$5:$H$3004,"Falta"))</f>
        <v/>
      </c>
      <c r="H393" s="34">
        <f>IF(A393="","",IF(SUMPRODUCT(MAX((Agenda!$E$5:$E$3004=A393)*(Agenda!$H$5:$H$3004="Realizado")*Agenda!$A$5:$A$3004))=0,"",SUMPRODUCT(MAX((Agenda!$E$5:$E$3004=A393)*(Agenda!$H$5:$H$3004="Realizado")*Agenda!$A$5:$A$3004))))</f>
        <v/>
      </c>
      <c r="I393" s="34">
        <f>IF(A393="","",IF(SUMPRODUCT(MIN(((Agenda!$E$5:$E$3004=A393)*((Agenda!$H$5:$H$3004="Agendado")+(Agenda!$H$5:$H$3004="Confirmado")))*Agenda!$A$5:$A$3004+(1-((Agenda!$E$5:$E$3004=A393)*((Agenda!$H$5:$H$3004="Agendado")+(Agenda!$H$5:$H$3004="Confirmado"))))*1E+10))&gt;=1E+10,"",SUMPRODUCT(MIN(((Agenda!$E$5:$E$3004=A393)*((Agenda!$H$5:$H$3004="Agendado")+(Agenda!$H$5:$H$3004="Confirmado")))*Agenda!$A$5:$A$3004+(1-((Agenda!$E$5:$E$3004=A393)*((Agenda!$H$5:$H$3004="Agendado")+(Agenda!$H$5:$H$3004="Confirmado"))))*1E+10))))</f>
        <v/>
      </c>
    </row>
    <row r="394">
      <c r="A394" s="37" t="n"/>
      <c r="B394" s="38" t="n"/>
      <c r="C394" s="38" t="n"/>
      <c r="D394" s="37" t="n"/>
      <c r="E394" s="37" t="n"/>
      <c r="F394" s="30">
        <f>IF(A394="","",COUNTIFS(Agenda!$E$5:$E$3004,A394,Agenda!$H$5:$H$3004,"Realizado"))</f>
        <v/>
      </c>
      <c r="G394" s="30">
        <f>IF(A394="","",COUNTIFS(Agenda!$E$5:$E$3004,A394,Agenda!$H$5:$H$3004,"Falta"))</f>
        <v/>
      </c>
      <c r="H394" s="34">
        <f>IF(A394="","",IF(SUMPRODUCT(MAX((Agenda!$E$5:$E$3004=A394)*(Agenda!$H$5:$H$3004="Realizado")*Agenda!$A$5:$A$3004))=0,"",SUMPRODUCT(MAX((Agenda!$E$5:$E$3004=A394)*(Agenda!$H$5:$H$3004="Realizado")*Agenda!$A$5:$A$3004))))</f>
        <v/>
      </c>
      <c r="I394" s="34">
        <f>IF(A394="","",IF(SUMPRODUCT(MIN(((Agenda!$E$5:$E$3004=A394)*((Agenda!$H$5:$H$3004="Agendado")+(Agenda!$H$5:$H$3004="Confirmado")))*Agenda!$A$5:$A$3004+(1-((Agenda!$E$5:$E$3004=A394)*((Agenda!$H$5:$H$3004="Agendado")+(Agenda!$H$5:$H$3004="Confirmado"))))*1E+10))&gt;=1E+10,"",SUMPRODUCT(MIN(((Agenda!$E$5:$E$3004=A394)*((Agenda!$H$5:$H$3004="Agendado")+(Agenda!$H$5:$H$3004="Confirmado")))*Agenda!$A$5:$A$3004+(1-((Agenda!$E$5:$E$3004=A394)*((Agenda!$H$5:$H$3004="Agendado")+(Agenda!$H$5:$H$3004="Confirmado"))))*1E+10))))</f>
        <v/>
      </c>
    </row>
    <row r="395">
      <c r="A395" s="37" t="n"/>
      <c r="B395" s="38" t="n"/>
      <c r="C395" s="38" t="n"/>
      <c r="D395" s="37" t="n"/>
      <c r="E395" s="37" t="n"/>
      <c r="F395" s="30">
        <f>IF(A395="","",COUNTIFS(Agenda!$E$5:$E$3004,A395,Agenda!$H$5:$H$3004,"Realizado"))</f>
        <v/>
      </c>
      <c r="G395" s="30">
        <f>IF(A395="","",COUNTIFS(Agenda!$E$5:$E$3004,A395,Agenda!$H$5:$H$3004,"Falta"))</f>
        <v/>
      </c>
      <c r="H395" s="34">
        <f>IF(A395="","",IF(SUMPRODUCT(MAX((Agenda!$E$5:$E$3004=A395)*(Agenda!$H$5:$H$3004="Realizado")*Agenda!$A$5:$A$3004))=0,"",SUMPRODUCT(MAX((Agenda!$E$5:$E$3004=A395)*(Agenda!$H$5:$H$3004="Realizado")*Agenda!$A$5:$A$3004))))</f>
        <v/>
      </c>
      <c r="I395" s="34">
        <f>IF(A395="","",IF(SUMPRODUCT(MIN(((Agenda!$E$5:$E$3004=A395)*((Agenda!$H$5:$H$3004="Agendado")+(Agenda!$H$5:$H$3004="Confirmado")))*Agenda!$A$5:$A$3004+(1-((Agenda!$E$5:$E$3004=A395)*((Agenda!$H$5:$H$3004="Agendado")+(Agenda!$H$5:$H$3004="Confirmado"))))*1E+10))&gt;=1E+10,"",SUMPRODUCT(MIN(((Agenda!$E$5:$E$3004=A395)*((Agenda!$H$5:$H$3004="Agendado")+(Agenda!$H$5:$H$3004="Confirmado")))*Agenda!$A$5:$A$3004+(1-((Agenda!$E$5:$E$3004=A395)*((Agenda!$H$5:$H$3004="Agendado")+(Agenda!$H$5:$H$3004="Confirmado"))))*1E+10))))</f>
        <v/>
      </c>
    </row>
    <row r="396">
      <c r="A396" s="37" t="n"/>
      <c r="B396" s="38" t="n"/>
      <c r="C396" s="38" t="n"/>
      <c r="D396" s="37" t="n"/>
      <c r="E396" s="37" t="n"/>
      <c r="F396" s="30">
        <f>IF(A396="","",COUNTIFS(Agenda!$E$5:$E$3004,A396,Agenda!$H$5:$H$3004,"Realizado"))</f>
        <v/>
      </c>
      <c r="G396" s="30">
        <f>IF(A396="","",COUNTIFS(Agenda!$E$5:$E$3004,A396,Agenda!$H$5:$H$3004,"Falta"))</f>
        <v/>
      </c>
      <c r="H396" s="34">
        <f>IF(A396="","",IF(SUMPRODUCT(MAX((Agenda!$E$5:$E$3004=A396)*(Agenda!$H$5:$H$3004="Realizado")*Agenda!$A$5:$A$3004))=0,"",SUMPRODUCT(MAX((Agenda!$E$5:$E$3004=A396)*(Agenda!$H$5:$H$3004="Realizado")*Agenda!$A$5:$A$3004))))</f>
        <v/>
      </c>
      <c r="I396" s="34">
        <f>IF(A396="","",IF(SUMPRODUCT(MIN(((Agenda!$E$5:$E$3004=A396)*((Agenda!$H$5:$H$3004="Agendado")+(Agenda!$H$5:$H$3004="Confirmado")))*Agenda!$A$5:$A$3004+(1-((Agenda!$E$5:$E$3004=A396)*((Agenda!$H$5:$H$3004="Agendado")+(Agenda!$H$5:$H$3004="Confirmado"))))*1E+10))&gt;=1E+10,"",SUMPRODUCT(MIN(((Agenda!$E$5:$E$3004=A396)*((Agenda!$H$5:$H$3004="Agendado")+(Agenda!$H$5:$H$3004="Confirmado")))*Agenda!$A$5:$A$3004+(1-((Agenda!$E$5:$E$3004=A396)*((Agenda!$H$5:$H$3004="Agendado")+(Agenda!$H$5:$H$3004="Confirmado"))))*1E+10))))</f>
        <v/>
      </c>
    </row>
    <row r="397">
      <c r="A397" s="37" t="n"/>
      <c r="B397" s="38" t="n"/>
      <c r="C397" s="38" t="n"/>
      <c r="D397" s="37" t="n"/>
      <c r="E397" s="37" t="n"/>
      <c r="F397" s="30">
        <f>IF(A397="","",COUNTIFS(Agenda!$E$5:$E$3004,A397,Agenda!$H$5:$H$3004,"Realizado"))</f>
        <v/>
      </c>
      <c r="G397" s="30">
        <f>IF(A397="","",COUNTIFS(Agenda!$E$5:$E$3004,A397,Agenda!$H$5:$H$3004,"Falta"))</f>
        <v/>
      </c>
      <c r="H397" s="34">
        <f>IF(A397="","",IF(SUMPRODUCT(MAX((Agenda!$E$5:$E$3004=A397)*(Agenda!$H$5:$H$3004="Realizado")*Agenda!$A$5:$A$3004))=0,"",SUMPRODUCT(MAX((Agenda!$E$5:$E$3004=A397)*(Agenda!$H$5:$H$3004="Realizado")*Agenda!$A$5:$A$3004))))</f>
        <v/>
      </c>
      <c r="I397" s="34">
        <f>IF(A397="","",IF(SUMPRODUCT(MIN(((Agenda!$E$5:$E$3004=A397)*((Agenda!$H$5:$H$3004="Agendado")+(Agenda!$H$5:$H$3004="Confirmado")))*Agenda!$A$5:$A$3004+(1-((Agenda!$E$5:$E$3004=A397)*((Agenda!$H$5:$H$3004="Agendado")+(Agenda!$H$5:$H$3004="Confirmado"))))*1E+10))&gt;=1E+10,"",SUMPRODUCT(MIN(((Agenda!$E$5:$E$3004=A397)*((Agenda!$H$5:$H$3004="Agendado")+(Agenda!$H$5:$H$3004="Confirmado")))*Agenda!$A$5:$A$3004+(1-((Agenda!$E$5:$E$3004=A397)*((Agenda!$H$5:$H$3004="Agendado")+(Agenda!$H$5:$H$3004="Confirmado"))))*1E+10))))</f>
        <v/>
      </c>
    </row>
    <row r="398">
      <c r="A398" s="37" t="n"/>
      <c r="B398" s="38" t="n"/>
      <c r="C398" s="38" t="n"/>
      <c r="D398" s="37" t="n"/>
      <c r="E398" s="37" t="n"/>
      <c r="F398" s="30">
        <f>IF(A398="","",COUNTIFS(Agenda!$E$5:$E$3004,A398,Agenda!$H$5:$H$3004,"Realizado"))</f>
        <v/>
      </c>
      <c r="G398" s="30">
        <f>IF(A398="","",COUNTIFS(Agenda!$E$5:$E$3004,A398,Agenda!$H$5:$H$3004,"Falta"))</f>
        <v/>
      </c>
      <c r="H398" s="34">
        <f>IF(A398="","",IF(SUMPRODUCT(MAX((Agenda!$E$5:$E$3004=A398)*(Agenda!$H$5:$H$3004="Realizado")*Agenda!$A$5:$A$3004))=0,"",SUMPRODUCT(MAX((Agenda!$E$5:$E$3004=A398)*(Agenda!$H$5:$H$3004="Realizado")*Agenda!$A$5:$A$3004))))</f>
        <v/>
      </c>
      <c r="I398" s="34">
        <f>IF(A398="","",IF(SUMPRODUCT(MIN(((Agenda!$E$5:$E$3004=A398)*((Agenda!$H$5:$H$3004="Agendado")+(Agenda!$H$5:$H$3004="Confirmado")))*Agenda!$A$5:$A$3004+(1-((Agenda!$E$5:$E$3004=A398)*((Agenda!$H$5:$H$3004="Agendado")+(Agenda!$H$5:$H$3004="Confirmado"))))*1E+10))&gt;=1E+10,"",SUMPRODUCT(MIN(((Agenda!$E$5:$E$3004=A398)*((Agenda!$H$5:$H$3004="Agendado")+(Agenda!$H$5:$H$3004="Confirmado")))*Agenda!$A$5:$A$3004+(1-((Agenda!$E$5:$E$3004=A398)*((Agenda!$H$5:$H$3004="Agendado")+(Agenda!$H$5:$H$3004="Confirmado"))))*1E+10))))</f>
        <v/>
      </c>
    </row>
    <row r="399">
      <c r="A399" s="37" t="n"/>
      <c r="B399" s="38" t="n"/>
      <c r="C399" s="38" t="n"/>
      <c r="D399" s="37" t="n"/>
      <c r="E399" s="37" t="n"/>
      <c r="F399" s="30">
        <f>IF(A399="","",COUNTIFS(Agenda!$E$5:$E$3004,A399,Agenda!$H$5:$H$3004,"Realizado"))</f>
        <v/>
      </c>
      <c r="G399" s="30">
        <f>IF(A399="","",COUNTIFS(Agenda!$E$5:$E$3004,A399,Agenda!$H$5:$H$3004,"Falta"))</f>
        <v/>
      </c>
      <c r="H399" s="34">
        <f>IF(A399="","",IF(SUMPRODUCT(MAX((Agenda!$E$5:$E$3004=A399)*(Agenda!$H$5:$H$3004="Realizado")*Agenda!$A$5:$A$3004))=0,"",SUMPRODUCT(MAX((Agenda!$E$5:$E$3004=A399)*(Agenda!$H$5:$H$3004="Realizado")*Agenda!$A$5:$A$3004))))</f>
        <v/>
      </c>
      <c r="I399" s="34">
        <f>IF(A399="","",IF(SUMPRODUCT(MIN(((Agenda!$E$5:$E$3004=A399)*((Agenda!$H$5:$H$3004="Agendado")+(Agenda!$H$5:$H$3004="Confirmado")))*Agenda!$A$5:$A$3004+(1-((Agenda!$E$5:$E$3004=A399)*((Agenda!$H$5:$H$3004="Agendado")+(Agenda!$H$5:$H$3004="Confirmado"))))*1E+10))&gt;=1E+10,"",SUMPRODUCT(MIN(((Agenda!$E$5:$E$3004=A399)*((Agenda!$H$5:$H$3004="Agendado")+(Agenda!$H$5:$H$3004="Confirmado")))*Agenda!$A$5:$A$3004+(1-((Agenda!$E$5:$E$3004=A399)*((Agenda!$H$5:$H$3004="Agendado")+(Agenda!$H$5:$H$3004="Confirmado"))))*1E+10))))</f>
        <v/>
      </c>
    </row>
    <row r="400">
      <c r="A400" s="37" t="n"/>
      <c r="B400" s="38" t="n"/>
      <c r="C400" s="38" t="n"/>
      <c r="D400" s="37" t="n"/>
      <c r="E400" s="37" t="n"/>
      <c r="F400" s="30">
        <f>IF(A400="","",COUNTIFS(Agenda!$E$5:$E$3004,A400,Agenda!$H$5:$H$3004,"Realizado"))</f>
        <v/>
      </c>
      <c r="G400" s="30">
        <f>IF(A400="","",COUNTIFS(Agenda!$E$5:$E$3004,A400,Agenda!$H$5:$H$3004,"Falta"))</f>
        <v/>
      </c>
      <c r="H400" s="34">
        <f>IF(A400="","",IF(SUMPRODUCT(MAX((Agenda!$E$5:$E$3004=A400)*(Agenda!$H$5:$H$3004="Realizado")*Agenda!$A$5:$A$3004))=0,"",SUMPRODUCT(MAX((Agenda!$E$5:$E$3004=A400)*(Agenda!$H$5:$H$3004="Realizado")*Agenda!$A$5:$A$3004))))</f>
        <v/>
      </c>
      <c r="I400" s="34">
        <f>IF(A400="","",IF(SUMPRODUCT(MIN(((Agenda!$E$5:$E$3004=A400)*((Agenda!$H$5:$H$3004="Agendado")+(Agenda!$H$5:$H$3004="Confirmado")))*Agenda!$A$5:$A$3004+(1-((Agenda!$E$5:$E$3004=A400)*((Agenda!$H$5:$H$3004="Agendado")+(Agenda!$H$5:$H$3004="Confirmado"))))*1E+10))&gt;=1E+10,"",SUMPRODUCT(MIN(((Agenda!$E$5:$E$3004=A400)*((Agenda!$H$5:$H$3004="Agendado")+(Agenda!$H$5:$H$3004="Confirmado")))*Agenda!$A$5:$A$3004+(1-((Agenda!$E$5:$E$3004=A400)*((Agenda!$H$5:$H$3004="Agendado")+(Agenda!$H$5:$H$3004="Confirmado"))))*1E+10))))</f>
        <v/>
      </c>
    </row>
    <row r="401">
      <c r="A401" s="37" t="n"/>
      <c r="B401" s="38" t="n"/>
      <c r="C401" s="38" t="n"/>
      <c r="D401" s="37" t="n"/>
      <c r="E401" s="37" t="n"/>
      <c r="F401" s="30">
        <f>IF(A401="","",COUNTIFS(Agenda!$E$5:$E$3004,A401,Agenda!$H$5:$H$3004,"Realizado"))</f>
        <v/>
      </c>
      <c r="G401" s="30">
        <f>IF(A401="","",COUNTIFS(Agenda!$E$5:$E$3004,A401,Agenda!$H$5:$H$3004,"Falta"))</f>
        <v/>
      </c>
      <c r="H401" s="34">
        <f>IF(A401="","",IF(SUMPRODUCT(MAX((Agenda!$E$5:$E$3004=A401)*(Agenda!$H$5:$H$3004="Realizado")*Agenda!$A$5:$A$3004))=0,"",SUMPRODUCT(MAX((Agenda!$E$5:$E$3004=A401)*(Agenda!$H$5:$H$3004="Realizado")*Agenda!$A$5:$A$3004))))</f>
        <v/>
      </c>
      <c r="I401" s="34">
        <f>IF(A401="","",IF(SUMPRODUCT(MIN(((Agenda!$E$5:$E$3004=A401)*((Agenda!$H$5:$H$3004="Agendado")+(Agenda!$H$5:$H$3004="Confirmado")))*Agenda!$A$5:$A$3004+(1-((Agenda!$E$5:$E$3004=A401)*((Agenda!$H$5:$H$3004="Agendado")+(Agenda!$H$5:$H$3004="Confirmado"))))*1E+10))&gt;=1E+10,"",SUMPRODUCT(MIN(((Agenda!$E$5:$E$3004=A401)*((Agenda!$H$5:$H$3004="Agendado")+(Agenda!$H$5:$H$3004="Confirmado")))*Agenda!$A$5:$A$3004+(1-((Agenda!$E$5:$E$3004=A401)*((Agenda!$H$5:$H$3004="Agendado")+(Agenda!$H$5:$H$3004="Confirmado"))))*1E+10))))</f>
        <v/>
      </c>
    </row>
    <row r="402">
      <c r="A402" s="37" t="n"/>
      <c r="B402" s="38" t="n"/>
      <c r="C402" s="38" t="n"/>
      <c r="D402" s="37" t="n"/>
      <c r="E402" s="37" t="n"/>
      <c r="F402" s="30">
        <f>IF(A402="","",COUNTIFS(Agenda!$E$5:$E$3004,A402,Agenda!$H$5:$H$3004,"Realizado"))</f>
        <v/>
      </c>
      <c r="G402" s="30">
        <f>IF(A402="","",COUNTIFS(Agenda!$E$5:$E$3004,A402,Agenda!$H$5:$H$3004,"Falta"))</f>
        <v/>
      </c>
      <c r="H402" s="34">
        <f>IF(A402="","",IF(SUMPRODUCT(MAX((Agenda!$E$5:$E$3004=A402)*(Agenda!$H$5:$H$3004="Realizado")*Agenda!$A$5:$A$3004))=0,"",SUMPRODUCT(MAX((Agenda!$E$5:$E$3004=A402)*(Agenda!$H$5:$H$3004="Realizado")*Agenda!$A$5:$A$3004))))</f>
        <v/>
      </c>
      <c r="I402" s="34">
        <f>IF(A402="","",IF(SUMPRODUCT(MIN(((Agenda!$E$5:$E$3004=A402)*((Agenda!$H$5:$H$3004="Agendado")+(Agenda!$H$5:$H$3004="Confirmado")))*Agenda!$A$5:$A$3004+(1-((Agenda!$E$5:$E$3004=A402)*((Agenda!$H$5:$H$3004="Agendado")+(Agenda!$H$5:$H$3004="Confirmado"))))*1E+10))&gt;=1E+10,"",SUMPRODUCT(MIN(((Agenda!$E$5:$E$3004=A402)*((Agenda!$H$5:$H$3004="Agendado")+(Agenda!$H$5:$H$3004="Confirmado")))*Agenda!$A$5:$A$3004+(1-((Agenda!$E$5:$E$3004=A402)*((Agenda!$H$5:$H$3004="Agendado")+(Agenda!$H$5:$H$3004="Confirmado"))))*1E+10))))</f>
        <v/>
      </c>
    </row>
    <row r="403">
      <c r="A403" s="37" t="n"/>
      <c r="B403" s="38" t="n"/>
      <c r="C403" s="38" t="n"/>
      <c r="D403" s="37" t="n"/>
      <c r="E403" s="37" t="n"/>
      <c r="F403" s="30">
        <f>IF(A403="","",COUNTIFS(Agenda!$E$5:$E$3004,A403,Agenda!$H$5:$H$3004,"Realizado"))</f>
        <v/>
      </c>
      <c r="G403" s="30">
        <f>IF(A403="","",COUNTIFS(Agenda!$E$5:$E$3004,A403,Agenda!$H$5:$H$3004,"Falta"))</f>
        <v/>
      </c>
      <c r="H403" s="34">
        <f>IF(A403="","",IF(SUMPRODUCT(MAX((Agenda!$E$5:$E$3004=A403)*(Agenda!$H$5:$H$3004="Realizado")*Agenda!$A$5:$A$3004))=0,"",SUMPRODUCT(MAX((Agenda!$E$5:$E$3004=A403)*(Agenda!$H$5:$H$3004="Realizado")*Agenda!$A$5:$A$3004))))</f>
        <v/>
      </c>
      <c r="I403" s="34">
        <f>IF(A403="","",IF(SUMPRODUCT(MIN(((Agenda!$E$5:$E$3004=A403)*((Agenda!$H$5:$H$3004="Agendado")+(Agenda!$H$5:$H$3004="Confirmado")))*Agenda!$A$5:$A$3004+(1-((Agenda!$E$5:$E$3004=A403)*((Agenda!$H$5:$H$3004="Agendado")+(Agenda!$H$5:$H$3004="Confirmado"))))*1E+10))&gt;=1E+10,"",SUMPRODUCT(MIN(((Agenda!$E$5:$E$3004=A403)*((Agenda!$H$5:$H$3004="Agendado")+(Agenda!$H$5:$H$3004="Confirmado")))*Agenda!$A$5:$A$3004+(1-((Agenda!$E$5:$E$3004=A403)*((Agenda!$H$5:$H$3004="Agendado")+(Agenda!$H$5:$H$3004="Confirmado"))))*1E+10))))</f>
        <v/>
      </c>
    </row>
    <row r="404">
      <c r="A404" s="37" t="n"/>
      <c r="B404" s="38" t="n"/>
      <c r="C404" s="38" t="n"/>
      <c r="D404" s="37" t="n"/>
      <c r="E404" s="37" t="n"/>
      <c r="F404" s="30">
        <f>IF(A404="","",COUNTIFS(Agenda!$E$5:$E$3004,A404,Agenda!$H$5:$H$3004,"Realizado"))</f>
        <v/>
      </c>
      <c r="G404" s="30">
        <f>IF(A404="","",COUNTIFS(Agenda!$E$5:$E$3004,A404,Agenda!$H$5:$H$3004,"Falta"))</f>
        <v/>
      </c>
      <c r="H404" s="34">
        <f>IF(A404="","",IF(SUMPRODUCT(MAX((Agenda!$E$5:$E$3004=A404)*(Agenda!$H$5:$H$3004="Realizado")*Agenda!$A$5:$A$3004))=0,"",SUMPRODUCT(MAX((Agenda!$E$5:$E$3004=A404)*(Agenda!$H$5:$H$3004="Realizado")*Agenda!$A$5:$A$3004))))</f>
        <v/>
      </c>
      <c r="I404" s="34">
        <f>IF(A404="","",IF(SUMPRODUCT(MIN(((Agenda!$E$5:$E$3004=A404)*((Agenda!$H$5:$H$3004="Agendado")+(Agenda!$H$5:$H$3004="Confirmado")))*Agenda!$A$5:$A$3004+(1-((Agenda!$E$5:$E$3004=A404)*((Agenda!$H$5:$H$3004="Agendado")+(Agenda!$H$5:$H$3004="Confirmado"))))*1E+10))&gt;=1E+10,"",SUMPRODUCT(MIN(((Agenda!$E$5:$E$3004=A404)*((Agenda!$H$5:$H$3004="Agendado")+(Agenda!$H$5:$H$3004="Confirmado")))*Agenda!$A$5:$A$3004+(1-((Agenda!$E$5:$E$3004=A404)*((Agenda!$H$5:$H$3004="Agendado")+(Agenda!$H$5:$H$3004="Confirmado"))))*1E+10))))</f>
        <v/>
      </c>
    </row>
    <row r="406">
      <c r="A406" s="35" t="inlineStr">
        <is>
          <t>Esta aba é a fonte do cadastro de pacientes do kit: a planilha 14 (parcelas) copia os nomes daqui. Contato fictício no exemplo. Não guarde aqui nada além do necessário para agendar e cobrar.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404"/>
  <mergeCells count="2">
    <mergeCell ref="A1:I1"/>
    <mergeCell ref="A2:I2"/>
  </mergeCells>
  <dataValidations count="2">
    <dataValidation sqref="B5:B404" showDropDown="0" showInputMessage="0" showErrorMessage="1" allowBlank="1" type="list">
      <formula1>=OFFSET(Config!$H$5,0,0,MAX(1,COUNTA(Config!$H$5:$H$10)),1)</formula1>
    </dataValidation>
    <dataValidation sqref="C5:C404" showDropDown="0" showInputMessage="0" showErrorMessage="1" allowBlank="1" type="list">
      <formula1>=OFFSET(Config!$D$5,0,0,MAX(1,COUNTA(Config!$D$5:$D$12)),1)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00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2" customWidth="1" min="3" max="3"/>
    <col width="8" customWidth="1" min="4" max="4"/>
    <col width="26" customWidth="1" min="5" max="5"/>
    <col width="12" customWidth="1" min="6" max="6"/>
    <col width="18" customWidth="1" min="7" max="7"/>
    <col width="11" customWidth="1" min="8" max="8"/>
    <col width="17" customWidth="1" min="9" max="9"/>
    <col width="9" customWidth="1" min="10" max="10"/>
    <col width="26" customWidth="1" min="11" max="11"/>
    <col width="8" customWidth="1" min="12" max="12"/>
    <col width="11" customWidth="1" min="13" max="13"/>
    <col width="6" customWidth="1" min="14" max="14"/>
    <col width="6" customWidth="1" min="15" max="15"/>
    <col width="11" customWidth="1" min="16" max="16"/>
    <col width="8" customWidth="1" min="17" max="17"/>
    <col width="9" customWidth="1" min="18" max="18"/>
    <col width="13" customWidth="1" min="19" max="19"/>
    <col width="13" customWidth="1" min="20" max="20"/>
    <col hidden="1" width="13" customWidth="1" min="21" max="21"/>
    <col hidden="1" width="13" customWidth="1" min="22" max="22"/>
  </cols>
  <sheetData>
    <row r="1" ht="28" customHeight="1">
      <c r="A1" s="5" t="inlineStr">
        <is>
          <t>Agenda</t>
        </is>
      </c>
    </row>
    <row r="2">
      <c r="A2" s="6" t="inlineStr">
        <is>
          <t>Uma linha por horário marcado. Preencha o amarelo, inclusive minutos e valor (as duas últimas colunas sugerem o que a tabela de Config diz hoje); mês, dia da semana e período são calculados. Situação: Agendado, Confirmado, Realizado, Falta, Cancelado ou Remarcado. Esta aba é a fonte da agenda do kit (02 e 16 copiam daqui).</t>
        </is>
      </c>
    </row>
    <row r="4" ht="32" customHeight="1">
      <c r="A4" s="24" t="inlineStr">
        <is>
          <t>Data</t>
        </is>
      </c>
      <c r="B4" s="24" t="inlineStr">
        <is>
          <t>Hora</t>
        </is>
      </c>
      <c r="C4" s="24" t="inlineStr">
        <is>
          <t>Profissional</t>
        </is>
      </c>
      <c r="D4" s="24" t="inlineStr">
        <is>
          <t>Sala</t>
        </is>
      </c>
      <c r="E4" s="24" t="inlineStr">
        <is>
          <t>Paciente</t>
        </is>
      </c>
      <c r="F4" s="24" t="inlineStr">
        <is>
          <t>Pagador</t>
        </is>
      </c>
      <c r="G4" s="24" t="inlineStr">
        <is>
          <t>Procedimento</t>
        </is>
      </c>
      <c r="H4" s="24" t="inlineStr">
        <is>
          <t>Situação</t>
        </is>
      </c>
      <c r="I4" s="24" t="inlineStr">
        <is>
          <t>Forma de pagamento</t>
        </is>
      </c>
      <c r="J4" s="24" t="inlineStr">
        <is>
          <t>Parcelas (cartão)</t>
        </is>
      </c>
      <c r="K4" s="24" t="inlineStr">
        <is>
          <t>Observação</t>
        </is>
      </c>
      <c r="L4" s="24" t="inlineStr">
        <is>
          <t>Minutos</t>
        </is>
      </c>
      <c r="M4" s="24" t="inlineStr">
        <is>
          <t>Valor (R$)</t>
        </is>
      </c>
      <c r="N4" s="24" t="inlineStr">
        <is>
          <t>Mês</t>
        </is>
      </c>
      <c r="O4" s="24" t="inlineStr">
        <is>
          <t>Ano</t>
        </is>
      </c>
      <c r="P4" s="24" t="inlineStr">
        <is>
          <t>Dia da semana</t>
        </is>
      </c>
      <c r="Q4" s="24" t="inlineStr">
        <is>
          <t>Período</t>
        </is>
      </c>
      <c r="R4" s="24" t="inlineStr">
        <is>
          <t>Horas atendidas</t>
        </is>
      </c>
      <c r="S4" s="24" t="inlineStr">
        <is>
          <t>Minutos pela tabela de hoje</t>
        </is>
      </c>
      <c r="T4" s="24" t="inlineStr">
        <is>
          <t>Valor pela tabela de hoje</t>
        </is>
      </c>
    </row>
    <row r="5">
      <c r="A5" s="43" t="n">
        <v>46174</v>
      </c>
      <c r="B5" s="44" t="n">
        <v>0.3333333333333333</v>
      </c>
      <c r="C5" s="38" t="inlineStr">
        <is>
          <t>Dra. Carolina Mendes</t>
        </is>
      </c>
      <c r="D5" s="38" t="inlineStr">
        <is>
          <t>Sala 1</t>
        </is>
      </c>
      <c r="E5" s="37" t="inlineStr">
        <is>
          <t>Isabela Pinto</t>
        </is>
      </c>
      <c r="F5" s="38" t="inlineStr">
        <is>
          <t>Saúde Total</t>
        </is>
      </c>
      <c r="G5" s="38" t="inlineStr">
        <is>
          <t>Consulta</t>
        </is>
      </c>
      <c r="H5" s="38" t="inlineStr">
        <is>
          <t>Realizado</t>
        </is>
      </c>
      <c r="I5" s="38" t="inlineStr">
        <is>
          <t>Convênio</t>
        </is>
      </c>
      <c r="J5" s="38" t="n"/>
      <c r="K5" s="37" t="n"/>
      <c r="L5" s="39" t="n">
        <v>30</v>
      </c>
      <c r="M5" s="40" t="n">
        <v>120</v>
      </c>
      <c r="N5" s="30">
        <f>IF(A5="","",MONTH(A5))</f>
        <v>6</v>
      </c>
      <c r="O5" s="30">
        <f>IF(A5="","",YEAR(A5))</f>
        <v>2026</v>
      </c>
      <c r="P5" s="30" t="str">
        <f>IF(A5="","",CHOOSE(WEEKDAY(A5,2),"Segunda","Terça","Quarta","Quinta","Sexta","Sábado","Domingo"))</f>
        <v>Segunda</v>
      </c>
      <c r="Q5" s="30" t="str">
        <f>IF(B5="","",IF(B5&lt;TIME(12,0,0),"Manhã",IF(B5&lt;TIME(18,0,0),"Tarde","Noite")))</f>
        <v>Manhã</v>
      </c>
      <c r="R5" s="46">
        <f>IF(AND(H5="Realizado",L5&lt;&gt;"",A5&lt;=Config!$B$9),L5/60,0)</f>
        <v>0.5</v>
      </c>
      <c r="S5" s="45">
        <f>IF(G5="","",IFERROR(INDEX(Config!$K$5:$K$16,MATCH(G5,Config!$J$5:$J$16,0)),""))</f>
        <v>30</v>
      </c>
      <c r="T5" s="31">
        <f>IF(OR(G5="",F5=""),"",IFERROR(INDEX(Config!$M$5:$R$16,MATCH(G5,Config!$J$5:$J$16,0),MATCH(F5,Config!$H$5:$H$10,0)),""))</f>
        <v>120</v>
      </c>
      <c r="U5" s="47">
        <f>IF(AND(H5="Realizado",L5&lt;&gt;""),L5/60,0)</f>
        <v>0.5</v>
      </c>
      <c r="V5" s="47">
        <f>IF(AND(H5="Realizado",OR(L5="",M5="")),1,0)</f>
        <v>0</v>
      </c>
    </row>
    <row r="6">
      <c r="A6" s="43" t="n">
        <v>46174</v>
      </c>
      <c r="B6" s="44" t="n">
        <v>0.375</v>
      </c>
      <c r="C6" s="38" t="inlineStr">
        <is>
          <t>Dra. Carolina Mendes</t>
        </is>
      </c>
      <c r="D6" s="38" t="inlineStr">
        <is>
          <t>Sala 1</t>
        </is>
      </c>
      <c r="E6" s="37" t="inlineStr">
        <is>
          <t>Tatiana Cunha</t>
        </is>
      </c>
      <c r="F6" s="38" t="inlineStr">
        <is>
          <t>Saúde Total</t>
        </is>
      </c>
      <c r="G6" s="38" t="inlineStr">
        <is>
          <t>Consulta</t>
        </is>
      </c>
      <c r="H6" s="38" t="inlineStr">
        <is>
          <t>Realizado</t>
        </is>
      </c>
      <c r="I6" s="38" t="inlineStr">
        <is>
          <t>Convênio</t>
        </is>
      </c>
      <c r="J6" s="38" t="n"/>
      <c r="K6" s="37" t="n"/>
      <c r="L6" s="39" t="n">
        <v>30</v>
      </c>
      <c r="M6" s="40" t="n">
        <v>120</v>
      </c>
      <c r="N6" s="30">
        <f>IF(A6="","",MONTH(A6))</f>
        <v>6</v>
      </c>
      <c r="O6" s="30">
        <f>IF(A6="","",YEAR(A6))</f>
        <v>2026</v>
      </c>
      <c r="P6" s="30" t="str">
        <f>IF(A6="","",CHOOSE(WEEKDAY(A6,2),"Segunda","Terça","Quarta","Quinta","Sexta","Sábado","Domingo"))</f>
        <v>Segunda</v>
      </c>
      <c r="Q6" s="30" t="str">
        <f>IF(B6="","",IF(B6&lt;TIME(12,0,0),"Manhã",IF(B6&lt;TIME(18,0,0),"Tarde","Noite")))</f>
        <v>Manhã</v>
      </c>
      <c r="R6" s="46">
        <f>IF(AND(H6="Realizado",L6&lt;&gt;"",A6&lt;=Config!$B$9),L6/60,0)</f>
        <v>0.5</v>
      </c>
      <c r="S6" s="45">
        <f>IF(G6="","",IFERROR(INDEX(Config!$K$5:$K$16,MATCH(G6,Config!$J$5:$J$16,0)),""))</f>
        <v>30</v>
      </c>
      <c r="T6" s="31">
        <f>IF(OR(G6="",F6=""),"",IFERROR(INDEX(Config!$M$5:$R$16,MATCH(G6,Config!$J$5:$J$16,0),MATCH(F6,Config!$H$5:$H$10,0)),""))</f>
        <v>120</v>
      </c>
      <c r="U6" s="47">
        <f>IF(AND(H6="Realizado",L6&lt;&gt;""),L6/60,0)</f>
        <v>0.5</v>
      </c>
      <c r="V6" s="47">
        <f>IF(AND(H6="Realizado",OR(L6="",M6="")),1,0)</f>
        <v>0</v>
      </c>
    </row>
    <row r="7">
      <c r="A7" s="43" t="n">
        <v>46174</v>
      </c>
      <c r="B7" s="44" t="n">
        <v>0.3958333333333333</v>
      </c>
      <c r="C7" s="38" t="inlineStr">
        <is>
          <t>Dra. Carolina Mendes</t>
        </is>
      </c>
      <c r="D7" s="38" t="inlineStr">
        <is>
          <t>Sala 1</t>
        </is>
      </c>
      <c r="E7" s="37" t="inlineStr">
        <is>
          <t>Débora Machado</t>
        </is>
      </c>
      <c r="F7" s="38" t="inlineStr">
        <is>
          <t>Saúde Total</t>
        </is>
      </c>
      <c r="G7" s="38" t="inlineStr">
        <is>
          <t>Consulta</t>
        </is>
      </c>
      <c r="H7" s="38" t="inlineStr">
        <is>
          <t>Realizado</t>
        </is>
      </c>
      <c r="I7" s="38" t="inlineStr">
        <is>
          <t>Convênio</t>
        </is>
      </c>
      <c r="J7" s="38" t="n"/>
      <c r="K7" s="37" t="n"/>
      <c r="L7" s="39" t="n">
        <v>30</v>
      </c>
      <c r="M7" s="40" t="n">
        <v>120</v>
      </c>
      <c r="N7" s="30">
        <f>IF(A7="","",MONTH(A7))</f>
        <v>6</v>
      </c>
      <c r="O7" s="30">
        <f>IF(A7="","",YEAR(A7))</f>
        <v>2026</v>
      </c>
      <c r="P7" s="30" t="str">
        <f>IF(A7="","",CHOOSE(WEEKDAY(A7,2),"Segunda","Terça","Quarta","Quinta","Sexta","Sábado","Domingo"))</f>
        <v>Segunda</v>
      </c>
      <c r="Q7" s="30" t="str">
        <f>IF(B7="","",IF(B7&lt;TIME(12,0,0),"Manhã",IF(B7&lt;TIME(18,0,0),"Tarde","Noite")))</f>
        <v>Manhã</v>
      </c>
      <c r="R7" s="46">
        <f>IF(AND(H7="Realizado",L7&lt;&gt;"",A7&lt;=Config!$B$9),L7/60,0)</f>
        <v>0.5</v>
      </c>
      <c r="S7" s="45">
        <f>IF(G7="","",IFERROR(INDEX(Config!$K$5:$K$16,MATCH(G7,Config!$J$5:$J$16,0)),""))</f>
        <v>30</v>
      </c>
      <c r="T7" s="31">
        <f>IF(OR(G7="",F7=""),"",IFERROR(INDEX(Config!$M$5:$R$16,MATCH(G7,Config!$J$5:$J$16,0),MATCH(F7,Config!$H$5:$H$10,0)),""))</f>
        <v>120</v>
      </c>
      <c r="U7" s="47">
        <f>IF(AND(H7="Realizado",L7&lt;&gt;""),L7/60,0)</f>
        <v>0.5</v>
      </c>
      <c r="V7" s="47">
        <f>IF(AND(H7="Realizado",OR(L7="",M7="")),1,0)</f>
        <v>0</v>
      </c>
    </row>
    <row r="8">
      <c r="A8" s="43" t="n">
        <v>46174</v>
      </c>
      <c r="B8" s="44" t="n">
        <v>0.4166666666666667</v>
      </c>
      <c r="C8" s="38" t="inlineStr">
        <is>
          <t>Dra. Carolina Mendes</t>
        </is>
      </c>
      <c r="D8" s="38" t="inlineStr">
        <is>
          <t>Sala 1</t>
        </is>
      </c>
      <c r="E8" s="37" t="inlineStr">
        <is>
          <t>Gustavo Ferreira</t>
        </is>
      </c>
      <c r="F8" s="38" t="inlineStr">
        <is>
          <t>Particular</t>
        </is>
      </c>
      <c r="G8" s="38" t="inlineStr">
        <is>
          <t>Retorno</t>
        </is>
      </c>
      <c r="H8" s="38" t="inlineStr">
        <is>
          <t>Realizado</t>
        </is>
      </c>
      <c r="I8" s="38" t="inlineStr">
        <is>
          <t>Sem cobrança</t>
        </is>
      </c>
      <c r="J8" s="38" t="n"/>
      <c r="K8" s="37" t="n"/>
      <c r="L8" s="39" t="n">
        <v>20</v>
      </c>
      <c r="M8" s="40" t="n">
        <v>0</v>
      </c>
      <c r="N8" s="30">
        <f>IF(A8="","",MONTH(A8))</f>
        <v>6</v>
      </c>
      <c r="O8" s="30">
        <f>IF(A8="","",YEAR(A8))</f>
        <v>2026</v>
      </c>
      <c r="P8" s="30" t="str">
        <f>IF(A8="","",CHOOSE(WEEKDAY(A8,2),"Segunda","Terça","Quarta","Quinta","Sexta","Sábado","Domingo"))</f>
        <v>Segunda</v>
      </c>
      <c r="Q8" s="30" t="str">
        <f>IF(B8="","",IF(B8&lt;TIME(12,0,0),"Manhã",IF(B8&lt;TIME(18,0,0),"Tarde","Noite")))</f>
        <v>Manhã</v>
      </c>
      <c r="R8" s="46">
        <f>IF(AND(H8="Realizado",L8&lt;&gt;"",A8&lt;=Config!$B$9),L8/60,0)</f>
        <v>0.333333333333333</v>
      </c>
      <c r="S8" s="45">
        <f>IF(G8="","",IFERROR(INDEX(Config!$K$5:$K$16,MATCH(G8,Config!$J$5:$J$16,0)),""))</f>
        <v>20</v>
      </c>
      <c r="T8" s="31">
        <f>IF(OR(G8="",F8=""),"",IFERROR(INDEX(Config!$M$5:$R$16,MATCH(G8,Config!$J$5:$J$16,0),MATCH(F8,Config!$H$5:$H$10,0)),""))</f>
        <v>0</v>
      </c>
      <c r="U8" s="47">
        <f>IF(AND(H8="Realizado",L8&lt;&gt;""),L8/60,0)</f>
        <v>0.333333333333333</v>
      </c>
      <c r="V8" s="47">
        <f>IF(AND(H8="Realizado",OR(L8="",M8="")),1,0)</f>
        <v>0</v>
      </c>
    </row>
    <row r="9">
      <c r="A9" s="43" t="n">
        <v>46174</v>
      </c>
      <c r="B9" s="44" t="n">
        <v>0.4513888888888889</v>
      </c>
      <c r="C9" s="38" t="inlineStr">
        <is>
          <t>Dra. Carolina Mendes</t>
        </is>
      </c>
      <c r="D9" s="38" t="inlineStr">
        <is>
          <t>Sala 1</t>
        </is>
      </c>
      <c r="E9" s="37" t="inlineStr">
        <is>
          <t>Sérgio Batista</t>
        </is>
      </c>
      <c r="F9" s="38" t="inlineStr">
        <is>
          <t>MediPlan</t>
        </is>
      </c>
      <c r="G9" s="38" t="inlineStr">
        <is>
          <t>Consulta</t>
        </is>
      </c>
      <c r="H9" s="38" t="inlineStr">
        <is>
          <t>Falta</t>
        </is>
      </c>
      <c r="I9" s="38" t="n"/>
      <c r="J9" s="38" t="n"/>
      <c r="K9" s="37" t="n"/>
      <c r="L9" s="39" t="n">
        <v>30</v>
      </c>
      <c r="M9" s="40" t="n">
        <v>100</v>
      </c>
      <c r="N9" s="30">
        <f>IF(A9="","",MONTH(A9))</f>
        <v>6</v>
      </c>
      <c r="O9" s="30">
        <f>IF(A9="","",YEAR(A9))</f>
        <v>2026</v>
      </c>
      <c r="P9" s="30" t="str">
        <f>IF(A9="","",CHOOSE(WEEKDAY(A9,2),"Segunda","Terça","Quarta","Quinta","Sexta","Sábado","Domingo"))</f>
        <v>Segunda</v>
      </c>
      <c r="Q9" s="30" t="str">
        <f>IF(B9="","",IF(B9&lt;TIME(12,0,0),"Manhã",IF(B9&lt;TIME(18,0,0),"Tarde","Noite")))</f>
        <v>Manhã</v>
      </c>
      <c r="R9" s="46">
        <f>IF(AND(H9="Realizado",L9&lt;&gt;"",A9&lt;=Config!$B$9),L9/60,0)</f>
        <v>0</v>
      </c>
      <c r="S9" s="45">
        <f>IF(G9="","",IFERROR(INDEX(Config!$K$5:$K$16,MATCH(G9,Config!$J$5:$J$16,0)),""))</f>
        <v>30</v>
      </c>
      <c r="T9" s="31">
        <f>IF(OR(G9="",F9=""),"",IFERROR(INDEX(Config!$M$5:$R$16,MATCH(G9,Config!$J$5:$J$16,0),MATCH(F9,Config!$H$5:$H$10,0)),""))</f>
        <v>100</v>
      </c>
      <c r="U9" s="47">
        <f>IF(AND(H9="Realizado",L9&lt;&gt;""),L9/60,0)</f>
        <v>0</v>
      </c>
      <c r="V9" s="47">
        <f>IF(AND(H9="Realizado",OR(L9="",M9="")),1,0)</f>
        <v>0</v>
      </c>
    </row>
    <row r="10">
      <c r="A10" s="43" t="n">
        <v>46174</v>
      </c>
      <c r="B10" s="44" t="n">
        <v>0.6041666666666666</v>
      </c>
      <c r="C10" s="38" t="inlineStr">
        <is>
          <t>Dr. Paulo Andrade</t>
        </is>
      </c>
      <c r="D10" s="38" t="inlineStr">
        <is>
          <t>Sala 2</t>
        </is>
      </c>
      <c r="E10" s="37" t="inlineStr">
        <is>
          <t>Otávio Martins</t>
        </is>
      </c>
      <c r="F10" s="38" t="inlineStr">
        <is>
          <t>MediPlan</t>
        </is>
      </c>
      <c r="G10" s="38" t="inlineStr">
        <is>
          <t>Consulta</t>
        </is>
      </c>
      <c r="H10" s="38" t="inlineStr">
        <is>
          <t>Falta</t>
        </is>
      </c>
      <c r="I10" s="38" t="n"/>
      <c r="J10" s="38" t="n"/>
      <c r="K10" s="37" t="n"/>
      <c r="L10" s="39" t="n">
        <v>30</v>
      </c>
      <c r="M10" s="40" t="n">
        <v>100</v>
      </c>
      <c r="N10" s="30">
        <f>IF(A10="","",MONTH(A10))</f>
        <v>6</v>
      </c>
      <c r="O10" s="30">
        <f>IF(A10="","",YEAR(A10))</f>
        <v>2026</v>
      </c>
      <c r="P10" s="30" t="str">
        <f>IF(A10="","",CHOOSE(WEEKDAY(A10,2),"Segunda","Terça","Quarta","Quinta","Sexta","Sábado","Domingo"))</f>
        <v>Segunda</v>
      </c>
      <c r="Q10" s="30" t="str">
        <f>IF(B10="","",IF(B10&lt;TIME(12,0,0),"Manhã",IF(B10&lt;TIME(18,0,0),"Tarde","Noite")))</f>
        <v>Tarde</v>
      </c>
      <c r="R10" s="46">
        <f>IF(AND(H10="Realizado",L10&lt;&gt;"",A10&lt;=Config!$B$9),L10/60,0)</f>
        <v>0</v>
      </c>
      <c r="S10" s="45">
        <f>IF(G10="","",IFERROR(INDEX(Config!$K$5:$K$16,MATCH(G10,Config!$J$5:$J$16,0)),""))</f>
        <v>30</v>
      </c>
      <c r="T10" s="31">
        <f>IF(OR(G10="",F10=""),"",IFERROR(INDEX(Config!$M$5:$R$16,MATCH(G10,Config!$J$5:$J$16,0),MATCH(F10,Config!$H$5:$H$10,0)),""))</f>
        <v>100</v>
      </c>
      <c r="U10" s="47">
        <f>IF(AND(H10="Realizado",L10&lt;&gt;""),L10/60,0)</f>
        <v>0</v>
      </c>
      <c r="V10" s="47">
        <f>IF(AND(H10="Realizado",OR(L10="",M10="")),1,0)</f>
        <v>0</v>
      </c>
    </row>
    <row r="11">
      <c r="A11" s="43" t="n">
        <v>46174</v>
      </c>
      <c r="B11" s="44" t="n">
        <v>0.625</v>
      </c>
      <c r="C11" s="38" t="inlineStr">
        <is>
          <t>Dr. Paulo Andrade</t>
        </is>
      </c>
      <c r="D11" s="38" t="inlineStr">
        <is>
          <t>Sala 2</t>
        </is>
      </c>
      <c r="E11" s="37" t="inlineStr">
        <is>
          <t>Natália Martins</t>
        </is>
      </c>
      <c r="F11" s="38" t="inlineStr">
        <is>
          <t>Particular</t>
        </is>
      </c>
      <c r="G11" s="38" t="inlineStr">
        <is>
          <t>Consulta</t>
        </is>
      </c>
      <c r="H11" s="38" t="inlineStr">
        <is>
          <t>Falta</t>
        </is>
      </c>
      <c r="I11" s="38" t="n"/>
      <c r="J11" s="38" t="n"/>
      <c r="K11" s="37" t="n"/>
      <c r="L11" s="39" t="n">
        <v>30</v>
      </c>
      <c r="M11" s="40" t="n">
        <v>380</v>
      </c>
      <c r="N11" s="30">
        <f>IF(A11="","",MONTH(A11))</f>
        <v>6</v>
      </c>
      <c r="O11" s="30">
        <f>IF(A11="","",YEAR(A11))</f>
        <v>2026</v>
      </c>
      <c r="P11" s="30" t="str">
        <f>IF(A11="","",CHOOSE(WEEKDAY(A11,2),"Segunda","Terça","Quarta","Quinta","Sexta","Sábado","Domingo"))</f>
        <v>Segunda</v>
      </c>
      <c r="Q11" s="30" t="str">
        <f>IF(B11="","",IF(B11&lt;TIME(12,0,0),"Manhã",IF(B11&lt;TIME(18,0,0),"Tarde","Noite")))</f>
        <v>Tarde</v>
      </c>
      <c r="R11" s="46">
        <f>IF(AND(H11="Realizado",L11&lt;&gt;"",A11&lt;=Config!$B$9),L11/60,0)</f>
        <v>0</v>
      </c>
      <c r="S11" s="45">
        <f>IF(G11="","",IFERROR(INDEX(Config!$K$5:$K$16,MATCH(G11,Config!$J$5:$J$16,0)),""))</f>
        <v>30</v>
      </c>
      <c r="T11" s="31">
        <f>IF(OR(G11="",F11=""),"",IFERROR(INDEX(Config!$M$5:$R$16,MATCH(G11,Config!$J$5:$J$16,0),MATCH(F11,Config!$H$5:$H$10,0)),""))</f>
        <v>380</v>
      </c>
      <c r="U11" s="47">
        <f>IF(AND(H11="Realizado",L11&lt;&gt;""),L11/60,0)</f>
        <v>0</v>
      </c>
      <c r="V11" s="47">
        <f>IF(AND(H11="Realizado",OR(L11="",M11="")),1,0)</f>
        <v>0</v>
      </c>
    </row>
    <row r="12">
      <c r="A12" s="43" t="n">
        <v>46174</v>
      </c>
      <c r="B12" s="44" t="n">
        <v>0.6458333333333334</v>
      </c>
      <c r="C12" s="38" t="inlineStr">
        <is>
          <t>Dr. Paulo Andrade</t>
        </is>
      </c>
      <c r="D12" s="38" t="inlineStr">
        <is>
          <t>Sala 2</t>
        </is>
      </c>
      <c r="E12" s="37" t="inlineStr">
        <is>
          <t>Otávio Martins</t>
        </is>
      </c>
      <c r="F12" s="38" t="inlineStr">
        <is>
          <t>MediPlan</t>
        </is>
      </c>
      <c r="G12" s="38" t="inlineStr">
        <is>
          <t>Consulta</t>
        </is>
      </c>
      <c r="H12" s="38" t="inlineStr">
        <is>
          <t>Realizado</t>
        </is>
      </c>
      <c r="I12" s="38" t="inlineStr">
        <is>
          <t>Convênio</t>
        </is>
      </c>
      <c r="J12" s="38" t="n"/>
      <c r="K12" s="37" t="n"/>
      <c r="L12" s="39" t="n">
        <v>30</v>
      </c>
      <c r="M12" s="40" t="n">
        <v>100</v>
      </c>
      <c r="N12" s="30">
        <f>IF(A12="","",MONTH(A12))</f>
        <v>6</v>
      </c>
      <c r="O12" s="30">
        <f>IF(A12="","",YEAR(A12))</f>
        <v>2026</v>
      </c>
      <c r="P12" s="30" t="str">
        <f>IF(A12="","",CHOOSE(WEEKDAY(A12,2),"Segunda","Terça","Quarta","Quinta","Sexta","Sábado","Domingo"))</f>
        <v>Segunda</v>
      </c>
      <c r="Q12" s="30" t="str">
        <f>IF(B12="","",IF(B12&lt;TIME(12,0,0),"Manhã",IF(B12&lt;TIME(18,0,0),"Tarde","Noite")))</f>
        <v>Tarde</v>
      </c>
      <c r="R12" s="46">
        <f>IF(AND(H12="Realizado",L12&lt;&gt;"",A12&lt;=Config!$B$9),L12/60,0)</f>
        <v>0.5</v>
      </c>
      <c r="S12" s="45">
        <f>IF(G12="","",IFERROR(INDEX(Config!$K$5:$K$16,MATCH(G12,Config!$J$5:$J$16,0)),""))</f>
        <v>30</v>
      </c>
      <c r="T12" s="31">
        <f>IF(OR(G12="",F12=""),"",IFERROR(INDEX(Config!$M$5:$R$16,MATCH(G12,Config!$J$5:$J$16,0),MATCH(F12,Config!$H$5:$H$10,0)),""))</f>
        <v>100</v>
      </c>
      <c r="U12" s="47">
        <f>IF(AND(H12="Realizado",L12&lt;&gt;""),L12/60,0)</f>
        <v>0.5</v>
      </c>
      <c r="V12" s="47">
        <f>IF(AND(H12="Realizado",OR(L12="",M12="")),1,0)</f>
        <v>0</v>
      </c>
    </row>
    <row r="13">
      <c r="A13" s="43" t="n">
        <v>46174</v>
      </c>
      <c r="B13" s="44" t="n">
        <v>0.6666666666666666</v>
      </c>
      <c r="C13" s="38" t="inlineStr">
        <is>
          <t>Dr. Paulo Andrade</t>
        </is>
      </c>
      <c r="D13" s="38" t="inlineStr">
        <is>
          <t>Sala 2</t>
        </is>
      </c>
      <c r="E13" s="37" t="inlineStr">
        <is>
          <t>Cláudia Santos</t>
        </is>
      </c>
      <c r="F13" s="38" t="inlineStr">
        <is>
          <t>Particular</t>
        </is>
      </c>
      <c r="G13" s="38" t="inlineStr">
        <is>
          <t>MAPA</t>
        </is>
      </c>
      <c r="H13" s="38" t="inlineStr">
        <is>
          <t>Realizado</t>
        </is>
      </c>
      <c r="I13" s="38" t="inlineStr">
        <is>
          <t>Pix</t>
        </is>
      </c>
      <c r="J13" s="38" t="n"/>
      <c r="K13" s="37" t="n"/>
      <c r="L13" s="39" t="n">
        <v>20</v>
      </c>
      <c r="M13" s="40" t="n">
        <v>300</v>
      </c>
      <c r="N13" s="30">
        <f>IF(A13="","",MONTH(A13))</f>
        <v>6</v>
      </c>
      <c r="O13" s="30">
        <f>IF(A13="","",YEAR(A13))</f>
        <v>2026</v>
      </c>
      <c r="P13" s="30" t="str">
        <f>IF(A13="","",CHOOSE(WEEKDAY(A13,2),"Segunda","Terça","Quarta","Quinta","Sexta","Sábado","Domingo"))</f>
        <v>Segunda</v>
      </c>
      <c r="Q13" s="30" t="str">
        <f>IF(B13="","",IF(B13&lt;TIME(12,0,0),"Manhã",IF(B13&lt;TIME(18,0,0),"Tarde","Noite")))</f>
        <v>Tarde</v>
      </c>
      <c r="R13" s="46">
        <f>IF(AND(H13="Realizado",L13&lt;&gt;"",A13&lt;=Config!$B$9),L13/60,0)</f>
        <v>0.333333333333333</v>
      </c>
      <c r="S13" s="45">
        <f>IF(G13="","",IFERROR(INDEX(Config!$K$5:$K$16,MATCH(G13,Config!$J$5:$J$16,0)),""))</f>
        <v>20</v>
      </c>
      <c r="T13" s="31">
        <f>IF(OR(G13="",F13=""),"",IFERROR(INDEX(Config!$M$5:$R$16,MATCH(G13,Config!$J$5:$J$16,0),MATCH(F13,Config!$H$5:$H$10,0)),""))</f>
        <v>300</v>
      </c>
      <c r="U13" s="47">
        <f>IF(AND(H13="Realizado",L13&lt;&gt;""),L13/60,0)</f>
        <v>0.333333333333333</v>
      </c>
      <c r="V13" s="47">
        <f>IF(AND(H13="Realizado",OR(L13="",M13="")),1,0)</f>
        <v>0</v>
      </c>
    </row>
    <row r="14">
      <c r="A14" s="43" t="n">
        <v>46174</v>
      </c>
      <c r="B14" s="44" t="n">
        <v>0.6805555555555556</v>
      </c>
      <c r="C14" s="38" t="inlineStr">
        <is>
          <t>Dr. Paulo Andrade</t>
        </is>
      </c>
      <c r="D14" s="38" t="inlineStr">
        <is>
          <t>Sala 2</t>
        </is>
      </c>
      <c r="E14" s="37" t="inlineStr">
        <is>
          <t>Mateus Martins</t>
        </is>
      </c>
      <c r="F14" s="38" t="inlineStr">
        <is>
          <t>Vida Care</t>
        </is>
      </c>
      <c r="G14" s="38" t="inlineStr">
        <is>
          <t>Consulta</t>
        </is>
      </c>
      <c r="H14" s="38" t="inlineStr">
        <is>
          <t>Realizado</t>
        </is>
      </c>
      <c r="I14" s="38" t="inlineStr">
        <is>
          <t>Convênio</t>
        </is>
      </c>
      <c r="J14" s="38" t="n"/>
      <c r="K14" s="37" t="n"/>
      <c r="L14" s="39" t="n">
        <v>30</v>
      </c>
      <c r="M14" s="40" t="n">
        <v>90</v>
      </c>
      <c r="N14" s="30">
        <f>IF(A14="","",MONTH(A14))</f>
        <v>6</v>
      </c>
      <c r="O14" s="30">
        <f>IF(A14="","",YEAR(A14))</f>
        <v>2026</v>
      </c>
      <c r="P14" s="30" t="str">
        <f>IF(A14="","",CHOOSE(WEEKDAY(A14,2),"Segunda","Terça","Quarta","Quinta","Sexta","Sábado","Domingo"))</f>
        <v>Segunda</v>
      </c>
      <c r="Q14" s="30" t="str">
        <f>IF(B14="","",IF(B14&lt;TIME(12,0,0),"Manhã",IF(B14&lt;TIME(18,0,0),"Tarde","Noite")))</f>
        <v>Tarde</v>
      </c>
      <c r="R14" s="46">
        <f>IF(AND(H14="Realizado",L14&lt;&gt;"",A14&lt;=Config!$B$9),L14/60,0)</f>
        <v>0.5</v>
      </c>
      <c r="S14" s="45">
        <f>IF(G14="","",IFERROR(INDEX(Config!$K$5:$K$16,MATCH(G14,Config!$J$5:$J$16,0)),""))</f>
        <v>30</v>
      </c>
      <c r="T14" s="31">
        <f>IF(OR(G14="",F14=""),"",IFERROR(INDEX(Config!$M$5:$R$16,MATCH(G14,Config!$J$5:$J$16,0),MATCH(F14,Config!$H$5:$H$10,0)),""))</f>
        <v>90</v>
      </c>
      <c r="U14" s="47">
        <f>IF(AND(H14="Realizado",L14&lt;&gt;""),L14/60,0)</f>
        <v>0.5</v>
      </c>
      <c r="V14" s="47">
        <f>IF(AND(H14="Realizado",OR(L14="",M14="")),1,0)</f>
        <v>0</v>
      </c>
    </row>
    <row r="15">
      <c r="A15" s="43" t="n">
        <v>46174</v>
      </c>
      <c r="B15" s="44" t="n">
        <v>0.7013888888888888</v>
      </c>
      <c r="C15" s="38" t="inlineStr">
        <is>
          <t>Dr. Paulo Andrade</t>
        </is>
      </c>
      <c r="D15" s="38" t="inlineStr">
        <is>
          <t>Sala 2</t>
        </is>
      </c>
      <c r="E15" s="37" t="inlineStr">
        <is>
          <t>Wagner Lima</t>
        </is>
      </c>
      <c r="F15" s="38" t="inlineStr">
        <is>
          <t>Particular</t>
        </is>
      </c>
      <c r="G15" s="38" t="inlineStr">
        <is>
          <t>Retorno</t>
        </is>
      </c>
      <c r="H15" s="38" t="inlineStr">
        <is>
          <t>Realizado</t>
        </is>
      </c>
      <c r="I15" s="38" t="inlineStr">
        <is>
          <t>Sem cobrança</t>
        </is>
      </c>
      <c r="J15" s="38" t="n"/>
      <c r="K15" s="37" t="n"/>
      <c r="L15" s="39" t="n">
        <v>20</v>
      </c>
      <c r="M15" s="40" t="n">
        <v>0</v>
      </c>
      <c r="N15" s="30">
        <f>IF(A15="","",MONTH(A15))</f>
        <v>6</v>
      </c>
      <c r="O15" s="30">
        <f>IF(A15="","",YEAR(A15))</f>
        <v>2026</v>
      </c>
      <c r="P15" s="30" t="str">
        <f>IF(A15="","",CHOOSE(WEEKDAY(A15,2),"Segunda","Terça","Quarta","Quinta","Sexta","Sábado","Domingo"))</f>
        <v>Segunda</v>
      </c>
      <c r="Q15" s="30" t="str">
        <f>IF(B15="","",IF(B15&lt;TIME(12,0,0),"Manhã",IF(B15&lt;TIME(18,0,0),"Tarde","Noite")))</f>
        <v>Tarde</v>
      </c>
      <c r="R15" s="46">
        <f>IF(AND(H15="Realizado",L15&lt;&gt;"",A15&lt;=Config!$B$9),L15/60,0)</f>
        <v>0.333333333333333</v>
      </c>
      <c r="S15" s="45">
        <f>IF(G15="","",IFERROR(INDEX(Config!$K$5:$K$16,MATCH(G15,Config!$J$5:$J$16,0)),""))</f>
        <v>20</v>
      </c>
      <c r="T15" s="31">
        <f>IF(OR(G15="",F15=""),"",IFERROR(INDEX(Config!$M$5:$R$16,MATCH(G15,Config!$J$5:$J$16,0),MATCH(F15,Config!$H$5:$H$10,0)),""))</f>
        <v>0</v>
      </c>
      <c r="U15" s="47">
        <f>IF(AND(H15="Realizado",L15&lt;&gt;""),L15/60,0)</f>
        <v>0.333333333333333</v>
      </c>
      <c r="V15" s="47">
        <f>IF(AND(H15="Realizado",OR(L15="",M15="")),1,0)</f>
        <v>0</v>
      </c>
    </row>
    <row r="16">
      <c r="A16" s="43" t="n">
        <v>46174</v>
      </c>
      <c r="B16" s="44" t="n">
        <v>0.7152777777777778</v>
      </c>
      <c r="C16" s="38" t="inlineStr">
        <is>
          <t>Dr. Paulo Andrade</t>
        </is>
      </c>
      <c r="D16" s="38" t="inlineStr">
        <is>
          <t>Sala 2</t>
        </is>
      </c>
      <c r="E16" s="37" t="inlineStr">
        <is>
          <t>Fábio Martins</t>
        </is>
      </c>
      <c r="F16" s="38" t="inlineStr">
        <is>
          <t>MediPlan</t>
        </is>
      </c>
      <c r="G16" s="38" t="inlineStr">
        <is>
          <t>Retorno</t>
        </is>
      </c>
      <c r="H16" s="38" t="inlineStr">
        <is>
          <t>Realizado</t>
        </is>
      </c>
      <c r="I16" s="38" t="inlineStr">
        <is>
          <t>Sem cobrança</t>
        </is>
      </c>
      <c r="J16" s="38" t="n"/>
      <c r="K16" s="37" t="n"/>
      <c r="L16" s="39" t="n">
        <v>20</v>
      </c>
      <c r="M16" s="40" t="n">
        <v>0</v>
      </c>
      <c r="N16" s="30">
        <f>IF(A16="","",MONTH(A16))</f>
        <v>6</v>
      </c>
      <c r="O16" s="30">
        <f>IF(A16="","",YEAR(A16))</f>
        <v>2026</v>
      </c>
      <c r="P16" s="30" t="str">
        <f>IF(A16="","",CHOOSE(WEEKDAY(A16,2),"Segunda","Terça","Quarta","Quinta","Sexta","Sábado","Domingo"))</f>
        <v>Segunda</v>
      </c>
      <c r="Q16" s="30" t="str">
        <f>IF(B16="","",IF(B16&lt;TIME(12,0,0),"Manhã",IF(B16&lt;TIME(18,0,0),"Tarde","Noite")))</f>
        <v>Tarde</v>
      </c>
      <c r="R16" s="46">
        <f>IF(AND(H16="Realizado",L16&lt;&gt;"",A16&lt;=Config!$B$9),L16/60,0)</f>
        <v>0.333333333333333</v>
      </c>
      <c r="S16" s="45">
        <f>IF(G16="","",IFERROR(INDEX(Config!$K$5:$K$16,MATCH(G16,Config!$J$5:$J$16,0)),""))</f>
        <v>20</v>
      </c>
      <c r="T16" s="31">
        <f>IF(OR(G16="",F16=""),"",IFERROR(INDEX(Config!$M$5:$R$16,MATCH(G16,Config!$J$5:$J$16,0),MATCH(F16,Config!$H$5:$H$10,0)),""))</f>
        <v>0</v>
      </c>
      <c r="U16" s="47">
        <f>IF(AND(H16="Realizado",L16&lt;&gt;""),L16/60,0)</f>
        <v>0.333333333333333</v>
      </c>
      <c r="V16" s="47">
        <f>IF(AND(H16="Realizado",OR(L16="",M16="")),1,0)</f>
        <v>0</v>
      </c>
    </row>
    <row r="17">
      <c r="A17" s="43" t="n">
        <v>46174</v>
      </c>
      <c r="B17" s="44" t="n">
        <v>0.7291666666666666</v>
      </c>
      <c r="C17" s="38" t="inlineStr">
        <is>
          <t>Dr. Paulo Andrade</t>
        </is>
      </c>
      <c r="D17" s="38" t="inlineStr">
        <is>
          <t>Sala 2</t>
        </is>
      </c>
      <c r="E17" s="37" t="inlineStr">
        <is>
          <t>Leandro Ferreira</t>
        </is>
      </c>
      <c r="F17" s="38" t="inlineStr">
        <is>
          <t>Saúde Total</t>
        </is>
      </c>
      <c r="G17" s="38" t="inlineStr">
        <is>
          <t>Holter</t>
        </is>
      </c>
      <c r="H17" s="38" t="inlineStr">
        <is>
          <t>Realizado</t>
        </is>
      </c>
      <c r="I17" s="38" t="inlineStr">
        <is>
          <t>Convênio</t>
        </is>
      </c>
      <c r="J17" s="38" t="n"/>
      <c r="K17" s="37" t="n"/>
      <c r="L17" s="39" t="n">
        <v>20</v>
      </c>
      <c r="M17" s="40" t="n">
        <v>105</v>
      </c>
      <c r="N17" s="30">
        <f>IF(A17="","",MONTH(A17))</f>
        <v>6</v>
      </c>
      <c r="O17" s="30">
        <f>IF(A17="","",YEAR(A17))</f>
        <v>2026</v>
      </c>
      <c r="P17" s="30" t="str">
        <f>IF(A17="","",CHOOSE(WEEKDAY(A17,2),"Segunda","Terça","Quarta","Quinta","Sexta","Sábado","Domingo"))</f>
        <v>Segunda</v>
      </c>
      <c r="Q17" s="30" t="str">
        <f>IF(B17="","",IF(B17&lt;TIME(12,0,0),"Manhã",IF(B17&lt;TIME(18,0,0),"Tarde","Noite")))</f>
        <v>Tarde</v>
      </c>
      <c r="R17" s="46">
        <f>IF(AND(H17="Realizado",L17&lt;&gt;"",A17&lt;=Config!$B$9),L17/60,0)</f>
        <v>0.333333333333333</v>
      </c>
      <c r="S17" s="45">
        <f>IF(G17="","",IFERROR(INDEX(Config!$K$5:$K$16,MATCH(G17,Config!$J$5:$J$16,0)),""))</f>
        <v>20</v>
      </c>
      <c r="T17" s="31">
        <f>IF(OR(G17="",F17=""),"",IFERROR(INDEX(Config!$M$5:$R$16,MATCH(G17,Config!$J$5:$J$16,0),MATCH(F17,Config!$H$5:$H$10,0)),""))</f>
        <v>105</v>
      </c>
      <c r="U17" s="47">
        <f>IF(AND(H17="Realizado",L17&lt;&gt;""),L17/60,0)</f>
        <v>0.333333333333333</v>
      </c>
      <c r="V17" s="47">
        <f>IF(AND(H17="Realizado",OR(L17="",M17="")),1,0)</f>
        <v>0</v>
      </c>
    </row>
    <row r="18">
      <c r="A18" s="43" t="n">
        <v>46175</v>
      </c>
      <c r="B18" s="44" t="n">
        <v>0.3333333333333333</v>
      </c>
      <c r="C18" s="38" t="inlineStr">
        <is>
          <t>Dra. Carolina Mendes</t>
        </is>
      </c>
      <c r="D18" s="38" t="inlineStr">
        <is>
          <t>Sala 1</t>
        </is>
      </c>
      <c r="E18" s="37" t="inlineStr">
        <is>
          <t>Ricardo Melo</t>
        </is>
      </c>
      <c r="F18" s="38" t="inlineStr">
        <is>
          <t>Saúde Total</t>
        </is>
      </c>
      <c r="G18" s="38" t="inlineStr">
        <is>
          <t>Retorno</t>
        </is>
      </c>
      <c r="H18" s="38" t="inlineStr">
        <is>
          <t>Realizado</t>
        </is>
      </c>
      <c r="I18" s="38" t="inlineStr">
        <is>
          <t>Sem cobrança</t>
        </is>
      </c>
      <c r="J18" s="38" t="n"/>
      <c r="K18" s="37" t="n"/>
      <c r="L18" s="39" t="n">
        <v>20</v>
      </c>
      <c r="M18" s="40" t="n">
        <v>0</v>
      </c>
      <c r="N18" s="30">
        <f>IF(A18="","",MONTH(A18))</f>
        <v>6</v>
      </c>
      <c r="O18" s="30">
        <f>IF(A18="","",YEAR(A18))</f>
        <v>2026</v>
      </c>
      <c r="P18" s="30" t="str">
        <f>IF(A18="","",CHOOSE(WEEKDAY(A18,2),"Segunda","Terça","Quarta","Quinta","Sexta","Sábado","Domingo"))</f>
        <v>Terça</v>
      </c>
      <c r="Q18" s="30" t="str">
        <f>IF(B18="","",IF(B18&lt;TIME(12,0,0),"Manhã",IF(B18&lt;TIME(18,0,0),"Tarde","Noite")))</f>
        <v>Manhã</v>
      </c>
      <c r="R18" s="46">
        <f>IF(AND(H18="Realizado",L18&lt;&gt;"",A18&lt;=Config!$B$9),L18/60,0)</f>
        <v>0.333333333333333</v>
      </c>
      <c r="S18" s="45">
        <f>IF(G18="","",IFERROR(INDEX(Config!$K$5:$K$16,MATCH(G18,Config!$J$5:$J$16,0)),""))</f>
        <v>20</v>
      </c>
      <c r="T18" s="31">
        <f>IF(OR(G18="",F18=""),"",IFERROR(INDEX(Config!$M$5:$R$16,MATCH(G18,Config!$J$5:$J$16,0),MATCH(F18,Config!$H$5:$H$10,0)),""))</f>
        <v>0</v>
      </c>
      <c r="U18" s="47">
        <f>IF(AND(H18="Realizado",L18&lt;&gt;""),L18/60,0)</f>
        <v>0.333333333333333</v>
      </c>
      <c r="V18" s="47">
        <f>IF(AND(H18="Realizado",OR(L18="",M18="")),1,0)</f>
        <v>0</v>
      </c>
    </row>
    <row r="19">
      <c r="A19" s="43" t="n">
        <v>46175</v>
      </c>
      <c r="B19" s="44" t="n">
        <v>0.3472222222222222</v>
      </c>
      <c r="C19" s="38" t="inlineStr">
        <is>
          <t>Dra. Carolina Mendes</t>
        </is>
      </c>
      <c r="D19" s="38" t="inlineStr">
        <is>
          <t>Sala 1</t>
        </is>
      </c>
      <c r="E19" s="37" t="inlineStr">
        <is>
          <t>Sérgio Batista</t>
        </is>
      </c>
      <c r="F19" s="38" t="inlineStr">
        <is>
          <t>MediPlan</t>
        </is>
      </c>
      <c r="G19" s="38" t="inlineStr">
        <is>
          <t>Consulta</t>
        </is>
      </c>
      <c r="H19" s="38" t="inlineStr">
        <is>
          <t>Realizado</t>
        </is>
      </c>
      <c r="I19" s="38" t="inlineStr">
        <is>
          <t>Convênio</t>
        </is>
      </c>
      <c r="J19" s="38" t="n"/>
      <c r="K19" s="37" t="n"/>
      <c r="L19" s="39" t="n">
        <v>30</v>
      </c>
      <c r="M19" s="40" t="n">
        <v>100</v>
      </c>
      <c r="N19" s="30">
        <f>IF(A19="","",MONTH(A19))</f>
        <v>6</v>
      </c>
      <c r="O19" s="30">
        <f>IF(A19="","",YEAR(A19))</f>
        <v>2026</v>
      </c>
      <c r="P19" s="30" t="str">
        <f>IF(A19="","",CHOOSE(WEEKDAY(A19,2),"Segunda","Terça","Quarta","Quinta","Sexta","Sábado","Domingo"))</f>
        <v>Terça</v>
      </c>
      <c r="Q19" s="30" t="str">
        <f>IF(B19="","",IF(B19&lt;TIME(12,0,0),"Manhã",IF(B19&lt;TIME(18,0,0),"Tarde","Noite")))</f>
        <v>Manhã</v>
      </c>
      <c r="R19" s="46">
        <f>IF(AND(H19="Realizado",L19&lt;&gt;"",A19&lt;=Config!$B$9),L19/60,0)</f>
        <v>0.5</v>
      </c>
      <c r="S19" s="45">
        <f>IF(G19="","",IFERROR(INDEX(Config!$K$5:$K$16,MATCH(G19,Config!$J$5:$J$16,0)),""))</f>
        <v>30</v>
      </c>
      <c r="T19" s="31">
        <f>IF(OR(G19="",F19=""),"",IFERROR(INDEX(Config!$M$5:$R$16,MATCH(G19,Config!$J$5:$J$16,0),MATCH(F19,Config!$H$5:$H$10,0)),""))</f>
        <v>100</v>
      </c>
      <c r="U19" s="47">
        <f>IF(AND(H19="Realizado",L19&lt;&gt;""),L19/60,0)</f>
        <v>0.5</v>
      </c>
      <c r="V19" s="47">
        <f>IF(AND(H19="Realizado",OR(L19="",M19="")),1,0)</f>
        <v>0</v>
      </c>
    </row>
    <row r="20">
      <c r="A20" s="43" t="n">
        <v>46175</v>
      </c>
      <c r="B20" s="44" t="n">
        <v>0.3680555555555556</v>
      </c>
      <c r="C20" s="38" t="inlineStr">
        <is>
          <t>Dra. Carolina Mendes</t>
        </is>
      </c>
      <c r="D20" s="38" t="inlineStr">
        <is>
          <t>Sala 1</t>
        </is>
      </c>
      <c r="E20" s="37" t="inlineStr">
        <is>
          <t>Otávio Nascimento</t>
        </is>
      </c>
      <c r="F20" s="38" t="inlineStr">
        <is>
          <t>Particular</t>
        </is>
      </c>
      <c r="G20" s="38" t="inlineStr">
        <is>
          <t>Consulta</t>
        </is>
      </c>
      <c r="H20" s="38" t="inlineStr">
        <is>
          <t>Realizado</t>
        </is>
      </c>
      <c r="I20" s="38" t="inlineStr">
        <is>
          <t>Cartão de crédito</t>
        </is>
      </c>
      <c r="J20" s="38" t="n"/>
      <c r="K20" s="37" t="n"/>
      <c r="L20" s="39" t="n">
        <v>30</v>
      </c>
      <c r="M20" s="40" t="n">
        <v>380</v>
      </c>
      <c r="N20" s="30">
        <f>IF(A20="","",MONTH(A20))</f>
        <v>6</v>
      </c>
      <c r="O20" s="30">
        <f>IF(A20="","",YEAR(A20))</f>
        <v>2026</v>
      </c>
      <c r="P20" s="30" t="str">
        <f>IF(A20="","",CHOOSE(WEEKDAY(A20,2),"Segunda","Terça","Quarta","Quinta","Sexta","Sábado","Domingo"))</f>
        <v>Terça</v>
      </c>
      <c r="Q20" s="30" t="str">
        <f>IF(B20="","",IF(B20&lt;TIME(12,0,0),"Manhã",IF(B20&lt;TIME(18,0,0),"Tarde","Noite")))</f>
        <v>Manhã</v>
      </c>
      <c r="R20" s="46">
        <f>IF(AND(H20="Realizado",L20&lt;&gt;"",A20&lt;=Config!$B$9),L20/60,0)</f>
        <v>0.5</v>
      </c>
      <c r="S20" s="45">
        <f>IF(G20="","",IFERROR(INDEX(Config!$K$5:$K$16,MATCH(G20,Config!$J$5:$J$16,0)),""))</f>
        <v>30</v>
      </c>
      <c r="T20" s="31">
        <f>IF(OR(G20="",F20=""),"",IFERROR(INDEX(Config!$M$5:$R$16,MATCH(G20,Config!$J$5:$J$16,0),MATCH(F20,Config!$H$5:$H$10,0)),""))</f>
        <v>380</v>
      </c>
      <c r="U20" s="47">
        <f>IF(AND(H20="Realizado",L20&lt;&gt;""),L20/60,0)</f>
        <v>0.5</v>
      </c>
      <c r="V20" s="47">
        <f>IF(AND(H20="Realizado",OR(L20="",M20="")),1,0)</f>
        <v>0</v>
      </c>
    </row>
    <row r="21">
      <c r="A21" s="43" t="n">
        <v>46175</v>
      </c>
      <c r="B21" s="44" t="n">
        <v>0.3888888888888889</v>
      </c>
      <c r="C21" s="38" t="inlineStr">
        <is>
          <t>Dra. Carolina Mendes</t>
        </is>
      </c>
      <c r="D21" s="38" t="inlineStr">
        <is>
          <t>Sala 1</t>
        </is>
      </c>
      <c r="E21" s="37" t="inlineStr">
        <is>
          <t>Leandro Oliveira</t>
        </is>
      </c>
      <c r="F21" s="38" t="inlineStr">
        <is>
          <t>Particular</t>
        </is>
      </c>
      <c r="G21" s="38" t="inlineStr">
        <is>
          <t>Consulta</t>
        </is>
      </c>
      <c r="H21" s="38" t="inlineStr">
        <is>
          <t>Cancelado</t>
        </is>
      </c>
      <c r="I21" s="38" t="n"/>
      <c r="J21" s="38" t="n"/>
      <c r="K21" s="37" t="n"/>
      <c r="L21" s="39" t="n">
        <v>30</v>
      </c>
      <c r="M21" s="40" t="n">
        <v>380</v>
      </c>
      <c r="N21" s="30">
        <f>IF(A21="","",MONTH(A21))</f>
        <v>6</v>
      </c>
      <c r="O21" s="30">
        <f>IF(A21="","",YEAR(A21))</f>
        <v>2026</v>
      </c>
      <c r="P21" s="30" t="str">
        <f>IF(A21="","",CHOOSE(WEEKDAY(A21,2),"Segunda","Terça","Quarta","Quinta","Sexta","Sábado","Domingo"))</f>
        <v>Terça</v>
      </c>
      <c r="Q21" s="30" t="str">
        <f>IF(B21="","",IF(B21&lt;TIME(12,0,0),"Manhã",IF(B21&lt;TIME(18,0,0),"Tarde","Noite")))</f>
        <v>Manhã</v>
      </c>
      <c r="R21" s="46">
        <f>IF(AND(H21="Realizado",L21&lt;&gt;"",A21&lt;=Config!$B$9),L21/60,0)</f>
        <v>0</v>
      </c>
      <c r="S21" s="45">
        <f>IF(G21="","",IFERROR(INDEX(Config!$K$5:$K$16,MATCH(G21,Config!$J$5:$J$16,0)),""))</f>
        <v>30</v>
      </c>
      <c r="T21" s="31">
        <f>IF(OR(G21="",F21=""),"",IFERROR(INDEX(Config!$M$5:$R$16,MATCH(G21,Config!$J$5:$J$16,0),MATCH(F21,Config!$H$5:$H$10,0)),""))</f>
        <v>380</v>
      </c>
      <c r="U21" s="47">
        <f>IF(AND(H21="Realizado",L21&lt;&gt;""),L21/60,0)</f>
        <v>0</v>
      </c>
      <c r="V21" s="47">
        <f>IF(AND(H21="Realizado",OR(L21="",M21="")),1,0)</f>
        <v>0</v>
      </c>
    </row>
    <row r="22">
      <c r="A22" s="43" t="n">
        <v>46175</v>
      </c>
      <c r="B22" s="44" t="n">
        <v>0.4097222222222222</v>
      </c>
      <c r="C22" s="38" t="inlineStr">
        <is>
          <t>Dra. Carolina Mendes</t>
        </is>
      </c>
      <c r="D22" s="38" t="inlineStr">
        <is>
          <t>Sala 1</t>
        </is>
      </c>
      <c r="E22" s="37" t="inlineStr">
        <is>
          <t>Leandro Oliveira</t>
        </is>
      </c>
      <c r="F22" s="38" t="inlineStr">
        <is>
          <t>Particular</t>
        </is>
      </c>
      <c r="G22" s="38" t="inlineStr">
        <is>
          <t>Consulta</t>
        </is>
      </c>
      <c r="H22" s="38" t="inlineStr">
        <is>
          <t>Realizado</t>
        </is>
      </c>
      <c r="I22" s="38" t="inlineStr">
        <is>
          <t>Pix</t>
        </is>
      </c>
      <c r="J22" s="38" t="n"/>
      <c r="K22" s="37" t="n"/>
      <c r="L22" s="39" t="n">
        <v>30</v>
      </c>
      <c r="M22" s="40" t="n">
        <v>380</v>
      </c>
      <c r="N22" s="30">
        <f>IF(A22="","",MONTH(A22))</f>
        <v>6</v>
      </c>
      <c r="O22" s="30">
        <f>IF(A22="","",YEAR(A22))</f>
        <v>2026</v>
      </c>
      <c r="P22" s="30" t="str">
        <f>IF(A22="","",CHOOSE(WEEKDAY(A22,2),"Segunda","Terça","Quarta","Quinta","Sexta","Sábado","Domingo"))</f>
        <v>Terça</v>
      </c>
      <c r="Q22" s="30" t="str">
        <f>IF(B22="","",IF(B22&lt;TIME(12,0,0),"Manhã",IF(B22&lt;TIME(18,0,0),"Tarde","Noite")))</f>
        <v>Manhã</v>
      </c>
      <c r="R22" s="46">
        <f>IF(AND(H22="Realizado",L22&lt;&gt;"",A22&lt;=Config!$B$9),L22/60,0)</f>
        <v>0.5</v>
      </c>
      <c r="S22" s="45">
        <f>IF(G22="","",IFERROR(INDEX(Config!$K$5:$K$16,MATCH(G22,Config!$J$5:$J$16,0)),""))</f>
        <v>30</v>
      </c>
      <c r="T22" s="31">
        <f>IF(OR(G22="",F22=""),"",IFERROR(INDEX(Config!$M$5:$R$16,MATCH(G22,Config!$J$5:$J$16,0),MATCH(F22,Config!$H$5:$H$10,0)),""))</f>
        <v>380</v>
      </c>
      <c r="U22" s="47">
        <f>IF(AND(H22="Realizado",L22&lt;&gt;""),L22/60,0)</f>
        <v>0.5</v>
      </c>
      <c r="V22" s="47">
        <f>IF(AND(H22="Realizado",OR(L22="",M22="")),1,0)</f>
        <v>0</v>
      </c>
    </row>
    <row r="23">
      <c r="A23" s="43" t="n">
        <v>46175</v>
      </c>
      <c r="B23" s="44" t="n">
        <v>0.4305555555555556</v>
      </c>
      <c r="C23" s="38" t="inlineStr">
        <is>
          <t>Dra. Carolina Mendes</t>
        </is>
      </c>
      <c r="D23" s="38" t="inlineStr">
        <is>
          <t>Sala 1</t>
        </is>
      </c>
      <c r="E23" s="37" t="inlineStr">
        <is>
          <t>Carlos Castro</t>
        </is>
      </c>
      <c r="F23" s="38" t="inlineStr">
        <is>
          <t>Saúde Total</t>
        </is>
      </c>
      <c r="G23" s="38" t="inlineStr">
        <is>
          <t>Consulta</t>
        </is>
      </c>
      <c r="H23" s="38" t="inlineStr">
        <is>
          <t>Realizado</t>
        </is>
      </c>
      <c r="I23" s="38" t="inlineStr">
        <is>
          <t>Convênio</t>
        </is>
      </c>
      <c r="J23" s="38" t="n"/>
      <c r="K23" s="37" t="n"/>
      <c r="L23" s="39" t="n">
        <v>30</v>
      </c>
      <c r="M23" s="40" t="n">
        <v>120</v>
      </c>
      <c r="N23" s="30">
        <f>IF(A23="","",MONTH(A23))</f>
        <v>6</v>
      </c>
      <c r="O23" s="30">
        <f>IF(A23="","",YEAR(A23))</f>
        <v>2026</v>
      </c>
      <c r="P23" s="30" t="str">
        <f>IF(A23="","",CHOOSE(WEEKDAY(A23,2),"Segunda","Terça","Quarta","Quinta","Sexta","Sábado","Domingo"))</f>
        <v>Terça</v>
      </c>
      <c r="Q23" s="30" t="str">
        <f>IF(B23="","",IF(B23&lt;TIME(12,0,0),"Manhã",IF(B23&lt;TIME(18,0,0),"Tarde","Noite")))</f>
        <v>Manhã</v>
      </c>
      <c r="R23" s="46">
        <f>IF(AND(H23="Realizado",L23&lt;&gt;"",A23&lt;=Config!$B$9),L23/60,0)</f>
        <v>0.5</v>
      </c>
      <c r="S23" s="45">
        <f>IF(G23="","",IFERROR(INDEX(Config!$K$5:$K$16,MATCH(G23,Config!$J$5:$J$16,0)),""))</f>
        <v>30</v>
      </c>
      <c r="T23" s="31">
        <f>IF(OR(G23="",F23=""),"",IFERROR(INDEX(Config!$M$5:$R$16,MATCH(G23,Config!$J$5:$J$16,0),MATCH(F23,Config!$H$5:$H$10,0)),""))</f>
        <v>120</v>
      </c>
      <c r="U23" s="47">
        <f>IF(AND(H23="Realizado",L23&lt;&gt;""),L23/60,0)</f>
        <v>0.5</v>
      </c>
      <c r="V23" s="47">
        <f>IF(AND(H23="Realizado",OR(L23="",M23="")),1,0)</f>
        <v>0</v>
      </c>
    </row>
    <row r="24">
      <c r="A24" s="43" t="n">
        <v>46175</v>
      </c>
      <c r="B24" s="44" t="n">
        <v>0.4513888888888889</v>
      </c>
      <c r="C24" s="38" t="inlineStr">
        <is>
          <t>Dra. Carolina Mendes</t>
        </is>
      </c>
      <c r="D24" s="38" t="inlineStr">
        <is>
          <t>Sala 1</t>
        </is>
      </c>
      <c r="E24" s="37" t="inlineStr">
        <is>
          <t>Cláudia Costa</t>
        </is>
      </c>
      <c r="F24" s="38" t="inlineStr">
        <is>
          <t>Particular</t>
        </is>
      </c>
      <c r="G24" s="38" t="inlineStr">
        <is>
          <t>Consulta</t>
        </is>
      </c>
      <c r="H24" s="38" t="inlineStr">
        <is>
          <t>Realizado</t>
        </is>
      </c>
      <c r="I24" s="38" t="inlineStr">
        <is>
          <t>Pix</t>
        </is>
      </c>
      <c r="J24" s="38" t="n"/>
      <c r="K24" s="37" t="n"/>
      <c r="L24" s="39" t="n">
        <v>30</v>
      </c>
      <c r="M24" s="40" t="n">
        <v>380</v>
      </c>
      <c r="N24" s="30">
        <f>IF(A24="","",MONTH(A24))</f>
        <v>6</v>
      </c>
      <c r="O24" s="30">
        <f>IF(A24="","",YEAR(A24))</f>
        <v>2026</v>
      </c>
      <c r="P24" s="30" t="str">
        <f>IF(A24="","",CHOOSE(WEEKDAY(A24,2),"Segunda","Terça","Quarta","Quinta","Sexta","Sábado","Domingo"))</f>
        <v>Terça</v>
      </c>
      <c r="Q24" s="30" t="str">
        <f>IF(B24="","",IF(B24&lt;TIME(12,0,0),"Manhã",IF(B24&lt;TIME(18,0,0),"Tarde","Noite")))</f>
        <v>Manhã</v>
      </c>
      <c r="R24" s="46">
        <f>IF(AND(H24="Realizado",L24&lt;&gt;"",A24&lt;=Config!$B$9),L24/60,0)</f>
        <v>0.5</v>
      </c>
      <c r="S24" s="45">
        <f>IF(G24="","",IFERROR(INDEX(Config!$K$5:$K$16,MATCH(G24,Config!$J$5:$J$16,0)),""))</f>
        <v>30</v>
      </c>
      <c r="T24" s="31">
        <f>IF(OR(G24="",F24=""),"",IFERROR(INDEX(Config!$M$5:$R$16,MATCH(G24,Config!$J$5:$J$16,0),MATCH(F24,Config!$H$5:$H$10,0)),""))</f>
        <v>380</v>
      </c>
      <c r="U24" s="47">
        <f>IF(AND(H24="Realizado",L24&lt;&gt;""),L24/60,0)</f>
        <v>0.5</v>
      </c>
      <c r="V24" s="47">
        <f>IF(AND(H24="Realizado",OR(L24="",M24="")),1,0)</f>
        <v>0</v>
      </c>
    </row>
    <row r="25">
      <c r="A25" s="43" t="n">
        <v>46175</v>
      </c>
      <c r="B25" s="44" t="n">
        <v>0.4722222222222222</v>
      </c>
      <c r="C25" s="38" t="inlineStr">
        <is>
          <t>Dra. Carolina Mendes</t>
        </is>
      </c>
      <c r="D25" s="38" t="inlineStr">
        <is>
          <t>Sala 1</t>
        </is>
      </c>
      <c r="E25" s="37" t="inlineStr">
        <is>
          <t>Lucas Xavier</t>
        </is>
      </c>
      <c r="F25" s="38" t="inlineStr">
        <is>
          <t>Saúde Total</t>
        </is>
      </c>
      <c r="G25" s="38" t="inlineStr">
        <is>
          <t>Consulta</t>
        </is>
      </c>
      <c r="H25" s="38" t="inlineStr">
        <is>
          <t>Realizado</t>
        </is>
      </c>
      <c r="I25" s="38" t="inlineStr">
        <is>
          <t>Convênio</t>
        </is>
      </c>
      <c r="J25" s="38" t="n"/>
      <c r="K25" s="37" t="n"/>
      <c r="L25" s="39" t="n">
        <v>30</v>
      </c>
      <c r="M25" s="40" t="n">
        <v>120</v>
      </c>
      <c r="N25" s="30">
        <f>IF(A25="","",MONTH(A25))</f>
        <v>6</v>
      </c>
      <c r="O25" s="30">
        <f>IF(A25="","",YEAR(A25))</f>
        <v>2026</v>
      </c>
      <c r="P25" s="30" t="str">
        <f>IF(A25="","",CHOOSE(WEEKDAY(A25,2),"Segunda","Terça","Quarta","Quinta","Sexta","Sábado","Domingo"))</f>
        <v>Terça</v>
      </c>
      <c r="Q25" s="30" t="str">
        <f>IF(B25="","",IF(B25&lt;TIME(12,0,0),"Manhã",IF(B25&lt;TIME(18,0,0),"Tarde","Noite")))</f>
        <v>Manhã</v>
      </c>
      <c r="R25" s="46">
        <f>IF(AND(H25="Realizado",L25&lt;&gt;"",A25&lt;=Config!$B$9),L25/60,0)</f>
        <v>0.5</v>
      </c>
      <c r="S25" s="45">
        <f>IF(G25="","",IFERROR(INDEX(Config!$K$5:$K$16,MATCH(G25,Config!$J$5:$J$16,0)),""))</f>
        <v>30</v>
      </c>
      <c r="T25" s="31">
        <f>IF(OR(G25="",F25=""),"",IFERROR(INDEX(Config!$M$5:$R$16,MATCH(G25,Config!$J$5:$J$16,0),MATCH(F25,Config!$H$5:$H$10,0)),""))</f>
        <v>120</v>
      </c>
      <c r="U25" s="47">
        <f>IF(AND(H25="Realizado",L25&lt;&gt;""),L25/60,0)</f>
        <v>0.5</v>
      </c>
      <c r="V25" s="47">
        <f>IF(AND(H25="Realizado",OR(L25="",M25="")),1,0)</f>
        <v>0</v>
      </c>
    </row>
    <row r="26">
      <c r="A26" s="43" t="n">
        <v>46175</v>
      </c>
      <c r="B26" s="44" t="n">
        <v>0.5833333333333334</v>
      </c>
      <c r="C26" s="38" t="inlineStr">
        <is>
          <t>Dra. Renata Sousa</t>
        </is>
      </c>
      <c r="D26" s="38" t="inlineStr">
        <is>
          <t>Sala 1</t>
        </is>
      </c>
      <c r="E26" s="37" t="inlineStr">
        <is>
          <t>Rafael Nascimento</t>
        </is>
      </c>
      <c r="F26" s="38" t="inlineStr">
        <is>
          <t>Saúde Total</t>
        </is>
      </c>
      <c r="G26" s="38" t="inlineStr">
        <is>
          <t>Avaliação endócrina</t>
        </is>
      </c>
      <c r="H26" s="38" t="inlineStr">
        <is>
          <t>Realizado</t>
        </is>
      </c>
      <c r="I26" s="38" t="inlineStr">
        <is>
          <t>Convênio</t>
        </is>
      </c>
      <c r="J26" s="38" t="n"/>
      <c r="K26" s="37" t="n"/>
      <c r="L26" s="39" t="n">
        <v>40</v>
      </c>
      <c r="M26" s="40" t="n">
        <v>130</v>
      </c>
      <c r="N26" s="30">
        <f>IF(A26="","",MONTH(A26))</f>
        <v>6</v>
      </c>
      <c r="O26" s="30">
        <f>IF(A26="","",YEAR(A26))</f>
        <v>2026</v>
      </c>
      <c r="P26" s="30" t="str">
        <f>IF(A26="","",CHOOSE(WEEKDAY(A26,2),"Segunda","Terça","Quarta","Quinta","Sexta","Sábado","Domingo"))</f>
        <v>Terça</v>
      </c>
      <c r="Q26" s="30" t="str">
        <f>IF(B26="","",IF(B26&lt;TIME(12,0,0),"Manhã",IF(B26&lt;TIME(18,0,0),"Tarde","Noite")))</f>
        <v>Tarde</v>
      </c>
      <c r="R26" s="46">
        <f>IF(AND(H26="Realizado",L26&lt;&gt;"",A26&lt;=Config!$B$9),L26/60,0)</f>
        <v>0.666666666666667</v>
      </c>
      <c r="S26" s="45">
        <f>IF(G26="","",IFERROR(INDEX(Config!$K$5:$K$16,MATCH(G26,Config!$J$5:$J$16,0)),""))</f>
        <v>40</v>
      </c>
      <c r="T26" s="31">
        <f>IF(OR(G26="",F26=""),"",IFERROR(INDEX(Config!$M$5:$R$16,MATCH(G26,Config!$J$5:$J$16,0),MATCH(F26,Config!$H$5:$H$10,0)),""))</f>
        <v>130</v>
      </c>
      <c r="U26" s="47">
        <f>IF(AND(H26="Realizado",L26&lt;&gt;""),L26/60,0)</f>
        <v>0.666666666666667</v>
      </c>
      <c r="V26" s="47">
        <f>IF(AND(H26="Realizado",OR(L26="",M26="")),1,0)</f>
        <v>0</v>
      </c>
    </row>
    <row r="27">
      <c r="A27" s="43" t="n">
        <v>46175</v>
      </c>
      <c r="B27" s="44" t="n">
        <v>0.5833333333333334</v>
      </c>
      <c r="C27" s="38" t="inlineStr">
        <is>
          <t>Dr. Paulo Andrade</t>
        </is>
      </c>
      <c r="D27" s="38" t="inlineStr">
        <is>
          <t>Sala 2</t>
        </is>
      </c>
      <c r="E27" s="37" t="inlineStr">
        <is>
          <t>Sérgio Teixeira</t>
        </is>
      </c>
      <c r="F27" s="38" t="inlineStr">
        <is>
          <t>MediPlan</t>
        </is>
      </c>
      <c r="G27" s="38" t="inlineStr">
        <is>
          <t>Retorno</t>
        </is>
      </c>
      <c r="H27" s="38" t="inlineStr">
        <is>
          <t>Realizado</t>
        </is>
      </c>
      <c r="I27" s="38" t="inlineStr">
        <is>
          <t>Sem cobrança</t>
        </is>
      </c>
      <c r="J27" s="38" t="n"/>
      <c r="K27" s="37" t="n"/>
      <c r="L27" s="39" t="n">
        <v>20</v>
      </c>
      <c r="M27" s="40" t="n">
        <v>0</v>
      </c>
      <c r="N27" s="30">
        <f>IF(A27="","",MONTH(A27))</f>
        <v>6</v>
      </c>
      <c r="O27" s="30">
        <f>IF(A27="","",YEAR(A27))</f>
        <v>2026</v>
      </c>
      <c r="P27" s="30" t="str">
        <f>IF(A27="","",CHOOSE(WEEKDAY(A27,2),"Segunda","Terça","Quarta","Quinta","Sexta","Sábado","Domingo"))</f>
        <v>Terça</v>
      </c>
      <c r="Q27" s="30" t="str">
        <f>IF(B27="","",IF(B27&lt;TIME(12,0,0),"Manhã",IF(B27&lt;TIME(18,0,0),"Tarde","Noite")))</f>
        <v>Tarde</v>
      </c>
      <c r="R27" s="46">
        <f>IF(AND(H27="Realizado",L27&lt;&gt;"",A27&lt;=Config!$B$9),L27/60,0)</f>
        <v>0.333333333333333</v>
      </c>
      <c r="S27" s="45">
        <f>IF(G27="","",IFERROR(INDEX(Config!$K$5:$K$16,MATCH(G27,Config!$J$5:$J$16,0)),""))</f>
        <v>20</v>
      </c>
      <c r="T27" s="31">
        <f>IF(OR(G27="",F27=""),"",IFERROR(INDEX(Config!$M$5:$R$16,MATCH(G27,Config!$J$5:$J$16,0),MATCH(F27,Config!$H$5:$H$10,0)),""))</f>
        <v>0</v>
      </c>
      <c r="U27" s="47">
        <f>IF(AND(H27="Realizado",L27&lt;&gt;""),L27/60,0)</f>
        <v>0.333333333333333</v>
      </c>
      <c r="V27" s="47">
        <f>IF(AND(H27="Realizado",OR(L27="",M27="")),1,0)</f>
        <v>0</v>
      </c>
    </row>
    <row r="28">
      <c r="A28" s="43" t="n">
        <v>46175</v>
      </c>
      <c r="B28" s="44" t="n">
        <v>0.6111111111111112</v>
      </c>
      <c r="C28" s="38" t="inlineStr">
        <is>
          <t>Dra. Renata Sousa</t>
        </is>
      </c>
      <c r="D28" s="38" t="inlineStr">
        <is>
          <t>Sala 1</t>
        </is>
      </c>
      <c r="E28" s="37" t="inlineStr">
        <is>
          <t>Roberta Lima</t>
        </is>
      </c>
      <c r="F28" s="38" t="inlineStr">
        <is>
          <t>Particular</t>
        </is>
      </c>
      <c r="G28" s="38" t="inlineStr">
        <is>
          <t>Retorno</t>
        </is>
      </c>
      <c r="H28" s="38" t="inlineStr">
        <is>
          <t>Realizado</t>
        </is>
      </c>
      <c r="I28" s="38" t="inlineStr">
        <is>
          <t>Sem cobrança</t>
        </is>
      </c>
      <c r="J28" s="38" t="n"/>
      <c r="K28" s="37" t="n"/>
      <c r="L28" s="39" t="n">
        <v>20</v>
      </c>
      <c r="M28" s="40" t="n">
        <v>0</v>
      </c>
      <c r="N28" s="30">
        <f>IF(A28="","",MONTH(A28))</f>
        <v>6</v>
      </c>
      <c r="O28" s="30">
        <f>IF(A28="","",YEAR(A28))</f>
        <v>2026</v>
      </c>
      <c r="P28" s="30" t="str">
        <f>IF(A28="","",CHOOSE(WEEKDAY(A28,2),"Segunda","Terça","Quarta","Quinta","Sexta","Sábado","Domingo"))</f>
        <v>Terça</v>
      </c>
      <c r="Q28" s="30" t="str">
        <f>IF(B28="","",IF(B28&lt;TIME(12,0,0),"Manhã",IF(B28&lt;TIME(18,0,0),"Tarde","Noite")))</f>
        <v>Tarde</v>
      </c>
      <c r="R28" s="46">
        <f>IF(AND(H28="Realizado",L28&lt;&gt;"",A28&lt;=Config!$B$9),L28/60,0)</f>
        <v>0.333333333333333</v>
      </c>
      <c r="S28" s="45">
        <f>IF(G28="","",IFERROR(INDEX(Config!$K$5:$K$16,MATCH(G28,Config!$J$5:$J$16,0)),""))</f>
        <v>20</v>
      </c>
      <c r="T28" s="31">
        <f>IF(OR(G28="",F28=""),"",IFERROR(INDEX(Config!$M$5:$R$16,MATCH(G28,Config!$J$5:$J$16,0),MATCH(F28,Config!$H$5:$H$10,0)),""))</f>
        <v>0</v>
      </c>
      <c r="U28" s="47">
        <f>IF(AND(H28="Realizado",L28&lt;&gt;""),L28/60,0)</f>
        <v>0.333333333333333</v>
      </c>
      <c r="V28" s="47">
        <f>IF(AND(H28="Realizado",OR(L28="",M28="")),1,0)</f>
        <v>0</v>
      </c>
    </row>
    <row r="29">
      <c r="A29" s="43" t="n">
        <v>46175</v>
      </c>
      <c r="B29" s="44" t="n">
        <v>0.625</v>
      </c>
      <c r="C29" s="38" t="inlineStr">
        <is>
          <t>Dra. Renata Sousa</t>
        </is>
      </c>
      <c r="D29" s="38" t="inlineStr">
        <is>
          <t>Sala 1</t>
        </is>
      </c>
      <c r="E29" s="37" t="inlineStr">
        <is>
          <t>Beatriz Monteiro</t>
        </is>
      </c>
      <c r="F29" s="38" t="inlineStr">
        <is>
          <t>Particular</t>
        </is>
      </c>
      <c r="G29" s="38" t="inlineStr">
        <is>
          <t>Retorno</t>
        </is>
      </c>
      <c r="H29" s="38" t="inlineStr">
        <is>
          <t>Realizado</t>
        </is>
      </c>
      <c r="I29" s="38" t="inlineStr">
        <is>
          <t>Sem cobrança</t>
        </is>
      </c>
      <c r="J29" s="38" t="n"/>
      <c r="K29" s="37" t="n"/>
      <c r="L29" s="39" t="n">
        <v>20</v>
      </c>
      <c r="M29" s="40" t="n">
        <v>0</v>
      </c>
      <c r="N29" s="30">
        <f>IF(A29="","",MONTH(A29))</f>
        <v>6</v>
      </c>
      <c r="O29" s="30">
        <f>IF(A29="","",YEAR(A29))</f>
        <v>2026</v>
      </c>
      <c r="P29" s="30" t="str">
        <f>IF(A29="","",CHOOSE(WEEKDAY(A29,2),"Segunda","Terça","Quarta","Quinta","Sexta","Sábado","Domingo"))</f>
        <v>Terça</v>
      </c>
      <c r="Q29" s="30" t="str">
        <f>IF(B29="","",IF(B29&lt;TIME(12,0,0),"Manhã",IF(B29&lt;TIME(18,0,0),"Tarde","Noite")))</f>
        <v>Tarde</v>
      </c>
      <c r="R29" s="46">
        <f>IF(AND(H29="Realizado",L29&lt;&gt;"",A29&lt;=Config!$B$9),L29/60,0)</f>
        <v>0.333333333333333</v>
      </c>
      <c r="S29" s="45">
        <f>IF(G29="","",IFERROR(INDEX(Config!$K$5:$K$16,MATCH(G29,Config!$J$5:$J$16,0)),""))</f>
        <v>20</v>
      </c>
      <c r="T29" s="31">
        <f>IF(OR(G29="",F29=""),"",IFERROR(INDEX(Config!$M$5:$R$16,MATCH(G29,Config!$J$5:$J$16,0),MATCH(F29,Config!$H$5:$H$10,0)),""))</f>
        <v>0</v>
      </c>
      <c r="U29" s="47">
        <f>IF(AND(H29="Realizado",L29&lt;&gt;""),L29/60,0)</f>
        <v>0.333333333333333</v>
      </c>
      <c r="V29" s="47">
        <f>IF(AND(H29="Realizado",OR(L29="",M29="")),1,0)</f>
        <v>0</v>
      </c>
    </row>
    <row r="30">
      <c r="A30" s="43" t="n">
        <v>46175</v>
      </c>
      <c r="B30" s="44" t="n">
        <v>0.6388888888888888</v>
      </c>
      <c r="C30" s="38" t="inlineStr">
        <is>
          <t>Dra. Renata Sousa</t>
        </is>
      </c>
      <c r="D30" s="38" t="inlineStr">
        <is>
          <t>Sala 1</t>
        </is>
      </c>
      <c r="E30" s="37" t="inlineStr">
        <is>
          <t>Eduardo Pereira</t>
        </is>
      </c>
      <c r="F30" s="38" t="inlineStr">
        <is>
          <t>Particular</t>
        </is>
      </c>
      <c r="G30" s="38" t="inlineStr">
        <is>
          <t>Avaliação endócrina</t>
        </is>
      </c>
      <c r="H30" s="38" t="inlineStr">
        <is>
          <t>Realizado</t>
        </is>
      </c>
      <c r="I30" s="38" t="inlineStr">
        <is>
          <t>Pix</t>
        </is>
      </c>
      <c r="J30" s="38" t="n"/>
      <c r="K30" s="37" t="n"/>
      <c r="L30" s="39" t="n">
        <v>40</v>
      </c>
      <c r="M30" s="40" t="n">
        <v>400</v>
      </c>
      <c r="N30" s="30">
        <f>IF(A30="","",MONTH(A30))</f>
        <v>6</v>
      </c>
      <c r="O30" s="30">
        <f>IF(A30="","",YEAR(A30))</f>
        <v>2026</v>
      </c>
      <c r="P30" s="30" t="str">
        <f>IF(A30="","",CHOOSE(WEEKDAY(A30,2),"Segunda","Terça","Quarta","Quinta","Sexta","Sábado","Domingo"))</f>
        <v>Terça</v>
      </c>
      <c r="Q30" s="30" t="str">
        <f>IF(B30="","",IF(B30&lt;TIME(12,0,0),"Manhã",IF(B30&lt;TIME(18,0,0),"Tarde","Noite")))</f>
        <v>Tarde</v>
      </c>
      <c r="R30" s="46">
        <f>IF(AND(H30="Realizado",L30&lt;&gt;"",A30&lt;=Config!$B$9),L30/60,0)</f>
        <v>0.666666666666667</v>
      </c>
      <c r="S30" s="45">
        <f>IF(G30="","",IFERROR(INDEX(Config!$K$5:$K$16,MATCH(G30,Config!$J$5:$J$16,0)),""))</f>
        <v>40</v>
      </c>
      <c r="T30" s="31">
        <f>IF(OR(G30="",F30=""),"",IFERROR(INDEX(Config!$M$5:$R$16,MATCH(G30,Config!$J$5:$J$16,0),MATCH(F30,Config!$H$5:$H$10,0)),""))</f>
        <v>400</v>
      </c>
      <c r="U30" s="47">
        <f>IF(AND(H30="Realizado",L30&lt;&gt;""),L30/60,0)</f>
        <v>0.666666666666667</v>
      </c>
      <c r="V30" s="47">
        <f>IF(AND(H30="Realizado",OR(L30="",M30="")),1,0)</f>
        <v>0</v>
      </c>
    </row>
    <row r="31">
      <c r="A31" s="43" t="n">
        <v>46175</v>
      </c>
      <c r="B31" s="44" t="n">
        <v>0.6388888888888888</v>
      </c>
      <c r="C31" s="38" t="inlineStr">
        <is>
          <t>Dr. Paulo Andrade</t>
        </is>
      </c>
      <c r="D31" s="38" t="inlineStr">
        <is>
          <t>Sala 2</t>
        </is>
      </c>
      <c r="E31" s="37" t="inlineStr">
        <is>
          <t>Wagner Costa</t>
        </is>
      </c>
      <c r="F31" s="38" t="inlineStr">
        <is>
          <t>Particular</t>
        </is>
      </c>
      <c r="G31" s="38" t="inlineStr">
        <is>
          <t>Consulta</t>
        </is>
      </c>
      <c r="H31" s="38" t="inlineStr">
        <is>
          <t>Realizado</t>
        </is>
      </c>
      <c r="I31" s="38" t="inlineStr">
        <is>
          <t>A prazo</t>
        </is>
      </c>
      <c r="J31" s="38" t="n"/>
      <c r="K31" s="37" t="n"/>
      <c r="L31" s="39" t="n">
        <v>30</v>
      </c>
      <c r="M31" s="40" t="n">
        <v>380</v>
      </c>
      <c r="N31" s="30">
        <f>IF(A31="","",MONTH(A31))</f>
        <v>6</v>
      </c>
      <c r="O31" s="30">
        <f>IF(A31="","",YEAR(A31))</f>
        <v>2026</v>
      </c>
      <c r="P31" s="30" t="str">
        <f>IF(A31="","",CHOOSE(WEEKDAY(A31,2),"Segunda","Terça","Quarta","Quinta","Sexta","Sábado","Domingo"))</f>
        <v>Terça</v>
      </c>
      <c r="Q31" s="30" t="str">
        <f>IF(B31="","",IF(B31&lt;TIME(12,0,0),"Manhã",IF(B31&lt;TIME(18,0,0),"Tarde","Noite")))</f>
        <v>Tarde</v>
      </c>
      <c r="R31" s="46">
        <f>IF(AND(H31="Realizado",L31&lt;&gt;"",A31&lt;=Config!$B$9),L31/60,0)</f>
        <v>0.5</v>
      </c>
      <c r="S31" s="45">
        <f>IF(G31="","",IFERROR(INDEX(Config!$K$5:$K$16,MATCH(G31,Config!$J$5:$J$16,0)),""))</f>
        <v>30</v>
      </c>
      <c r="T31" s="31">
        <f>IF(OR(G31="",F31=""),"",IFERROR(INDEX(Config!$M$5:$R$16,MATCH(G31,Config!$J$5:$J$16,0),MATCH(F31,Config!$H$5:$H$10,0)),""))</f>
        <v>380</v>
      </c>
      <c r="U31" s="47">
        <f>IF(AND(H31="Realizado",L31&lt;&gt;""),L31/60,0)</f>
        <v>0.5</v>
      </c>
      <c r="V31" s="47">
        <f>IF(AND(H31="Realizado",OR(L31="",M31="")),1,0)</f>
        <v>0</v>
      </c>
    </row>
    <row r="32">
      <c r="A32" s="43" t="n">
        <v>46175</v>
      </c>
      <c r="B32" s="44" t="n">
        <v>0.6597222222222222</v>
      </c>
      <c r="C32" s="38" t="inlineStr">
        <is>
          <t>Dr. Paulo Andrade</t>
        </is>
      </c>
      <c r="D32" s="38" t="inlineStr">
        <is>
          <t>Sala 2</t>
        </is>
      </c>
      <c r="E32" s="37" t="inlineStr">
        <is>
          <t>Fábio Correia</t>
        </is>
      </c>
      <c r="F32" s="38" t="inlineStr">
        <is>
          <t>Particular</t>
        </is>
      </c>
      <c r="G32" s="38" t="inlineStr">
        <is>
          <t>Retorno</t>
        </is>
      </c>
      <c r="H32" s="38" t="inlineStr">
        <is>
          <t>Realizado</t>
        </is>
      </c>
      <c r="I32" s="38" t="inlineStr">
        <is>
          <t>Sem cobrança</t>
        </is>
      </c>
      <c r="J32" s="38" t="n"/>
      <c r="K32" s="37" t="n"/>
      <c r="L32" s="39" t="n">
        <v>20</v>
      </c>
      <c r="M32" s="40" t="n">
        <v>0</v>
      </c>
      <c r="N32" s="30">
        <f>IF(A32="","",MONTH(A32))</f>
        <v>6</v>
      </c>
      <c r="O32" s="30">
        <f>IF(A32="","",YEAR(A32))</f>
        <v>2026</v>
      </c>
      <c r="P32" s="30" t="str">
        <f>IF(A32="","",CHOOSE(WEEKDAY(A32,2),"Segunda","Terça","Quarta","Quinta","Sexta","Sábado","Domingo"))</f>
        <v>Terça</v>
      </c>
      <c r="Q32" s="30" t="str">
        <f>IF(B32="","",IF(B32&lt;TIME(12,0,0),"Manhã",IF(B32&lt;TIME(18,0,0),"Tarde","Noite")))</f>
        <v>Tarde</v>
      </c>
      <c r="R32" s="46">
        <f>IF(AND(H32="Realizado",L32&lt;&gt;"",A32&lt;=Config!$B$9),L32/60,0)</f>
        <v>0.333333333333333</v>
      </c>
      <c r="S32" s="45">
        <f>IF(G32="","",IFERROR(INDEX(Config!$K$5:$K$16,MATCH(G32,Config!$J$5:$J$16,0)),""))</f>
        <v>20</v>
      </c>
      <c r="T32" s="31">
        <f>IF(OR(G32="",F32=""),"",IFERROR(INDEX(Config!$M$5:$R$16,MATCH(G32,Config!$J$5:$J$16,0),MATCH(F32,Config!$H$5:$H$10,0)),""))</f>
        <v>0</v>
      </c>
      <c r="U32" s="47">
        <f>IF(AND(H32="Realizado",L32&lt;&gt;""),L32/60,0)</f>
        <v>0.333333333333333</v>
      </c>
      <c r="V32" s="47">
        <f>IF(AND(H32="Realizado",OR(L32="",M32="")),1,0)</f>
        <v>0</v>
      </c>
    </row>
    <row r="33">
      <c r="A33" s="43" t="n">
        <v>46175</v>
      </c>
      <c r="B33" s="44" t="n">
        <v>0.6666666666666666</v>
      </c>
      <c r="C33" s="38" t="inlineStr">
        <is>
          <t>Dra. Renata Sousa</t>
        </is>
      </c>
      <c r="D33" s="38" t="inlineStr">
        <is>
          <t>Sala 1</t>
        </is>
      </c>
      <c r="E33" s="37" t="inlineStr">
        <is>
          <t>Rafael Pereira</t>
        </is>
      </c>
      <c r="F33" s="38" t="inlineStr">
        <is>
          <t>Particular</t>
        </is>
      </c>
      <c r="G33" s="38" t="inlineStr">
        <is>
          <t>Avaliação endócrina</t>
        </is>
      </c>
      <c r="H33" s="38" t="inlineStr">
        <is>
          <t>Realizado</t>
        </is>
      </c>
      <c r="I33" s="38" t="inlineStr">
        <is>
          <t>Pix</t>
        </is>
      </c>
      <c r="J33" s="38" t="n"/>
      <c r="K33" s="37" t="n"/>
      <c r="L33" s="39" t="n">
        <v>40</v>
      </c>
      <c r="M33" s="40" t="n">
        <v>400</v>
      </c>
      <c r="N33" s="30">
        <f>IF(A33="","",MONTH(A33))</f>
        <v>6</v>
      </c>
      <c r="O33" s="30">
        <f>IF(A33="","",YEAR(A33))</f>
        <v>2026</v>
      </c>
      <c r="P33" s="30" t="str">
        <f>IF(A33="","",CHOOSE(WEEKDAY(A33,2),"Segunda","Terça","Quarta","Quinta","Sexta","Sábado","Domingo"))</f>
        <v>Terça</v>
      </c>
      <c r="Q33" s="30" t="str">
        <f>IF(B33="","",IF(B33&lt;TIME(12,0,0),"Manhã",IF(B33&lt;TIME(18,0,0),"Tarde","Noite")))</f>
        <v>Tarde</v>
      </c>
      <c r="R33" s="46">
        <f>IF(AND(H33="Realizado",L33&lt;&gt;"",A33&lt;=Config!$B$9),L33/60,0)</f>
        <v>0.666666666666667</v>
      </c>
      <c r="S33" s="45">
        <f>IF(G33="","",IFERROR(INDEX(Config!$K$5:$K$16,MATCH(G33,Config!$J$5:$J$16,0)),""))</f>
        <v>40</v>
      </c>
      <c r="T33" s="31">
        <f>IF(OR(G33="",F33=""),"",IFERROR(INDEX(Config!$M$5:$R$16,MATCH(G33,Config!$J$5:$J$16,0),MATCH(F33,Config!$H$5:$H$10,0)),""))</f>
        <v>400</v>
      </c>
      <c r="U33" s="47">
        <f>IF(AND(H33="Realizado",L33&lt;&gt;""),L33/60,0)</f>
        <v>0.666666666666667</v>
      </c>
      <c r="V33" s="47">
        <f>IF(AND(H33="Realizado",OR(L33="",M33="")),1,0)</f>
        <v>0</v>
      </c>
    </row>
    <row r="34">
      <c r="A34" s="43" t="n">
        <v>46175</v>
      </c>
      <c r="B34" s="44" t="n">
        <v>0.6736111111111112</v>
      </c>
      <c r="C34" s="38" t="inlineStr">
        <is>
          <t>Dr. Paulo Andrade</t>
        </is>
      </c>
      <c r="D34" s="38" t="inlineStr">
        <is>
          <t>Sala 2</t>
        </is>
      </c>
      <c r="E34" s="37" t="inlineStr">
        <is>
          <t>Marcelo Moreira</t>
        </is>
      </c>
      <c r="F34" s="38" t="inlineStr">
        <is>
          <t>Particular</t>
        </is>
      </c>
      <c r="G34" s="38" t="inlineStr">
        <is>
          <t>MAPA</t>
        </is>
      </c>
      <c r="H34" s="38" t="inlineStr">
        <is>
          <t>Realizado</t>
        </is>
      </c>
      <c r="I34" s="38" t="inlineStr">
        <is>
          <t>A prazo</t>
        </is>
      </c>
      <c r="J34" s="38" t="n"/>
      <c r="K34" s="37" t="n"/>
      <c r="L34" s="39" t="n">
        <v>20</v>
      </c>
      <c r="M34" s="40" t="n">
        <v>300</v>
      </c>
      <c r="N34" s="30">
        <f>IF(A34="","",MONTH(A34))</f>
        <v>6</v>
      </c>
      <c r="O34" s="30">
        <f>IF(A34="","",YEAR(A34))</f>
        <v>2026</v>
      </c>
      <c r="P34" s="30" t="str">
        <f>IF(A34="","",CHOOSE(WEEKDAY(A34,2),"Segunda","Terça","Quarta","Quinta","Sexta","Sábado","Domingo"))</f>
        <v>Terça</v>
      </c>
      <c r="Q34" s="30" t="str">
        <f>IF(B34="","",IF(B34&lt;TIME(12,0,0),"Manhã",IF(B34&lt;TIME(18,0,0),"Tarde","Noite")))</f>
        <v>Tarde</v>
      </c>
      <c r="R34" s="46">
        <f>IF(AND(H34="Realizado",L34&lt;&gt;"",A34&lt;=Config!$B$9),L34/60,0)</f>
        <v>0.333333333333333</v>
      </c>
      <c r="S34" s="45">
        <f>IF(G34="","",IFERROR(INDEX(Config!$K$5:$K$16,MATCH(G34,Config!$J$5:$J$16,0)),""))</f>
        <v>20</v>
      </c>
      <c r="T34" s="31">
        <f>IF(OR(G34="",F34=""),"",IFERROR(INDEX(Config!$M$5:$R$16,MATCH(G34,Config!$J$5:$J$16,0),MATCH(F34,Config!$H$5:$H$10,0)),""))</f>
        <v>300</v>
      </c>
      <c r="U34" s="47">
        <f>IF(AND(H34="Realizado",L34&lt;&gt;""),L34/60,0)</f>
        <v>0.333333333333333</v>
      </c>
      <c r="V34" s="47">
        <f>IF(AND(H34="Realizado",OR(L34="",M34="")),1,0)</f>
        <v>0</v>
      </c>
    </row>
    <row r="35">
      <c r="A35" s="43" t="n">
        <v>46175</v>
      </c>
      <c r="B35" s="44" t="n">
        <v>0.6875</v>
      </c>
      <c r="C35" s="38" t="inlineStr">
        <is>
          <t>Dr. Paulo Andrade</t>
        </is>
      </c>
      <c r="D35" s="38" t="inlineStr">
        <is>
          <t>Sala 2</t>
        </is>
      </c>
      <c r="E35" s="37" t="inlineStr">
        <is>
          <t>Leandro Cardoso</t>
        </is>
      </c>
      <c r="F35" s="38" t="inlineStr">
        <is>
          <t>MediPlan</t>
        </is>
      </c>
      <c r="G35" s="38" t="inlineStr">
        <is>
          <t>Consulta</t>
        </is>
      </c>
      <c r="H35" s="38" t="inlineStr">
        <is>
          <t>Realizado</t>
        </is>
      </c>
      <c r="I35" s="38" t="inlineStr">
        <is>
          <t>Convênio</t>
        </is>
      </c>
      <c r="J35" s="38" t="n"/>
      <c r="K35" s="37" t="n"/>
      <c r="L35" s="39" t="n">
        <v>30</v>
      </c>
      <c r="M35" s="40" t="n">
        <v>100</v>
      </c>
      <c r="N35" s="30">
        <f>IF(A35="","",MONTH(A35))</f>
        <v>6</v>
      </c>
      <c r="O35" s="30">
        <f>IF(A35="","",YEAR(A35))</f>
        <v>2026</v>
      </c>
      <c r="P35" s="30" t="str">
        <f>IF(A35="","",CHOOSE(WEEKDAY(A35,2),"Segunda","Terça","Quarta","Quinta","Sexta","Sábado","Domingo"))</f>
        <v>Terça</v>
      </c>
      <c r="Q35" s="30" t="str">
        <f>IF(B35="","",IF(B35&lt;TIME(12,0,0),"Manhã",IF(B35&lt;TIME(18,0,0),"Tarde","Noite")))</f>
        <v>Tarde</v>
      </c>
      <c r="R35" s="46">
        <f>IF(AND(H35="Realizado",L35&lt;&gt;"",A35&lt;=Config!$B$9),L35/60,0)</f>
        <v>0.5</v>
      </c>
      <c r="S35" s="45">
        <f>IF(G35="","",IFERROR(INDEX(Config!$K$5:$K$16,MATCH(G35,Config!$J$5:$J$16,0)),""))</f>
        <v>30</v>
      </c>
      <c r="T35" s="31">
        <f>IF(OR(G35="",F35=""),"",IFERROR(INDEX(Config!$M$5:$R$16,MATCH(G35,Config!$J$5:$J$16,0),MATCH(F35,Config!$H$5:$H$10,0)),""))</f>
        <v>100</v>
      </c>
      <c r="U35" s="47">
        <f>IF(AND(H35="Realizado",L35&lt;&gt;""),L35/60,0)</f>
        <v>0.5</v>
      </c>
      <c r="V35" s="47">
        <f>IF(AND(H35="Realizado",OR(L35="",M35="")),1,0)</f>
        <v>0</v>
      </c>
    </row>
    <row r="36">
      <c r="A36" s="43" t="n">
        <v>46175</v>
      </c>
      <c r="B36" s="44" t="n">
        <v>0.7083333333333334</v>
      </c>
      <c r="C36" s="38" t="inlineStr">
        <is>
          <t>Dr. Paulo Andrade</t>
        </is>
      </c>
      <c r="D36" s="38" t="inlineStr">
        <is>
          <t>Sala 2</t>
        </is>
      </c>
      <c r="E36" s="37" t="inlineStr">
        <is>
          <t>Elaine Cardoso</t>
        </is>
      </c>
      <c r="F36" s="38" t="inlineStr">
        <is>
          <t>Particular</t>
        </is>
      </c>
      <c r="G36" s="38" t="inlineStr">
        <is>
          <t>Teste ergométrico</t>
        </is>
      </c>
      <c r="H36" s="38" t="inlineStr">
        <is>
          <t>Realizado</t>
        </is>
      </c>
      <c r="I36" s="38" t="inlineStr">
        <is>
          <t>Cartão de crédito</t>
        </is>
      </c>
      <c r="J36" s="38" t="n">
        <v>2</v>
      </c>
      <c r="K36" s="37" t="n"/>
      <c r="L36" s="39" t="n">
        <v>40</v>
      </c>
      <c r="M36" s="40" t="n">
        <v>450</v>
      </c>
      <c r="N36" s="30">
        <f>IF(A36="","",MONTH(A36))</f>
        <v>6</v>
      </c>
      <c r="O36" s="30">
        <f>IF(A36="","",YEAR(A36))</f>
        <v>2026</v>
      </c>
      <c r="P36" s="30" t="str">
        <f>IF(A36="","",CHOOSE(WEEKDAY(A36,2),"Segunda","Terça","Quarta","Quinta","Sexta","Sábado","Domingo"))</f>
        <v>Terça</v>
      </c>
      <c r="Q36" s="30" t="str">
        <f>IF(B36="","",IF(B36&lt;TIME(12,0,0),"Manhã",IF(B36&lt;TIME(18,0,0),"Tarde","Noite")))</f>
        <v>Tarde</v>
      </c>
      <c r="R36" s="46">
        <f>IF(AND(H36="Realizado",L36&lt;&gt;"",A36&lt;=Config!$B$9),L36/60,0)</f>
        <v>0.666666666666667</v>
      </c>
      <c r="S36" s="45">
        <f>IF(G36="","",IFERROR(INDEX(Config!$K$5:$K$16,MATCH(G36,Config!$J$5:$J$16,0)),""))</f>
        <v>40</v>
      </c>
      <c r="T36" s="31">
        <f>IF(OR(G36="",F36=""),"",IFERROR(INDEX(Config!$M$5:$R$16,MATCH(G36,Config!$J$5:$J$16,0),MATCH(F36,Config!$H$5:$H$10,0)),""))</f>
        <v>450</v>
      </c>
      <c r="U36" s="47">
        <f>IF(AND(H36="Realizado",L36&lt;&gt;""),L36/60,0)</f>
        <v>0.666666666666667</v>
      </c>
      <c r="V36" s="47">
        <f>IF(AND(H36="Realizado",OR(L36="",M36="")),1,0)</f>
        <v>0</v>
      </c>
    </row>
    <row r="37">
      <c r="A37" s="43" t="n">
        <v>46175</v>
      </c>
      <c r="B37" s="44" t="n">
        <v>0.7152777777777778</v>
      </c>
      <c r="C37" s="38" t="inlineStr">
        <is>
          <t>Dra. Renata Sousa</t>
        </is>
      </c>
      <c r="D37" s="38" t="inlineStr">
        <is>
          <t>Sala 1</t>
        </is>
      </c>
      <c r="E37" s="37" t="inlineStr">
        <is>
          <t>Gisele Lopes</t>
        </is>
      </c>
      <c r="F37" s="38" t="inlineStr">
        <is>
          <t>Saúde Total</t>
        </is>
      </c>
      <c r="G37" s="38" t="inlineStr">
        <is>
          <t>Avaliação endócrina</t>
        </is>
      </c>
      <c r="H37" s="38" t="inlineStr">
        <is>
          <t>Realizado</t>
        </is>
      </c>
      <c r="I37" s="38" t="inlineStr">
        <is>
          <t>Convênio</t>
        </is>
      </c>
      <c r="J37" s="38" t="n"/>
      <c r="K37" s="37" t="n"/>
      <c r="L37" s="39" t="n">
        <v>40</v>
      </c>
      <c r="M37" s="40" t="n">
        <v>130</v>
      </c>
      <c r="N37" s="30">
        <f>IF(A37="","",MONTH(A37))</f>
        <v>6</v>
      </c>
      <c r="O37" s="30">
        <f>IF(A37="","",YEAR(A37))</f>
        <v>2026</v>
      </c>
      <c r="P37" s="30" t="str">
        <f>IF(A37="","",CHOOSE(WEEKDAY(A37,2),"Segunda","Terça","Quarta","Quinta","Sexta","Sábado","Domingo"))</f>
        <v>Terça</v>
      </c>
      <c r="Q37" s="30" t="str">
        <f>IF(B37="","",IF(B37&lt;TIME(12,0,0),"Manhã",IF(B37&lt;TIME(18,0,0),"Tarde","Noite")))</f>
        <v>Tarde</v>
      </c>
      <c r="R37" s="46">
        <f>IF(AND(H37="Realizado",L37&lt;&gt;"",A37&lt;=Config!$B$9),L37/60,0)</f>
        <v>0.666666666666667</v>
      </c>
      <c r="S37" s="45">
        <f>IF(G37="","",IFERROR(INDEX(Config!$K$5:$K$16,MATCH(G37,Config!$J$5:$J$16,0)),""))</f>
        <v>40</v>
      </c>
      <c r="T37" s="31">
        <f>IF(OR(G37="",F37=""),"",IFERROR(INDEX(Config!$M$5:$R$16,MATCH(G37,Config!$J$5:$J$16,0),MATCH(F37,Config!$H$5:$H$10,0)),""))</f>
        <v>130</v>
      </c>
      <c r="U37" s="47">
        <f>IF(AND(H37="Realizado",L37&lt;&gt;""),L37/60,0)</f>
        <v>0.666666666666667</v>
      </c>
      <c r="V37" s="47">
        <f>IF(AND(H37="Realizado",OR(L37="",M37="")),1,0)</f>
        <v>0</v>
      </c>
    </row>
    <row r="38">
      <c r="A38" s="43" t="n">
        <v>46175</v>
      </c>
      <c r="B38" s="44" t="n">
        <v>0.7361111111111112</v>
      </c>
      <c r="C38" s="38" t="inlineStr">
        <is>
          <t>Dr. Paulo Andrade</t>
        </is>
      </c>
      <c r="D38" s="38" t="inlineStr">
        <is>
          <t>Sala 2</t>
        </is>
      </c>
      <c r="E38" s="37" t="inlineStr">
        <is>
          <t>Camila Batista</t>
        </is>
      </c>
      <c r="F38" s="38" t="inlineStr">
        <is>
          <t>MediPlan</t>
        </is>
      </c>
      <c r="G38" s="38" t="inlineStr">
        <is>
          <t>ECG</t>
        </is>
      </c>
      <c r="H38" s="38" t="inlineStr">
        <is>
          <t>Realizado</t>
        </is>
      </c>
      <c r="I38" s="38" t="inlineStr">
        <is>
          <t>Convênio</t>
        </is>
      </c>
      <c r="J38" s="38" t="n"/>
      <c r="K38" s="37" t="n"/>
      <c r="L38" s="39" t="n">
        <v>20</v>
      </c>
      <c r="M38" s="40" t="n">
        <v>35</v>
      </c>
      <c r="N38" s="30">
        <f>IF(A38="","",MONTH(A38))</f>
        <v>6</v>
      </c>
      <c r="O38" s="30">
        <f>IF(A38="","",YEAR(A38))</f>
        <v>2026</v>
      </c>
      <c r="P38" s="30" t="str">
        <f>IF(A38="","",CHOOSE(WEEKDAY(A38,2),"Segunda","Terça","Quarta","Quinta","Sexta","Sábado","Domingo"))</f>
        <v>Terça</v>
      </c>
      <c r="Q38" s="30" t="str">
        <f>IF(B38="","",IF(B38&lt;TIME(12,0,0),"Manhã",IF(B38&lt;TIME(18,0,0),"Tarde","Noite")))</f>
        <v>Tarde</v>
      </c>
      <c r="R38" s="46">
        <f>IF(AND(H38="Realizado",L38&lt;&gt;"",A38&lt;=Config!$B$9),L38/60,0)</f>
        <v>0.333333333333333</v>
      </c>
      <c r="S38" s="45">
        <f>IF(G38="","",IFERROR(INDEX(Config!$K$5:$K$16,MATCH(G38,Config!$J$5:$J$16,0)),""))</f>
        <v>20</v>
      </c>
      <c r="T38" s="31">
        <f>IF(OR(G38="",F38=""),"",IFERROR(INDEX(Config!$M$5:$R$16,MATCH(G38,Config!$J$5:$J$16,0),MATCH(F38,Config!$H$5:$H$10,0)),""))</f>
        <v>35</v>
      </c>
      <c r="U38" s="47">
        <f>IF(AND(H38="Realizado",L38&lt;&gt;""),L38/60,0)</f>
        <v>0.333333333333333</v>
      </c>
      <c r="V38" s="47">
        <f>IF(AND(H38="Realizado",OR(L38="",M38="")),1,0)</f>
        <v>0</v>
      </c>
    </row>
    <row r="39">
      <c r="A39" s="43" t="n">
        <v>46176</v>
      </c>
      <c r="B39" s="44" t="n">
        <v>0.5833333333333334</v>
      </c>
      <c r="C39" s="38" t="inlineStr">
        <is>
          <t>Dra. Carolina Mendes</t>
        </is>
      </c>
      <c r="D39" s="38" t="inlineStr">
        <is>
          <t>Sala 1</t>
        </is>
      </c>
      <c r="E39" s="37" t="inlineStr">
        <is>
          <t>Leandro Gomes</t>
        </is>
      </c>
      <c r="F39" s="38" t="inlineStr">
        <is>
          <t>Saúde Total</t>
        </is>
      </c>
      <c r="G39" s="38" t="inlineStr">
        <is>
          <t>Consulta</t>
        </is>
      </c>
      <c r="H39" s="38" t="inlineStr">
        <is>
          <t>Falta</t>
        </is>
      </c>
      <c r="I39" s="38" t="n"/>
      <c r="J39" s="38" t="n"/>
      <c r="K39" s="37" t="n"/>
      <c r="L39" s="39" t="n">
        <v>30</v>
      </c>
      <c r="M39" s="40" t="n">
        <v>120</v>
      </c>
      <c r="N39" s="30">
        <f>IF(A39="","",MONTH(A39))</f>
        <v>6</v>
      </c>
      <c r="O39" s="30">
        <f>IF(A39="","",YEAR(A39))</f>
        <v>2026</v>
      </c>
      <c r="P39" s="30" t="str">
        <f>IF(A39="","",CHOOSE(WEEKDAY(A39,2),"Segunda","Terça","Quarta","Quinta","Sexta","Sábado","Domingo"))</f>
        <v>Quarta</v>
      </c>
      <c r="Q39" s="30" t="str">
        <f>IF(B39="","",IF(B39&lt;TIME(12,0,0),"Manhã",IF(B39&lt;TIME(18,0,0),"Tarde","Noite")))</f>
        <v>Tarde</v>
      </c>
      <c r="R39" s="46">
        <f>IF(AND(H39="Realizado",L39&lt;&gt;"",A39&lt;=Config!$B$9),L39/60,0)</f>
        <v>0</v>
      </c>
      <c r="S39" s="45">
        <f>IF(G39="","",IFERROR(INDEX(Config!$K$5:$K$16,MATCH(G39,Config!$J$5:$J$16,0)),""))</f>
        <v>30</v>
      </c>
      <c r="T39" s="31">
        <f>IF(OR(G39="",F39=""),"",IFERROR(INDEX(Config!$M$5:$R$16,MATCH(G39,Config!$J$5:$J$16,0),MATCH(F39,Config!$H$5:$H$10,0)),""))</f>
        <v>120</v>
      </c>
      <c r="U39" s="47">
        <f>IF(AND(H39="Realizado",L39&lt;&gt;""),L39/60,0)</f>
        <v>0</v>
      </c>
      <c r="V39" s="47">
        <f>IF(AND(H39="Realizado",OR(L39="",M39="")),1,0)</f>
        <v>0</v>
      </c>
    </row>
    <row r="40">
      <c r="A40" s="43" t="n">
        <v>46176</v>
      </c>
      <c r="B40" s="44" t="n">
        <v>0.6041666666666666</v>
      </c>
      <c r="C40" s="38" t="inlineStr">
        <is>
          <t>Dra. Carolina Mendes</t>
        </is>
      </c>
      <c r="D40" s="38" t="inlineStr">
        <is>
          <t>Sala 1</t>
        </is>
      </c>
      <c r="E40" s="37" t="inlineStr">
        <is>
          <t>Fernanda Freitas</t>
        </is>
      </c>
      <c r="F40" s="38" t="inlineStr">
        <is>
          <t>Particular</t>
        </is>
      </c>
      <c r="G40" s="38" t="inlineStr">
        <is>
          <t>Retorno</t>
        </is>
      </c>
      <c r="H40" s="38" t="inlineStr">
        <is>
          <t>Realizado</t>
        </is>
      </c>
      <c r="I40" s="38" t="inlineStr">
        <is>
          <t>Sem cobrança</t>
        </is>
      </c>
      <c r="J40" s="38" t="n"/>
      <c r="K40" s="37" t="n"/>
      <c r="L40" s="39" t="n">
        <v>20</v>
      </c>
      <c r="M40" s="40" t="n">
        <v>0</v>
      </c>
      <c r="N40" s="30">
        <f>IF(A40="","",MONTH(A40))</f>
        <v>6</v>
      </c>
      <c r="O40" s="30">
        <f>IF(A40="","",YEAR(A40))</f>
        <v>2026</v>
      </c>
      <c r="P40" s="30" t="str">
        <f>IF(A40="","",CHOOSE(WEEKDAY(A40,2),"Segunda","Terça","Quarta","Quinta","Sexta","Sábado","Domingo"))</f>
        <v>Quarta</v>
      </c>
      <c r="Q40" s="30" t="str">
        <f>IF(B40="","",IF(B40&lt;TIME(12,0,0),"Manhã",IF(B40&lt;TIME(18,0,0),"Tarde","Noite")))</f>
        <v>Tarde</v>
      </c>
      <c r="R40" s="46">
        <f>IF(AND(H40="Realizado",L40&lt;&gt;"",A40&lt;=Config!$B$9),L40/60,0)</f>
        <v>0.333333333333333</v>
      </c>
      <c r="S40" s="45">
        <f>IF(G40="","",IFERROR(INDEX(Config!$K$5:$K$16,MATCH(G40,Config!$J$5:$J$16,0)),""))</f>
        <v>20</v>
      </c>
      <c r="T40" s="31">
        <f>IF(OR(G40="",F40=""),"",IFERROR(INDEX(Config!$M$5:$R$16,MATCH(G40,Config!$J$5:$J$16,0),MATCH(F40,Config!$H$5:$H$10,0)),""))</f>
        <v>0</v>
      </c>
      <c r="U40" s="47">
        <f>IF(AND(H40="Realizado",L40&lt;&gt;""),L40/60,0)</f>
        <v>0.333333333333333</v>
      </c>
      <c r="V40" s="47">
        <f>IF(AND(H40="Realizado",OR(L40="",M40="")),1,0)</f>
        <v>0</v>
      </c>
    </row>
    <row r="41">
      <c r="A41" s="43" t="n">
        <v>46176</v>
      </c>
      <c r="B41" s="44" t="n">
        <v>0.6180555555555556</v>
      </c>
      <c r="C41" s="38" t="inlineStr">
        <is>
          <t>Dra. Carolina Mendes</t>
        </is>
      </c>
      <c r="D41" s="38" t="inlineStr">
        <is>
          <t>Sala 1</t>
        </is>
      </c>
      <c r="E41" s="37" t="inlineStr">
        <is>
          <t>Ana Costa</t>
        </is>
      </c>
      <c r="F41" s="38" t="inlineStr">
        <is>
          <t>Particular</t>
        </is>
      </c>
      <c r="G41" s="38" t="inlineStr">
        <is>
          <t>Consulta</t>
        </is>
      </c>
      <c r="H41" s="38" t="inlineStr">
        <is>
          <t>Realizado</t>
        </is>
      </c>
      <c r="I41" s="38" t="inlineStr">
        <is>
          <t>A prazo</t>
        </is>
      </c>
      <c r="J41" s="38" t="n"/>
      <c r="K41" s="37" t="n"/>
      <c r="L41" s="39" t="n">
        <v>30</v>
      </c>
      <c r="M41" s="40" t="n">
        <v>380</v>
      </c>
      <c r="N41" s="30">
        <f>IF(A41="","",MONTH(A41))</f>
        <v>6</v>
      </c>
      <c r="O41" s="30">
        <f>IF(A41="","",YEAR(A41))</f>
        <v>2026</v>
      </c>
      <c r="P41" s="30" t="str">
        <f>IF(A41="","",CHOOSE(WEEKDAY(A41,2),"Segunda","Terça","Quarta","Quinta","Sexta","Sábado","Domingo"))</f>
        <v>Quarta</v>
      </c>
      <c r="Q41" s="30" t="str">
        <f>IF(B41="","",IF(B41&lt;TIME(12,0,0),"Manhã",IF(B41&lt;TIME(18,0,0),"Tarde","Noite")))</f>
        <v>Tarde</v>
      </c>
      <c r="R41" s="46">
        <f>IF(AND(H41="Realizado",L41&lt;&gt;"",A41&lt;=Config!$B$9),L41/60,0)</f>
        <v>0.5</v>
      </c>
      <c r="S41" s="45">
        <f>IF(G41="","",IFERROR(INDEX(Config!$K$5:$K$16,MATCH(G41,Config!$J$5:$J$16,0)),""))</f>
        <v>30</v>
      </c>
      <c r="T41" s="31">
        <f>IF(OR(G41="",F41=""),"",IFERROR(INDEX(Config!$M$5:$R$16,MATCH(G41,Config!$J$5:$J$16,0),MATCH(F41,Config!$H$5:$H$10,0)),""))</f>
        <v>380</v>
      </c>
      <c r="U41" s="47">
        <f>IF(AND(H41="Realizado",L41&lt;&gt;""),L41/60,0)</f>
        <v>0.5</v>
      </c>
      <c r="V41" s="47">
        <f>IF(AND(H41="Realizado",OR(L41="",M41="")),1,0)</f>
        <v>0</v>
      </c>
    </row>
    <row r="42">
      <c r="A42" s="43" t="n">
        <v>46176</v>
      </c>
      <c r="B42" s="44" t="n">
        <v>0.6597222222222222</v>
      </c>
      <c r="C42" s="38" t="inlineStr">
        <is>
          <t>Dra. Carolina Mendes</t>
        </is>
      </c>
      <c r="D42" s="38" t="inlineStr">
        <is>
          <t>Sala 1</t>
        </is>
      </c>
      <c r="E42" s="37" t="inlineStr">
        <is>
          <t>Priscila Carvalho</t>
        </is>
      </c>
      <c r="F42" s="38" t="inlineStr">
        <is>
          <t>Vida Care</t>
        </is>
      </c>
      <c r="G42" s="38" t="inlineStr">
        <is>
          <t>Consulta</t>
        </is>
      </c>
      <c r="H42" s="38" t="inlineStr">
        <is>
          <t>Realizado</t>
        </is>
      </c>
      <c r="I42" s="38" t="inlineStr">
        <is>
          <t>Convênio</t>
        </is>
      </c>
      <c r="J42" s="38" t="n"/>
      <c r="K42" s="37" t="n"/>
      <c r="L42" s="39" t="n">
        <v>30</v>
      </c>
      <c r="M42" s="40" t="n">
        <v>90</v>
      </c>
      <c r="N42" s="30">
        <f>IF(A42="","",MONTH(A42))</f>
        <v>6</v>
      </c>
      <c r="O42" s="30">
        <f>IF(A42="","",YEAR(A42))</f>
        <v>2026</v>
      </c>
      <c r="P42" s="30" t="str">
        <f>IF(A42="","",CHOOSE(WEEKDAY(A42,2),"Segunda","Terça","Quarta","Quinta","Sexta","Sábado","Domingo"))</f>
        <v>Quarta</v>
      </c>
      <c r="Q42" s="30" t="str">
        <f>IF(B42="","",IF(B42&lt;TIME(12,0,0),"Manhã",IF(B42&lt;TIME(18,0,0),"Tarde","Noite")))</f>
        <v>Tarde</v>
      </c>
      <c r="R42" s="46">
        <f>IF(AND(H42="Realizado",L42&lt;&gt;"",A42&lt;=Config!$B$9),L42/60,0)</f>
        <v>0.5</v>
      </c>
      <c r="S42" s="45">
        <f>IF(G42="","",IFERROR(INDEX(Config!$K$5:$K$16,MATCH(G42,Config!$J$5:$J$16,0)),""))</f>
        <v>30</v>
      </c>
      <c r="T42" s="31">
        <f>IF(OR(G42="",F42=""),"",IFERROR(INDEX(Config!$M$5:$R$16,MATCH(G42,Config!$J$5:$J$16,0),MATCH(F42,Config!$H$5:$H$10,0)),""))</f>
        <v>90</v>
      </c>
      <c r="U42" s="47">
        <f>IF(AND(H42="Realizado",L42&lt;&gt;""),L42/60,0)</f>
        <v>0.5</v>
      </c>
      <c r="V42" s="47">
        <f>IF(AND(H42="Realizado",OR(L42="",M42="")),1,0)</f>
        <v>0</v>
      </c>
    </row>
    <row r="43">
      <c r="A43" s="43" t="n">
        <v>46176</v>
      </c>
      <c r="B43" s="44" t="n">
        <v>0.6805555555555556</v>
      </c>
      <c r="C43" s="38" t="inlineStr">
        <is>
          <t>Dra. Carolina Mendes</t>
        </is>
      </c>
      <c r="D43" s="38" t="inlineStr">
        <is>
          <t>Sala 1</t>
        </is>
      </c>
      <c r="E43" s="37" t="inlineStr">
        <is>
          <t>Lucas Lopes</t>
        </is>
      </c>
      <c r="F43" s="38" t="inlineStr">
        <is>
          <t>Particular</t>
        </is>
      </c>
      <c r="G43" s="38" t="inlineStr">
        <is>
          <t>Consulta</t>
        </is>
      </c>
      <c r="H43" s="38" t="inlineStr">
        <is>
          <t>Realizado</t>
        </is>
      </c>
      <c r="I43" s="38" t="inlineStr">
        <is>
          <t>Cartão de crédito</t>
        </is>
      </c>
      <c r="J43" s="38" t="n"/>
      <c r="K43" s="37" t="n"/>
      <c r="L43" s="39" t="n">
        <v>30</v>
      </c>
      <c r="M43" s="40" t="n">
        <v>380</v>
      </c>
      <c r="N43" s="30">
        <f>IF(A43="","",MONTH(A43))</f>
        <v>6</v>
      </c>
      <c r="O43" s="30">
        <f>IF(A43="","",YEAR(A43))</f>
        <v>2026</v>
      </c>
      <c r="P43" s="30" t="str">
        <f>IF(A43="","",CHOOSE(WEEKDAY(A43,2),"Segunda","Terça","Quarta","Quinta","Sexta","Sábado","Domingo"))</f>
        <v>Quarta</v>
      </c>
      <c r="Q43" s="30" t="str">
        <f>IF(B43="","",IF(B43&lt;TIME(12,0,0),"Manhã",IF(B43&lt;TIME(18,0,0),"Tarde","Noite")))</f>
        <v>Tarde</v>
      </c>
      <c r="R43" s="46">
        <f>IF(AND(H43="Realizado",L43&lt;&gt;"",A43&lt;=Config!$B$9),L43/60,0)</f>
        <v>0.5</v>
      </c>
      <c r="S43" s="45">
        <f>IF(G43="","",IFERROR(INDEX(Config!$K$5:$K$16,MATCH(G43,Config!$J$5:$J$16,0)),""))</f>
        <v>30</v>
      </c>
      <c r="T43" s="31">
        <f>IF(OR(G43="",F43=""),"",IFERROR(INDEX(Config!$M$5:$R$16,MATCH(G43,Config!$J$5:$J$16,0),MATCH(F43,Config!$H$5:$H$10,0)),""))</f>
        <v>380</v>
      </c>
      <c r="U43" s="47">
        <f>IF(AND(H43="Realizado",L43&lt;&gt;""),L43/60,0)</f>
        <v>0.5</v>
      </c>
      <c r="V43" s="47">
        <f>IF(AND(H43="Realizado",OR(L43="",M43="")),1,0)</f>
        <v>0</v>
      </c>
    </row>
    <row r="44">
      <c r="A44" s="43" t="n">
        <v>46176</v>
      </c>
      <c r="B44" s="44" t="n">
        <v>0.7013888888888888</v>
      </c>
      <c r="C44" s="38" t="inlineStr">
        <is>
          <t>Dra. Carolina Mendes</t>
        </is>
      </c>
      <c r="D44" s="38" t="inlineStr">
        <is>
          <t>Sala 1</t>
        </is>
      </c>
      <c r="E44" s="37" t="inlineStr">
        <is>
          <t>Helena Moreira</t>
        </is>
      </c>
      <c r="F44" s="38" t="inlineStr">
        <is>
          <t>Particular</t>
        </is>
      </c>
      <c r="G44" s="38" t="inlineStr">
        <is>
          <t>Consulta</t>
        </is>
      </c>
      <c r="H44" s="38" t="inlineStr">
        <is>
          <t>Realizado</t>
        </is>
      </c>
      <c r="I44" s="38" t="inlineStr">
        <is>
          <t>Pix</t>
        </is>
      </c>
      <c r="J44" s="38" t="n"/>
      <c r="K44" s="37" t="n"/>
      <c r="L44" s="39" t="n">
        <v>30</v>
      </c>
      <c r="M44" s="40" t="n">
        <v>380</v>
      </c>
      <c r="N44" s="30">
        <f>IF(A44="","",MONTH(A44))</f>
        <v>6</v>
      </c>
      <c r="O44" s="30">
        <f>IF(A44="","",YEAR(A44))</f>
        <v>2026</v>
      </c>
      <c r="P44" s="30" t="str">
        <f>IF(A44="","",CHOOSE(WEEKDAY(A44,2),"Segunda","Terça","Quarta","Quinta","Sexta","Sábado","Domingo"))</f>
        <v>Quarta</v>
      </c>
      <c r="Q44" s="30" t="str">
        <f>IF(B44="","",IF(B44&lt;TIME(12,0,0),"Manhã",IF(B44&lt;TIME(18,0,0),"Tarde","Noite")))</f>
        <v>Tarde</v>
      </c>
      <c r="R44" s="46">
        <f>IF(AND(H44="Realizado",L44&lt;&gt;"",A44&lt;=Config!$B$9),L44/60,0)</f>
        <v>0.5</v>
      </c>
      <c r="S44" s="45">
        <f>IF(G44="","",IFERROR(INDEX(Config!$K$5:$K$16,MATCH(G44,Config!$J$5:$J$16,0)),""))</f>
        <v>30</v>
      </c>
      <c r="T44" s="31">
        <f>IF(OR(G44="",F44=""),"",IFERROR(INDEX(Config!$M$5:$R$16,MATCH(G44,Config!$J$5:$J$16,0),MATCH(F44,Config!$H$5:$H$10,0)),""))</f>
        <v>380</v>
      </c>
      <c r="U44" s="47">
        <f>IF(AND(H44="Realizado",L44&lt;&gt;""),L44/60,0)</f>
        <v>0.5</v>
      </c>
      <c r="V44" s="47">
        <f>IF(AND(H44="Realizado",OR(L44="",M44="")),1,0)</f>
        <v>0</v>
      </c>
    </row>
    <row r="45">
      <c r="A45" s="43" t="n">
        <v>46176</v>
      </c>
      <c r="B45" s="44" t="n">
        <v>0.7222222222222222</v>
      </c>
      <c r="C45" s="38" t="inlineStr">
        <is>
          <t>Dra. Carolina Mendes</t>
        </is>
      </c>
      <c r="D45" s="38" t="inlineStr">
        <is>
          <t>Sala 1</t>
        </is>
      </c>
      <c r="E45" s="37" t="inlineStr">
        <is>
          <t>Mônica Batista</t>
        </is>
      </c>
      <c r="F45" s="38" t="inlineStr">
        <is>
          <t>MediPlan</t>
        </is>
      </c>
      <c r="G45" s="38" t="inlineStr">
        <is>
          <t>Consulta</t>
        </is>
      </c>
      <c r="H45" s="38" t="inlineStr">
        <is>
          <t>Falta</t>
        </is>
      </c>
      <c r="I45" s="38" t="n"/>
      <c r="J45" s="38" t="n"/>
      <c r="K45" s="37" t="n"/>
      <c r="L45" s="39" t="n">
        <v>30</v>
      </c>
      <c r="M45" s="40" t="n">
        <v>100</v>
      </c>
      <c r="N45" s="30">
        <f>IF(A45="","",MONTH(A45))</f>
        <v>6</v>
      </c>
      <c r="O45" s="30">
        <f>IF(A45="","",YEAR(A45))</f>
        <v>2026</v>
      </c>
      <c r="P45" s="30" t="str">
        <f>IF(A45="","",CHOOSE(WEEKDAY(A45,2),"Segunda","Terça","Quarta","Quinta","Sexta","Sábado","Domingo"))</f>
        <v>Quarta</v>
      </c>
      <c r="Q45" s="30" t="str">
        <f>IF(B45="","",IF(B45&lt;TIME(12,0,0),"Manhã",IF(B45&lt;TIME(18,0,0),"Tarde","Noite")))</f>
        <v>Tarde</v>
      </c>
      <c r="R45" s="46">
        <f>IF(AND(H45="Realizado",L45&lt;&gt;"",A45&lt;=Config!$B$9),L45/60,0)</f>
        <v>0</v>
      </c>
      <c r="S45" s="45">
        <f>IF(G45="","",IFERROR(INDEX(Config!$K$5:$K$16,MATCH(G45,Config!$J$5:$J$16,0)),""))</f>
        <v>30</v>
      </c>
      <c r="T45" s="31">
        <f>IF(OR(G45="",F45=""),"",IFERROR(INDEX(Config!$M$5:$R$16,MATCH(G45,Config!$J$5:$J$16,0),MATCH(F45,Config!$H$5:$H$10,0)),""))</f>
        <v>100</v>
      </c>
      <c r="U45" s="47">
        <f>IF(AND(H45="Realizado",L45&lt;&gt;""),L45/60,0)</f>
        <v>0</v>
      </c>
      <c r="V45" s="47">
        <f>IF(AND(H45="Realizado",OR(L45="",M45="")),1,0)</f>
        <v>0</v>
      </c>
    </row>
    <row r="46">
      <c r="A46" s="43" t="n">
        <v>46178</v>
      </c>
      <c r="B46" s="44" t="n">
        <v>0.3333333333333333</v>
      </c>
      <c r="C46" s="38" t="inlineStr">
        <is>
          <t>Dr. Paulo Andrade</t>
        </is>
      </c>
      <c r="D46" s="38" t="inlineStr">
        <is>
          <t>Sala 2</t>
        </is>
      </c>
      <c r="E46" s="37" t="inlineStr">
        <is>
          <t>Priscila Castro</t>
        </is>
      </c>
      <c r="F46" s="38" t="inlineStr">
        <is>
          <t>Saúde Total</t>
        </is>
      </c>
      <c r="G46" s="38" t="inlineStr">
        <is>
          <t>ECG</t>
        </is>
      </c>
      <c r="H46" s="38" t="inlineStr">
        <is>
          <t>Realizado</t>
        </is>
      </c>
      <c r="I46" s="38" t="inlineStr">
        <is>
          <t>Convênio</t>
        </is>
      </c>
      <c r="J46" s="38" t="n"/>
      <c r="K46" s="37" t="n"/>
      <c r="L46" s="39" t="n">
        <v>20</v>
      </c>
      <c r="M46" s="40" t="n">
        <v>40</v>
      </c>
      <c r="N46" s="30">
        <f>IF(A46="","",MONTH(A46))</f>
        <v>6</v>
      </c>
      <c r="O46" s="30">
        <f>IF(A46="","",YEAR(A46))</f>
        <v>2026</v>
      </c>
      <c r="P46" s="30" t="str">
        <f>IF(A46="","",CHOOSE(WEEKDAY(A46,2),"Segunda","Terça","Quarta","Quinta","Sexta","Sábado","Domingo"))</f>
        <v>Sexta</v>
      </c>
      <c r="Q46" s="30" t="str">
        <f>IF(B46="","",IF(B46&lt;TIME(12,0,0),"Manhã",IF(B46&lt;TIME(18,0,0),"Tarde","Noite")))</f>
        <v>Manhã</v>
      </c>
      <c r="R46" s="46">
        <f>IF(AND(H46="Realizado",L46&lt;&gt;"",A46&lt;=Config!$B$9),L46/60,0)</f>
        <v>0.333333333333333</v>
      </c>
      <c r="S46" s="45">
        <f>IF(G46="","",IFERROR(INDEX(Config!$K$5:$K$16,MATCH(G46,Config!$J$5:$J$16,0)),""))</f>
        <v>20</v>
      </c>
      <c r="T46" s="31">
        <f>IF(OR(G46="",F46=""),"",IFERROR(INDEX(Config!$M$5:$R$16,MATCH(G46,Config!$J$5:$J$16,0),MATCH(F46,Config!$H$5:$H$10,0)),""))</f>
        <v>40</v>
      </c>
      <c r="U46" s="47">
        <f>IF(AND(H46="Realizado",L46&lt;&gt;""),L46/60,0)</f>
        <v>0.333333333333333</v>
      </c>
      <c r="V46" s="47">
        <f>IF(AND(H46="Realizado",OR(L46="",M46="")),1,0)</f>
        <v>0</v>
      </c>
    </row>
    <row r="47">
      <c r="A47" s="43" t="n">
        <v>46178</v>
      </c>
      <c r="B47" s="44" t="n">
        <v>0.3472222222222222</v>
      </c>
      <c r="C47" s="38" t="inlineStr">
        <is>
          <t>Dr. Paulo Andrade</t>
        </is>
      </c>
      <c r="D47" s="38" t="inlineStr">
        <is>
          <t>Sala 2</t>
        </is>
      </c>
      <c r="E47" s="37" t="inlineStr">
        <is>
          <t>Carlos Fernandes</t>
        </is>
      </c>
      <c r="F47" s="38" t="inlineStr">
        <is>
          <t>Particular</t>
        </is>
      </c>
      <c r="G47" s="38" t="inlineStr">
        <is>
          <t>ECG</t>
        </is>
      </c>
      <c r="H47" s="38" t="inlineStr">
        <is>
          <t>Realizado</t>
        </is>
      </c>
      <c r="I47" s="38" t="inlineStr">
        <is>
          <t>Dinheiro</t>
        </is>
      </c>
      <c r="J47" s="38" t="n"/>
      <c r="K47" s="37" t="n"/>
      <c r="L47" s="39" t="n">
        <v>20</v>
      </c>
      <c r="M47" s="40" t="n">
        <v>130</v>
      </c>
      <c r="N47" s="30">
        <f>IF(A47="","",MONTH(A47))</f>
        <v>6</v>
      </c>
      <c r="O47" s="30">
        <f>IF(A47="","",YEAR(A47))</f>
        <v>2026</v>
      </c>
      <c r="P47" s="30" t="str">
        <f>IF(A47="","",CHOOSE(WEEKDAY(A47,2),"Segunda","Terça","Quarta","Quinta","Sexta","Sábado","Domingo"))</f>
        <v>Sexta</v>
      </c>
      <c r="Q47" s="30" t="str">
        <f>IF(B47="","",IF(B47&lt;TIME(12,0,0),"Manhã",IF(B47&lt;TIME(18,0,0),"Tarde","Noite")))</f>
        <v>Manhã</v>
      </c>
      <c r="R47" s="46">
        <f>IF(AND(H47="Realizado",L47&lt;&gt;"",A47&lt;=Config!$B$9),L47/60,0)</f>
        <v>0.333333333333333</v>
      </c>
      <c r="S47" s="45">
        <f>IF(G47="","",IFERROR(INDEX(Config!$K$5:$K$16,MATCH(G47,Config!$J$5:$J$16,0)),""))</f>
        <v>20</v>
      </c>
      <c r="T47" s="31">
        <f>IF(OR(G47="",F47=""),"",IFERROR(INDEX(Config!$M$5:$R$16,MATCH(G47,Config!$J$5:$J$16,0),MATCH(F47,Config!$H$5:$H$10,0)),""))</f>
        <v>130</v>
      </c>
      <c r="U47" s="47">
        <f>IF(AND(H47="Realizado",L47&lt;&gt;""),L47/60,0)</f>
        <v>0.333333333333333</v>
      </c>
      <c r="V47" s="47">
        <f>IF(AND(H47="Realizado",OR(L47="",M47="")),1,0)</f>
        <v>0</v>
      </c>
    </row>
    <row r="48">
      <c r="A48" s="43" t="n">
        <v>46178</v>
      </c>
      <c r="B48" s="44" t="n">
        <v>0.3819444444444444</v>
      </c>
      <c r="C48" s="38" t="inlineStr">
        <is>
          <t>Dr. Paulo Andrade</t>
        </is>
      </c>
      <c r="D48" s="38" t="inlineStr">
        <is>
          <t>Sala 2</t>
        </is>
      </c>
      <c r="E48" s="37" t="inlineStr">
        <is>
          <t>Priscila Pinto</t>
        </is>
      </c>
      <c r="F48" s="38" t="inlineStr">
        <is>
          <t>Saúde Total</t>
        </is>
      </c>
      <c r="G48" s="38" t="inlineStr">
        <is>
          <t>Consulta</t>
        </is>
      </c>
      <c r="H48" s="38" t="inlineStr">
        <is>
          <t>Falta</t>
        </is>
      </c>
      <c r="I48" s="38" t="n"/>
      <c r="J48" s="38" t="n"/>
      <c r="K48" s="37" t="n"/>
      <c r="L48" s="39" t="n">
        <v>30</v>
      </c>
      <c r="M48" s="40" t="n">
        <v>120</v>
      </c>
      <c r="N48" s="30">
        <f>IF(A48="","",MONTH(A48))</f>
        <v>6</v>
      </c>
      <c r="O48" s="30">
        <f>IF(A48="","",YEAR(A48))</f>
        <v>2026</v>
      </c>
      <c r="P48" s="30" t="str">
        <f>IF(A48="","",CHOOSE(WEEKDAY(A48,2),"Segunda","Terça","Quarta","Quinta","Sexta","Sábado","Domingo"))</f>
        <v>Sexta</v>
      </c>
      <c r="Q48" s="30" t="str">
        <f>IF(B48="","",IF(B48&lt;TIME(12,0,0),"Manhã",IF(B48&lt;TIME(18,0,0),"Tarde","Noite")))</f>
        <v>Manhã</v>
      </c>
      <c r="R48" s="46">
        <f>IF(AND(H48="Realizado",L48&lt;&gt;"",A48&lt;=Config!$B$9),L48/60,0)</f>
        <v>0</v>
      </c>
      <c r="S48" s="45">
        <f>IF(G48="","",IFERROR(INDEX(Config!$K$5:$K$16,MATCH(G48,Config!$J$5:$J$16,0)),""))</f>
        <v>30</v>
      </c>
      <c r="T48" s="31">
        <f>IF(OR(G48="",F48=""),"",IFERROR(INDEX(Config!$M$5:$R$16,MATCH(G48,Config!$J$5:$J$16,0),MATCH(F48,Config!$H$5:$H$10,0)),""))</f>
        <v>120</v>
      </c>
      <c r="U48" s="47">
        <f>IF(AND(H48="Realizado",L48&lt;&gt;""),L48/60,0)</f>
        <v>0</v>
      </c>
      <c r="V48" s="47">
        <f>IF(AND(H48="Realizado",OR(L48="",M48="")),1,0)</f>
        <v>0</v>
      </c>
    </row>
    <row r="49">
      <c r="A49" s="43" t="n">
        <v>46178</v>
      </c>
      <c r="B49" s="44" t="n">
        <v>0.4652777777777778</v>
      </c>
      <c r="C49" s="38" t="inlineStr">
        <is>
          <t>Dr. Paulo Andrade</t>
        </is>
      </c>
      <c r="D49" s="38" t="inlineStr">
        <is>
          <t>Sala 2</t>
        </is>
      </c>
      <c r="E49" s="37" t="inlineStr">
        <is>
          <t>Simone Monteiro</t>
        </is>
      </c>
      <c r="F49" s="38" t="inlineStr">
        <is>
          <t>Vida Care</t>
        </is>
      </c>
      <c r="G49" s="38" t="inlineStr">
        <is>
          <t>Holter</t>
        </is>
      </c>
      <c r="H49" s="38" t="inlineStr">
        <is>
          <t>Realizado</t>
        </is>
      </c>
      <c r="I49" s="38" t="inlineStr">
        <is>
          <t>Convênio</t>
        </is>
      </c>
      <c r="J49" s="38" t="n"/>
      <c r="K49" s="37" t="n"/>
      <c r="L49" s="39" t="n">
        <v>20</v>
      </c>
      <c r="M49" s="40" t="n">
        <v>85</v>
      </c>
      <c r="N49" s="30">
        <f>IF(A49="","",MONTH(A49))</f>
        <v>6</v>
      </c>
      <c r="O49" s="30">
        <f>IF(A49="","",YEAR(A49))</f>
        <v>2026</v>
      </c>
      <c r="P49" s="30" t="str">
        <f>IF(A49="","",CHOOSE(WEEKDAY(A49,2),"Segunda","Terça","Quarta","Quinta","Sexta","Sábado","Domingo"))</f>
        <v>Sexta</v>
      </c>
      <c r="Q49" s="30" t="str">
        <f>IF(B49="","",IF(B49&lt;TIME(12,0,0),"Manhã",IF(B49&lt;TIME(18,0,0),"Tarde","Noite")))</f>
        <v>Manhã</v>
      </c>
      <c r="R49" s="46">
        <f>IF(AND(H49="Realizado",L49&lt;&gt;"",A49&lt;=Config!$B$9),L49/60,0)</f>
        <v>0.333333333333333</v>
      </c>
      <c r="S49" s="45">
        <f>IF(G49="","",IFERROR(INDEX(Config!$K$5:$K$16,MATCH(G49,Config!$J$5:$J$16,0)),""))</f>
        <v>20</v>
      </c>
      <c r="T49" s="31">
        <f>IF(OR(G49="",F49=""),"",IFERROR(INDEX(Config!$M$5:$R$16,MATCH(G49,Config!$J$5:$J$16,0),MATCH(F49,Config!$H$5:$H$10,0)),""))</f>
        <v>85</v>
      </c>
      <c r="U49" s="47">
        <f>IF(AND(H49="Realizado",L49&lt;&gt;""),L49/60,0)</f>
        <v>0.333333333333333</v>
      </c>
      <c r="V49" s="47">
        <f>IF(AND(H49="Realizado",OR(L49="",M49="")),1,0)</f>
        <v>0</v>
      </c>
    </row>
    <row r="50">
      <c r="A50" s="43" t="n">
        <v>46178</v>
      </c>
      <c r="B50" s="44" t="n">
        <v>0.4791666666666667</v>
      </c>
      <c r="C50" s="38" t="inlineStr">
        <is>
          <t>Dr. Paulo Andrade</t>
        </is>
      </c>
      <c r="D50" s="38" t="inlineStr">
        <is>
          <t>Sala 2</t>
        </is>
      </c>
      <c r="E50" s="37" t="inlineStr">
        <is>
          <t>Tatiana Gonçalves</t>
        </is>
      </c>
      <c r="F50" s="38" t="inlineStr">
        <is>
          <t>Saúde Total</t>
        </is>
      </c>
      <c r="G50" s="38" t="inlineStr">
        <is>
          <t>Consulta</t>
        </is>
      </c>
      <c r="H50" s="38" t="inlineStr">
        <is>
          <t>Realizado</t>
        </is>
      </c>
      <c r="I50" s="38" t="inlineStr">
        <is>
          <t>Convênio</t>
        </is>
      </c>
      <c r="J50" s="38" t="n"/>
      <c r="K50" s="37" t="n"/>
      <c r="L50" s="39" t="n">
        <v>30</v>
      </c>
      <c r="M50" s="40" t="n">
        <v>120</v>
      </c>
      <c r="N50" s="30">
        <f>IF(A50="","",MONTH(A50))</f>
        <v>6</v>
      </c>
      <c r="O50" s="30">
        <f>IF(A50="","",YEAR(A50))</f>
        <v>2026</v>
      </c>
      <c r="P50" s="30" t="str">
        <f>IF(A50="","",CHOOSE(WEEKDAY(A50,2),"Segunda","Terça","Quarta","Quinta","Sexta","Sábado","Domingo"))</f>
        <v>Sexta</v>
      </c>
      <c r="Q50" s="30" t="str">
        <f>IF(B50="","",IF(B50&lt;TIME(12,0,0),"Manhã",IF(B50&lt;TIME(18,0,0),"Tarde","Noite")))</f>
        <v>Manhã</v>
      </c>
      <c r="R50" s="46">
        <f>IF(AND(H50="Realizado",L50&lt;&gt;"",A50&lt;=Config!$B$9),L50/60,0)</f>
        <v>0.5</v>
      </c>
      <c r="S50" s="45">
        <f>IF(G50="","",IFERROR(INDEX(Config!$K$5:$K$16,MATCH(G50,Config!$J$5:$J$16,0)),""))</f>
        <v>30</v>
      </c>
      <c r="T50" s="31">
        <f>IF(OR(G50="",F50=""),"",IFERROR(INDEX(Config!$M$5:$R$16,MATCH(G50,Config!$J$5:$J$16,0),MATCH(F50,Config!$H$5:$H$10,0)),""))</f>
        <v>120</v>
      </c>
      <c r="U50" s="47">
        <f>IF(AND(H50="Realizado",L50&lt;&gt;""),L50/60,0)</f>
        <v>0.5</v>
      </c>
      <c r="V50" s="47">
        <f>IF(AND(H50="Realizado",OR(L50="",M50="")),1,0)</f>
        <v>0</v>
      </c>
    </row>
    <row r="51">
      <c r="A51" s="43" t="n">
        <v>46181</v>
      </c>
      <c r="B51" s="44" t="n">
        <v>0.3333333333333333</v>
      </c>
      <c r="C51" s="38" t="inlineStr">
        <is>
          <t>Dra. Carolina Mendes</t>
        </is>
      </c>
      <c r="D51" s="38" t="inlineStr">
        <is>
          <t>Sala 1</t>
        </is>
      </c>
      <c r="E51" s="37" t="inlineStr">
        <is>
          <t>Gisele Xavier</t>
        </is>
      </c>
      <c r="F51" s="38" t="inlineStr">
        <is>
          <t>Particular</t>
        </is>
      </c>
      <c r="G51" s="38" t="inlineStr">
        <is>
          <t>Retorno</t>
        </is>
      </c>
      <c r="H51" s="38" t="inlineStr">
        <is>
          <t>Realizado</t>
        </is>
      </c>
      <c r="I51" s="38" t="inlineStr">
        <is>
          <t>Sem cobrança</t>
        </is>
      </c>
      <c r="J51" s="38" t="n"/>
      <c r="K51" s="37" t="n"/>
      <c r="L51" s="39" t="n">
        <v>20</v>
      </c>
      <c r="M51" s="40" t="n">
        <v>0</v>
      </c>
      <c r="N51" s="30">
        <f>IF(A51="","",MONTH(A51))</f>
        <v>6</v>
      </c>
      <c r="O51" s="30">
        <f>IF(A51="","",YEAR(A51))</f>
        <v>2026</v>
      </c>
      <c r="P51" s="30" t="str">
        <f>IF(A51="","",CHOOSE(WEEKDAY(A51,2),"Segunda","Terça","Quarta","Quinta","Sexta","Sábado","Domingo"))</f>
        <v>Segunda</v>
      </c>
      <c r="Q51" s="30" t="str">
        <f>IF(B51="","",IF(B51&lt;TIME(12,0,0),"Manhã",IF(B51&lt;TIME(18,0,0),"Tarde","Noite")))</f>
        <v>Manhã</v>
      </c>
      <c r="R51" s="46">
        <f>IF(AND(H51="Realizado",L51&lt;&gt;"",A51&lt;=Config!$B$9),L51/60,0)</f>
        <v>0.333333333333333</v>
      </c>
      <c r="S51" s="45">
        <f>IF(G51="","",IFERROR(INDEX(Config!$K$5:$K$16,MATCH(G51,Config!$J$5:$J$16,0)),""))</f>
        <v>20</v>
      </c>
      <c r="T51" s="31">
        <f>IF(OR(G51="",F51=""),"",IFERROR(INDEX(Config!$M$5:$R$16,MATCH(G51,Config!$J$5:$J$16,0),MATCH(F51,Config!$H$5:$H$10,0)),""))</f>
        <v>0</v>
      </c>
      <c r="U51" s="47">
        <f>IF(AND(H51="Realizado",L51&lt;&gt;""),L51/60,0)</f>
        <v>0.333333333333333</v>
      </c>
      <c r="V51" s="47">
        <f>IF(AND(H51="Realizado",OR(L51="",M51="")),1,0)</f>
        <v>0</v>
      </c>
    </row>
    <row r="52">
      <c r="A52" s="43" t="n">
        <v>46181</v>
      </c>
      <c r="B52" s="44" t="n">
        <v>0.3472222222222222</v>
      </c>
      <c r="C52" s="38" t="inlineStr">
        <is>
          <t>Dra. Carolina Mendes</t>
        </is>
      </c>
      <c r="D52" s="38" t="inlineStr">
        <is>
          <t>Sala 1</t>
        </is>
      </c>
      <c r="E52" s="37" t="inlineStr">
        <is>
          <t>Juliana Silva</t>
        </is>
      </c>
      <c r="F52" s="38" t="inlineStr">
        <is>
          <t>Vida Care</t>
        </is>
      </c>
      <c r="G52" s="38" t="inlineStr">
        <is>
          <t>Retorno</t>
        </is>
      </c>
      <c r="H52" s="38" t="inlineStr">
        <is>
          <t>Realizado</t>
        </is>
      </c>
      <c r="I52" s="38" t="inlineStr">
        <is>
          <t>Sem cobrança</t>
        </is>
      </c>
      <c r="J52" s="38" t="n"/>
      <c r="K52" s="37" t="n"/>
      <c r="L52" s="39" t="n">
        <v>20</v>
      </c>
      <c r="M52" s="40" t="n">
        <v>0</v>
      </c>
      <c r="N52" s="30">
        <f>IF(A52="","",MONTH(A52))</f>
        <v>6</v>
      </c>
      <c r="O52" s="30">
        <f>IF(A52="","",YEAR(A52))</f>
        <v>2026</v>
      </c>
      <c r="P52" s="30" t="str">
        <f>IF(A52="","",CHOOSE(WEEKDAY(A52,2),"Segunda","Terça","Quarta","Quinta","Sexta","Sábado","Domingo"))</f>
        <v>Segunda</v>
      </c>
      <c r="Q52" s="30" t="str">
        <f>IF(B52="","",IF(B52&lt;TIME(12,0,0),"Manhã",IF(B52&lt;TIME(18,0,0),"Tarde","Noite")))</f>
        <v>Manhã</v>
      </c>
      <c r="R52" s="46">
        <f>IF(AND(H52="Realizado",L52&lt;&gt;"",A52&lt;=Config!$B$9),L52/60,0)</f>
        <v>0.333333333333333</v>
      </c>
      <c r="S52" s="45">
        <f>IF(G52="","",IFERROR(INDEX(Config!$K$5:$K$16,MATCH(G52,Config!$J$5:$J$16,0)),""))</f>
        <v>20</v>
      </c>
      <c r="T52" s="31">
        <f>IF(OR(G52="",F52=""),"",IFERROR(INDEX(Config!$M$5:$R$16,MATCH(G52,Config!$J$5:$J$16,0),MATCH(F52,Config!$H$5:$H$10,0)),""))</f>
        <v>0</v>
      </c>
      <c r="U52" s="47">
        <f>IF(AND(H52="Realizado",L52&lt;&gt;""),L52/60,0)</f>
        <v>0.333333333333333</v>
      </c>
      <c r="V52" s="47">
        <f>IF(AND(H52="Realizado",OR(L52="",M52="")),1,0)</f>
        <v>0</v>
      </c>
    </row>
    <row r="53">
      <c r="A53" s="43" t="n">
        <v>46181</v>
      </c>
      <c r="B53" s="44" t="n">
        <v>0.3819444444444444</v>
      </c>
      <c r="C53" s="38" t="inlineStr">
        <is>
          <t>Dra. Carolina Mendes</t>
        </is>
      </c>
      <c r="D53" s="38" t="inlineStr">
        <is>
          <t>Sala 1</t>
        </is>
      </c>
      <c r="E53" s="37" t="inlineStr">
        <is>
          <t>Rodrigo Gomes</t>
        </is>
      </c>
      <c r="F53" s="38" t="inlineStr">
        <is>
          <t>Vida Care</t>
        </is>
      </c>
      <c r="G53" s="38" t="inlineStr">
        <is>
          <t>Retorno</t>
        </is>
      </c>
      <c r="H53" s="38" t="inlineStr">
        <is>
          <t>Realizado</t>
        </is>
      </c>
      <c r="I53" s="38" t="inlineStr">
        <is>
          <t>Sem cobrança</t>
        </is>
      </c>
      <c r="J53" s="38" t="n"/>
      <c r="K53" s="37" t="n"/>
      <c r="L53" s="39" t="n">
        <v>20</v>
      </c>
      <c r="M53" s="40" t="n">
        <v>0</v>
      </c>
      <c r="N53" s="30">
        <f>IF(A53="","",MONTH(A53))</f>
        <v>6</v>
      </c>
      <c r="O53" s="30">
        <f>IF(A53="","",YEAR(A53))</f>
        <v>2026</v>
      </c>
      <c r="P53" s="30" t="str">
        <f>IF(A53="","",CHOOSE(WEEKDAY(A53,2),"Segunda","Terça","Quarta","Quinta","Sexta","Sábado","Domingo"))</f>
        <v>Segunda</v>
      </c>
      <c r="Q53" s="30" t="str">
        <f>IF(B53="","",IF(B53&lt;TIME(12,0,0),"Manhã",IF(B53&lt;TIME(18,0,0),"Tarde","Noite")))</f>
        <v>Manhã</v>
      </c>
      <c r="R53" s="46">
        <f>IF(AND(H53="Realizado",L53&lt;&gt;"",A53&lt;=Config!$B$9),L53/60,0)</f>
        <v>0.333333333333333</v>
      </c>
      <c r="S53" s="45">
        <f>IF(G53="","",IFERROR(INDEX(Config!$K$5:$K$16,MATCH(G53,Config!$J$5:$J$16,0)),""))</f>
        <v>20</v>
      </c>
      <c r="T53" s="31">
        <f>IF(OR(G53="",F53=""),"",IFERROR(INDEX(Config!$M$5:$R$16,MATCH(G53,Config!$J$5:$J$16,0),MATCH(F53,Config!$H$5:$H$10,0)),""))</f>
        <v>0</v>
      </c>
      <c r="U53" s="47">
        <f>IF(AND(H53="Realizado",L53&lt;&gt;""),L53/60,0)</f>
        <v>0.333333333333333</v>
      </c>
      <c r="V53" s="47">
        <f>IF(AND(H53="Realizado",OR(L53="",M53="")),1,0)</f>
        <v>0</v>
      </c>
    </row>
    <row r="54">
      <c r="A54" s="43" t="n">
        <v>46181</v>
      </c>
      <c r="B54" s="44" t="n">
        <v>0.3958333333333333</v>
      </c>
      <c r="C54" s="38" t="inlineStr">
        <is>
          <t>Dra. Carolina Mendes</t>
        </is>
      </c>
      <c r="D54" s="38" t="inlineStr">
        <is>
          <t>Sala 1</t>
        </is>
      </c>
      <c r="E54" s="37" t="inlineStr">
        <is>
          <t>Mônica Martins</t>
        </is>
      </c>
      <c r="F54" s="38" t="inlineStr">
        <is>
          <t>Particular</t>
        </is>
      </c>
      <c r="G54" s="38" t="inlineStr">
        <is>
          <t>Consulta</t>
        </is>
      </c>
      <c r="H54" s="38" t="inlineStr">
        <is>
          <t>Realizado</t>
        </is>
      </c>
      <c r="I54" s="38" t="inlineStr">
        <is>
          <t>Cartão de débito</t>
        </is>
      </c>
      <c r="J54" s="38" t="n"/>
      <c r="K54" s="37" t="n"/>
      <c r="L54" s="39" t="n">
        <v>30</v>
      </c>
      <c r="M54" s="40" t="n">
        <v>380</v>
      </c>
      <c r="N54" s="30">
        <f>IF(A54="","",MONTH(A54))</f>
        <v>6</v>
      </c>
      <c r="O54" s="30">
        <f>IF(A54="","",YEAR(A54))</f>
        <v>2026</v>
      </c>
      <c r="P54" s="30" t="str">
        <f>IF(A54="","",CHOOSE(WEEKDAY(A54,2),"Segunda","Terça","Quarta","Quinta","Sexta","Sábado","Domingo"))</f>
        <v>Segunda</v>
      </c>
      <c r="Q54" s="30" t="str">
        <f>IF(B54="","",IF(B54&lt;TIME(12,0,0),"Manhã",IF(B54&lt;TIME(18,0,0),"Tarde","Noite")))</f>
        <v>Manhã</v>
      </c>
      <c r="R54" s="46">
        <f>IF(AND(H54="Realizado",L54&lt;&gt;"",A54&lt;=Config!$B$9),L54/60,0)</f>
        <v>0.5</v>
      </c>
      <c r="S54" s="45">
        <f>IF(G54="","",IFERROR(INDEX(Config!$K$5:$K$16,MATCH(G54,Config!$J$5:$J$16,0)),""))</f>
        <v>30</v>
      </c>
      <c r="T54" s="31">
        <f>IF(OR(G54="",F54=""),"",IFERROR(INDEX(Config!$M$5:$R$16,MATCH(G54,Config!$J$5:$J$16,0),MATCH(F54,Config!$H$5:$H$10,0)),""))</f>
        <v>380</v>
      </c>
      <c r="U54" s="47">
        <f>IF(AND(H54="Realizado",L54&lt;&gt;""),L54/60,0)</f>
        <v>0.5</v>
      </c>
      <c r="V54" s="47">
        <f>IF(AND(H54="Realizado",OR(L54="",M54="")),1,0)</f>
        <v>0</v>
      </c>
    </row>
    <row r="55">
      <c r="A55" s="43" t="n">
        <v>46181</v>
      </c>
      <c r="B55" s="44" t="n">
        <v>0.4166666666666667</v>
      </c>
      <c r="C55" s="38" t="inlineStr">
        <is>
          <t>Dra. Carolina Mendes</t>
        </is>
      </c>
      <c r="D55" s="38" t="inlineStr">
        <is>
          <t>Sala 1</t>
        </is>
      </c>
      <c r="E55" s="37" t="inlineStr">
        <is>
          <t>Eduardo Nunes</t>
        </is>
      </c>
      <c r="F55" s="38" t="inlineStr">
        <is>
          <t>MediPlan</t>
        </is>
      </c>
      <c r="G55" s="38" t="inlineStr">
        <is>
          <t>Consulta</t>
        </is>
      </c>
      <c r="H55" s="38" t="inlineStr">
        <is>
          <t>Realizado</t>
        </is>
      </c>
      <c r="I55" s="38" t="inlineStr">
        <is>
          <t>Convênio</t>
        </is>
      </c>
      <c r="J55" s="38" t="n"/>
      <c r="K55" s="37" t="n"/>
      <c r="L55" s="39" t="n">
        <v>30</v>
      </c>
      <c r="M55" s="40" t="n">
        <v>100</v>
      </c>
      <c r="N55" s="30">
        <f>IF(A55="","",MONTH(A55))</f>
        <v>6</v>
      </c>
      <c r="O55" s="30">
        <f>IF(A55="","",YEAR(A55))</f>
        <v>2026</v>
      </c>
      <c r="P55" s="30" t="str">
        <f>IF(A55="","",CHOOSE(WEEKDAY(A55,2),"Segunda","Terça","Quarta","Quinta","Sexta","Sábado","Domingo"))</f>
        <v>Segunda</v>
      </c>
      <c r="Q55" s="30" t="str">
        <f>IF(B55="","",IF(B55&lt;TIME(12,0,0),"Manhã",IF(B55&lt;TIME(18,0,0),"Tarde","Noite")))</f>
        <v>Manhã</v>
      </c>
      <c r="R55" s="46">
        <f>IF(AND(H55="Realizado",L55&lt;&gt;"",A55&lt;=Config!$B$9),L55/60,0)</f>
        <v>0.5</v>
      </c>
      <c r="S55" s="45">
        <f>IF(G55="","",IFERROR(INDEX(Config!$K$5:$K$16,MATCH(G55,Config!$J$5:$J$16,0)),""))</f>
        <v>30</v>
      </c>
      <c r="T55" s="31">
        <f>IF(OR(G55="",F55=""),"",IFERROR(INDEX(Config!$M$5:$R$16,MATCH(G55,Config!$J$5:$J$16,0),MATCH(F55,Config!$H$5:$H$10,0)),""))</f>
        <v>100</v>
      </c>
      <c r="U55" s="47">
        <f>IF(AND(H55="Realizado",L55&lt;&gt;""),L55/60,0)</f>
        <v>0.5</v>
      </c>
      <c r="V55" s="47">
        <f>IF(AND(H55="Realizado",OR(L55="",M55="")),1,0)</f>
        <v>0</v>
      </c>
    </row>
    <row r="56">
      <c r="A56" s="43" t="n">
        <v>46181</v>
      </c>
      <c r="B56" s="44" t="n">
        <v>0.4375</v>
      </c>
      <c r="C56" s="38" t="inlineStr">
        <is>
          <t>Dra. Carolina Mendes</t>
        </is>
      </c>
      <c r="D56" s="38" t="inlineStr">
        <is>
          <t>Sala 1</t>
        </is>
      </c>
      <c r="E56" s="37" t="inlineStr">
        <is>
          <t>Priscila Castro</t>
        </is>
      </c>
      <c r="F56" s="38" t="inlineStr">
        <is>
          <t>Saúde Total</t>
        </is>
      </c>
      <c r="G56" s="38" t="inlineStr">
        <is>
          <t>Consulta</t>
        </is>
      </c>
      <c r="H56" s="38" t="inlineStr">
        <is>
          <t>Realizado</t>
        </is>
      </c>
      <c r="I56" s="38" t="inlineStr">
        <is>
          <t>Convênio</t>
        </is>
      </c>
      <c r="J56" s="38" t="n"/>
      <c r="K56" s="37" t="n"/>
      <c r="L56" s="39" t="n">
        <v>30</v>
      </c>
      <c r="M56" s="40" t="n">
        <v>120</v>
      </c>
      <c r="N56" s="30">
        <f>IF(A56="","",MONTH(A56))</f>
        <v>6</v>
      </c>
      <c r="O56" s="30">
        <f>IF(A56="","",YEAR(A56))</f>
        <v>2026</v>
      </c>
      <c r="P56" s="30" t="str">
        <f>IF(A56="","",CHOOSE(WEEKDAY(A56,2),"Segunda","Terça","Quarta","Quinta","Sexta","Sábado","Domingo"))</f>
        <v>Segunda</v>
      </c>
      <c r="Q56" s="30" t="str">
        <f>IF(B56="","",IF(B56&lt;TIME(12,0,0),"Manhã",IF(B56&lt;TIME(18,0,0),"Tarde","Noite")))</f>
        <v>Manhã</v>
      </c>
      <c r="R56" s="46">
        <f>IF(AND(H56="Realizado",L56&lt;&gt;"",A56&lt;=Config!$B$9),L56/60,0)</f>
        <v>0.5</v>
      </c>
      <c r="S56" s="45">
        <f>IF(G56="","",IFERROR(INDEX(Config!$K$5:$K$16,MATCH(G56,Config!$J$5:$J$16,0)),""))</f>
        <v>30</v>
      </c>
      <c r="T56" s="31">
        <f>IF(OR(G56="",F56=""),"",IFERROR(INDEX(Config!$M$5:$R$16,MATCH(G56,Config!$J$5:$J$16,0),MATCH(F56,Config!$H$5:$H$10,0)),""))</f>
        <v>120</v>
      </c>
      <c r="U56" s="47">
        <f>IF(AND(H56="Realizado",L56&lt;&gt;""),L56/60,0)</f>
        <v>0.5</v>
      </c>
      <c r="V56" s="47">
        <f>IF(AND(H56="Realizado",OR(L56="",M56="")),1,0)</f>
        <v>0</v>
      </c>
    </row>
    <row r="57">
      <c r="A57" s="43" t="n">
        <v>46181</v>
      </c>
      <c r="B57" s="44" t="n">
        <v>0.4583333333333333</v>
      </c>
      <c r="C57" s="38" t="inlineStr">
        <is>
          <t>Dra. Carolina Mendes</t>
        </is>
      </c>
      <c r="D57" s="38" t="inlineStr">
        <is>
          <t>Sala 1</t>
        </is>
      </c>
      <c r="E57" s="37" t="inlineStr">
        <is>
          <t>Tatiana Cunha</t>
        </is>
      </c>
      <c r="F57" s="38" t="inlineStr">
        <is>
          <t>Saúde Total</t>
        </is>
      </c>
      <c r="G57" s="38" t="inlineStr">
        <is>
          <t>Consulta</t>
        </is>
      </c>
      <c r="H57" s="38" t="inlineStr">
        <is>
          <t>Realizado</t>
        </is>
      </c>
      <c r="I57" s="38" t="inlineStr">
        <is>
          <t>Convênio</t>
        </is>
      </c>
      <c r="J57" s="38" t="n"/>
      <c r="K57" s="37" t="n"/>
      <c r="L57" s="39" t="n">
        <v>30</v>
      </c>
      <c r="M57" s="40" t="n">
        <v>120</v>
      </c>
      <c r="N57" s="30">
        <f>IF(A57="","",MONTH(A57))</f>
        <v>6</v>
      </c>
      <c r="O57" s="30">
        <f>IF(A57="","",YEAR(A57))</f>
        <v>2026</v>
      </c>
      <c r="P57" s="30" t="str">
        <f>IF(A57="","",CHOOSE(WEEKDAY(A57,2),"Segunda","Terça","Quarta","Quinta","Sexta","Sábado","Domingo"))</f>
        <v>Segunda</v>
      </c>
      <c r="Q57" s="30" t="str">
        <f>IF(B57="","",IF(B57&lt;TIME(12,0,0),"Manhã",IF(B57&lt;TIME(18,0,0),"Tarde","Noite")))</f>
        <v>Manhã</v>
      </c>
      <c r="R57" s="46">
        <f>IF(AND(H57="Realizado",L57&lt;&gt;"",A57&lt;=Config!$B$9),L57/60,0)</f>
        <v>0.5</v>
      </c>
      <c r="S57" s="45">
        <f>IF(G57="","",IFERROR(INDEX(Config!$K$5:$K$16,MATCH(G57,Config!$J$5:$J$16,0)),""))</f>
        <v>30</v>
      </c>
      <c r="T57" s="31">
        <f>IF(OR(G57="",F57=""),"",IFERROR(INDEX(Config!$M$5:$R$16,MATCH(G57,Config!$J$5:$J$16,0),MATCH(F57,Config!$H$5:$H$10,0)),""))</f>
        <v>120</v>
      </c>
      <c r="U57" s="47">
        <f>IF(AND(H57="Realizado",L57&lt;&gt;""),L57/60,0)</f>
        <v>0.5</v>
      </c>
      <c r="V57" s="47">
        <f>IF(AND(H57="Realizado",OR(L57="",M57="")),1,0)</f>
        <v>0</v>
      </c>
    </row>
    <row r="58">
      <c r="A58" s="43" t="n">
        <v>46181</v>
      </c>
      <c r="B58" s="44" t="n">
        <v>0.4791666666666667</v>
      </c>
      <c r="C58" s="38" t="inlineStr">
        <is>
          <t>Dra. Carolina Mendes</t>
        </is>
      </c>
      <c r="D58" s="38" t="inlineStr">
        <is>
          <t>Sala 1</t>
        </is>
      </c>
      <c r="E58" s="37" t="inlineStr">
        <is>
          <t>Mariana Nascimento</t>
        </is>
      </c>
      <c r="F58" s="38" t="inlineStr">
        <is>
          <t>Particular</t>
        </is>
      </c>
      <c r="G58" s="38" t="inlineStr">
        <is>
          <t>Consulta</t>
        </is>
      </c>
      <c r="H58" s="38" t="inlineStr">
        <is>
          <t>Realizado</t>
        </is>
      </c>
      <c r="I58" s="38" t="inlineStr">
        <is>
          <t>Pix</t>
        </is>
      </c>
      <c r="J58" s="38" t="n"/>
      <c r="K58" s="37" t="n"/>
      <c r="L58" s="39" t="n">
        <v>30</v>
      </c>
      <c r="M58" s="40" t="n">
        <v>380</v>
      </c>
      <c r="N58" s="30">
        <f>IF(A58="","",MONTH(A58))</f>
        <v>6</v>
      </c>
      <c r="O58" s="30">
        <f>IF(A58="","",YEAR(A58))</f>
        <v>2026</v>
      </c>
      <c r="P58" s="30" t="str">
        <f>IF(A58="","",CHOOSE(WEEKDAY(A58,2),"Segunda","Terça","Quarta","Quinta","Sexta","Sábado","Domingo"))</f>
        <v>Segunda</v>
      </c>
      <c r="Q58" s="30" t="str">
        <f>IF(B58="","",IF(B58&lt;TIME(12,0,0),"Manhã",IF(B58&lt;TIME(18,0,0),"Tarde","Noite")))</f>
        <v>Manhã</v>
      </c>
      <c r="R58" s="46">
        <f>IF(AND(H58="Realizado",L58&lt;&gt;"",A58&lt;=Config!$B$9),L58/60,0)</f>
        <v>0.5</v>
      </c>
      <c r="S58" s="45">
        <f>IF(G58="","",IFERROR(INDEX(Config!$K$5:$K$16,MATCH(G58,Config!$J$5:$J$16,0)),""))</f>
        <v>30</v>
      </c>
      <c r="T58" s="31">
        <f>IF(OR(G58="",F58=""),"",IFERROR(INDEX(Config!$M$5:$R$16,MATCH(G58,Config!$J$5:$J$16,0),MATCH(F58,Config!$H$5:$H$10,0)),""))</f>
        <v>380</v>
      </c>
      <c r="U58" s="47">
        <f>IF(AND(H58="Realizado",L58&lt;&gt;""),L58/60,0)</f>
        <v>0.5</v>
      </c>
      <c r="V58" s="47">
        <f>IF(AND(H58="Realizado",OR(L58="",M58="")),1,0)</f>
        <v>0</v>
      </c>
    </row>
    <row r="59">
      <c r="A59" s="43" t="n">
        <v>46181</v>
      </c>
      <c r="B59" s="44" t="n">
        <v>0.5833333333333334</v>
      </c>
      <c r="C59" s="38" t="inlineStr">
        <is>
          <t>Dr. Paulo Andrade</t>
        </is>
      </c>
      <c r="D59" s="38" t="inlineStr">
        <is>
          <t>Sala 2</t>
        </is>
      </c>
      <c r="E59" s="37" t="inlineStr">
        <is>
          <t>Priscila Nunes</t>
        </is>
      </c>
      <c r="F59" s="38" t="inlineStr">
        <is>
          <t>MediPlan</t>
        </is>
      </c>
      <c r="G59" s="38" t="inlineStr">
        <is>
          <t>Teste ergométrico</t>
        </is>
      </c>
      <c r="H59" s="38" t="inlineStr">
        <is>
          <t>Realizado</t>
        </is>
      </c>
      <c r="I59" s="38" t="inlineStr">
        <is>
          <t>Convênio</t>
        </is>
      </c>
      <c r="J59" s="38" t="n"/>
      <c r="K59" s="37" t="n"/>
      <c r="L59" s="39" t="n">
        <v>40</v>
      </c>
      <c r="M59" s="40" t="n">
        <v>125</v>
      </c>
      <c r="N59" s="30">
        <f>IF(A59="","",MONTH(A59))</f>
        <v>6</v>
      </c>
      <c r="O59" s="30">
        <f>IF(A59="","",YEAR(A59))</f>
        <v>2026</v>
      </c>
      <c r="P59" s="30" t="str">
        <f>IF(A59="","",CHOOSE(WEEKDAY(A59,2),"Segunda","Terça","Quarta","Quinta","Sexta","Sábado","Domingo"))</f>
        <v>Segunda</v>
      </c>
      <c r="Q59" s="30" t="str">
        <f>IF(B59="","",IF(B59&lt;TIME(12,0,0),"Manhã",IF(B59&lt;TIME(18,0,0),"Tarde","Noite")))</f>
        <v>Tarde</v>
      </c>
      <c r="R59" s="46">
        <f>IF(AND(H59="Realizado",L59&lt;&gt;"",A59&lt;=Config!$B$9),L59/60,0)</f>
        <v>0.666666666666667</v>
      </c>
      <c r="S59" s="45">
        <f>IF(G59="","",IFERROR(INDEX(Config!$K$5:$K$16,MATCH(G59,Config!$J$5:$J$16,0)),""))</f>
        <v>40</v>
      </c>
      <c r="T59" s="31">
        <f>IF(OR(G59="",F59=""),"",IFERROR(INDEX(Config!$M$5:$R$16,MATCH(G59,Config!$J$5:$J$16,0),MATCH(F59,Config!$H$5:$H$10,0)),""))</f>
        <v>125</v>
      </c>
      <c r="U59" s="47">
        <f>IF(AND(H59="Realizado",L59&lt;&gt;""),L59/60,0)</f>
        <v>0.666666666666667</v>
      </c>
      <c r="V59" s="47">
        <f>IF(AND(H59="Realizado",OR(L59="",M59="")),1,0)</f>
        <v>0</v>
      </c>
    </row>
    <row r="60">
      <c r="A60" s="43" t="n">
        <v>46181</v>
      </c>
      <c r="B60" s="44" t="n">
        <v>0.6111111111111112</v>
      </c>
      <c r="C60" s="38" t="inlineStr">
        <is>
          <t>Dr. Paulo Andrade</t>
        </is>
      </c>
      <c r="D60" s="38" t="inlineStr">
        <is>
          <t>Sala 2</t>
        </is>
      </c>
      <c r="E60" s="37" t="inlineStr">
        <is>
          <t>Daniel Melo</t>
        </is>
      </c>
      <c r="F60" s="38" t="inlineStr">
        <is>
          <t>Saúde Total</t>
        </is>
      </c>
      <c r="G60" s="38" t="inlineStr">
        <is>
          <t>Holter</t>
        </is>
      </c>
      <c r="H60" s="38" t="inlineStr">
        <is>
          <t>Realizado</t>
        </is>
      </c>
      <c r="I60" s="38" t="inlineStr">
        <is>
          <t>Convênio</t>
        </is>
      </c>
      <c r="J60" s="38" t="n"/>
      <c r="K60" s="37" t="n"/>
      <c r="L60" s="39" t="n">
        <v>20</v>
      </c>
      <c r="M60" s="40" t="n">
        <v>105</v>
      </c>
      <c r="N60" s="30">
        <f>IF(A60="","",MONTH(A60))</f>
        <v>6</v>
      </c>
      <c r="O60" s="30">
        <f>IF(A60="","",YEAR(A60))</f>
        <v>2026</v>
      </c>
      <c r="P60" s="30" t="str">
        <f>IF(A60="","",CHOOSE(WEEKDAY(A60,2),"Segunda","Terça","Quarta","Quinta","Sexta","Sábado","Domingo"))</f>
        <v>Segunda</v>
      </c>
      <c r="Q60" s="30" t="str">
        <f>IF(B60="","",IF(B60&lt;TIME(12,0,0),"Manhã",IF(B60&lt;TIME(18,0,0),"Tarde","Noite")))</f>
        <v>Tarde</v>
      </c>
      <c r="R60" s="46">
        <f>IF(AND(H60="Realizado",L60&lt;&gt;"",A60&lt;=Config!$B$9),L60/60,0)</f>
        <v>0.333333333333333</v>
      </c>
      <c r="S60" s="45">
        <f>IF(G60="","",IFERROR(INDEX(Config!$K$5:$K$16,MATCH(G60,Config!$J$5:$J$16,0)),""))</f>
        <v>20</v>
      </c>
      <c r="T60" s="31">
        <f>IF(OR(G60="",F60=""),"",IFERROR(INDEX(Config!$M$5:$R$16,MATCH(G60,Config!$J$5:$J$16,0),MATCH(F60,Config!$H$5:$H$10,0)),""))</f>
        <v>105</v>
      </c>
      <c r="U60" s="47">
        <f>IF(AND(H60="Realizado",L60&lt;&gt;""),L60/60,0)</f>
        <v>0.333333333333333</v>
      </c>
      <c r="V60" s="47">
        <f>IF(AND(H60="Realizado",OR(L60="",M60="")),1,0)</f>
        <v>0</v>
      </c>
    </row>
    <row r="61">
      <c r="A61" s="43" t="n">
        <v>46181</v>
      </c>
      <c r="B61" s="44" t="n">
        <v>0.625</v>
      </c>
      <c r="C61" s="38" t="inlineStr">
        <is>
          <t>Dr. Paulo Andrade</t>
        </is>
      </c>
      <c r="D61" s="38" t="inlineStr">
        <is>
          <t>Sala 2</t>
        </is>
      </c>
      <c r="E61" s="37" t="inlineStr">
        <is>
          <t>Rodrigo Moreira</t>
        </is>
      </c>
      <c r="F61" s="38" t="inlineStr">
        <is>
          <t>Particular</t>
        </is>
      </c>
      <c r="G61" s="38" t="inlineStr">
        <is>
          <t>ECG</t>
        </is>
      </c>
      <c r="H61" s="38" t="inlineStr">
        <is>
          <t>Realizado</t>
        </is>
      </c>
      <c r="I61" s="38" t="inlineStr">
        <is>
          <t>Cartão de crédito</t>
        </is>
      </c>
      <c r="J61" s="38" t="n"/>
      <c r="K61" s="37" t="n"/>
      <c r="L61" s="39" t="n">
        <v>20</v>
      </c>
      <c r="M61" s="40" t="n">
        <v>130</v>
      </c>
      <c r="N61" s="30">
        <f>IF(A61="","",MONTH(A61))</f>
        <v>6</v>
      </c>
      <c r="O61" s="30">
        <f>IF(A61="","",YEAR(A61))</f>
        <v>2026</v>
      </c>
      <c r="P61" s="30" t="str">
        <f>IF(A61="","",CHOOSE(WEEKDAY(A61,2),"Segunda","Terça","Quarta","Quinta","Sexta","Sábado","Domingo"))</f>
        <v>Segunda</v>
      </c>
      <c r="Q61" s="30" t="str">
        <f>IF(B61="","",IF(B61&lt;TIME(12,0,0),"Manhã",IF(B61&lt;TIME(18,0,0),"Tarde","Noite")))</f>
        <v>Tarde</v>
      </c>
      <c r="R61" s="46">
        <f>IF(AND(H61="Realizado",L61&lt;&gt;"",A61&lt;=Config!$B$9),L61/60,0)</f>
        <v>0.333333333333333</v>
      </c>
      <c r="S61" s="45">
        <f>IF(G61="","",IFERROR(INDEX(Config!$K$5:$K$16,MATCH(G61,Config!$J$5:$J$16,0)),""))</f>
        <v>20</v>
      </c>
      <c r="T61" s="31">
        <f>IF(OR(G61="",F61=""),"",IFERROR(INDEX(Config!$M$5:$R$16,MATCH(G61,Config!$J$5:$J$16,0),MATCH(F61,Config!$H$5:$H$10,0)),""))</f>
        <v>130</v>
      </c>
      <c r="U61" s="47">
        <f>IF(AND(H61="Realizado",L61&lt;&gt;""),L61/60,0)</f>
        <v>0.333333333333333</v>
      </c>
      <c r="V61" s="47">
        <f>IF(AND(H61="Realizado",OR(L61="",M61="")),1,0)</f>
        <v>0</v>
      </c>
    </row>
    <row r="62">
      <c r="A62" s="43" t="n">
        <v>46181</v>
      </c>
      <c r="B62" s="44" t="n">
        <v>0.6388888888888888</v>
      </c>
      <c r="C62" s="38" t="inlineStr">
        <is>
          <t>Dr. Paulo Andrade</t>
        </is>
      </c>
      <c r="D62" s="38" t="inlineStr">
        <is>
          <t>Sala 2</t>
        </is>
      </c>
      <c r="E62" s="37" t="inlineStr">
        <is>
          <t>Débora Machado</t>
        </is>
      </c>
      <c r="F62" s="38" t="inlineStr">
        <is>
          <t>Saúde Total</t>
        </is>
      </c>
      <c r="G62" s="38" t="inlineStr">
        <is>
          <t>Holter</t>
        </is>
      </c>
      <c r="H62" s="38" t="inlineStr">
        <is>
          <t>Realizado</t>
        </is>
      </c>
      <c r="I62" s="38" t="inlineStr">
        <is>
          <t>Convênio</t>
        </is>
      </c>
      <c r="J62" s="38" t="n"/>
      <c r="K62" s="37" t="n"/>
      <c r="L62" s="39" t="n">
        <v>20</v>
      </c>
      <c r="M62" s="40" t="n">
        <v>105</v>
      </c>
      <c r="N62" s="30">
        <f>IF(A62="","",MONTH(A62))</f>
        <v>6</v>
      </c>
      <c r="O62" s="30">
        <f>IF(A62="","",YEAR(A62))</f>
        <v>2026</v>
      </c>
      <c r="P62" s="30" t="str">
        <f>IF(A62="","",CHOOSE(WEEKDAY(A62,2),"Segunda","Terça","Quarta","Quinta","Sexta","Sábado","Domingo"))</f>
        <v>Segunda</v>
      </c>
      <c r="Q62" s="30" t="str">
        <f>IF(B62="","",IF(B62&lt;TIME(12,0,0),"Manhã",IF(B62&lt;TIME(18,0,0),"Tarde","Noite")))</f>
        <v>Tarde</v>
      </c>
      <c r="R62" s="46">
        <f>IF(AND(H62="Realizado",L62&lt;&gt;"",A62&lt;=Config!$B$9),L62/60,0)</f>
        <v>0.333333333333333</v>
      </c>
      <c r="S62" s="45">
        <f>IF(G62="","",IFERROR(INDEX(Config!$K$5:$K$16,MATCH(G62,Config!$J$5:$J$16,0)),""))</f>
        <v>20</v>
      </c>
      <c r="T62" s="31">
        <f>IF(OR(G62="",F62=""),"",IFERROR(INDEX(Config!$M$5:$R$16,MATCH(G62,Config!$J$5:$J$16,0),MATCH(F62,Config!$H$5:$H$10,0)),""))</f>
        <v>105</v>
      </c>
      <c r="U62" s="47">
        <f>IF(AND(H62="Realizado",L62&lt;&gt;""),L62/60,0)</f>
        <v>0.333333333333333</v>
      </c>
      <c r="V62" s="47">
        <f>IF(AND(H62="Realizado",OR(L62="",M62="")),1,0)</f>
        <v>0</v>
      </c>
    </row>
    <row r="63">
      <c r="A63" s="43" t="n">
        <v>46181</v>
      </c>
      <c r="B63" s="44" t="n">
        <v>0.6527777777777778</v>
      </c>
      <c r="C63" s="38" t="inlineStr">
        <is>
          <t>Dr. Paulo Andrade</t>
        </is>
      </c>
      <c r="D63" s="38" t="inlineStr">
        <is>
          <t>Sala 2</t>
        </is>
      </c>
      <c r="E63" s="37" t="inlineStr">
        <is>
          <t>Paulo Reis</t>
        </is>
      </c>
      <c r="F63" s="38" t="inlineStr">
        <is>
          <t>Particular</t>
        </is>
      </c>
      <c r="G63" s="38" t="inlineStr">
        <is>
          <t>Retorno</t>
        </is>
      </c>
      <c r="H63" s="38" t="inlineStr">
        <is>
          <t>Realizado</t>
        </is>
      </c>
      <c r="I63" s="38" t="inlineStr">
        <is>
          <t>Sem cobrança</t>
        </is>
      </c>
      <c r="J63" s="38" t="n"/>
      <c r="K63" s="37" t="n"/>
      <c r="L63" s="39" t="n">
        <v>20</v>
      </c>
      <c r="M63" s="40" t="n">
        <v>0</v>
      </c>
      <c r="N63" s="30">
        <f>IF(A63="","",MONTH(A63))</f>
        <v>6</v>
      </c>
      <c r="O63" s="30">
        <f>IF(A63="","",YEAR(A63))</f>
        <v>2026</v>
      </c>
      <c r="P63" s="30" t="str">
        <f>IF(A63="","",CHOOSE(WEEKDAY(A63,2),"Segunda","Terça","Quarta","Quinta","Sexta","Sábado","Domingo"))</f>
        <v>Segunda</v>
      </c>
      <c r="Q63" s="30" t="str">
        <f>IF(B63="","",IF(B63&lt;TIME(12,0,0),"Manhã",IF(B63&lt;TIME(18,0,0),"Tarde","Noite")))</f>
        <v>Tarde</v>
      </c>
      <c r="R63" s="46">
        <f>IF(AND(H63="Realizado",L63&lt;&gt;"",A63&lt;=Config!$B$9),L63/60,0)</f>
        <v>0.333333333333333</v>
      </c>
      <c r="S63" s="45">
        <f>IF(G63="","",IFERROR(INDEX(Config!$K$5:$K$16,MATCH(G63,Config!$J$5:$J$16,0)),""))</f>
        <v>20</v>
      </c>
      <c r="T63" s="31">
        <f>IF(OR(G63="",F63=""),"",IFERROR(INDEX(Config!$M$5:$R$16,MATCH(G63,Config!$J$5:$J$16,0),MATCH(F63,Config!$H$5:$H$10,0)),""))</f>
        <v>0</v>
      </c>
      <c r="U63" s="47">
        <f>IF(AND(H63="Realizado",L63&lt;&gt;""),L63/60,0)</f>
        <v>0.333333333333333</v>
      </c>
      <c r="V63" s="47">
        <f>IF(AND(H63="Realizado",OR(L63="",M63="")),1,0)</f>
        <v>0</v>
      </c>
    </row>
    <row r="64">
      <c r="A64" s="43" t="n">
        <v>46181</v>
      </c>
      <c r="B64" s="44" t="n">
        <v>0.6666666666666666</v>
      </c>
      <c r="C64" s="38" t="inlineStr">
        <is>
          <t>Dr. Paulo Andrade</t>
        </is>
      </c>
      <c r="D64" s="38" t="inlineStr">
        <is>
          <t>Sala 2</t>
        </is>
      </c>
      <c r="E64" s="37" t="inlineStr">
        <is>
          <t>Cláudia Castro</t>
        </is>
      </c>
      <c r="F64" s="38" t="inlineStr">
        <is>
          <t>Vida Care</t>
        </is>
      </c>
      <c r="G64" s="38" t="inlineStr">
        <is>
          <t>Consulta</t>
        </is>
      </c>
      <c r="H64" s="38" t="inlineStr">
        <is>
          <t>Realizado</t>
        </is>
      </c>
      <c r="I64" s="38" t="inlineStr">
        <is>
          <t>Convênio</t>
        </is>
      </c>
      <c r="J64" s="38" t="n"/>
      <c r="K64" s="37" t="n"/>
      <c r="L64" s="39" t="n">
        <v>30</v>
      </c>
      <c r="M64" s="40" t="n">
        <v>90</v>
      </c>
      <c r="N64" s="30">
        <f>IF(A64="","",MONTH(A64))</f>
        <v>6</v>
      </c>
      <c r="O64" s="30">
        <f>IF(A64="","",YEAR(A64))</f>
        <v>2026</v>
      </c>
      <c r="P64" s="30" t="str">
        <f>IF(A64="","",CHOOSE(WEEKDAY(A64,2),"Segunda","Terça","Quarta","Quinta","Sexta","Sábado","Domingo"))</f>
        <v>Segunda</v>
      </c>
      <c r="Q64" s="30" t="str">
        <f>IF(B64="","",IF(B64&lt;TIME(12,0,0),"Manhã",IF(B64&lt;TIME(18,0,0),"Tarde","Noite")))</f>
        <v>Tarde</v>
      </c>
      <c r="R64" s="46">
        <f>IF(AND(H64="Realizado",L64&lt;&gt;"",A64&lt;=Config!$B$9),L64/60,0)</f>
        <v>0.5</v>
      </c>
      <c r="S64" s="45">
        <f>IF(G64="","",IFERROR(INDEX(Config!$K$5:$K$16,MATCH(G64,Config!$J$5:$J$16,0)),""))</f>
        <v>30</v>
      </c>
      <c r="T64" s="31">
        <f>IF(OR(G64="",F64=""),"",IFERROR(INDEX(Config!$M$5:$R$16,MATCH(G64,Config!$J$5:$J$16,0),MATCH(F64,Config!$H$5:$H$10,0)),""))</f>
        <v>90</v>
      </c>
      <c r="U64" s="47">
        <f>IF(AND(H64="Realizado",L64&lt;&gt;""),L64/60,0)</f>
        <v>0.5</v>
      </c>
      <c r="V64" s="47">
        <f>IF(AND(H64="Realizado",OR(L64="",M64="")),1,0)</f>
        <v>0</v>
      </c>
    </row>
    <row r="65">
      <c r="A65" s="43" t="n">
        <v>46181</v>
      </c>
      <c r="B65" s="44" t="n">
        <v>0.6875</v>
      </c>
      <c r="C65" s="38" t="inlineStr">
        <is>
          <t>Dr. Paulo Andrade</t>
        </is>
      </c>
      <c r="D65" s="38" t="inlineStr">
        <is>
          <t>Sala 2</t>
        </is>
      </c>
      <c r="E65" s="37" t="inlineStr">
        <is>
          <t>Ricardo Melo</t>
        </is>
      </c>
      <c r="F65" s="38" t="inlineStr">
        <is>
          <t>Saúde Total</t>
        </is>
      </c>
      <c r="G65" s="38" t="inlineStr">
        <is>
          <t>ECG</t>
        </is>
      </c>
      <c r="H65" s="38" t="inlineStr">
        <is>
          <t>Realizado</t>
        </is>
      </c>
      <c r="I65" s="38" t="inlineStr">
        <is>
          <t>Convênio</t>
        </is>
      </c>
      <c r="J65" s="38" t="n"/>
      <c r="K65" s="37" t="n"/>
      <c r="L65" s="39" t="n">
        <v>20</v>
      </c>
      <c r="M65" s="40" t="n">
        <v>40</v>
      </c>
      <c r="N65" s="30">
        <f>IF(A65="","",MONTH(A65))</f>
        <v>6</v>
      </c>
      <c r="O65" s="30">
        <f>IF(A65="","",YEAR(A65))</f>
        <v>2026</v>
      </c>
      <c r="P65" s="30" t="str">
        <f>IF(A65="","",CHOOSE(WEEKDAY(A65,2),"Segunda","Terça","Quarta","Quinta","Sexta","Sábado","Domingo"))</f>
        <v>Segunda</v>
      </c>
      <c r="Q65" s="30" t="str">
        <f>IF(B65="","",IF(B65&lt;TIME(12,0,0),"Manhã",IF(B65&lt;TIME(18,0,0),"Tarde","Noite")))</f>
        <v>Tarde</v>
      </c>
      <c r="R65" s="46">
        <f>IF(AND(H65="Realizado",L65&lt;&gt;"",A65&lt;=Config!$B$9),L65/60,0)</f>
        <v>0.333333333333333</v>
      </c>
      <c r="S65" s="45">
        <f>IF(G65="","",IFERROR(INDEX(Config!$K$5:$K$16,MATCH(G65,Config!$J$5:$J$16,0)),""))</f>
        <v>20</v>
      </c>
      <c r="T65" s="31">
        <f>IF(OR(G65="",F65=""),"",IFERROR(INDEX(Config!$M$5:$R$16,MATCH(G65,Config!$J$5:$J$16,0),MATCH(F65,Config!$H$5:$H$10,0)),""))</f>
        <v>40</v>
      </c>
      <c r="U65" s="47">
        <f>IF(AND(H65="Realizado",L65&lt;&gt;""),L65/60,0)</f>
        <v>0.333333333333333</v>
      </c>
      <c r="V65" s="47">
        <f>IF(AND(H65="Realizado",OR(L65="",M65="")),1,0)</f>
        <v>0</v>
      </c>
    </row>
    <row r="66">
      <c r="A66" s="43" t="n">
        <v>46181</v>
      </c>
      <c r="B66" s="44" t="n">
        <v>0.7013888888888888</v>
      </c>
      <c r="C66" s="38" t="inlineStr">
        <is>
          <t>Dr. Paulo Andrade</t>
        </is>
      </c>
      <c r="D66" s="38" t="inlineStr">
        <is>
          <t>Sala 2</t>
        </is>
      </c>
      <c r="E66" s="37" t="inlineStr">
        <is>
          <t>Roberta Almeida</t>
        </is>
      </c>
      <c r="F66" s="38" t="inlineStr">
        <is>
          <t>Saúde Total</t>
        </is>
      </c>
      <c r="G66" s="38" t="inlineStr">
        <is>
          <t>Retorno</t>
        </is>
      </c>
      <c r="H66" s="38" t="inlineStr">
        <is>
          <t>Realizado</t>
        </is>
      </c>
      <c r="I66" s="38" t="inlineStr">
        <is>
          <t>Sem cobrança</t>
        </is>
      </c>
      <c r="J66" s="38" t="n"/>
      <c r="K66" s="37" t="n"/>
      <c r="L66" s="39" t="n">
        <v>20</v>
      </c>
      <c r="M66" s="40" t="n">
        <v>0</v>
      </c>
      <c r="N66" s="30">
        <f>IF(A66="","",MONTH(A66))</f>
        <v>6</v>
      </c>
      <c r="O66" s="30">
        <f>IF(A66="","",YEAR(A66))</f>
        <v>2026</v>
      </c>
      <c r="P66" s="30" t="str">
        <f>IF(A66="","",CHOOSE(WEEKDAY(A66,2),"Segunda","Terça","Quarta","Quinta","Sexta","Sábado","Domingo"))</f>
        <v>Segunda</v>
      </c>
      <c r="Q66" s="30" t="str">
        <f>IF(B66="","",IF(B66&lt;TIME(12,0,0),"Manhã",IF(B66&lt;TIME(18,0,0),"Tarde","Noite")))</f>
        <v>Tarde</v>
      </c>
      <c r="R66" s="46">
        <f>IF(AND(H66="Realizado",L66&lt;&gt;"",A66&lt;=Config!$B$9),L66/60,0)</f>
        <v>0.333333333333333</v>
      </c>
      <c r="S66" s="45">
        <f>IF(G66="","",IFERROR(INDEX(Config!$K$5:$K$16,MATCH(G66,Config!$J$5:$J$16,0)),""))</f>
        <v>20</v>
      </c>
      <c r="T66" s="31">
        <f>IF(OR(G66="",F66=""),"",IFERROR(INDEX(Config!$M$5:$R$16,MATCH(G66,Config!$J$5:$J$16,0),MATCH(F66,Config!$H$5:$H$10,0)),""))</f>
        <v>0</v>
      </c>
      <c r="U66" s="47">
        <f>IF(AND(H66="Realizado",L66&lt;&gt;""),L66/60,0)</f>
        <v>0.333333333333333</v>
      </c>
      <c r="V66" s="47">
        <f>IF(AND(H66="Realizado",OR(L66="",M66="")),1,0)</f>
        <v>0</v>
      </c>
    </row>
    <row r="67">
      <c r="A67" s="43" t="n">
        <v>46181</v>
      </c>
      <c r="B67" s="44" t="n">
        <v>0.7152777777777778</v>
      </c>
      <c r="C67" s="38" t="inlineStr">
        <is>
          <t>Dr. Paulo Andrade</t>
        </is>
      </c>
      <c r="D67" s="38" t="inlineStr">
        <is>
          <t>Sala 2</t>
        </is>
      </c>
      <c r="E67" s="37" t="inlineStr">
        <is>
          <t>Wagner Santos</t>
        </is>
      </c>
      <c r="F67" s="38" t="inlineStr">
        <is>
          <t>Particular</t>
        </is>
      </c>
      <c r="G67" s="38" t="inlineStr">
        <is>
          <t>ECG</t>
        </is>
      </c>
      <c r="H67" s="38" t="inlineStr">
        <is>
          <t>Realizado</t>
        </is>
      </c>
      <c r="I67" s="38" t="inlineStr">
        <is>
          <t>Cartão de crédito</t>
        </is>
      </c>
      <c r="J67" s="38" t="n"/>
      <c r="K67" s="37" t="n"/>
      <c r="L67" s="39" t="n">
        <v>20</v>
      </c>
      <c r="M67" s="40" t="n">
        <v>130</v>
      </c>
      <c r="N67" s="30">
        <f>IF(A67="","",MONTH(A67))</f>
        <v>6</v>
      </c>
      <c r="O67" s="30">
        <f>IF(A67="","",YEAR(A67))</f>
        <v>2026</v>
      </c>
      <c r="P67" s="30" t="str">
        <f>IF(A67="","",CHOOSE(WEEKDAY(A67,2),"Segunda","Terça","Quarta","Quinta","Sexta","Sábado","Domingo"))</f>
        <v>Segunda</v>
      </c>
      <c r="Q67" s="30" t="str">
        <f>IF(B67="","",IF(B67&lt;TIME(12,0,0),"Manhã",IF(B67&lt;TIME(18,0,0),"Tarde","Noite")))</f>
        <v>Tarde</v>
      </c>
      <c r="R67" s="46">
        <f>IF(AND(H67="Realizado",L67&lt;&gt;"",A67&lt;=Config!$B$9),L67/60,0)</f>
        <v>0.333333333333333</v>
      </c>
      <c r="S67" s="45">
        <f>IF(G67="","",IFERROR(INDEX(Config!$K$5:$K$16,MATCH(G67,Config!$J$5:$J$16,0)),""))</f>
        <v>20</v>
      </c>
      <c r="T67" s="31">
        <f>IF(OR(G67="",F67=""),"",IFERROR(INDEX(Config!$M$5:$R$16,MATCH(G67,Config!$J$5:$J$16,0),MATCH(F67,Config!$H$5:$H$10,0)),""))</f>
        <v>130</v>
      </c>
      <c r="U67" s="47">
        <f>IF(AND(H67="Realizado",L67&lt;&gt;""),L67/60,0)</f>
        <v>0.333333333333333</v>
      </c>
      <c r="V67" s="47">
        <f>IF(AND(H67="Realizado",OR(L67="",M67="")),1,0)</f>
        <v>0</v>
      </c>
    </row>
    <row r="68">
      <c r="A68" s="43" t="n">
        <v>46181</v>
      </c>
      <c r="B68" s="44" t="n">
        <v>0.7291666666666666</v>
      </c>
      <c r="C68" s="38" t="inlineStr">
        <is>
          <t>Dr. Paulo Andrade</t>
        </is>
      </c>
      <c r="D68" s="38" t="inlineStr">
        <is>
          <t>Sala 2</t>
        </is>
      </c>
      <c r="E68" s="37" t="inlineStr">
        <is>
          <t>Gustavo Barbosa</t>
        </is>
      </c>
      <c r="F68" s="38" t="inlineStr">
        <is>
          <t>Saúde Total</t>
        </is>
      </c>
      <c r="G68" s="38" t="inlineStr">
        <is>
          <t>ECG</t>
        </is>
      </c>
      <c r="H68" s="38" t="inlineStr">
        <is>
          <t>Realizado</t>
        </is>
      </c>
      <c r="I68" s="38" t="inlineStr">
        <is>
          <t>Convênio</t>
        </is>
      </c>
      <c r="J68" s="38" t="n"/>
      <c r="K68" s="37" t="n"/>
      <c r="L68" s="39" t="n">
        <v>20</v>
      </c>
      <c r="M68" s="40" t="n">
        <v>40</v>
      </c>
      <c r="N68" s="30">
        <f>IF(A68="","",MONTH(A68))</f>
        <v>6</v>
      </c>
      <c r="O68" s="30">
        <f>IF(A68="","",YEAR(A68))</f>
        <v>2026</v>
      </c>
      <c r="P68" s="30" t="str">
        <f>IF(A68="","",CHOOSE(WEEKDAY(A68,2),"Segunda","Terça","Quarta","Quinta","Sexta","Sábado","Domingo"))</f>
        <v>Segunda</v>
      </c>
      <c r="Q68" s="30" t="str">
        <f>IF(B68="","",IF(B68&lt;TIME(12,0,0),"Manhã",IF(B68&lt;TIME(18,0,0),"Tarde","Noite")))</f>
        <v>Tarde</v>
      </c>
      <c r="R68" s="46">
        <f>IF(AND(H68="Realizado",L68&lt;&gt;"",A68&lt;=Config!$B$9),L68/60,0)</f>
        <v>0.333333333333333</v>
      </c>
      <c r="S68" s="45">
        <f>IF(G68="","",IFERROR(INDEX(Config!$K$5:$K$16,MATCH(G68,Config!$J$5:$J$16,0)),""))</f>
        <v>20</v>
      </c>
      <c r="T68" s="31">
        <f>IF(OR(G68="",F68=""),"",IFERROR(INDEX(Config!$M$5:$R$16,MATCH(G68,Config!$J$5:$J$16,0),MATCH(F68,Config!$H$5:$H$10,0)),""))</f>
        <v>40</v>
      </c>
      <c r="U68" s="47">
        <f>IF(AND(H68="Realizado",L68&lt;&gt;""),L68/60,0)</f>
        <v>0.333333333333333</v>
      </c>
      <c r="V68" s="47">
        <f>IF(AND(H68="Realizado",OR(L68="",M68="")),1,0)</f>
        <v>0</v>
      </c>
    </row>
    <row r="69">
      <c r="A69" s="43" t="n">
        <v>46182</v>
      </c>
      <c r="B69" s="44" t="n">
        <v>0.3333333333333333</v>
      </c>
      <c r="C69" s="38" t="inlineStr">
        <is>
          <t>Dra. Carolina Mendes</t>
        </is>
      </c>
      <c r="D69" s="38" t="inlineStr">
        <is>
          <t>Sala 1</t>
        </is>
      </c>
      <c r="E69" s="37" t="inlineStr">
        <is>
          <t>Patrícia Fernandes</t>
        </is>
      </c>
      <c r="F69" s="38" t="inlineStr">
        <is>
          <t>Particular</t>
        </is>
      </c>
      <c r="G69" s="38" t="inlineStr">
        <is>
          <t>Consulta</t>
        </is>
      </c>
      <c r="H69" s="38" t="inlineStr">
        <is>
          <t>Realizado</t>
        </is>
      </c>
      <c r="I69" s="38" t="inlineStr">
        <is>
          <t>Dinheiro</t>
        </is>
      </c>
      <c r="J69" s="38" t="n"/>
      <c r="K69" s="37" t="n"/>
      <c r="L69" s="39" t="n">
        <v>30</v>
      </c>
      <c r="M69" s="40" t="n">
        <v>380</v>
      </c>
      <c r="N69" s="30">
        <f>IF(A69="","",MONTH(A69))</f>
        <v>6</v>
      </c>
      <c r="O69" s="30">
        <f>IF(A69="","",YEAR(A69))</f>
        <v>2026</v>
      </c>
      <c r="P69" s="30" t="str">
        <f>IF(A69="","",CHOOSE(WEEKDAY(A69,2),"Segunda","Terça","Quarta","Quinta","Sexta","Sábado","Domingo"))</f>
        <v>Terça</v>
      </c>
      <c r="Q69" s="30" t="str">
        <f>IF(B69="","",IF(B69&lt;TIME(12,0,0),"Manhã",IF(B69&lt;TIME(18,0,0),"Tarde","Noite")))</f>
        <v>Manhã</v>
      </c>
      <c r="R69" s="46">
        <f>IF(AND(H69="Realizado",L69&lt;&gt;"",A69&lt;=Config!$B$9),L69/60,0)</f>
        <v>0.5</v>
      </c>
      <c r="S69" s="45">
        <f>IF(G69="","",IFERROR(INDEX(Config!$K$5:$K$16,MATCH(G69,Config!$J$5:$J$16,0)),""))</f>
        <v>30</v>
      </c>
      <c r="T69" s="31">
        <f>IF(OR(G69="",F69=""),"",IFERROR(INDEX(Config!$M$5:$R$16,MATCH(G69,Config!$J$5:$J$16,0),MATCH(F69,Config!$H$5:$H$10,0)),""))</f>
        <v>380</v>
      </c>
      <c r="U69" s="47">
        <f>IF(AND(H69="Realizado",L69&lt;&gt;""),L69/60,0)</f>
        <v>0.5</v>
      </c>
      <c r="V69" s="47">
        <f>IF(AND(H69="Realizado",OR(L69="",M69="")),1,0)</f>
        <v>0</v>
      </c>
    </row>
    <row r="70">
      <c r="A70" s="43" t="n">
        <v>46182</v>
      </c>
      <c r="B70" s="44" t="n">
        <v>0.3541666666666667</v>
      </c>
      <c r="C70" s="38" t="inlineStr">
        <is>
          <t>Dra. Carolina Mendes</t>
        </is>
      </c>
      <c r="D70" s="38" t="inlineStr">
        <is>
          <t>Sala 1</t>
        </is>
      </c>
      <c r="E70" s="37" t="inlineStr">
        <is>
          <t>Mônica Batista</t>
        </is>
      </c>
      <c r="F70" s="38" t="inlineStr">
        <is>
          <t>MediPlan</t>
        </is>
      </c>
      <c r="G70" s="38" t="inlineStr">
        <is>
          <t>Retorno</t>
        </is>
      </c>
      <c r="H70" s="38" t="inlineStr">
        <is>
          <t>Realizado</t>
        </is>
      </c>
      <c r="I70" s="38" t="inlineStr">
        <is>
          <t>Sem cobrança</t>
        </is>
      </c>
      <c r="J70" s="38" t="n"/>
      <c r="K70" s="37" t="n"/>
      <c r="L70" s="39" t="n">
        <v>20</v>
      </c>
      <c r="M70" s="40" t="n">
        <v>0</v>
      </c>
      <c r="N70" s="30">
        <f>IF(A70="","",MONTH(A70))</f>
        <v>6</v>
      </c>
      <c r="O70" s="30">
        <f>IF(A70="","",YEAR(A70))</f>
        <v>2026</v>
      </c>
      <c r="P70" s="30" t="str">
        <f>IF(A70="","",CHOOSE(WEEKDAY(A70,2),"Segunda","Terça","Quarta","Quinta","Sexta","Sábado","Domingo"))</f>
        <v>Terça</v>
      </c>
      <c r="Q70" s="30" t="str">
        <f>IF(B70="","",IF(B70&lt;TIME(12,0,0),"Manhã",IF(B70&lt;TIME(18,0,0),"Tarde","Noite")))</f>
        <v>Manhã</v>
      </c>
      <c r="R70" s="46">
        <f>IF(AND(H70="Realizado",L70&lt;&gt;"",A70&lt;=Config!$B$9),L70/60,0)</f>
        <v>0.333333333333333</v>
      </c>
      <c r="S70" s="45">
        <f>IF(G70="","",IFERROR(INDEX(Config!$K$5:$K$16,MATCH(G70,Config!$J$5:$J$16,0)),""))</f>
        <v>20</v>
      </c>
      <c r="T70" s="31">
        <f>IF(OR(G70="",F70=""),"",IFERROR(INDEX(Config!$M$5:$R$16,MATCH(G70,Config!$J$5:$J$16,0),MATCH(F70,Config!$H$5:$H$10,0)),""))</f>
        <v>0</v>
      </c>
      <c r="U70" s="47">
        <f>IF(AND(H70="Realizado",L70&lt;&gt;""),L70/60,0)</f>
        <v>0.333333333333333</v>
      </c>
      <c r="V70" s="47">
        <f>IF(AND(H70="Realizado",OR(L70="",M70="")),1,0)</f>
        <v>0</v>
      </c>
    </row>
    <row r="71">
      <c r="A71" s="43" t="n">
        <v>46182</v>
      </c>
      <c r="B71" s="44" t="n">
        <v>0.3680555555555556</v>
      </c>
      <c r="C71" s="38" t="inlineStr">
        <is>
          <t>Dra. Carolina Mendes</t>
        </is>
      </c>
      <c r="D71" s="38" t="inlineStr">
        <is>
          <t>Sala 1</t>
        </is>
      </c>
      <c r="E71" s="37" t="inlineStr">
        <is>
          <t>Juliana Ribeiro</t>
        </is>
      </c>
      <c r="F71" s="38" t="inlineStr">
        <is>
          <t>Saúde Total</t>
        </is>
      </c>
      <c r="G71" s="38" t="inlineStr">
        <is>
          <t>Consulta</t>
        </is>
      </c>
      <c r="H71" s="38" t="inlineStr">
        <is>
          <t>Realizado</t>
        </is>
      </c>
      <c r="I71" s="38" t="inlineStr">
        <is>
          <t>Convênio</t>
        </is>
      </c>
      <c r="J71" s="38" t="n"/>
      <c r="K71" s="37" t="n"/>
      <c r="L71" s="39" t="n">
        <v>30</v>
      </c>
      <c r="M71" s="40" t="n">
        <v>120</v>
      </c>
      <c r="N71" s="30">
        <f>IF(A71="","",MONTH(A71))</f>
        <v>6</v>
      </c>
      <c r="O71" s="30">
        <f>IF(A71="","",YEAR(A71))</f>
        <v>2026</v>
      </c>
      <c r="P71" s="30" t="str">
        <f>IF(A71="","",CHOOSE(WEEKDAY(A71,2),"Segunda","Terça","Quarta","Quinta","Sexta","Sábado","Domingo"))</f>
        <v>Terça</v>
      </c>
      <c r="Q71" s="30" t="str">
        <f>IF(B71="","",IF(B71&lt;TIME(12,0,0),"Manhã",IF(B71&lt;TIME(18,0,0),"Tarde","Noite")))</f>
        <v>Manhã</v>
      </c>
      <c r="R71" s="46">
        <f>IF(AND(H71="Realizado",L71&lt;&gt;"",A71&lt;=Config!$B$9),L71/60,0)</f>
        <v>0.5</v>
      </c>
      <c r="S71" s="45">
        <f>IF(G71="","",IFERROR(INDEX(Config!$K$5:$K$16,MATCH(G71,Config!$J$5:$J$16,0)),""))</f>
        <v>30</v>
      </c>
      <c r="T71" s="31">
        <f>IF(OR(G71="",F71=""),"",IFERROR(INDEX(Config!$M$5:$R$16,MATCH(G71,Config!$J$5:$J$16,0),MATCH(F71,Config!$H$5:$H$10,0)),""))</f>
        <v>120</v>
      </c>
      <c r="U71" s="47">
        <f>IF(AND(H71="Realizado",L71&lt;&gt;""),L71/60,0)</f>
        <v>0.5</v>
      </c>
      <c r="V71" s="47">
        <f>IF(AND(H71="Realizado",OR(L71="",M71="")),1,0)</f>
        <v>0</v>
      </c>
    </row>
    <row r="72">
      <c r="A72" s="43" t="n">
        <v>46182</v>
      </c>
      <c r="B72" s="44" t="n">
        <v>0.3888888888888889</v>
      </c>
      <c r="C72" s="38" t="inlineStr">
        <is>
          <t>Dra. Carolina Mendes</t>
        </is>
      </c>
      <c r="D72" s="38" t="inlineStr">
        <is>
          <t>Sala 1</t>
        </is>
      </c>
      <c r="E72" s="37" t="inlineStr">
        <is>
          <t>Lucas Xavier</t>
        </is>
      </c>
      <c r="F72" s="38" t="inlineStr">
        <is>
          <t>Saúde Total</t>
        </is>
      </c>
      <c r="G72" s="38" t="inlineStr">
        <is>
          <t>Retorno</t>
        </is>
      </c>
      <c r="H72" s="38" t="inlineStr">
        <is>
          <t>Falta</t>
        </is>
      </c>
      <c r="I72" s="38" t="n"/>
      <c r="J72" s="38" t="n"/>
      <c r="K72" s="37" t="n"/>
      <c r="L72" s="39" t="n">
        <v>20</v>
      </c>
      <c r="M72" s="40" t="n">
        <v>0</v>
      </c>
      <c r="N72" s="30">
        <f>IF(A72="","",MONTH(A72))</f>
        <v>6</v>
      </c>
      <c r="O72" s="30">
        <f>IF(A72="","",YEAR(A72))</f>
        <v>2026</v>
      </c>
      <c r="P72" s="30" t="str">
        <f>IF(A72="","",CHOOSE(WEEKDAY(A72,2),"Segunda","Terça","Quarta","Quinta","Sexta","Sábado","Domingo"))</f>
        <v>Terça</v>
      </c>
      <c r="Q72" s="30" t="str">
        <f>IF(B72="","",IF(B72&lt;TIME(12,0,0),"Manhã",IF(B72&lt;TIME(18,0,0),"Tarde","Noite")))</f>
        <v>Manhã</v>
      </c>
      <c r="R72" s="46">
        <f>IF(AND(H72="Realizado",L72&lt;&gt;"",A72&lt;=Config!$B$9),L72/60,0)</f>
        <v>0</v>
      </c>
      <c r="S72" s="45">
        <f>IF(G72="","",IFERROR(INDEX(Config!$K$5:$K$16,MATCH(G72,Config!$J$5:$J$16,0)),""))</f>
        <v>20</v>
      </c>
      <c r="T72" s="31">
        <f>IF(OR(G72="",F72=""),"",IFERROR(INDEX(Config!$M$5:$R$16,MATCH(G72,Config!$J$5:$J$16,0),MATCH(F72,Config!$H$5:$H$10,0)),""))</f>
        <v>0</v>
      </c>
      <c r="U72" s="47">
        <f>IF(AND(H72="Realizado",L72&lt;&gt;""),L72/60,0)</f>
        <v>0</v>
      </c>
      <c r="V72" s="47">
        <f>IF(AND(H72="Realizado",OR(L72="",M72="")),1,0)</f>
        <v>0</v>
      </c>
    </row>
    <row r="73">
      <c r="A73" s="43" t="n">
        <v>46182</v>
      </c>
      <c r="B73" s="44" t="n">
        <v>0.4027777777777778</v>
      </c>
      <c r="C73" s="38" t="inlineStr">
        <is>
          <t>Dra. Carolina Mendes</t>
        </is>
      </c>
      <c r="D73" s="38" t="inlineStr">
        <is>
          <t>Sala 1</t>
        </is>
      </c>
      <c r="E73" s="37" t="inlineStr">
        <is>
          <t>Regina Macedo</t>
        </is>
      </c>
      <c r="F73" s="38" t="inlineStr">
        <is>
          <t>Particular</t>
        </is>
      </c>
      <c r="G73" s="38" t="inlineStr">
        <is>
          <t>Consulta</t>
        </is>
      </c>
      <c r="H73" s="38" t="inlineStr">
        <is>
          <t>Realizado</t>
        </is>
      </c>
      <c r="I73" s="38" t="inlineStr">
        <is>
          <t>Cartão de crédito</t>
        </is>
      </c>
      <c r="J73" s="38" t="n"/>
      <c r="K73" s="37" t="n"/>
      <c r="L73" s="39" t="n">
        <v>30</v>
      </c>
      <c r="M73" s="40" t="n">
        <v>380</v>
      </c>
      <c r="N73" s="30">
        <f>IF(A73="","",MONTH(A73))</f>
        <v>6</v>
      </c>
      <c r="O73" s="30">
        <f>IF(A73="","",YEAR(A73))</f>
        <v>2026</v>
      </c>
      <c r="P73" s="30" t="str">
        <f>IF(A73="","",CHOOSE(WEEKDAY(A73,2),"Segunda","Terça","Quarta","Quinta","Sexta","Sábado","Domingo"))</f>
        <v>Terça</v>
      </c>
      <c r="Q73" s="30" t="str">
        <f>IF(B73="","",IF(B73&lt;TIME(12,0,0),"Manhã",IF(B73&lt;TIME(18,0,0),"Tarde","Noite")))</f>
        <v>Manhã</v>
      </c>
      <c r="R73" s="46">
        <f>IF(AND(H73="Realizado",L73&lt;&gt;"",A73&lt;=Config!$B$9),L73/60,0)</f>
        <v>0.5</v>
      </c>
      <c r="S73" s="45">
        <f>IF(G73="","",IFERROR(INDEX(Config!$K$5:$K$16,MATCH(G73,Config!$J$5:$J$16,0)),""))</f>
        <v>30</v>
      </c>
      <c r="T73" s="31">
        <f>IF(OR(G73="",F73=""),"",IFERROR(INDEX(Config!$M$5:$R$16,MATCH(G73,Config!$J$5:$J$16,0),MATCH(F73,Config!$H$5:$H$10,0)),""))</f>
        <v>380</v>
      </c>
      <c r="U73" s="47">
        <f>IF(AND(H73="Realizado",L73&lt;&gt;""),L73/60,0)</f>
        <v>0.5</v>
      </c>
      <c r="V73" s="47">
        <f>IF(AND(H73="Realizado",OR(L73="",M73="")),1,0)</f>
        <v>0</v>
      </c>
    </row>
    <row r="74">
      <c r="A74" s="43" t="n">
        <v>46182</v>
      </c>
      <c r="B74" s="44" t="n">
        <v>0.4236111111111111</v>
      </c>
      <c r="C74" s="38" t="inlineStr">
        <is>
          <t>Dra. Carolina Mendes</t>
        </is>
      </c>
      <c r="D74" s="38" t="inlineStr">
        <is>
          <t>Sala 1</t>
        </is>
      </c>
      <c r="E74" s="37" t="inlineStr">
        <is>
          <t>Cláudia Santos</t>
        </is>
      </c>
      <c r="F74" s="38" t="inlineStr">
        <is>
          <t>Particular</t>
        </is>
      </c>
      <c r="G74" s="38" t="inlineStr">
        <is>
          <t>Consulta</t>
        </is>
      </c>
      <c r="H74" s="38" t="inlineStr">
        <is>
          <t>Realizado</t>
        </is>
      </c>
      <c r="I74" s="38" t="inlineStr">
        <is>
          <t>Cartão de crédito</t>
        </is>
      </c>
      <c r="J74" s="38" t="n">
        <v>2</v>
      </c>
      <c r="K74" s="37" t="n"/>
      <c r="L74" s="39" t="n">
        <v>30</v>
      </c>
      <c r="M74" s="40" t="n">
        <v>380</v>
      </c>
      <c r="N74" s="30">
        <f>IF(A74="","",MONTH(A74))</f>
        <v>6</v>
      </c>
      <c r="O74" s="30">
        <f>IF(A74="","",YEAR(A74))</f>
        <v>2026</v>
      </c>
      <c r="P74" s="30" t="str">
        <f>IF(A74="","",CHOOSE(WEEKDAY(A74,2),"Segunda","Terça","Quarta","Quinta","Sexta","Sábado","Domingo"))</f>
        <v>Terça</v>
      </c>
      <c r="Q74" s="30" t="str">
        <f>IF(B74="","",IF(B74&lt;TIME(12,0,0),"Manhã",IF(B74&lt;TIME(18,0,0),"Tarde","Noite")))</f>
        <v>Manhã</v>
      </c>
      <c r="R74" s="46">
        <f>IF(AND(H74="Realizado",L74&lt;&gt;"",A74&lt;=Config!$B$9),L74/60,0)</f>
        <v>0.5</v>
      </c>
      <c r="S74" s="45">
        <f>IF(G74="","",IFERROR(INDEX(Config!$K$5:$K$16,MATCH(G74,Config!$J$5:$J$16,0)),""))</f>
        <v>30</v>
      </c>
      <c r="T74" s="31">
        <f>IF(OR(G74="",F74=""),"",IFERROR(INDEX(Config!$M$5:$R$16,MATCH(G74,Config!$J$5:$J$16,0),MATCH(F74,Config!$H$5:$H$10,0)),""))</f>
        <v>380</v>
      </c>
      <c r="U74" s="47">
        <f>IF(AND(H74="Realizado",L74&lt;&gt;""),L74/60,0)</f>
        <v>0.5</v>
      </c>
      <c r="V74" s="47">
        <f>IF(AND(H74="Realizado",OR(L74="",M74="")),1,0)</f>
        <v>0</v>
      </c>
    </row>
    <row r="75">
      <c r="A75" s="43" t="n">
        <v>46182</v>
      </c>
      <c r="B75" s="44" t="n">
        <v>0.4444444444444444</v>
      </c>
      <c r="C75" s="38" t="inlineStr">
        <is>
          <t>Dra. Carolina Mendes</t>
        </is>
      </c>
      <c r="D75" s="38" t="inlineStr">
        <is>
          <t>Sala 1</t>
        </is>
      </c>
      <c r="E75" s="37" t="inlineStr">
        <is>
          <t>Simone Monteiro</t>
        </is>
      </c>
      <c r="F75" s="38" t="inlineStr">
        <is>
          <t>Vida Care</t>
        </is>
      </c>
      <c r="G75" s="38" t="inlineStr">
        <is>
          <t>Consulta</t>
        </is>
      </c>
      <c r="H75" s="38" t="inlineStr">
        <is>
          <t>Realizado</t>
        </is>
      </c>
      <c r="I75" s="38" t="inlineStr">
        <is>
          <t>Convênio</t>
        </is>
      </c>
      <c r="J75" s="38" t="n"/>
      <c r="K75" s="37" t="n"/>
      <c r="L75" s="39" t="n">
        <v>30</v>
      </c>
      <c r="M75" s="40" t="n">
        <v>90</v>
      </c>
      <c r="N75" s="30">
        <f>IF(A75="","",MONTH(A75))</f>
        <v>6</v>
      </c>
      <c r="O75" s="30">
        <f>IF(A75="","",YEAR(A75))</f>
        <v>2026</v>
      </c>
      <c r="P75" s="30" t="str">
        <f>IF(A75="","",CHOOSE(WEEKDAY(A75,2),"Segunda","Terça","Quarta","Quinta","Sexta","Sábado","Domingo"))</f>
        <v>Terça</v>
      </c>
      <c r="Q75" s="30" t="str">
        <f>IF(B75="","",IF(B75&lt;TIME(12,0,0),"Manhã",IF(B75&lt;TIME(18,0,0),"Tarde","Noite")))</f>
        <v>Manhã</v>
      </c>
      <c r="R75" s="46">
        <f>IF(AND(H75="Realizado",L75&lt;&gt;"",A75&lt;=Config!$B$9),L75/60,0)</f>
        <v>0.5</v>
      </c>
      <c r="S75" s="45">
        <f>IF(G75="","",IFERROR(INDEX(Config!$K$5:$K$16,MATCH(G75,Config!$J$5:$J$16,0)),""))</f>
        <v>30</v>
      </c>
      <c r="T75" s="31">
        <f>IF(OR(G75="",F75=""),"",IFERROR(INDEX(Config!$M$5:$R$16,MATCH(G75,Config!$J$5:$J$16,0),MATCH(F75,Config!$H$5:$H$10,0)),""))</f>
        <v>90</v>
      </c>
      <c r="U75" s="47">
        <f>IF(AND(H75="Realizado",L75&lt;&gt;""),L75/60,0)</f>
        <v>0.5</v>
      </c>
      <c r="V75" s="47">
        <f>IF(AND(H75="Realizado",OR(L75="",M75="")),1,0)</f>
        <v>0</v>
      </c>
    </row>
    <row r="76">
      <c r="A76" s="43" t="n">
        <v>46182</v>
      </c>
      <c r="B76" s="44" t="n">
        <v>0.4652777777777778</v>
      </c>
      <c r="C76" s="38" t="inlineStr">
        <is>
          <t>Dra. Carolina Mendes</t>
        </is>
      </c>
      <c r="D76" s="38" t="inlineStr">
        <is>
          <t>Sala 1</t>
        </is>
      </c>
      <c r="E76" s="37" t="inlineStr">
        <is>
          <t>Otávio Cardoso</t>
        </is>
      </c>
      <c r="F76" s="38" t="inlineStr">
        <is>
          <t>Particular</t>
        </is>
      </c>
      <c r="G76" s="38" t="inlineStr">
        <is>
          <t>Retorno</t>
        </is>
      </c>
      <c r="H76" s="38" t="inlineStr">
        <is>
          <t>Realizado</t>
        </is>
      </c>
      <c r="I76" s="38" t="inlineStr">
        <is>
          <t>Sem cobrança</t>
        </is>
      </c>
      <c r="J76" s="38" t="n"/>
      <c r="K76" s="37" t="n"/>
      <c r="L76" s="39" t="n">
        <v>20</v>
      </c>
      <c r="M76" s="40" t="n">
        <v>0</v>
      </c>
      <c r="N76" s="30">
        <f>IF(A76="","",MONTH(A76))</f>
        <v>6</v>
      </c>
      <c r="O76" s="30">
        <f>IF(A76="","",YEAR(A76))</f>
        <v>2026</v>
      </c>
      <c r="P76" s="30" t="str">
        <f>IF(A76="","",CHOOSE(WEEKDAY(A76,2),"Segunda","Terça","Quarta","Quinta","Sexta","Sábado","Domingo"))</f>
        <v>Terça</v>
      </c>
      <c r="Q76" s="30" t="str">
        <f>IF(B76="","",IF(B76&lt;TIME(12,0,0),"Manhã",IF(B76&lt;TIME(18,0,0),"Tarde","Noite")))</f>
        <v>Manhã</v>
      </c>
      <c r="R76" s="46">
        <f>IF(AND(H76="Realizado",L76&lt;&gt;"",A76&lt;=Config!$B$9),L76/60,0)</f>
        <v>0.333333333333333</v>
      </c>
      <c r="S76" s="45">
        <f>IF(G76="","",IFERROR(INDEX(Config!$K$5:$K$16,MATCH(G76,Config!$J$5:$J$16,0)),""))</f>
        <v>20</v>
      </c>
      <c r="T76" s="31">
        <f>IF(OR(G76="",F76=""),"",IFERROR(INDEX(Config!$M$5:$R$16,MATCH(G76,Config!$J$5:$J$16,0),MATCH(F76,Config!$H$5:$H$10,0)),""))</f>
        <v>0</v>
      </c>
      <c r="U76" s="47">
        <f>IF(AND(H76="Realizado",L76&lt;&gt;""),L76/60,0)</f>
        <v>0.333333333333333</v>
      </c>
      <c r="V76" s="47">
        <f>IF(AND(H76="Realizado",OR(L76="",M76="")),1,0)</f>
        <v>0</v>
      </c>
    </row>
    <row r="77">
      <c r="A77" s="43" t="n">
        <v>46182</v>
      </c>
      <c r="B77" s="44" t="n">
        <v>0.4791666666666667</v>
      </c>
      <c r="C77" s="38" t="inlineStr">
        <is>
          <t>Dra. Carolina Mendes</t>
        </is>
      </c>
      <c r="D77" s="38" t="inlineStr">
        <is>
          <t>Sala 1</t>
        </is>
      </c>
      <c r="E77" s="37" t="inlineStr">
        <is>
          <t>Leandro Gomes</t>
        </is>
      </c>
      <c r="F77" s="38" t="inlineStr">
        <is>
          <t>Saúde Total</t>
        </is>
      </c>
      <c r="G77" s="38" t="inlineStr">
        <is>
          <t>Consulta</t>
        </is>
      </c>
      <c r="H77" s="38" t="inlineStr">
        <is>
          <t>Realizado</t>
        </is>
      </c>
      <c r="I77" s="38" t="inlineStr">
        <is>
          <t>Convênio</t>
        </is>
      </c>
      <c r="J77" s="38" t="n"/>
      <c r="K77" s="37" t="n"/>
      <c r="L77" s="39" t="n">
        <v>30</v>
      </c>
      <c r="M77" s="40" t="n">
        <v>120</v>
      </c>
      <c r="N77" s="30">
        <f>IF(A77="","",MONTH(A77))</f>
        <v>6</v>
      </c>
      <c r="O77" s="30">
        <f>IF(A77="","",YEAR(A77))</f>
        <v>2026</v>
      </c>
      <c r="P77" s="30" t="str">
        <f>IF(A77="","",CHOOSE(WEEKDAY(A77,2),"Segunda","Terça","Quarta","Quinta","Sexta","Sábado","Domingo"))</f>
        <v>Terça</v>
      </c>
      <c r="Q77" s="30" t="str">
        <f>IF(B77="","",IF(B77&lt;TIME(12,0,0),"Manhã",IF(B77&lt;TIME(18,0,0),"Tarde","Noite")))</f>
        <v>Manhã</v>
      </c>
      <c r="R77" s="46">
        <f>IF(AND(H77="Realizado",L77&lt;&gt;"",A77&lt;=Config!$B$9),L77/60,0)</f>
        <v>0.5</v>
      </c>
      <c r="S77" s="45">
        <f>IF(G77="","",IFERROR(INDEX(Config!$K$5:$K$16,MATCH(G77,Config!$J$5:$J$16,0)),""))</f>
        <v>30</v>
      </c>
      <c r="T77" s="31">
        <f>IF(OR(G77="",F77=""),"",IFERROR(INDEX(Config!$M$5:$R$16,MATCH(G77,Config!$J$5:$J$16,0),MATCH(F77,Config!$H$5:$H$10,0)),""))</f>
        <v>120</v>
      </c>
      <c r="U77" s="47">
        <f>IF(AND(H77="Realizado",L77&lt;&gt;""),L77/60,0)</f>
        <v>0.5</v>
      </c>
      <c r="V77" s="47">
        <f>IF(AND(H77="Realizado",OR(L77="",M77="")),1,0)</f>
        <v>0</v>
      </c>
    </row>
    <row r="78">
      <c r="A78" s="43" t="n">
        <v>46182</v>
      </c>
      <c r="B78" s="44" t="n">
        <v>0.5833333333333334</v>
      </c>
      <c r="C78" s="38" t="inlineStr">
        <is>
          <t>Dr. Paulo Andrade</t>
        </is>
      </c>
      <c r="D78" s="38" t="inlineStr">
        <is>
          <t>Sala 2</t>
        </is>
      </c>
      <c r="E78" s="37" t="inlineStr">
        <is>
          <t>Eduardo Reis</t>
        </is>
      </c>
      <c r="F78" s="38" t="inlineStr">
        <is>
          <t>Vida Care</t>
        </is>
      </c>
      <c r="G78" s="38" t="inlineStr">
        <is>
          <t>Teste ergométrico</t>
        </is>
      </c>
      <c r="H78" s="38" t="inlineStr">
        <is>
          <t>Realizado</t>
        </is>
      </c>
      <c r="I78" s="38" t="inlineStr">
        <is>
          <t>Convênio</t>
        </is>
      </c>
      <c r="J78" s="38" t="n"/>
      <c r="K78" s="37" t="n"/>
      <c r="L78" s="39" t="n">
        <v>40</v>
      </c>
      <c r="M78" s="40" t="n">
        <v>110</v>
      </c>
      <c r="N78" s="30">
        <f>IF(A78="","",MONTH(A78))</f>
        <v>6</v>
      </c>
      <c r="O78" s="30">
        <f>IF(A78="","",YEAR(A78))</f>
        <v>2026</v>
      </c>
      <c r="P78" s="30" t="str">
        <f>IF(A78="","",CHOOSE(WEEKDAY(A78,2),"Segunda","Terça","Quarta","Quinta","Sexta","Sábado","Domingo"))</f>
        <v>Terça</v>
      </c>
      <c r="Q78" s="30" t="str">
        <f>IF(B78="","",IF(B78&lt;TIME(12,0,0),"Manhã",IF(B78&lt;TIME(18,0,0),"Tarde","Noite")))</f>
        <v>Tarde</v>
      </c>
      <c r="R78" s="46">
        <f>IF(AND(H78="Realizado",L78&lt;&gt;"",A78&lt;=Config!$B$9),L78/60,0)</f>
        <v>0.666666666666667</v>
      </c>
      <c r="S78" s="45">
        <f>IF(G78="","",IFERROR(INDEX(Config!$K$5:$K$16,MATCH(G78,Config!$J$5:$J$16,0)),""))</f>
        <v>40</v>
      </c>
      <c r="T78" s="31">
        <f>IF(OR(G78="",F78=""),"",IFERROR(INDEX(Config!$M$5:$R$16,MATCH(G78,Config!$J$5:$J$16,0),MATCH(F78,Config!$H$5:$H$10,0)),""))</f>
        <v>110</v>
      </c>
      <c r="U78" s="47">
        <f>IF(AND(H78="Realizado",L78&lt;&gt;""),L78/60,0)</f>
        <v>0.666666666666667</v>
      </c>
      <c r="V78" s="47">
        <f>IF(AND(H78="Realizado",OR(L78="",M78="")),1,0)</f>
        <v>0</v>
      </c>
    </row>
    <row r="79">
      <c r="A79" s="43" t="n">
        <v>46182</v>
      </c>
      <c r="B79" s="44" t="n">
        <v>0.6041666666666666</v>
      </c>
      <c r="C79" s="38" t="inlineStr">
        <is>
          <t>Dra. Renata Sousa</t>
        </is>
      </c>
      <c r="D79" s="38" t="inlineStr">
        <is>
          <t>Sala 1</t>
        </is>
      </c>
      <c r="E79" s="37" t="inlineStr">
        <is>
          <t>Camila Dias</t>
        </is>
      </c>
      <c r="F79" s="38" t="inlineStr">
        <is>
          <t>Particular</t>
        </is>
      </c>
      <c r="G79" s="38" t="inlineStr">
        <is>
          <t>Avaliação endócrina</t>
        </is>
      </c>
      <c r="H79" s="38" t="inlineStr">
        <is>
          <t>Realizado</t>
        </is>
      </c>
      <c r="I79" s="38" t="inlineStr">
        <is>
          <t>Pix</t>
        </is>
      </c>
      <c r="J79" s="38" t="n"/>
      <c r="K79" s="37" t="n"/>
      <c r="L79" s="39" t="n">
        <v>40</v>
      </c>
      <c r="M79" s="40" t="n">
        <v>400</v>
      </c>
      <c r="N79" s="30">
        <f>IF(A79="","",MONTH(A79))</f>
        <v>6</v>
      </c>
      <c r="O79" s="30">
        <f>IF(A79="","",YEAR(A79))</f>
        <v>2026</v>
      </c>
      <c r="P79" s="30" t="str">
        <f>IF(A79="","",CHOOSE(WEEKDAY(A79,2),"Segunda","Terça","Quarta","Quinta","Sexta","Sábado","Domingo"))</f>
        <v>Terça</v>
      </c>
      <c r="Q79" s="30" t="str">
        <f>IF(B79="","",IF(B79&lt;TIME(12,0,0),"Manhã",IF(B79&lt;TIME(18,0,0),"Tarde","Noite")))</f>
        <v>Tarde</v>
      </c>
      <c r="R79" s="46">
        <f>IF(AND(H79="Realizado",L79&lt;&gt;"",A79&lt;=Config!$B$9),L79/60,0)</f>
        <v>0.666666666666667</v>
      </c>
      <c r="S79" s="45">
        <f>IF(G79="","",IFERROR(INDEX(Config!$K$5:$K$16,MATCH(G79,Config!$J$5:$J$16,0)),""))</f>
        <v>40</v>
      </c>
      <c r="T79" s="31">
        <f>IF(OR(G79="",F79=""),"",IFERROR(INDEX(Config!$M$5:$R$16,MATCH(G79,Config!$J$5:$J$16,0),MATCH(F79,Config!$H$5:$H$10,0)),""))</f>
        <v>400</v>
      </c>
      <c r="U79" s="47">
        <f>IF(AND(H79="Realizado",L79&lt;&gt;""),L79/60,0)</f>
        <v>0.666666666666667</v>
      </c>
      <c r="V79" s="47">
        <f>IF(AND(H79="Realizado",OR(L79="",M79="")),1,0)</f>
        <v>0</v>
      </c>
    </row>
    <row r="80">
      <c r="A80" s="43" t="n">
        <v>46182</v>
      </c>
      <c r="B80" s="44" t="n">
        <v>0.6111111111111112</v>
      </c>
      <c r="C80" s="38" t="inlineStr">
        <is>
          <t>Dr. Paulo Andrade</t>
        </is>
      </c>
      <c r="D80" s="38" t="inlineStr">
        <is>
          <t>Sala 2</t>
        </is>
      </c>
      <c r="E80" s="37" t="inlineStr">
        <is>
          <t>Vanessa Carvalho</t>
        </is>
      </c>
      <c r="F80" s="38" t="inlineStr">
        <is>
          <t>Saúde Total</t>
        </is>
      </c>
      <c r="G80" s="38" t="inlineStr">
        <is>
          <t>Consulta</t>
        </is>
      </c>
      <c r="H80" s="38" t="inlineStr">
        <is>
          <t>Realizado</t>
        </is>
      </c>
      <c r="I80" s="38" t="inlineStr">
        <is>
          <t>Convênio</t>
        </is>
      </c>
      <c r="J80" s="38" t="n"/>
      <c r="K80" s="37" t="n"/>
      <c r="L80" s="39" t="n">
        <v>30</v>
      </c>
      <c r="M80" s="40" t="n">
        <v>120</v>
      </c>
      <c r="N80" s="30">
        <f>IF(A80="","",MONTH(A80))</f>
        <v>6</v>
      </c>
      <c r="O80" s="30">
        <f>IF(A80="","",YEAR(A80))</f>
        <v>2026</v>
      </c>
      <c r="P80" s="30" t="str">
        <f>IF(A80="","",CHOOSE(WEEKDAY(A80,2),"Segunda","Terça","Quarta","Quinta","Sexta","Sábado","Domingo"))</f>
        <v>Terça</v>
      </c>
      <c r="Q80" s="30" t="str">
        <f>IF(B80="","",IF(B80&lt;TIME(12,0,0),"Manhã",IF(B80&lt;TIME(18,0,0),"Tarde","Noite")))</f>
        <v>Tarde</v>
      </c>
      <c r="R80" s="46">
        <f>IF(AND(H80="Realizado",L80&lt;&gt;"",A80&lt;=Config!$B$9),L80/60,0)</f>
        <v>0.5</v>
      </c>
      <c r="S80" s="45">
        <f>IF(G80="","",IFERROR(INDEX(Config!$K$5:$K$16,MATCH(G80,Config!$J$5:$J$16,0)),""))</f>
        <v>30</v>
      </c>
      <c r="T80" s="31">
        <f>IF(OR(G80="",F80=""),"",IFERROR(INDEX(Config!$M$5:$R$16,MATCH(G80,Config!$J$5:$J$16,0),MATCH(F80,Config!$H$5:$H$10,0)),""))</f>
        <v>120</v>
      </c>
      <c r="U80" s="47">
        <f>IF(AND(H80="Realizado",L80&lt;&gt;""),L80/60,0)</f>
        <v>0.5</v>
      </c>
      <c r="V80" s="47">
        <f>IF(AND(H80="Realizado",OR(L80="",M80="")),1,0)</f>
        <v>0</v>
      </c>
    </row>
    <row r="81">
      <c r="A81" s="43" t="n">
        <v>46182</v>
      </c>
      <c r="B81" s="44" t="n">
        <v>0.6319444444444444</v>
      </c>
      <c r="C81" s="38" t="inlineStr">
        <is>
          <t>Dra. Renata Sousa</t>
        </is>
      </c>
      <c r="D81" s="38" t="inlineStr">
        <is>
          <t>Sala 1</t>
        </is>
      </c>
      <c r="E81" s="37" t="inlineStr">
        <is>
          <t>Mariana Gomes</t>
        </is>
      </c>
      <c r="F81" s="38" t="inlineStr">
        <is>
          <t>Particular</t>
        </is>
      </c>
      <c r="G81" s="38" t="inlineStr">
        <is>
          <t>Avaliação endócrina</t>
        </is>
      </c>
      <c r="H81" s="38" t="inlineStr">
        <is>
          <t>Realizado</t>
        </is>
      </c>
      <c r="I81" s="38" t="inlineStr">
        <is>
          <t>Cartão de crédito</t>
        </is>
      </c>
      <c r="J81" s="38" t="n">
        <v>2</v>
      </c>
      <c r="K81" s="37" t="n"/>
      <c r="L81" s="39" t="n">
        <v>40</v>
      </c>
      <c r="M81" s="40" t="n">
        <v>400</v>
      </c>
      <c r="N81" s="30">
        <f>IF(A81="","",MONTH(A81))</f>
        <v>6</v>
      </c>
      <c r="O81" s="30">
        <f>IF(A81="","",YEAR(A81))</f>
        <v>2026</v>
      </c>
      <c r="P81" s="30" t="str">
        <f>IF(A81="","",CHOOSE(WEEKDAY(A81,2),"Segunda","Terça","Quarta","Quinta","Sexta","Sábado","Domingo"))</f>
        <v>Terça</v>
      </c>
      <c r="Q81" s="30" t="str">
        <f>IF(B81="","",IF(B81&lt;TIME(12,0,0),"Manhã",IF(B81&lt;TIME(18,0,0),"Tarde","Noite")))</f>
        <v>Tarde</v>
      </c>
      <c r="R81" s="46">
        <f>IF(AND(H81="Realizado",L81&lt;&gt;"",A81&lt;=Config!$B$9),L81/60,0)</f>
        <v>0.666666666666667</v>
      </c>
      <c r="S81" s="45">
        <f>IF(G81="","",IFERROR(INDEX(Config!$K$5:$K$16,MATCH(G81,Config!$J$5:$J$16,0)),""))</f>
        <v>40</v>
      </c>
      <c r="T81" s="31">
        <f>IF(OR(G81="",F81=""),"",IFERROR(INDEX(Config!$M$5:$R$16,MATCH(G81,Config!$J$5:$J$16,0),MATCH(F81,Config!$H$5:$H$10,0)),""))</f>
        <v>400</v>
      </c>
      <c r="U81" s="47">
        <f>IF(AND(H81="Realizado",L81&lt;&gt;""),L81/60,0)</f>
        <v>0.666666666666667</v>
      </c>
      <c r="V81" s="47">
        <f>IF(AND(H81="Realizado",OR(L81="",M81="")),1,0)</f>
        <v>0</v>
      </c>
    </row>
    <row r="82">
      <c r="A82" s="43" t="n">
        <v>46182</v>
      </c>
      <c r="B82" s="44" t="n">
        <v>0.6319444444444444</v>
      </c>
      <c r="C82" s="38" t="inlineStr">
        <is>
          <t>Dr. Paulo Andrade</t>
        </is>
      </c>
      <c r="D82" s="38" t="inlineStr">
        <is>
          <t>Sala 2</t>
        </is>
      </c>
      <c r="E82" s="37" t="inlineStr">
        <is>
          <t>Bruno Carvalho</t>
        </is>
      </c>
      <c r="F82" s="38" t="inlineStr">
        <is>
          <t>Saúde Total</t>
        </is>
      </c>
      <c r="G82" s="38" t="inlineStr">
        <is>
          <t>Consulta</t>
        </is>
      </c>
      <c r="H82" s="38" t="inlineStr">
        <is>
          <t>Realizado</t>
        </is>
      </c>
      <c r="I82" s="38" t="inlineStr">
        <is>
          <t>Convênio</t>
        </is>
      </c>
      <c r="J82" s="38" t="n"/>
      <c r="K82" s="37" t="n"/>
      <c r="L82" s="39" t="n">
        <v>30</v>
      </c>
      <c r="M82" s="40" t="n">
        <v>120</v>
      </c>
      <c r="N82" s="30">
        <f>IF(A82="","",MONTH(A82))</f>
        <v>6</v>
      </c>
      <c r="O82" s="30">
        <f>IF(A82="","",YEAR(A82))</f>
        <v>2026</v>
      </c>
      <c r="P82" s="30" t="str">
        <f>IF(A82="","",CHOOSE(WEEKDAY(A82,2),"Segunda","Terça","Quarta","Quinta","Sexta","Sábado","Domingo"))</f>
        <v>Terça</v>
      </c>
      <c r="Q82" s="30" t="str">
        <f>IF(B82="","",IF(B82&lt;TIME(12,0,0),"Manhã",IF(B82&lt;TIME(18,0,0),"Tarde","Noite")))</f>
        <v>Tarde</v>
      </c>
      <c r="R82" s="46">
        <f>IF(AND(H82="Realizado",L82&lt;&gt;"",A82&lt;=Config!$B$9),L82/60,0)</f>
        <v>0.5</v>
      </c>
      <c r="S82" s="45">
        <f>IF(G82="","",IFERROR(INDEX(Config!$K$5:$K$16,MATCH(G82,Config!$J$5:$J$16,0)),""))</f>
        <v>30</v>
      </c>
      <c r="T82" s="31">
        <f>IF(OR(G82="",F82=""),"",IFERROR(INDEX(Config!$M$5:$R$16,MATCH(G82,Config!$J$5:$J$16,0),MATCH(F82,Config!$H$5:$H$10,0)),""))</f>
        <v>120</v>
      </c>
      <c r="U82" s="47">
        <f>IF(AND(H82="Realizado",L82&lt;&gt;""),L82/60,0)</f>
        <v>0.5</v>
      </c>
      <c r="V82" s="47">
        <f>IF(AND(H82="Realizado",OR(L82="",M82="")),1,0)</f>
        <v>0</v>
      </c>
    </row>
    <row r="83">
      <c r="A83" s="43" t="n">
        <v>46182</v>
      </c>
      <c r="B83" s="44" t="n">
        <v>0.6597222222222222</v>
      </c>
      <c r="C83" s="38" t="inlineStr">
        <is>
          <t>Dra. Renata Sousa</t>
        </is>
      </c>
      <c r="D83" s="38" t="inlineStr">
        <is>
          <t>Sala 1</t>
        </is>
      </c>
      <c r="E83" s="37" t="inlineStr">
        <is>
          <t>Márcia Duarte</t>
        </is>
      </c>
      <c r="F83" s="38" t="inlineStr">
        <is>
          <t>Particular</t>
        </is>
      </c>
      <c r="G83" s="38" t="inlineStr">
        <is>
          <t>Retorno</t>
        </is>
      </c>
      <c r="H83" s="38" t="inlineStr">
        <is>
          <t>Falta</t>
        </is>
      </c>
      <c r="I83" s="38" t="n"/>
      <c r="J83" s="38" t="n"/>
      <c r="K83" s="37" t="n"/>
      <c r="L83" s="39" t="n">
        <v>20</v>
      </c>
      <c r="M83" s="40" t="n">
        <v>0</v>
      </c>
      <c r="N83" s="30">
        <f>IF(A83="","",MONTH(A83))</f>
        <v>6</v>
      </c>
      <c r="O83" s="30">
        <f>IF(A83="","",YEAR(A83))</f>
        <v>2026</v>
      </c>
      <c r="P83" s="30" t="str">
        <f>IF(A83="","",CHOOSE(WEEKDAY(A83,2),"Segunda","Terça","Quarta","Quinta","Sexta","Sábado","Domingo"))</f>
        <v>Terça</v>
      </c>
      <c r="Q83" s="30" t="str">
        <f>IF(B83="","",IF(B83&lt;TIME(12,0,0),"Manhã",IF(B83&lt;TIME(18,0,0),"Tarde","Noite")))</f>
        <v>Tarde</v>
      </c>
      <c r="R83" s="46">
        <f>IF(AND(H83="Realizado",L83&lt;&gt;"",A83&lt;=Config!$B$9),L83/60,0)</f>
        <v>0</v>
      </c>
      <c r="S83" s="45">
        <f>IF(G83="","",IFERROR(INDEX(Config!$K$5:$K$16,MATCH(G83,Config!$J$5:$J$16,0)),""))</f>
        <v>20</v>
      </c>
      <c r="T83" s="31">
        <f>IF(OR(G83="",F83=""),"",IFERROR(INDEX(Config!$M$5:$R$16,MATCH(G83,Config!$J$5:$J$16,0),MATCH(F83,Config!$H$5:$H$10,0)),""))</f>
        <v>0</v>
      </c>
      <c r="U83" s="47">
        <f>IF(AND(H83="Realizado",L83&lt;&gt;""),L83/60,0)</f>
        <v>0</v>
      </c>
      <c r="V83" s="47">
        <f>IF(AND(H83="Realizado",OR(L83="",M83="")),1,0)</f>
        <v>0</v>
      </c>
    </row>
    <row r="84">
      <c r="A84" s="43" t="n">
        <v>46182</v>
      </c>
      <c r="B84" s="44" t="n">
        <v>0.6736111111111112</v>
      </c>
      <c r="C84" s="38" t="inlineStr">
        <is>
          <t>Dra. Renata Sousa</t>
        </is>
      </c>
      <c r="D84" s="38" t="inlineStr">
        <is>
          <t>Sala 1</t>
        </is>
      </c>
      <c r="E84" s="37" t="inlineStr">
        <is>
          <t>Cláudia Melo</t>
        </is>
      </c>
      <c r="F84" s="38" t="inlineStr">
        <is>
          <t>Particular</t>
        </is>
      </c>
      <c r="G84" s="38" t="inlineStr">
        <is>
          <t>Avaliação endócrina</t>
        </is>
      </c>
      <c r="H84" s="38" t="inlineStr">
        <is>
          <t>Realizado</t>
        </is>
      </c>
      <c r="I84" s="38" t="inlineStr">
        <is>
          <t>Cartão de crédito</t>
        </is>
      </c>
      <c r="J84" s="38" t="n"/>
      <c r="K84" s="37" t="n"/>
      <c r="L84" s="39" t="n">
        <v>40</v>
      </c>
      <c r="M84" s="40" t="n">
        <v>400</v>
      </c>
      <c r="N84" s="30">
        <f>IF(A84="","",MONTH(A84))</f>
        <v>6</v>
      </c>
      <c r="O84" s="30">
        <f>IF(A84="","",YEAR(A84))</f>
        <v>2026</v>
      </c>
      <c r="P84" s="30" t="str">
        <f>IF(A84="","",CHOOSE(WEEKDAY(A84,2),"Segunda","Terça","Quarta","Quinta","Sexta","Sábado","Domingo"))</f>
        <v>Terça</v>
      </c>
      <c r="Q84" s="30" t="str">
        <f>IF(B84="","",IF(B84&lt;TIME(12,0,0),"Manhã",IF(B84&lt;TIME(18,0,0),"Tarde","Noite")))</f>
        <v>Tarde</v>
      </c>
      <c r="R84" s="46">
        <f>IF(AND(H84="Realizado",L84&lt;&gt;"",A84&lt;=Config!$B$9),L84/60,0)</f>
        <v>0.666666666666667</v>
      </c>
      <c r="S84" s="45">
        <f>IF(G84="","",IFERROR(INDEX(Config!$K$5:$K$16,MATCH(G84,Config!$J$5:$J$16,0)),""))</f>
        <v>40</v>
      </c>
      <c r="T84" s="31">
        <f>IF(OR(G84="",F84=""),"",IFERROR(INDEX(Config!$M$5:$R$16,MATCH(G84,Config!$J$5:$J$16,0),MATCH(F84,Config!$H$5:$H$10,0)),""))</f>
        <v>400</v>
      </c>
      <c r="U84" s="47">
        <f>IF(AND(H84="Realizado",L84&lt;&gt;""),L84/60,0)</f>
        <v>0.666666666666667</v>
      </c>
      <c r="V84" s="47">
        <f>IF(AND(H84="Realizado",OR(L84="",M84="")),1,0)</f>
        <v>0</v>
      </c>
    </row>
    <row r="85">
      <c r="A85" s="43" t="n">
        <v>46182</v>
      </c>
      <c r="B85" s="44" t="n">
        <v>0.6736111111111112</v>
      </c>
      <c r="C85" s="38" t="inlineStr">
        <is>
          <t>Dr. Paulo Andrade</t>
        </is>
      </c>
      <c r="D85" s="38" t="inlineStr">
        <is>
          <t>Sala 2</t>
        </is>
      </c>
      <c r="E85" s="37" t="inlineStr">
        <is>
          <t>Fernanda Nunes</t>
        </is>
      </c>
      <c r="F85" s="38" t="inlineStr">
        <is>
          <t>MediPlan</t>
        </is>
      </c>
      <c r="G85" s="38" t="inlineStr">
        <is>
          <t>Retorno</t>
        </is>
      </c>
      <c r="H85" s="38" t="inlineStr">
        <is>
          <t>Realizado</t>
        </is>
      </c>
      <c r="I85" s="38" t="inlineStr">
        <is>
          <t>Sem cobrança</t>
        </is>
      </c>
      <c r="J85" s="38" t="n"/>
      <c r="K85" s="37" t="n"/>
      <c r="L85" s="39" t="n">
        <v>20</v>
      </c>
      <c r="M85" s="40" t="n">
        <v>0</v>
      </c>
      <c r="N85" s="30">
        <f>IF(A85="","",MONTH(A85))</f>
        <v>6</v>
      </c>
      <c r="O85" s="30">
        <f>IF(A85="","",YEAR(A85))</f>
        <v>2026</v>
      </c>
      <c r="P85" s="30" t="str">
        <f>IF(A85="","",CHOOSE(WEEKDAY(A85,2),"Segunda","Terça","Quarta","Quinta","Sexta","Sábado","Domingo"))</f>
        <v>Terça</v>
      </c>
      <c r="Q85" s="30" t="str">
        <f>IF(B85="","",IF(B85&lt;TIME(12,0,0),"Manhã",IF(B85&lt;TIME(18,0,0),"Tarde","Noite")))</f>
        <v>Tarde</v>
      </c>
      <c r="R85" s="46">
        <f>IF(AND(H85="Realizado",L85&lt;&gt;"",A85&lt;=Config!$B$9),L85/60,0)</f>
        <v>0.333333333333333</v>
      </c>
      <c r="S85" s="45">
        <f>IF(G85="","",IFERROR(INDEX(Config!$K$5:$K$16,MATCH(G85,Config!$J$5:$J$16,0)),""))</f>
        <v>20</v>
      </c>
      <c r="T85" s="31">
        <f>IF(OR(G85="",F85=""),"",IFERROR(INDEX(Config!$M$5:$R$16,MATCH(G85,Config!$J$5:$J$16,0),MATCH(F85,Config!$H$5:$H$10,0)),""))</f>
        <v>0</v>
      </c>
      <c r="U85" s="47">
        <f>IF(AND(H85="Realizado",L85&lt;&gt;""),L85/60,0)</f>
        <v>0.333333333333333</v>
      </c>
      <c r="V85" s="47">
        <f>IF(AND(H85="Realizado",OR(L85="",M85="")),1,0)</f>
        <v>0</v>
      </c>
    </row>
    <row r="86">
      <c r="A86" s="43" t="n">
        <v>46182</v>
      </c>
      <c r="B86" s="44" t="n">
        <v>0.6875</v>
      </c>
      <c r="C86" s="38" t="inlineStr">
        <is>
          <t>Dr. Paulo Andrade</t>
        </is>
      </c>
      <c r="D86" s="38" t="inlineStr">
        <is>
          <t>Sala 2</t>
        </is>
      </c>
      <c r="E86" s="37" t="inlineStr">
        <is>
          <t>Natália Martins</t>
        </is>
      </c>
      <c r="F86" s="38" t="inlineStr">
        <is>
          <t>Particular</t>
        </is>
      </c>
      <c r="G86" s="38" t="inlineStr">
        <is>
          <t>Consulta</t>
        </is>
      </c>
      <c r="H86" s="38" t="inlineStr">
        <is>
          <t>Realizado</t>
        </is>
      </c>
      <c r="I86" s="38" t="inlineStr">
        <is>
          <t>Pix</t>
        </is>
      </c>
      <c r="J86" s="38" t="n"/>
      <c r="K86" s="37" t="n"/>
      <c r="L86" s="39" t="n">
        <v>30</v>
      </c>
      <c r="M86" s="40" t="n">
        <v>380</v>
      </c>
      <c r="N86" s="30">
        <f>IF(A86="","",MONTH(A86))</f>
        <v>6</v>
      </c>
      <c r="O86" s="30">
        <f>IF(A86="","",YEAR(A86))</f>
        <v>2026</v>
      </c>
      <c r="P86" s="30" t="str">
        <f>IF(A86="","",CHOOSE(WEEKDAY(A86,2),"Segunda","Terça","Quarta","Quinta","Sexta","Sábado","Domingo"))</f>
        <v>Terça</v>
      </c>
      <c r="Q86" s="30" t="str">
        <f>IF(B86="","",IF(B86&lt;TIME(12,0,0),"Manhã",IF(B86&lt;TIME(18,0,0),"Tarde","Noite")))</f>
        <v>Tarde</v>
      </c>
      <c r="R86" s="46">
        <f>IF(AND(H86="Realizado",L86&lt;&gt;"",A86&lt;=Config!$B$9),L86/60,0)</f>
        <v>0.5</v>
      </c>
      <c r="S86" s="45">
        <f>IF(G86="","",IFERROR(INDEX(Config!$K$5:$K$16,MATCH(G86,Config!$J$5:$J$16,0)),""))</f>
        <v>30</v>
      </c>
      <c r="T86" s="31">
        <f>IF(OR(G86="",F86=""),"",IFERROR(INDEX(Config!$M$5:$R$16,MATCH(G86,Config!$J$5:$J$16,0),MATCH(F86,Config!$H$5:$H$10,0)),""))</f>
        <v>380</v>
      </c>
      <c r="U86" s="47">
        <f>IF(AND(H86="Realizado",L86&lt;&gt;""),L86/60,0)</f>
        <v>0.5</v>
      </c>
      <c r="V86" s="47">
        <f>IF(AND(H86="Realizado",OR(L86="",M86="")),1,0)</f>
        <v>0</v>
      </c>
    </row>
    <row r="87">
      <c r="A87" s="43" t="n">
        <v>46182</v>
      </c>
      <c r="B87" s="44" t="n">
        <v>0.7013888888888888</v>
      </c>
      <c r="C87" s="38" t="inlineStr">
        <is>
          <t>Dra. Renata Sousa</t>
        </is>
      </c>
      <c r="D87" s="38" t="inlineStr">
        <is>
          <t>Sala 1</t>
        </is>
      </c>
      <c r="E87" s="37" t="inlineStr">
        <is>
          <t>Paulo Freitas</t>
        </is>
      </c>
      <c r="F87" s="38" t="inlineStr">
        <is>
          <t>Saúde Total</t>
        </is>
      </c>
      <c r="G87" s="38" t="inlineStr">
        <is>
          <t>Retorno</t>
        </is>
      </c>
      <c r="H87" s="38" t="inlineStr">
        <is>
          <t>Realizado</t>
        </is>
      </c>
      <c r="I87" s="38" t="inlineStr">
        <is>
          <t>Sem cobrança</t>
        </is>
      </c>
      <c r="J87" s="38" t="n"/>
      <c r="K87" s="37" t="n"/>
      <c r="L87" s="39" t="n">
        <v>20</v>
      </c>
      <c r="M87" s="40" t="n">
        <v>0</v>
      </c>
      <c r="N87" s="30">
        <f>IF(A87="","",MONTH(A87))</f>
        <v>6</v>
      </c>
      <c r="O87" s="30">
        <f>IF(A87="","",YEAR(A87))</f>
        <v>2026</v>
      </c>
      <c r="P87" s="30" t="str">
        <f>IF(A87="","",CHOOSE(WEEKDAY(A87,2),"Segunda","Terça","Quarta","Quinta","Sexta","Sábado","Domingo"))</f>
        <v>Terça</v>
      </c>
      <c r="Q87" s="30" t="str">
        <f>IF(B87="","",IF(B87&lt;TIME(12,0,0),"Manhã",IF(B87&lt;TIME(18,0,0),"Tarde","Noite")))</f>
        <v>Tarde</v>
      </c>
      <c r="R87" s="46">
        <f>IF(AND(H87="Realizado",L87&lt;&gt;"",A87&lt;=Config!$B$9),L87/60,0)</f>
        <v>0.333333333333333</v>
      </c>
      <c r="S87" s="45">
        <f>IF(G87="","",IFERROR(INDEX(Config!$K$5:$K$16,MATCH(G87,Config!$J$5:$J$16,0)),""))</f>
        <v>20</v>
      </c>
      <c r="T87" s="31">
        <f>IF(OR(G87="",F87=""),"",IFERROR(INDEX(Config!$M$5:$R$16,MATCH(G87,Config!$J$5:$J$16,0),MATCH(F87,Config!$H$5:$H$10,0)),""))</f>
        <v>0</v>
      </c>
      <c r="U87" s="47">
        <f>IF(AND(H87="Realizado",L87&lt;&gt;""),L87/60,0)</f>
        <v>0.333333333333333</v>
      </c>
      <c r="V87" s="47">
        <f>IF(AND(H87="Realizado",OR(L87="",M87="")),1,0)</f>
        <v>0</v>
      </c>
    </row>
    <row r="88">
      <c r="A88" s="43" t="n">
        <v>46182</v>
      </c>
      <c r="B88" s="44" t="n">
        <v>0.7083333333333334</v>
      </c>
      <c r="C88" s="38" t="inlineStr">
        <is>
          <t>Dr. Paulo Andrade</t>
        </is>
      </c>
      <c r="D88" s="38" t="inlineStr">
        <is>
          <t>Sala 2</t>
        </is>
      </c>
      <c r="E88" s="37" t="inlineStr">
        <is>
          <t>Paulo Ribeiro</t>
        </is>
      </c>
      <c r="F88" s="38" t="inlineStr">
        <is>
          <t>Saúde Total</t>
        </is>
      </c>
      <c r="G88" s="38" t="inlineStr">
        <is>
          <t>Consulta</t>
        </is>
      </c>
      <c r="H88" s="38" t="inlineStr">
        <is>
          <t>Realizado</t>
        </is>
      </c>
      <c r="I88" s="38" t="inlineStr">
        <is>
          <t>Convênio</t>
        </is>
      </c>
      <c r="J88" s="38" t="n"/>
      <c r="K88" s="37" t="n"/>
      <c r="L88" s="39" t="n">
        <v>30</v>
      </c>
      <c r="M88" s="40" t="n">
        <v>120</v>
      </c>
      <c r="N88" s="30">
        <f>IF(A88="","",MONTH(A88))</f>
        <v>6</v>
      </c>
      <c r="O88" s="30">
        <f>IF(A88="","",YEAR(A88))</f>
        <v>2026</v>
      </c>
      <c r="P88" s="30" t="str">
        <f>IF(A88="","",CHOOSE(WEEKDAY(A88,2),"Segunda","Terça","Quarta","Quinta","Sexta","Sábado","Domingo"))</f>
        <v>Terça</v>
      </c>
      <c r="Q88" s="30" t="str">
        <f>IF(B88="","",IF(B88&lt;TIME(12,0,0),"Manhã",IF(B88&lt;TIME(18,0,0),"Tarde","Noite")))</f>
        <v>Tarde</v>
      </c>
      <c r="R88" s="46">
        <f>IF(AND(H88="Realizado",L88&lt;&gt;"",A88&lt;=Config!$B$9),L88/60,0)</f>
        <v>0.5</v>
      </c>
      <c r="S88" s="45">
        <f>IF(G88="","",IFERROR(INDEX(Config!$K$5:$K$16,MATCH(G88,Config!$J$5:$J$16,0)),""))</f>
        <v>30</v>
      </c>
      <c r="T88" s="31">
        <f>IF(OR(G88="",F88=""),"",IFERROR(INDEX(Config!$M$5:$R$16,MATCH(G88,Config!$J$5:$J$16,0),MATCH(F88,Config!$H$5:$H$10,0)),""))</f>
        <v>120</v>
      </c>
      <c r="U88" s="47">
        <f>IF(AND(H88="Realizado",L88&lt;&gt;""),L88/60,0)</f>
        <v>0.5</v>
      </c>
      <c r="V88" s="47">
        <f>IF(AND(H88="Realizado",OR(L88="",M88="")),1,0)</f>
        <v>0</v>
      </c>
    </row>
    <row r="89">
      <c r="A89" s="43" t="n">
        <v>46182</v>
      </c>
      <c r="B89" s="44" t="n">
        <v>0.7152777777777778</v>
      </c>
      <c r="C89" s="38" t="inlineStr">
        <is>
          <t>Dra. Renata Sousa</t>
        </is>
      </c>
      <c r="D89" s="38" t="inlineStr">
        <is>
          <t>Sala 1</t>
        </is>
      </c>
      <c r="E89" s="37" t="inlineStr">
        <is>
          <t>Carlos Gomes</t>
        </is>
      </c>
      <c r="F89" s="38" t="inlineStr">
        <is>
          <t>Saúde Total</t>
        </is>
      </c>
      <c r="G89" s="38" t="inlineStr">
        <is>
          <t>Retorno</t>
        </is>
      </c>
      <c r="H89" s="38" t="inlineStr">
        <is>
          <t>Realizado</t>
        </is>
      </c>
      <c r="I89" s="38" t="inlineStr">
        <is>
          <t>Sem cobrança</t>
        </is>
      </c>
      <c r="J89" s="38" t="n"/>
      <c r="K89" s="37" t="n"/>
      <c r="L89" s="39" t="n">
        <v>20</v>
      </c>
      <c r="M89" s="40" t="n">
        <v>0</v>
      </c>
      <c r="N89" s="30">
        <f>IF(A89="","",MONTH(A89))</f>
        <v>6</v>
      </c>
      <c r="O89" s="30">
        <f>IF(A89="","",YEAR(A89))</f>
        <v>2026</v>
      </c>
      <c r="P89" s="30" t="str">
        <f>IF(A89="","",CHOOSE(WEEKDAY(A89,2),"Segunda","Terça","Quarta","Quinta","Sexta","Sábado","Domingo"))</f>
        <v>Terça</v>
      </c>
      <c r="Q89" s="30" t="str">
        <f>IF(B89="","",IF(B89&lt;TIME(12,0,0),"Manhã",IF(B89&lt;TIME(18,0,0),"Tarde","Noite")))</f>
        <v>Tarde</v>
      </c>
      <c r="R89" s="46">
        <f>IF(AND(H89="Realizado",L89&lt;&gt;"",A89&lt;=Config!$B$9),L89/60,0)</f>
        <v>0.333333333333333</v>
      </c>
      <c r="S89" s="45">
        <f>IF(G89="","",IFERROR(INDEX(Config!$K$5:$K$16,MATCH(G89,Config!$J$5:$J$16,0)),""))</f>
        <v>20</v>
      </c>
      <c r="T89" s="31">
        <f>IF(OR(G89="",F89=""),"",IFERROR(INDEX(Config!$M$5:$R$16,MATCH(G89,Config!$J$5:$J$16,0),MATCH(F89,Config!$H$5:$H$10,0)),""))</f>
        <v>0</v>
      </c>
      <c r="U89" s="47">
        <f>IF(AND(H89="Realizado",L89&lt;&gt;""),L89/60,0)</f>
        <v>0.333333333333333</v>
      </c>
      <c r="V89" s="47">
        <f>IF(AND(H89="Realizado",OR(L89="",M89="")),1,0)</f>
        <v>0</v>
      </c>
    </row>
    <row r="90">
      <c r="A90" s="43" t="n">
        <v>46182</v>
      </c>
      <c r="B90" s="44" t="n">
        <v>0.7291666666666666</v>
      </c>
      <c r="C90" s="38" t="inlineStr">
        <is>
          <t>Dra. Renata Sousa</t>
        </is>
      </c>
      <c r="D90" s="38" t="inlineStr">
        <is>
          <t>Sala 1</t>
        </is>
      </c>
      <c r="E90" s="37" t="inlineStr">
        <is>
          <t>Paulo Fernandes</t>
        </is>
      </c>
      <c r="F90" s="38" t="inlineStr">
        <is>
          <t>Particular</t>
        </is>
      </c>
      <c r="G90" s="38" t="inlineStr">
        <is>
          <t>Retorno</t>
        </is>
      </c>
      <c r="H90" s="38" t="inlineStr">
        <is>
          <t>Realizado</t>
        </is>
      </c>
      <c r="I90" s="38" t="inlineStr">
        <is>
          <t>Sem cobrança</t>
        </is>
      </c>
      <c r="J90" s="38" t="n"/>
      <c r="K90" s="37" t="n"/>
      <c r="L90" s="39" t="n">
        <v>20</v>
      </c>
      <c r="M90" s="40" t="n">
        <v>0</v>
      </c>
      <c r="N90" s="30">
        <f>IF(A90="","",MONTH(A90))</f>
        <v>6</v>
      </c>
      <c r="O90" s="30">
        <f>IF(A90="","",YEAR(A90))</f>
        <v>2026</v>
      </c>
      <c r="P90" s="30" t="str">
        <f>IF(A90="","",CHOOSE(WEEKDAY(A90,2),"Segunda","Terça","Quarta","Quinta","Sexta","Sábado","Domingo"))</f>
        <v>Terça</v>
      </c>
      <c r="Q90" s="30" t="str">
        <f>IF(B90="","",IF(B90&lt;TIME(12,0,0),"Manhã",IF(B90&lt;TIME(18,0,0),"Tarde","Noite")))</f>
        <v>Tarde</v>
      </c>
      <c r="R90" s="46">
        <f>IF(AND(H90="Realizado",L90&lt;&gt;"",A90&lt;=Config!$B$9),L90/60,0)</f>
        <v>0.333333333333333</v>
      </c>
      <c r="S90" s="45">
        <f>IF(G90="","",IFERROR(INDEX(Config!$K$5:$K$16,MATCH(G90,Config!$J$5:$J$16,0)),""))</f>
        <v>20</v>
      </c>
      <c r="T90" s="31">
        <f>IF(OR(G90="",F90=""),"",IFERROR(INDEX(Config!$M$5:$R$16,MATCH(G90,Config!$J$5:$J$16,0),MATCH(F90,Config!$H$5:$H$10,0)),""))</f>
        <v>0</v>
      </c>
      <c r="U90" s="47">
        <f>IF(AND(H90="Realizado",L90&lt;&gt;""),L90/60,0)</f>
        <v>0.333333333333333</v>
      </c>
      <c r="V90" s="47">
        <f>IF(AND(H90="Realizado",OR(L90="",M90="")),1,0)</f>
        <v>0</v>
      </c>
    </row>
    <row r="91">
      <c r="A91" s="43" t="n">
        <v>46182</v>
      </c>
      <c r="B91" s="44" t="n">
        <v>0.7291666666666666</v>
      </c>
      <c r="C91" s="38" t="inlineStr">
        <is>
          <t>Dr. Paulo Andrade</t>
        </is>
      </c>
      <c r="D91" s="38" t="inlineStr">
        <is>
          <t>Sala 2</t>
        </is>
      </c>
      <c r="E91" s="37" t="inlineStr">
        <is>
          <t>Marcelo Santos</t>
        </is>
      </c>
      <c r="F91" s="38" t="inlineStr">
        <is>
          <t>Particular</t>
        </is>
      </c>
      <c r="G91" s="38" t="inlineStr">
        <is>
          <t>ECG</t>
        </is>
      </c>
      <c r="H91" s="38" t="inlineStr">
        <is>
          <t>Realizado</t>
        </is>
      </c>
      <c r="I91" s="38" t="inlineStr">
        <is>
          <t>Pix</t>
        </is>
      </c>
      <c r="J91" s="38" t="n"/>
      <c r="K91" s="37" t="n"/>
      <c r="L91" s="39" t="n">
        <v>20</v>
      </c>
      <c r="M91" s="40" t="n">
        <v>130</v>
      </c>
      <c r="N91" s="30">
        <f>IF(A91="","",MONTH(A91))</f>
        <v>6</v>
      </c>
      <c r="O91" s="30">
        <f>IF(A91="","",YEAR(A91))</f>
        <v>2026</v>
      </c>
      <c r="P91" s="30" t="str">
        <f>IF(A91="","",CHOOSE(WEEKDAY(A91,2),"Segunda","Terça","Quarta","Quinta","Sexta","Sábado","Domingo"))</f>
        <v>Terça</v>
      </c>
      <c r="Q91" s="30" t="str">
        <f>IF(B91="","",IF(B91&lt;TIME(12,0,0),"Manhã",IF(B91&lt;TIME(18,0,0),"Tarde","Noite")))</f>
        <v>Tarde</v>
      </c>
      <c r="R91" s="46">
        <f>IF(AND(H91="Realizado",L91&lt;&gt;"",A91&lt;=Config!$B$9),L91/60,0)</f>
        <v>0.333333333333333</v>
      </c>
      <c r="S91" s="45">
        <f>IF(G91="","",IFERROR(INDEX(Config!$K$5:$K$16,MATCH(G91,Config!$J$5:$J$16,0)),""))</f>
        <v>20</v>
      </c>
      <c r="T91" s="31">
        <f>IF(OR(G91="",F91=""),"",IFERROR(INDEX(Config!$M$5:$R$16,MATCH(G91,Config!$J$5:$J$16,0),MATCH(F91,Config!$H$5:$H$10,0)),""))</f>
        <v>130</v>
      </c>
      <c r="U91" s="47">
        <f>IF(AND(H91="Realizado",L91&lt;&gt;""),L91/60,0)</f>
        <v>0.333333333333333</v>
      </c>
      <c r="V91" s="47">
        <f>IF(AND(H91="Realizado",OR(L91="",M91="")),1,0)</f>
        <v>0</v>
      </c>
    </row>
    <row r="92">
      <c r="A92" s="43" t="n">
        <v>46183</v>
      </c>
      <c r="B92" s="44" t="n">
        <v>0.5833333333333334</v>
      </c>
      <c r="C92" s="38" t="inlineStr">
        <is>
          <t>Dra. Carolina Mendes</t>
        </is>
      </c>
      <c r="D92" s="38" t="inlineStr">
        <is>
          <t>Sala 1</t>
        </is>
      </c>
      <c r="E92" s="37" t="inlineStr">
        <is>
          <t>Leandro Gomes</t>
        </is>
      </c>
      <c r="F92" s="38" t="inlineStr">
        <is>
          <t>Saúde Total</t>
        </is>
      </c>
      <c r="G92" s="38" t="inlineStr">
        <is>
          <t>Retorno</t>
        </is>
      </c>
      <c r="H92" s="38" t="inlineStr">
        <is>
          <t>Realizado</t>
        </is>
      </c>
      <c r="I92" s="38" t="inlineStr">
        <is>
          <t>Sem cobrança</t>
        </is>
      </c>
      <c r="J92" s="38" t="n"/>
      <c r="K92" s="37" t="n"/>
      <c r="L92" s="39" t="n">
        <v>20</v>
      </c>
      <c r="M92" s="40" t="n">
        <v>0</v>
      </c>
      <c r="N92" s="30">
        <f>IF(A92="","",MONTH(A92))</f>
        <v>6</v>
      </c>
      <c r="O92" s="30">
        <f>IF(A92="","",YEAR(A92))</f>
        <v>2026</v>
      </c>
      <c r="P92" s="30" t="str">
        <f>IF(A92="","",CHOOSE(WEEKDAY(A92,2),"Segunda","Terça","Quarta","Quinta","Sexta","Sábado","Domingo"))</f>
        <v>Quarta</v>
      </c>
      <c r="Q92" s="30" t="str">
        <f>IF(B92="","",IF(B92&lt;TIME(12,0,0),"Manhã",IF(B92&lt;TIME(18,0,0),"Tarde","Noite")))</f>
        <v>Tarde</v>
      </c>
      <c r="R92" s="46">
        <f>IF(AND(H92="Realizado",L92&lt;&gt;"",A92&lt;=Config!$B$9),L92/60,0)</f>
        <v>0.333333333333333</v>
      </c>
      <c r="S92" s="45">
        <f>IF(G92="","",IFERROR(INDEX(Config!$K$5:$K$16,MATCH(G92,Config!$J$5:$J$16,0)),""))</f>
        <v>20</v>
      </c>
      <c r="T92" s="31">
        <f>IF(OR(G92="",F92=""),"",IFERROR(INDEX(Config!$M$5:$R$16,MATCH(G92,Config!$J$5:$J$16,0),MATCH(F92,Config!$H$5:$H$10,0)),""))</f>
        <v>0</v>
      </c>
      <c r="U92" s="47">
        <f>IF(AND(H92="Realizado",L92&lt;&gt;""),L92/60,0)</f>
        <v>0.333333333333333</v>
      </c>
      <c r="V92" s="47">
        <f>IF(AND(H92="Realizado",OR(L92="",M92="")),1,0)</f>
        <v>0</v>
      </c>
    </row>
    <row r="93">
      <c r="A93" s="43" t="n">
        <v>46183</v>
      </c>
      <c r="B93" s="44" t="n">
        <v>0.5972222222222222</v>
      </c>
      <c r="C93" s="38" t="inlineStr">
        <is>
          <t>Dra. Carolina Mendes</t>
        </is>
      </c>
      <c r="D93" s="38" t="inlineStr">
        <is>
          <t>Sala 1</t>
        </is>
      </c>
      <c r="E93" s="37" t="inlineStr">
        <is>
          <t>Débora Machado</t>
        </is>
      </c>
      <c r="F93" s="38" t="inlineStr">
        <is>
          <t>Saúde Total</t>
        </is>
      </c>
      <c r="G93" s="38" t="inlineStr">
        <is>
          <t>Consulta</t>
        </is>
      </c>
      <c r="H93" s="38" t="inlineStr">
        <is>
          <t>Realizado</t>
        </is>
      </c>
      <c r="I93" s="38" t="inlineStr">
        <is>
          <t>Convênio</t>
        </is>
      </c>
      <c r="J93" s="38" t="n"/>
      <c r="K93" s="37" t="n"/>
      <c r="L93" s="39" t="n">
        <v>30</v>
      </c>
      <c r="M93" s="40" t="n">
        <v>120</v>
      </c>
      <c r="N93" s="30">
        <f>IF(A93="","",MONTH(A93))</f>
        <v>6</v>
      </c>
      <c r="O93" s="30">
        <f>IF(A93="","",YEAR(A93))</f>
        <v>2026</v>
      </c>
      <c r="P93" s="30" t="str">
        <f>IF(A93="","",CHOOSE(WEEKDAY(A93,2),"Segunda","Terça","Quarta","Quinta","Sexta","Sábado","Domingo"))</f>
        <v>Quarta</v>
      </c>
      <c r="Q93" s="30" t="str">
        <f>IF(B93="","",IF(B93&lt;TIME(12,0,0),"Manhã",IF(B93&lt;TIME(18,0,0),"Tarde","Noite")))</f>
        <v>Tarde</v>
      </c>
      <c r="R93" s="46">
        <f>IF(AND(H93="Realizado",L93&lt;&gt;"",A93&lt;=Config!$B$9),L93/60,0)</f>
        <v>0.5</v>
      </c>
      <c r="S93" s="45">
        <f>IF(G93="","",IFERROR(INDEX(Config!$K$5:$K$16,MATCH(G93,Config!$J$5:$J$16,0)),""))</f>
        <v>30</v>
      </c>
      <c r="T93" s="31">
        <f>IF(OR(G93="",F93=""),"",IFERROR(INDEX(Config!$M$5:$R$16,MATCH(G93,Config!$J$5:$J$16,0),MATCH(F93,Config!$H$5:$H$10,0)),""))</f>
        <v>120</v>
      </c>
      <c r="U93" s="47">
        <f>IF(AND(H93="Realizado",L93&lt;&gt;""),L93/60,0)</f>
        <v>0.5</v>
      </c>
      <c r="V93" s="47">
        <f>IF(AND(H93="Realizado",OR(L93="",M93="")),1,0)</f>
        <v>0</v>
      </c>
    </row>
    <row r="94">
      <c r="A94" s="43" t="n">
        <v>46183</v>
      </c>
      <c r="B94" s="44" t="n">
        <v>0.6180555555555556</v>
      </c>
      <c r="C94" s="38" t="inlineStr">
        <is>
          <t>Dra. Carolina Mendes</t>
        </is>
      </c>
      <c r="D94" s="38" t="inlineStr">
        <is>
          <t>Sala 1</t>
        </is>
      </c>
      <c r="E94" s="37" t="inlineStr">
        <is>
          <t>Elaine Cardoso</t>
        </is>
      </c>
      <c r="F94" s="38" t="inlineStr">
        <is>
          <t>Particular</t>
        </is>
      </c>
      <c r="G94" s="38" t="inlineStr">
        <is>
          <t>Consulta</t>
        </is>
      </c>
      <c r="H94" s="38" t="inlineStr">
        <is>
          <t>Falta</t>
        </is>
      </c>
      <c r="I94" s="38" t="n"/>
      <c r="J94" s="38" t="n"/>
      <c r="K94" s="37" t="n"/>
      <c r="L94" s="39" t="n">
        <v>30</v>
      </c>
      <c r="M94" s="40" t="n">
        <v>380</v>
      </c>
      <c r="N94" s="30">
        <f>IF(A94="","",MONTH(A94))</f>
        <v>6</v>
      </c>
      <c r="O94" s="30">
        <f>IF(A94="","",YEAR(A94))</f>
        <v>2026</v>
      </c>
      <c r="P94" s="30" t="str">
        <f>IF(A94="","",CHOOSE(WEEKDAY(A94,2),"Segunda","Terça","Quarta","Quinta","Sexta","Sábado","Domingo"))</f>
        <v>Quarta</v>
      </c>
      <c r="Q94" s="30" t="str">
        <f>IF(B94="","",IF(B94&lt;TIME(12,0,0),"Manhã",IF(B94&lt;TIME(18,0,0),"Tarde","Noite")))</f>
        <v>Tarde</v>
      </c>
      <c r="R94" s="46">
        <f>IF(AND(H94="Realizado",L94&lt;&gt;"",A94&lt;=Config!$B$9),L94/60,0)</f>
        <v>0</v>
      </c>
      <c r="S94" s="45">
        <f>IF(G94="","",IFERROR(INDEX(Config!$K$5:$K$16,MATCH(G94,Config!$J$5:$J$16,0)),""))</f>
        <v>30</v>
      </c>
      <c r="T94" s="31">
        <f>IF(OR(G94="",F94=""),"",IFERROR(INDEX(Config!$M$5:$R$16,MATCH(G94,Config!$J$5:$J$16,0),MATCH(F94,Config!$H$5:$H$10,0)),""))</f>
        <v>380</v>
      </c>
      <c r="U94" s="47">
        <f>IF(AND(H94="Realizado",L94&lt;&gt;""),L94/60,0)</f>
        <v>0</v>
      </c>
      <c r="V94" s="47">
        <f>IF(AND(H94="Realizado",OR(L94="",M94="")),1,0)</f>
        <v>0</v>
      </c>
    </row>
    <row r="95">
      <c r="A95" s="43" t="n">
        <v>46183</v>
      </c>
      <c r="B95" s="44" t="n">
        <v>0.6597222222222222</v>
      </c>
      <c r="C95" s="38" t="inlineStr">
        <is>
          <t>Dra. Carolina Mendes</t>
        </is>
      </c>
      <c r="D95" s="38" t="inlineStr">
        <is>
          <t>Sala 1</t>
        </is>
      </c>
      <c r="E95" s="37" t="inlineStr">
        <is>
          <t>Patrícia Fernandes</t>
        </is>
      </c>
      <c r="F95" s="38" t="inlineStr">
        <is>
          <t>Particular</t>
        </is>
      </c>
      <c r="G95" s="38" t="inlineStr">
        <is>
          <t>Retorno</t>
        </is>
      </c>
      <c r="H95" s="38" t="inlineStr">
        <is>
          <t>Realizado</t>
        </is>
      </c>
      <c r="I95" s="38" t="inlineStr">
        <is>
          <t>Sem cobrança</t>
        </is>
      </c>
      <c r="J95" s="38" t="n"/>
      <c r="K95" s="37" t="n"/>
      <c r="L95" s="39" t="n">
        <v>20</v>
      </c>
      <c r="M95" s="40" t="n">
        <v>0</v>
      </c>
      <c r="N95" s="30">
        <f>IF(A95="","",MONTH(A95))</f>
        <v>6</v>
      </c>
      <c r="O95" s="30">
        <f>IF(A95="","",YEAR(A95))</f>
        <v>2026</v>
      </c>
      <c r="P95" s="30" t="str">
        <f>IF(A95="","",CHOOSE(WEEKDAY(A95,2),"Segunda","Terça","Quarta","Quinta","Sexta","Sábado","Domingo"))</f>
        <v>Quarta</v>
      </c>
      <c r="Q95" s="30" t="str">
        <f>IF(B95="","",IF(B95&lt;TIME(12,0,0),"Manhã",IF(B95&lt;TIME(18,0,0),"Tarde","Noite")))</f>
        <v>Tarde</v>
      </c>
      <c r="R95" s="46">
        <f>IF(AND(H95="Realizado",L95&lt;&gt;"",A95&lt;=Config!$B$9),L95/60,0)</f>
        <v>0.333333333333333</v>
      </c>
      <c r="S95" s="45">
        <f>IF(G95="","",IFERROR(INDEX(Config!$K$5:$K$16,MATCH(G95,Config!$J$5:$J$16,0)),""))</f>
        <v>20</v>
      </c>
      <c r="T95" s="31">
        <f>IF(OR(G95="",F95=""),"",IFERROR(INDEX(Config!$M$5:$R$16,MATCH(G95,Config!$J$5:$J$16,0),MATCH(F95,Config!$H$5:$H$10,0)),""))</f>
        <v>0</v>
      </c>
      <c r="U95" s="47">
        <f>IF(AND(H95="Realizado",L95&lt;&gt;""),L95/60,0)</f>
        <v>0.333333333333333</v>
      </c>
      <c r="V95" s="47">
        <f>IF(AND(H95="Realizado",OR(L95="",M95="")),1,0)</f>
        <v>0</v>
      </c>
    </row>
    <row r="96">
      <c r="A96" s="43" t="n">
        <v>46183</v>
      </c>
      <c r="B96" s="44" t="n">
        <v>0.6736111111111112</v>
      </c>
      <c r="C96" s="38" t="inlineStr">
        <is>
          <t>Dra. Carolina Mendes</t>
        </is>
      </c>
      <c r="D96" s="38" t="inlineStr">
        <is>
          <t>Sala 1</t>
        </is>
      </c>
      <c r="E96" s="37" t="inlineStr">
        <is>
          <t>Viviane Ribeiro</t>
        </is>
      </c>
      <c r="F96" s="38" t="inlineStr">
        <is>
          <t>Particular</t>
        </is>
      </c>
      <c r="G96" s="38" t="inlineStr">
        <is>
          <t>Retorno</t>
        </is>
      </c>
      <c r="H96" s="38" t="inlineStr">
        <is>
          <t>Realizado</t>
        </is>
      </c>
      <c r="I96" s="38" t="inlineStr">
        <is>
          <t>Sem cobrança</t>
        </is>
      </c>
      <c r="J96" s="38" t="n"/>
      <c r="K96" s="37" t="n"/>
      <c r="L96" s="39" t="n">
        <v>20</v>
      </c>
      <c r="M96" s="40" t="n">
        <v>0</v>
      </c>
      <c r="N96" s="30">
        <f>IF(A96="","",MONTH(A96))</f>
        <v>6</v>
      </c>
      <c r="O96" s="30">
        <f>IF(A96="","",YEAR(A96))</f>
        <v>2026</v>
      </c>
      <c r="P96" s="30" t="str">
        <f>IF(A96="","",CHOOSE(WEEKDAY(A96,2),"Segunda","Terça","Quarta","Quinta","Sexta","Sábado","Domingo"))</f>
        <v>Quarta</v>
      </c>
      <c r="Q96" s="30" t="str">
        <f>IF(B96="","",IF(B96&lt;TIME(12,0,0),"Manhã",IF(B96&lt;TIME(18,0,0),"Tarde","Noite")))</f>
        <v>Tarde</v>
      </c>
      <c r="R96" s="46">
        <f>IF(AND(H96="Realizado",L96&lt;&gt;"",A96&lt;=Config!$B$9),L96/60,0)</f>
        <v>0.333333333333333</v>
      </c>
      <c r="S96" s="45">
        <f>IF(G96="","",IFERROR(INDEX(Config!$K$5:$K$16,MATCH(G96,Config!$J$5:$J$16,0)),""))</f>
        <v>20</v>
      </c>
      <c r="T96" s="31">
        <f>IF(OR(G96="",F96=""),"",IFERROR(INDEX(Config!$M$5:$R$16,MATCH(G96,Config!$J$5:$J$16,0),MATCH(F96,Config!$H$5:$H$10,0)),""))</f>
        <v>0</v>
      </c>
      <c r="U96" s="47">
        <f>IF(AND(H96="Realizado",L96&lt;&gt;""),L96/60,0)</f>
        <v>0.333333333333333</v>
      </c>
      <c r="V96" s="47">
        <f>IF(AND(H96="Realizado",OR(L96="",M96="")),1,0)</f>
        <v>0</v>
      </c>
    </row>
    <row r="97">
      <c r="A97" s="43" t="n">
        <v>46183</v>
      </c>
      <c r="B97" s="44" t="n">
        <v>0.6875</v>
      </c>
      <c r="C97" s="38" t="inlineStr">
        <is>
          <t>Dra. Carolina Mendes</t>
        </is>
      </c>
      <c r="D97" s="38" t="inlineStr">
        <is>
          <t>Sala 1</t>
        </is>
      </c>
      <c r="E97" s="37" t="inlineStr">
        <is>
          <t>Carlos Castro</t>
        </is>
      </c>
      <c r="F97" s="38" t="inlineStr">
        <is>
          <t>Saúde Total</t>
        </is>
      </c>
      <c r="G97" s="38" t="inlineStr">
        <is>
          <t>Consulta</t>
        </is>
      </c>
      <c r="H97" s="38" t="inlineStr">
        <is>
          <t>Cancelado</t>
        </is>
      </c>
      <c r="I97" s="38" t="n"/>
      <c r="J97" s="38" t="n"/>
      <c r="K97" s="37" t="n"/>
      <c r="L97" s="39" t="n">
        <v>30</v>
      </c>
      <c r="M97" s="40" t="n">
        <v>120</v>
      </c>
      <c r="N97" s="30">
        <f>IF(A97="","",MONTH(A97))</f>
        <v>6</v>
      </c>
      <c r="O97" s="30">
        <f>IF(A97="","",YEAR(A97))</f>
        <v>2026</v>
      </c>
      <c r="P97" s="30" t="str">
        <f>IF(A97="","",CHOOSE(WEEKDAY(A97,2),"Segunda","Terça","Quarta","Quinta","Sexta","Sábado","Domingo"))</f>
        <v>Quarta</v>
      </c>
      <c r="Q97" s="30" t="str">
        <f>IF(B97="","",IF(B97&lt;TIME(12,0,0),"Manhã",IF(B97&lt;TIME(18,0,0),"Tarde","Noite")))</f>
        <v>Tarde</v>
      </c>
      <c r="R97" s="46">
        <f>IF(AND(H97="Realizado",L97&lt;&gt;"",A97&lt;=Config!$B$9),L97/60,0)</f>
        <v>0</v>
      </c>
      <c r="S97" s="45">
        <f>IF(G97="","",IFERROR(INDEX(Config!$K$5:$K$16,MATCH(G97,Config!$J$5:$J$16,0)),""))</f>
        <v>30</v>
      </c>
      <c r="T97" s="31">
        <f>IF(OR(G97="",F97=""),"",IFERROR(INDEX(Config!$M$5:$R$16,MATCH(G97,Config!$J$5:$J$16,0),MATCH(F97,Config!$H$5:$H$10,0)),""))</f>
        <v>120</v>
      </c>
      <c r="U97" s="47">
        <f>IF(AND(H97="Realizado",L97&lt;&gt;""),L97/60,0)</f>
        <v>0</v>
      </c>
      <c r="V97" s="47">
        <f>IF(AND(H97="Realizado",OR(L97="",M97="")),1,0)</f>
        <v>0</v>
      </c>
    </row>
    <row r="98">
      <c r="A98" s="43" t="n">
        <v>46183</v>
      </c>
      <c r="B98" s="44" t="n">
        <v>0.7083333333333334</v>
      </c>
      <c r="C98" s="38" t="inlineStr">
        <is>
          <t>Dra. Carolina Mendes</t>
        </is>
      </c>
      <c r="D98" s="38" t="inlineStr">
        <is>
          <t>Sala 1</t>
        </is>
      </c>
      <c r="E98" s="37" t="inlineStr">
        <is>
          <t>Lucas Lopes</t>
        </is>
      </c>
      <c r="F98" s="38" t="inlineStr">
        <is>
          <t>Particular</t>
        </is>
      </c>
      <c r="G98" s="38" t="inlineStr">
        <is>
          <t>Consulta</t>
        </is>
      </c>
      <c r="H98" s="38" t="inlineStr">
        <is>
          <t>Realizado</t>
        </is>
      </c>
      <c r="I98" s="38" t="inlineStr">
        <is>
          <t>Pix</t>
        </is>
      </c>
      <c r="J98" s="38" t="n"/>
      <c r="K98" s="37" t="n"/>
      <c r="L98" s="39" t="n">
        <v>30</v>
      </c>
      <c r="M98" s="40" t="n">
        <v>380</v>
      </c>
      <c r="N98" s="30">
        <f>IF(A98="","",MONTH(A98))</f>
        <v>6</v>
      </c>
      <c r="O98" s="30">
        <f>IF(A98="","",YEAR(A98))</f>
        <v>2026</v>
      </c>
      <c r="P98" s="30" t="str">
        <f>IF(A98="","",CHOOSE(WEEKDAY(A98,2),"Segunda","Terça","Quarta","Quinta","Sexta","Sábado","Domingo"))</f>
        <v>Quarta</v>
      </c>
      <c r="Q98" s="30" t="str">
        <f>IF(B98="","",IF(B98&lt;TIME(12,0,0),"Manhã",IF(B98&lt;TIME(18,0,0),"Tarde","Noite")))</f>
        <v>Tarde</v>
      </c>
      <c r="R98" s="46">
        <f>IF(AND(H98="Realizado",L98&lt;&gt;"",A98&lt;=Config!$B$9),L98/60,0)</f>
        <v>0.5</v>
      </c>
      <c r="S98" s="45">
        <f>IF(G98="","",IFERROR(INDEX(Config!$K$5:$K$16,MATCH(G98,Config!$J$5:$J$16,0)),""))</f>
        <v>30</v>
      </c>
      <c r="T98" s="31">
        <f>IF(OR(G98="",F98=""),"",IFERROR(INDEX(Config!$M$5:$R$16,MATCH(G98,Config!$J$5:$J$16,0),MATCH(F98,Config!$H$5:$H$10,0)),""))</f>
        <v>380</v>
      </c>
      <c r="U98" s="47">
        <f>IF(AND(H98="Realizado",L98&lt;&gt;""),L98/60,0)</f>
        <v>0.5</v>
      </c>
      <c r="V98" s="47">
        <f>IF(AND(H98="Realizado",OR(L98="",M98="")),1,0)</f>
        <v>0</v>
      </c>
    </row>
    <row r="99">
      <c r="A99" s="43" t="n">
        <v>46183</v>
      </c>
      <c r="B99" s="44" t="n">
        <v>0.7291666666666666</v>
      </c>
      <c r="C99" s="38" t="inlineStr">
        <is>
          <t>Dra. Carolina Mendes</t>
        </is>
      </c>
      <c r="D99" s="38" t="inlineStr">
        <is>
          <t>Sala 1</t>
        </is>
      </c>
      <c r="E99" s="37" t="inlineStr">
        <is>
          <t>Regina Teixeira</t>
        </is>
      </c>
      <c r="F99" s="38" t="inlineStr">
        <is>
          <t>Particular</t>
        </is>
      </c>
      <c r="G99" s="38" t="inlineStr">
        <is>
          <t>Consulta</t>
        </is>
      </c>
      <c r="H99" s="38" t="inlineStr">
        <is>
          <t>Realizado</t>
        </is>
      </c>
      <c r="I99" s="38" t="inlineStr">
        <is>
          <t>A prazo</t>
        </is>
      </c>
      <c r="J99" s="38" t="n"/>
      <c r="K99" s="37" t="n"/>
      <c r="L99" s="39" t="n">
        <v>30</v>
      </c>
      <c r="M99" s="40" t="n">
        <v>380</v>
      </c>
      <c r="N99" s="30">
        <f>IF(A99="","",MONTH(A99))</f>
        <v>6</v>
      </c>
      <c r="O99" s="30">
        <f>IF(A99="","",YEAR(A99))</f>
        <v>2026</v>
      </c>
      <c r="P99" s="30" t="str">
        <f>IF(A99="","",CHOOSE(WEEKDAY(A99,2),"Segunda","Terça","Quarta","Quinta","Sexta","Sábado","Domingo"))</f>
        <v>Quarta</v>
      </c>
      <c r="Q99" s="30" t="str">
        <f>IF(B99="","",IF(B99&lt;TIME(12,0,0),"Manhã",IF(B99&lt;TIME(18,0,0),"Tarde","Noite")))</f>
        <v>Tarde</v>
      </c>
      <c r="R99" s="46">
        <f>IF(AND(H99="Realizado",L99&lt;&gt;"",A99&lt;=Config!$B$9),L99/60,0)</f>
        <v>0.5</v>
      </c>
      <c r="S99" s="45">
        <f>IF(G99="","",IFERROR(INDEX(Config!$K$5:$K$16,MATCH(G99,Config!$J$5:$J$16,0)),""))</f>
        <v>30</v>
      </c>
      <c r="T99" s="31">
        <f>IF(OR(G99="",F99=""),"",IFERROR(INDEX(Config!$M$5:$R$16,MATCH(G99,Config!$J$5:$J$16,0),MATCH(F99,Config!$H$5:$H$10,0)),""))</f>
        <v>380</v>
      </c>
      <c r="U99" s="47">
        <f>IF(AND(H99="Realizado",L99&lt;&gt;""),L99/60,0)</f>
        <v>0.5</v>
      </c>
      <c r="V99" s="47">
        <f>IF(AND(H99="Realizado",OR(L99="",M99="")),1,0)</f>
        <v>0</v>
      </c>
    </row>
    <row r="100">
      <c r="A100" s="43" t="n">
        <v>46184</v>
      </c>
      <c r="B100" s="44" t="n">
        <v>0.3333333333333333</v>
      </c>
      <c r="C100" s="38" t="inlineStr">
        <is>
          <t>Dra. Carolina Mendes</t>
        </is>
      </c>
      <c r="D100" s="38" t="inlineStr">
        <is>
          <t>Sala 1</t>
        </is>
      </c>
      <c r="E100" s="37" t="inlineStr">
        <is>
          <t>Daniel Melo</t>
        </is>
      </c>
      <c r="F100" s="38" t="inlineStr">
        <is>
          <t>Saúde Total</t>
        </is>
      </c>
      <c r="G100" s="38" t="inlineStr">
        <is>
          <t>Retorno</t>
        </is>
      </c>
      <c r="H100" s="38" t="inlineStr">
        <is>
          <t>Falta</t>
        </is>
      </c>
      <c r="I100" s="38" t="n"/>
      <c r="J100" s="38" t="n"/>
      <c r="K100" s="37" t="n"/>
      <c r="L100" s="39" t="n">
        <v>20</v>
      </c>
      <c r="M100" s="40" t="n">
        <v>0</v>
      </c>
      <c r="N100" s="30">
        <f>IF(A100="","",MONTH(A100))</f>
        <v>6</v>
      </c>
      <c r="O100" s="30">
        <f>IF(A100="","",YEAR(A100))</f>
        <v>2026</v>
      </c>
      <c r="P100" s="30" t="str">
        <f>IF(A100="","",CHOOSE(WEEKDAY(A100,2),"Segunda","Terça","Quarta","Quinta","Sexta","Sábado","Domingo"))</f>
        <v>Quinta</v>
      </c>
      <c r="Q100" s="30" t="str">
        <f>IF(B100="","",IF(B100&lt;TIME(12,0,0),"Manhã",IF(B100&lt;TIME(18,0,0),"Tarde","Noite")))</f>
        <v>Manhã</v>
      </c>
      <c r="R100" s="46">
        <f>IF(AND(H100="Realizado",L100&lt;&gt;"",A100&lt;=Config!$B$9),L100/60,0)</f>
        <v>0</v>
      </c>
      <c r="S100" s="45">
        <f>IF(G100="","",IFERROR(INDEX(Config!$K$5:$K$16,MATCH(G100,Config!$J$5:$J$16,0)),""))</f>
        <v>20</v>
      </c>
      <c r="T100" s="31">
        <f>IF(OR(G100="",F100=""),"",IFERROR(INDEX(Config!$M$5:$R$16,MATCH(G100,Config!$J$5:$J$16,0),MATCH(F100,Config!$H$5:$H$10,0)),""))</f>
        <v>0</v>
      </c>
      <c r="U100" s="47">
        <f>IF(AND(H100="Realizado",L100&lt;&gt;""),L100/60,0)</f>
        <v>0</v>
      </c>
      <c r="V100" s="47">
        <f>IF(AND(H100="Realizado",OR(L100="",M100="")),1,0)</f>
        <v>0</v>
      </c>
    </row>
    <row r="101">
      <c r="A101" s="43" t="n">
        <v>46184</v>
      </c>
      <c r="B101" s="44" t="n">
        <v>0.3680555555555556</v>
      </c>
      <c r="C101" s="38" t="inlineStr">
        <is>
          <t>Dra. Carolina Mendes</t>
        </is>
      </c>
      <c r="D101" s="38" t="inlineStr">
        <is>
          <t>Sala 1</t>
        </is>
      </c>
      <c r="E101" s="37" t="inlineStr">
        <is>
          <t>Elaine Cardoso</t>
        </is>
      </c>
      <c r="F101" s="38" t="inlineStr">
        <is>
          <t>Particular</t>
        </is>
      </c>
      <c r="G101" s="38" t="inlineStr">
        <is>
          <t>Consulta</t>
        </is>
      </c>
      <c r="H101" s="38" t="inlineStr">
        <is>
          <t>Realizado</t>
        </is>
      </c>
      <c r="I101" s="38" t="inlineStr">
        <is>
          <t>Pix</t>
        </is>
      </c>
      <c r="J101" s="38" t="n"/>
      <c r="K101" s="37" t="n"/>
      <c r="L101" s="39" t="n">
        <v>30</v>
      </c>
      <c r="M101" s="40" t="n">
        <v>380</v>
      </c>
      <c r="N101" s="30">
        <f>IF(A101="","",MONTH(A101))</f>
        <v>6</v>
      </c>
      <c r="O101" s="30">
        <f>IF(A101="","",YEAR(A101))</f>
        <v>2026</v>
      </c>
      <c r="P101" s="30" t="str">
        <f>IF(A101="","",CHOOSE(WEEKDAY(A101,2),"Segunda","Terça","Quarta","Quinta","Sexta","Sábado","Domingo"))</f>
        <v>Quinta</v>
      </c>
      <c r="Q101" s="30" t="str">
        <f>IF(B101="","",IF(B101&lt;TIME(12,0,0),"Manhã",IF(B101&lt;TIME(18,0,0),"Tarde","Noite")))</f>
        <v>Manhã</v>
      </c>
      <c r="R101" s="46">
        <f>IF(AND(H101="Realizado",L101&lt;&gt;"",A101&lt;=Config!$B$9),L101/60,0)</f>
        <v>0.5</v>
      </c>
      <c r="S101" s="45">
        <f>IF(G101="","",IFERROR(INDEX(Config!$K$5:$K$16,MATCH(G101,Config!$J$5:$J$16,0)),""))</f>
        <v>30</v>
      </c>
      <c r="T101" s="31">
        <f>IF(OR(G101="",F101=""),"",IFERROR(INDEX(Config!$M$5:$R$16,MATCH(G101,Config!$J$5:$J$16,0),MATCH(F101,Config!$H$5:$H$10,0)),""))</f>
        <v>380</v>
      </c>
      <c r="U101" s="47">
        <f>IF(AND(H101="Realizado",L101&lt;&gt;""),L101/60,0)</f>
        <v>0.5</v>
      </c>
      <c r="V101" s="47">
        <f>IF(AND(H101="Realizado",OR(L101="",M101="")),1,0)</f>
        <v>0</v>
      </c>
    </row>
    <row r="102">
      <c r="A102" s="43" t="n">
        <v>46184</v>
      </c>
      <c r="B102" s="44" t="n">
        <v>0.3888888888888889</v>
      </c>
      <c r="C102" s="38" t="inlineStr">
        <is>
          <t>Dra. Carolina Mendes</t>
        </is>
      </c>
      <c r="D102" s="38" t="inlineStr">
        <is>
          <t>Sala 1</t>
        </is>
      </c>
      <c r="E102" s="37" t="inlineStr">
        <is>
          <t>Gustavo Ferreira</t>
        </is>
      </c>
      <c r="F102" s="38" t="inlineStr">
        <is>
          <t>Particular</t>
        </is>
      </c>
      <c r="G102" s="38" t="inlineStr">
        <is>
          <t>Consulta</t>
        </is>
      </c>
      <c r="H102" s="38" t="inlineStr">
        <is>
          <t>Realizado</t>
        </is>
      </c>
      <c r="I102" s="38" t="inlineStr">
        <is>
          <t>Dinheiro</t>
        </is>
      </c>
      <c r="J102" s="38" t="n"/>
      <c r="K102" s="37" t="n"/>
      <c r="L102" s="39" t="n">
        <v>30</v>
      </c>
      <c r="M102" s="40" t="n">
        <v>380</v>
      </c>
      <c r="N102" s="30">
        <f>IF(A102="","",MONTH(A102))</f>
        <v>6</v>
      </c>
      <c r="O102" s="30">
        <f>IF(A102="","",YEAR(A102))</f>
        <v>2026</v>
      </c>
      <c r="P102" s="30" t="str">
        <f>IF(A102="","",CHOOSE(WEEKDAY(A102,2),"Segunda","Terça","Quarta","Quinta","Sexta","Sábado","Domingo"))</f>
        <v>Quinta</v>
      </c>
      <c r="Q102" s="30" t="str">
        <f>IF(B102="","",IF(B102&lt;TIME(12,0,0),"Manhã",IF(B102&lt;TIME(18,0,0),"Tarde","Noite")))</f>
        <v>Manhã</v>
      </c>
      <c r="R102" s="46">
        <f>IF(AND(H102="Realizado",L102&lt;&gt;"",A102&lt;=Config!$B$9),L102/60,0)</f>
        <v>0.5</v>
      </c>
      <c r="S102" s="45">
        <f>IF(G102="","",IFERROR(INDEX(Config!$K$5:$K$16,MATCH(G102,Config!$J$5:$J$16,0)),""))</f>
        <v>30</v>
      </c>
      <c r="T102" s="31">
        <f>IF(OR(G102="",F102=""),"",IFERROR(INDEX(Config!$M$5:$R$16,MATCH(G102,Config!$J$5:$J$16,0),MATCH(F102,Config!$H$5:$H$10,0)),""))</f>
        <v>380</v>
      </c>
      <c r="U102" s="47">
        <f>IF(AND(H102="Realizado",L102&lt;&gt;""),L102/60,0)</f>
        <v>0.5</v>
      </c>
      <c r="V102" s="47">
        <f>IF(AND(H102="Realizado",OR(L102="",M102="")),1,0)</f>
        <v>0</v>
      </c>
    </row>
    <row r="103">
      <c r="A103" s="43" t="n">
        <v>46184</v>
      </c>
      <c r="B103" s="44" t="n">
        <v>0.4097222222222222</v>
      </c>
      <c r="C103" s="38" t="inlineStr">
        <is>
          <t>Dra. Carolina Mendes</t>
        </is>
      </c>
      <c r="D103" s="38" t="inlineStr">
        <is>
          <t>Sala 1</t>
        </is>
      </c>
      <c r="E103" s="37" t="inlineStr">
        <is>
          <t>Ricardo Melo</t>
        </is>
      </c>
      <c r="F103" s="38" t="inlineStr">
        <is>
          <t>Saúde Total</t>
        </is>
      </c>
      <c r="G103" s="38" t="inlineStr">
        <is>
          <t>Consulta</t>
        </is>
      </c>
      <c r="H103" s="38" t="inlineStr">
        <is>
          <t>Realizado</t>
        </is>
      </c>
      <c r="I103" s="38" t="inlineStr">
        <is>
          <t>Convênio</t>
        </is>
      </c>
      <c r="J103" s="38" t="n"/>
      <c r="K103" s="37" t="n"/>
      <c r="L103" s="39" t="n">
        <v>30</v>
      </c>
      <c r="M103" s="40" t="n">
        <v>120</v>
      </c>
      <c r="N103" s="30">
        <f>IF(A103="","",MONTH(A103))</f>
        <v>6</v>
      </c>
      <c r="O103" s="30">
        <f>IF(A103="","",YEAR(A103))</f>
        <v>2026</v>
      </c>
      <c r="P103" s="30" t="str">
        <f>IF(A103="","",CHOOSE(WEEKDAY(A103,2),"Segunda","Terça","Quarta","Quinta","Sexta","Sábado","Domingo"))</f>
        <v>Quinta</v>
      </c>
      <c r="Q103" s="30" t="str">
        <f>IF(B103="","",IF(B103&lt;TIME(12,0,0),"Manhã",IF(B103&lt;TIME(18,0,0),"Tarde","Noite")))</f>
        <v>Manhã</v>
      </c>
      <c r="R103" s="46">
        <f>IF(AND(H103="Realizado",L103&lt;&gt;"",A103&lt;=Config!$B$9),L103/60,0)</f>
        <v>0.5</v>
      </c>
      <c r="S103" s="45">
        <f>IF(G103="","",IFERROR(INDEX(Config!$K$5:$K$16,MATCH(G103,Config!$J$5:$J$16,0)),""))</f>
        <v>30</v>
      </c>
      <c r="T103" s="31">
        <f>IF(OR(G103="",F103=""),"",IFERROR(INDEX(Config!$M$5:$R$16,MATCH(G103,Config!$J$5:$J$16,0),MATCH(F103,Config!$H$5:$H$10,0)),""))</f>
        <v>120</v>
      </c>
      <c r="U103" s="47">
        <f>IF(AND(H103="Realizado",L103&lt;&gt;""),L103/60,0)</f>
        <v>0.5</v>
      </c>
      <c r="V103" s="47">
        <f>IF(AND(H103="Realizado",OR(L103="",M103="")),1,0)</f>
        <v>0</v>
      </c>
    </row>
    <row r="104">
      <c r="A104" s="43" t="n">
        <v>46184</v>
      </c>
      <c r="B104" s="44" t="n">
        <v>0.4305555555555556</v>
      </c>
      <c r="C104" s="38" t="inlineStr">
        <is>
          <t>Dra. Carolina Mendes</t>
        </is>
      </c>
      <c r="D104" s="38" t="inlineStr">
        <is>
          <t>Sala 1</t>
        </is>
      </c>
      <c r="E104" s="37" t="inlineStr">
        <is>
          <t>Daniel Melo</t>
        </is>
      </c>
      <c r="F104" s="38" t="inlineStr">
        <is>
          <t>Saúde Total</t>
        </is>
      </c>
      <c r="G104" s="38" t="inlineStr">
        <is>
          <t>Consulta</t>
        </is>
      </c>
      <c r="H104" s="38" t="inlineStr">
        <is>
          <t>Realizado</t>
        </is>
      </c>
      <c r="I104" s="38" t="inlineStr">
        <is>
          <t>Convênio</t>
        </is>
      </c>
      <c r="J104" s="38" t="n"/>
      <c r="K104" s="37" t="n"/>
      <c r="L104" s="39" t="n">
        <v>30</v>
      </c>
      <c r="M104" s="40" t="n">
        <v>120</v>
      </c>
      <c r="N104" s="30">
        <f>IF(A104="","",MONTH(A104))</f>
        <v>6</v>
      </c>
      <c r="O104" s="30">
        <f>IF(A104="","",YEAR(A104))</f>
        <v>2026</v>
      </c>
      <c r="P104" s="30" t="str">
        <f>IF(A104="","",CHOOSE(WEEKDAY(A104,2),"Segunda","Terça","Quarta","Quinta","Sexta","Sábado","Domingo"))</f>
        <v>Quinta</v>
      </c>
      <c r="Q104" s="30" t="str">
        <f>IF(B104="","",IF(B104&lt;TIME(12,0,0),"Manhã",IF(B104&lt;TIME(18,0,0),"Tarde","Noite")))</f>
        <v>Manhã</v>
      </c>
      <c r="R104" s="46">
        <f>IF(AND(H104="Realizado",L104&lt;&gt;"",A104&lt;=Config!$B$9),L104/60,0)</f>
        <v>0.5</v>
      </c>
      <c r="S104" s="45">
        <f>IF(G104="","",IFERROR(INDEX(Config!$K$5:$K$16,MATCH(G104,Config!$J$5:$J$16,0)),""))</f>
        <v>30</v>
      </c>
      <c r="T104" s="31">
        <f>IF(OR(G104="",F104=""),"",IFERROR(INDEX(Config!$M$5:$R$16,MATCH(G104,Config!$J$5:$J$16,0),MATCH(F104,Config!$H$5:$H$10,0)),""))</f>
        <v>120</v>
      </c>
      <c r="U104" s="47">
        <f>IF(AND(H104="Realizado",L104&lt;&gt;""),L104/60,0)</f>
        <v>0.5</v>
      </c>
      <c r="V104" s="47">
        <f>IF(AND(H104="Realizado",OR(L104="",M104="")),1,0)</f>
        <v>0</v>
      </c>
    </row>
    <row r="105">
      <c r="A105" s="43" t="n">
        <v>46184</v>
      </c>
      <c r="B105" s="44" t="n">
        <v>0.4513888888888889</v>
      </c>
      <c r="C105" s="38" t="inlineStr">
        <is>
          <t>Dra. Carolina Mendes</t>
        </is>
      </c>
      <c r="D105" s="38" t="inlineStr">
        <is>
          <t>Sala 1</t>
        </is>
      </c>
      <c r="E105" s="37" t="inlineStr">
        <is>
          <t>Wagner Santos</t>
        </is>
      </c>
      <c r="F105" s="38" t="inlineStr">
        <is>
          <t>Particular</t>
        </is>
      </c>
      <c r="G105" s="38" t="inlineStr">
        <is>
          <t>Consulta</t>
        </is>
      </c>
      <c r="H105" s="38" t="inlineStr">
        <is>
          <t>Realizado</t>
        </is>
      </c>
      <c r="I105" s="38" t="inlineStr">
        <is>
          <t>Pix</t>
        </is>
      </c>
      <c r="J105" s="38" t="n"/>
      <c r="K105" s="37" t="n"/>
      <c r="L105" s="39" t="n">
        <v>30</v>
      </c>
      <c r="M105" s="40" t="n">
        <v>380</v>
      </c>
      <c r="N105" s="30">
        <f>IF(A105="","",MONTH(A105))</f>
        <v>6</v>
      </c>
      <c r="O105" s="30">
        <f>IF(A105="","",YEAR(A105))</f>
        <v>2026</v>
      </c>
      <c r="P105" s="30" t="str">
        <f>IF(A105="","",CHOOSE(WEEKDAY(A105,2),"Segunda","Terça","Quarta","Quinta","Sexta","Sábado","Domingo"))</f>
        <v>Quinta</v>
      </c>
      <c r="Q105" s="30" t="str">
        <f>IF(B105="","",IF(B105&lt;TIME(12,0,0),"Manhã",IF(B105&lt;TIME(18,0,0),"Tarde","Noite")))</f>
        <v>Manhã</v>
      </c>
      <c r="R105" s="46">
        <f>IF(AND(H105="Realizado",L105&lt;&gt;"",A105&lt;=Config!$B$9),L105/60,0)</f>
        <v>0.5</v>
      </c>
      <c r="S105" s="45">
        <f>IF(G105="","",IFERROR(INDEX(Config!$K$5:$K$16,MATCH(G105,Config!$J$5:$J$16,0)),""))</f>
        <v>30</v>
      </c>
      <c r="T105" s="31">
        <f>IF(OR(G105="",F105=""),"",IFERROR(INDEX(Config!$M$5:$R$16,MATCH(G105,Config!$J$5:$J$16,0),MATCH(F105,Config!$H$5:$H$10,0)),""))</f>
        <v>380</v>
      </c>
      <c r="U105" s="47">
        <f>IF(AND(H105="Realizado",L105&lt;&gt;""),L105/60,0)</f>
        <v>0.5</v>
      </c>
      <c r="V105" s="47">
        <f>IF(AND(H105="Realizado",OR(L105="",M105="")),1,0)</f>
        <v>0</v>
      </c>
    </row>
    <row r="106">
      <c r="A106" s="43" t="n">
        <v>46184</v>
      </c>
      <c r="B106" s="44" t="n">
        <v>0.4722222222222222</v>
      </c>
      <c r="C106" s="38" t="inlineStr">
        <is>
          <t>Dra. Carolina Mendes</t>
        </is>
      </c>
      <c r="D106" s="38" t="inlineStr">
        <is>
          <t>Sala 1</t>
        </is>
      </c>
      <c r="E106" s="37" t="inlineStr">
        <is>
          <t>Isabela Pinto</t>
        </is>
      </c>
      <c r="F106" s="38" t="inlineStr">
        <is>
          <t>Saúde Total</t>
        </is>
      </c>
      <c r="G106" s="38" t="inlineStr">
        <is>
          <t>Consulta</t>
        </is>
      </c>
      <c r="H106" s="38" t="inlineStr">
        <is>
          <t>Realizado</t>
        </is>
      </c>
      <c r="I106" s="38" t="inlineStr">
        <is>
          <t>Convênio</t>
        </is>
      </c>
      <c r="J106" s="38" t="n"/>
      <c r="K106" s="37" t="n"/>
      <c r="L106" s="39" t="n">
        <v>30</v>
      </c>
      <c r="M106" s="40" t="n">
        <v>120</v>
      </c>
      <c r="N106" s="30">
        <f>IF(A106="","",MONTH(A106))</f>
        <v>6</v>
      </c>
      <c r="O106" s="30">
        <f>IF(A106="","",YEAR(A106))</f>
        <v>2026</v>
      </c>
      <c r="P106" s="30" t="str">
        <f>IF(A106="","",CHOOSE(WEEKDAY(A106,2),"Segunda","Terça","Quarta","Quinta","Sexta","Sábado","Domingo"))</f>
        <v>Quinta</v>
      </c>
      <c r="Q106" s="30" t="str">
        <f>IF(B106="","",IF(B106&lt;TIME(12,0,0),"Manhã",IF(B106&lt;TIME(18,0,0),"Tarde","Noite")))</f>
        <v>Manhã</v>
      </c>
      <c r="R106" s="46">
        <f>IF(AND(H106="Realizado",L106&lt;&gt;"",A106&lt;=Config!$B$9),L106/60,0)</f>
        <v>0.5</v>
      </c>
      <c r="S106" s="45">
        <f>IF(G106="","",IFERROR(INDEX(Config!$K$5:$K$16,MATCH(G106,Config!$J$5:$J$16,0)),""))</f>
        <v>30</v>
      </c>
      <c r="T106" s="31">
        <f>IF(OR(G106="",F106=""),"",IFERROR(INDEX(Config!$M$5:$R$16,MATCH(G106,Config!$J$5:$J$16,0),MATCH(F106,Config!$H$5:$H$10,0)),""))</f>
        <v>120</v>
      </c>
      <c r="U106" s="47">
        <f>IF(AND(H106="Realizado",L106&lt;&gt;""),L106/60,0)</f>
        <v>0.5</v>
      </c>
      <c r="V106" s="47">
        <f>IF(AND(H106="Realizado",OR(L106="",M106="")),1,0)</f>
        <v>0</v>
      </c>
    </row>
    <row r="107">
      <c r="A107" s="43" t="n">
        <v>46184</v>
      </c>
      <c r="B107" s="44" t="n">
        <v>0.5833333333333334</v>
      </c>
      <c r="C107" s="38" t="inlineStr">
        <is>
          <t>Dra. Renata Sousa</t>
        </is>
      </c>
      <c r="D107" s="38" t="inlineStr">
        <is>
          <t>Sala 1</t>
        </is>
      </c>
      <c r="E107" s="37" t="inlineStr">
        <is>
          <t>Daniel Moreira</t>
        </is>
      </c>
      <c r="F107" s="38" t="inlineStr">
        <is>
          <t>Saúde Total</t>
        </is>
      </c>
      <c r="G107" s="38" t="inlineStr">
        <is>
          <t>Avaliação endócrina</t>
        </is>
      </c>
      <c r="H107" s="38" t="inlineStr">
        <is>
          <t>Realizado</t>
        </is>
      </c>
      <c r="I107" s="38" t="inlineStr">
        <is>
          <t>Convênio</t>
        </is>
      </c>
      <c r="J107" s="38" t="n"/>
      <c r="K107" s="37" t="n"/>
      <c r="L107" s="39" t="n">
        <v>40</v>
      </c>
      <c r="M107" s="40" t="n">
        <v>130</v>
      </c>
      <c r="N107" s="30">
        <f>IF(A107="","",MONTH(A107))</f>
        <v>6</v>
      </c>
      <c r="O107" s="30">
        <f>IF(A107="","",YEAR(A107))</f>
        <v>2026</v>
      </c>
      <c r="P107" s="30" t="str">
        <f>IF(A107="","",CHOOSE(WEEKDAY(A107,2),"Segunda","Terça","Quarta","Quinta","Sexta","Sábado","Domingo"))</f>
        <v>Quinta</v>
      </c>
      <c r="Q107" s="30" t="str">
        <f>IF(B107="","",IF(B107&lt;TIME(12,0,0),"Manhã",IF(B107&lt;TIME(18,0,0),"Tarde","Noite")))</f>
        <v>Tarde</v>
      </c>
      <c r="R107" s="46">
        <f>IF(AND(H107="Realizado",L107&lt;&gt;"",A107&lt;=Config!$B$9),L107/60,0)</f>
        <v>0.666666666666667</v>
      </c>
      <c r="S107" s="45">
        <f>IF(G107="","",IFERROR(INDEX(Config!$K$5:$K$16,MATCH(G107,Config!$J$5:$J$16,0)),""))</f>
        <v>40</v>
      </c>
      <c r="T107" s="31">
        <f>IF(OR(G107="",F107=""),"",IFERROR(INDEX(Config!$M$5:$R$16,MATCH(G107,Config!$J$5:$J$16,0),MATCH(F107,Config!$H$5:$H$10,0)),""))</f>
        <v>130</v>
      </c>
      <c r="U107" s="47">
        <f>IF(AND(H107="Realizado",L107&lt;&gt;""),L107/60,0)</f>
        <v>0.666666666666667</v>
      </c>
      <c r="V107" s="47">
        <f>IF(AND(H107="Realizado",OR(L107="",M107="")),1,0)</f>
        <v>0</v>
      </c>
    </row>
    <row r="108">
      <c r="A108" s="43" t="n">
        <v>46184</v>
      </c>
      <c r="B108" s="44" t="n">
        <v>0.5833333333333334</v>
      </c>
      <c r="C108" s="38" t="inlineStr">
        <is>
          <t>Dr. Paulo Andrade</t>
        </is>
      </c>
      <c r="D108" s="38" t="inlineStr">
        <is>
          <t>Sala 2</t>
        </is>
      </c>
      <c r="E108" s="37" t="inlineStr">
        <is>
          <t>Fábio Correia</t>
        </is>
      </c>
      <c r="F108" s="38" t="inlineStr">
        <is>
          <t>Particular</t>
        </is>
      </c>
      <c r="G108" s="38" t="inlineStr">
        <is>
          <t>Consulta</t>
        </is>
      </c>
      <c r="H108" s="38" t="inlineStr">
        <is>
          <t>Falta</t>
        </is>
      </c>
      <c r="I108" s="38" t="n"/>
      <c r="J108" s="38" t="n"/>
      <c r="K108" s="37" t="n"/>
      <c r="L108" s="39" t="n">
        <v>30</v>
      </c>
      <c r="M108" s="40" t="n">
        <v>380</v>
      </c>
      <c r="N108" s="30">
        <f>IF(A108="","",MONTH(A108))</f>
        <v>6</v>
      </c>
      <c r="O108" s="30">
        <f>IF(A108="","",YEAR(A108))</f>
        <v>2026</v>
      </c>
      <c r="P108" s="30" t="str">
        <f>IF(A108="","",CHOOSE(WEEKDAY(A108,2),"Segunda","Terça","Quarta","Quinta","Sexta","Sábado","Domingo"))</f>
        <v>Quinta</v>
      </c>
      <c r="Q108" s="30" t="str">
        <f>IF(B108="","",IF(B108&lt;TIME(12,0,0),"Manhã",IF(B108&lt;TIME(18,0,0),"Tarde","Noite")))</f>
        <v>Tarde</v>
      </c>
      <c r="R108" s="46">
        <f>IF(AND(H108="Realizado",L108&lt;&gt;"",A108&lt;=Config!$B$9),L108/60,0)</f>
        <v>0</v>
      </c>
      <c r="S108" s="45">
        <f>IF(G108="","",IFERROR(INDEX(Config!$K$5:$K$16,MATCH(G108,Config!$J$5:$J$16,0)),""))</f>
        <v>30</v>
      </c>
      <c r="T108" s="31">
        <f>IF(OR(G108="",F108=""),"",IFERROR(INDEX(Config!$M$5:$R$16,MATCH(G108,Config!$J$5:$J$16,0),MATCH(F108,Config!$H$5:$H$10,0)),""))</f>
        <v>380</v>
      </c>
      <c r="U108" s="47">
        <f>IF(AND(H108="Realizado",L108&lt;&gt;""),L108/60,0)</f>
        <v>0</v>
      </c>
      <c r="V108" s="47">
        <f>IF(AND(H108="Realizado",OR(L108="",M108="")),1,0)</f>
        <v>0</v>
      </c>
    </row>
    <row r="109">
      <c r="A109" s="43" t="n">
        <v>46184</v>
      </c>
      <c r="B109" s="44" t="n">
        <v>0.6041666666666666</v>
      </c>
      <c r="C109" s="38" t="inlineStr">
        <is>
          <t>Dr. Paulo Andrade</t>
        </is>
      </c>
      <c r="D109" s="38" t="inlineStr">
        <is>
          <t>Sala 2</t>
        </is>
      </c>
      <c r="E109" s="37" t="inlineStr">
        <is>
          <t>Priscila Pinto</t>
        </is>
      </c>
      <c r="F109" s="38" t="inlineStr">
        <is>
          <t>Saúde Total</t>
        </is>
      </c>
      <c r="G109" s="38" t="inlineStr">
        <is>
          <t>Consulta</t>
        </is>
      </c>
      <c r="H109" s="38" t="inlineStr">
        <is>
          <t>Realizado</t>
        </is>
      </c>
      <c r="I109" s="38" t="inlineStr">
        <is>
          <t>Convênio</t>
        </is>
      </c>
      <c r="J109" s="38" t="n"/>
      <c r="K109" s="37" t="n"/>
      <c r="L109" s="39" t="n">
        <v>30</v>
      </c>
      <c r="M109" s="40" t="n">
        <v>120</v>
      </c>
      <c r="N109" s="30">
        <f>IF(A109="","",MONTH(A109))</f>
        <v>6</v>
      </c>
      <c r="O109" s="30">
        <f>IF(A109="","",YEAR(A109))</f>
        <v>2026</v>
      </c>
      <c r="P109" s="30" t="str">
        <f>IF(A109="","",CHOOSE(WEEKDAY(A109,2),"Segunda","Terça","Quarta","Quinta","Sexta","Sábado","Domingo"))</f>
        <v>Quinta</v>
      </c>
      <c r="Q109" s="30" t="str">
        <f>IF(B109="","",IF(B109&lt;TIME(12,0,0),"Manhã",IF(B109&lt;TIME(18,0,0),"Tarde","Noite")))</f>
        <v>Tarde</v>
      </c>
      <c r="R109" s="46">
        <f>IF(AND(H109="Realizado",L109&lt;&gt;"",A109&lt;=Config!$B$9),L109/60,0)</f>
        <v>0.5</v>
      </c>
      <c r="S109" s="45">
        <f>IF(G109="","",IFERROR(INDEX(Config!$K$5:$K$16,MATCH(G109,Config!$J$5:$J$16,0)),""))</f>
        <v>30</v>
      </c>
      <c r="T109" s="31">
        <f>IF(OR(G109="",F109=""),"",IFERROR(INDEX(Config!$M$5:$R$16,MATCH(G109,Config!$J$5:$J$16,0),MATCH(F109,Config!$H$5:$H$10,0)),""))</f>
        <v>120</v>
      </c>
      <c r="U109" s="47">
        <f>IF(AND(H109="Realizado",L109&lt;&gt;""),L109/60,0)</f>
        <v>0.5</v>
      </c>
      <c r="V109" s="47">
        <f>IF(AND(H109="Realizado",OR(L109="",M109="")),1,0)</f>
        <v>0</v>
      </c>
    </row>
    <row r="110">
      <c r="A110" s="43" t="n">
        <v>46184</v>
      </c>
      <c r="B110" s="44" t="n">
        <v>0.6319444444444444</v>
      </c>
      <c r="C110" s="38" t="inlineStr">
        <is>
          <t>Dra. Renata Sousa</t>
        </is>
      </c>
      <c r="D110" s="38" t="inlineStr">
        <is>
          <t>Sala 1</t>
        </is>
      </c>
      <c r="E110" s="37" t="inlineStr">
        <is>
          <t>Roberta Lima</t>
        </is>
      </c>
      <c r="F110" s="38" t="inlineStr">
        <is>
          <t>Particular</t>
        </is>
      </c>
      <c r="G110" s="38" t="inlineStr">
        <is>
          <t>Avaliação endócrina</t>
        </is>
      </c>
      <c r="H110" s="38" t="inlineStr">
        <is>
          <t>Realizado</t>
        </is>
      </c>
      <c r="I110" s="38" t="inlineStr">
        <is>
          <t>Pix</t>
        </is>
      </c>
      <c r="J110" s="38" t="n"/>
      <c r="K110" s="37" t="n"/>
      <c r="L110" s="39" t="n">
        <v>40</v>
      </c>
      <c r="M110" s="40" t="n">
        <v>400</v>
      </c>
      <c r="N110" s="30">
        <f>IF(A110="","",MONTH(A110))</f>
        <v>6</v>
      </c>
      <c r="O110" s="30">
        <f>IF(A110="","",YEAR(A110))</f>
        <v>2026</v>
      </c>
      <c r="P110" s="30" t="str">
        <f>IF(A110="","",CHOOSE(WEEKDAY(A110,2),"Segunda","Terça","Quarta","Quinta","Sexta","Sábado","Domingo"))</f>
        <v>Quinta</v>
      </c>
      <c r="Q110" s="30" t="str">
        <f>IF(B110="","",IF(B110&lt;TIME(12,0,0),"Manhã",IF(B110&lt;TIME(18,0,0),"Tarde","Noite")))</f>
        <v>Tarde</v>
      </c>
      <c r="R110" s="46">
        <f>IF(AND(H110="Realizado",L110&lt;&gt;"",A110&lt;=Config!$B$9),L110/60,0)</f>
        <v>0.666666666666667</v>
      </c>
      <c r="S110" s="45">
        <f>IF(G110="","",IFERROR(INDEX(Config!$K$5:$K$16,MATCH(G110,Config!$J$5:$J$16,0)),""))</f>
        <v>40</v>
      </c>
      <c r="T110" s="31">
        <f>IF(OR(G110="",F110=""),"",IFERROR(INDEX(Config!$M$5:$R$16,MATCH(G110,Config!$J$5:$J$16,0),MATCH(F110,Config!$H$5:$H$10,0)),""))</f>
        <v>400</v>
      </c>
      <c r="U110" s="47">
        <f>IF(AND(H110="Realizado",L110&lt;&gt;""),L110/60,0)</f>
        <v>0.666666666666667</v>
      </c>
      <c r="V110" s="47">
        <f>IF(AND(H110="Realizado",OR(L110="",M110="")),1,0)</f>
        <v>0</v>
      </c>
    </row>
    <row r="111">
      <c r="A111" s="43" t="n">
        <v>46184</v>
      </c>
      <c r="B111" s="44" t="n">
        <v>0.6458333333333334</v>
      </c>
      <c r="C111" s="38" t="inlineStr">
        <is>
          <t>Dr. Paulo Andrade</t>
        </is>
      </c>
      <c r="D111" s="38" t="inlineStr">
        <is>
          <t>Sala 2</t>
        </is>
      </c>
      <c r="E111" s="37" t="inlineStr">
        <is>
          <t>Fábio Martins</t>
        </is>
      </c>
      <c r="F111" s="38" t="inlineStr">
        <is>
          <t>MediPlan</t>
        </is>
      </c>
      <c r="G111" s="38" t="inlineStr">
        <is>
          <t>ECG</t>
        </is>
      </c>
      <c r="H111" s="38" t="inlineStr">
        <is>
          <t>Realizado</t>
        </is>
      </c>
      <c r="I111" s="38" t="inlineStr">
        <is>
          <t>Convênio</t>
        </is>
      </c>
      <c r="J111" s="38" t="n"/>
      <c r="K111" s="37" t="n"/>
      <c r="L111" s="39" t="n">
        <v>20</v>
      </c>
      <c r="M111" s="40" t="n">
        <v>35</v>
      </c>
      <c r="N111" s="30">
        <f>IF(A111="","",MONTH(A111))</f>
        <v>6</v>
      </c>
      <c r="O111" s="30">
        <f>IF(A111="","",YEAR(A111))</f>
        <v>2026</v>
      </c>
      <c r="P111" s="30" t="str">
        <f>IF(A111="","",CHOOSE(WEEKDAY(A111,2),"Segunda","Terça","Quarta","Quinta","Sexta","Sábado","Domingo"))</f>
        <v>Quinta</v>
      </c>
      <c r="Q111" s="30" t="str">
        <f>IF(B111="","",IF(B111&lt;TIME(12,0,0),"Manhã",IF(B111&lt;TIME(18,0,0),"Tarde","Noite")))</f>
        <v>Tarde</v>
      </c>
      <c r="R111" s="46">
        <f>IF(AND(H111="Realizado",L111&lt;&gt;"",A111&lt;=Config!$B$9),L111/60,0)</f>
        <v>0.333333333333333</v>
      </c>
      <c r="S111" s="45">
        <f>IF(G111="","",IFERROR(INDEX(Config!$K$5:$K$16,MATCH(G111,Config!$J$5:$J$16,0)),""))</f>
        <v>20</v>
      </c>
      <c r="T111" s="31">
        <f>IF(OR(G111="",F111=""),"",IFERROR(INDEX(Config!$M$5:$R$16,MATCH(G111,Config!$J$5:$J$16,0),MATCH(F111,Config!$H$5:$H$10,0)),""))</f>
        <v>35</v>
      </c>
      <c r="U111" s="47">
        <f>IF(AND(H111="Realizado",L111&lt;&gt;""),L111/60,0)</f>
        <v>0.333333333333333</v>
      </c>
      <c r="V111" s="47">
        <f>IF(AND(H111="Realizado",OR(L111="",M111="")),1,0)</f>
        <v>0</v>
      </c>
    </row>
    <row r="112">
      <c r="A112" s="43" t="n">
        <v>46184</v>
      </c>
      <c r="B112" s="44" t="n">
        <v>0.6597222222222222</v>
      </c>
      <c r="C112" s="38" t="inlineStr">
        <is>
          <t>Dr. Paulo Andrade</t>
        </is>
      </c>
      <c r="D112" s="38" t="inlineStr">
        <is>
          <t>Sala 2</t>
        </is>
      </c>
      <c r="E112" s="37" t="inlineStr">
        <is>
          <t>Rafael Araújo</t>
        </is>
      </c>
      <c r="F112" s="38" t="inlineStr">
        <is>
          <t>MediPlan</t>
        </is>
      </c>
      <c r="G112" s="38" t="inlineStr">
        <is>
          <t>Consulta</t>
        </is>
      </c>
      <c r="H112" s="38" t="inlineStr">
        <is>
          <t>Cancelado</t>
        </is>
      </c>
      <c r="I112" s="38" t="n"/>
      <c r="J112" s="38" t="n"/>
      <c r="K112" s="37" t="n"/>
      <c r="L112" s="39" t="n">
        <v>30</v>
      </c>
      <c r="M112" s="40" t="n">
        <v>100</v>
      </c>
      <c r="N112" s="30">
        <f>IF(A112="","",MONTH(A112))</f>
        <v>6</v>
      </c>
      <c r="O112" s="30">
        <f>IF(A112="","",YEAR(A112))</f>
        <v>2026</v>
      </c>
      <c r="P112" s="30" t="str">
        <f>IF(A112="","",CHOOSE(WEEKDAY(A112,2),"Segunda","Terça","Quarta","Quinta","Sexta","Sábado","Domingo"))</f>
        <v>Quinta</v>
      </c>
      <c r="Q112" s="30" t="str">
        <f>IF(B112="","",IF(B112&lt;TIME(12,0,0),"Manhã",IF(B112&lt;TIME(18,0,0),"Tarde","Noite")))</f>
        <v>Tarde</v>
      </c>
      <c r="R112" s="46">
        <f>IF(AND(H112="Realizado",L112&lt;&gt;"",A112&lt;=Config!$B$9),L112/60,0)</f>
        <v>0</v>
      </c>
      <c r="S112" s="45">
        <f>IF(G112="","",IFERROR(INDEX(Config!$K$5:$K$16,MATCH(G112,Config!$J$5:$J$16,0)),""))</f>
        <v>30</v>
      </c>
      <c r="T112" s="31">
        <f>IF(OR(G112="",F112=""),"",IFERROR(INDEX(Config!$M$5:$R$16,MATCH(G112,Config!$J$5:$J$16,0),MATCH(F112,Config!$H$5:$H$10,0)),""))</f>
        <v>100</v>
      </c>
      <c r="U112" s="47">
        <f>IF(AND(H112="Realizado",L112&lt;&gt;""),L112/60,0)</f>
        <v>0</v>
      </c>
      <c r="V112" s="47">
        <f>IF(AND(H112="Realizado",OR(L112="",M112="")),1,0)</f>
        <v>0</v>
      </c>
    </row>
    <row r="113">
      <c r="A113" s="43" t="n">
        <v>46184</v>
      </c>
      <c r="B113" s="44" t="n">
        <v>0.6805555555555556</v>
      </c>
      <c r="C113" s="38" t="inlineStr">
        <is>
          <t>Dra. Renata Sousa</t>
        </is>
      </c>
      <c r="D113" s="38" t="inlineStr">
        <is>
          <t>Sala 1</t>
        </is>
      </c>
      <c r="E113" s="37" t="inlineStr">
        <is>
          <t>Gustavo Carvalho</t>
        </is>
      </c>
      <c r="F113" s="38" t="inlineStr">
        <is>
          <t>Particular</t>
        </is>
      </c>
      <c r="G113" s="38" t="inlineStr">
        <is>
          <t>Retorno</t>
        </is>
      </c>
      <c r="H113" s="38" t="inlineStr">
        <is>
          <t>Realizado</t>
        </is>
      </c>
      <c r="I113" s="38" t="inlineStr">
        <is>
          <t>Sem cobrança</t>
        </is>
      </c>
      <c r="J113" s="38" t="n"/>
      <c r="K113" s="37" t="n"/>
      <c r="L113" s="39" t="n">
        <v>20</v>
      </c>
      <c r="M113" s="40" t="n">
        <v>0</v>
      </c>
      <c r="N113" s="30">
        <f>IF(A113="","",MONTH(A113))</f>
        <v>6</v>
      </c>
      <c r="O113" s="30">
        <f>IF(A113="","",YEAR(A113))</f>
        <v>2026</v>
      </c>
      <c r="P113" s="30" t="str">
        <f>IF(A113="","",CHOOSE(WEEKDAY(A113,2),"Segunda","Terça","Quarta","Quinta","Sexta","Sábado","Domingo"))</f>
        <v>Quinta</v>
      </c>
      <c r="Q113" s="30" t="str">
        <f>IF(B113="","",IF(B113&lt;TIME(12,0,0),"Manhã",IF(B113&lt;TIME(18,0,0),"Tarde","Noite")))</f>
        <v>Tarde</v>
      </c>
      <c r="R113" s="46">
        <f>IF(AND(H113="Realizado",L113&lt;&gt;"",A113&lt;=Config!$B$9),L113/60,0)</f>
        <v>0.333333333333333</v>
      </c>
      <c r="S113" s="45">
        <f>IF(G113="","",IFERROR(INDEX(Config!$K$5:$K$16,MATCH(G113,Config!$J$5:$J$16,0)),""))</f>
        <v>20</v>
      </c>
      <c r="T113" s="31">
        <f>IF(OR(G113="",F113=""),"",IFERROR(INDEX(Config!$M$5:$R$16,MATCH(G113,Config!$J$5:$J$16,0),MATCH(F113,Config!$H$5:$H$10,0)),""))</f>
        <v>0</v>
      </c>
      <c r="U113" s="47">
        <f>IF(AND(H113="Realizado",L113&lt;&gt;""),L113/60,0)</f>
        <v>0.333333333333333</v>
      </c>
      <c r="V113" s="47">
        <f>IF(AND(H113="Realizado",OR(L113="",M113="")),1,0)</f>
        <v>0</v>
      </c>
    </row>
    <row r="114">
      <c r="A114" s="43" t="n">
        <v>46184</v>
      </c>
      <c r="B114" s="44" t="n">
        <v>0.6805555555555556</v>
      </c>
      <c r="C114" s="38" t="inlineStr">
        <is>
          <t>Dr. Paulo Andrade</t>
        </is>
      </c>
      <c r="D114" s="38" t="inlineStr">
        <is>
          <t>Sala 2</t>
        </is>
      </c>
      <c r="E114" s="37" t="inlineStr">
        <is>
          <t>Helena Ribeiro</t>
        </is>
      </c>
      <c r="F114" s="38" t="inlineStr">
        <is>
          <t>MediPlan</t>
        </is>
      </c>
      <c r="G114" s="38" t="inlineStr">
        <is>
          <t>Consulta</t>
        </is>
      </c>
      <c r="H114" s="38" t="inlineStr">
        <is>
          <t>Realizado</t>
        </is>
      </c>
      <c r="I114" s="38" t="inlineStr">
        <is>
          <t>Convênio</t>
        </is>
      </c>
      <c r="J114" s="38" t="n"/>
      <c r="K114" s="37" t="n"/>
      <c r="L114" s="39" t="n">
        <v>30</v>
      </c>
      <c r="M114" s="40" t="n">
        <v>100</v>
      </c>
      <c r="N114" s="30">
        <f>IF(A114="","",MONTH(A114))</f>
        <v>6</v>
      </c>
      <c r="O114" s="30">
        <f>IF(A114="","",YEAR(A114))</f>
        <v>2026</v>
      </c>
      <c r="P114" s="30" t="str">
        <f>IF(A114="","",CHOOSE(WEEKDAY(A114,2),"Segunda","Terça","Quarta","Quinta","Sexta","Sábado","Domingo"))</f>
        <v>Quinta</v>
      </c>
      <c r="Q114" s="30" t="str">
        <f>IF(B114="","",IF(B114&lt;TIME(12,0,0),"Manhã",IF(B114&lt;TIME(18,0,0),"Tarde","Noite")))</f>
        <v>Tarde</v>
      </c>
      <c r="R114" s="46">
        <f>IF(AND(H114="Realizado",L114&lt;&gt;"",A114&lt;=Config!$B$9),L114/60,0)</f>
        <v>0.5</v>
      </c>
      <c r="S114" s="45">
        <f>IF(G114="","",IFERROR(INDEX(Config!$K$5:$K$16,MATCH(G114,Config!$J$5:$J$16,0)),""))</f>
        <v>30</v>
      </c>
      <c r="T114" s="31">
        <f>IF(OR(G114="",F114=""),"",IFERROR(INDEX(Config!$M$5:$R$16,MATCH(G114,Config!$J$5:$J$16,0),MATCH(F114,Config!$H$5:$H$10,0)),""))</f>
        <v>100</v>
      </c>
      <c r="U114" s="47">
        <f>IF(AND(H114="Realizado",L114&lt;&gt;""),L114/60,0)</f>
        <v>0.5</v>
      </c>
      <c r="V114" s="47">
        <f>IF(AND(H114="Realizado",OR(L114="",M114="")),1,0)</f>
        <v>0</v>
      </c>
    </row>
    <row r="115">
      <c r="A115" s="43" t="n">
        <v>46184</v>
      </c>
      <c r="B115" s="44" t="n">
        <v>0.6944444444444444</v>
      </c>
      <c r="C115" s="38" t="inlineStr">
        <is>
          <t>Dra. Renata Sousa</t>
        </is>
      </c>
      <c r="D115" s="38" t="inlineStr">
        <is>
          <t>Sala 1</t>
        </is>
      </c>
      <c r="E115" s="37" t="inlineStr">
        <is>
          <t>Thiago Melo</t>
        </is>
      </c>
      <c r="F115" s="38" t="inlineStr">
        <is>
          <t>Particular</t>
        </is>
      </c>
      <c r="G115" s="38" t="inlineStr">
        <is>
          <t>Avaliação endócrina</t>
        </is>
      </c>
      <c r="H115" s="38" t="inlineStr">
        <is>
          <t>Realizado</t>
        </is>
      </c>
      <c r="I115" s="38" t="inlineStr">
        <is>
          <t>Pix</t>
        </is>
      </c>
      <c r="J115" s="38" t="n"/>
      <c r="K115" s="37" t="n"/>
      <c r="L115" s="39" t="n">
        <v>40</v>
      </c>
      <c r="M115" s="40" t="n">
        <v>400</v>
      </c>
      <c r="N115" s="30">
        <f>IF(A115="","",MONTH(A115))</f>
        <v>6</v>
      </c>
      <c r="O115" s="30">
        <f>IF(A115="","",YEAR(A115))</f>
        <v>2026</v>
      </c>
      <c r="P115" s="30" t="str">
        <f>IF(A115="","",CHOOSE(WEEKDAY(A115,2),"Segunda","Terça","Quarta","Quinta","Sexta","Sábado","Domingo"))</f>
        <v>Quinta</v>
      </c>
      <c r="Q115" s="30" t="str">
        <f>IF(B115="","",IF(B115&lt;TIME(12,0,0),"Manhã",IF(B115&lt;TIME(18,0,0),"Tarde","Noite")))</f>
        <v>Tarde</v>
      </c>
      <c r="R115" s="46">
        <f>IF(AND(H115="Realizado",L115&lt;&gt;"",A115&lt;=Config!$B$9),L115/60,0)</f>
        <v>0.666666666666667</v>
      </c>
      <c r="S115" s="45">
        <f>IF(G115="","",IFERROR(INDEX(Config!$K$5:$K$16,MATCH(G115,Config!$J$5:$J$16,0)),""))</f>
        <v>40</v>
      </c>
      <c r="T115" s="31">
        <f>IF(OR(G115="",F115=""),"",IFERROR(INDEX(Config!$M$5:$R$16,MATCH(G115,Config!$J$5:$J$16,0),MATCH(F115,Config!$H$5:$H$10,0)),""))</f>
        <v>400</v>
      </c>
      <c r="U115" s="47">
        <f>IF(AND(H115="Realizado",L115&lt;&gt;""),L115/60,0)</f>
        <v>0.666666666666667</v>
      </c>
      <c r="V115" s="47">
        <f>IF(AND(H115="Realizado",OR(L115="",M115="")),1,0)</f>
        <v>0</v>
      </c>
    </row>
    <row r="116">
      <c r="A116" s="43" t="n">
        <v>46184</v>
      </c>
      <c r="B116" s="44" t="n">
        <v>0.7013888888888888</v>
      </c>
      <c r="C116" s="38" t="inlineStr">
        <is>
          <t>Dr. Paulo Andrade</t>
        </is>
      </c>
      <c r="D116" s="38" t="inlineStr">
        <is>
          <t>Sala 2</t>
        </is>
      </c>
      <c r="E116" s="37" t="inlineStr">
        <is>
          <t>Rafael Batista</t>
        </is>
      </c>
      <c r="F116" s="38" t="inlineStr">
        <is>
          <t>Saúde Total</t>
        </is>
      </c>
      <c r="G116" s="38" t="inlineStr">
        <is>
          <t>Holter</t>
        </is>
      </c>
      <c r="H116" s="38" t="inlineStr">
        <is>
          <t>Realizado</t>
        </is>
      </c>
      <c r="I116" s="38" t="inlineStr">
        <is>
          <t>Convênio</t>
        </is>
      </c>
      <c r="J116" s="38" t="n"/>
      <c r="K116" s="37" t="n"/>
      <c r="L116" s="39" t="n">
        <v>20</v>
      </c>
      <c r="M116" s="40" t="n">
        <v>105</v>
      </c>
      <c r="N116" s="30">
        <f>IF(A116="","",MONTH(A116))</f>
        <v>6</v>
      </c>
      <c r="O116" s="30">
        <f>IF(A116="","",YEAR(A116))</f>
        <v>2026</v>
      </c>
      <c r="P116" s="30" t="str">
        <f>IF(A116="","",CHOOSE(WEEKDAY(A116,2),"Segunda","Terça","Quarta","Quinta","Sexta","Sábado","Domingo"))</f>
        <v>Quinta</v>
      </c>
      <c r="Q116" s="30" t="str">
        <f>IF(B116="","",IF(B116&lt;TIME(12,0,0),"Manhã",IF(B116&lt;TIME(18,0,0),"Tarde","Noite")))</f>
        <v>Tarde</v>
      </c>
      <c r="R116" s="46">
        <f>IF(AND(H116="Realizado",L116&lt;&gt;"",A116&lt;=Config!$B$9),L116/60,0)</f>
        <v>0.333333333333333</v>
      </c>
      <c r="S116" s="45">
        <f>IF(G116="","",IFERROR(INDEX(Config!$K$5:$K$16,MATCH(G116,Config!$J$5:$J$16,0)),""))</f>
        <v>20</v>
      </c>
      <c r="T116" s="31">
        <f>IF(OR(G116="",F116=""),"",IFERROR(INDEX(Config!$M$5:$R$16,MATCH(G116,Config!$J$5:$J$16,0),MATCH(F116,Config!$H$5:$H$10,0)),""))</f>
        <v>105</v>
      </c>
      <c r="U116" s="47">
        <f>IF(AND(H116="Realizado",L116&lt;&gt;""),L116/60,0)</f>
        <v>0.333333333333333</v>
      </c>
      <c r="V116" s="47">
        <f>IF(AND(H116="Realizado",OR(L116="",M116="")),1,0)</f>
        <v>0</v>
      </c>
    </row>
    <row r="117">
      <c r="A117" s="43" t="n">
        <v>46184</v>
      </c>
      <c r="B117" s="44" t="n">
        <v>0.7152777777777778</v>
      </c>
      <c r="C117" s="38" t="inlineStr">
        <is>
          <t>Dr. Paulo Andrade</t>
        </is>
      </c>
      <c r="D117" s="38" t="inlineStr">
        <is>
          <t>Sala 2</t>
        </is>
      </c>
      <c r="E117" s="37" t="inlineStr">
        <is>
          <t>Vanessa Moreira</t>
        </is>
      </c>
      <c r="F117" s="38" t="inlineStr">
        <is>
          <t>Saúde Total</t>
        </is>
      </c>
      <c r="G117" s="38" t="inlineStr">
        <is>
          <t>Retorno</t>
        </is>
      </c>
      <c r="H117" s="38" t="inlineStr">
        <is>
          <t>Realizado</t>
        </is>
      </c>
      <c r="I117" s="38" t="inlineStr">
        <is>
          <t>Sem cobrança</t>
        </is>
      </c>
      <c r="J117" s="38" t="n"/>
      <c r="K117" s="37" t="n"/>
      <c r="L117" s="39" t="n">
        <v>20</v>
      </c>
      <c r="M117" s="40" t="n">
        <v>0</v>
      </c>
      <c r="N117" s="30">
        <f>IF(A117="","",MONTH(A117))</f>
        <v>6</v>
      </c>
      <c r="O117" s="30">
        <f>IF(A117="","",YEAR(A117))</f>
        <v>2026</v>
      </c>
      <c r="P117" s="30" t="str">
        <f>IF(A117="","",CHOOSE(WEEKDAY(A117,2),"Segunda","Terça","Quarta","Quinta","Sexta","Sábado","Domingo"))</f>
        <v>Quinta</v>
      </c>
      <c r="Q117" s="30" t="str">
        <f>IF(B117="","",IF(B117&lt;TIME(12,0,0),"Manhã",IF(B117&lt;TIME(18,0,0),"Tarde","Noite")))</f>
        <v>Tarde</v>
      </c>
      <c r="R117" s="46">
        <f>IF(AND(H117="Realizado",L117&lt;&gt;"",A117&lt;=Config!$B$9),L117/60,0)</f>
        <v>0.333333333333333</v>
      </c>
      <c r="S117" s="45">
        <f>IF(G117="","",IFERROR(INDEX(Config!$K$5:$K$16,MATCH(G117,Config!$J$5:$J$16,0)),""))</f>
        <v>20</v>
      </c>
      <c r="T117" s="31">
        <f>IF(OR(G117="",F117=""),"",IFERROR(INDEX(Config!$M$5:$R$16,MATCH(G117,Config!$J$5:$J$16,0),MATCH(F117,Config!$H$5:$H$10,0)),""))</f>
        <v>0</v>
      </c>
      <c r="U117" s="47">
        <f>IF(AND(H117="Realizado",L117&lt;&gt;""),L117/60,0)</f>
        <v>0.333333333333333</v>
      </c>
      <c r="V117" s="47">
        <f>IF(AND(H117="Realizado",OR(L117="",M117="")),1,0)</f>
        <v>0</v>
      </c>
    </row>
    <row r="118">
      <c r="A118" s="43" t="n">
        <v>46184</v>
      </c>
      <c r="B118" s="44" t="n">
        <v>0.7222222222222222</v>
      </c>
      <c r="C118" s="38" t="inlineStr">
        <is>
          <t>Dra. Renata Sousa</t>
        </is>
      </c>
      <c r="D118" s="38" t="inlineStr">
        <is>
          <t>Sala 1</t>
        </is>
      </c>
      <c r="E118" s="37" t="inlineStr">
        <is>
          <t>Carlos Gonçalves</t>
        </is>
      </c>
      <c r="F118" s="38" t="inlineStr">
        <is>
          <t>Saúde Total</t>
        </is>
      </c>
      <c r="G118" s="38" t="inlineStr">
        <is>
          <t>Retorno</t>
        </is>
      </c>
      <c r="H118" s="38" t="inlineStr">
        <is>
          <t>Realizado</t>
        </is>
      </c>
      <c r="I118" s="38" t="inlineStr">
        <is>
          <t>Sem cobrança</t>
        </is>
      </c>
      <c r="J118" s="38" t="n"/>
      <c r="K118" s="37" t="n"/>
      <c r="L118" s="39" t="n">
        <v>20</v>
      </c>
      <c r="M118" s="40" t="n">
        <v>0</v>
      </c>
      <c r="N118" s="30">
        <f>IF(A118="","",MONTH(A118))</f>
        <v>6</v>
      </c>
      <c r="O118" s="30">
        <f>IF(A118="","",YEAR(A118))</f>
        <v>2026</v>
      </c>
      <c r="P118" s="30" t="str">
        <f>IF(A118="","",CHOOSE(WEEKDAY(A118,2),"Segunda","Terça","Quarta","Quinta","Sexta","Sábado","Domingo"))</f>
        <v>Quinta</v>
      </c>
      <c r="Q118" s="30" t="str">
        <f>IF(B118="","",IF(B118&lt;TIME(12,0,0),"Manhã",IF(B118&lt;TIME(18,0,0),"Tarde","Noite")))</f>
        <v>Tarde</v>
      </c>
      <c r="R118" s="46">
        <f>IF(AND(H118="Realizado",L118&lt;&gt;"",A118&lt;=Config!$B$9),L118/60,0)</f>
        <v>0.333333333333333</v>
      </c>
      <c r="S118" s="45">
        <f>IF(G118="","",IFERROR(INDEX(Config!$K$5:$K$16,MATCH(G118,Config!$J$5:$J$16,0)),""))</f>
        <v>20</v>
      </c>
      <c r="T118" s="31">
        <f>IF(OR(G118="",F118=""),"",IFERROR(INDEX(Config!$M$5:$R$16,MATCH(G118,Config!$J$5:$J$16,0),MATCH(F118,Config!$H$5:$H$10,0)),""))</f>
        <v>0</v>
      </c>
      <c r="U118" s="47">
        <f>IF(AND(H118="Realizado",L118&lt;&gt;""),L118/60,0)</f>
        <v>0.333333333333333</v>
      </c>
      <c r="V118" s="47">
        <f>IF(AND(H118="Realizado",OR(L118="",M118="")),1,0)</f>
        <v>0</v>
      </c>
    </row>
    <row r="119">
      <c r="A119" s="43" t="n">
        <v>46184</v>
      </c>
      <c r="B119" s="44" t="n">
        <v>0.7291666666666666</v>
      </c>
      <c r="C119" s="38" t="inlineStr">
        <is>
          <t>Dr. Paulo Andrade</t>
        </is>
      </c>
      <c r="D119" s="38" t="inlineStr">
        <is>
          <t>Sala 2</t>
        </is>
      </c>
      <c r="E119" s="37" t="inlineStr">
        <is>
          <t>Roberta Fernandes</t>
        </is>
      </c>
      <c r="F119" s="38" t="inlineStr">
        <is>
          <t>Saúde Total</t>
        </is>
      </c>
      <c r="G119" s="38" t="inlineStr">
        <is>
          <t>Holter</t>
        </is>
      </c>
      <c r="H119" s="38" t="inlineStr">
        <is>
          <t>Remarcado</t>
        </is>
      </c>
      <c r="I119" s="38" t="n"/>
      <c r="J119" s="38" t="n"/>
      <c r="K119" s="37" t="inlineStr">
        <is>
          <t>Paciente pediu outra data</t>
        </is>
      </c>
      <c r="L119" s="39" t="n">
        <v>20</v>
      </c>
      <c r="M119" s="40" t="n">
        <v>105</v>
      </c>
      <c r="N119" s="30">
        <f>IF(A119="","",MONTH(A119))</f>
        <v>6</v>
      </c>
      <c r="O119" s="30">
        <f>IF(A119="","",YEAR(A119))</f>
        <v>2026</v>
      </c>
      <c r="P119" s="30" t="str">
        <f>IF(A119="","",CHOOSE(WEEKDAY(A119,2),"Segunda","Terça","Quarta","Quinta","Sexta","Sábado","Domingo"))</f>
        <v>Quinta</v>
      </c>
      <c r="Q119" s="30" t="str">
        <f>IF(B119="","",IF(B119&lt;TIME(12,0,0),"Manhã",IF(B119&lt;TIME(18,0,0),"Tarde","Noite")))</f>
        <v>Tarde</v>
      </c>
      <c r="R119" s="46">
        <f>IF(AND(H119="Realizado",L119&lt;&gt;"",A119&lt;=Config!$B$9),L119/60,0)</f>
        <v>0</v>
      </c>
      <c r="S119" s="45">
        <f>IF(G119="","",IFERROR(INDEX(Config!$K$5:$K$16,MATCH(G119,Config!$J$5:$J$16,0)),""))</f>
        <v>20</v>
      </c>
      <c r="T119" s="31">
        <f>IF(OR(G119="",F119=""),"",IFERROR(INDEX(Config!$M$5:$R$16,MATCH(G119,Config!$J$5:$J$16,0),MATCH(F119,Config!$H$5:$H$10,0)),""))</f>
        <v>105</v>
      </c>
      <c r="U119" s="47">
        <f>IF(AND(H119="Realizado",L119&lt;&gt;""),L119/60,0)</f>
        <v>0</v>
      </c>
      <c r="V119" s="47">
        <f>IF(AND(H119="Realizado",OR(L119="",M119="")),1,0)</f>
        <v>0</v>
      </c>
    </row>
    <row r="120">
      <c r="A120" s="43" t="n">
        <v>46185</v>
      </c>
      <c r="B120" s="44" t="n">
        <v>0.3333333333333333</v>
      </c>
      <c r="C120" s="38" t="inlineStr">
        <is>
          <t>Dr. Paulo Andrade</t>
        </is>
      </c>
      <c r="D120" s="38" t="inlineStr">
        <is>
          <t>Sala 2</t>
        </is>
      </c>
      <c r="E120" s="37" t="inlineStr">
        <is>
          <t>Leandro Cardoso</t>
        </is>
      </c>
      <c r="F120" s="38" t="inlineStr">
        <is>
          <t>MediPlan</t>
        </is>
      </c>
      <c r="G120" s="38" t="inlineStr">
        <is>
          <t>Consulta</t>
        </is>
      </c>
      <c r="H120" s="38" t="inlineStr">
        <is>
          <t>Realizado</t>
        </is>
      </c>
      <c r="I120" s="38" t="inlineStr">
        <is>
          <t>Convênio</t>
        </is>
      </c>
      <c r="J120" s="38" t="n"/>
      <c r="K120" s="37" t="n"/>
      <c r="L120" s="39" t="n">
        <v>30</v>
      </c>
      <c r="M120" s="40" t="n">
        <v>100</v>
      </c>
      <c r="N120" s="30">
        <f>IF(A120="","",MONTH(A120))</f>
        <v>6</v>
      </c>
      <c r="O120" s="30">
        <f>IF(A120="","",YEAR(A120))</f>
        <v>2026</v>
      </c>
      <c r="P120" s="30" t="str">
        <f>IF(A120="","",CHOOSE(WEEKDAY(A120,2),"Segunda","Terça","Quarta","Quinta","Sexta","Sábado","Domingo"))</f>
        <v>Sexta</v>
      </c>
      <c r="Q120" s="30" t="str">
        <f>IF(B120="","",IF(B120&lt;TIME(12,0,0),"Manhã",IF(B120&lt;TIME(18,0,0),"Tarde","Noite")))</f>
        <v>Manhã</v>
      </c>
      <c r="R120" s="46">
        <f>IF(AND(H120="Realizado",L120&lt;&gt;"",A120&lt;=Config!$B$9),L120/60,0)</f>
        <v>0.5</v>
      </c>
      <c r="S120" s="45">
        <f>IF(G120="","",IFERROR(INDEX(Config!$K$5:$K$16,MATCH(G120,Config!$J$5:$J$16,0)),""))</f>
        <v>30</v>
      </c>
      <c r="T120" s="31">
        <f>IF(OR(G120="",F120=""),"",IFERROR(INDEX(Config!$M$5:$R$16,MATCH(G120,Config!$J$5:$J$16,0),MATCH(F120,Config!$H$5:$H$10,0)),""))</f>
        <v>100</v>
      </c>
      <c r="U120" s="47">
        <f>IF(AND(H120="Realizado",L120&lt;&gt;""),L120/60,0)</f>
        <v>0.5</v>
      </c>
      <c r="V120" s="47">
        <f>IF(AND(H120="Realizado",OR(L120="",M120="")),1,0)</f>
        <v>0</v>
      </c>
    </row>
    <row r="121">
      <c r="A121" s="43" t="n">
        <v>46185</v>
      </c>
      <c r="B121" s="44" t="n">
        <v>0.3541666666666667</v>
      </c>
      <c r="C121" s="38" t="inlineStr">
        <is>
          <t>Dr. Paulo Andrade</t>
        </is>
      </c>
      <c r="D121" s="38" t="inlineStr">
        <is>
          <t>Sala 2</t>
        </is>
      </c>
      <c r="E121" s="37" t="inlineStr">
        <is>
          <t>Leandro Oliveira</t>
        </is>
      </c>
      <c r="F121" s="38" t="inlineStr">
        <is>
          <t>Particular</t>
        </is>
      </c>
      <c r="G121" s="38" t="inlineStr">
        <is>
          <t>ECG</t>
        </is>
      </c>
      <c r="H121" s="38" t="inlineStr">
        <is>
          <t>Realizado</t>
        </is>
      </c>
      <c r="I121" s="38" t="inlineStr">
        <is>
          <t>A prazo</t>
        </is>
      </c>
      <c r="J121" s="38" t="n"/>
      <c r="K121" s="37" t="n"/>
      <c r="L121" s="39" t="n">
        <v>20</v>
      </c>
      <c r="M121" s="40" t="n">
        <v>130</v>
      </c>
      <c r="N121" s="30">
        <f>IF(A121="","",MONTH(A121))</f>
        <v>6</v>
      </c>
      <c r="O121" s="30">
        <f>IF(A121="","",YEAR(A121))</f>
        <v>2026</v>
      </c>
      <c r="P121" s="30" t="str">
        <f>IF(A121="","",CHOOSE(WEEKDAY(A121,2),"Segunda","Terça","Quarta","Quinta","Sexta","Sábado","Domingo"))</f>
        <v>Sexta</v>
      </c>
      <c r="Q121" s="30" t="str">
        <f>IF(B121="","",IF(B121&lt;TIME(12,0,0),"Manhã",IF(B121&lt;TIME(18,0,0),"Tarde","Noite")))</f>
        <v>Manhã</v>
      </c>
      <c r="R121" s="46">
        <f>IF(AND(H121="Realizado",L121&lt;&gt;"",A121&lt;=Config!$B$9),L121/60,0)</f>
        <v>0.333333333333333</v>
      </c>
      <c r="S121" s="45">
        <f>IF(G121="","",IFERROR(INDEX(Config!$K$5:$K$16,MATCH(G121,Config!$J$5:$J$16,0)),""))</f>
        <v>20</v>
      </c>
      <c r="T121" s="31">
        <f>IF(OR(G121="",F121=""),"",IFERROR(INDEX(Config!$M$5:$R$16,MATCH(G121,Config!$J$5:$J$16,0),MATCH(F121,Config!$H$5:$H$10,0)),""))</f>
        <v>130</v>
      </c>
      <c r="U121" s="47">
        <f>IF(AND(H121="Realizado",L121&lt;&gt;""),L121/60,0)</f>
        <v>0.333333333333333</v>
      </c>
      <c r="V121" s="47">
        <f>IF(AND(H121="Realizado",OR(L121="",M121="")),1,0)</f>
        <v>0</v>
      </c>
    </row>
    <row r="122">
      <c r="A122" s="43" t="n">
        <v>46185</v>
      </c>
      <c r="B122" s="44" t="n">
        <v>0.3680555555555556</v>
      </c>
      <c r="C122" s="38" t="inlineStr">
        <is>
          <t>Dr. Paulo Andrade</t>
        </is>
      </c>
      <c r="D122" s="38" t="inlineStr">
        <is>
          <t>Sala 2</t>
        </is>
      </c>
      <c r="E122" s="37" t="inlineStr">
        <is>
          <t>Daniel Almeida</t>
        </is>
      </c>
      <c r="F122" s="38" t="inlineStr">
        <is>
          <t>Saúde Total</t>
        </is>
      </c>
      <c r="G122" s="38" t="inlineStr">
        <is>
          <t>Holter</t>
        </is>
      </c>
      <c r="H122" s="38" t="inlineStr">
        <is>
          <t>Realizado</t>
        </is>
      </c>
      <c r="I122" s="38" t="inlineStr">
        <is>
          <t>Convênio</t>
        </is>
      </c>
      <c r="J122" s="38" t="n"/>
      <c r="K122" s="37" t="n"/>
      <c r="L122" s="39" t="n">
        <v>20</v>
      </c>
      <c r="M122" s="40" t="n">
        <v>105</v>
      </c>
      <c r="N122" s="30">
        <f>IF(A122="","",MONTH(A122))</f>
        <v>6</v>
      </c>
      <c r="O122" s="30">
        <f>IF(A122="","",YEAR(A122))</f>
        <v>2026</v>
      </c>
      <c r="P122" s="30" t="str">
        <f>IF(A122="","",CHOOSE(WEEKDAY(A122,2),"Segunda","Terça","Quarta","Quinta","Sexta","Sábado","Domingo"))</f>
        <v>Sexta</v>
      </c>
      <c r="Q122" s="30" t="str">
        <f>IF(B122="","",IF(B122&lt;TIME(12,0,0),"Manhã",IF(B122&lt;TIME(18,0,0),"Tarde","Noite")))</f>
        <v>Manhã</v>
      </c>
      <c r="R122" s="46">
        <f>IF(AND(H122="Realizado",L122&lt;&gt;"",A122&lt;=Config!$B$9),L122/60,0)</f>
        <v>0.333333333333333</v>
      </c>
      <c r="S122" s="45">
        <f>IF(G122="","",IFERROR(INDEX(Config!$K$5:$K$16,MATCH(G122,Config!$J$5:$J$16,0)),""))</f>
        <v>20</v>
      </c>
      <c r="T122" s="31">
        <f>IF(OR(G122="",F122=""),"",IFERROR(INDEX(Config!$M$5:$R$16,MATCH(G122,Config!$J$5:$J$16,0),MATCH(F122,Config!$H$5:$H$10,0)),""))</f>
        <v>105</v>
      </c>
      <c r="U122" s="47">
        <f>IF(AND(H122="Realizado",L122&lt;&gt;""),L122/60,0)</f>
        <v>0.333333333333333</v>
      </c>
      <c r="V122" s="47">
        <f>IF(AND(H122="Realizado",OR(L122="",M122="")),1,0)</f>
        <v>0</v>
      </c>
    </row>
    <row r="123">
      <c r="A123" s="43" t="n">
        <v>46185</v>
      </c>
      <c r="B123" s="44" t="n">
        <v>0.3819444444444444</v>
      </c>
      <c r="C123" s="38" t="inlineStr">
        <is>
          <t>Dr. Paulo Andrade</t>
        </is>
      </c>
      <c r="D123" s="38" t="inlineStr">
        <is>
          <t>Sala 2</t>
        </is>
      </c>
      <c r="E123" s="37" t="inlineStr">
        <is>
          <t>Gisele Xavier</t>
        </is>
      </c>
      <c r="F123" s="38" t="inlineStr">
        <is>
          <t>Particular</t>
        </is>
      </c>
      <c r="G123" s="38" t="inlineStr">
        <is>
          <t>ECG</t>
        </is>
      </c>
      <c r="H123" s="38" t="inlineStr">
        <is>
          <t>Realizado</t>
        </is>
      </c>
      <c r="I123" s="38" t="inlineStr">
        <is>
          <t>Cartão de crédito</t>
        </is>
      </c>
      <c r="J123" s="38" t="n"/>
      <c r="K123" s="37" t="n"/>
      <c r="L123" s="39" t="n">
        <v>20</v>
      </c>
      <c r="M123" s="40" t="n">
        <v>130</v>
      </c>
      <c r="N123" s="30">
        <f>IF(A123="","",MONTH(A123))</f>
        <v>6</v>
      </c>
      <c r="O123" s="30">
        <f>IF(A123="","",YEAR(A123))</f>
        <v>2026</v>
      </c>
      <c r="P123" s="30" t="str">
        <f>IF(A123="","",CHOOSE(WEEKDAY(A123,2),"Segunda","Terça","Quarta","Quinta","Sexta","Sábado","Domingo"))</f>
        <v>Sexta</v>
      </c>
      <c r="Q123" s="30" t="str">
        <f>IF(B123="","",IF(B123&lt;TIME(12,0,0),"Manhã",IF(B123&lt;TIME(18,0,0),"Tarde","Noite")))</f>
        <v>Manhã</v>
      </c>
      <c r="R123" s="46">
        <f>IF(AND(H123="Realizado",L123&lt;&gt;"",A123&lt;=Config!$B$9),L123/60,0)</f>
        <v>0.333333333333333</v>
      </c>
      <c r="S123" s="45">
        <f>IF(G123="","",IFERROR(INDEX(Config!$K$5:$K$16,MATCH(G123,Config!$J$5:$J$16,0)),""))</f>
        <v>20</v>
      </c>
      <c r="T123" s="31">
        <f>IF(OR(G123="",F123=""),"",IFERROR(INDEX(Config!$M$5:$R$16,MATCH(G123,Config!$J$5:$J$16,0),MATCH(F123,Config!$H$5:$H$10,0)),""))</f>
        <v>130</v>
      </c>
      <c r="U123" s="47">
        <f>IF(AND(H123="Realizado",L123&lt;&gt;""),L123/60,0)</f>
        <v>0.333333333333333</v>
      </c>
      <c r="V123" s="47">
        <f>IF(AND(H123="Realizado",OR(L123="",M123="")),1,0)</f>
        <v>0</v>
      </c>
    </row>
    <row r="124">
      <c r="A124" s="43" t="n">
        <v>46185</v>
      </c>
      <c r="B124" s="44" t="n">
        <v>0.4166666666666667</v>
      </c>
      <c r="C124" s="38" t="inlineStr">
        <is>
          <t>Dr. Paulo Andrade</t>
        </is>
      </c>
      <c r="D124" s="38" t="inlineStr">
        <is>
          <t>Sala 2</t>
        </is>
      </c>
      <c r="E124" s="37" t="inlineStr">
        <is>
          <t>Mariana Nascimento</t>
        </is>
      </c>
      <c r="F124" s="38" t="inlineStr">
        <is>
          <t>Particular</t>
        </is>
      </c>
      <c r="G124" s="38" t="inlineStr">
        <is>
          <t>Teste ergométrico</t>
        </is>
      </c>
      <c r="H124" s="38" t="inlineStr">
        <is>
          <t>Realizado</t>
        </is>
      </c>
      <c r="I124" s="38" t="inlineStr">
        <is>
          <t>Cartão de crédito</t>
        </is>
      </c>
      <c r="J124" s="38" t="n">
        <v>2</v>
      </c>
      <c r="K124" s="37" t="n"/>
      <c r="L124" s="39" t="n">
        <v>40</v>
      </c>
      <c r="M124" s="40" t="n">
        <v>450</v>
      </c>
      <c r="N124" s="30">
        <f>IF(A124="","",MONTH(A124))</f>
        <v>6</v>
      </c>
      <c r="O124" s="30">
        <f>IF(A124="","",YEAR(A124))</f>
        <v>2026</v>
      </c>
      <c r="P124" s="30" t="str">
        <f>IF(A124="","",CHOOSE(WEEKDAY(A124,2),"Segunda","Terça","Quarta","Quinta","Sexta","Sábado","Domingo"))</f>
        <v>Sexta</v>
      </c>
      <c r="Q124" s="30" t="str">
        <f>IF(B124="","",IF(B124&lt;TIME(12,0,0),"Manhã",IF(B124&lt;TIME(18,0,0),"Tarde","Noite")))</f>
        <v>Manhã</v>
      </c>
      <c r="R124" s="46">
        <f>IF(AND(H124="Realizado",L124&lt;&gt;"",A124&lt;=Config!$B$9),L124/60,0)</f>
        <v>0.666666666666667</v>
      </c>
      <c r="S124" s="45">
        <f>IF(G124="","",IFERROR(INDEX(Config!$K$5:$K$16,MATCH(G124,Config!$J$5:$J$16,0)),""))</f>
        <v>40</v>
      </c>
      <c r="T124" s="31">
        <f>IF(OR(G124="",F124=""),"",IFERROR(INDEX(Config!$M$5:$R$16,MATCH(G124,Config!$J$5:$J$16,0),MATCH(F124,Config!$H$5:$H$10,0)),""))</f>
        <v>450</v>
      </c>
      <c r="U124" s="47">
        <f>IF(AND(H124="Realizado",L124&lt;&gt;""),L124/60,0)</f>
        <v>0.666666666666667</v>
      </c>
      <c r="V124" s="47">
        <f>IF(AND(H124="Realizado",OR(L124="",M124="")),1,0)</f>
        <v>0</v>
      </c>
    </row>
    <row r="125">
      <c r="A125" s="43" t="n">
        <v>46185</v>
      </c>
      <c r="B125" s="44" t="n">
        <v>0.4444444444444444</v>
      </c>
      <c r="C125" s="38" t="inlineStr">
        <is>
          <t>Dr. Paulo Andrade</t>
        </is>
      </c>
      <c r="D125" s="38" t="inlineStr">
        <is>
          <t>Sala 2</t>
        </is>
      </c>
      <c r="E125" s="37" t="inlineStr">
        <is>
          <t>Natália Xavier</t>
        </is>
      </c>
      <c r="F125" s="38" t="inlineStr">
        <is>
          <t>MediPlan</t>
        </is>
      </c>
      <c r="G125" s="38" t="inlineStr">
        <is>
          <t>Retorno</t>
        </is>
      </c>
      <c r="H125" s="38" t="inlineStr">
        <is>
          <t>Realizado</t>
        </is>
      </c>
      <c r="I125" s="38" t="inlineStr">
        <is>
          <t>Sem cobrança</t>
        </is>
      </c>
      <c r="J125" s="38" t="n"/>
      <c r="K125" s="37" t="n"/>
      <c r="L125" s="39" t="n">
        <v>20</v>
      </c>
      <c r="M125" s="40" t="n">
        <v>0</v>
      </c>
      <c r="N125" s="30">
        <f>IF(A125="","",MONTH(A125))</f>
        <v>6</v>
      </c>
      <c r="O125" s="30">
        <f>IF(A125="","",YEAR(A125))</f>
        <v>2026</v>
      </c>
      <c r="P125" s="30" t="str">
        <f>IF(A125="","",CHOOSE(WEEKDAY(A125,2),"Segunda","Terça","Quarta","Quinta","Sexta","Sábado","Domingo"))</f>
        <v>Sexta</v>
      </c>
      <c r="Q125" s="30" t="str">
        <f>IF(B125="","",IF(B125&lt;TIME(12,0,0),"Manhã",IF(B125&lt;TIME(18,0,0),"Tarde","Noite")))</f>
        <v>Manhã</v>
      </c>
      <c r="R125" s="46">
        <f>IF(AND(H125="Realizado",L125&lt;&gt;"",A125&lt;=Config!$B$9),L125/60,0)</f>
        <v>0.333333333333333</v>
      </c>
      <c r="S125" s="45">
        <f>IF(G125="","",IFERROR(INDEX(Config!$K$5:$K$16,MATCH(G125,Config!$J$5:$J$16,0)),""))</f>
        <v>20</v>
      </c>
      <c r="T125" s="31">
        <f>IF(OR(G125="",F125=""),"",IFERROR(INDEX(Config!$M$5:$R$16,MATCH(G125,Config!$J$5:$J$16,0),MATCH(F125,Config!$H$5:$H$10,0)),""))</f>
        <v>0</v>
      </c>
      <c r="U125" s="47">
        <f>IF(AND(H125="Realizado",L125&lt;&gt;""),L125/60,0)</f>
        <v>0.333333333333333</v>
      </c>
      <c r="V125" s="47">
        <f>IF(AND(H125="Realizado",OR(L125="",M125="")),1,0)</f>
        <v>0</v>
      </c>
    </row>
    <row r="126">
      <c r="A126" s="43" t="n">
        <v>46185</v>
      </c>
      <c r="B126" s="44" t="n">
        <v>0.4791666666666667</v>
      </c>
      <c r="C126" s="38" t="inlineStr">
        <is>
          <t>Dr. Paulo Andrade</t>
        </is>
      </c>
      <c r="D126" s="38" t="inlineStr">
        <is>
          <t>Sala 2</t>
        </is>
      </c>
      <c r="E126" s="37" t="inlineStr">
        <is>
          <t>Rafael Araújo</t>
        </is>
      </c>
      <c r="F126" s="38" t="inlineStr">
        <is>
          <t>MediPlan</t>
        </is>
      </c>
      <c r="G126" s="38" t="inlineStr">
        <is>
          <t>Consulta</t>
        </is>
      </c>
      <c r="H126" s="38" t="inlineStr">
        <is>
          <t>Cancelado</t>
        </is>
      </c>
      <c r="I126" s="38" t="n"/>
      <c r="J126" s="38" t="n"/>
      <c r="K126" s="37" t="n"/>
      <c r="L126" s="39" t="n">
        <v>30</v>
      </c>
      <c r="M126" s="40" t="n">
        <v>100</v>
      </c>
      <c r="N126" s="30">
        <f>IF(A126="","",MONTH(A126))</f>
        <v>6</v>
      </c>
      <c r="O126" s="30">
        <f>IF(A126="","",YEAR(A126))</f>
        <v>2026</v>
      </c>
      <c r="P126" s="30" t="str">
        <f>IF(A126="","",CHOOSE(WEEKDAY(A126,2),"Segunda","Terça","Quarta","Quinta","Sexta","Sábado","Domingo"))</f>
        <v>Sexta</v>
      </c>
      <c r="Q126" s="30" t="str">
        <f>IF(B126="","",IF(B126&lt;TIME(12,0,0),"Manhã",IF(B126&lt;TIME(18,0,0),"Tarde","Noite")))</f>
        <v>Manhã</v>
      </c>
      <c r="R126" s="46">
        <f>IF(AND(H126="Realizado",L126&lt;&gt;"",A126&lt;=Config!$B$9),L126/60,0)</f>
        <v>0</v>
      </c>
      <c r="S126" s="45">
        <f>IF(G126="","",IFERROR(INDEX(Config!$K$5:$K$16,MATCH(G126,Config!$J$5:$J$16,0)),""))</f>
        <v>30</v>
      </c>
      <c r="T126" s="31">
        <f>IF(OR(G126="",F126=""),"",IFERROR(INDEX(Config!$M$5:$R$16,MATCH(G126,Config!$J$5:$J$16,0),MATCH(F126,Config!$H$5:$H$10,0)),""))</f>
        <v>100</v>
      </c>
      <c r="U126" s="47">
        <f>IF(AND(H126="Realizado",L126&lt;&gt;""),L126/60,0)</f>
        <v>0</v>
      </c>
      <c r="V126" s="47">
        <f>IF(AND(H126="Realizado",OR(L126="",M126="")),1,0)</f>
        <v>0</v>
      </c>
    </row>
    <row r="127">
      <c r="A127" s="43" t="n">
        <v>46188</v>
      </c>
      <c r="B127" s="44" t="n">
        <v>0.3333333333333333</v>
      </c>
      <c r="C127" s="38" t="inlineStr">
        <is>
          <t>Dra. Carolina Mendes</t>
        </is>
      </c>
      <c r="D127" s="38" t="inlineStr">
        <is>
          <t>Sala 1</t>
        </is>
      </c>
      <c r="E127" s="37" t="inlineStr">
        <is>
          <t>Mariana Nascimento</t>
        </is>
      </c>
      <c r="F127" s="38" t="inlineStr">
        <is>
          <t>Particular</t>
        </is>
      </c>
      <c r="G127" s="38" t="inlineStr">
        <is>
          <t>Consulta</t>
        </is>
      </c>
      <c r="H127" s="38" t="inlineStr">
        <is>
          <t>Realizado</t>
        </is>
      </c>
      <c r="I127" s="38" t="inlineStr">
        <is>
          <t>Pix</t>
        </is>
      </c>
      <c r="J127" s="38" t="n"/>
      <c r="K127" s="37" t="n"/>
      <c r="L127" s="39" t="n">
        <v>30</v>
      </c>
      <c r="M127" s="40" t="n">
        <v>380</v>
      </c>
      <c r="N127" s="30">
        <f>IF(A127="","",MONTH(A127))</f>
        <v>6</v>
      </c>
      <c r="O127" s="30">
        <f>IF(A127="","",YEAR(A127))</f>
        <v>2026</v>
      </c>
      <c r="P127" s="30" t="str">
        <f>IF(A127="","",CHOOSE(WEEKDAY(A127,2),"Segunda","Terça","Quarta","Quinta","Sexta","Sábado","Domingo"))</f>
        <v>Segunda</v>
      </c>
      <c r="Q127" s="30" t="str">
        <f>IF(B127="","",IF(B127&lt;TIME(12,0,0),"Manhã",IF(B127&lt;TIME(18,0,0),"Tarde","Noite")))</f>
        <v>Manhã</v>
      </c>
      <c r="R127" s="46">
        <f>IF(AND(H127="Realizado",L127&lt;&gt;"",A127&lt;=Config!$B$9),L127/60,0)</f>
        <v>0.5</v>
      </c>
      <c r="S127" s="45">
        <f>IF(G127="","",IFERROR(INDEX(Config!$K$5:$K$16,MATCH(G127,Config!$J$5:$J$16,0)),""))</f>
        <v>30</v>
      </c>
      <c r="T127" s="31">
        <f>IF(OR(G127="",F127=""),"",IFERROR(INDEX(Config!$M$5:$R$16,MATCH(G127,Config!$J$5:$J$16,0),MATCH(F127,Config!$H$5:$H$10,0)),""))</f>
        <v>380</v>
      </c>
      <c r="U127" s="47">
        <f>IF(AND(H127="Realizado",L127&lt;&gt;""),L127/60,0)</f>
        <v>0.5</v>
      </c>
      <c r="V127" s="47">
        <f>IF(AND(H127="Realizado",OR(L127="",M127="")),1,0)</f>
        <v>0</v>
      </c>
    </row>
    <row r="128">
      <c r="A128" s="43" t="n">
        <v>46188</v>
      </c>
      <c r="B128" s="44" t="n">
        <v>0.3541666666666667</v>
      </c>
      <c r="C128" s="38" t="inlineStr">
        <is>
          <t>Dra. Carolina Mendes</t>
        </is>
      </c>
      <c r="D128" s="38" t="inlineStr">
        <is>
          <t>Sala 1</t>
        </is>
      </c>
      <c r="E128" s="37" t="inlineStr">
        <is>
          <t>Priscila Carvalho</t>
        </is>
      </c>
      <c r="F128" s="38" t="inlineStr">
        <is>
          <t>Vida Care</t>
        </is>
      </c>
      <c r="G128" s="38" t="inlineStr">
        <is>
          <t>Consulta</t>
        </is>
      </c>
      <c r="H128" s="38" t="inlineStr">
        <is>
          <t>Realizado</t>
        </is>
      </c>
      <c r="I128" s="38" t="inlineStr">
        <is>
          <t>Convênio</t>
        </is>
      </c>
      <c r="J128" s="38" t="n"/>
      <c r="K128" s="37" t="n"/>
      <c r="L128" s="39" t="n">
        <v>30</v>
      </c>
      <c r="M128" s="40" t="n">
        <v>90</v>
      </c>
      <c r="N128" s="30">
        <f>IF(A128="","",MONTH(A128))</f>
        <v>6</v>
      </c>
      <c r="O128" s="30">
        <f>IF(A128="","",YEAR(A128))</f>
        <v>2026</v>
      </c>
      <c r="P128" s="30" t="str">
        <f>IF(A128="","",CHOOSE(WEEKDAY(A128,2),"Segunda","Terça","Quarta","Quinta","Sexta","Sábado","Domingo"))</f>
        <v>Segunda</v>
      </c>
      <c r="Q128" s="30" t="str">
        <f>IF(B128="","",IF(B128&lt;TIME(12,0,0),"Manhã",IF(B128&lt;TIME(18,0,0),"Tarde","Noite")))</f>
        <v>Manhã</v>
      </c>
      <c r="R128" s="46">
        <f>IF(AND(H128="Realizado",L128&lt;&gt;"",A128&lt;=Config!$B$9),L128/60,0)</f>
        <v>0.5</v>
      </c>
      <c r="S128" s="45">
        <f>IF(G128="","",IFERROR(INDEX(Config!$K$5:$K$16,MATCH(G128,Config!$J$5:$J$16,0)),""))</f>
        <v>30</v>
      </c>
      <c r="T128" s="31">
        <f>IF(OR(G128="",F128=""),"",IFERROR(INDEX(Config!$M$5:$R$16,MATCH(G128,Config!$J$5:$J$16,0),MATCH(F128,Config!$H$5:$H$10,0)),""))</f>
        <v>90</v>
      </c>
      <c r="U128" s="47">
        <f>IF(AND(H128="Realizado",L128&lt;&gt;""),L128/60,0)</f>
        <v>0.5</v>
      </c>
      <c r="V128" s="47">
        <f>IF(AND(H128="Realizado",OR(L128="",M128="")),1,0)</f>
        <v>0</v>
      </c>
    </row>
    <row r="129">
      <c r="A129" s="43" t="n">
        <v>46188</v>
      </c>
      <c r="B129" s="44" t="n">
        <v>0.375</v>
      </c>
      <c r="C129" s="38" t="inlineStr">
        <is>
          <t>Dra. Carolina Mendes</t>
        </is>
      </c>
      <c r="D129" s="38" t="inlineStr">
        <is>
          <t>Sala 1</t>
        </is>
      </c>
      <c r="E129" s="37" t="inlineStr">
        <is>
          <t>Rodrigo Gomes</t>
        </is>
      </c>
      <c r="F129" s="38" t="inlineStr">
        <is>
          <t>Vida Care</t>
        </is>
      </c>
      <c r="G129" s="38" t="inlineStr">
        <is>
          <t>Consulta</t>
        </is>
      </c>
      <c r="H129" s="38" t="inlineStr">
        <is>
          <t>Realizado</t>
        </is>
      </c>
      <c r="I129" s="38" t="inlineStr">
        <is>
          <t>Convênio</t>
        </is>
      </c>
      <c r="J129" s="38" t="n"/>
      <c r="K129" s="37" t="n"/>
      <c r="L129" s="39" t="n">
        <v>30</v>
      </c>
      <c r="M129" s="40" t="n">
        <v>90</v>
      </c>
      <c r="N129" s="30">
        <f>IF(A129="","",MONTH(A129))</f>
        <v>6</v>
      </c>
      <c r="O129" s="30">
        <f>IF(A129="","",YEAR(A129))</f>
        <v>2026</v>
      </c>
      <c r="P129" s="30" t="str">
        <f>IF(A129="","",CHOOSE(WEEKDAY(A129,2),"Segunda","Terça","Quarta","Quinta","Sexta","Sábado","Domingo"))</f>
        <v>Segunda</v>
      </c>
      <c r="Q129" s="30" t="str">
        <f>IF(B129="","",IF(B129&lt;TIME(12,0,0),"Manhã",IF(B129&lt;TIME(18,0,0),"Tarde","Noite")))</f>
        <v>Manhã</v>
      </c>
      <c r="R129" s="46">
        <f>IF(AND(H129="Realizado",L129&lt;&gt;"",A129&lt;=Config!$B$9),L129/60,0)</f>
        <v>0.5</v>
      </c>
      <c r="S129" s="45">
        <f>IF(G129="","",IFERROR(INDEX(Config!$K$5:$K$16,MATCH(G129,Config!$J$5:$J$16,0)),""))</f>
        <v>30</v>
      </c>
      <c r="T129" s="31">
        <f>IF(OR(G129="",F129=""),"",IFERROR(INDEX(Config!$M$5:$R$16,MATCH(G129,Config!$J$5:$J$16,0),MATCH(F129,Config!$H$5:$H$10,0)),""))</f>
        <v>90</v>
      </c>
      <c r="U129" s="47">
        <f>IF(AND(H129="Realizado",L129&lt;&gt;""),L129/60,0)</f>
        <v>0.5</v>
      </c>
      <c r="V129" s="47">
        <f>IF(AND(H129="Realizado",OR(L129="",M129="")),1,0)</f>
        <v>0</v>
      </c>
    </row>
    <row r="130">
      <c r="A130" s="43" t="n">
        <v>46188</v>
      </c>
      <c r="B130" s="44" t="n">
        <v>0.3958333333333333</v>
      </c>
      <c r="C130" s="38" t="inlineStr">
        <is>
          <t>Dra. Carolina Mendes</t>
        </is>
      </c>
      <c r="D130" s="38" t="inlineStr">
        <is>
          <t>Sala 1</t>
        </is>
      </c>
      <c r="E130" s="37" t="inlineStr">
        <is>
          <t>Mônica Martins</t>
        </is>
      </c>
      <c r="F130" s="38" t="inlineStr">
        <is>
          <t>Particular</t>
        </is>
      </c>
      <c r="G130" s="38" t="inlineStr">
        <is>
          <t>Consulta</t>
        </is>
      </c>
      <c r="H130" s="38" t="inlineStr">
        <is>
          <t>Falta</t>
        </is>
      </c>
      <c r="I130" s="38" t="n"/>
      <c r="J130" s="38" t="n"/>
      <c r="K130" s="37" t="n"/>
      <c r="L130" s="39" t="n">
        <v>30</v>
      </c>
      <c r="M130" s="40" t="n">
        <v>380</v>
      </c>
      <c r="N130" s="30">
        <f>IF(A130="","",MONTH(A130))</f>
        <v>6</v>
      </c>
      <c r="O130" s="30">
        <f>IF(A130="","",YEAR(A130))</f>
        <v>2026</v>
      </c>
      <c r="P130" s="30" t="str">
        <f>IF(A130="","",CHOOSE(WEEKDAY(A130,2),"Segunda","Terça","Quarta","Quinta","Sexta","Sábado","Domingo"))</f>
        <v>Segunda</v>
      </c>
      <c r="Q130" s="30" t="str">
        <f>IF(B130="","",IF(B130&lt;TIME(12,0,0),"Manhã",IF(B130&lt;TIME(18,0,0),"Tarde","Noite")))</f>
        <v>Manhã</v>
      </c>
      <c r="R130" s="46">
        <f>IF(AND(H130="Realizado",L130&lt;&gt;"",A130&lt;=Config!$B$9),L130/60,0)</f>
        <v>0</v>
      </c>
      <c r="S130" s="45">
        <f>IF(G130="","",IFERROR(INDEX(Config!$K$5:$K$16,MATCH(G130,Config!$J$5:$J$16,0)),""))</f>
        <v>30</v>
      </c>
      <c r="T130" s="31">
        <f>IF(OR(G130="",F130=""),"",IFERROR(INDEX(Config!$M$5:$R$16,MATCH(G130,Config!$J$5:$J$16,0),MATCH(F130,Config!$H$5:$H$10,0)),""))</f>
        <v>380</v>
      </c>
      <c r="U130" s="47">
        <f>IF(AND(H130="Realizado",L130&lt;&gt;""),L130/60,0)</f>
        <v>0</v>
      </c>
      <c r="V130" s="47">
        <f>IF(AND(H130="Realizado",OR(L130="",M130="")),1,0)</f>
        <v>0</v>
      </c>
    </row>
    <row r="131">
      <c r="A131" s="43" t="n">
        <v>46188</v>
      </c>
      <c r="B131" s="44" t="n">
        <v>0.4166666666666667</v>
      </c>
      <c r="C131" s="38" t="inlineStr">
        <is>
          <t>Dra. Carolina Mendes</t>
        </is>
      </c>
      <c r="D131" s="38" t="inlineStr">
        <is>
          <t>Sala 1</t>
        </is>
      </c>
      <c r="E131" s="37" t="inlineStr">
        <is>
          <t>Ana Costa</t>
        </is>
      </c>
      <c r="F131" s="38" t="inlineStr">
        <is>
          <t>Particular</t>
        </is>
      </c>
      <c r="G131" s="38" t="inlineStr">
        <is>
          <t>Consulta</t>
        </is>
      </c>
      <c r="H131" s="38" t="inlineStr">
        <is>
          <t>Realizado</t>
        </is>
      </c>
      <c r="I131" s="38" t="inlineStr">
        <is>
          <t>Cartão de débito</t>
        </is>
      </c>
      <c r="J131" s="38" t="n"/>
      <c r="K131" s="37" t="n"/>
      <c r="L131" s="39" t="n">
        <v>30</v>
      </c>
      <c r="M131" s="40" t="n">
        <v>380</v>
      </c>
      <c r="N131" s="30">
        <f>IF(A131="","",MONTH(A131))</f>
        <v>6</v>
      </c>
      <c r="O131" s="30">
        <f>IF(A131="","",YEAR(A131))</f>
        <v>2026</v>
      </c>
      <c r="P131" s="30" t="str">
        <f>IF(A131="","",CHOOSE(WEEKDAY(A131,2),"Segunda","Terça","Quarta","Quinta","Sexta","Sábado","Domingo"))</f>
        <v>Segunda</v>
      </c>
      <c r="Q131" s="30" t="str">
        <f>IF(B131="","",IF(B131&lt;TIME(12,0,0),"Manhã",IF(B131&lt;TIME(18,0,0),"Tarde","Noite")))</f>
        <v>Manhã</v>
      </c>
      <c r="R131" s="46">
        <f>IF(AND(H131="Realizado",L131&lt;&gt;"",A131&lt;=Config!$B$9),L131/60,0)</f>
        <v>0.5</v>
      </c>
      <c r="S131" s="45">
        <f>IF(G131="","",IFERROR(INDEX(Config!$K$5:$K$16,MATCH(G131,Config!$J$5:$J$16,0)),""))</f>
        <v>30</v>
      </c>
      <c r="T131" s="31">
        <f>IF(OR(G131="",F131=""),"",IFERROR(INDEX(Config!$M$5:$R$16,MATCH(G131,Config!$J$5:$J$16,0),MATCH(F131,Config!$H$5:$H$10,0)),""))</f>
        <v>380</v>
      </c>
      <c r="U131" s="47">
        <f>IF(AND(H131="Realizado",L131&lt;&gt;""),L131/60,0)</f>
        <v>0.5</v>
      </c>
      <c r="V131" s="47">
        <f>IF(AND(H131="Realizado",OR(L131="",M131="")),1,0)</f>
        <v>0</v>
      </c>
    </row>
    <row r="132">
      <c r="A132" s="43" t="n">
        <v>46188</v>
      </c>
      <c r="B132" s="44" t="n">
        <v>0.4375</v>
      </c>
      <c r="C132" s="38" t="inlineStr">
        <is>
          <t>Dra. Carolina Mendes</t>
        </is>
      </c>
      <c r="D132" s="38" t="inlineStr">
        <is>
          <t>Sala 1</t>
        </is>
      </c>
      <c r="E132" s="37" t="inlineStr">
        <is>
          <t>Cláudia Costa</t>
        </is>
      </c>
      <c r="F132" s="38" t="inlineStr">
        <is>
          <t>Particular</t>
        </is>
      </c>
      <c r="G132" s="38" t="inlineStr">
        <is>
          <t>Consulta</t>
        </is>
      </c>
      <c r="H132" s="38" t="inlineStr">
        <is>
          <t>Realizado</t>
        </is>
      </c>
      <c r="I132" s="38" t="inlineStr">
        <is>
          <t>A prazo</t>
        </is>
      </c>
      <c r="J132" s="38" t="n"/>
      <c r="K132" s="37" t="n"/>
      <c r="L132" s="39" t="n">
        <v>30</v>
      </c>
      <c r="M132" s="40" t="n">
        <v>380</v>
      </c>
      <c r="N132" s="30">
        <f>IF(A132="","",MONTH(A132))</f>
        <v>6</v>
      </c>
      <c r="O132" s="30">
        <f>IF(A132="","",YEAR(A132))</f>
        <v>2026</v>
      </c>
      <c r="P132" s="30" t="str">
        <f>IF(A132="","",CHOOSE(WEEKDAY(A132,2),"Segunda","Terça","Quarta","Quinta","Sexta","Sábado","Domingo"))</f>
        <v>Segunda</v>
      </c>
      <c r="Q132" s="30" t="str">
        <f>IF(B132="","",IF(B132&lt;TIME(12,0,0),"Manhã",IF(B132&lt;TIME(18,0,0),"Tarde","Noite")))</f>
        <v>Manhã</v>
      </c>
      <c r="R132" s="46">
        <f>IF(AND(H132="Realizado",L132&lt;&gt;"",A132&lt;=Config!$B$9),L132/60,0)</f>
        <v>0.5</v>
      </c>
      <c r="S132" s="45">
        <f>IF(G132="","",IFERROR(INDEX(Config!$K$5:$K$16,MATCH(G132,Config!$J$5:$J$16,0)),""))</f>
        <v>30</v>
      </c>
      <c r="T132" s="31">
        <f>IF(OR(G132="",F132=""),"",IFERROR(INDEX(Config!$M$5:$R$16,MATCH(G132,Config!$J$5:$J$16,0),MATCH(F132,Config!$H$5:$H$10,0)),""))</f>
        <v>380</v>
      </c>
      <c r="U132" s="47">
        <f>IF(AND(H132="Realizado",L132&lt;&gt;""),L132/60,0)</f>
        <v>0.5</v>
      </c>
      <c r="V132" s="47">
        <f>IF(AND(H132="Realizado",OR(L132="",M132="")),1,0)</f>
        <v>0</v>
      </c>
    </row>
    <row r="133">
      <c r="A133" s="43" t="n">
        <v>46188</v>
      </c>
      <c r="B133" s="44" t="n">
        <v>0.4791666666666667</v>
      </c>
      <c r="C133" s="38" t="inlineStr">
        <is>
          <t>Dra. Carolina Mendes</t>
        </is>
      </c>
      <c r="D133" s="38" t="inlineStr">
        <is>
          <t>Sala 1</t>
        </is>
      </c>
      <c r="E133" s="37" t="inlineStr">
        <is>
          <t>Leandro Oliveira</t>
        </is>
      </c>
      <c r="F133" s="38" t="inlineStr">
        <is>
          <t>Particular</t>
        </is>
      </c>
      <c r="G133" s="38" t="inlineStr">
        <is>
          <t>Consulta</t>
        </is>
      </c>
      <c r="H133" s="38" t="inlineStr">
        <is>
          <t>Realizado</t>
        </is>
      </c>
      <c r="I133" s="38" t="inlineStr">
        <is>
          <t>Cartão de crédito</t>
        </is>
      </c>
      <c r="J133" s="38" t="n"/>
      <c r="K133" s="37" t="n"/>
      <c r="L133" s="39" t="n">
        <v>30</v>
      </c>
      <c r="M133" s="40" t="n">
        <v>380</v>
      </c>
      <c r="N133" s="30">
        <f>IF(A133="","",MONTH(A133))</f>
        <v>6</v>
      </c>
      <c r="O133" s="30">
        <f>IF(A133="","",YEAR(A133))</f>
        <v>2026</v>
      </c>
      <c r="P133" s="30" t="str">
        <f>IF(A133="","",CHOOSE(WEEKDAY(A133,2),"Segunda","Terça","Quarta","Quinta","Sexta","Sábado","Domingo"))</f>
        <v>Segunda</v>
      </c>
      <c r="Q133" s="30" t="str">
        <f>IF(B133="","",IF(B133&lt;TIME(12,0,0),"Manhã",IF(B133&lt;TIME(18,0,0),"Tarde","Noite")))</f>
        <v>Manhã</v>
      </c>
      <c r="R133" s="46">
        <f>IF(AND(H133="Realizado",L133&lt;&gt;"",A133&lt;=Config!$B$9),L133/60,0)</f>
        <v>0.5</v>
      </c>
      <c r="S133" s="45">
        <f>IF(G133="","",IFERROR(INDEX(Config!$K$5:$K$16,MATCH(G133,Config!$J$5:$J$16,0)),""))</f>
        <v>30</v>
      </c>
      <c r="T133" s="31">
        <f>IF(OR(G133="",F133=""),"",IFERROR(INDEX(Config!$M$5:$R$16,MATCH(G133,Config!$J$5:$J$16,0),MATCH(F133,Config!$H$5:$H$10,0)),""))</f>
        <v>380</v>
      </c>
      <c r="U133" s="47">
        <f>IF(AND(H133="Realizado",L133&lt;&gt;""),L133/60,0)</f>
        <v>0.5</v>
      </c>
      <c r="V133" s="47">
        <f>IF(AND(H133="Realizado",OR(L133="",M133="")),1,0)</f>
        <v>0</v>
      </c>
    </row>
    <row r="134">
      <c r="A134" s="43" t="n">
        <v>46188</v>
      </c>
      <c r="B134" s="44" t="n">
        <v>0.5833333333333334</v>
      </c>
      <c r="C134" s="38" t="inlineStr">
        <is>
          <t>Dr. Paulo Andrade</t>
        </is>
      </c>
      <c r="D134" s="38" t="inlineStr">
        <is>
          <t>Sala 2</t>
        </is>
      </c>
      <c r="E134" s="37" t="inlineStr">
        <is>
          <t>Sandra Cardoso</t>
        </is>
      </c>
      <c r="F134" s="38" t="inlineStr">
        <is>
          <t>Saúde Total</t>
        </is>
      </c>
      <c r="G134" s="38" t="inlineStr">
        <is>
          <t>Retorno</t>
        </is>
      </c>
      <c r="H134" s="38" t="inlineStr">
        <is>
          <t>Realizado</t>
        </is>
      </c>
      <c r="I134" s="38" t="inlineStr">
        <is>
          <t>Sem cobrança</t>
        </is>
      </c>
      <c r="J134" s="38" t="n"/>
      <c r="K134" s="37" t="n"/>
      <c r="L134" s="39" t="n">
        <v>20</v>
      </c>
      <c r="M134" s="40" t="n">
        <v>0</v>
      </c>
      <c r="N134" s="30">
        <f>IF(A134="","",MONTH(A134))</f>
        <v>6</v>
      </c>
      <c r="O134" s="30">
        <f>IF(A134="","",YEAR(A134))</f>
        <v>2026</v>
      </c>
      <c r="P134" s="30" t="str">
        <f>IF(A134="","",CHOOSE(WEEKDAY(A134,2),"Segunda","Terça","Quarta","Quinta","Sexta","Sábado","Domingo"))</f>
        <v>Segunda</v>
      </c>
      <c r="Q134" s="30" t="str">
        <f>IF(B134="","",IF(B134&lt;TIME(12,0,0),"Manhã",IF(B134&lt;TIME(18,0,0),"Tarde","Noite")))</f>
        <v>Tarde</v>
      </c>
      <c r="R134" s="46">
        <f>IF(AND(H134="Realizado",L134&lt;&gt;"",A134&lt;=Config!$B$9),L134/60,0)</f>
        <v>0.333333333333333</v>
      </c>
      <c r="S134" s="45">
        <f>IF(G134="","",IFERROR(INDEX(Config!$K$5:$K$16,MATCH(G134,Config!$J$5:$J$16,0)),""))</f>
        <v>20</v>
      </c>
      <c r="T134" s="31">
        <f>IF(OR(G134="",F134=""),"",IFERROR(INDEX(Config!$M$5:$R$16,MATCH(G134,Config!$J$5:$J$16,0),MATCH(F134,Config!$H$5:$H$10,0)),""))</f>
        <v>0</v>
      </c>
      <c r="U134" s="47">
        <f>IF(AND(H134="Realizado",L134&lt;&gt;""),L134/60,0)</f>
        <v>0.333333333333333</v>
      </c>
      <c r="V134" s="47">
        <f>IF(AND(H134="Realizado",OR(L134="",M134="")),1,0)</f>
        <v>0</v>
      </c>
    </row>
    <row r="135">
      <c r="A135" s="43" t="n">
        <v>46188</v>
      </c>
      <c r="B135" s="44" t="n">
        <v>0.5972222222222222</v>
      </c>
      <c r="C135" s="38" t="inlineStr">
        <is>
          <t>Dr. Paulo Andrade</t>
        </is>
      </c>
      <c r="D135" s="38" t="inlineStr">
        <is>
          <t>Sala 2</t>
        </is>
      </c>
      <c r="E135" s="37" t="inlineStr">
        <is>
          <t>Lucas Cardoso</t>
        </is>
      </c>
      <c r="F135" s="38" t="inlineStr">
        <is>
          <t>Particular</t>
        </is>
      </c>
      <c r="G135" s="38" t="inlineStr">
        <is>
          <t>Consulta</t>
        </is>
      </c>
      <c r="H135" s="38" t="inlineStr">
        <is>
          <t>Realizado</t>
        </is>
      </c>
      <c r="I135" s="38" t="inlineStr">
        <is>
          <t>Cartão de crédito</t>
        </is>
      </c>
      <c r="J135" s="38" t="n"/>
      <c r="K135" s="37" t="n"/>
      <c r="L135" s="39" t="n">
        <v>30</v>
      </c>
      <c r="M135" s="40" t="n">
        <v>380</v>
      </c>
      <c r="N135" s="30">
        <f>IF(A135="","",MONTH(A135))</f>
        <v>6</v>
      </c>
      <c r="O135" s="30">
        <f>IF(A135="","",YEAR(A135))</f>
        <v>2026</v>
      </c>
      <c r="P135" s="30" t="str">
        <f>IF(A135="","",CHOOSE(WEEKDAY(A135,2),"Segunda","Terça","Quarta","Quinta","Sexta","Sábado","Domingo"))</f>
        <v>Segunda</v>
      </c>
      <c r="Q135" s="30" t="str">
        <f>IF(B135="","",IF(B135&lt;TIME(12,0,0),"Manhã",IF(B135&lt;TIME(18,0,0),"Tarde","Noite")))</f>
        <v>Tarde</v>
      </c>
      <c r="R135" s="46">
        <f>IF(AND(H135="Realizado",L135&lt;&gt;"",A135&lt;=Config!$B$9),L135/60,0)</f>
        <v>0.5</v>
      </c>
      <c r="S135" s="45">
        <f>IF(G135="","",IFERROR(INDEX(Config!$K$5:$K$16,MATCH(G135,Config!$J$5:$J$16,0)),""))</f>
        <v>30</v>
      </c>
      <c r="T135" s="31">
        <f>IF(OR(G135="",F135=""),"",IFERROR(INDEX(Config!$M$5:$R$16,MATCH(G135,Config!$J$5:$J$16,0),MATCH(F135,Config!$H$5:$H$10,0)),""))</f>
        <v>380</v>
      </c>
      <c r="U135" s="47">
        <f>IF(AND(H135="Realizado",L135&lt;&gt;""),L135/60,0)</f>
        <v>0.5</v>
      </c>
      <c r="V135" s="47">
        <f>IF(AND(H135="Realizado",OR(L135="",M135="")),1,0)</f>
        <v>0</v>
      </c>
    </row>
    <row r="136">
      <c r="A136" s="43" t="n">
        <v>46188</v>
      </c>
      <c r="B136" s="44" t="n">
        <v>0.6388888888888888</v>
      </c>
      <c r="C136" s="38" t="inlineStr">
        <is>
          <t>Dr. Paulo Andrade</t>
        </is>
      </c>
      <c r="D136" s="38" t="inlineStr">
        <is>
          <t>Sala 2</t>
        </is>
      </c>
      <c r="E136" s="37" t="inlineStr">
        <is>
          <t>Rafael Barros</t>
        </is>
      </c>
      <c r="F136" s="38" t="inlineStr">
        <is>
          <t>Particular</t>
        </is>
      </c>
      <c r="G136" s="38" t="inlineStr">
        <is>
          <t>Holter</t>
        </is>
      </c>
      <c r="H136" s="38" t="inlineStr">
        <is>
          <t>Realizado</t>
        </is>
      </c>
      <c r="I136" s="38" t="inlineStr">
        <is>
          <t>A prazo</t>
        </is>
      </c>
      <c r="J136" s="38" t="n"/>
      <c r="K136" s="37" t="n"/>
      <c r="L136" s="39" t="n">
        <v>20</v>
      </c>
      <c r="M136" s="40" t="n">
        <v>350</v>
      </c>
      <c r="N136" s="30">
        <f>IF(A136="","",MONTH(A136))</f>
        <v>6</v>
      </c>
      <c r="O136" s="30">
        <f>IF(A136="","",YEAR(A136))</f>
        <v>2026</v>
      </c>
      <c r="P136" s="30" t="str">
        <f>IF(A136="","",CHOOSE(WEEKDAY(A136,2),"Segunda","Terça","Quarta","Quinta","Sexta","Sábado","Domingo"))</f>
        <v>Segunda</v>
      </c>
      <c r="Q136" s="30" t="str">
        <f>IF(B136="","",IF(B136&lt;TIME(12,0,0),"Manhã",IF(B136&lt;TIME(18,0,0),"Tarde","Noite")))</f>
        <v>Tarde</v>
      </c>
      <c r="R136" s="46">
        <f>IF(AND(H136="Realizado",L136&lt;&gt;"",A136&lt;=Config!$B$9),L136/60,0)</f>
        <v>0.333333333333333</v>
      </c>
      <c r="S136" s="45">
        <f>IF(G136="","",IFERROR(INDEX(Config!$K$5:$K$16,MATCH(G136,Config!$J$5:$J$16,0)),""))</f>
        <v>20</v>
      </c>
      <c r="T136" s="31">
        <f>IF(OR(G136="",F136=""),"",IFERROR(INDEX(Config!$M$5:$R$16,MATCH(G136,Config!$J$5:$J$16,0),MATCH(F136,Config!$H$5:$H$10,0)),""))</f>
        <v>350</v>
      </c>
      <c r="U136" s="47">
        <f>IF(AND(H136="Realizado",L136&lt;&gt;""),L136/60,0)</f>
        <v>0.333333333333333</v>
      </c>
      <c r="V136" s="47">
        <f>IF(AND(H136="Realizado",OR(L136="",M136="")),1,0)</f>
        <v>0</v>
      </c>
    </row>
    <row r="137">
      <c r="A137" s="43" t="n">
        <v>46188</v>
      </c>
      <c r="B137" s="44" t="n">
        <v>0.6736111111111112</v>
      </c>
      <c r="C137" s="38" t="inlineStr">
        <is>
          <t>Dr. Paulo Andrade</t>
        </is>
      </c>
      <c r="D137" s="38" t="inlineStr">
        <is>
          <t>Sala 2</t>
        </is>
      </c>
      <c r="E137" s="37" t="inlineStr">
        <is>
          <t>Rafael Araújo</t>
        </is>
      </c>
      <c r="F137" s="38" t="inlineStr">
        <is>
          <t>MediPlan</t>
        </is>
      </c>
      <c r="G137" s="38" t="inlineStr">
        <is>
          <t>Consulta</t>
        </is>
      </c>
      <c r="H137" s="38" t="inlineStr">
        <is>
          <t>Remarcado</t>
        </is>
      </c>
      <c r="I137" s="38" t="n"/>
      <c r="J137" s="38" t="n"/>
      <c r="K137" s="37" t="inlineStr">
        <is>
          <t>Paciente pediu outra data</t>
        </is>
      </c>
      <c r="L137" s="39" t="n">
        <v>30</v>
      </c>
      <c r="M137" s="40" t="n">
        <v>100</v>
      </c>
      <c r="N137" s="30">
        <f>IF(A137="","",MONTH(A137))</f>
        <v>6</v>
      </c>
      <c r="O137" s="30">
        <f>IF(A137="","",YEAR(A137))</f>
        <v>2026</v>
      </c>
      <c r="P137" s="30" t="str">
        <f>IF(A137="","",CHOOSE(WEEKDAY(A137,2),"Segunda","Terça","Quarta","Quinta","Sexta","Sábado","Domingo"))</f>
        <v>Segunda</v>
      </c>
      <c r="Q137" s="30" t="str">
        <f>IF(B137="","",IF(B137&lt;TIME(12,0,0),"Manhã",IF(B137&lt;TIME(18,0,0),"Tarde","Noite")))</f>
        <v>Tarde</v>
      </c>
      <c r="R137" s="46">
        <f>IF(AND(H137="Realizado",L137&lt;&gt;"",A137&lt;=Config!$B$9),L137/60,0)</f>
        <v>0</v>
      </c>
      <c r="S137" s="45">
        <f>IF(G137="","",IFERROR(INDEX(Config!$K$5:$K$16,MATCH(G137,Config!$J$5:$J$16,0)),""))</f>
        <v>30</v>
      </c>
      <c r="T137" s="31">
        <f>IF(OR(G137="",F137=""),"",IFERROR(INDEX(Config!$M$5:$R$16,MATCH(G137,Config!$J$5:$J$16,0),MATCH(F137,Config!$H$5:$H$10,0)),""))</f>
        <v>100</v>
      </c>
      <c r="U137" s="47">
        <f>IF(AND(H137="Realizado",L137&lt;&gt;""),L137/60,0)</f>
        <v>0</v>
      </c>
      <c r="V137" s="47">
        <f>IF(AND(H137="Realizado",OR(L137="",M137="")),1,0)</f>
        <v>0</v>
      </c>
    </row>
    <row r="138">
      <c r="A138" s="43" t="n">
        <v>46188</v>
      </c>
      <c r="B138" s="44" t="n">
        <v>0.6944444444444444</v>
      </c>
      <c r="C138" s="38" t="inlineStr">
        <is>
          <t>Dr. Paulo Andrade</t>
        </is>
      </c>
      <c r="D138" s="38" t="inlineStr">
        <is>
          <t>Sala 2</t>
        </is>
      </c>
      <c r="E138" s="37" t="inlineStr">
        <is>
          <t>Isabela Pinto</t>
        </is>
      </c>
      <c r="F138" s="38" t="inlineStr">
        <is>
          <t>Saúde Total</t>
        </is>
      </c>
      <c r="G138" s="38" t="inlineStr">
        <is>
          <t>ECG</t>
        </is>
      </c>
      <c r="H138" s="38" t="inlineStr">
        <is>
          <t>Realizado</t>
        </is>
      </c>
      <c r="I138" s="38" t="inlineStr">
        <is>
          <t>Convênio</t>
        </is>
      </c>
      <c r="J138" s="38" t="n"/>
      <c r="K138" s="37" t="n"/>
      <c r="L138" s="39" t="n">
        <v>20</v>
      </c>
      <c r="M138" s="40" t="n">
        <v>40</v>
      </c>
      <c r="N138" s="30">
        <f>IF(A138="","",MONTH(A138))</f>
        <v>6</v>
      </c>
      <c r="O138" s="30">
        <f>IF(A138="","",YEAR(A138))</f>
        <v>2026</v>
      </c>
      <c r="P138" s="30" t="str">
        <f>IF(A138="","",CHOOSE(WEEKDAY(A138,2),"Segunda","Terça","Quarta","Quinta","Sexta","Sábado","Domingo"))</f>
        <v>Segunda</v>
      </c>
      <c r="Q138" s="30" t="str">
        <f>IF(B138="","",IF(B138&lt;TIME(12,0,0),"Manhã",IF(B138&lt;TIME(18,0,0),"Tarde","Noite")))</f>
        <v>Tarde</v>
      </c>
      <c r="R138" s="46">
        <f>IF(AND(H138="Realizado",L138&lt;&gt;"",A138&lt;=Config!$B$9),L138/60,0)</f>
        <v>0.333333333333333</v>
      </c>
      <c r="S138" s="45">
        <f>IF(G138="","",IFERROR(INDEX(Config!$K$5:$K$16,MATCH(G138,Config!$J$5:$J$16,0)),""))</f>
        <v>20</v>
      </c>
      <c r="T138" s="31">
        <f>IF(OR(G138="",F138=""),"",IFERROR(INDEX(Config!$M$5:$R$16,MATCH(G138,Config!$J$5:$J$16,0),MATCH(F138,Config!$H$5:$H$10,0)),""))</f>
        <v>40</v>
      </c>
      <c r="U138" s="47">
        <f>IF(AND(H138="Realizado",L138&lt;&gt;""),L138/60,0)</f>
        <v>0.333333333333333</v>
      </c>
      <c r="V138" s="47">
        <f>IF(AND(H138="Realizado",OR(L138="",M138="")),1,0)</f>
        <v>0</v>
      </c>
    </row>
    <row r="139">
      <c r="A139" s="43" t="n">
        <v>46188</v>
      </c>
      <c r="B139" s="44" t="n">
        <v>0.7291666666666666</v>
      </c>
      <c r="C139" s="38" t="inlineStr">
        <is>
          <t>Dr. Paulo Andrade</t>
        </is>
      </c>
      <c r="D139" s="38" t="inlineStr">
        <is>
          <t>Sala 2</t>
        </is>
      </c>
      <c r="E139" s="37" t="inlineStr">
        <is>
          <t>Paulo Nascimento</t>
        </is>
      </c>
      <c r="F139" s="38" t="inlineStr">
        <is>
          <t>MediPlan</t>
        </is>
      </c>
      <c r="G139" s="38" t="inlineStr">
        <is>
          <t>Consulta</t>
        </is>
      </c>
      <c r="H139" s="38" t="inlineStr">
        <is>
          <t>Realizado</t>
        </is>
      </c>
      <c r="I139" s="38" t="inlineStr">
        <is>
          <t>Convênio</t>
        </is>
      </c>
      <c r="J139" s="38" t="n"/>
      <c r="K139" s="37" t="n"/>
      <c r="L139" s="39" t="n">
        <v>30</v>
      </c>
      <c r="M139" s="40" t="n">
        <v>100</v>
      </c>
      <c r="N139" s="30">
        <f>IF(A139="","",MONTH(A139))</f>
        <v>6</v>
      </c>
      <c r="O139" s="30">
        <f>IF(A139="","",YEAR(A139))</f>
        <v>2026</v>
      </c>
      <c r="P139" s="30" t="str">
        <f>IF(A139="","",CHOOSE(WEEKDAY(A139,2),"Segunda","Terça","Quarta","Quinta","Sexta","Sábado","Domingo"))</f>
        <v>Segunda</v>
      </c>
      <c r="Q139" s="30" t="str">
        <f>IF(B139="","",IF(B139&lt;TIME(12,0,0),"Manhã",IF(B139&lt;TIME(18,0,0),"Tarde","Noite")))</f>
        <v>Tarde</v>
      </c>
      <c r="R139" s="46">
        <f>IF(AND(H139="Realizado",L139&lt;&gt;"",A139&lt;=Config!$B$9),L139/60,0)</f>
        <v>0.5</v>
      </c>
      <c r="S139" s="45">
        <f>IF(G139="","",IFERROR(INDEX(Config!$K$5:$K$16,MATCH(G139,Config!$J$5:$J$16,0)),""))</f>
        <v>30</v>
      </c>
      <c r="T139" s="31">
        <f>IF(OR(G139="",F139=""),"",IFERROR(INDEX(Config!$M$5:$R$16,MATCH(G139,Config!$J$5:$J$16,0),MATCH(F139,Config!$H$5:$H$10,0)),""))</f>
        <v>100</v>
      </c>
      <c r="U139" s="47">
        <f>IF(AND(H139="Realizado",L139&lt;&gt;""),L139/60,0)</f>
        <v>0.5</v>
      </c>
      <c r="V139" s="47">
        <f>IF(AND(H139="Realizado",OR(L139="",M139="")),1,0)</f>
        <v>0</v>
      </c>
    </row>
    <row r="140">
      <c r="A140" s="43" t="n">
        <v>46189</v>
      </c>
      <c r="B140" s="44" t="n">
        <v>0.3333333333333333</v>
      </c>
      <c r="C140" s="38" t="inlineStr">
        <is>
          <t>Dra. Carolina Mendes</t>
        </is>
      </c>
      <c r="D140" s="38" t="inlineStr">
        <is>
          <t>Sala 1</t>
        </is>
      </c>
      <c r="E140" s="37" t="inlineStr">
        <is>
          <t>Sandra Barros</t>
        </is>
      </c>
      <c r="F140" s="38" t="inlineStr">
        <is>
          <t>Saúde Total</t>
        </is>
      </c>
      <c r="G140" s="38" t="inlineStr">
        <is>
          <t>Consulta</t>
        </is>
      </c>
      <c r="H140" s="38" t="inlineStr">
        <is>
          <t>Realizado</t>
        </is>
      </c>
      <c r="I140" s="38" t="inlineStr">
        <is>
          <t>Convênio</t>
        </is>
      </c>
      <c r="J140" s="38" t="n"/>
      <c r="K140" s="37" t="n"/>
      <c r="L140" s="39" t="n">
        <v>30</v>
      </c>
      <c r="M140" s="40" t="n">
        <v>120</v>
      </c>
      <c r="N140" s="30">
        <f>IF(A140="","",MONTH(A140))</f>
        <v>6</v>
      </c>
      <c r="O140" s="30">
        <f>IF(A140="","",YEAR(A140))</f>
        <v>2026</v>
      </c>
      <c r="P140" s="30" t="str">
        <f>IF(A140="","",CHOOSE(WEEKDAY(A140,2),"Segunda","Terça","Quarta","Quinta","Sexta","Sábado","Domingo"))</f>
        <v>Terça</v>
      </c>
      <c r="Q140" s="30" t="str">
        <f>IF(B140="","",IF(B140&lt;TIME(12,0,0),"Manhã",IF(B140&lt;TIME(18,0,0),"Tarde","Noite")))</f>
        <v>Manhã</v>
      </c>
      <c r="R140" s="46">
        <f>IF(AND(H140="Realizado",L140&lt;&gt;"",A140&lt;=Config!$B$9),L140/60,0)</f>
        <v>0.5</v>
      </c>
      <c r="S140" s="45">
        <f>IF(G140="","",IFERROR(INDEX(Config!$K$5:$K$16,MATCH(G140,Config!$J$5:$J$16,0)),""))</f>
        <v>30</v>
      </c>
      <c r="T140" s="31">
        <f>IF(OR(G140="",F140=""),"",IFERROR(INDEX(Config!$M$5:$R$16,MATCH(G140,Config!$J$5:$J$16,0),MATCH(F140,Config!$H$5:$H$10,0)),""))</f>
        <v>120</v>
      </c>
      <c r="U140" s="47">
        <f>IF(AND(H140="Realizado",L140&lt;&gt;""),L140/60,0)</f>
        <v>0.5</v>
      </c>
      <c r="V140" s="47">
        <f>IF(AND(H140="Realizado",OR(L140="",M140="")),1,0)</f>
        <v>0</v>
      </c>
    </row>
    <row r="141">
      <c r="A141" s="43" t="n">
        <v>46189</v>
      </c>
      <c r="B141" s="44" t="n">
        <v>0.3541666666666667</v>
      </c>
      <c r="C141" s="38" t="inlineStr">
        <is>
          <t>Dra. Carolina Mendes</t>
        </is>
      </c>
      <c r="D141" s="38" t="inlineStr">
        <is>
          <t>Sala 1</t>
        </is>
      </c>
      <c r="E141" s="37" t="inlineStr">
        <is>
          <t>Mônica Martins</t>
        </is>
      </c>
      <c r="F141" s="38" t="inlineStr">
        <is>
          <t>Particular</t>
        </is>
      </c>
      <c r="G141" s="38" t="inlineStr">
        <is>
          <t>Consulta</t>
        </is>
      </c>
      <c r="H141" s="38" t="inlineStr">
        <is>
          <t>Realizado</t>
        </is>
      </c>
      <c r="I141" s="38" t="inlineStr">
        <is>
          <t>Pix</t>
        </is>
      </c>
      <c r="J141" s="38" t="n"/>
      <c r="K141" s="37" t="n"/>
      <c r="L141" s="39" t="n">
        <v>30</v>
      </c>
      <c r="M141" s="40" t="n">
        <v>380</v>
      </c>
      <c r="N141" s="30">
        <f>IF(A141="","",MONTH(A141))</f>
        <v>6</v>
      </c>
      <c r="O141" s="30">
        <f>IF(A141="","",YEAR(A141))</f>
        <v>2026</v>
      </c>
      <c r="P141" s="30" t="str">
        <f>IF(A141="","",CHOOSE(WEEKDAY(A141,2),"Segunda","Terça","Quarta","Quinta","Sexta","Sábado","Domingo"))</f>
        <v>Terça</v>
      </c>
      <c r="Q141" s="30" t="str">
        <f>IF(B141="","",IF(B141&lt;TIME(12,0,0),"Manhã",IF(B141&lt;TIME(18,0,0),"Tarde","Noite")))</f>
        <v>Manhã</v>
      </c>
      <c r="R141" s="46">
        <f>IF(AND(H141="Realizado",L141&lt;&gt;"",A141&lt;=Config!$B$9),L141/60,0)</f>
        <v>0.5</v>
      </c>
      <c r="S141" s="45">
        <f>IF(G141="","",IFERROR(INDEX(Config!$K$5:$K$16,MATCH(G141,Config!$J$5:$J$16,0)),""))</f>
        <v>30</v>
      </c>
      <c r="T141" s="31">
        <f>IF(OR(G141="",F141=""),"",IFERROR(INDEX(Config!$M$5:$R$16,MATCH(G141,Config!$J$5:$J$16,0),MATCH(F141,Config!$H$5:$H$10,0)),""))</f>
        <v>380</v>
      </c>
      <c r="U141" s="47">
        <f>IF(AND(H141="Realizado",L141&lt;&gt;""),L141/60,0)</f>
        <v>0.5</v>
      </c>
      <c r="V141" s="47">
        <f>IF(AND(H141="Realizado",OR(L141="",M141="")),1,0)</f>
        <v>0</v>
      </c>
    </row>
    <row r="142">
      <c r="A142" s="43" t="n">
        <v>46189</v>
      </c>
      <c r="B142" s="44" t="n">
        <v>0.375</v>
      </c>
      <c r="C142" s="38" t="inlineStr">
        <is>
          <t>Dra. Carolina Mendes</t>
        </is>
      </c>
      <c r="D142" s="38" t="inlineStr">
        <is>
          <t>Sala 1</t>
        </is>
      </c>
      <c r="E142" s="37" t="inlineStr">
        <is>
          <t>Juliana Silva</t>
        </is>
      </c>
      <c r="F142" s="38" t="inlineStr">
        <is>
          <t>Vida Care</t>
        </is>
      </c>
      <c r="G142" s="38" t="inlineStr">
        <is>
          <t>Consulta</t>
        </is>
      </c>
      <c r="H142" s="38" t="inlineStr">
        <is>
          <t>Realizado</t>
        </is>
      </c>
      <c r="I142" s="38" t="inlineStr">
        <is>
          <t>Convênio</t>
        </is>
      </c>
      <c r="J142" s="38" t="n"/>
      <c r="K142" s="37" t="n"/>
      <c r="L142" s="39" t="n">
        <v>30</v>
      </c>
      <c r="M142" s="40" t="n">
        <v>90</v>
      </c>
      <c r="N142" s="30">
        <f>IF(A142="","",MONTH(A142))</f>
        <v>6</v>
      </c>
      <c r="O142" s="30">
        <f>IF(A142="","",YEAR(A142))</f>
        <v>2026</v>
      </c>
      <c r="P142" s="30" t="str">
        <f>IF(A142="","",CHOOSE(WEEKDAY(A142,2),"Segunda","Terça","Quarta","Quinta","Sexta","Sábado","Domingo"))</f>
        <v>Terça</v>
      </c>
      <c r="Q142" s="30" t="str">
        <f>IF(B142="","",IF(B142&lt;TIME(12,0,0),"Manhã",IF(B142&lt;TIME(18,0,0),"Tarde","Noite")))</f>
        <v>Manhã</v>
      </c>
      <c r="R142" s="46">
        <f>IF(AND(H142="Realizado",L142&lt;&gt;"",A142&lt;=Config!$B$9),L142/60,0)</f>
        <v>0.5</v>
      </c>
      <c r="S142" s="45">
        <f>IF(G142="","",IFERROR(INDEX(Config!$K$5:$K$16,MATCH(G142,Config!$J$5:$J$16,0)),""))</f>
        <v>30</v>
      </c>
      <c r="T142" s="31">
        <f>IF(OR(G142="",F142=""),"",IFERROR(INDEX(Config!$M$5:$R$16,MATCH(G142,Config!$J$5:$J$16,0),MATCH(F142,Config!$H$5:$H$10,0)),""))</f>
        <v>90</v>
      </c>
      <c r="U142" s="47">
        <f>IF(AND(H142="Realizado",L142&lt;&gt;""),L142/60,0)</f>
        <v>0.5</v>
      </c>
      <c r="V142" s="47">
        <f>IF(AND(H142="Realizado",OR(L142="",M142="")),1,0)</f>
        <v>0</v>
      </c>
    </row>
    <row r="143">
      <c r="A143" s="43" t="n">
        <v>46189</v>
      </c>
      <c r="B143" s="44" t="n">
        <v>0.3958333333333333</v>
      </c>
      <c r="C143" s="38" t="inlineStr">
        <is>
          <t>Dra. Carolina Mendes</t>
        </is>
      </c>
      <c r="D143" s="38" t="inlineStr">
        <is>
          <t>Sala 1</t>
        </is>
      </c>
      <c r="E143" s="37" t="inlineStr">
        <is>
          <t>Carlos Castro</t>
        </is>
      </c>
      <c r="F143" s="38" t="inlineStr">
        <is>
          <t>Saúde Total</t>
        </is>
      </c>
      <c r="G143" s="38" t="inlineStr">
        <is>
          <t>Consulta</t>
        </is>
      </c>
      <c r="H143" s="38" t="inlineStr">
        <is>
          <t>Realizado</t>
        </is>
      </c>
      <c r="I143" s="38" t="inlineStr">
        <is>
          <t>Convênio</t>
        </is>
      </c>
      <c r="J143" s="38" t="n"/>
      <c r="K143" s="37" t="n"/>
      <c r="L143" s="39" t="n">
        <v>30</v>
      </c>
      <c r="M143" s="40" t="n">
        <v>120</v>
      </c>
      <c r="N143" s="30">
        <f>IF(A143="","",MONTH(A143))</f>
        <v>6</v>
      </c>
      <c r="O143" s="30">
        <f>IF(A143="","",YEAR(A143))</f>
        <v>2026</v>
      </c>
      <c r="P143" s="30" t="str">
        <f>IF(A143="","",CHOOSE(WEEKDAY(A143,2),"Segunda","Terça","Quarta","Quinta","Sexta","Sábado","Domingo"))</f>
        <v>Terça</v>
      </c>
      <c r="Q143" s="30" t="str">
        <f>IF(B143="","",IF(B143&lt;TIME(12,0,0),"Manhã",IF(B143&lt;TIME(18,0,0),"Tarde","Noite")))</f>
        <v>Manhã</v>
      </c>
      <c r="R143" s="46">
        <f>IF(AND(H143="Realizado",L143&lt;&gt;"",A143&lt;=Config!$B$9),L143/60,0)</f>
        <v>0.5</v>
      </c>
      <c r="S143" s="45">
        <f>IF(G143="","",IFERROR(INDEX(Config!$K$5:$K$16,MATCH(G143,Config!$J$5:$J$16,0)),""))</f>
        <v>30</v>
      </c>
      <c r="T143" s="31">
        <f>IF(OR(G143="",F143=""),"",IFERROR(INDEX(Config!$M$5:$R$16,MATCH(G143,Config!$J$5:$J$16,0),MATCH(F143,Config!$H$5:$H$10,0)),""))</f>
        <v>120</v>
      </c>
      <c r="U143" s="47">
        <f>IF(AND(H143="Realizado",L143&lt;&gt;""),L143/60,0)</f>
        <v>0.5</v>
      </c>
      <c r="V143" s="47">
        <f>IF(AND(H143="Realizado",OR(L143="",M143="")),1,0)</f>
        <v>0</v>
      </c>
    </row>
    <row r="144">
      <c r="A144" s="43" t="n">
        <v>46189</v>
      </c>
      <c r="B144" s="44" t="n">
        <v>0.4375</v>
      </c>
      <c r="C144" s="38" t="inlineStr">
        <is>
          <t>Dra. Carolina Mendes</t>
        </is>
      </c>
      <c r="D144" s="38" t="inlineStr">
        <is>
          <t>Sala 1</t>
        </is>
      </c>
      <c r="E144" s="37" t="inlineStr">
        <is>
          <t>Otávio Cardoso</t>
        </is>
      </c>
      <c r="F144" s="38" t="inlineStr">
        <is>
          <t>Particular</t>
        </is>
      </c>
      <c r="G144" s="38" t="inlineStr">
        <is>
          <t>Consulta</t>
        </is>
      </c>
      <c r="H144" s="38" t="inlineStr">
        <is>
          <t>Realizado</t>
        </is>
      </c>
      <c r="I144" s="38" t="inlineStr">
        <is>
          <t>A prazo</t>
        </is>
      </c>
      <c r="J144" s="38" t="n"/>
      <c r="K144" s="37" t="n"/>
      <c r="L144" s="39" t="n">
        <v>30</v>
      </c>
      <c r="M144" s="40" t="n">
        <v>380</v>
      </c>
      <c r="N144" s="30">
        <f>IF(A144="","",MONTH(A144))</f>
        <v>6</v>
      </c>
      <c r="O144" s="30">
        <f>IF(A144="","",YEAR(A144))</f>
        <v>2026</v>
      </c>
      <c r="P144" s="30" t="str">
        <f>IF(A144="","",CHOOSE(WEEKDAY(A144,2),"Segunda","Terça","Quarta","Quinta","Sexta","Sábado","Domingo"))</f>
        <v>Terça</v>
      </c>
      <c r="Q144" s="30" t="str">
        <f>IF(B144="","",IF(B144&lt;TIME(12,0,0),"Manhã",IF(B144&lt;TIME(18,0,0),"Tarde","Noite")))</f>
        <v>Manhã</v>
      </c>
      <c r="R144" s="46">
        <f>IF(AND(H144="Realizado",L144&lt;&gt;"",A144&lt;=Config!$B$9),L144/60,0)</f>
        <v>0.5</v>
      </c>
      <c r="S144" s="45">
        <f>IF(G144="","",IFERROR(INDEX(Config!$K$5:$K$16,MATCH(G144,Config!$J$5:$J$16,0)),""))</f>
        <v>30</v>
      </c>
      <c r="T144" s="31">
        <f>IF(OR(G144="",F144=""),"",IFERROR(INDEX(Config!$M$5:$R$16,MATCH(G144,Config!$J$5:$J$16,0),MATCH(F144,Config!$H$5:$H$10,0)),""))</f>
        <v>380</v>
      </c>
      <c r="U144" s="47">
        <f>IF(AND(H144="Realizado",L144&lt;&gt;""),L144/60,0)</f>
        <v>0.5</v>
      </c>
      <c r="V144" s="47">
        <f>IF(AND(H144="Realizado",OR(L144="",M144="")),1,0)</f>
        <v>0</v>
      </c>
    </row>
    <row r="145">
      <c r="A145" s="43" t="n">
        <v>46189</v>
      </c>
      <c r="B145" s="44" t="n">
        <v>0.4583333333333333</v>
      </c>
      <c r="C145" s="38" t="inlineStr">
        <is>
          <t>Dra. Carolina Mendes</t>
        </is>
      </c>
      <c r="D145" s="38" t="inlineStr">
        <is>
          <t>Sala 1</t>
        </is>
      </c>
      <c r="E145" s="37" t="inlineStr">
        <is>
          <t>Otávio Nascimento</t>
        </is>
      </c>
      <c r="F145" s="38" t="inlineStr">
        <is>
          <t>Particular</t>
        </is>
      </c>
      <c r="G145" s="38" t="inlineStr">
        <is>
          <t>Retorno</t>
        </is>
      </c>
      <c r="H145" s="38" t="inlineStr">
        <is>
          <t>Realizado</t>
        </is>
      </c>
      <c r="I145" s="38" t="inlineStr">
        <is>
          <t>Sem cobrança</t>
        </is>
      </c>
      <c r="J145" s="38" t="n"/>
      <c r="K145" s="37" t="n"/>
      <c r="L145" s="39" t="n">
        <v>20</v>
      </c>
      <c r="M145" s="40" t="n">
        <v>0</v>
      </c>
      <c r="N145" s="30">
        <f>IF(A145="","",MONTH(A145))</f>
        <v>6</v>
      </c>
      <c r="O145" s="30">
        <f>IF(A145="","",YEAR(A145))</f>
        <v>2026</v>
      </c>
      <c r="P145" s="30" t="str">
        <f>IF(A145="","",CHOOSE(WEEKDAY(A145,2),"Segunda","Terça","Quarta","Quinta","Sexta","Sábado","Domingo"))</f>
        <v>Terça</v>
      </c>
      <c r="Q145" s="30" t="str">
        <f>IF(B145="","",IF(B145&lt;TIME(12,0,0),"Manhã",IF(B145&lt;TIME(18,0,0),"Tarde","Noite")))</f>
        <v>Manhã</v>
      </c>
      <c r="R145" s="46">
        <f>IF(AND(H145="Realizado",L145&lt;&gt;"",A145&lt;=Config!$B$9),L145/60,0)</f>
        <v>0.333333333333333</v>
      </c>
      <c r="S145" s="45">
        <f>IF(G145="","",IFERROR(INDEX(Config!$K$5:$K$16,MATCH(G145,Config!$J$5:$J$16,0)),""))</f>
        <v>20</v>
      </c>
      <c r="T145" s="31">
        <f>IF(OR(G145="",F145=""),"",IFERROR(INDEX(Config!$M$5:$R$16,MATCH(G145,Config!$J$5:$J$16,0),MATCH(F145,Config!$H$5:$H$10,0)),""))</f>
        <v>0</v>
      </c>
      <c r="U145" s="47">
        <f>IF(AND(H145="Realizado",L145&lt;&gt;""),L145/60,0)</f>
        <v>0.333333333333333</v>
      </c>
      <c r="V145" s="47">
        <f>IF(AND(H145="Realizado",OR(L145="",M145="")),1,0)</f>
        <v>0</v>
      </c>
    </row>
    <row r="146">
      <c r="A146" s="43" t="n">
        <v>46189</v>
      </c>
      <c r="B146" s="44" t="n">
        <v>0.4722222222222222</v>
      </c>
      <c r="C146" s="38" t="inlineStr">
        <is>
          <t>Dra. Carolina Mendes</t>
        </is>
      </c>
      <c r="D146" s="38" t="inlineStr">
        <is>
          <t>Sala 1</t>
        </is>
      </c>
      <c r="E146" s="37" t="inlineStr">
        <is>
          <t>Sérgio Batista</t>
        </is>
      </c>
      <c r="F146" s="38" t="inlineStr">
        <is>
          <t>MediPlan</t>
        </is>
      </c>
      <c r="G146" s="38" t="inlineStr">
        <is>
          <t>Retorno</t>
        </is>
      </c>
      <c r="H146" s="38" t="inlineStr">
        <is>
          <t>Realizado</t>
        </is>
      </c>
      <c r="I146" s="38" t="inlineStr">
        <is>
          <t>Sem cobrança</t>
        </is>
      </c>
      <c r="J146" s="38" t="n"/>
      <c r="K146" s="37" t="n"/>
      <c r="L146" s="39" t="n">
        <v>20</v>
      </c>
      <c r="M146" s="40" t="n">
        <v>0</v>
      </c>
      <c r="N146" s="30">
        <f>IF(A146="","",MONTH(A146))</f>
        <v>6</v>
      </c>
      <c r="O146" s="30">
        <f>IF(A146="","",YEAR(A146))</f>
        <v>2026</v>
      </c>
      <c r="P146" s="30" t="str">
        <f>IF(A146="","",CHOOSE(WEEKDAY(A146,2),"Segunda","Terça","Quarta","Quinta","Sexta","Sábado","Domingo"))</f>
        <v>Terça</v>
      </c>
      <c r="Q146" s="30" t="str">
        <f>IF(B146="","",IF(B146&lt;TIME(12,0,0),"Manhã",IF(B146&lt;TIME(18,0,0),"Tarde","Noite")))</f>
        <v>Manhã</v>
      </c>
      <c r="R146" s="46">
        <f>IF(AND(H146="Realizado",L146&lt;&gt;"",A146&lt;=Config!$B$9),L146/60,0)</f>
        <v>0.333333333333333</v>
      </c>
      <c r="S146" s="45">
        <f>IF(G146="","",IFERROR(INDEX(Config!$K$5:$K$16,MATCH(G146,Config!$J$5:$J$16,0)),""))</f>
        <v>20</v>
      </c>
      <c r="T146" s="31">
        <f>IF(OR(G146="",F146=""),"",IFERROR(INDEX(Config!$M$5:$R$16,MATCH(G146,Config!$J$5:$J$16,0),MATCH(F146,Config!$H$5:$H$10,0)),""))</f>
        <v>0</v>
      </c>
      <c r="U146" s="47">
        <f>IF(AND(H146="Realizado",L146&lt;&gt;""),L146/60,0)</f>
        <v>0.333333333333333</v>
      </c>
      <c r="V146" s="47">
        <f>IF(AND(H146="Realizado",OR(L146="",M146="")),1,0)</f>
        <v>0</v>
      </c>
    </row>
    <row r="147">
      <c r="A147" s="43" t="n">
        <v>46189</v>
      </c>
      <c r="B147" s="44" t="n">
        <v>0.4861111111111111</v>
      </c>
      <c r="C147" s="38" t="inlineStr">
        <is>
          <t>Dra. Carolina Mendes</t>
        </is>
      </c>
      <c r="D147" s="38" t="inlineStr">
        <is>
          <t>Sala 1</t>
        </is>
      </c>
      <c r="E147" s="37" t="inlineStr">
        <is>
          <t>Carlos Castro</t>
        </is>
      </c>
      <c r="F147" s="38" t="inlineStr">
        <is>
          <t>Saúde Total</t>
        </is>
      </c>
      <c r="G147" s="38" t="inlineStr">
        <is>
          <t>Retorno</t>
        </is>
      </c>
      <c r="H147" s="38" t="inlineStr">
        <is>
          <t>Realizado</t>
        </is>
      </c>
      <c r="I147" s="38" t="inlineStr">
        <is>
          <t>Sem cobrança</t>
        </is>
      </c>
      <c r="J147" s="38" t="n"/>
      <c r="K147" s="37" t="n"/>
      <c r="L147" s="39" t="n">
        <v>20</v>
      </c>
      <c r="M147" s="40" t="n">
        <v>0</v>
      </c>
      <c r="N147" s="30">
        <f>IF(A147="","",MONTH(A147))</f>
        <v>6</v>
      </c>
      <c r="O147" s="30">
        <f>IF(A147="","",YEAR(A147))</f>
        <v>2026</v>
      </c>
      <c r="P147" s="30" t="str">
        <f>IF(A147="","",CHOOSE(WEEKDAY(A147,2),"Segunda","Terça","Quarta","Quinta","Sexta","Sábado","Domingo"))</f>
        <v>Terça</v>
      </c>
      <c r="Q147" s="30" t="str">
        <f>IF(B147="","",IF(B147&lt;TIME(12,0,0),"Manhã",IF(B147&lt;TIME(18,0,0),"Tarde","Noite")))</f>
        <v>Manhã</v>
      </c>
      <c r="R147" s="46">
        <f>IF(AND(H147="Realizado",L147&lt;&gt;"",A147&lt;=Config!$B$9),L147/60,0)</f>
        <v>0.333333333333333</v>
      </c>
      <c r="S147" s="45">
        <f>IF(G147="","",IFERROR(INDEX(Config!$K$5:$K$16,MATCH(G147,Config!$J$5:$J$16,0)),""))</f>
        <v>20</v>
      </c>
      <c r="T147" s="31">
        <f>IF(OR(G147="",F147=""),"",IFERROR(INDEX(Config!$M$5:$R$16,MATCH(G147,Config!$J$5:$J$16,0),MATCH(F147,Config!$H$5:$H$10,0)),""))</f>
        <v>0</v>
      </c>
      <c r="U147" s="47">
        <f>IF(AND(H147="Realizado",L147&lt;&gt;""),L147/60,0)</f>
        <v>0.333333333333333</v>
      </c>
      <c r="V147" s="47">
        <f>IF(AND(H147="Realizado",OR(L147="",M147="")),1,0)</f>
        <v>0</v>
      </c>
    </row>
    <row r="148">
      <c r="A148" s="43" t="n">
        <v>46189</v>
      </c>
      <c r="B148" s="44" t="n">
        <v>0.5833333333333334</v>
      </c>
      <c r="C148" s="38" t="inlineStr">
        <is>
          <t>Dra. Renata Sousa</t>
        </is>
      </c>
      <c r="D148" s="38" t="inlineStr">
        <is>
          <t>Sala 1</t>
        </is>
      </c>
      <c r="E148" s="37" t="inlineStr">
        <is>
          <t>Paulo Freitas</t>
        </is>
      </c>
      <c r="F148" s="38" t="inlineStr">
        <is>
          <t>Saúde Total</t>
        </is>
      </c>
      <c r="G148" s="38" t="inlineStr">
        <is>
          <t>Avaliação endócrina</t>
        </is>
      </c>
      <c r="H148" s="38" t="inlineStr">
        <is>
          <t>Realizado</t>
        </is>
      </c>
      <c r="I148" s="38" t="inlineStr">
        <is>
          <t>Convênio</t>
        </is>
      </c>
      <c r="J148" s="38" t="n"/>
      <c r="K148" s="37" t="n"/>
      <c r="L148" s="39" t="n">
        <v>40</v>
      </c>
      <c r="M148" s="40" t="n">
        <v>130</v>
      </c>
      <c r="N148" s="30">
        <f>IF(A148="","",MONTH(A148))</f>
        <v>6</v>
      </c>
      <c r="O148" s="30">
        <f>IF(A148="","",YEAR(A148))</f>
        <v>2026</v>
      </c>
      <c r="P148" s="30" t="str">
        <f>IF(A148="","",CHOOSE(WEEKDAY(A148,2),"Segunda","Terça","Quarta","Quinta","Sexta","Sábado","Domingo"))</f>
        <v>Terça</v>
      </c>
      <c r="Q148" s="30" t="str">
        <f>IF(B148="","",IF(B148&lt;TIME(12,0,0),"Manhã",IF(B148&lt;TIME(18,0,0),"Tarde","Noite")))</f>
        <v>Tarde</v>
      </c>
      <c r="R148" s="46">
        <f>IF(AND(H148="Realizado",L148&lt;&gt;"",A148&lt;=Config!$B$9),L148/60,0)</f>
        <v>0.666666666666667</v>
      </c>
      <c r="S148" s="45">
        <f>IF(G148="","",IFERROR(INDEX(Config!$K$5:$K$16,MATCH(G148,Config!$J$5:$J$16,0)),""))</f>
        <v>40</v>
      </c>
      <c r="T148" s="31">
        <f>IF(OR(G148="",F148=""),"",IFERROR(INDEX(Config!$M$5:$R$16,MATCH(G148,Config!$J$5:$J$16,0),MATCH(F148,Config!$H$5:$H$10,0)),""))</f>
        <v>130</v>
      </c>
      <c r="U148" s="47">
        <f>IF(AND(H148="Realizado",L148&lt;&gt;""),L148/60,0)</f>
        <v>0.666666666666667</v>
      </c>
      <c r="V148" s="47">
        <f>IF(AND(H148="Realizado",OR(L148="",M148="")),1,0)</f>
        <v>0</v>
      </c>
    </row>
    <row r="149">
      <c r="A149" s="43" t="n">
        <v>46189</v>
      </c>
      <c r="B149" s="44" t="n">
        <v>0.5833333333333334</v>
      </c>
      <c r="C149" s="38" t="inlineStr">
        <is>
          <t>Dr. Paulo Andrade</t>
        </is>
      </c>
      <c r="D149" s="38" t="inlineStr">
        <is>
          <t>Sala 2</t>
        </is>
      </c>
      <c r="E149" s="37" t="inlineStr">
        <is>
          <t>Fábio Correia</t>
        </is>
      </c>
      <c r="F149" s="38" t="inlineStr">
        <is>
          <t>Particular</t>
        </is>
      </c>
      <c r="G149" s="38" t="inlineStr">
        <is>
          <t>ECG</t>
        </is>
      </c>
      <c r="H149" s="38" t="inlineStr">
        <is>
          <t>Realizado</t>
        </is>
      </c>
      <c r="I149" s="38" t="inlineStr">
        <is>
          <t>Cartão de crédito</t>
        </is>
      </c>
      <c r="J149" s="38" t="n"/>
      <c r="K149" s="37" t="n"/>
      <c r="L149" s="39" t="n">
        <v>20</v>
      </c>
      <c r="M149" s="40" t="n">
        <v>130</v>
      </c>
      <c r="N149" s="30">
        <f>IF(A149="","",MONTH(A149))</f>
        <v>6</v>
      </c>
      <c r="O149" s="30">
        <f>IF(A149="","",YEAR(A149))</f>
        <v>2026</v>
      </c>
      <c r="P149" s="30" t="str">
        <f>IF(A149="","",CHOOSE(WEEKDAY(A149,2),"Segunda","Terça","Quarta","Quinta","Sexta","Sábado","Domingo"))</f>
        <v>Terça</v>
      </c>
      <c r="Q149" s="30" t="str">
        <f>IF(B149="","",IF(B149&lt;TIME(12,0,0),"Manhã",IF(B149&lt;TIME(18,0,0),"Tarde","Noite")))</f>
        <v>Tarde</v>
      </c>
      <c r="R149" s="46">
        <f>IF(AND(H149="Realizado",L149&lt;&gt;"",A149&lt;=Config!$B$9),L149/60,0)</f>
        <v>0.333333333333333</v>
      </c>
      <c r="S149" s="45">
        <f>IF(G149="","",IFERROR(INDEX(Config!$K$5:$K$16,MATCH(G149,Config!$J$5:$J$16,0)),""))</f>
        <v>20</v>
      </c>
      <c r="T149" s="31">
        <f>IF(OR(G149="",F149=""),"",IFERROR(INDEX(Config!$M$5:$R$16,MATCH(G149,Config!$J$5:$J$16,0),MATCH(F149,Config!$H$5:$H$10,0)),""))</f>
        <v>130</v>
      </c>
      <c r="U149" s="47">
        <f>IF(AND(H149="Realizado",L149&lt;&gt;""),L149/60,0)</f>
        <v>0.333333333333333</v>
      </c>
      <c r="V149" s="47">
        <f>IF(AND(H149="Realizado",OR(L149="",M149="")),1,0)</f>
        <v>0</v>
      </c>
    </row>
    <row r="150">
      <c r="A150" s="43" t="n">
        <v>46189</v>
      </c>
      <c r="B150" s="44" t="n">
        <v>0.5972222222222222</v>
      </c>
      <c r="C150" s="38" t="inlineStr">
        <is>
          <t>Dr. Paulo Andrade</t>
        </is>
      </c>
      <c r="D150" s="38" t="inlineStr">
        <is>
          <t>Sala 2</t>
        </is>
      </c>
      <c r="E150" s="37" t="inlineStr">
        <is>
          <t>Gabriel Oliveira</t>
        </is>
      </c>
      <c r="F150" s="38" t="inlineStr">
        <is>
          <t>Particular</t>
        </is>
      </c>
      <c r="G150" s="38" t="inlineStr">
        <is>
          <t>Consulta</t>
        </is>
      </c>
      <c r="H150" s="38" t="inlineStr">
        <is>
          <t>Realizado</t>
        </is>
      </c>
      <c r="I150" s="38" t="inlineStr">
        <is>
          <t>A prazo</t>
        </is>
      </c>
      <c r="J150" s="38" t="n"/>
      <c r="K150" s="37" t="n"/>
      <c r="L150" s="39" t="n">
        <v>30</v>
      </c>
      <c r="M150" s="40" t="n">
        <v>380</v>
      </c>
      <c r="N150" s="30">
        <f>IF(A150="","",MONTH(A150))</f>
        <v>6</v>
      </c>
      <c r="O150" s="30">
        <f>IF(A150="","",YEAR(A150))</f>
        <v>2026</v>
      </c>
      <c r="P150" s="30" t="str">
        <f>IF(A150="","",CHOOSE(WEEKDAY(A150,2),"Segunda","Terça","Quarta","Quinta","Sexta","Sábado","Domingo"))</f>
        <v>Terça</v>
      </c>
      <c r="Q150" s="30" t="str">
        <f>IF(B150="","",IF(B150&lt;TIME(12,0,0),"Manhã",IF(B150&lt;TIME(18,0,0),"Tarde","Noite")))</f>
        <v>Tarde</v>
      </c>
      <c r="R150" s="46">
        <f>IF(AND(H150="Realizado",L150&lt;&gt;"",A150&lt;=Config!$B$9),L150/60,0)</f>
        <v>0.5</v>
      </c>
      <c r="S150" s="45">
        <f>IF(G150="","",IFERROR(INDEX(Config!$K$5:$K$16,MATCH(G150,Config!$J$5:$J$16,0)),""))</f>
        <v>30</v>
      </c>
      <c r="T150" s="31">
        <f>IF(OR(G150="",F150=""),"",IFERROR(INDEX(Config!$M$5:$R$16,MATCH(G150,Config!$J$5:$J$16,0),MATCH(F150,Config!$H$5:$H$10,0)),""))</f>
        <v>380</v>
      </c>
      <c r="U150" s="47">
        <f>IF(AND(H150="Realizado",L150&lt;&gt;""),L150/60,0)</f>
        <v>0.5</v>
      </c>
      <c r="V150" s="47">
        <f>IF(AND(H150="Realizado",OR(L150="",M150="")),1,0)</f>
        <v>0</v>
      </c>
    </row>
    <row r="151">
      <c r="A151" s="43" t="n">
        <v>46189</v>
      </c>
      <c r="B151" s="44" t="n">
        <v>0.6111111111111112</v>
      </c>
      <c r="C151" s="38" t="inlineStr">
        <is>
          <t>Dra. Renata Sousa</t>
        </is>
      </c>
      <c r="D151" s="38" t="inlineStr">
        <is>
          <t>Sala 1</t>
        </is>
      </c>
      <c r="E151" s="37" t="inlineStr">
        <is>
          <t>Gabriel Reis</t>
        </is>
      </c>
      <c r="F151" s="38" t="inlineStr">
        <is>
          <t>Particular</t>
        </is>
      </c>
      <c r="G151" s="38" t="inlineStr">
        <is>
          <t>Avaliação endócrina</t>
        </is>
      </c>
      <c r="H151" s="38" t="inlineStr">
        <is>
          <t>Realizado</t>
        </is>
      </c>
      <c r="I151" s="38" t="inlineStr">
        <is>
          <t>Pix</t>
        </is>
      </c>
      <c r="J151" s="38" t="n"/>
      <c r="K151" s="37" t="n"/>
      <c r="L151" s="39" t="n">
        <v>40</v>
      </c>
      <c r="M151" s="40" t="n">
        <v>400</v>
      </c>
      <c r="N151" s="30">
        <f>IF(A151="","",MONTH(A151))</f>
        <v>6</v>
      </c>
      <c r="O151" s="30">
        <f>IF(A151="","",YEAR(A151))</f>
        <v>2026</v>
      </c>
      <c r="P151" s="30" t="str">
        <f>IF(A151="","",CHOOSE(WEEKDAY(A151,2),"Segunda","Terça","Quarta","Quinta","Sexta","Sábado","Domingo"))</f>
        <v>Terça</v>
      </c>
      <c r="Q151" s="30" t="str">
        <f>IF(B151="","",IF(B151&lt;TIME(12,0,0),"Manhã",IF(B151&lt;TIME(18,0,0),"Tarde","Noite")))</f>
        <v>Tarde</v>
      </c>
      <c r="R151" s="46">
        <f>IF(AND(H151="Realizado",L151&lt;&gt;"",A151&lt;=Config!$B$9),L151/60,0)</f>
        <v>0.666666666666667</v>
      </c>
      <c r="S151" s="45">
        <f>IF(G151="","",IFERROR(INDEX(Config!$K$5:$K$16,MATCH(G151,Config!$J$5:$J$16,0)),""))</f>
        <v>40</v>
      </c>
      <c r="T151" s="31">
        <f>IF(OR(G151="",F151=""),"",IFERROR(INDEX(Config!$M$5:$R$16,MATCH(G151,Config!$J$5:$J$16,0),MATCH(F151,Config!$H$5:$H$10,0)),""))</f>
        <v>400</v>
      </c>
      <c r="U151" s="47">
        <f>IF(AND(H151="Realizado",L151&lt;&gt;""),L151/60,0)</f>
        <v>0.666666666666667</v>
      </c>
      <c r="V151" s="47">
        <f>IF(AND(H151="Realizado",OR(L151="",M151="")),1,0)</f>
        <v>0</v>
      </c>
    </row>
    <row r="152">
      <c r="A152" s="43" t="n">
        <v>46189</v>
      </c>
      <c r="B152" s="44" t="n">
        <v>0.6388888888888888</v>
      </c>
      <c r="C152" s="38" t="inlineStr">
        <is>
          <t>Dra. Renata Sousa</t>
        </is>
      </c>
      <c r="D152" s="38" t="inlineStr">
        <is>
          <t>Sala 1</t>
        </is>
      </c>
      <c r="E152" s="37" t="inlineStr">
        <is>
          <t>Mariana Gomes</t>
        </is>
      </c>
      <c r="F152" s="38" t="inlineStr">
        <is>
          <t>Particular</t>
        </is>
      </c>
      <c r="G152" s="38" t="inlineStr">
        <is>
          <t>Avaliação endócrina</t>
        </is>
      </c>
      <c r="H152" s="38" t="inlineStr">
        <is>
          <t>Realizado</t>
        </is>
      </c>
      <c r="I152" s="38" t="inlineStr">
        <is>
          <t>A prazo</t>
        </is>
      </c>
      <c r="J152" s="38" t="n"/>
      <c r="K152" s="37" t="n"/>
      <c r="L152" s="39" t="n">
        <v>40</v>
      </c>
      <c r="M152" s="40" t="n">
        <v>400</v>
      </c>
      <c r="N152" s="30">
        <f>IF(A152="","",MONTH(A152))</f>
        <v>6</v>
      </c>
      <c r="O152" s="30">
        <f>IF(A152="","",YEAR(A152))</f>
        <v>2026</v>
      </c>
      <c r="P152" s="30" t="str">
        <f>IF(A152="","",CHOOSE(WEEKDAY(A152,2),"Segunda","Terça","Quarta","Quinta","Sexta","Sábado","Domingo"))</f>
        <v>Terça</v>
      </c>
      <c r="Q152" s="30" t="str">
        <f>IF(B152="","",IF(B152&lt;TIME(12,0,0),"Manhã",IF(B152&lt;TIME(18,0,0),"Tarde","Noite")))</f>
        <v>Tarde</v>
      </c>
      <c r="R152" s="46">
        <f>IF(AND(H152="Realizado",L152&lt;&gt;"",A152&lt;=Config!$B$9),L152/60,0)</f>
        <v>0.666666666666667</v>
      </c>
      <c r="S152" s="45">
        <f>IF(G152="","",IFERROR(INDEX(Config!$K$5:$K$16,MATCH(G152,Config!$J$5:$J$16,0)),""))</f>
        <v>40</v>
      </c>
      <c r="T152" s="31">
        <f>IF(OR(G152="",F152=""),"",IFERROR(INDEX(Config!$M$5:$R$16,MATCH(G152,Config!$J$5:$J$16,0),MATCH(F152,Config!$H$5:$H$10,0)),""))</f>
        <v>400</v>
      </c>
      <c r="U152" s="47">
        <f>IF(AND(H152="Realizado",L152&lt;&gt;""),L152/60,0)</f>
        <v>0.666666666666667</v>
      </c>
      <c r="V152" s="47">
        <f>IF(AND(H152="Realizado",OR(L152="",M152="")),1,0)</f>
        <v>0</v>
      </c>
    </row>
    <row r="153">
      <c r="A153" s="43" t="n">
        <v>46189</v>
      </c>
      <c r="B153" s="44" t="n">
        <v>0.6388888888888888</v>
      </c>
      <c r="C153" s="38" t="inlineStr">
        <is>
          <t>Dr. Paulo Andrade</t>
        </is>
      </c>
      <c r="D153" s="38" t="inlineStr">
        <is>
          <t>Sala 2</t>
        </is>
      </c>
      <c r="E153" s="37" t="inlineStr">
        <is>
          <t>Sérgio Teixeira</t>
        </is>
      </c>
      <c r="F153" s="38" t="inlineStr">
        <is>
          <t>MediPlan</t>
        </is>
      </c>
      <c r="G153" s="38" t="inlineStr">
        <is>
          <t>Consulta</t>
        </is>
      </c>
      <c r="H153" s="38" t="inlineStr">
        <is>
          <t>Realizado</t>
        </is>
      </c>
      <c r="I153" s="38" t="inlineStr">
        <is>
          <t>Convênio</t>
        </is>
      </c>
      <c r="J153" s="38" t="n"/>
      <c r="K153" s="37" t="n"/>
      <c r="L153" s="39" t="n">
        <v>30</v>
      </c>
      <c r="M153" s="40" t="n">
        <v>100</v>
      </c>
      <c r="N153" s="30">
        <f>IF(A153="","",MONTH(A153))</f>
        <v>6</v>
      </c>
      <c r="O153" s="30">
        <f>IF(A153="","",YEAR(A153))</f>
        <v>2026</v>
      </c>
      <c r="P153" s="30" t="str">
        <f>IF(A153="","",CHOOSE(WEEKDAY(A153,2),"Segunda","Terça","Quarta","Quinta","Sexta","Sábado","Domingo"))</f>
        <v>Terça</v>
      </c>
      <c r="Q153" s="30" t="str">
        <f>IF(B153="","",IF(B153&lt;TIME(12,0,0),"Manhã",IF(B153&lt;TIME(18,0,0),"Tarde","Noite")))</f>
        <v>Tarde</v>
      </c>
      <c r="R153" s="46">
        <f>IF(AND(H153="Realizado",L153&lt;&gt;"",A153&lt;=Config!$B$9),L153/60,0)</f>
        <v>0.5</v>
      </c>
      <c r="S153" s="45">
        <f>IF(G153="","",IFERROR(INDEX(Config!$K$5:$K$16,MATCH(G153,Config!$J$5:$J$16,0)),""))</f>
        <v>30</v>
      </c>
      <c r="T153" s="31">
        <f>IF(OR(G153="",F153=""),"",IFERROR(INDEX(Config!$M$5:$R$16,MATCH(G153,Config!$J$5:$J$16,0),MATCH(F153,Config!$H$5:$H$10,0)),""))</f>
        <v>100</v>
      </c>
      <c r="U153" s="47">
        <f>IF(AND(H153="Realizado",L153&lt;&gt;""),L153/60,0)</f>
        <v>0.5</v>
      </c>
      <c r="V153" s="47">
        <f>IF(AND(H153="Realizado",OR(L153="",M153="")),1,0)</f>
        <v>0</v>
      </c>
    </row>
    <row r="154">
      <c r="A154" s="43" t="n">
        <v>46189</v>
      </c>
      <c r="B154" s="44" t="n">
        <v>0.6597222222222222</v>
      </c>
      <c r="C154" s="38" t="inlineStr">
        <is>
          <t>Dr. Paulo Andrade</t>
        </is>
      </c>
      <c r="D154" s="38" t="inlineStr">
        <is>
          <t>Sala 2</t>
        </is>
      </c>
      <c r="E154" s="37" t="inlineStr">
        <is>
          <t>Beatriz Gonçalves</t>
        </is>
      </c>
      <c r="F154" s="38" t="inlineStr">
        <is>
          <t>Saúde Total</t>
        </is>
      </c>
      <c r="G154" s="38" t="inlineStr">
        <is>
          <t>Consulta</t>
        </is>
      </c>
      <c r="H154" s="38" t="inlineStr">
        <is>
          <t>Realizado</t>
        </is>
      </c>
      <c r="I154" s="38" t="inlineStr">
        <is>
          <t>Convênio</t>
        </is>
      </c>
      <c r="J154" s="38" t="n"/>
      <c r="K154" s="37" t="n"/>
      <c r="L154" s="39" t="n">
        <v>30</v>
      </c>
      <c r="M154" s="40" t="n">
        <v>120</v>
      </c>
      <c r="N154" s="30">
        <f>IF(A154="","",MONTH(A154))</f>
        <v>6</v>
      </c>
      <c r="O154" s="30">
        <f>IF(A154="","",YEAR(A154))</f>
        <v>2026</v>
      </c>
      <c r="P154" s="30" t="str">
        <f>IF(A154="","",CHOOSE(WEEKDAY(A154,2),"Segunda","Terça","Quarta","Quinta","Sexta","Sábado","Domingo"))</f>
        <v>Terça</v>
      </c>
      <c r="Q154" s="30" t="str">
        <f>IF(B154="","",IF(B154&lt;TIME(12,0,0),"Manhã",IF(B154&lt;TIME(18,0,0),"Tarde","Noite")))</f>
        <v>Tarde</v>
      </c>
      <c r="R154" s="46">
        <f>IF(AND(H154="Realizado",L154&lt;&gt;"",A154&lt;=Config!$B$9),L154/60,0)</f>
        <v>0.5</v>
      </c>
      <c r="S154" s="45">
        <f>IF(G154="","",IFERROR(INDEX(Config!$K$5:$K$16,MATCH(G154,Config!$J$5:$J$16,0)),""))</f>
        <v>30</v>
      </c>
      <c r="T154" s="31">
        <f>IF(OR(G154="",F154=""),"",IFERROR(INDEX(Config!$M$5:$R$16,MATCH(G154,Config!$J$5:$J$16,0),MATCH(F154,Config!$H$5:$H$10,0)),""))</f>
        <v>120</v>
      </c>
      <c r="U154" s="47">
        <f>IF(AND(H154="Realizado",L154&lt;&gt;""),L154/60,0)</f>
        <v>0.5</v>
      </c>
      <c r="V154" s="47">
        <f>IF(AND(H154="Realizado",OR(L154="",M154="")),1,0)</f>
        <v>0</v>
      </c>
    </row>
    <row r="155">
      <c r="A155" s="43" t="n">
        <v>46189</v>
      </c>
      <c r="B155" s="44" t="n">
        <v>0.6666666666666666</v>
      </c>
      <c r="C155" s="38" t="inlineStr">
        <is>
          <t>Dra. Renata Sousa</t>
        </is>
      </c>
      <c r="D155" s="38" t="inlineStr">
        <is>
          <t>Sala 1</t>
        </is>
      </c>
      <c r="E155" s="37" t="inlineStr">
        <is>
          <t>Rafael Pereira</t>
        </is>
      </c>
      <c r="F155" s="38" t="inlineStr">
        <is>
          <t>Particular</t>
        </is>
      </c>
      <c r="G155" s="38" t="inlineStr">
        <is>
          <t>Retorno</t>
        </is>
      </c>
      <c r="H155" s="38" t="inlineStr">
        <is>
          <t>Realizado</t>
        </is>
      </c>
      <c r="I155" s="38" t="inlineStr">
        <is>
          <t>Sem cobrança</t>
        </is>
      </c>
      <c r="J155" s="38" t="n"/>
      <c r="K155" s="37" t="n"/>
      <c r="L155" s="39" t="n">
        <v>20</v>
      </c>
      <c r="M155" s="40" t="n">
        <v>0</v>
      </c>
      <c r="N155" s="30">
        <f>IF(A155="","",MONTH(A155))</f>
        <v>6</v>
      </c>
      <c r="O155" s="30">
        <f>IF(A155="","",YEAR(A155))</f>
        <v>2026</v>
      </c>
      <c r="P155" s="30" t="str">
        <f>IF(A155="","",CHOOSE(WEEKDAY(A155,2),"Segunda","Terça","Quarta","Quinta","Sexta","Sábado","Domingo"))</f>
        <v>Terça</v>
      </c>
      <c r="Q155" s="30" t="str">
        <f>IF(B155="","",IF(B155&lt;TIME(12,0,0),"Manhã",IF(B155&lt;TIME(18,0,0),"Tarde","Noite")))</f>
        <v>Tarde</v>
      </c>
      <c r="R155" s="46">
        <f>IF(AND(H155="Realizado",L155&lt;&gt;"",A155&lt;=Config!$B$9),L155/60,0)</f>
        <v>0.333333333333333</v>
      </c>
      <c r="S155" s="45">
        <f>IF(G155="","",IFERROR(INDEX(Config!$K$5:$K$16,MATCH(G155,Config!$J$5:$J$16,0)),""))</f>
        <v>20</v>
      </c>
      <c r="T155" s="31">
        <f>IF(OR(G155="",F155=""),"",IFERROR(INDEX(Config!$M$5:$R$16,MATCH(G155,Config!$J$5:$J$16,0),MATCH(F155,Config!$H$5:$H$10,0)),""))</f>
        <v>0</v>
      </c>
      <c r="U155" s="47">
        <f>IF(AND(H155="Realizado",L155&lt;&gt;""),L155/60,0)</f>
        <v>0.333333333333333</v>
      </c>
      <c r="V155" s="47">
        <f>IF(AND(H155="Realizado",OR(L155="",M155="")),1,0)</f>
        <v>0</v>
      </c>
    </row>
    <row r="156">
      <c r="A156" s="43" t="n">
        <v>46189</v>
      </c>
      <c r="B156" s="44" t="n">
        <v>0.6805555555555556</v>
      </c>
      <c r="C156" s="38" t="inlineStr">
        <is>
          <t>Dra. Renata Sousa</t>
        </is>
      </c>
      <c r="D156" s="38" t="inlineStr">
        <is>
          <t>Sala 1</t>
        </is>
      </c>
      <c r="E156" s="37" t="inlineStr">
        <is>
          <t>Rafael Nascimento</t>
        </is>
      </c>
      <c r="F156" s="38" t="inlineStr">
        <is>
          <t>Saúde Total</t>
        </is>
      </c>
      <c r="G156" s="38" t="inlineStr">
        <is>
          <t>Retorno</t>
        </is>
      </c>
      <c r="H156" s="38" t="inlineStr">
        <is>
          <t>Realizado</t>
        </is>
      </c>
      <c r="I156" s="38" t="inlineStr">
        <is>
          <t>Sem cobrança</t>
        </is>
      </c>
      <c r="J156" s="38" t="n"/>
      <c r="K156" s="37" t="n"/>
      <c r="L156" s="39" t="n">
        <v>20</v>
      </c>
      <c r="M156" s="40" t="n">
        <v>0</v>
      </c>
      <c r="N156" s="30">
        <f>IF(A156="","",MONTH(A156))</f>
        <v>6</v>
      </c>
      <c r="O156" s="30">
        <f>IF(A156="","",YEAR(A156))</f>
        <v>2026</v>
      </c>
      <c r="P156" s="30" t="str">
        <f>IF(A156="","",CHOOSE(WEEKDAY(A156,2),"Segunda","Terça","Quarta","Quinta","Sexta","Sábado","Domingo"))</f>
        <v>Terça</v>
      </c>
      <c r="Q156" s="30" t="str">
        <f>IF(B156="","",IF(B156&lt;TIME(12,0,0),"Manhã",IF(B156&lt;TIME(18,0,0),"Tarde","Noite")))</f>
        <v>Tarde</v>
      </c>
      <c r="R156" s="46">
        <f>IF(AND(H156="Realizado",L156&lt;&gt;"",A156&lt;=Config!$B$9),L156/60,0)</f>
        <v>0.333333333333333</v>
      </c>
      <c r="S156" s="45">
        <f>IF(G156="","",IFERROR(INDEX(Config!$K$5:$K$16,MATCH(G156,Config!$J$5:$J$16,0)),""))</f>
        <v>20</v>
      </c>
      <c r="T156" s="31">
        <f>IF(OR(G156="",F156=""),"",IFERROR(INDEX(Config!$M$5:$R$16,MATCH(G156,Config!$J$5:$J$16,0),MATCH(F156,Config!$H$5:$H$10,0)),""))</f>
        <v>0</v>
      </c>
      <c r="U156" s="47">
        <f>IF(AND(H156="Realizado",L156&lt;&gt;""),L156/60,0)</f>
        <v>0.333333333333333</v>
      </c>
      <c r="V156" s="47">
        <f>IF(AND(H156="Realizado",OR(L156="",M156="")),1,0)</f>
        <v>0</v>
      </c>
    </row>
    <row r="157">
      <c r="A157" s="43" t="n">
        <v>46189</v>
      </c>
      <c r="B157" s="44" t="n">
        <v>0.6805555555555556</v>
      </c>
      <c r="C157" s="38" t="inlineStr">
        <is>
          <t>Dr. Paulo Andrade</t>
        </is>
      </c>
      <c r="D157" s="38" t="inlineStr">
        <is>
          <t>Sala 2</t>
        </is>
      </c>
      <c r="E157" s="37" t="inlineStr">
        <is>
          <t>Wagner Costa</t>
        </is>
      </c>
      <c r="F157" s="38" t="inlineStr">
        <is>
          <t>Particular</t>
        </is>
      </c>
      <c r="G157" s="38" t="inlineStr">
        <is>
          <t>Retorno</t>
        </is>
      </c>
      <c r="H157" s="38" t="inlineStr">
        <is>
          <t>Falta</t>
        </is>
      </c>
      <c r="I157" s="38" t="n"/>
      <c r="J157" s="38" t="n"/>
      <c r="K157" s="37" t="n"/>
      <c r="L157" s="39" t="n">
        <v>20</v>
      </c>
      <c r="M157" s="40" t="n">
        <v>0</v>
      </c>
      <c r="N157" s="30">
        <f>IF(A157="","",MONTH(A157))</f>
        <v>6</v>
      </c>
      <c r="O157" s="30">
        <f>IF(A157="","",YEAR(A157))</f>
        <v>2026</v>
      </c>
      <c r="P157" s="30" t="str">
        <f>IF(A157="","",CHOOSE(WEEKDAY(A157,2),"Segunda","Terça","Quarta","Quinta","Sexta","Sábado","Domingo"))</f>
        <v>Terça</v>
      </c>
      <c r="Q157" s="30" t="str">
        <f>IF(B157="","",IF(B157&lt;TIME(12,0,0),"Manhã",IF(B157&lt;TIME(18,0,0),"Tarde","Noite")))</f>
        <v>Tarde</v>
      </c>
      <c r="R157" s="46">
        <f>IF(AND(H157="Realizado",L157&lt;&gt;"",A157&lt;=Config!$B$9),L157/60,0)</f>
        <v>0</v>
      </c>
      <c r="S157" s="45">
        <f>IF(G157="","",IFERROR(INDEX(Config!$K$5:$K$16,MATCH(G157,Config!$J$5:$J$16,0)),""))</f>
        <v>20</v>
      </c>
      <c r="T157" s="31">
        <f>IF(OR(G157="",F157=""),"",IFERROR(INDEX(Config!$M$5:$R$16,MATCH(G157,Config!$J$5:$J$16,0),MATCH(F157,Config!$H$5:$H$10,0)),""))</f>
        <v>0</v>
      </c>
      <c r="U157" s="47">
        <f>IF(AND(H157="Realizado",L157&lt;&gt;""),L157/60,0)</f>
        <v>0</v>
      </c>
      <c r="V157" s="47">
        <f>IF(AND(H157="Realizado",OR(L157="",M157="")),1,0)</f>
        <v>0</v>
      </c>
    </row>
    <row r="158">
      <c r="A158" s="43" t="n">
        <v>46189</v>
      </c>
      <c r="B158" s="44" t="n">
        <v>0.6944444444444444</v>
      </c>
      <c r="C158" s="38" t="inlineStr">
        <is>
          <t>Dra. Renata Sousa</t>
        </is>
      </c>
      <c r="D158" s="38" t="inlineStr">
        <is>
          <t>Sala 1</t>
        </is>
      </c>
      <c r="E158" s="37" t="inlineStr">
        <is>
          <t>Gisele Lopes</t>
        </is>
      </c>
      <c r="F158" s="38" t="inlineStr">
        <is>
          <t>Saúde Total</t>
        </is>
      </c>
      <c r="G158" s="38" t="inlineStr">
        <is>
          <t>Retorno</t>
        </is>
      </c>
      <c r="H158" s="38" t="inlineStr">
        <is>
          <t>Realizado</t>
        </is>
      </c>
      <c r="I158" s="38" t="inlineStr">
        <is>
          <t>Sem cobrança</t>
        </is>
      </c>
      <c r="J158" s="38" t="n"/>
      <c r="K158" s="37" t="n"/>
      <c r="L158" s="39" t="n">
        <v>20</v>
      </c>
      <c r="M158" s="40" t="n">
        <v>0</v>
      </c>
      <c r="N158" s="30">
        <f>IF(A158="","",MONTH(A158))</f>
        <v>6</v>
      </c>
      <c r="O158" s="30">
        <f>IF(A158="","",YEAR(A158))</f>
        <v>2026</v>
      </c>
      <c r="P158" s="30" t="str">
        <f>IF(A158="","",CHOOSE(WEEKDAY(A158,2),"Segunda","Terça","Quarta","Quinta","Sexta","Sábado","Domingo"))</f>
        <v>Terça</v>
      </c>
      <c r="Q158" s="30" t="str">
        <f>IF(B158="","",IF(B158&lt;TIME(12,0,0),"Manhã",IF(B158&lt;TIME(18,0,0),"Tarde","Noite")))</f>
        <v>Tarde</v>
      </c>
      <c r="R158" s="46">
        <f>IF(AND(H158="Realizado",L158&lt;&gt;"",A158&lt;=Config!$B$9),L158/60,0)</f>
        <v>0.333333333333333</v>
      </c>
      <c r="S158" s="45">
        <f>IF(G158="","",IFERROR(INDEX(Config!$K$5:$K$16,MATCH(G158,Config!$J$5:$J$16,0)),""))</f>
        <v>20</v>
      </c>
      <c r="T158" s="31">
        <f>IF(OR(G158="",F158=""),"",IFERROR(INDEX(Config!$M$5:$R$16,MATCH(G158,Config!$J$5:$J$16,0),MATCH(F158,Config!$H$5:$H$10,0)),""))</f>
        <v>0</v>
      </c>
      <c r="U158" s="47">
        <f>IF(AND(H158="Realizado",L158&lt;&gt;""),L158/60,0)</f>
        <v>0.333333333333333</v>
      </c>
      <c r="V158" s="47">
        <f>IF(AND(H158="Realizado",OR(L158="",M158="")),1,0)</f>
        <v>0</v>
      </c>
    </row>
    <row r="159">
      <c r="A159" s="43" t="n">
        <v>46189</v>
      </c>
      <c r="B159" s="44" t="n">
        <v>0.6944444444444444</v>
      </c>
      <c r="C159" s="38" t="inlineStr">
        <is>
          <t>Dr. Paulo Andrade</t>
        </is>
      </c>
      <c r="D159" s="38" t="inlineStr">
        <is>
          <t>Sala 2</t>
        </is>
      </c>
      <c r="E159" s="37" t="inlineStr">
        <is>
          <t>Gisele Lima</t>
        </is>
      </c>
      <c r="F159" s="38" t="inlineStr">
        <is>
          <t>Saúde Total</t>
        </is>
      </c>
      <c r="G159" s="38" t="inlineStr">
        <is>
          <t>ECG</t>
        </is>
      </c>
      <c r="H159" s="38" t="inlineStr">
        <is>
          <t>Realizado</t>
        </is>
      </c>
      <c r="I159" s="38" t="inlineStr">
        <is>
          <t>Convênio</t>
        </is>
      </c>
      <c r="J159" s="38" t="n"/>
      <c r="K159" s="37" t="n"/>
      <c r="L159" s="39" t="n">
        <v>20</v>
      </c>
      <c r="M159" s="40" t="n">
        <v>40</v>
      </c>
      <c r="N159" s="30">
        <f>IF(A159="","",MONTH(A159))</f>
        <v>6</v>
      </c>
      <c r="O159" s="30">
        <f>IF(A159="","",YEAR(A159))</f>
        <v>2026</v>
      </c>
      <c r="P159" s="30" t="str">
        <f>IF(A159="","",CHOOSE(WEEKDAY(A159,2),"Segunda","Terça","Quarta","Quinta","Sexta","Sábado","Domingo"))</f>
        <v>Terça</v>
      </c>
      <c r="Q159" s="30" t="str">
        <f>IF(B159="","",IF(B159&lt;TIME(12,0,0),"Manhã",IF(B159&lt;TIME(18,0,0),"Tarde","Noite")))</f>
        <v>Tarde</v>
      </c>
      <c r="R159" s="46">
        <f>IF(AND(H159="Realizado",L159&lt;&gt;"",A159&lt;=Config!$B$9),L159/60,0)</f>
        <v>0.333333333333333</v>
      </c>
      <c r="S159" s="45">
        <f>IF(G159="","",IFERROR(INDEX(Config!$K$5:$K$16,MATCH(G159,Config!$J$5:$J$16,0)),""))</f>
        <v>20</v>
      </c>
      <c r="T159" s="31">
        <f>IF(OR(G159="",F159=""),"",IFERROR(INDEX(Config!$M$5:$R$16,MATCH(G159,Config!$J$5:$J$16,0),MATCH(F159,Config!$H$5:$H$10,0)),""))</f>
        <v>40</v>
      </c>
      <c r="U159" s="47">
        <f>IF(AND(H159="Realizado",L159&lt;&gt;""),L159/60,0)</f>
        <v>0.333333333333333</v>
      </c>
      <c r="V159" s="47">
        <f>IF(AND(H159="Realizado",OR(L159="",M159="")),1,0)</f>
        <v>0</v>
      </c>
    </row>
    <row r="160">
      <c r="A160" s="43" t="n">
        <v>46189</v>
      </c>
      <c r="B160" s="44" t="n">
        <v>0.7083333333333334</v>
      </c>
      <c r="C160" s="38" t="inlineStr">
        <is>
          <t>Dra. Renata Sousa</t>
        </is>
      </c>
      <c r="D160" s="38" t="inlineStr">
        <is>
          <t>Sala 1</t>
        </is>
      </c>
      <c r="E160" s="37" t="inlineStr">
        <is>
          <t>Márcia Duarte</t>
        </is>
      </c>
      <c r="F160" s="38" t="inlineStr">
        <is>
          <t>Particular</t>
        </is>
      </c>
      <c r="G160" s="38" t="inlineStr">
        <is>
          <t>Avaliação endócrina</t>
        </is>
      </c>
      <c r="H160" s="38" t="inlineStr">
        <is>
          <t>Realizado</t>
        </is>
      </c>
      <c r="I160" s="38" t="inlineStr">
        <is>
          <t>Pix</t>
        </is>
      </c>
      <c r="J160" s="38" t="n"/>
      <c r="K160" s="37" t="n"/>
      <c r="L160" s="39" t="n">
        <v>40</v>
      </c>
      <c r="M160" s="40" t="n">
        <v>400</v>
      </c>
      <c r="N160" s="30">
        <f>IF(A160="","",MONTH(A160))</f>
        <v>6</v>
      </c>
      <c r="O160" s="30">
        <f>IF(A160="","",YEAR(A160))</f>
        <v>2026</v>
      </c>
      <c r="P160" s="30" t="str">
        <f>IF(A160="","",CHOOSE(WEEKDAY(A160,2),"Segunda","Terça","Quarta","Quinta","Sexta","Sábado","Domingo"))</f>
        <v>Terça</v>
      </c>
      <c r="Q160" s="30" t="str">
        <f>IF(B160="","",IF(B160&lt;TIME(12,0,0),"Manhã",IF(B160&lt;TIME(18,0,0),"Tarde","Noite")))</f>
        <v>Tarde</v>
      </c>
      <c r="R160" s="46">
        <f>IF(AND(H160="Realizado",L160&lt;&gt;"",A160&lt;=Config!$B$9),L160/60,0)</f>
        <v>0.666666666666667</v>
      </c>
      <c r="S160" s="45">
        <f>IF(G160="","",IFERROR(INDEX(Config!$K$5:$K$16,MATCH(G160,Config!$J$5:$J$16,0)),""))</f>
        <v>40</v>
      </c>
      <c r="T160" s="31">
        <f>IF(OR(G160="",F160=""),"",IFERROR(INDEX(Config!$M$5:$R$16,MATCH(G160,Config!$J$5:$J$16,0),MATCH(F160,Config!$H$5:$H$10,0)),""))</f>
        <v>400</v>
      </c>
      <c r="U160" s="47">
        <f>IF(AND(H160="Realizado",L160&lt;&gt;""),L160/60,0)</f>
        <v>0.666666666666667</v>
      </c>
      <c r="V160" s="47">
        <f>IF(AND(H160="Realizado",OR(L160="",M160="")),1,0)</f>
        <v>0</v>
      </c>
    </row>
    <row r="161">
      <c r="A161" s="43" t="n">
        <v>46189</v>
      </c>
      <c r="B161" s="44" t="n">
        <v>0.7083333333333334</v>
      </c>
      <c r="C161" s="38" t="inlineStr">
        <is>
          <t>Dr. Paulo Andrade</t>
        </is>
      </c>
      <c r="D161" s="38" t="inlineStr">
        <is>
          <t>Sala 2</t>
        </is>
      </c>
      <c r="E161" s="37" t="inlineStr">
        <is>
          <t>Roberta Fernandes</t>
        </is>
      </c>
      <c r="F161" s="38" t="inlineStr">
        <is>
          <t>Saúde Total</t>
        </is>
      </c>
      <c r="G161" s="38" t="inlineStr">
        <is>
          <t>ECG</t>
        </is>
      </c>
      <c r="H161" s="38" t="inlineStr">
        <is>
          <t>Realizado</t>
        </is>
      </c>
      <c r="I161" s="38" t="inlineStr">
        <is>
          <t>Convênio</t>
        </is>
      </c>
      <c r="J161" s="38" t="n"/>
      <c r="K161" s="37" t="n"/>
      <c r="L161" s="39" t="n">
        <v>20</v>
      </c>
      <c r="M161" s="40" t="n">
        <v>40</v>
      </c>
      <c r="N161" s="30">
        <f>IF(A161="","",MONTH(A161))</f>
        <v>6</v>
      </c>
      <c r="O161" s="30">
        <f>IF(A161="","",YEAR(A161))</f>
        <v>2026</v>
      </c>
      <c r="P161" s="30" t="str">
        <f>IF(A161="","",CHOOSE(WEEKDAY(A161,2),"Segunda","Terça","Quarta","Quinta","Sexta","Sábado","Domingo"))</f>
        <v>Terça</v>
      </c>
      <c r="Q161" s="30" t="str">
        <f>IF(B161="","",IF(B161&lt;TIME(12,0,0),"Manhã",IF(B161&lt;TIME(18,0,0),"Tarde","Noite")))</f>
        <v>Tarde</v>
      </c>
      <c r="R161" s="46">
        <f>IF(AND(H161="Realizado",L161&lt;&gt;"",A161&lt;=Config!$B$9),L161/60,0)</f>
        <v>0.333333333333333</v>
      </c>
      <c r="S161" s="45">
        <f>IF(G161="","",IFERROR(INDEX(Config!$K$5:$K$16,MATCH(G161,Config!$J$5:$J$16,0)),""))</f>
        <v>20</v>
      </c>
      <c r="T161" s="31">
        <f>IF(OR(G161="",F161=""),"",IFERROR(INDEX(Config!$M$5:$R$16,MATCH(G161,Config!$J$5:$J$16,0),MATCH(F161,Config!$H$5:$H$10,0)),""))</f>
        <v>40</v>
      </c>
      <c r="U161" s="47">
        <f>IF(AND(H161="Realizado",L161&lt;&gt;""),L161/60,0)</f>
        <v>0.333333333333333</v>
      </c>
      <c r="V161" s="47">
        <f>IF(AND(H161="Realizado",OR(L161="",M161="")),1,0)</f>
        <v>0</v>
      </c>
    </row>
    <row r="162">
      <c r="A162" s="43" t="n">
        <v>46189</v>
      </c>
      <c r="B162" s="44" t="n">
        <v>0.7222222222222222</v>
      </c>
      <c r="C162" s="38" t="inlineStr">
        <is>
          <t>Dr. Paulo Andrade</t>
        </is>
      </c>
      <c r="D162" s="38" t="inlineStr">
        <is>
          <t>Sala 2</t>
        </is>
      </c>
      <c r="E162" s="37" t="inlineStr">
        <is>
          <t>Tatiana Gonçalves</t>
        </is>
      </c>
      <c r="F162" s="38" t="inlineStr">
        <is>
          <t>Saúde Total</t>
        </is>
      </c>
      <c r="G162" s="38" t="inlineStr">
        <is>
          <t>Consulta</t>
        </is>
      </c>
      <c r="H162" s="38" t="inlineStr">
        <is>
          <t>Realizado</t>
        </is>
      </c>
      <c r="I162" s="38" t="inlineStr">
        <is>
          <t>Convênio</t>
        </is>
      </c>
      <c r="J162" s="38" t="n"/>
      <c r="K162" s="37" t="n"/>
      <c r="L162" s="39" t="n">
        <v>30</v>
      </c>
      <c r="M162" s="40" t="n">
        <v>120</v>
      </c>
      <c r="N162" s="30">
        <f>IF(A162="","",MONTH(A162))</f>
        <v>6</v>
      </c>
      <c r="O162" s="30">
        <f>IF(A162="","",YEAR(A162))</f>
        <v>2026</v>
      </c>
      <c r="P162" s="30" t="str">
        <f>IF(A162="","",CHOOSE(WEEKDAY(A162,2),"Segunda","Terça","Quarta","Quinta","Sexta","Sábado","Domingo"))</f>
        <v>Terça</v>
      </c>
      <c r="Q162" s="30" t="str">
        <f>IF(B162="","",IF(B162&lt;TIME(12,0,0),"Manhã",IF(B162&lt;TIME(18,0,0),"Tarde","Noite")))</f>
        <v>Tarde</v>
      </c>
      <c r="R162" s="46">
        <f>IF(AND(H162="Realizado",L162&lt;&gt;"",A162&lt;=Config!$B$9),L162/60,0)</f>
        <v>0.5</v>
      </c>
      <c r="S162" s="45">
        <f>IF(G162="","",IFERROR(INDEX(Config!$K$5:$K$16,MATCH(G162,Config!$J$5:$J$16,0)),""))</f>
        <v>30</v>
      </c>
      <c r="T162" s="31">
        <f>IF(OR(G162="",F162=""),"",IFERROR(INDEX(Config!$M$5:$R$16,MATCH(G162,Config!$J$5:$J$16,0),MATCH(F162,Config!$H$5:$H$10,0)),""))</f>
        <v>120</v>
      </c>
      <c r="U162" s="47">
        <f>IF(AND(H162="Realizado",L162&lt;&gt;""),L162/60,0)</f>
        <v>0.5</v>
      </c>
      <c r="V162" s="47">
        <f>IF(AND(H162="Realizado",OR(L162="",M162="")),1,0)</f>
        <v>0</v>
      </c>
    </row>
    <row r="163">
      <c r="A163" s="43" t="n">
        <v>46189</v>
      </c>
      <c r="B163" s="44" t="n">
        <v>0.7361111111111112</v>
      </c>
      <c r="C163" s="38" t="inlineStr">
        <is>
          <t>Dra. Renata Sousa</t>
        </is>
      </c>
      <c r="D163" s="38" t="inlineStr">
        <is>
          <t>Sala 1</t>
        </is>
      </c>
      <c r="E163" s="37" t="inlineStr">
        <is>
          <t>Eduardo Pereira</t>
        </is>
      </c>
      <c r="F163" s="38" t="inlineStr">
        <is>
          <t>Particular</t>
        </is>
      </c>
      <c r="G163" s="38" t="inlineStr">
        <is>
          <t>Retorno</t>
        </is>
      </c>
      <c r="H163" s="38" t="inlineStr">
        <is>
          <t>Realizado</t>
        </is>
      </c>
      <c r="I163" s="38" t="inlineStr">
        <is>
          <t>Sem cobrança</t>
        </is>
      </c>
      <c r="J163" s="38" t="n"/>
      <c r="K163" s="37" t="n"/>
      <c r="L163" s="39" t="n">
        <v>20</v>
      </c>
      <c r="M163" s="40" t="n">
        <v>0</v>
      </c>
      <c r="N163" s="30">
        <f>IF(A163="","",MONTH(A163))</f>
        <v>6</v>
      </c>
      <c r="O163" s="30">
        <f>IF(A163="","",YEAR(A163))</f>
        <v>2026</v>
      </c>
      <c r="P163" s="30" t="str">
        <f>IF(A163="","",CHOOSE(WEEKDAY(A163,2),"Segunda","Terça","Quarta","Quinta","Sexta","Sábado","Domingo"))</f>
        <v>Terça</v>
      </c>
      <c r="Q163" s="30" t="str">
        <f>IF(B163="","",IF(B163&lt;TIME(12,0,0),"Manhã",IF(B163&lt;TIME(18,0,0),"Tarde","Noite")))</f>
        <v>Tarde</v>
      </c>
      <c r="R163" s="46">
        <f>IF(AND(H163="Realizado",L163&lt;&gt;"",A163&lt;=Config!$B$9),L163/60,0)</f>
        <v>0.333333333333333</v>
      </c>
      <c r="S163" s="45">
        <f>IF(G163="","",IFERROR(INDEX(Config!$K$5:$K$16,MATCH(G163,Config!$J$5:$J$16,0)),""))</f>
        <v>20</v>
      </c>
      <c r="T163" s="31">
        <f>IF(OR(G163="",F163=""),"",IFERROR(INDEX(Config!$M$5:$R$16,MATCH(G163,Config!$J$5:$J$16,0),MATCH(F163,Config!$H$5:$H$10,0)),""))</f>
        <v>0</v>
      </c>
      <c r="U163" s="47">
        <f>IF(AND(H163="Realizado",L163&lt;&gt;""),L163/60,0)</f>
        <v>0.333333333333333</v>
      </c>
      <c r="V163" s="47">
        <f>IF(AND(H163="Realizado",OR(L163="",M163="")),1,0)</f>
        <v>0</v>
      </c>
    </row>
    <row r="164">
      <c r="A164" s="43" t="n">
        <v>46190</v>
      </c>
      <c r="B164" s="44" t="n">
        <v>0.5833333333333334</v>
      </c>
      <c r="C164" s="38" t="inlineStr">
        <is>
          <t>Dra. Carolina Mendes</t>
        </is>
      </c>
      <c r="D164" s="38" t="inlineStr">
        <is>
          <t>Sala 1</t>
        </is>
      </c>
      <c r="E164" s="37" t="inlineStr">
        <is>
          <t>Mônica Batista</t>
        </is>
      </c>
      <c r="F164" s="38" t="inlineStr">
        <is>
          <t>MediPlan</t>
        </is>
      </c>
      <c r="G164" s="38" t="inlineStr">
        <is>
          <t>Consulta</t>
        </is>
      </c>
      <c r="H164" s="38" t="inlineStr">
        <is>
          <t>Realizado</t>
        </is>
      </c>
      <c r="I164" s="38" t="inlineStr">
        <is>
          <t>Convênio</t>
        </is>
      </c>
      <c r="J164" s="38" t="n"/>
      <c r="K164" s="37" t="n"/>
      <c r="L164" s="39" t="n">
        <v>30</v>
      </c>
      <c r="M164" s="40" t="n">
        <v>100</v>
      </c>
      <c r="N164" s="30">
        <f>IF(A164="","",MONTH(A164))</f>
        <v>6</v>
      </c>
      <c r="O164" s="30">
        <f>IF(A164="","",YEAR(A164))</f>
        <v>2026</v>
      </c>
      <c r="P164" s="30" t="str">
        <f>IF(A164="","",CHOOSE(WEEKDAY(A164,2),"Segunda","Terça","Quarta","Quinta","Sexta","Sábado","Domingo"))</f>
        <v>Quarta</v>
      </c>
      <c r="Q164" s="30" t="str">
        <f>IF(B164="","",IF(B164&lt;TIME(12,0,0),"Manhã",IF(B164&lt;TIME(18,0,0),"Tarde","Noite")))</f>
        <v>Tarde</v>
      </c>
      <c r="R164" s="46">
        <f>IF(AND(H164="Realizado",L164&lt;&gt;"",A164&lt;=Config!$B$9),L164/60,0)</f>
        <v>0.5</v>
      </c>
      <c r="S164" s="45">
        <f>IF(G164="","",IFERROR(INDEX(Config!$K$5:$K$16,MATCH(G164,Config!$J$5:$J$16,0)),""))</f>
        <v>30</v>
      </c>
      <c r="T164" s="31">
        <f>IF(OR(G164="",F164=""),"",IFERROR(INDEX(Config!$M$5:$R$16,MATCH(G164,Config!$J$5:$J$16,0),MATCH(F164,Config!$H$5:$H$10,0)),""))</f>
        <v>100</v>
      </c>
      <c r="U164" s="47">
        <f>IF(AND(H164="Realizado",L164&lt;&gt;""),L164/60,0)</f>
        <v>0.5</v>
      </c>
      <c r="V164" s="47">
        <f>IF(AND(H164="Realizado",OR(L164="",M164="")),1,0)</f>
        <v>0</v>
      </c>
    </row>
    <row r="165">
      <c r="A165" s="43" t="n">
        <v>46190</v>
      </c>
      <c r="B165" s="44" t="n">
        <v>0.6041666666666666</v>
      </c>
      <c r="C165" s="38" t="inlineStr">
        <is>
          <t>Dra. Carolina Mendes</t>
        </is>
      </c>
      <c r="D165" s="38" t="inlineStr">
        <is>
          <t>Sala 1</t>
        </is>
      </c>
      <c r="E165" s="37" t="inlineStr">
        <is>
          <t>Tatiana Cunha</t>
        </is>
      </c>
      <c r="F165" s="38" t="inlineStr">
        <is>
          <t>Saúde Total</t>
        </is>
      </c>
      <c r="G165" s="38" t="inlineStr">
        <is>
          <t>Consulta</t>
        </is>
      </c>
      <c r="H165" s="38" t="inlineStr">
        <is>
          <t>Realizado</t>
        </is>
      </c>
      <c r="I165" s="38" t="inlineStr">
        <is>
          <t>Convênio</t>
        </is>
      </c>
      <c r="J165" s="38" t="n"/>
      <c r="K165" s="37" t="n"/>
      <c r="L165" s="39" t="n">
        <v>30</v>
      </c>
      <c r="M165" s="40" t="n">
        <v>120</v>
      </c>
      <c r="N165" s="30">
        <f>IF(A165="","",MONTH(A165))</f>
        <v>6</v>
      </c>
      <c r="O165" s="30">
        <f>IF(A165="","",YEAR(A165))</f>
        <v>2026</v>
      </c>
      <c r="P165" s="30" t="str">
        <f>IF(A165="","",CHOOSE(WEEKDAY(A165,2),"Segunda","Terça","Quarta","Quinta","Sexta","Sábado","Domingo"))</f>
        <v>Quarta</v>
      </c>
      <c r="Q165" s="30" t="str">
        <f>IF(B165="","",IF(B165&lt;TIME(12,0,0),"Manhã",IF(B165&lt;TIME(18,0,0),"Tarde","Noite")))</f>
        <v>Tarde</v>
      </c>
      <c r="R165" s="46">
        <f>IF(AND(H165="Realizado",L165&lt;&gt;"",A165&lt;=Config!$B$9),L165/60,0)</f>
        <v>0.5</v>
      </c>
      <c r="S165" s="45">
        <f>IF(G165="","",IFERROR(INDEX(Config!$K$5:$K$16,MATCH(G165,Config!$J$5:$J$16,0)),""))</f>
        <v>30</v>
      </c>
      <c r="T165" s="31">
        <f>IF(OR(G165="",F165=""),"",IFERROR(INDEX(Config!$M$5:$R$16,MATCH(G165,Config!$J$5:$J$16,0),MATCH(F165,Config!$H$5:$H$10,0)),""))</f>
        <v>120</v>
      </c>
      <c r="U165" s="47">
        <f>IF(AND(H165="Realizado",L165&lt;&gt;""),L165/60,0)</f>
        <v>0.5</v>
      </c>
      <c r="V165" s="47">
        <f>IF(AND(H165="Realizado",OR(L165="",M165="")),1,0)</f>
        <v>0</v>
      </c>
    </row>
    <row r="166">
      <c r="A166" s="43" t="n">
        <v>46190</v>
      </c>
      <c r="B166" s="44" t="n">
        <v>0.625</v>
      </c>
      <c r="C166" s="38" t="inlineStr">
        <is>
          <t>Dra. Carolina Mendes</t>
        </is>
      </c>
      <c r="D166" s="38" t="inlineStr">
        <is>
          <t>Sala 1</t>
        </is>
      </c>
      <c r="E166" s="37" t="inlineStr">
        <is>
          <t>Cláudia Santos</t>
        </is>
      </c>
      <c r="F166" s="38" t="inlineStr">
        <is>
          <t>Particular</t>
        </is>
      </c>
      <c r="G166" s="38" t="inlineStr">
        <is>
          <t>Consulta</t>
        </is>
      </c>
      <c r="H166" s="38" t="inlineStr">
        <is>
          <t>Realizado</t>
        </is>
      </c>
      <c r="I166" s="38" t="inlineStr">
        <is>
          <t>Pix</t>
        </is>
      </c>
      <c r="J166" s="38" t="n"/>
      <c r="K166" s="37" t="n"/>
      <c r="L166" s="39" t="n">
        <v>30</v>
      </c>
      <c r="M166" s="40" t="n">
        <v>380</v>
      </c>
      <c r="N166" s="30">
        <f>IF(A166="","",MONTH(A166))</f>
        <v>6</v>
      </c>
      <c r="O166" s="30">
        <f>IF(A166="","",YEAR(A166))</f>
        <v>2026</v>
      </c>
      <c r="P166" s="30" t="str">
        <f>IF(A166="","",CHOOSE(WEEKDAY(A166,2),"Segunda","Terça","Quarta","Quinta","Sexta","Sábado","Domingo"))</f>
        <v>Quarta</v>
      </c>
      <c r="Q166" s="30" t="str">
        <f>IF(B166="","",IF(B166&lt;TIME(12,0,0),"Manhã",IF(B166&lt;TIME(18,0,0),"Tarde","Noite")))</f>
        <v>Tarde</v>
      </c>
      <c r="R166" s="46">
        <f>IF(AND(H166="Realizado",L166&lt;&gt;"",A166&lt;=Config!$B$9),L166/60,0)</f>
        <v>0.5</v>
      </c>
      <c r="S166" s="45">
        <f>IF(G166="","",IFERROR(INDEX(Config!$K$5:$K$16,MATCH(G166,Config!$J$5:$J$16,0)),""))</f>
        <v>30</v>
      </c>
      <c r="T166" s="31">
        <f>IF(OR(G166="",F166=""),"",IFERROR(INDEX(Config!$M$5:$R$16,MATCH(G166,Config!$J$5:$J$16,0),MATCH(F166,Config!$H$5:$H$10,0)),""))</f>
        <v>380</v>
      </c>
      <c r="U166" s="47">
        <f>IF(AND(H166="Realizado",L166&lt;&gt;""),L166/60,0)</f>
        <v>0.5</v>
      </c>
      <c r="V166" s="47">
        <f>IF(AND(H166="Realizado",OR(L166="",M166="")),1,0)</f>
        <v>0</v>
      </c>
    </row>
    <row r="167">
      <c r="A167" s="43" t="n">
        <v>46190</v>
      </c>
      <c r="B167" s="44" t="n">
        <v>0.6458333333333334</v>
      </c>
      <c r="C167" s="38" t="inlineStr">
        <is>
          <t>Dra. Carolina Mendes</t>
        </is>
      </c>
      <c r="D167" s="38" t="inlineStr">
        <is>
          <t>Sala 1</t>
        </is>
      </c>
      <c r="E167" s="37" t="inlineStr">
        <is>
          <t>Viviane Ribeiro</t>
        </is>
      </c>
      <c r="F167" s="38" t="inlineStr">
        <is>
          <t>Particular</t>
        </is>
      </c>
      <c r="G167" s="38" t="inlineStr">
        <is>
          <t>Consulta</t>
        </is>
      </c>
      <c r="H167" s="38" t="inlineStr">
        <is>
          <t>Realizado</t>
        </is>
      </c>
      <c r="I167" s="38" t="inlineStr">
        <is>
          <t>A prazo</t>
        </is>
      </c>
      <c r="J167" s="38" t="n"/>
      <c r="K167" s="37" t="n"/>
      <c r="L167" s="39" t="n">
        <v>30</v>
      </c>
      <c r="M167" s="40" t="n">
        <v>380</v>
      </c>
      <c r="N167" s="30">
        <f>IF(A167="","",MONTH(A167))</f>
        <v>6</v>
      </c>
      <c r="O167" s="30">
        <f>IF(A167="","",YEAR(A167))</f>
        <v>2026</v>
      </c>
      <c r="P167" s="30" t="str">
        <f>IF(A167="","",CHOOSE(WEEKDAY(A167,2),"Segunda","Terça","Quarta","Quinta","Sexta","Sábado","Domingo"))</f>
        <v>Quarta</v>
      </c>
      <c r="Q167" s="30" t="str">
        <f>IF(B167="","",IF(B167&lt;TIME(12,0,0),"Manhã",IF(B167&lt;TIME(18,0,0),"Tarde","Noite")))</f>
        <v>Tarde</v>
      </c>
      <c r="R167" s="46">
        <f>IF(AND(H167="Realizado",L167&lt;&gt;"",A167&lt;=Config!$B$9),L167/60,0)</f>
        <v>0.5</v>
      </c>
      <c r="S167" s="45">
        <f>IF(G167="","",IFERROR(INDEX(Config!$K$5:$K$16,MATCH(G167,Config!$J$5:$J$16,0)),""))</f>
        <v>30</v>
      </c>
      <c r="T167" s="31">
        <f>IF(OR(G167="",F167=""),"",IFERROR(INDEX(Config!$M$5:$R$16,MATCH(G167,Config!$J$5:$J$16,0),MATCH(F167,Config!$H$5:$H$10,0)),""))</f>
        <v>380</v>
      </c>
      <c r="U167" s="47">
        <f>IF(AND(H167="Realizado",L167&lt;&gt;""),L167/60,0)</f>
        <v>0.5</v>
      </c>
      <c r="V167" s="47">
        <f>IF(AND(H167="Realizado",OR(L167="",M167="")),1,0)</f>
        <v>0</v>
      </c>
    </row>
    <row r="168">
      <c r="A168" s="43" t="n">
        <v>46190</v>
      </c>
      <c r="B168" s="44" t="n">
        <v>0.6666666666666666</v>
      </c>
      <c r="C168" s="38" t="inlineStr">
        <is>
          <t>Dra. Carolina Mendes</t>
        </is>
      </c>
      <c r="D168" s="38" t="inlineStr">
        <is>
          <t>Sala 1</t>
        </is>
      </c>
      <c r="E168" s="37" t="inlineStr">
        <is>
          <t>Priscila Castro</t>
        </is>
      </c>
      <c r="F168" s="38" t="inlineStr">
        <is>
          <t>Saúde Total</t>
        </is>
      </c>
      <c r="G168" s="38" t="inlineStr">
        <is>
          <t>Consulta</t>
        </is>
      </c>
      <c r="H168" s="38" t="inlineStr">
        <is>
          <t>Realizado</t>
        </is>
      </c>
      <c r="I168" s="38" t="inlineStr">
        <is>
          <t>Convênio</t>
        </is>
      </c>
      <c r="J168" s="38" t="n"/>
      <c r="K168" s="37" t="n"/>
      <c r="L168" s="39" t="n">
        <v>30</v>
      </c>
      <c r="M168" s="40" t="n">
        <v>120</v>
      </c>
      <c r="N168" s="30">
        <f>IF(A168="","",MONTH(A168))</f>
        <v>6</v>
      </c>
      <c r="O168" s="30">
        <f>IF(A168="","",YEAR(A168))</f>
        <v>2026</v>
      </c>
      <c r="P168" s="30" t="str">
        <f>IF(A168="","",CHOOSE(WEEKDAY(A168,2),"Segunda","Terça","Quarta","Quinta","Sexta","Sábado","Domingo"))</f>
        <v>Quarta</v>
      </c>
      <c r="Q168" s="30" t="str">
        <f>IF(B168="","",IF(B168&lt;TIME(12,0,0),"Manhã",IF(B168&lt;TIME(18,0,0),"Tarde","Noite")))</f>
        <v>Tarde</v>
      </c>
      <c r="R168" s="46">
        <f>IF(AND(H168="Realizado",L168&lt;&gt;"",A168&lt;=Config!$B$9),L168/60,0)</f>
        <v>0.5</v>
      </c>
      <c r="S168" s="45">
        <f>IF(G168="","",IFERROR(INDEX(Config!$K$5:$K$16,MATCH(G168,Config!$J$5:$J$16,0)),""))</f>
        <v>30</v>
      </c>
      <c r="T168" s="31">
        <f>IF(OR(G168="",F168=""),"",IFERROR(INDEX(Config!$M$5:$R$16,MATCH(G168,Config!$J$5:$J$16,0),MATCH(F168,Config!$H$5:$H$10,0)),""))</f>
        <v>120</v>
      </c>
      <c r="U168" s="47">
        <f>IF(AND(H168="Realizado",L168&lt;&gt;""),L168/60,0)</f>
        <v>0.5</v>
      </c>
      <c r="V168" s="47">
        <f>IF(AND(H168="Realizado",OR(L168="",M168="")),1,0)</f>
        <v>0</v>
      </c>
    </row>
    <row r="169">
      <c r="A169" s="43" t="n">
        <v>46190</v>
      </c>
      <c r="B169" s="44" t="n">
        <v>0.6875</v>
      </c>
      <c r="C169" s="38" t="inlineStr">
        <is>
          <t>Dra. Carolina Mendes</t>
        </is>
      </c>
      <c r="D169" s="38" t="inlineStr">
        <is>
          <t>Sala 1</t>
        </is>
      </c>
      <c r="E169" s="37" t="inlineStr">
        <is>
          <t>Helena Moreira</t>
        </is>
      </c>
      <c r="F169" s="38" t="inlineStr">
        <is>
          <t>Particular</t>
        </is>
      </c>
      <c r="G169" s="38" t="inlineStr">
        <is>
          <t>Consulta</t>
        </is>
      </c>
      <c r="H169" s="38" t="inlineStr">
        <is>
          <t>Realizado</t>
        </is>
      </c>
      <c r="I169" s="38" t="inlineStr">
        <is>
          <t>Cartão de débito</t>
        </is>
      </c>
      <c r="J169" s="38" t="n"/>
      <c r="K169" s="37" t="n"/>
      <c r="L169" s="39" t="n">
        <v>30</v>
      </c>
      <c r="M169" s="40" t="n">
        <v>380</v>
      </c>
      <c r="N169" s="30">
        <f>IF(A169="","",MONTH(A169))</f>
        <v>6</v>
      </c>
      <c r="O169" s="30">
        <f>IF(A169="","",YEAR(A169))</f>
        <v>2026</v>
      </c>
      <c r="P169" s="30" t="str">
        <f>IF(A169="","",CHOOSE(WEEKDAY(A169,2),"Segunda","Terça","Quarta","Quinta","Sexta","Sábado","Domingo"))</f>
        <v>Quarta</v>
      </c>
      <c r="Q169" s="30" t="str">
        <f>IF(B169="","",IF(B169&lt;TIME(12,0,0),"Manhã",IF(B169&lt;TIME(18,0,0),"Tarde","Noite")))</f>
        <v>Tarde</v>
      </c>
      <c r="R169" s="46">
        <f>IF(AND(H169="Realizado",L169&lt;&gt;"",A169&lt;=Config!$B$9),L169/60,0)</f>
        <v>0.5</v>
      </c>
      <c r="S169" s="45">
        <f>IF(G169="","",IFERROR(INDEX(Config!$K$5:$K$16,MATCH(G169,Config!$J$5:$J$16,0)),""))</f>
        <v>30</v>
      </c>
      <c r="T169" s="31">
        <f>IF(OR(G169="",F169=""),"",IFERROR(INDEX(Config!$M$5:$R$16,MATCH(G169,Config!$J$5:$J$16,0),MATCH(F169,Config!$H$5:$H$10,0)),""))</f>
        <v>380</v>
      </c>
      <c r="U169" s="47">
        <f>IF(AND(H169="Realizado",L169&lt;&gt;""),L169/60,0)</f>
        <v>0.5</v>
      </c>
      <c r="V169" s="47">
        <f>IF(AND(H169="Realizado",OR(L169="",M169="")),1,0)</f>
        <v>0</v>
      </c>
    </row>
    <row r="170">
      <c r="A170" s="43" t="n">
        <v>46190</v>
      </c>
      <c r="B170" s="44" t="n">
        <v>0.7083333333333334</v>
      </c>
      <c r="C170" s="38" t="inlineStr">
        <is>
          <t>Dra. Carolina Mendes</t>
        </is>
      </c>
      <c r="D170" s="38" t="inlineStr">
        <is>
          <t>Sala 1</t>
        </is>
      </c>
      <c r="E170" s="37" t="inlineStr">
        <is>
          <t>Regina Macedo</t>
        </is>
      </c>
      <c r="F170" s="38" t="inlineStr">
        <is>
          <t>Particular</t>
        </is>
      </c>
      <c r="G170" s="38" t="inlineStr">
        <is>
          <t>Consulta</t>
        </is>
      </c>
      <c r="H170" s="38" t="inlineStr">
        <is>
          <t>Realizado</t>
        </is>
      </c>
      <c r="I170" s="38" t="inlineStr">
        <is>
          <t>Pix</t>
        </is>
      </c>
      <c r="J170" s="38" t="n"/>
      <c r="K170" s="37" t="n"/>
      <c r="L170" s="39" t="n">
        <v>30</v>
      </c>
      <c r="M170" s="40" t="n">
        <v>380</v>
      </c>
      <c r="N170" s="30">
        <f>IF(A170="","",MONTH(A170))</f>
        <v>6</v>
      </c>
      <c r="O170" s="30">
        <f>IF(A170="","",YEAR(A170))</f>
        <v>2026</v>
      </c>
      <c r="P170" s="30" t="str">
        <f>IF(A170="","",CHOOSE(WEEKDAY(A170,2),"Segunda","Terça","Quarta","Quinta","Sexta","Sábado","Domingo"))</f>
        <v>Quarta</v>
      </c>
      <c r="Q170" s="30" t="str">
        <f>IF(B170="","",IF(B170&lt;TIME(12,0,0),"Manhã",IF(B170&lt;TIME(18,0,0),"Tarde","Noite")))</f>
        <v>Tarde</v>
      </c>
      <c r="R170" s="46">
        <f>IF(AND(H170="Realizado",L170&lt;&gt;"",A170&lt;=Config!$B$9),L170/60,0)</f>
        <v>0.5</v>
      </c>
      <c r="S170" s="45">
        <f>IF(G170="","",IFERROR(INDEX(Config!$K$5:$K$16,MATCH(G170,Config!$J$5:$J$16,0)),""))</f>
        <v>30</v>
      </c>
      <c r="T170" s="31">
        <f>IF(OR(G170="",F170=""),"",IFERROR(INDEX(Config!$M$5:$R$16,MATCH(G170,Config!$J$5:$J$16,0),MATCH(F170,Config!$H$5:$H$10,0)),""))</f>
        <v>380</v>
      </c>
      <c r="U170" s="47">
        <f>IF(AND(H170="Realizado",L170&lt;&gt;""),L170/60,0)</f>
        <v>0.5</v>
      </c>
      <c r="V170" s="47">
        <f>IF(AND(H170="Realizado",OR(L170="",M170="")),1,0)</f>
        <v>0</v>
      </c>
    </row>
    <row r="171">
      <c r="A171" s="43" t="n">
        <v>46190</v>
      </c>
      <c r="B171" s="44" t="n">
        <v>0.7291666666666666</v>
      </c>
      <c r="C171" s="38" t="inlineStr">
        <is>
          <t>Dra. Carolina Mendes</t>
        </is>
      </c>
      <c r="D171" s="38" t="inlineStr">
        <is>
          <t>Sala 1</t>
        </is>
      </c>
      <c r="E171" s="37" t="inlineStr">
        <is>
          <t>Débora Machado</t>
        </is>
      </c>
      <c r="F171" s="38" t="inlineStr">
        <is>
          <t>Saúde Total</t>
        </is>
      </c>
      <c r="G171" s="38" t="inlineStr">
        <is>
          <t>Consulta</t>
        </is>
      </c>
      <c r="H171" s="38" t="inlineStr">
        <is>
          <t>Realizado</t>
        </is>
      </c>
      <c r="I171" s="38" t="inlineStr">
        <is>
          <t>Convênio</t>
        </is>
      </c>
      <c r="J171" s="38" t="n"/>
      <c r="K171" s="37" t="n"/>
      <c r="L171" s="39" t="n">
        <v>30</v>
      </c>
      <c r="M171" s="40" t="n">
        <v>120</v>
      </c>
      <c r="N171" s="30">
        <f>IF(A171="","",MONTH(A171))</f>
        <v>6</v>
      </c>
      <c r="O171" s="30">
        <f>IF(A171="","",YEAR(A171))</f>
        <v>2026</v>
      </c>
      <c r="P171" s="30" t="str">
        <f>IF(A171="","",CHOOSE(WEEKDAY(A171,2),"Segunda","Terça","Quarta","Quinta","Sexta","Sábado","Domingo"))</f>
        <v>Quarta</v>
      </c>
      <c r="Q171" s="30" t="str">
        <f>IF(B171="","",IF(B171&lt;TIME(12,0,0),"Manhã",IF(B171&lt;TIME(18,0,0),"Tarde","Noite")))</f>
        <v>Tarde</v>
      </c>
      <c r="R171" s="46">
        <f>IF(AND(H171="Realizado",L171&lt;&gt;"",A171&lt;=Config!$B$9),L171/60,0)</f>
        <v>0.5</v>
      </c>
      <c r="S171" s="45">
        <f>IF(G171="","",IFERROR(INDEX(Config!$K$5:$K$16,MATCH(G171,Config!$J$5:$J$16,0)),""))</f>
        <v>30</v>
      </c>
      <c r="T171" s="31">
        <f>IF(OR(G171="",F171=""),"",IFERROR(INDEX(Config!$M$5:$R$16,MATCH(G171,Config!$J$5:$J$16,0),MATCH(F171,Config!$H$5:$H$10,0)),""))</f>
        <v>120</v>
      </c>
      <c r="U171" s="47">
        <f>IF(AND(H171="Realizado",L171&lt;&gt;""),L171/60,0)</f>
        <v>0.5</v>
      </c>
      <c r="V171" s="47">
        <f>IF(AND(H171="Realizado",OR(L171="",M171="")),1,0)</f>
        <v>0</v>
      </c>
    </row>
    <row r="172">
      <c r="A172" s="43" t="n">
        <v>46191</v>
      </c>
      <c r="B172" s="44" t="n">
        <v>0.3333333333333333</v>
      </c>
      <c r="C172" s="38" t="inlineStr">
        <is>
          <t>Dra. Carolina Mendes</t>
        </is>
      </c>
      <c r="D172" s="38" t="inlineStr">
        <is>
          <t>Sala 1</t>
        </is>
      </c>
      <c r="E172" s="37" t="inlineStr">
        <is>
          <t>Letícia Vieira</t>
        </is>
      </c>
      <c r="F172" s="38" t="inlineStr">
        <is>
          <t>Saúde Total</t>
        </is>
      </c>
      <c r="G172" s="38" t="inlineStr">
        <is>
          <t>Consulta</t>
        </is>
      </c>
      <c r="H172" s="38" t="inlineStr">
        <is>
          <t>Realizado</t>
        </is>
      </c>
      <c r="I172" s="38" t="inlineStr">
        <is>
          <t>Convênio</t>
        </is>
      </c>
      <c r="J172" s="38" t="n"/>
      <c r="K172" s="37" t="n"/>
      <c r="L172" s="39" t="n">
        <v>30</v>
      </c>
      <c r="M172" s="40" t="n">
        <v>120</v>
      </c>
      <c r="N172" s="30">
        <f>IF(A172="","",MONTH(A172))</f>
        <v>6</v>
      </c>
      <c r="O172" s="30">
        <f>IF(A172="","",YEAR(A172))</f>
        <v>2026</v>
      </c>
      <c r="P172" s="30" t="str">
        <f>IF(A172="","",CHOOSE(WEEKDAY(A172,2),"Segunda","Terça","Quarta","Quinta","Sexta","Sábado","Domingo"))</f>
        <v>Quinta</v>
      </c>
      <c r="Q172" s="30" t="str">
        <f>IF(B172="","",IF(B172&lt;TIME(12,0,0),"Manhã",IF(B172&lt;TIME(18,0,0),"Tarde","Noite")))</f>
        <v>Manhã</v>
      </c>
      <c r="R172" s="46">
        <f>IF(AND(H172="Realizado",L172&lt;&gt;"",A172&lt;=Config!$B$9),L172/60,0)</f>
        <v>0.5</v>
      </c>
      <c r="S172" s="45">
        <f>IF(G172="","",IFERROR(INDEX(Config!$K$5:$K$16,MATCH(G172,Config!$J$5:$J$16,0)),""))</f>
        <v>30</v>
      </c>
      <c r="T172" s="31">
        <f>IF(OR(G172="",F172=""),"",IFERROR(INDEX(Config!$M$5:$R$16,MATCH(G172,Config!$J$5:$J$16,0),MATCH(F172,Config!$H$5:$H$10,0)),""))</f>
        <v>120</v>
      </c>
      <c r="U172" s="47">
        <f>IF(AND(H172="Realizado",L172&lt;&gt;""),L172/60,0)</f>
        <v>0.5</v>
      </c>
      <c r="V172" s="47">
        <f>IF(AND(H172="Realizado",OR(L172="",M172="")),1,0)</f>
        <v>0</v>
      </c>
    </row>
    <row r="173">
      <c r="A173" s="43" t="n">
        <v>46191</v>
      </c>
      <c r="B173" s="44" t="n">
        <v>0.3541666666666667</v>
      </c>
      <c r="C173" s="38" t="inlineStr">
        <is>
          <t>Dra. Carolina Mendes</t>
        </is>
      </c>
      <c r="D173" s="38" t="inlineStr">
        <is>
          <t>Sala 1</t>
        </is>
      </c>
      <c r="E173" s="37" t="inlineStr">
        <is>
          <t>Simone Monteiro</t>
        </is>
      </c>
      <c r="F173" s="38" t="inlineStr">
        <is>
          <t>Vida Care</t>
        </is>
      </c>
      <c r="G173" s="38" t="inlineStr">
        <is>
          <t>Consulta</t>
        </is>
      </c>
      <c r="H173" s="38" t="inlineStr">
        <is>
          <t>Cancelado</t>
        </is>
      </c>
      <c r="I173" s="38" t="n"/>
      <c r="J173" s="38" t="n"/>
      <c r="K173" s="37" t="n"/>
      <c r="L173" s="39" t="n">
        <v>30</v>
      </c>
      <c r="M173" s="40" t="n">
        <v>90</v>
      </c>
      <c r="N173" s="30">
        <f>IF(A173="","",MONTH(A173))</f>
        <v>6</v>
      </c>
      <c r="O173" s="30">
        <f>IF(A173="","",YEAR(A173))</f>
        <v>2026</v>
      </c>
      <c r="P173" s="30" t="str">
        <f>IF(A173="","",CHOOSE(WEEKDAY(A173,2),"Segunda","Terça","Quarta","Quinta","Sexta","Sábado","Domingo"))</f>
        <v>Quinta</v>
      </c>
      <c r="Q173" s="30" t="str">
        <f>IF(B173="","",IF(B173&lt;TIME(12,0,0),"Manhã",IF(B173&lt;TIME(18,0,0),"Tarde","Noite")))</f>
        <v>Manhã</v>
      </c>
      <c r="R173" s="46">
        <f>IF(AND(H173="Realizado",L173&lt;&gt;"",A173&lt;=Config!$B$9),L173/60,0)</f>
        <v>0</v>
      </c>
      <c r="S173" s="45">
        <f>IF(G173="","",IFERROR(INDEX(Config!$K$5:$K$16,MATCH(G173,Config!$J$5:$J$16,0)),""))</f>
        <v>30</v>
      </c>
      <c r="T173" s="31">
        <f>IF(OR(G173="",F173=""),"",IFERROR(INDEX(Config!$M$5:$R$16,MATCH(G173,Config!$J$5:$J$16,0),MATCH(F173,Config!$H$5:$H$10,0)),""))</f>
        <v>90</v>
      </c>
      <c r="U173" s="47">
        <f>IF(AND(H173="Realizado",L173&lt;&gt;""),L173/60,0)</f>
        <v>0</v>
      </c>
      <c r="V173" s="47">
        <f>IF(AND(H173="Realizado",OR(L173="",M173="")),1,0)</f>
        <v>0</v>
      </c>
    </row>
    <row r="174">
      <c r="A174" s="43" t="n">
        <v>46191</v>
      </c>
      <c r="B174" s="44" t="n">
        <v>0.375</v>
      </c>
      <c r="C174" s="38" t="inlineStr">
        <is>
          <t>Dra. Carolina Mendes</t>
        </is>
      </c>
      <c r="D174" s="38" t="inlineStr">
        <is>
          <t>Sala 1</t>
        </is>
      </c>
      <c r="E174" s="37" t="inlineStr">
        <is>
          <t>Eduardo Nunes</t>
        </is>
      </c>
      <c r="F174" s="38" t="inlineStr">
        <is>
          <t>MediPlan</t>
        </is>
      </c>
      <c r="G174" s="38" t="inlineStr">
        <is>
          <t>Consulta</t>
        </is>
      </c>
      <c r="H174" s="38" t="inlineStr">
        <is>
          <t>Realizado</t>
        </is>
      </c>
      <c r="I174" s="38" t="inlineStr">
        <is>
          <t>Convênio</t>
        </is>
      </c>
      <c r="J174" s="38" t="n"/>
      <c r="K174" s="37" t="n"/>
      <c r="L174" s="39" t="n">
        <v>30</v>
      </c>
      <c r="M174" s="40" t="n">
        <v>100</v>
      </c>
      <c r="N174" s="30">
        <f>IF(A174="","",MONTH(A174))</f>
        <v>6</v>
      </c>
      <c r="O174" s="30">
        <f>IF(A174="","",YEAR(A174))</f>
        <v>2026</v>
      </c>
      <c r="P174" s="30" t="str">
        <f>IF(A174="","",CHOOSE(WEEKDAY(A174,2),"Segunda","Terça","Quarta","Quinta","Sexta","Sábado","Domingo"))</f>
        <v>Quinta</v>
      </c>
      <c r="Q174" s="30" t="str">
        <f>IF(B174="","",IF(B174&lt;TIME(12,0,0),"Manhã",IF(B174&lt;TIME(18,0,0),"Tarde","Noite")))</f>
        <v>Manhã</v>
      </c>
      <c r="R174" s="46">
        <f>IF(AND(H174="Realizado",L174&lt;&gt;"",A174&lt;=Config!$B$9),L174/60,0)</f>
        <v>0.5</v>
      </c>
      <c r="S174" s="45">
        <f>IF(G174="","",IFERROR(INDEX(Config!$K$5:$K$16,MATCH(G174,Config!$J$5:$J$16,0)),""))</f>
        <v>30</v>
      </c>
      <c r="T174" s="31">
        <f>IF(OR(G174="",F174=""),"",IFERROR(INDEX(Config!$M$5:$R$16,MATCH(G174,Config!$J$5:$J$16,0),MATCH(F174,Config!$H$5:$H$10,0)),""))</f>
        <v>100</v>
      </c>
      <c r="U174" s="47">
        <f>IF(AND(H174="Realizado",L174&lt;&gt;""),L174/60,0)</f>
        <v>0.5</v>
      </c>
      <c r="V174" s="47">
        <f>IF(AND(H174="Realizado",OR(L174="",M174="")),1,0)</f>
        <v>0</v>
      </c>
    </row>
    <row r="175">
      <c r="A175" s="43" t="n">
        <v>46191</v>
      </c>
      <c r="B175" s="44" t="n">
        <v>0.3958333333333333</v>
      </c>
      <c r="C175" s="38" t="inlineStr">
        <is>
          <t>Dra. Carolina Mendes</t>
        </is>
      </c>
      <c r="D175" s="38" t="inlineStr">
        <is>
          <t>Sala 1</t>
        </is>
      </c>
      <c r="E175" s="37" t="inlineStr">
        <is>
          <t>Simone Monteiro</t>
        </is>
      </c>
      <c r="F175" s="38" t="inlineStr">
        <is>
          <t>Vida Care</t>
        </is>
      </c>
      <c r="G175" s="38" t="inlineStr">
        <is>
          <t>Consulta</t>
        </is>
      </c>
      <c r="H175" s="38" t="inlineStr">
        <is>
          <t>Realizado</t>
        </is>
      </c>
      <c r="I175" s="38" t="inlineStr">
        <is>
          <t>Convênio</t>
        </is>
      </c>
      <c r="J175" s="38" t="n"/>
      <c r="K175" s="37" t="n"/>
      <c r="L175" s="39" t="n">
        <v>30</v>
      </c>
      <c r="M175" s="40" t="n">
        <v>90</v>
      </c>
      <c r="N175" s="30">
        <f>IF(A175="","",MONTH(A175))</f>
        <v>6</v>
      </c>
      <c r="O175" s="30">
        <f>IF(A175="","",YEAR(A175))</f>
        <v>2026</v>
      </c>
      <c r="P175" s="30" t="str">
        <f>IF(A175="","",CHOOSE(WEEKDAY(A175,2),"Segunda","Terça","Quarta","Quinta","Sexta","Sábado","Domingo"))</f>
        <v>Quinta</v>
      </c>
      <c r="Q175" s="30" t="str">
        <f>IF(B175="","",IF(B175&lt;TIME(12,0,0),"Manhã",IF(B175&lt;TIME(18,0,0),"Tarde","Noite")))</f>
        <v>Manhã</v>
      </c>
      <c r="R175" s="46">
        <f>IF(AND(H175="Realizado",L175&lt;&gt;"",A175&lt;=Config!$B$9),L175/60,0)</f>
        <v>0.5</v>
      </c>
      <c r="S175" s="45">
        <f>IF(G175="","",IFERROR(INDEX(Config!$K$5:$K$16,MATCH(G175,Config!$J$5:$J$16,0)),""))</f>
        <v>30</v>
      </c>
      <c r="T175" s="31">
        <f>IF(OR(G175="",F175=""),"",IFERROR(INDEX(Config!$M$5:$R$16,MATCH(G175,Config!$J$5:$J$16,0),MATCH(F175,Config!$H$5:$H$10,0)),""))</f>
        <v>90</v>
      </c>
      <c r="U175" s="47">
        <f>IF(AND(H175="Realizado",L175&lt;&gt;""),L175/60,0)</f>
        <v>0.5</v>
      </c>
      <c r="V175" s="47">
        <f>IF(AND(H175="Realizado",OR(L175="",M175="")),1,0)</f>
        <v>0</v>
      </c>
    </row>
    <row r="176">
      <c r="A176" s="43" t="n">
        <v>46191</v>
      </c>
      <c r="B176" s="44" t="n">
        <v>0.4166666666666667</v>
      </c>
      <c r="C176" s="38" t="inlineStr">
        <is>
          <t>Dra. Carolina Mendes</t>
        </is>
      </c>
      <c r="D176" s="38" t="inlineStr">
        <is>
          <t>Sala 1</t>
        </is>
      </c>
      <c r="E176" s="37" t="inlineStr">
        <is>
          <t>Daniel Melo</t>
        </is>
      </c>
      <c r="F176" s="38" t="inlineStr">
        <is>
          <t>Saúde Total</t>
        </is>
      </c>
      <c r="G176" s="38" t="inlineStr">
        <is>
          <t>Consulta</t>
        </is>
      </c>
      <c r="H176" s="38" t="inlineStr">
        <is>
          <t>Realizado</t>
        </is>
      </c>
      <c r="I176" s="38" t="inlineStr">
        <is>
          <t>Convênio</t>
        </is>
      </c>
      <c r="J176" s="38" t="n"/>
      <c r="K176" s="37" t="n"/>
      <c r="L176" s="39" t="n">
        <v>30</v>
      </c>
      <c r="M176" s="40" t="n">
        <v>120</v>
      </c>
      <c r="N176" s="30">
        <f>IF(A176="","",MONTH(A176))</f>
        <v>6</v>
      </c>
      <c r="O176" s="30">
        <f>IF(A176="","",YEAR(A176))</f>
        <v>2026</v>
      </c>
      <c r="P176" s="30" t="str">
        <f>IF(A176="","",CHOOSE(WEEKDAY(A176,2),"Segunda","Terça","Quarta","Quinta","Sexta","Sábado","Domingo"))</f>
        <v>Quinta</v>
      </c>
      <c r="Q176" s="30" t="str">
        <f>IF(B176="","",IF(B176&lt;TIME(12,0,0),"Manhã",IF(B176&lt;TIME(18,0,0),"Tarde","Noite")))</f>
        <v>Manhã</v>
      </c>
      <c r="R176" s="46">
        <f>IF(AND(H176="Realizado",L176&lt;&gt;"",A176&lt;=Config!$B$9),L176/60,0)</f>
        <v>0.5</v>
      </c>
      <c r="S176" s="45">
        <f>IF(G176="","",IFERROR(INDEX(Config!$K$5:$K$16,MATCH(G176,Config!$J$5:$J$16,0)),""))</f>
        <v>30</v>
      </c>
      <c r="T176" s="31">
        <f>IF(OR(G176="",F176=""),"",IFERROR(INDEX(Config!$M$5:$R$16,MATCH(G176,Config!$J$5:$J$16,0),MATCH(F176,Config!$H$5:$H$10,0)),""))</f>
        <v>120</v>
      </c>
      <c r="U176" s="47">
        <f>IF(AND(H176="Realizado",L176&lt;&gt;""),L176/60,0)</f>
        <v>0.5</v>
      </c>
      <c r="V176" s="47">
        <f>IF(AND(H176="Realizado",OR(L176="",M176="")),1,0)</f>
        <v>0</v>
      </c>
    </row>
    <row r="177">
      <c r="A177" s="43" t="n">
        <v>46191</v>
      </c>
      <c r="B177" s="44" t="n">
        <v>0.4583333333333333</v>
      </c>
      <c r="C177" s="38" t="inlineStr">
        <is>
          <t>Dra. Carolina Mendes</t>
        </is>
      </c>
      <c r="D177" s="38" t="inlineStr">
        <is>
          <t>Sala 1</t>
        </is>
      </c>
      <c r="E177" s="37" t="inlineStr">
        <is>
          <t>Gustavo Ferreira</t>
        </is>
      </c>
      <c r="F177" s="38" t="inlineStr">
        <is>
          <t>Particular</t>
        </is>
      </c>
      <c r="G177" s="38" t="inlineStr">
        <is>
          <t>Consulta</t>
        </is>
      </c>
      <c r="H177" s="38" t="inlineStr">
        <is>
          <t>Realizado</t>
        </is>
      </c>
      <c r="I177" s="38" t="inlineStr">
        <is>
          <t>A prazo</t>
        </is>
      </c>
      <c r="J177" s="38" t="n"/>
      <c r="K177" s="37" t="n"/>
      <c r="L177" s="39" t="n">
        <v>30</v>
      </c>
      <c r="M177" s="40" t="n">
        <v>380</v>
      </c>
      <c r="N177" s="30">
        <f>IF(A177="","",MONTH(A177))</f>
        <v>6</v>
      </c>
      <c r="O177" s="30">
        <f>IF(A177="","",YEAR(A177))</f>
        <v>2026</v>
      </c>
      <c r="P177" s="30" t="str">
        <f>IF(A177="","",CHOOSE(WEEKDAY(A177,2),"Segunda","Terça","Quarta","Quinta","Sexta","Sábado","Domingo"))</f>
        <v>Quinta</v>
      </c>
      <c r="Q177" s="30" t="str">
        <f>IF(B177="","",IF(B177&lt;TIME(12,0,0),"Manhã",IF(B177&lt;TIME(18,0,0),"Tarde","Noite")))</f>
        <v>Manhã</v>
      </c>
      <c r="R177" s="46">
        <f>IF(AND(H177="Realizado",L177&lt;&gt;"",A177&lt;=Config!$B$9),L177/60,0)</f>
        <v>0.5</v>
      </c>
      <c r="S177" s="45">
        <f>IF(G177="","",IFERROR(INDEX(Config!$K$5:$K$16,MATCH(G177,Config!$J$5:$J$16,0)),""))</f>
        <v>30</v>
      </c>
      <c r="T177" s="31">
        <f>IF(OR(G177="",F177=""),"",IFERROR(INDEX(Config!$M$5:$R$16,MATCH(G177,Config!$J$5:$J$16,0),MATCH(F177,Config!$H$5:$H$10,0)),""))</f>
        <v>380</v>
      </c>
      <c r="U177" s="47">
        <f>IF(AND(H177="Realizado",L177&lt;&gt;""),L177/60,0)</f>
        <v>0.5</v>
      </c>
      <c r="V177" s="47">
        <f>IF(AND(H177="Realizado",OR(L177="",M177="")),1,0)</f>
        <v>0</v>
      </c>
    </row>
    <row r="178">
      <c r="A178" s="43" t="n">
        <v>46191</v>
      </c>
      <c r="B178" s="44" t="n">
        <v>0.4791666666666667</v>
      </c>
      <c r="C178" s="38" t="inlineStr">
        <is>
          <t>Dra. Carolina Mendes</t>
        </is>
      </c>
      <c r="D178" s="38" t="inlineStr">
        <is>
          <t>Sala 1</t>
        </is>
      </c>
      <c r="E178" s="37" t="inlineStr">
        <is>
          <t>Juliana Ribeiro</t>
        </is>
      </c>
      <c r="F178" s="38" t="inlineStr">
        <is>
          <t>Saúde Total</t>
        </is>
      </c>
      <c r="G178" s="38" t="inlineStr">
        <is>
          <t>Consulta</t>
        </is>
      </c>
      <c r="H178" s="38" t="inlineStr">
        <is>
          <t>Realizado</t>
        </is>
      </c>
      <c r="I178" s="38" t="inlineStr">
        <is>
          <t>Convênio</t>
        </is>
      </c>
      <c r="J178" s="38" t="n"/>
      <c r="K178" s="37" t="n"/>
      <c r="L178" s="39" t="n">
        <v>30</v>
      </c>
      <c r="M178" s="40" t="n">
        <v>120</v>
      </c>
      <c r="N178" s="30">
        <f>IF(A178="","",MONTH(A178))</f>
        <v>6</v>
      </c>
      <c r="O178" s="30">
        <f>IF(A178="","",YEAR(A178))</f>
        <v>2026</v>
      </c>
      <c r="P178" s="30" t="str">
        <f>IF(A178="","",CHOOSE(WEEKDAY(A178,2),"Segunda","Terça","Quarta","Quinta","Sexta","Sábado","Domingo"))</f>
        <v>Quinta</v>
      </c>
      <c r="Q178" s="30" t="str">
        <f>IF(B178="","",IF(B178&lt;TIME(12,0,0),"Manhã",IF(B178&lt;TIME(18,0,0),"Tarde","Noite")))</f>
        <v>Manhã</v>
      </c>
      <c r="R178" s="46">
        <f>IF(AND(H178="Realizado",L178&lt;&gt;"",A178&lt;=Config!$B$9),L178/60,0)</f>
        <v>0.5</v>
      </c>
      <c r="S178" s="45">
        <f>IF(G178="","",IFERROR(INDEX(Config!$K$5:$K$16,MATCH(G178,Config!$J$5:$J$16,0)),""))</f>
        <v>30</v>
      </c>
      <c r="T178" s="31">
        <f>IF(OR(G178="",F178=""),"",IFERROR(INDEX(Config!$M$5:$R$16,MATCH(G178,Config!$J$5:$J$16,0),MATCH(F178,Config!$H$5:$H$10,0)),""))</f>
        <v>120</v>
      </c>
      <c r="U178" s="47">
        <f>IF(AND(H178="Realizado",L178&lt;&gt;""),L178/60,0)</f>
        <v>0.5</v>
      </c>
      <c r="V178" s="47">
        <f>IF(AND(H178="Realizado",OR(L178="",M178="")),1,0)</f>
        <v>0</v>
      </c>
    </row>
    <row r="179">
      <c r="A179" s="43" t="n">
        <v>46191</v>
      </c>
      <c r="B179" s="44" t="n">
        <v>0.5833333333333334</v>
      </c>
      <c r="C179" s="38" t="inlineStr">
        <is>
          <t>Dr. Paulo Andrade</t>
        </is>
      </c>
      <c r="D179" s="38" t="inlineStr">
        <is>
          <t>Sala 2</t>
        </is>
      </c>
      <c r="E179" s="37" t="inlineStr">
        <is>
          <t>Priscila Pinto</t>
        </is>
      </c>
      <c r="F179" s="38" t="inlineStr">
        <is>
          <t>Saúde Total</t>
        </is>
      </c>
      <c r="G179" s="38" t="inlineStr">
        <is>
          <t>Consulta</t>
        </is>
      </c>
      <c r="H179" s="38" t="inlineStr">
        <is>
          <t>Realizado</t>
        </is>
      </c>
      <c r="I179" s="38" t="inlineStr">
        <is>
          <t>Convênio</t>
        </is>
      </c>
      <c r="J179" s="38" t="n"/>
      <c r="K179" s="37" t="n"/>
      <c r="L179" s="39" t="n">
        <v>30</v>
      </c>
      <c r="M179" s="40" t="n">
        <v>120</v>
      </c>
      <c r="N179" s="30">
        <f>IF(A179="","",MONTH(A179))</f>
        <v>6</v>
      </c>
      <c r="O179" s="30">
        <f>IF(A179="","",YEAR(A179))</f>
        <v>2026</v>
      </c>
      <c r="P179" s="30" t="str">
        <f>IF(A179="","",CHOOSE(WEEKDAY(A179,2),"Segunda","Terça","Quarta","Quinta","Sexta","Sábado","Domingo"))</f>
        <v>Quinta</v>
      </c>
      <c r="Q179" s="30" t="str">
        <f>IF(B179="","",IF(B179&lt;TIME(12,0,0),"Manhã",IF(B179&lt;TIME(18,0,0),"Tarde","Noite")))</f>
        <v>Tarde</v>
      </c>
      <c r="R179" s="46">
        <f>IF(AND(H179="Realizado",L179&lt;&gt;"",A179&lt;=Config!$B$9),L179/60,0)</f>
        <v>0.5</v>
      </c>
      <c r="S179" s="45">
        <f>IF(G179="","",IFERROR(INDEX(Config!$K$5:$K$16,MATCH(G179,Config!$J$5:$J$16,0)),""))</f>
        <v>30</v>
      </c>
      <c r="T179" s="31">
        <f>IF(OR(G179="",F179=""),"",IFERROR(INDEX(Config!$M$5:$R$16,MATCH(G179,Config!$J$5:$J$16,0),MATCH(F179,Config!$H$5:$H$10,0)),""))</f>
        <v>120</v>
      </c>
      <c r="U179" s="47">
        <f>IF(AND(H179="Realizado",L179&lt;&gt;""),L179/60,0)</f>
        <v>0.5</v>
      </c>
      <c r="V179" s="47">
        <f>IF(AND(H179="Realizado",OR(L179="",M179="")),1,0)</f>
        <v>0</v>
      </c>
    </row>
    <row r="180">
      <c r="A180" s="43" t="n">
        <v>46191</v>
      </c>
      <c r="B180" s="44" t="n">
        <v>0.6041666666666666</v>
      </c>
      <c r="C180" s="38" t="inlineStr">
        <is>
          <t>Dra. Renata Sousa</t>
        </is>
      </c>
      <c r="D180" s="38" t="inlineStr">
        <is>
          <t>Sala 1</t>
        </is>
      </c>
      <c r="E180" s="37" t="inlineStr">
        <is>
          <t>Fernanda Gonçalves</t>
        </is>
      </c>
      <c r="F180" s="38" t="inlineStr">
        <is>
          <t>Saúde Total</t>
        </is>
      </c>
      <c r="G180" s="38" t="inlineStr">
        <is>
          <t>Avaliação endócrina</t>
        </is>
      </c>
      <c r="H180" s="38" t="inlineStr">
        <is>
          <t>Realizado</t>
        </is>
      </c>
      <c r="I180" s="38" t="inlineStr">
        <is>
          <t>Convênio</t>
        </is>
      </c>
      <c r="J180" s="38" t="n"/>
      <c r="K180" s="37" t="n"/>
      <c r="L180" s="39" t="n">
        <v>40</v>
      </c>
      <c r="M180" s="40" t="n">
        <v>130</v>
      </c>
      <c r="N180" s="30">
        <f>IF(A180="","",MONTH(A180))</f>
        <v>6</v>
      </c>
      <c r="O180" s="30">
        <f>IF(A180="","",YEAR(A180))</f>
        <v>2026</v>
      </c>
      <c r="P180" s="30" t="str">
        <f>IF(A180="","",CHOOSE(WEEKDAY(A180,2),"Segunda","Terça","Quarta","Quinta","Sexta","Sábado","Domingo"))</f>
        <v>Quinta</v>
      </c>
      <c r="Q180" s="30" t="str">
        <f>IF(B180="","",IF(B180&lt;TIME(12,0,0),"Manhã",IF(B180&lt;TIME(18,0,0),"Tarde","Noite")))</f>
        <v>Tarde</v>
      </c>
      <c r="R180" s="46">
        <f>IF(AND(H180="Realizado",L180&lt;&gt;"",A180&lt;=Config!$B$9),L180/60,0)</f>
        <v>0.666666666666667</v>
      </c>
      <c r="S180" s="45">
        <f>IF(G180="","",IFERROR(INDEX(Config!$K$5:$K$16,MATCH(G180,Config!$J$5:$J$16,0)),""))</f>
        <v>40</v>
      </c>
      <c r="T180" s="31">
        <f>IF(OR(G180="",F180=""),"",IFERROR(INDEX(Config!$M$5:$R$16,MATCH(G180,Config!$J$5:$J$16,0),MATCH(F180,Config!$H$5:$H$10,0)),""))</f>
        <v>130</v>
      </c>
      <c r="U180" s="47">
        <f>IF(AND(H180="Realizado",L180&lt;&gt;""),L180/60,0)</f>
        <v>0.666666666666667</v>
      </c>
      <c r="V180" s="47">
        <f>IF(AND(H180="Realizado",OR(L180="",M180="")),1,0)</f>
        <v>0</v>
      </c>
    </row>
    <row r="181">
      <c r="A181" s="43" t="n">
        <v>46191</v>
      </c>
      <c r="B181" s="44" t="n">
        <v>0.6041666666666666</v>
      </c>
      <c r="C181" s="38" t="inlineStr">
        <is>
          <t>Dr. Paulo Andrade</t>
        </is>
      </c>
      <c r="D181" s="38" t="inlineStr">
        <is>
          <t>Sala 2</t>
        </is>
      </c>
      <c r="E181" s="37" t="inlineStr">
        <is>
          <t>Priscila Rocha</t>
        </is>
      </c>
      <c r="F181" s="38" t="inlineStr">
        <is>
          <t>MediPlan</t>
        </is>
      </c>
      <c r="G181" s="38" t="inlineStr">
        <is>
          <t>Consulta</t>
        </is>
      </c>
      <c r="H181" s="38" t="inlineStr">
        <is>
          <t>Realizado</t>
        </is>
      </c>
      <c r="I181" s="38" t="inlineStr">
        <is>
          <t>Convênio</t>
        </is>
      </c>
      <c r="J181" s="38" t="n"/>
      <c r="K181" s="37" t="n"/>
      <c r="L181" s="39" t="n">
        <v>30</v>
      </c>
      <c r="M181" s="40" t="n">
        <v>100</v>
      </c>
      <c r="N181" s="30">
        <f>IF(A181="","",MONTH(A181))</f>
        <v>6</v>
      </c>
      <c r="O181" s="30">
        <f>IF(A181="","",YEAR(A181))</f>
        <v>2026</v>
      </c>
      <c r="P181" s="30" t="str">
        <f>IF(A181="","",CHOOSE(WEEKDAY(A181,2),"Segunda","Terça","Quarta","Quinta","Sexta","Sábado","Domingo"))</f>
        <v>Quinta</v>
      </c>
      <c r="Q181" s="30" t="str">
        <f>IF(B181="","",IF(B181&lt;TIME(12,0,0),"Manhã",IF(B181&lt;TIME(18,0,0),"Tarde","Noite")))</f>
        <v>Tarde</v>
      </c>
      <c r="R181" s="46">
        <f>IF(AND(H181="Realizado",L181&lt;&gt;"",A181&lt;=Config!$B$9),L181/60,0)</f>
        <v>0.5</v>
      </c>
      <c r="S181" s="45">
        <f>IF(G181="","",IFERROR(INDEX(Config!$K$5:$K$16,MATCH(G181,Config!$J$5:$J$16,0)),""))</f>
        <v>30</v>
      </c>
      <c r="T181" s="31">
        <f>IF(OR(G181="",F181=""),"",IFERROR(INDEX(Config!$M$5:$R$16,MATCH(G181,Config!$J$5:$J$16,0),MATCH(F181,Config!$H$5:$H$10,0)),""))</f>
        <v>100</v>
      </c>
      <c r="U181" s="47">
        <f>IF(AND(H181="Realizado",L181&lt;&gt;""),L181/60,0)</f>
        <v>0.5</v>
      </c>
      <c r="V181" s="47">
        <f>IF(AND(H181="Realizado",OR(L181="",M181="")),1,0)</f>
        <v>0</v>
      </c>
    </row>
    <row r="182">
      <c r="A182" s="43" t="n">
        <v>46191</v>
      </c>
      <c r="B182" s="44" t="n">
        <v>0.625</v>
      </c>
      <c r="C182" s="38" t="inlineStr">
        <is>
          <t>Dr. Paulo Andrade</t>
        </is>
      </c>
      <c r="D182" s="38" t="inlineStr">
        <is>
          <t>Sala 2</t>
        </is>
      </c>
      <c r="E182" s="37" t="inlineStr">
        <is>
          <t>Helena Ribeiro</t>
        </is>
      </c>
      <c r="F182" s="38" t="inlineStr">
        <is>
          <t>MediPlan</t>
        </is>
      </c>
      <c r="G182" s="38" t="inlineStr">
        <is>
          <t>Consulta</t>
        </is>
      </c>
      <c r="H182" s="38" t="inlineStr">
        <is>
          <t>Realizado</t>
        </is>
      </c>
      <c r="I182" s="38" t="inlineStr">
        <is>
          <t>Convênio</t>
        </is>
      </c>
      <c r="J182" s="38" t="n"/>
      <c r="K182" s="37" t="n"/>
      <c r="L182" s="39" t="n">
        <v>30</v>
      </c>
      <c r="M182" s="40" t="n">
        <v>100</v>
      </c>
      <c r="N182" s="30">
        <f>IF(A182="","",MONTH(A182))</f>
        <v>6</v>
      </c>
      <c r="O182" s="30">
        <f>IF(A182="","",YEAR(A182))</f>
        <v>2026</v>
      </c>
      <c r="P182" s="30" t="str">
        <f>IF(A182="","",CHOOSE(WEEKDAY(A182,2),"Segunda","Terça","Quarta","Quinta","Sexta","Sábado","Domingo"))</f>
        <v>Quinta</v>
      </c>
      <c r="Q182" s="30" t="str">
        <f>IF(B182="","",IF(B182&lt;TIME(12,0,0),"Manhã",IF(B182&lt;TIME(18,0,0),"Tarde","Noite")))</f>
        <v>Tarde</v>
      </c>
      <c r="R182" s="46">
        <f>IF(AND(H182="Realizado",L182&lt;&gt;"",A182&lt;=Config!$B$9),L182/60,0)</f>
        <v>0.5</v>
      </c>
      <c r="S182" s="45">
        <f>IF(G182="","",IFERROR(INDEX(Config!$K$5:$K$16,MATCH(G182,Config!$J$5:$J$16,0)),""))</f>
        <v>30</v>
      </c>
      <c r="T182" s="31">
        <f>IF(OR(G182="",F182=""),"",IFERROR(INDEX(Config!$M$5:$R$16,MATCH(G182,Config!$J$5:$J$16,0),MATCH(F182,Config!$H$5:$H$10,0)),""))</f>
        <v>100</v>
      </c>
      <c r="U182" s="47">
        <f>IF(AND(H182="Realizado",L182&lt;&gt;""),L182/60,0)</f>
        <v>0.5</v>
      </c>
      <c r="V182" s="47">
        <f>IF(AND(H182="Realizado",OR(L182="",M182="")),1,0)</f>
        <v>0</v>
      </c>
    </row>
    <row r="183">
      <c r="A183" s="43" t="n">
        <v>46191</v>
      </c>
      <c r="B183" s="44" t="n">
        <v>0.6319444444444444</v>
      </c>
      <c r="C183" s="38" t="inlineStr">
        <is>
          <t>Dra. Renata Sousa</t>
        </is>
      </c>
      <c r="D183" s="38" t="inlineStr">
        <is>
          <t>Sala 1</t>
        </is>
      </c>
      <c r="E183" s="37" t="inlineStr">
        <is>
          <t>Roberta Lima</t>
        </is>
      </c>
      <c r="F183" s="38" t="inlineStr">
        <is>
          <t>Particular</t>
        </is>
      </c>
      <c r="G183" s="38" t="inlineStr">
        <is>
          <t>Avaliação endócrina</t>
        </is>
      </c>
      <c r="H183" s="38" t="inlineStr">
        <is>
          <t>Realizado</t>
        </is>
      </c>
      <c r="I183" s="38" t="inlineStr">
        <is>
          <t>Pix</t>
        </is>
      </c>
      <c r="J183" s="38" t="n"/>
      <c r="K183" s="37" t="n"/>
      <c r="L183" s="39" t="n">
        <v>40</v>
      </c>
      <c r="M183" s="40" t="n">
        <v>400</v>
      </c>
      <c r="N183" s="30">
        <f>IF(A183="","",MONTH(A183))</f>
        <v>6</v>
      </c>
      <c r="O183" s="30">
        <f>IF(A183="","",YEAR(A183))</f>
        <v>2026</v>
      </c>
      <c r="P183" s="30" t="str">
        <f>IF(A183="","",CHOOSE(WEEKDAY(A183,2),"Segunda","Terça","Quarta","Quinta","Sexta","Sábado","Domingo"))</f>
        <v>Quinta</v>
      </c>
      <c r="Q183" s="30" t="str">
        <f>IF(B183="","",IF(B183&lt;TIME(12,0,0),"Manhã",IF(B183&lt;TIME(18,0,0),"Tarde","Noite")))</f>
        <v>Tarde</v>
      </c>
      <c r="R183" s="46">
        <f>IF(AND(H183="Realizado",L183&lt;&gt;"",A183&lt;=Config!$B$9),L183/60,0)</f>
        <v>0.666666666666667</v>
      </c>
      <c r="S183" s="45">
        <f>IF(G183="","",IFERROR(INDEX(Config!$K$5:$K$16,MATCH(G183,Config!$J$5:$J$16,0)),""))</f>
        <v>40</v>
      </c>
      <c r="T183" s="31">
        <f>IF(OR(G183="",F183=""),"",IFERROR(INDEX(Config!$M$5:$R$16,MATCH(G183,Config!$J$5:$J$16,0),MATCH(F183,Config!$H$5:$H$10,0)),""))</f>
        <v>400</v>
      </c>
      <c r="U183" s="47">
        <f>IF(AND(H183="Realizado",L183&lt;&gt;""),L183/60,0)</f>
        <v>0.666666666666667</v>
      </c>
      <c r="V183" s="47">
        <f>IF(AND(H183="Realizado",OR(L183="",M183="")),1,0)</f>
        <v>0</v>
      </c>
    </row>
    <row r="184">
      <c r="A184" s="43" t="n">
        <v>46191</v>
      </c>
      <c r="B184" s="44" t="n">
        <v>0.6458333333333334</v>
      </c>
      <c r="C184" s="38" t="inlineStr">
        <is>
          <t>Dr. Paulo Andrade</t>
        </is>
      </c>
      <c r="D184" s="38" t="inlineStr">
        <is>
          <t>Sala 2</t>
        </is>
      </c>
      <c r="E184" s="37" t="inlineStr">
        <is>
          <t>Camila Martins</t>
        </is>
      </c>
      <c r="F184" s="38" t="inlineStr">
        <is>
          <t>Vida Care</t>
        </is>
      </c>
      <c r="G184" s="38" t="inlineStr">
        <is>
          <t>Teste ergométrico</t>
        </is>
      </c>
      <c r="H184" s="38" t="inlineStr">
        <is>
          <t>Realizado</t>
        </is>
      </c>
      <c r="I184" s="38" t="inlineStr">
        <is>
          <t>Convênio</t>
        </is>
      </c>
      <c r="J184" s="38" t="n"/>
      <c r="K184" s="37" t="n"/>
      <c r="L184" s="39" t="n">
        <v>40</v>
      </c>
      <c r="M184" s="40" t="n">
        <v>110</v>
      </c>
      <c r="N184" s="30">
        <f>IF(A184="","",MONTH(A184))</f>
        <v>6</v>
      </c>
      <c r="O184" s="30">
        <f>IF(A184="","",YEAR(A184))</f>
        <v>2026</v>
      </c>
      <c r="P184" s="30" t="str">
        <f>IF(A184="","",CHOOSE(WEEKDAY(A184,2),"Segunda","Terça","Quarta","Quinta","Sexta","Sábado","Domingo"))</f>
        <v>Quinta</v>
      </c>
      <c r="Q184" s="30" t="str">
        <f>IF(B184="","",IF(B184&lt;TIME(12,0,0),"Manhã",IF(B184&lt;TIME(18,0,0),"Tarde","Noite")))</f>
        <v>Tarde</v>
      </c>
      <c r="R184" s="46">
        <f>IF(AND(H184="Realizado",L184&lt;&gt;"",A184&lt;=Config!$B$9),L184/60,0)</f>
        <v>0.666666666666667</v>
      </c>
      <c r="S184" s="45">
        <f>IF(G184="","",IFERROR(INDEX(Config!$K$5:$K$16,MATCH(G184,Config!$J$5:$J$16,0)),""))</f>
        <v>40</v>
      </c>
      <c r="T184" s="31">
        <f>IF(OR(G184="",F184=""),"",IFERROR(INDEX(Config!$M$5:$R$16,MATCH(G184,Config!$J$5:$J$16,0),MATCH(F184,Config!$H$5:$H$10,0)),""))</f>
        <v>110</v>
      </c>
      <c r="U184" s="47">
        <f>IF(AND(H184="Realizado",L184&lt;&gt;""),L184/60,0)</f>
        <v>0.666666666666667</v>
      </c>
      <c r="V184" s="47">
        <f>IF(AND(H184="Realizado",OR(L184="",M184="")),1,0)</f>
        <v>0</v>
      </c>
    </row>
    <row r="185">
      <c r="A185" s="43" t="n">
        <v>46191</v>
      </c>
      <c r="B185" s="44" t="n">
        <v>0.6597222222222222</v>
      </c>
      <c r="C185" s="38" t="inlineStr">
        <is>
          <t>Dra. Renata Sousa</t>
        </is>
      </c>
      <c r="D185" s="38" t="inlineStr">
        <is>
          <t>Sala 1</t>
        </is>
      </c>
      <c r="E185" s="37" t="inlineStr">
        <is>
          <t>Cláudia Melo</t>
        </is>
      </c>
      <c r="F185" s="38" t="inlineStr">
        <is>
          <t>Particular</t>
        </is>
      </c>
      <c r="G185" s="38" t="inlineStr">
        <is>
          <t>Avaliação endócrina</t>
        </is>
      </c>
      <c r="H185" s="38" t="inlineStr">
        <is>
          <t>Realizado</t>
        </is>
      </c>
      <c r="I185" s="38" t="inlineStr">
        <is>
          <t>Pix</t>
        </is>
      </c>
      <c r="J185" s="38" t="n"/>
      <c r="K185" s="37" t="n"/>
      <c r="L185" s="39" t="n">
        <v>40</v>
      </c>
      <c r="M185" s="40" t="n">
        <v>400</v>
      </c>
      <c r="N185" s="30">
        <f>IF(A185="","",MONTH(A185))</f>
        <v>6</v>
      </c>
      <c r="O185" s="30">
        <f>IF(A185="","",YEAR(A185))</f>
        <v>2026</v>
      </c>
      <c r="P185" s="30" t="str">
        <f>IF(A185="","",CHOOSE(WEEKDAY(A185,2),"Segunda","Terça","Quarta","Quinta","Sexta","Sábado","Domingo"))</f>
        <v>Quinta</v>
      </c>
      <c r="Q185" s="30" t="str">
        <f>IF(B185="","",IF(B185&lt;TIME(12,0,0),"Manhã",IF(B185&lt;TIME(18,0,0),"Tarde","Noite")))</f>
        <v>Tarde</v>
      </c>
      <c r="R185" s="46">
        <f>IF(AND(H185="Realizado",L185&lt;&gt;"",A185&lt;=Config!$B$9),L185/60,0)</f>
        <v>0.666666666666667</v>
      </c>
      <c r="S185" s="45">
        <f>IF(G185="","",IFERROR(INDEX(Config!$K$5:$K$16,MATCH(G185,Config!$J$5:$J$16,0)),""))</f>
        <v>40</v>
      </c>
      <c r="T185" s="31">
        <f>IF(OR(G185="",F185=""),"",IFERROR(INDEX(Config!$M$5:$R$16,MATCH(G185,Config!$J$5:$J$16,0),MATCH(F185,Config!$H$5:$H$10,0)),""))</f>
        <v>400</v>
      </c>
      <c r="U185" s="47">
        <f>IF(AND(H185="Realizado",L185&lt;&gt;""),L185/60,0)</f>
        <v>0.666666666666667</v>
      </c>
      <c r="V185" s="47">
        <f>IF(AND(H185="Realizado",OR(L185="",M185="")),1,0)</f>
        <v>0</v>
      </c>
    </row>
    <row r="186">
      <c r="A186" s="43" t="n">
        <v>46191</v>
      </c>
      <c r="B186" s="44" t="n">
        <v>0.6736111111111112</v>
      </c>
      <c r="C186" s="38" t="inlineStr">
        <is>
          <t>Dr. Paulo Andrade</t>
        </is>
      </c>
      <c r="D186" s="38" t="inlineStr">
        <is>
          <t>Sala 2</t>
        </is>
      </c>
      <c r="E186" s="37" t="inlineStr">
        <is>
          <t>Sandra Barros</t>
        </is>
      </c>
      <c r="F186" s="38" t="inlineStr">
        <is>
          <t>Saúde Total</t>
        </is>
      </c>
      <c r="G186" s="38" t="inlineStr">
        <is>
          <t>ECG</t>
        </is>
      </c>
      <c r="H186" s="38" t="inlineStr">
        <is>
          <t>Falta</t>
        </is>
      </c>
      <c r="I186" s="38" t="n"/>
      <c r="J186" s="38" t="n"/>
      <c r="K186" s="37" t="n"/>
      <c r="L186" s="39" t="n">
        <v>20</v>
      </c>
      <c r="M186" s="40" t="n">
        <v>40</v>
      </c>
      <c r="N186" s="30">
        <f>IF(A186="","",MONTH(A186))</f>
        <v>6</v>
      </c>
      <c r="O186" s="30">
        <f>IF(A186="","",YEAR(A186))</f>
        <v>2026</v>
      </c>
      <c r="P186" s="30" t="str">
        <f>IF(A186="","",CHOOSE(WEEKDAY(A186,2),"Segunda","Terça","Quarta","Quinta","Sexta","Sábado","Domingo"))</f>
        <v>Quinta</v>
      </c>
      <c r="Q186" s="30" t="str">
        <f>IF(B186="","",IF(B186&lt;TIME(12,0,0),"Manhã",IF(B186&lt;TIME(18,0,0),"Tarde","Noite")))</f>
        <v>Tarde</v>
      </c>
      <c r="R186" s="46">
        <f>IF(AND(H186="Realizado",L186&lt;&gt;"",A186&lt;=Config!$B$9),L186/60,0)</f>
        <v>0</v>
      </c>
      <c r="S186" s="45">
        <f>IF(G186="","",IFERROR(INDEX(Config!$K$5:$K$16,MATCH(G186,Config!$J$5:$J$16,0)),""))</f>
        <v>20</v>
      </c>
      <c r="T186" s="31">
        <f>IF(OR(G186="",F186=""),"",IFERROR(INDEX(Config!$M$5:$R$16,MATCH(G186,Config!$J$5:$J$16,0),MATCH(F186,Config!$H$5:$H$10,0)),""))</f>
        <v>40</v>
      </c>
      <c r="U186" s="47">
        <f>IF(AND(H186="Realizado",L186&lt;&gt;""),L186/60,0)</f>
        <v>0</v>
      </c>
      <c r="V186" s="47">
        <f>IF(AND(H186="Realizado",OR(L186="",M186="")),1,0)</f>
        <v>0</v>
      </c>
    </row>
    <row r="187">
      <c r="A187" s="43" t="n">
        <v>46191</v>
      </c>
      <c r="B187" s="44" t="n">
        <v>0.6875</v>
      </c>
      <c r="C187" s="38" t="inlineStr">
        <is>
          <t>Dra. Renata Sousa</t>
        </is>
      </c>
      <c r="D187" s="38" t="inlineStr">
        <is>
          <t>Sala 1</t>
        </is>
      </c>
      <c r="E187" s="37" t="inlineStr">
        <is>
          <t>Camila Dias</t>
        </is>
      </c>
      <c r="F187" s="38" t="inlineStr">
        <is>
          <t>Particular</t>
        </is>
      </c>
      <c r="G187" s="38" t="inlineStr">
        <is>
          <t>Avaliação endócrina</t>
        </is>
      </c>
      <c r="H187" s="38" t="inlineStr">
        <is>
          <t>Realizado</t>
        </is>
      </c>
      <c r="I187" s="38" t="inlineStr">
        <is>
          <t>Cartão de débito</t>
        </is>
      </c>
      <c r="J187" s="38" t="n"/>
      <c r="K187" s="37" t="n"/>
      <c r="L187" s="39" t="n">
        <v>40</v>
      </c>
      <c r="M187" s="40" t="n">
        <v>400</v>
      </c>
      <c r="N187" s="30">
        <f>IF(A187="","",MONTH(A187))</f>
        <v>6</v>
      </c>
      <c r="O187" s="30">
        <f>IF(A187="","",YEAR(A187))</f>
        <v>2026</v>
      </c>
      <c r="P187" s="30" t="str">
        <f>IF(A187="","",CHOOSE(WEEKDAY(A187,2),"Segunda","Terça","Quarta","Quinta","Sexta","Sábado","Domingo"))</f>
        <v>Quinta</v>
      </c>
      <c r="Q187" s="30" t="str">
        <f>IF(B187="","",IF(B187&lt;TIME(12,0,0),"Manhã",IF(B187&lt;TIME(18,0,0),"Tarde","Noite")))</f>
        <v>Tarde</v>
      </c>
      <c r="R187" s="46">
        <f>IF(AND(H187="Realizado",L187&lt;&gt;"",A187&lt;=Config!$B$9),L187/60,0)</f>
        <v>0.666666666666667</v>
      </c>
      <c r="S187" s="45">
        <f>IF(G187="","",IFERROR(INDEX(Config!$K$5:$K$16,MATCH(G187,Config!$J$5:$J$16,0)),""))</f>
        <v>40</v>
      </c>
      <c r="T187" s="31">
        <f>IF(OR(G187="",F187=""),"",IFERROR(INDEX(Config!$M$5:$R$16,MATCH(G187,Config!$J$5:$J$16,0),MATCH(F187,Config!$H$5:$H$10,0)),""))</f>
        <v>400</v>
      </c>
      <c r="U187" s="47">
        <f>IF(AND(H187="Realizado",L187&lt;&gt;""),L187/60,0)</f>
        <v>0.666666666666667</v>
      </c>
      <c r="V187" s="47">
        <f>IF(AND(H187="Realizado",OR(L187="",M187="")),1,0)</f>
        <v>0</v>
      </c>
    </row>
    <row r="188">
      <c r="A188" s="43" t="n">
        <v>46191</v>
      </c>
      <c r="B188" s="44" t="n">
        <v>0.6875</v>
      </c>
      <c r="C188" s="38" t="inlineStr">
        <is>
          <t>Dr. Paulo Andrade</t>
        </is>
      </c>
      <c r="D188" s="38" t="inlineStr">
        <is>
          <t>Sala 2</t>
        </is>
      </c>
      <c r="E188" s="37" t="inlineStr">
        <is>
          <t>Rafael Araújo</t>
        </is>
      </c>
      <c r="F188" s="38" t="inlineStr">
        <is>
          <t>MediPlan</t>
        </is>
      </c>
      <c r="G188" s="38" t="inlineStr">
        <is>
          <t>Consulta</t>
        </is>
      </c>
      <c r="H188" s="38" t="inlineStr">
        <is>
          <t>Realizado</t>
        </is>
      </c>
      <c r="I188" s="38" t="inlineStr">
        <is>
          <t>Convênio</t>
        </is>
      </c>
      <c r="J188" s="38" t="n"/>
      <c r="K188" s="37" t="n"/>
      <c r="L188" s="39" t="n">
        <v>30</v>
      </c>
      <c r="M188" s="40" t="n">
        <v>100</v>
      </c>
      <c r="N188" s="30">
        <f>IF(A188="","",MONTH(A188))</f>
        <v>6</v>
      </c>
      <c r="O188" s="30">
        <f>IF(A188="","",YEAR(A188))</f>
        <v>2026</v>
      </c>
      <c r="P188" s="30" t="str">
        <f>IF(A188="","",CHOOSE(WEEKDAY(A188,2),"Segunda","Terça","Quarta","Quinta","Sexta","Sábado","Domingo"))</f>
        <v>Quinta</v>
      </c>
      <c r="Q188" s="30" t="str">
        <f>IF(B188="","",IF(B188&lt;TIME(12,0,0),"Manhã",IF(B188&lt;TIME(18,0,0),"Tarde","Noite")))</f>
        <v>Tarde</v>
      </c>
      <c r="R188" s="46">
        <f>IF(AND(H188="Realizado",L188&lt;&gt;"",A188&lt;=Config!$B$9),L188/60,0)</f>
        <v>0.5</v>
      </c>
      <c r="S188" s="45">
        <f>IF(G188="","",IFERROR(INDEX(Config!$K$5:$K$16,MATCH(G188,Config!$J$5:$J$16,0)),""))</f>
        <v>30</v>
      </c>
      <c r="T188" s="31">
        <f>IF(OR(G188="",F188=""),"",IFERROR(INDEX(Config!$M$5:$R$16,MATCH(G188,Config!$J$5:$J$16,0),MATCH(F188,Config!$H$5:$H$10,0)),""))</f>
        <v>100</v>
      </c>
      <c r="U188" s="47">
        <f>IF(AND(H188="Realizado",L188&lt;&gt;""),L188/60,0)</f>
        <v>0.5</v>
      </c>
      <c r="V188" s="47">
        <f>IF(AND(H188="Realizado",OR(L188="",M188="")),1,0)</f>
        <v>0</v>
      </c>
    </row>
    <row r="189">
      <c r="A189" s="43" t="n">
        <v>46191</v>
      </c>
      <c r="B189" s="44" t="n">
        <v>0.7083333333333334</v>
      </c>
      <c r="C189" s="38" t="inlineStr">
        <is>
          <t>Dr. Paulo Andrade</t>
        </is>
      </c>
      <c r="D189" s="38" t="inlineStr">
        <is>
          <t>Sala 2</t>
        </is>
      </c>
      <c r="E189" s="37" t="inlineStr">
        <is>
          <t>Ricardo Melo</t>
        </is>
      </c>
      <c r="F189" s="38" t="inlineStr">
        <is>
          <t>Saúde Total</t>
        </is>
      </c>
      <c r="G189" s="38" t="inlineStr">
        <is>
          <t>MAPA</t>
        </is>
      </c>
      <c r="H189" s="38" t="inlineStr">
        <is>
          <t>Realizado</t>
        </is>
      </c>
      <c r="I189" s="38" t="inlineStr">
        <is>
          <t>Convênio</t>
        </is>
      </c>
      <c r="J189" s="38" t="n"/>
      <c r="K189" s="37" t="n"/>
      <c r="L189" s="39" t="n">
        <v>20</v>
      </c>
      <c r="M189" s="40" t="n">
        <v>95</v>
      </c>
      <c r="N189" s="30">
        <f>IF(A189="","",MONTH(A189))</f>
        <v>6</v>
      </c>
      <c r="O189" s="30">
        <f>IF(A189="","",YEAR(A189))</f>
        <v>2026</v>
      </c>
      <c r="P189" s="30" t="str">
        <f>IF(A189="","",CHOOSE(WEEKDAY(A189,2),"Segunda","Terça","Quarta","Quinta","Sexta","Sábado","Domingo"))</f>
        <v>Quinta</v>
      </c>
      <c r="Q189" s="30" t="str">
        <f>IF(B189="","",IF(B189&lt;TIME(12,0,0),"Manhã",IF(B189&lt;TIME(18,0,0),"Tarde","Noite")))</f>
        <v>Tarde</v>
      </c>
      <c r="R189" s="46">
        <f>IF(AND(H189="Realizado",L189&lt;&gt;"",A189&lt;=Config!$B$9),L189/60,0)</f>
        <v>0.333333333333333</v>
      </c>
      <c r="S189" s="45">
        <f>IF(G189="","",IFERROR(INDEX(Config!$K$5:$K$16,MATCH(G189,Config!$J$5:$J$16,0)),""))</f>
        <v>20</v>
      </c>
      <c r="T189" s="31">
        <f>IF(OR(G189="",F189=""),"",IFERROR(INDEX(Config!$M$5:$R$16,MATCH(G189,Config!$J$5:$J$16,0),MATCH(F189,Config!$H$5:$H$10,0)),""))</f>
        <v>95</v>
      </c>
      <c r="U189" s="47">
        <f>IF(AND(H189="Realizado",L189&lt;&gt;""),L189/60,0)</f>
        <v>0.333333333333333</v>
      </c>
      <c r="V189" s="47">
        <f>IF(AND(H189="Realizado",OR(L189="",M189="")),1,0)</f>
        <v>0</v>
      </c>
    </row>
    <row r="190">
      <c r="A190" s="43" t="n">
        <v>46191</v>
      </c>
      <c r="B190" s="44" t="n">
        <v>0.7152777777777778</v>
      </c>
      <c r="C190" s="38" t="inlineStr">
        <is>
          <t>Dra. Renata Sousa</t>
        </is>
      </c>
      <c r="D190" s="38" t="inlineStr">
        <is>
          <t>Sala 1</t>
        </is>
      </c>
      <c r="E190" s="37" t="inlineStr">
        <is>
          <t>Thiago Melo</t>
        </is>
      </c>
      <c r="F190" s="38" t="inlineStr">
        <is>
          <t>Particular</t>
        </is>
      </c>
      <c r="G190" s="38" t="inlineStr">
        <is>
          <t>Avaliação endócrina</t>
        </is>
      </c>
      <c r="H190" s="38" t="inlineStr">
        <is>
          <t>Realizado</t>
        </is>
      </c>
      <c r="I190" s="38" t="inlineStr">
        <is>
          <t>Cartão de débito</t>
        </is>
      </c>
      <c r="J190" s="38" t="n"/>
      <c r="K190" s="37" t="n"/>
      <c r="L190" s="39" t="n">
        <v>40</v>
      </c>
      <c r="M190" s="40" t="n">
        <v>400</v>
      </c>
      <c r="N190" s="30">
        <f>IF(A190="","",MONTH(A190))</f>
        <v>6</v>
      </c>
      <c r="O190" s="30">
        <f>IF(A190="","",YEAR(A190))</f>
        <v>2026</v>
      </c>
      <c r="P190" s="30" t="str">
        <f>IF(A190="","",CHOOSE(WEEKDAY(A190,2),"Segunda","Terça","Quarta","Quinta","Sexta","Sábado","Domingo"))</f>
        <v>Quinta</v>
      </c>
      <c r="Q190" s="30" t="str">
        <f>IF(B190="","",IF(B190&lt;TIME(12,0,0),"Manhã",IF(B190&lt;TIME(18,0,0),"Tarde","Noite")))</f>
        <v>Tarde</v>
      </c>
      <c r="R190" s="46">
        <f>IF(AND(H190="Realizado",L190&lt;&gt;"",A190&lt;=Config!$B$9),L190/60,0)</f>
        <v>0.666666666666667</v>
      </c>
      <c r="S190" s="45">
        <f>IF(G190="","",IFERROR(INDEX(Config!$K$5:$K$16,MATCH(G190,Config!$J$5:$J$16,0)),""))</f>
        <v>40</v>
      </c>
      <c r="T190" s="31">
        <f>IF(OR(G190="",F190=""),"",IFERROR(INDEX(Config!$M$5:$R$16,MATCH(G190,Config!$J$5:$J$16,0),MATCH(F190,Config!$H$5:$H$10,0)),""))</f>
        <v>400</v>
      </c>
      <c r="U190" s="47">
        <f>IF(AND(H190="Realizado",L190&lt;&gt;""),L190/60,0)</f>
        <v>0.666666666666667</v>
      </c>
      <c r="V190" s="47">
        <f>IF(AND(H190="Realizado",OR(L190="",M190="")),1,0)</f>
        <v>0</v>
      </c>
    </row>
    <row r="191">
      <c r="A191" s="43" t="n">
        <v>46191</v>
      </c>
      <c r="B191" s="44" t="n">
        <v>0.7222222222222222</v>
      </c>
      <c r="C191" s="38" t="inlineStr">
        <is>
          <t>Dr. Paulo Andrade</t>
        </is>
      </c>
      <c r="D191" s="38" t="inlineStr">
        <is>
          <t>Sala 2</t>
        </is>
      </c>
      <c r="E191" s="37" t="inlineStr">
        <is>
          <t>Ana Costa</t>
        </is>
      </c>
      <c r="F191" s="38" t="inlineStr">
        <is>
          <t>Particular</t>
        </is>
      </c>
      <c r="G191" s="38" t="inlineStr">
        <is>
          <t>Retorno</t>
        </is>
      </c>
      <c r="H191" s="38" t="inlineStr">
        <is>
          <t>Realizado</t>
        </is>
      </c>
      <c r="I191" s="38" t="inlineStr">
        <is>
          <t>Sem cobrança</t>
        </is>
      </c>
      <c r="J191" s="38" t="n"/>
      <c r="K191" s="37" t="n"/>
      <c r="L191" s="39" t="n">
        <v>20</v>
      </c>
      <c r="M191" s="40" t="n">
        <v>0</v>
      </c>
      <c r="N191" s="30">
        <f>IF(A191="","",MONTH(A191))</f>
        <v>6</v>
      </c>
      <c r="O191" s="30">
        <f>IF(A191="","",YEAR(A191))</f>
        <v>2026</v>
      </c>
      <c r="P191" s="30" t="str">
        <f>IF(A191="","",CHOOSE(WEEKDAY(A191,2),"Segunda","Terça","Quarta","Quinta","Sexta","Sábado","Domingo"))</f>
        <v>Quinta</v>
      </c>
      <c r="Q191" s="30" t="str">
        <f>IF(B191="","",IF(B191&lt;TIME(12,0,0),"Manhã",IF(B191&lt;TIME(18,0,0),"Tarde","Noite")))</f>
        <v>Tarde</v>
      </c>
      <c r="R191" s="46">
        <f>IF(AND(H191="Realizado",L191&lt;&gt;"",A191&lt;=Config!$B$9),L191/60,0)</f>
        <v>0.333333333333333</v>
      </c>
      <c r="S191" s="45">
        <f>IF(G191="","",IFERROR(INDEX(Config!$K$5:$K$16,MATCH(G191,Config!$J$5:$J$16,0)),""))</f>
        <v>20</v>
      </c>
      <c r="T191" s="31">
        <f>IF(OR(G191="",F191=""),"",IFERROR(INDEX(Config!$M$5:$R$16,MATCH(G191,Config!$J$5:$J$16,0),MATCH(F191,Config!$H$5:$H$10,0)),""))</f>
        <v>0</v>
      </c>
      <c r="U191" s="47">
        <f>IF(AND(H191="Realizado",L191&lt;&gt;""),L191/60,0)</f>
        <v>0.333333333333333</v>
      </c>
      <c r="V191" s="47">
        <f>IF(AND(H191="Realizado",OR(L191="",M191="")),1,0)</f>
        <v>0</v>
      </c>
    </row>
    <row r="192">
      <c r="A192" s="43" t="n">
        <v>46192</v>
      </c>
      <c r="B192" s="44" t="n">
        <v>0.3333333333333333</v>
      </c>
      <c r="C192" s="38" t="inlineStr">
        <is>
          <t>Dr. Paulo Andrade</t>
        </is>
      </c>
      <c r="D192" s="38" t="inlineStr">
        <is>
          <t>Sala 2</t>
        </is>
      </c>
      <c r="E192" s="37" t="inlineStr">
        <is>
          <t>Gabriel Vieira</t>
        </is>
      </c>
      <c r="F192" s="38" t="inlineStr">
        <is>
          <t>Vida Care</t>
        </is>
      </c>
      <c r="G192" s="38" t="inlineStr">
        <is>
          <t>Consulta</t>
        </is>
      </c>
      <c r="H192" s="38" t="inlineStr">
        <is>
          <t>Realizado</t>
        </is>
      </c>
      <c r="I192" s="38" t="inlineStr">
        <is>
          <t>Convênio</t>
        </is>
      </c>
      <c r="J192" s="38" t="n"/>
      <c r="K192" s="37" t="n"/>
      <c r="L192" s="39" t="n">
        <v>30</v>
      </c>
      <c r="M192" s="40" t="n">
        <v>90</v>
      </c>
      <c r="N192" s="30">
        <f>IF(A192="","",MONTH(A192))</f>
        <v>6</v>
      </c>
      <c r="O192" s="30">
        <f>IF(A192="","",YEAR(A192))</f>
        <v>2026</v>
      </c>
      <c r="P192" s="30" t="str">
        <f>IF(A192="","",CHOOSE(WEEKDAY(A192,2),"Segunda","Terça","Quarta","Quinta","Sexta","Sábado","Domingo"))</f>
        <v>Sexta</v>
      </c>
      <c r="Q192" s="30" t="str">
        <f>IF(B192="","",IF(B192&lt;TIME(12,0,0),"Manhã",IF(B192&lt;TIME(18,0,0),"Tarde","Noite")))</f>
        <v>Manhã</v>
      </c>
      <c r="R192" s="46">
        <f>IF(AND(H192="Realizado",L192&lt;&gt;"",A192&lt;=Config!$B$9),L192/60,0)</f>
        <v>0.5</v>
      </c>
      <c r="S192" s="45">
        <f>IF(G192="","",IFERROR(INDEX(Config!$K$5:$K$16,MATCH(G192,Config!$J$5:$J$16,0)),""))</f>
        <v>30</v>
      </c>
      <c r="T192" s="31">
        <f>IF(OR(G192="",F192=""),"",IFERROR(INDEX(Config!$M$5:$R$16,MATCH(G192,Config!$J$5:$J$16,0),MATCH(F192,Config!$H$5:$H$10,0)),""))</f>
        <v>90</v>
      </c>
      <c r="U192" s="47">
        <f>IF(AND(H192="Realizado",L192&lt;&gt;""),L192/60,0)</f>
        <v>0.5</v>
      </c>
      <c r="V192" s="47">
        <f>IF(AND(H192="Realizado",OR(L192="",M192="")),1,0)</f>
        <v>0</v>
      </c>
    </row>
    <row r="193">
      <c r="A193" s="43" t="n">
        <v>46192</v>
      </c>
      <c r="B193" s="44" t="n">
        <v>0.3541666666666667</v>
      </c>
      <c r="C193" s="38" t="inlineStr">
        <is>
          <t>Dr. Paulo Andrade</t>
        </is>
      </c>
      <c r="D193" s="38" t="inlineStr">
        <is>
          <t>Sala 2</t>
        </is>
      </c>
      <c r="E193" s="37" t="inlineStr">
        <is>
          <t>Marcelo Ferreira</t>
        </is>
      </c>
      <c r="F193" s="38" t="inlineStr">
        <is>
          <t>Particular</t>
        </is>
      </c>
      <c r="G193" s="38" t="inlineStr">
        <is>
          <t>Consulta</t>
        </is>
      </c>
      <c r="H193" s="38" t="inlineStr">
        <is>
          <t>Cancelado</t>
        </is>
      </c>
      <c r="I193" s="38" t="n"/>
      <c r="J193" s="38" t="n"/>
      <c r="K193" s="37" t="n"/>
      <c r="L193" s="39" t="n">
        <v>30</v>
      </c>
      <c r="M193" s="40" t="n">
        <v>380</v>
      </c>
      <c r="N193" s="30">
        <f>IF(A193="","",MONTH(A193))</f>
        <v>6</v>
      </c>
      <c r="O193" s="30">
        <f>IF(A193="","",YEAR(A193))</f>
        <v>2026</v>
      </c>
      <c r="P193" s="30" t="str">
        <f>IF(A193="","",CHOOSE(WEEKDAY(A193,2),"Segunda","Terça","Quarta","Quinta","Sexta","Sábado","Domingo"))</f>
        <v>Sexta</v>
      </c>
      <c r="Q193" s="30" t="str">
        <f>IF(B193="","",IF(B193&lt;TIME(12,0,0),"Manhã",IF(B193&lt;TIME(18,0,0),"Tarde","Noite")))</f>
        <v>Manhã</v>
      </c>
      <c r="R193" s="46">
        <f>IF(AND(H193="Realizado",L193&lt;&gt;"",A193&lt;=Config!$B$9),L193/60,0)</f>
        <v>0</v>
      </c>
      <c r="S193" s="45">
        <f>IF(G193="","",IFERROR(INDEX(Config!$K$5:$K$16,MATCH(G193,Config!$J$5:$J$16,0)),""))</f>
        <v>30</v>
      </c>
      <c r="T193" s="31">
        <f>IF(OR(G193="",F193=""),"",IFERROR(INDEX(Config!$M$5:$R$16,MATCH(G193,Config!$J$5:$J$16,0),MATCH(F193,Config!$H$5:$H$10,0)),""))</f>
        <v>380</v>
      </c>
      <c r="U193" s="47">
        <f>IF(AND(H193="Realizado",L193&lt;&gt;""),L193/60,0)</f>
        <v>0</v>
      </c>
      <c r="V193" s="47">
        <f>IF(AND(H193="Realizado",OR(L193="",M193="")),1,0)</f>
        <v>0</v>
      </c>
    </row>
    <row r="194">
      <c r="A194" s="43" t="n">
        <v>46192</v>
      </c>
      <c r="B194" s="44" t="n">
        <v>0.375</v>
      </c>
      <c r="C194" s="38" t="inlineStr">
        <is>
          <t>Dr. Paulo Andrade</t>
        </is>
      </c>
      <c r="D194" s="38" t="inlineStr">
        <is>
          <t>Sala 2</t>
        </is>
      </c>
      <c r="E194" s="37" t="inlineStr">
        <is>
          <t>Marcelo Ferreira</t>
        </is>
      </c>
      <c r="F194" s="38" t="inlineStr">
        <is>
          <t>Particular</t>
        </is>
      </c>
      <c r="G194" s="38" t="inlineStr">
        <is>
          <t>Teste ergométrico</t>
        </is>
      </c>
      <c r="H194" s="38" t="inlineStr">
        <is>
          <t>Realizado</t>
        </is>
      </c>
      <c r="I194" s="38" t="inlineStr">
        <is>
          <t>Pix</t>
        </is>
      </c>
      <c r="J194" s="38" t="n"/>
      <c r="K194" s="37" t="n"/>
      <c r="L194" s="39" t="n">
        <v>40</v>
      </c>
      <c r="M194" s="40" t="n">
        <v>450</v>
      </c>
      <c r="N194" s="30">
        <f>IF(A194="","",MONTH(A194))</f>
        <v>6</v>
      </c>
      <c r="O194" s="30">
        <f>IF(A194="","",YEAR(A194))</f>
        <v>2026</v>
      </c>
      <c r="P194" s="30" t="str">
        <f>IF(A194="","",CHOOSE(WEEKDAY(A194,2),"Segunda","Terça","Quarta","Quinta","Sexta","Sábado","Domingo"))</f>
        <v>Sexta</v>
      </c>
      <c r="Q194" s="30" t="str">
        <f>IF(B194="","",IF(B194&lt;TIME(12,0,0),"Manhã",IF(B194&lt;TIME(18,0,0),"Tarde","Noite")))</f>
        <v>Manhã</v>
      </c>
      <c r="R194" s="46">
        <f>IF(AND(H194="Realizado",L194&lt;&gt;"",A194&lt;=Config!$B$9),L194/60,0)</f>
        <v>0.666666666666667</v>
      </c>
      <c r="S194" s="45">
        <f>IF(G194="","",IFERROR(INDEX(Config!$K$5:$K$16,MATCH(G194,Config!$J$5:$J$16,0)),""))</f>
        <v>40</v>
      </c>
      <c r="T194" s="31">
        <f>IF(OR(G194="",F194=""),"",IFERROR(INDEX(Config!$M$5:$R$16,MATCH(G194,Config!$J$5:$J$16,0),MATCH(F194,Config!$H$5:$H$10,0)),""))</f>
        <v>450</v>
      </c>
      <c r="U194" s="47">
        <f>IF(AND(H194="Realizado",L194&lt;&gt;""),L194/60,0)</f>
        <v>0.666666666666667</v>
      </c>
      <c r="V194" s="47">
        <f>IF(AND(H194="Realizado",OR(L194="",M194="")),1,0)</f>
        <v>0</v>
      </c>
    </row>
    <row r="195">
      <c r="A195" s="43" t="n">
        <v>46192</v>
      </c>
      <c r="B195" s="44" t="n">
        <v>0.4027777777777778</v>
      </c>
      <c r="C195" s="38" t="inlineStr">
        <is>
          <t>Dr. Paulo Andrade</t>
        </is>
      </c>
      <c r="D195" s="38" t="inlineStr">
        <is>
          <t>Sala 2</t>
        </is>
      </c>
      <c r="E195" s="37" t="inlineStr">
        <is>
          <t>Regina Macedo</t>
        </is>
      </c>
      <c r="F195" s="38" t="inlineStr">
        <is>
          <t>Particular</t>
        </is>
      </c>
      <c r="G195" s="38" t="inlineStr">
        <is>
          <t>MAPA</t>
        </is>
      </c>
      <c r="H195" s="38" t="inlineStr">
        <is>
          <t>Realizado</t>
        </is>
      </c>
      <c r="I195" s="38" t="inlineStr">
        <is>
          <t>Cartão de crédito</t>
        </is>
      </c>
      <c r="J195" s="38" t="n"/>
      <c r="K195" s="37" t="n"/>
      <c r="L195" s="39" t="n">
        <v>20</v>
      </c>
      <c r="M195" s="40" t="n">
        <v>300</v>
      </c>
      <c r="N195" s="30">
        <f>IF(A195="","",MONTH(A195))</f>
        <v>6</v>
      </c>
      <c r="O195" s="30">
        <f>IF(A195="","",YEAR(A195))</f>
        <v>2026</v>
      </c>
      <c r="P195" s="30" t="str">
        <f>IF(A195="","",CHOOSE(WEEKDAY(A195,2),"Segunda","Terça","Quarta","Quinta","Sexta","Sábado","Domingo"))</f>
        <v>Sexta</v>
      </c>
      <c r="Q195" s="30" t="str">
        <f>IF(B195="","",IF(B195&lt;TIME(12,0,0),"Manhã",IF(B195&lt;TIME(18,0,0),"Tarde","Noite")))</f>
        <v>Manhã</v>
      </c>
      <c r="R195" s="46">
        <f>IF(AND(H195="Realizado",L195&lt;&gt;"",A195&lt;=Config!$B$9),L195/60,0)</f>
        <v>0.333333333333333</v>
      </c>
      <c r="S195" s="45">
        <f>IF(G195="","",IFERROR(INDEX(Config!$K$5:$K$16,MATCH(G195,Config!$J$5:$J$16,0)),""))</f>
        <v>20</v>
      </c>
      <c r="T195" s="31">
        <f>IF(OR(G195="",F195=""),"",IFERROR(INDEX(Config!$M$5:$R$16,MATCH(G195,Config!$J$5:$J$16,0),MATCH(F195,Config!$H$5:$H$10,0)),""))</f>
        <v>300</v>
      </c>
      <c r="U195" s="47">
        <f>IF(AND(H195="Realizado",L195&lt;&gt;""),L195/60,0)</f>
        <v>0.333333333333333</v>
      </c>
      <c r="V195" s="47">
        <f>IF(AND(H195="Realizado",OR(L195="",M195="")),1,0)</f>
        <v>0</v>
      </c>
    </row>
    <row r="196">
      <c r="A196" s="43" t="n">
        <v>46192</v>
      </c>
      <c r="B196" s="44" t="n">
        <v>0.4375</v>
      </c>
      <c r="C196" s="38" t="inlineStr">
        <is>
          <t>Dr. Paulo Andrade</t>
        </is>
      </c>
      <c r="D196" s="38" t="inlineStr">
        <is>
          <t>Sala 2</t>
        </is>
      </c>
      <c r="E196" s="37" t="inlineStr">
        <is>
          <t>Regina Castro</t>
        </is>
      </c>
      <c r="F196" s="38" t="inlineStr">
        <is>
          <t>Vida Care</t>
        </is>
      </c>
      <c r="G196" s="38" t="inlineStr">
        <is>
          <t>Teste ergométrico</t>
        </is>
      </c>
      <c r="H196" s="38" t="inlineStr">
        <is>
          <t>Realizado</t>
        </is>
      </c>
      <c r="I196" s="38" t="inlineStr">
        <is>
          <t>Convênio</t>
        </is>
      </c>
      <c r="J196" s="38" t="n"/>
      <c r="K196" s="37" t="n"/>
      <c r="L196" s="39" t="n">
        <v>40</v>
      </c>
      <c r="M196" s="40" t="n">
        <v>110</v>
      </c>
      <c r="N196" s="30">
        <f>IF(A196="","",MONTH(A196))</f>
        <v>6</v>
      </c>
      <c r="O196" s="30">
        <f>IF(A196="","",YEAR(A196))</f>
        <v>2026</v>
      </c>
      <c r="P196" s="30" t="str">
        <f>IF(A196="","",CHOOSE(WEEKDAY(A196,2),"Segunda","Terça","Quarta","Quinta","Sexta","Sábado","Domingo"))</f>
        <v>Sexta</v>
      </c>
      <c r="Q196" s="30" t="str">
        <f>IF(B196="","",IF(B196&lt;TIME(12,0,0),"Manhã",IF(B196&lt;TIME(18,0,0),"Tarde","Noite")))</f>
        <v>Manhã</v>
      </c>
      <c r="R196" s="46">
        <f>IF(AND(H196="Realizado",L196&lt;&gt;"",A196&lt;=Config!$B$9),L196/60,0)</f>
        <v>0.666666666666667</v>
      </c>
      <c r="S196" s="45">
        <f>IF(G196="","",IFERROR(INDEX(Config!$K$5:$K$16,MATCH(G196,Config!$J$5:$J$16,0)),""))</f>
        <v>40</v>
      </c>
      <c r="T196" s="31">
        <f>IF(OR(G196="",F196=""),"",IFERROR(INDEX(Config!$M$5:$R$16,MATCH(G196,Config!$J$5:$J$16,0),MATCH(F196,Config!$H$5:$H$10,0)),""))</f>
        <v>110</v>
      </c>
      <c r="U196" s="47">
        <f>IF(AND(H196="Realizado",L196&lt;&gt;""),L196/60,0)</f>
        <v>0.666666666666667</v>
      </c>
      <c r="V196" s="47">
        <f>IF(AND(H196="Realizado",OR(L196="",M196="")),1,0)</f>
        <v>0</v>
      </c>
    </row>
    <row r="197">
      <c r="A197" s="43" t="n">
        <v>46192</v>
      </c>
      <c r="B197" s="44" t="n">
        <v>0.4652777777777778</v>
      </c>
      <c r="C197" s="38" t="inlineStr">
        <is>
          <t>Dr. Paulo Andrade</t>
        </is>
      </c>
      <c r="D197" s="38" t="inlineStr">
        <is>
          <t>Sala 2</t>
        </is>
      </c>
      <c r="E197" s="37" t="inlineStr">
        <is>
          <t>Wagner Costa</t>
        </is>
      </c>
      <c r="F197" s="38" t="inlineStr">
        <is>
          <t>Particular</t>
        </is>
      </c>
      <c r="G197" s="38" t="inlineStr">
        <is>
          <t>Consulta</t>
        </is>
      </c>
      <c r="H197" s="38" t="inlineStr">
        <is>
          <t>Realizado</t>
        </is>
      </c>
      <c r="I197" s="38" t="inlineStr">
        <is>
          <t>Cartão de débito</t>
        </is>
      </c>
      <c r="J197" s="38" t="n"/>
      <c r="K197" s="37" t="n"/>
      <c r="L197" s="39" t="n">
        <v>30</v>
      </c>
      <c r="M197" s="40" t="n">
        <v>380</v>
      </c>
      <c r="N197" s="30">
        <f>IF(A197="","",MONTH(A197))</f>
        <v>6</v>
      </c>
      <c r="O197" s="30">
        <f>IF(A197="","",YEAR(A197))</f>
        <v>2026</v>
      </c>
      <c r="P197" s="30" t="str">
        <f>IF(A197="","",CHOOSE(WEEKDAY(A197,2),"Segunda","Terça","Quarta","Quinta","Sexta","Sábado","Domingo"))</f>
        <v>Sexta</v>
      </c>
      <c r="Q197" s="30" t="str">
        <f>IF(B197="","",IF(B197&lt;TIME(12,0,0),"Manhã",IF(B197&lt;TIME(18,0,0),"Tarde","Noite")))</f>
        <v>Manhã</v>
      </c>
      <c r="R197" s="46">
        <f>IF(AND(H197="Realizado",L197&lt;&gt;"",A197&lt;=Config!$B$9),L197/60,0)</f>
        <v>0.5</v>
      </c>
      <c r="S197" s="45">
        <f>IF(G197="","",IFERROR(INDEX(Config!$K$5:$K$16,MATCH(G197,Config!$J$5:$J$16,0)),""))</f>
        <v>30</v>
      </c>
      <c r="T197" s="31">
        <f>IF(OR(G197="",F197=""),"",IFERROR(INDEX(Config!$M$5:$R$16,MATCH(G197,Config!$J$5:$J$16,0),MATCH(F197,Config!$H$5:$H$10,0)),""))</f>
        <v>380</v>
      </c>
      <c r="U197" s="47">
        <f>IF(AND(H197="Realizado",L197&lt;&gt;""),L197/60,0)</f>
        <v>0.5</v>
      </c>
      <c r="V197" s="47">
        <f>IF(AND(H197="Realizado",OR(L197="",M197="")),1,0)</f>
        <v>0</v>
      </c>
    </row>
    <row r="198">
      <c r="A198" s="43" t="n">
        <v>46192</v>
      </c>
      <c r="B198" s="44" t="n">
        <v>0.4861111111111111</v>
      </c>
      <c r="C198" s="38" t="inlineStr">
        <is>
          <t>Dr. Paulo Andrade</t>
        </is>
      </c>
      <c r="D198" s="38" t="inlineStr">
        <is>
          <t>Sala 2</t>
        </is>
      </c>
      <c r="E198" s="37" t="inlineStr">
        <is>
          <t>Patrícia Fernandes</t>
        </is>
      </c>
      <c r="F198" s="38" t="inlineStr">
        <is>
          <t>Particular</t>
        </is>
      </c>
      <c r="G198" s="38" t="inlineStr">
        <is>
          <t>ECG</t>
        </is>
      </c>
      <c r="H198" s="38" t="inlineStr">
        <is>
          <t>Realizado</t>
        </is>
      </c>
      <c r="I198" s="38" t="inlineStr">
        <is>
          <t>Dinheiro</t>
        </is>
      </c>
      <c r="J198" s="38" t="n"/>
      <c r="K198" s="37" t="n"/>
      <c r="L198" s="39" t="n">
        <v>20</v>
      </c>
      <c r="M198" s="40" t="n">
        <v>130</v>
      </c>
      <c r="N198" s="30">
        <f>IF(A198="","",MONTH(A198))</f>
        <v>6</v>
      </c>
      <c r="O198" s="30">
        <f>IF(A198="","",YEAR(A198))</f>
        <v>2026</v>
      </c>
      <c r="P198" s="30" t="str">
        <f>IF(A198="","",CHOOSE(WEEKDAY(A198,2),"Segunda","Terça","Quarta","Quinta","Sexta","Sábado","Domingo"))</f>
        <v>Sexta</v>
      </c>
      <c r="Q198" s="30" t="str">
        <f>IF(B198="","",IF(B198&lt;TIME(12,0,0),"Manhã",IF(B198&lt;TIME(18,0,0),"Tarde","Noite")))</f>
        <v>Manhã</v>
      </c>
      <c r="R198" s="46">
        <f>IF(AND(H198="Realizado",L198&lt;&gt;"",A198&lt;=Config!$B$9),L198/60,0)</f>
        <v>0.333333333333333</v>
      </c>
      <c r="S198" s="45">
        <f>IF(G198="","",IFERROR(INDEX(Config!$K$5:$K$16,MATCH(G198,Config!$J$5:$J$16,0)),""))</f>
        <v>20</v>
      </c>
      <c r="T198" s="31">
        <f>IF(OR(G198="",F198=""),"",IFERROR(INDEX(Config!$M$5:$R$16,MATCH(G198,Config!$J$5:$J$16,0),MATCH(F198,Config!$H$5:$H$10,0)),""))</f>
        <v>130</v>
      </c>
      <c r="U198" s="47">
        <f>IF(AND(H198="Realizado",L198&lt;&gt;""),L198/60,0)</f>
        <v>0.333333333333333</v>
      </c>
      <c r="V198" s="47">
        <f>IF(AND(H198="Realizado",OR(L198="",M198="")),1,0)</f>
        <v>0</v>
      </c>
    </row>
    <row r="199">
      <c r="A199" s="43" t="n">
        <v>46195</v>
      </c>
      <c r="B199" s="44" t="n">
        <v>0.3333333333333333</v>
      </c>
      <c r="C199" s="38" t="inlineStr">
        <is>
          <t>Dra. Carolina Mendes</t>
        </is>
      </c>
      <c r="D199" s="38" t="inlineStr">
        <is>
          <t>Sala 1</t>
        </is>
      </c>
      <c r="E199" s="37" t="inlineStr">
        <is>
          <t>Isabela Pinto</t>
        </is>
      </c>
      <c r="F199" s="38" t="inlineStr">
        <is>
          <t>Saúde Total</t>
        </is>
      </c>
      <c r="G199" s="38" t="inlineStr">
        <is>
          <t>Consulta</t>
        </is>
      </c>
      <c r="H199" s="38" t="inlineStr">
        <is>
          <t>Realizado</t>
        </is>
      </c>
      <c r="I199" s="38" t="inlineStr">
        <is>
          <t>Convênio</t>
        </is>
      </c>
      <c r="J199" s="38" t="n"/>
      <c r="K199" s="37" t="n"/>
      <c r="L199" s="39" t="n">
        <v>30</v>
      </c>
      <c r="M199" s="40" t="n">
        <v>120</v>
      </c>
      <c r="N199" s="30">
        <f>IF(A199="","",MONTH(A199))</f>
        <v>6</v>
      </c>
      <c r="O199" s="30">
        <f>IF(A199="","",YEAR(A199))</f>
        <v>2026</v>
      </c>
      <c r="P199" s="30" t="str">
        <f>IF(A199="","",CHOOSE(WEEKDAY(A199,2),"Segunda","Terça","Quarta","Quinta","Sexta","Sábado","Domingo"))</f>
        <v>Segunda</v>
      </c>
      <c r="Q199" s="30" t="str">
        <f>IF(B199="","",IF(B199&lt;TIME(12,0,0),"Manhã",IF(B199&lt;TIME(18,0,0),"Tarde","Noite")))</f>
        <v>Manhã</v>
      </c>
      <c r="R199" s="46">
        <f>IF(AND(H199="Realizado",L199&lt;&gt;"",A199&lt;=Config!$B$9),L199/60,0)</f>
        <v>0.5</v>
      </c>
      <c r="S199" s="45">
        <f>IF(G199="","",IFERROR(INDEX(Config!$K$5:$K$16,MATCH(G199,Config!$J$5:$J$16,0)),""))</f>
        <v>30</v>
      </c>
      <c r="T199" s="31">
        <f>IF(OR(G199="",F199=""),"",IFERROR(INDEX(Config!$M$5:$R$16,MATCH(G199,Config!$J$5:$J$16,0),MATCH(F199,Config!$H$5:$H$10,0)),""))</f>
        <v>120</v>
      </c>
      <c r="U199" s="47">
        <f>IF(AND(H199="Realizado",L199&lt;&gt;""),L199/60,0)</f>
        <v>0.5</v>
      </c>
      <c r="V199" s="47">
        <f>IF(AND(H199="Realizado",OR(L199="",M199="")),1,0)</f>
        <v>0</v>
      </c>
    </row>
    <row r="200">
      <c r="A200" s="43" t="n">
        <v>46195</v>
      </c>
      <c r="B200" s="44" t="n">
        <v>0.3541666666666667</v>
      </c>
      <c r="C200" s="38" t="inlineStr">
        <is>
          <t>Dra. Carolina Mendes</t>
        </is>
      </c>
      <c r="D200" s="38" t="inlineStr">
        <is>
          <t>Sala 1</t>
        </is>
      </c>
      <c r="E200" s="37" t="inlineStr">
        <is>
          <t>Regina Teixeira</t>
        </is>
      </c>
      <c r="F200" s="38" t="inlineStr">
        <is>
          <t>Particular</t>
        </is>
      </c>
      <c r="G200" s="38" t="inlineStr">
        <is>
          <t>Consulta</t>
        </is>
      </c>
      <c r="H200" s="38" t="inlineStr">
        <is>
          <t>Realizado</t>
        </is>
      </c>
      <c r="I200" s="38" t="inlineStr">
        <is>
          <t>Cartão de débito</t>
        </is>
      </c>
      <c r="J200" s="38" t="n"/>
      <c r="K200" s="37" t="n"/>
      <c r="L200" s="39" t="n">
        <v>30</v>
      </c>
      <c r="M200" s="40" t="n">
        <v>380</v>
      </c>
      <c r="N200" s="30">
        <f>IF(A200="","",MONTH(A200))</f>
        <v>6</v>
      </c>
      <c r="O200" s="30">
        <f>IF(A200="","",YEAR(A200))</f>
        <v>2026</v>
      </c>
      <c r="P200" s="30" t="str">
        <f>IF(A200="","",CHOOSE(WEEKDAY(A200,2),"Segunda","Terça","Quarta","Quinta","Sexta","Sábado","Domingo"))</f>
        <v>Segunda</v>
      </c>
      <c r="Q200" s="30" t="str">
        <f>IF(B200="","",IF(B200&lt;TIME(12,0,0),"Manhã",IF(B200&lt;TIME(18,0,0),"Tarde","Noite")))</f>
        <v>Manhã</v>
      </c>
      <c r="R200" s="46">
        <f>IF(AND(H200="Realizado",L200&lt;&gt;"",A200&lt;=Config!$B$9),L200/60,0)</f>
        <v>0.5</v>
      </c>
      <c r="S200" s="45">
        <f>IF(G200="","",IFERROR(INDEX(Config!$K$5:$K$16,MATCH(G200,Config!$J$5:$J$16,0)),""))</f>
        <v>30</v>
      </c>
      <c r="T200" s="31">
        <f>IF(OR(G200="",F200=""),"",IFERROR(INDEX(Config!$M$5:$R$16,MATCH(G200,Config!$J$5:$J$16,0),MATCH(F200,Config!$H$5:$H$10,0)),""))</f>
        <v>380</v>
      </c>
      <c r="U200" s="47">
        <f>IF(AND(H200="Realizado",L200&lt;&gt;""),L200/60,0)</f>
        <v>0.5</v>
      </c>
      <c r="V200" s="47">
        <f>IF(AND(H200="Realizado",OR(L200="",M200="")),1,0)</f>
        <v>0</v>
      </c>
    </row>
    <row r="201">
      <c r="A201" s="43" t="n">
        <v>46195</v>
      </c>
      <c r="B201" s="44" t="n">
        <v>0.375</v>
      </c>
      <c r="C201" s="38" t="inlineStr">
        <is>
          <t>Dra. Carolina Mendes</t>
        </is>
      </c>
      <c r="D201" s="38" t="inlineStr">
        <is>
          <t>Sala 1</t>
        </is>
      </c>
      <c r="E201" s="37" t="inlineStr">
        <is>
          <t>Elaine Cardoso</t>
        </is>
      </c>
      <c r="F201" s="38" t="inlineStr">
        <is>
          <t>Particular</t>
        </is>
      </c>
      <c r="G201" s="38" t="inlineStr">
        <is>
          <t>Consulta</t>
        </is>
      </c>
      <c r="H201" s="38" t="inlineStr">
        <is>
          <t>Realizado</t>
        </is>
      </c>
      <c r="I201" s="38" t="inlineStr">
        <is>
          <t>A prazo</t>
        </is>
      </c>
      <c r="J201" s="38" t="n"/>
      <c r="K201" s="37" t="n"/>
      <c r="L201" s="39" t="n">
        <v>30</v>
      </c>
      <c r="M201" s="40" t="n">
        <v>380</v>
      </c>
      <c r="N201" s="30">
        <f>IF(A201="","",MONTH(A201))</f>
        <v>6</v>
      </c>
      <c r="O201" s="30">
        <f>IF(A201="","",YEAR(A201))</f>
        <v>2026</v>
      </c>
      <c r="P201" s="30" t="str">
        <f>IF(A201="","",CHOOSE(WEEKDAY(A201,2),"Segunda","Terça","Quarta","Quinta","Sexta","Sábado","Domingo"))</f>
        <v>Segunda</v>
      </c>
      <c r="Q201" s="30" t="str">
        <f>IF(B201="","",IF(B201&lt;TIME(12,0,0),"Manhã",IF(B201&lt;TIME(18,0,0),"Tarde","Noite")))</f>
        <v>Manhã</v>
      </c>
      <c r="R201" s="46">
        <f>IF(AND(H201="Realizado",L201&lt;&gt;"",A201&lt;=Config!$B$9),L201/60,0)</f>
        <v>0.5</v>
      </c>
      <c r="S201" s="45">
        <f>IF(G201="","",IFERROR(INDEX(Config!$K$5:$K$16,MATCH(G201,Config!$J$5:$J$16,0)),""))</f>
        <v>30</v>
      </c>
      <c r="T201" s="31">
        <f>IF(OR(G201="",F201=""),"",IFERROR(INDEX(Config!$M$5:$R$16,MATCH(G201,Config!$J$5:$J$16,0),MATCH(F201,Config!$H$5:$H$10,0)),""))</f>
        <v>380</v>
      </c>
      <c r="U201" s="47">
        <f>IF(AND(H201="Realizado",L201&lt;&gt;""),L201/60,0)</f>
        <v>0.5</v>
      </c>
      <c r="V201" s="47">
        <f>IF(AND(H201="Realizado",OR(L201="",M201="")),1,0)</f>
        <v>0</v>
      </c>
    </row>
    <row r="202">
      <c r="A202" s="43" t="n">
        <v>46195</v>
      </c>
      <c r="B202" s="44" t="n">
        <v>0.3958333333333333</v>
      </c>
      <c r="C202" s="38" t="inlineStr">
        <is>
          <t>Dra. Carolina Mendes</t>
        </is>
      </c>
      <c r="D202" s="38" t="inlineStr">
        <is>
          <t>Sala 1</t>
        </is>
      </c>
      <c r="E202" s="37" t="inlineStr">
        <is>
          <t>Lucas Lopes</t>
        </is>
      </c>
      <c r="F202" s="38" t="inlineStr">
        <is>
          <t>Particular</t>
        </is>
      </c>
      <c r="G202" s="38" t="inlineStr">
        <is>
          <t>Consulta</t>
        </is>
      </c>
      <c r="H202" s="38" t="inlineStr">
        <is>
          <t>Falta</t>
        </is>
      </c>
      <c r="I202" s="38" t="n"/>
      <c r="J202" s="38" t="n"/>
      <c r="K202" s="37" t="n"/>
      <c r="L202" s="39" t="n">
        <v>30</v>
      </c>
      <c r="M202" s="40" t="n">
        <v>380</v>
      </c>
      <c r="N202" s="30">
        <f>IF(A202="","",MONTH(A202))</f>
        <v>6</v>
      </c>
      <c r="O202" s="30">
        <f>IF(A202="","",YEAR(A202))</f>
        <v>2026</v>
      </c>
      <c r="P202" s="30" t="str">
        <f>IF(A202="","",CHOOSE(WEEKDAY(A202,2),"Segunda","Terça","Quarta","Quinta","Sexta","Sábado","Domingo"))</f>
        <v>Segunda</v>
      </c>
      <c r="Q202" s="30" t="str">
        <f>IF(B202="","",IF(B202&lt;TIME(12,0,0),"Manhã",IF(B202&lt;TIME(18,0,0),"Tarde","Noite")))</f>
        <v>Manhã</v>
      </c>
      <c r="R202" s="46">
        <f>IF(AND(H202="Realizado",L202&lt;&gt;"",A202&lt;=Config!$B$9),L202/60,0)</f>
        <v>0</v>
      </c>
      <c r="S202" s="45">
        <f>IF(G202="","",IFERROR(INDEX(Config!$K$5:$K$16,MATCH(G202,Config!$J$5:$J$16,0)),""))</f>
        <v>30</v>
      </c>
      <c r="T202" s="31">
        <f>IF(OR(G202="",F202=""),"",IFERROR(INDEX(Config!$M$5:$R$16,MATCH(G202,Config!$J$5:$J$16,0),MATCH(F202,Config!$H$5:$H$10,0)),""))</f>
        <v>380</v>
      </c>
      <c r="U202" s="47">
        <f>IF(AND(H202="Realizado",L202&lt;&gt;""),L202/60,0)</f>
        <v>0</v>
      </c>
      <c r="V202" s="47">
        <f>IF(AND(H202="Realizado",OR(L202="",M202="")),1,0)</f>
        <v>0</v>
      </c>
    </row>
    <row r="203">
      <c r="A203" s="43" t="n">
        <v>46195</v>
      </c>
      <c r="B203" s="44" t="n">
        <v>0.4166666666666667</v>
      </c>
      <c r="C203" s="38" t="inlineStr">
        <is>
          <t>Dra. Carolina Mendes</t>
        </is>
      </c>
      <c r="D203" s="38" t="inlineStr">
        <is>
          <t>Sala 1</t>
        </is>
      </c>
      <c r="E203" s="37" t="inlineStr">
        <is>
          <t>Cláudia Costa</t>
        </is>
      </c>
      <c r="F203" s="38" t="inlineStr">
        <is>
          <t>Particular</t>
        </is>
      </c>
      <c r="G203" s="38" t="inlineStr">
        <is>
          <t>Consulta</t>
        </is>
      </c>
      <c r="H203" s="38" t="inlineStr">
        <is>
          <t>Realizado</t>
        </is>
      </c>
      <c r="I203" s="38" t="inlineStr">
        <is>
          <t>A prazo</t>
        </is>
      </c>
      <c r="J203" s="38" t="n"/>
      <c r="K203" s="37" t="n"/>
      <c r="L203" s="39" t="n">
        <v>30</v>
      </c>
      <c r="M203" s="40" t="n">
        <v>380</v>
      </c>
      <c r="N203" s="30">
        <f>IF(A203="","",MONTH(A203))</f>
        <v>6</v>
      </c>
      <c r="O203" s="30">
        <f>IF(A203="","",YEAR(A203))</f>
        <v>2026</v>
      </c>
      <c r="P203" s="30" t="str">
        <f>IF(A203="","",CHOOSE(WEEKDAY(A203,2),"Segunda","Terça","Quarta","Quinta","Sexta","Sábado","Domingo"))</f>
        <v>Segunda</v>
      </c>
      <c r="Q203" s="30" t="str">
        <f>IF(B203="","",IF(B203&lt;TIME(12,0,0),"Manhã",IF(B203&lt;TIME(18,0,0),"Tarde","Noite")))</f>
        <v>Manhã</v>
      </c>
      <c r="R203" s="46">
        <f>IF(AND(H203="Realizado",L203&lt;&gt;"",A203&lt;=Config!$B$9),L203/60,0)</f>
        <v>0.5</v>
      </c>
      <c r="S203" s="45">
        <f>IF(G203="","",IFERROR(INDEX(Config!$K$5:$K$16,MATCH(G203,Config!$J$5:$J$16,0)),""))</f>
        <v>30</v>
      </c>
      <c r="T203" s="31">
        <f>IF(OR(G203="",F203=""),"",IFERROR(INDEX(Config!$M$5:$R$16,MATCH(G203,Config!$J$5:$J$16,0),MATCH(F203,Config!$H$5:$H$10,0)),""))</f>
        <v>380</v>
      </c>
      <c r="U203" s="47">
        <f>IF(AND(H203="Realizado",L203&lt;&gt;""),L203/60,0)</f>
        <v>0.5</v>
      </c>
      <c r="V203" s="47">
        <f>IF(AND(H203="Realizado",OR(L203="",M203="")),1,0)</f>
        <v>0</v>
      </c>
    </row>
    <row r="204">
      <c r="A204" s="43" t="n">
        <v>46195</v>
      </c>
      <c r="B204" s="44" t="n">
        <v>0.4791666666666667</v>
      </c>
      <c r="C204" s="38" t="inlineStr">
        <is>
          <t>Dra. Carolina Mendes</t>
        </is>
      </c>
      <c r="D204" s="38" t="inlineStr">
        <is>
          <t>Sala 1</t>
        </is>
      </c>
      <c r="E204" s="37" t="inlineStr">
        <is>
          <t>Priscila Carvalho</t>
        </is>
      </c>
      <c r="F204" s="38" t="inlineStr">
        <is>
          <t>Vida Care</t>
        </is>
      </c>
      <c r="G204" s="38" t="inlineStr">
        <is>
          <t>Consulta</t>
        </is>
      </c>
      <c r="H204" s="38" t="inlineStr">
        <is>
          <t>Falta</t>
        </is>
      </c>
      <c r="I204" s="38" t="n"/>
      <c r="J204" s="38" t="n"/>
      <c r="K204" s="37" t="n"/>
      <c r="L204" s="39" t="n">
        <v>30</v>
      </c>
      <c r="M204" s="40" t="n">
        <v>90</v>
      </c>
      <c r="N204" s="30">
        <f>IF(A204="","",MONTH(A204))</f>
        <v>6</v>
      </c>
      <c r="O204" s="30">
        <f>IF(A204="","",YEAR(A204))</f>
        <v>2026</v>
      </c>
      <c r="P204" s="30" t="str">
        <f>IF(A204="","",CHOOSE(WEEKDAY(A204,2),"Segunda","Terça","Quarta","Quinta","Sexta","Sábado","Domingo"))</f>
        <v>Segunda</v>
      </c>
      <c r="Q204" s="30" t="str">
        <f>IF(B204="","",IF(B204&lt;TIME(12,0,0),"Manhã",IF(B204&lt;TIME(18,0,0),"Tarde","Noite")))</f>
        <v>Manhã</v>
      </c>
      <c r="R204" s="46">
        <f>IF(AND(H204="Realizado",L204&lt;&gt;"",A204&lt;=Config!$B$9),L204/60,0)</f>
        <v>0</v>
      </c>
      <c r="S204" s="45">
        <f>IF(G204="","",IFERROR(INDEX(Config!$K$5:$K$16,MATCH(G204,Config!$J$5:$J$16,0)),""))</f>
        <v>30</v>
      </c>
      <c r="T204" s="31">
        <f>IF(OR(G204="",F204=""),"",IFERROR(INDEX(Config!$M$5:$R$16,MATCH(G204,Config!$J$5:$J$16,0),MATCH(F204,Config!$H$5:$H$10,0)),""))</f>
        <v>90</v>
      </c>
      <c r="U204" s="47">
        <f>IF(AND(H204="Realizado",L204&lt;&gt;""),L204/60,0)</f>
        <v>0</v>
      </c>
      <c r="V204" s="47">
        <f>IF(AND(H204="Realizado",OR(L204="",M204="")),1,0)</f>
        <v>0</v>
      </c>
    </row>
    <row r="205">
      <c r="A205" s="43" t="n">
        <v>46195</v>
      </c>
      <c r="B205" s="44" t="n">
        <v>0.5833333333333334</v>
      </c>
      <c r="C205" s="38" t="inlineStr">
        <is>
          <t>Dr. Paulo Andrade</t>
        </is>
      </c>
      <c r="D205" s="38" t="inlineStr">
        <is>
          <t>Sala 2</t>
        </is>
      </c>
      <c r="E205" s="37" t="inlineStr">
        <is>
          <t>Paulo Ribeiro</t>
        </is>
      </c>
      <c r="F205" s="38" t="inlineStr">
        <is>
          <t>Saúde Total</t>
        </is>
      </c>
      <c r="G205" s="38" t="inlineStr">
        <is>
          <t>Consulta</t>
        </is>
      </c>
      <c r="H205" s="38" t="inlineStr">
        <is>
          <t>Realizado</t>
        </is>
      </c>
      <c r="I205" s="38" t="inlineStr">
        <is>
          <t>Convênio</t>
        </is>
      </c>
      <c r="J205" s="38" t="n"/>
      <c r="K205" s="37" t="n"/>
      <c r="L205" s="39" t="n">
        <v>30</v>
      </c>
      <c r="M205" s="40" t="n">
        <v>120</v>
      </c>
      <c r="N205" s="30">
        <f>IF(A205="","",MONTH(A205))</f>
        <v>6</v>
      </c>
      <c r="O205" s="30">
        <f>IF(A205="","",YEAR(A205))</f>
        <v>2026</v>
      </c>
      <c r="P205" s="30" t="str">
        <f>IF(A205="","",CHOOSE(WEEKDAY(A205,2),"Segunda","Terça","Quarta","Quinta","Sexta","Sábado","Domingo"))</f>
        <v>Segunda</v>
      </c>
      <c r="Q205" s="30" t="str">
        <f>IF(B205="","",IF(B205&lt;TIME(12,0,0),"Manhã",IF(B205&lt;TIME(18,0,0),"Tarde","Noite")))</f>
        <v>Tarde</v>
      </c>
      <c r="R205" s="46">
        <f>IF(AND(H205="Realizado",L205&lt;&gt;"",A205&lt;=Config!$B$9),L205/60,0)</f>
        <v>0.5</v>
      </c>
      <c r="S205" s="45">
        <f>IF(G205="","",IFERROR(INDEX(Config!$K$5:$K$16,MATCH(G205,Config!$J$5:$J$16,0)),""))</f>
        <v>30</v>
      </c>
      <c r="T205" s="31">
        <f>IF(OR(G205="",F205=""),"",IFERROR(INDEX(Config!$M$5:$R$16,MATCH(G205,Config!$J$5:$J$16,0),MATCH(F205,Config!$H$5:$H$10,0)),""))</f>
        <v>120</v>
      </c>
      <c r="U205" s="47">
        <f>IF(AND(H205="Realizado",L205&lt;&gt;""),L205/60,0)</f>
        <v>0.5</v>
      </c>
      <c r="V205" s="47">
        <f>IF(AND(H205="Realizado",OR(L205="",M205="")),1,0)</f>
        <v>0</v>
      </c>
    </row>
    <row r="206">
      <c r="A206" s="43" t="n">
        <v>46195</v>
      </c>
      <c r="B206" s="44" t="n">
        <v>0.6041666666666666</v>
      </c>
      <c r="C206" s="38" t="inlineStr">
        <is>
          <t>Dr. Paulo Andrade</t>
        </is>
      </c>
      <c r="D206" s="38" t="inlineStr">
        <is>
          <t>Sala 2</t>
        </is>
      </c>
      <c r="E206" s="37" t="inlineStr">
        <is>
          <t>Vanessa Carvalho</t>
        </is>
      </c>
      <c r="F206" s="38" t="inlineStr">
        <is>
          <t>Saúde Total</t>
        </is>
      </c>
      <c r="G206" s="38" t="inlineStr">
        <is>
          <t>Retorno</t>
        </is>
      </c>
      <c r="H206" s="38" t="inlineStr">
        <is>
          <t>Falta</t>
        </is>
      </c>
      <c r="I206" s="38" t="n"/>
      <c r="J206" s="38" t="n"/>
      <c r="K206" s="37" t="n"/>
      <c r="L206" s="39" t="n">
        <v>20</v>
      </c>
      <c r="M206" s="40" t="n">
        <v>0</v>
      </c>
      <c r="N206" s="30">
        <f>IF(A206="","",MONTH(A206))</f>
        <v>6</v>
      </c>
      <c r="O206" s="30">
        <f>IF(A206="","",YEAR(A206))</f>
        <v>2026</v>
      </c>
      <c r="P206" s="30" t="str">
        <f>IF(A206="","",CHOOSE(WEEKDAY(A206,2),"Segunda","Terça","Quarta","Quinta","Sexta","Sábado","Domingo"))</f>
        <v>Segunda</v>
      </c>
      <c r="Q206" s="30" t="str">
        <f>IF(B206="","",IF(B206&lt;TIME(12,0,0),"Manhã",IF(B206&lt;TIME(18,0,0),"Tarde","Noite")))</f>
        <v>Tarde</v>
      </c>
      <c r="R206" s="46">
        <f>IF(AND(H206="Realizado",L206&lt;&gt;"",A206&lt;=Config!$B$9),L206/60,0)</f>
        <v>0</v>
      </c>
      <c r="S206" s="45">
        <f>IF(G206="","",IFERROR(INDEX(Config!$K$5:$K$16,MATCH(G206,Config!$J$5:$J$16,0)),""))</f>
        <v>20</v>
      </c>
      <c r="T206" s="31">
        <f>IF(OR(G206="",F206=""),"",IFERROR(INDEX(Config!$M$5:$R$16,MATCH(G206,Config!$J$5:$J$16,0),MATCH(F206,Config!$H$5:$H$10,0)),""))</f>
        <v>0</v>
      </c>
      <c r="U206" s="47">
        <f>IF(AND(H206="Realizado",L206&lt;&gt;""),L206/60,0)</f>
        <v>0</v>
      </c>
      <c r="V206" s="47">
        <f>IF(AND(H206="Realizado",OR(L206="",M206="")),1,0)</f>
        <v>0</v>
      </c>
    </row>
    <row r="207">
      <c r="A207" s="43" t="n">
        <v>46195</v>
      </c>
      <c r="B207" s="44" t="n">
        <v>0.6180555555555556</v>
      </c>
      <c r="C207" s="38" t="inlineStr">
        <is>
          <t>Dr. Paulo Andrade</t>
        </is>
      </c>
      <c r="D207" s="38" t="inlineStr">
        <is>
          <t>Sala 2</t>
        </is>
      </c>
      <c r="E207" s="37" t="inlineStr">
        <is>
          <t>Rafael Dias</t>
        </is>
      </c>
      <c r="F207" s="38" t="inlineStr">
        <is>
          <t>Particular</t>
        </is>
      </c>
      <c r="G207" s="38" t="inlineStr">
        <is>
          <t>Teste ergométrico</t>
        </is>
      </c>
      <c r="H207" s="38" t="inlineStr">
        <is>
          <t>Realizado</t>
        </is>
      </c>
      <c r="I207" s="38" t="inlineStr">
        <is>
          <t>Pix</t>
        </is>
      </c>
      <c r="J207" s="38" t="n"/>
      <c r="K207" s="37" t="n"/>
      <c r="L207" s="39" t="n">
        <v>40</v>
      </c>
      <c r="M207" s="40" t="n">
        <v>450</v>
      </c>
      <c r="N207" s="30">
        <f>IF(A207="","",MONTH(A207))</f>
        <v>6</v>
      </c>
      <c r="O207" s="30">
        <f>IF(A207="","",YEAR(A207))</f>
        <v>2026</v>
      </c>
      <c r="P207" s="30" t="str">
        <f>IF(A207="","",CHOOSE(WEEKDAY(A207,2),"Segunda","Terça","Quarta","Quinta","Sexta","Sábado","Domingo"))</f>
        <v>Segunda</v>
      </c>
      <c r="Q207" s="30" t="str">
        <f>IF(B207="","",IF(B207&lt;TIME(12,0,0),"Manhã",IF(B207&lt;TIME(18,0,0),"Tarde","Noite")))</f>
        <v>Tarde</v>
      </c>
      <c r="R207" s="46">
        <f>IF(AND(H207="Realizado",L207&lt;&gt;"",A207&lt;=Config!$B$9),L207/60,0)</f>
        <v>0.666666666666667</v>
      </c>
      <c r="S207" s="45">
        <f>IF(G207="","",IFERROR(INDEX(Config!$K$5:$K$16,MATCH(G207,Config!$J$5:$J$16,0)),""))</f>
        <v>40</v>
      </c>
      <c r="T207" s="31">
        <f>IF(OR(G207="",F207=""),"",IFERROR(INDEX(Config!$M$5:$R$16,MATCH(G207,Config!$J$5:$J$16,0),MATCH(F207,Config!$H$5:$H$10,0)),""))</f>
        <v>450</v>
      </c>
      <c r="U207" s="47">
        <f>IF(AND(H207="Realizado",L207&lt;&gt;""),L207/60,0)</f>
        <v>0.666666666666667</v>
      </c>
      <c r="V207" s="47">
        <f>IF(AND(H207="Realizado",OR(L207="",M207="")),1,0)</f>
        <v>0</v>
      </c>
    </row>
    <row r="208">
      <c r="A208" s="43" t="n">
        <v>46195</v>
      </c>
      <c r="B208" s="44" t="n">
        <v>0.6458333333333334</v>
      </c>
      <c r="C208" s="38" t="inlineStr">
        <is>
          <t>Dr. Paulo Andrade</t>
        </is>
      </c>
      <c r="D208" s="38" t="inlineStr">
        <is>
          <t>Sala 2</t>
        </is>
      </c>
      <c r="E208" s="37" t="inlineStr">
        <is>
          <t>Wagner Lima</t>
        </is>
      </c>
      <c r="F208" s="38" t="inlineStr">
        <is>
          <t>Particular</t>
        </is>
      </c>
      <c r="G208" s="38" t="inlineStr">
        <is>
          <t>ECG</t>
        </is>
      </c>
      <c r="H208" s="38" t="inlineStr">
        <is>
          <t>Realizado</t>
        </is>
      </c>
      <c r="I208" s="38" t="inlineStr">
        <is>
          <t>Dinheiro</t>
        </is>
      </c>
      <c r="J208" s="38" t="n"/>
      <c r="K208" s="37" t="n"/>
      <c r="L208" s="39" t="n">
        <v>20</v>
      </c>
      <c r="M208" s="40" t="n">
        <v>130</v>
      </c>
      <c r="N208" s="30">
        <f>IF(A208="","",MONTH(A208))</f>
        <v>6</v>
      </c>
      <c r="O208" s="30">
        <f>IF(A208="","",YEAR(A208))</f>
        <v>2026</v>
      </c>
      <c r="P208" s="30" t="str">
        <f>IF(A208="","",CHOOSE(WEEKDAY(A208,2),"Segunda","Terça","Quarta","Quinta","Sexta","Sábado","Domingo"))</f>
        <v>Segunda</v>
      </c>
      <c r="Q208" s="30" t="str">
        <f>IF(B208="","",IF(B208&lt;TIME(12,0,0),"Manhã",IF(B208&lt;TIME(18,0,0),"Tarde","Noite")))</f>
        <v>Tarde</v>
      </c>
      <c r="R208" s="46">
        <f>IF(AND(H208="Realizado",L208&lt;&gt;"",A208&lt;=Config!$B$9),L208/60,0)</f>
        <v>0.333333333333333</v>
      </c>
      <c r="S208" s="45">
        <f>IF(G208="","",IFERROR(INDEX(Config!$K$5:$K$16,MATCH(G208,Config!$J$5:$J$16,0)),""))</f>
        <v>20</v>
      </c>
      <c r="T208" s="31">
        <f>IF(OR(G208="",F208=""),"",IFERROR(INDEX(Config!$M$5:$R$16,MATCH(G208,Config!$J$5:$J$16,0),MATCH(F208,Config!$H$5:$H$10,0)),""))</f>
        <v>130</v>
      </c>
      <c r="U208" s="47">
        <f>IF(AND(H208="Realizado",L208&lt;&gt;""),L208/60,0)</f>
        <v>0.333333333333333</v>
      </c>
      <c r="V208" s="47">
        <f>IF(AND(H208="Realizado",OR(L208="",M208="")),1,0)</f>
        <v>0</v>
      </c>
    </row>
    <row r="209">
      <c r="A209" s="43" t="n">
        <v>46195</v>
      </c>
      <c r="B209" s="44" t="n">
        <v>0.6597222222222222</v>
      </c>
      <c r="C209" s="38" t="inlineStr">
        <is>
          <t>Dr. Paulo Andrade</t>
        </is>
      </c>
      <c r="D209" s="38" t="inlineStr">
        <is>
          <t>Sala 2</t>
        </is>
      </c>
      <c r="E209" s="37" t="inlineStr">
        <is>
          <t>Tatiana Gonçalves</t>
        </is>
      </c>
      <c r="F209" s="38" t="inlineStr">
        <is>
          <t>Saúde Total</t>
        </is>
      </c>
      <c r="G209" s="38" t="inlineStr">
        <is>
          <t>Retorno</t>
        </is>
      </c>
      <c r="H209" s="38" t="inlineStr">
        <is>
          <t>Realizado</t>
        </is>
      </c>
      <c r="I209" s="38" t="inlineStr">
        <is>
          <t>Sem cobrança</t>
        </is>
      </c>
      <c r="J209" s="38" t="n"/>
      <c r="K209" s="37" t="n"/>
      <c r="L209" s="39" t="n">
        <v>20</v>
      </c>
      <c r="M209" s="40" t="n">
        <v>0</v>
      </c>
      <c r="N209" s="30">
        <f>IF(A209="","",MONTH(A209))</f>
        <v>6</v>
      </c>
      <c r="O209" s="30">
        <f>IF(A209="","",YEAR(A209))</f>
        <v>2026</v>
      </c>
      <c r="P209" s="30" t="str">
        <f>IF(A209="","",CHOOSE(WEEKDAY(A209,2),"Segunda","Terça","Quarta","Quinta","Sexta","Sábado","Domingo"))</f>
        <v>Segunda</v>
      </c>
      <c r="Q209" s="30" t="str">
        <f>IF(B209="","",IF(B209&lt;TIME(12,0,0),"Manhã",IF(B209&lt;TIME(18,0,0),"Tarde","Noite")))</f>
        <v>Tarde</v>
      </c>
      <c r="R209" s="46">
        <f>IF(AND(H209="Realizado",L209&lt;&gt;"",A209&lt;=Config!$B$9),L209/60,0)</f>
        <v>0.333333333333333</v>
      </c>
      <c r="S209" s="45">
        <f>IF(G209="","",IFERROR(INDEX(Config!$K$5:$K$16,MATCH(G209,Config!$J$5:$J$16,0)),""))</f>
        <v>20</v>
      </c>
      <c r="T209" s="31">
        <f>IF(OR(G209="",F209=""),"",IFERROR(INDEX(Config!$M$5:$R$16,MATCH(G209,Config!$J$5:$J$16,0),MATCH(F209,Config!$H$5:$H$10,0)),""))</f>
        <v>0</v>
      </c>
      <c r="U209" s="47">
        <f>IF(AND(H209="Realizado",L209&lt;&gt;""),L209/60,0)</f>
        <v>0.333333333333333</v>
      </c>
      <c r="V209" s="47">
        <f>IF(AND(H209="Realizado",OR(L209="",M209="")),1,0)</f>
        <v>0</v>
      </c>
    </row>
    <row r="210">
      <c r="A210" s="43" t="n">
        <v>46195</v>
      </c>
      <c r="B210" s="44" t="n">
        <v>0.6736111111111112</v>
      </c>
      <c r="C210" s="38" t="inlineStr">
        <is>
          <t>Dr. Paulo Andrade</t>
        </is>
      </c>
      <c r="D210" s="38" t="inlineStr">
        <is>
          <t>Sala 2</t>
        </is>
      </c>
      <c r="E210" s="37" t="inlineStr">
        <is>
          <t>Mônica Teixeira</t>
        </is>
      </c>
      <c r="F210" s="38" t="inlineStr">
        <is>
          <t>Vida Care</t>
        </is>
      </c>
      <c r="G210" s="38" t="inlineStr">
        <is>
          <t>ECG</t>
        </is>
      </c>
      <c r="H210" s="38" t="inlineStr">
        <is>
          <t>Falta</t>
        </is>
      </c>
      <c r="I210" s="38" t="n"/>
      <c r="J210" s="38" t="n"/>
      <c r="K210" s="37" t="n"/>
      <c r="L210" s="39" t="n">
        <v>20</v>
      </c>
      <c r="M210" s="40" t="n">
        <v>32</v>
      </c>
      <c r="N210" s="30">
        <f>IF(A210="","",MONTH(A210))</f>
        <v>6</v>
      </c>
      <c r="O210" s="30">
        <f>IF(A210="","",YEAR(A210))</f>
        <v>2026</v>
      </c>
      <c r="P210" s="30" t="str">
        <f>IF(A210="","",CHOOSE(WEEKDAY(A210,2),"Segunda","Terça","Quarta","Quinta","Sexta","Sábado","Domingo"))</f>
        <v>Segunda</v>
      </c>
      <c r="Q210" s="30" t="str">
        <f>IF(B210="","",IF(B210&lt;TIME(12,0,0),"Manhã",IF(B210&lt;TIME(18,0,0),"Tarde","Noite")))</f>
        <v>Tarde</v>
      </c>
      <c r="R210" s="46">
        <f>IF(AND(H210="Realizado",L210&lt;&gt;"",A210&lt;=Config!$B$9),L210/60,0)</f>
        <v>0</v>
      </c>
      <c r="S210" s="45">
        <f>IF(G210="","",IFERROR(INDEX(Config!$K$5:$K$16,MATCH(G210,Config!$J$5:$J$16,0)),""))</f>
        <v>20</v>
      </c>
      <c r="T210" s="31">
        <f>IF(OR(G210="",F210=""),"",IFERROR(INDEX(Config!$M$5:$R$16,MATCH(G210,Config!$J$5:$J$16,0),MATCH(F210,Config!$H$5:$H$10,0)),""))</f>
        <v>32</v>
      </c>
      <c r="U210" s="47">
        <f>IF(AND(H210="Realizado",L210&lt;&gt;""),L210/60,0)</f>
        <v>0</v>
      </c>
      <c r="V210" s="47">
        <f>IF(AND(H210="Realizado",OR(L210="",M210="")),1,0)</f>
        <v>0</v>
      </c>
    </row>
    <row r="211">
      <c r="A211" s="43" t="n">
        <v>46195</v>
      </c>
      <c r="B211" s="44" t="n">
        <v>0.6875</v>
      </c>
      <c r="C211" s="38" t="inlineStr">
        <is>
          <t>Dr. Paulo Andrade</t>
        </is>
      </c>
      <c r="D211" s="38" t="inlineStr">
        <is>
          <t>Sala 2</t>
        </is>
      </c>
      <c r="E211" s="37" t="inlineStr">
        <is>
          <t>Otávio Martins</t>
        </is>
      </c>
      <c r="F211" s="38" t="inlineStr">
        <is>
          <t>MediPlan</t>
        </is>
      </c>
      <c r="G211" s="38" t="inlineStr">
        <is>
          <t>Retorno</t>
        </is>
      </c>
      <c r="H211" s="38" t="inlineStr">
        <is>
          <t>Cancelado</t>
        </is>
      </c>
      <c r="I211" s="38" t="n"/>
      <c r="J211" s="38" t="n"/>
      <c r="K211" s="37" t="n"/>
      <c r="L211" s="39" t="n">
        <v>20</v>
      </c>
      <c r="M211" s="40" t="n">
        <v>0</v>
      </c>
      <c r="N211" s="30">
        <f>IF(A211="","",MONTH(A211))</f>
        <v>6</v>
      </c>
      <c r="O211" s="30">
        <f>IF(A211="","",YEAR(A211))</f>
        <v>2026</v>
      </c>
      <c r="P211" s="30" t="str">
        <f>IF(A211="","",CHOOSE(WEEKDAY(A211,2),"Segunda","Terça","Quarta","Quinta","Sexta","Sábado","Domingo"))</f>
        <v>Segunda</v>
      </c>
      <c r="Q211" s="30" t="str">
        <f>IF(B211="","",IF(B211&lt;TIME(12,0,0),"Manhã",IF(B211&lt;TIME(18,0,0),"Tarde","Noite")))</f>
        <v>Tarde</v>
      </c>
      <c r="R211" s="46">
        <f>IF(AND(H211="Realizado",L211&lt;&gt;"",A211&lt;=Config!$B$9),L211/60,0)</f>
        <v>0</v>
      </c>
      <c r="S211" s="45">
        <f>IF(G211="","",IFERROR(INDEX(Config!$K$5:$K$16,MATCH(G211,Config!$J$5:$J$16,0)),""))</f>
        <v>20</v>
      </c>
      <c r="T211" s="31">
        <f>IF(OR(G211="",F211=""),"",IFERROR(INDEX(Config!$M$5:$R$16,MATCH(G211,Config!$J$5:$J$16,0),MATCH(F211,Config!$H$5:$H$10,0)),""))</f>
        <v>0</v>
      </c>
      <c r="U211" s="47">
        <f>IF(AND(H211="Realizado",L211&lt;&gt;""),L211/60,0)</f>
        <v>0</v>
      </c>
      <c r="V211" s="47">
        <f>IF(AND(H211="Realizado",OR(L211="",M211="")),1,0)</f>
        <v>0</v>
      </c>
    </row>
    <row r="212">
      <c r="A212" s="43" t="n">
        <v>46195</v>
      </c>
      <c r="B212" s="44" t="n">
        <v>0.7013888888888888</v>
      </c>
      <c r="C212" s="38" t="inlineStr">
        <is>
          <t>Dr. Paulo Andrade</t>
        </is>
      </c>
      <c r="D212" s="38" t="inlineStr">
        <is>
          <t>Sala 2</t>
        </is>
      </c>
      <c r="E212" s="37" t="inlineStr">
        <is>
          <t>Cláudia Costa</t>
        </is>
      </c>
      <c r="F212" s="38" t="inlineStr">
        <is>
          <t>Particular</t>
        </is>
      </c>
      <c r="G212" s="38" t="inlineStr">
        <is>
          <t>Teste ergométrico</t>
        </is>
      </c>
      <c r="H212" s="38" t="inlineStr">
        <is>
          <t>Realizado</t>
        </is>
      </c>
      <c r="I212" s="38" t="inlineStr">
        <is>
          <t>Pix</t>
        </is>
      </c>
      <c r="J212" s="38" t="n"/>
      <c r="K212" s="37" t="n"/>
      <c r="L212" s="39" t="n">
        <v>40</v>
      </c>
      <c r="M212" s="40" t="n">
        <v>450</v>
      </c>
      <c r="N212" s="30">
        <f>IF(A212="","",MONTH(A212))</f>
        <v>6</v>
      </c>
      <c r="O212" s="30">
        <f>IF(A212="","",YEAR(A212))</f>
        <v>2026</v>
      </c>
      <c r="P212" s="30" t="str">
        <f>IF(A212="","",CHOOSE(WEEKDAY(A212,2),"Segunda","Terça","Quarta","Quinta","Sexta","Sábado","Domingo"))</f>
        <v>Segunda</v>
      </c>
      <c r="Q212" s="30" t="str">
        <f>IF(B212="","",IF(B212&lt;TIME(12,0,0),"Manhã",IF(B212&lt;TIME(18,0,0),"Tarde","Noite")))</f>
        <v>Tarde</v>
      </c>
      <c r="R212" s="46">
        <f>IF(AND(H212="Realizado",L212&lt;&gt;"",A212&lt;=Config!$B$9),L212/60,0)</f>
        <v>0.666666666666667</v>
      </c>
      <c r="S212" s="45">
        <f>IF(G212="","",IFERROR(INDEX(Config!$K$5:$K$16,MATCH(G212,Config!$J$5:$J$16,0)),""))</f>
        <v>40</v>
      </c>
      <c r="T212" s="31">
        <f>IF(OR(G212="",F212=""),"",IFERROR(INDEX(Config!$M$5:$R$16,MATCH(G212,Config!$J$5:$J$16,0),MATCH(F212,Config!$H$5:$H$10,0)),""))</f>
        <v>450</v>
      </c>
      <c r="U212" s="47">
        <f>IF(AND(H212="Realizado",L212&lt;&gt;""),L212/60,0)</f>
        <v>0.666666666666667</v>
      </c>
      <c r="V212" s="47">
        <f>IF(AND(H212="Realizado",OR(L212="",M212="")),1,0)</f>
        <v>0</v>
      </c>
    </row>
    <row r="213">
      <c r="A213" s="43" t="n">
        <v>46196</v>
      </c>
      <c r="B213" s="44" t="n">
        <v>0.3333333333333333</v>
      </c>
      <c r="C213" s="38" t="inlineStr">
        <is>
          <t>Dra. Carolina Mendes</t>
        </is>
      </c>
      <c r="D213" s="38" t="inlineStr">
        <is>
          <t>Sala 1</t>
        </is>
      </c>
      <c r="E213" s="37" t="inlineStr">
        <is>
          <t>Fábio Machado</t>
        </is>
      </c>
      <c r="F213" s="38" t="inlineStr">
        <is>
          <t>Particular</t>
        </is>
      </c>
      <c r="G213" s="38" t="inlineStr">
        <is>
          <t>Consulta</t>
        </is>
      </c>
      <c r="H213" s="38" t="inlineStr">
        <is>
          <t>Realizado</t>
        </is>
      </c>
      <c r="I213" s="38" t="inlineStr">
        <is>
          <t>A prazo</t>
        </is>
      </c>
      <c r="J213" s="38" t="n"/>
      <c r="K213" s="37" t="n"/>
      <c r="L213" s="39" t="n">
        <v>30</v>
      </c>
      <c r="M213" s="40" t="n">
        <v>380</v>
      </c>
      <c r="N213" s="30">
        <f>IF(A213="","",MONTH(A213))</f>
        <v>6</v>
      </c>
      <c r="O213" s="30">
        <f>IF(A213="","",YEAR(A213))</f>
        <v>2026</v>
      </c>
      <c r="P213" s="30" t="str">
        <f>IF(A213="","",CHOOSE(WEEKDAY(A213,2),"Segunda","Terça","Quarta","Quinta","Sexta","Sábado","Domingo"))</f>
        <v>Terça</v>
      </c>
      <c r="Q213" s="30" t="str">
        <f>IF(B213="","",IF(B213&lt;TIME(12,0,0),"Manhã",IF(B213&lt;TIME(18,0,0),"Tarde","Noite")))</f>
        <v>Manhã</v>
      </c>
      <c r="R213" s="46">
        <f>IF(AND(H213="Realizado",L213&lt;&gt;"",A213&lt;=Config!$B$9),L213/60,0)</f>
        <v>0.5</v>
      </c>
      <c r="S213" s="45">
        <f>IF(G213="","",IFERROR(INDEX(Config!$K$5:$K$16,MATCH(G213,Config!$J$5:$J$16,0)),""))</f>
        <v>30</v>
      </c>
      <c r="T213" s="31">
        <f>IF(OR(G213="",F213=""),"",IFERROR(INDEX(Config!$M$5:$R$16,MATCH(G213,Config!$J$5:$J$16,0),MATCH(F213,Config!$H$5:$H$10,0)),""))</f>
        <v>380</v>
      </c>
      <c r="U213" s="47">
        <f>IF(AND(H213="Realizado",L213&lt;&gt;""),L213/60,0)</f>
        <v>0.5</v>
      </c>
      <c r="V213" s="47">
        <f>IF(AND(H213="Realizado",OR(L213="",M213="")),1,0)</f>
        <v>0</v>
      </c>
    </row>
    <row r="214">
      <c r="A214" s="43" t="n">
        <v>46196</v>
      </c>
      <c r="B214" s="44" t="n">
        <v>0.3541666666666667</v>
      </c>
      <c r="C214" s="38" t="inlineStr">
        <is>
          <t>Dra. Carolina Mendes</t>
        </is>
      </c>
      <c r="D214" s="38" t="inlineStr">
        <is>
          <t>Sala 1</t>
        </is>
      </c>
      <c r="E214" s="37" t="inlineStr">
        <is>
          <t>Simone Monteiro</t>
        </is>
      </c>
      <c r="F214" s="38" t="inlineStr">
        <is>
          <t>Vida Care</t>
        </is>
      </c>
      <c r="G214" s="38" t="inlineStr">
        <is>
          <t>Retorno</t>
        </is>
      </c>
      <c r="H214" s="38" t="inlineStr">
        <is>
          <t>Realizado</t>
        </is>
      </c>
      <c r="I214" s="38" t="inlineStr">
        <is>
          <t>Sem cobrança</t>
        </is>
      </c>
      <c r="J214" s="38" t="n"/>
      <c r="K214" s="37" t="n"/>
      <c r="L214" s="39" t="n">
        <v>20</v>
      </c>
      <c r="M214" s="40" t="n">
        <v>0</v>
      </c>
      <c r="N214" s="30">
        <f>IF(A214="","",MONTH(A214))</f>
        <v>6</v>
      </c>
      <c r="O214" s="30">
        <f>IF(A214="","",YEAR(A214))</f>
        <v>2026</v>
      </c>
      <c r="P214" s="30" t="str">
        <f>IF(A214="","",CHOOSE(WEEKDAY(A214,2),"Segunda","Terça","Quarta","Quinta","Sexta","Sábado","Domingo"))</f>
        <v>Terça</v>
      </c>
      <c r="Q214" s="30" t="str">
        <f>IF(B214="","",IF(B214&lt;TIME(12,0,0),"Manhã",IF(B214&lt;TIME(18,0,0),"Tarde","Noite")))</f>
        <v>Manhã</v>
      </c>
      <c r="R214" s="46">
        <f>IF(AND(H214="Realizado",L214&lt;&gt;"",A214&lt;=Config!$B$9),L214/60,0)</f>
        <v>0.333333333333333</v>
      </c>
      <c r="S214" s="45">
        <f>IF(G214="","",IFERROR(INDEX(Config!$K$5:$K$16,MATCH(G214,Config!$J$5:$J$16,0)),""))</f>
        <v>20</v>
      </c>
      <c r="T214" s="31">
        <f>IF(OR(G214="",F214=""),"",IFERROR(INDEX(Config!$M$5:$R$16,MATCH(G214,Config!$J$5:$J$16,0),MATCH(F214,Config!$H$5:$H$10,0)),""))</f>
        <v>0</v>
      </c>
      <c r="U214" s="47">
        <f>IF(AND(H214="Realizado",L214&lt;&gt;""),L214/60,0)</f>
        <v>0.333333333333333</v>
      </c>
      <c r="V214" s="47">
        <f>IF(AND(H214="Realizado",OR(L214="",M214="")),1,0)</f>
        <v>0</v>
      </c>
    </row>
    <row r="215">
      <c r="A215" s="43" t="n">
        <v>46196</v>
      </c>
      <c r="B215" s="44" t="n">
        <v>0.3680555555555556</v>
      </c>
      <c r="C215" s="38" t="inlineStr">
        <is>
          <t>Dra. Carolina Mendes</t>
        </is>
      </c>
      <c r="D215" s="38" t="inlineStr">
        <is>
          <t>Sala 1</t>
        </is>
      </c>
      <c r="E215" s="37" t="inlineStr">
        <is>
          <t>Camila Batista</t>
        </is>
      </c>
      <c r="F215" s="38" t="inlineStr">
        <is>
          <t>MediPlan</t>
        </is>
      </c>
      <c r="G215" s="38" t="inlineStr">
        <is>
          <t>Consulta</t>
        </is>
      </c>
      <c r="H215" s="38" t="inlineStr">
        <is>
          <t>Realizado</t>
        </is>
      </c>
      <c r="I215" s="38" t="inlineStr">
        <is>
          <t>Convênio</t>
        </is>
      </c>
      <c r="J215" s="38" t="n"/>
      <c r="K215" s="37" t="n"/>
      <c r="L215" s="39" t="n">
        <v>30</v>
      </c>
      <c r="M215" s="40" t="n">
        <v>100</v>
      </c>
      <c r="N215" s="30">
        <f>IF(A215="","",MONTH(A215))</f>
        <v>6</v>
      </c>
      <c r="O215" s="30">
        <f>IF(A215="","",YEAR(A215))</f>
        <v>2026</v>
      </c>
      <c r="P215" s="30" t="str">
        <f>IF(A215="","",CHOOSE(WEEKDAY(A215,2),"Segunda","Terça","Quarta","Quinta","Sexta","Sábado","Domingo"))</f>
        <v>Terça</v>
      </c>
      <c r="Q215" s="30" t="str">
        <f>IF(B215="","",IF(B215&lt;TIME(12,0,0),"Manhã",IF(B215&lt;TIME(18,0,0),"Tarde","Noite")))</f>
        <v>Manhã</v>
      </c>
      <c r="R215" s="46">
        <f>IF(AND(H215="Realizado",L215&lt;&gt;"",A215&lt;=Config!$B$9),L215/60,0)</f>
        <v>0.5</v>
      </c>
      <c r="S215" s="45">
        <f>IF(G215="","",IFERROR(INDEX(Config!$K$5:$K$16,MATCH(G215,Config!$J$5:$J$16,0)),""))</f>
        <v>30</v>
      </c>
      <c r="T215" s="31">
        <f>IF(OR(G215="",F215=""),"",IFERROR(INDEX(Config!$M$5:$R$16,MATCH(G215,Config!$J$5:$J$16,0),MATCH(F215,Config!$H$5:$H$10,0)),""))</f>
        <v>100</v>
      </c>
      <c r="U215" s="47">
        <f>IF(AND(H215="Realizado",L215&lt;&gt;""),L215/60,0)</f>
        <v>0.5</v>
      </c>
      <c r="V215" s="47">
        <f>IF(AND(H215="Realizado",OR(L215="",M215="")),1,0)</f>
        <v>0</v>
      </c>
    </row>
    <row r="216">
      <c r="A216" s="43" t="n">
        <v>46196</v>
      </c>
      <c r="B216" s="44" t="n">
        <v>0.4097222222222222</v>
      </c>
      <c r="C216" s="38" t="inlineStr">
        <is>
          <t>Dra. Carolina Mendes</t>
        </is>
      </c>
      <c r="D216" s="38" t="inlineStr">
        <is>
          <t>Sala 1</t>
        </is>
      </c>
      <c r="E216" s="37" t="inlineStr">
        <is>
          <t>Priscila Carvalho</t>
        </is>
      </c>
      <c r="F216" s="38" t="inlineStr">
        <is>
          <t>Vida Care</t>
        </is>
      </c>
      <c r="G216" s="38" t="inlineStr">
        <is>
          <t>Consulta</t>
        </is>
      </c>
      <c r="H216" s="38" t="inlineStr">
        <is>
          <t>Realizado</t>
        </is>
      </c>
      <c r="I216" s="38" t="inlineStr">
        <is>
          <t>Convênio</t>
        </is>
      </c>
      <c r="J216" s="38" t="n"/>
      <c r="K216" s="37" t="n"/>
      <c r="L216" s="39" t="n">
        <v>30</v>
      </c>
      <c r="M216" s="40" t="n">
        <v>90</v>
      </c>
      <c r="N216" s="30">
        <f>IF(A216="","",MONTH(A216))</f>
        <v>6</v>
      </c>
      <c r="O216" s="30">
        <f>IF(A216="","",YEAR(A216))</f>
        <v>2026</v>
      </c>
      <c r="P216" s="30" t="str">
        <f>IF(A216="","",CHOOSE(WEEKDAY(A216,2),"Segunda","Terça","Quarta","Quinta","Sexta","Sábado","Domingo"))</f>
        <v>Terça</v>
      </c>
      <c r="Q216" s="30" t="str">
        <f>IF(B216="","",IF(B216&lt;TIME(12,0,0),"Manhã",IF(B216&lt;TIME(18,0,0),"Tarde","Noite")))</f>
        <v>Manhã</v>
      </c>
      <c r="R216" s="46">
        <f>IF(AND(H216="Realizado",L216&lt;&gt;"",A216&lt;=Config!$B$9),L216/60,0)</f>
        <v>0.5</v>
      </c>
      <c r="S216" s="45">
        <f>IF(G216="","",IFERROR(INDEX(Config!$K$5:$K$16,MATCH(G216,Config!$J$5:$J$16,0)),""))</f>
        <v>30</v>
      </c>
      <c r="T216" s="31">
        <f>IF(OR(G216="",F216=""),"",IFERROR(INDEX(Config!$M$5:$R$16,MATCH(G216,Config!$J$5:$J$16,0),MATCH(F216,Config!$H$5:$H$10,0)),""))</f>
        <v>90</v>
      </c>
      <c r="U216" s="47">
        <f>IF(AND(H216="Realizado",L216&lt;&gt;""),L216/60,0)</f>
        <v>0.5</v>
      </c>
      <c r="V216" s="47">
        <f>IF(AND(H216="Realizado",OR(L216="",M216="")),1,0)</f>
        <v>0</v>
      </c>
    </row>
    <row r="217">
      <c r="A217" s="43" t="n">
        <v>46196</v>
      </c>
      <c r="B217" s="44" t="n">
        <v>0.4305555555555556</v>
      </c>
      <c r="C217" s="38" t="inlineStr">
        <is>
          <t>Dra. Carolina Mendes</t>
        </is>
      </c>
      <c r="D217" s="38" t="inlineStr">
        <is>
          <t>Sala 1</t>
        </is>
      </c>
      <c r="E217" s="37" t="inlineStr">
        <is>
          <t>Wagner Santos</t>
        </is>
      </c>
      <c r="F217" s="38" t="inlineStr">
        <is>
          <t>Particular</t>
        </is>
      </c>
      <c r="G217" s="38" t="inlineStr">
        <is>
          <t>Consulta</t>
        </is>
      </c>
      <c r="H217" s="38" t="inlineStr">
        <is>
          <t>Realizado</t>
        </is>
      </c>
      <c r="I217" s="38" t="inlineStr">
        <is>
          <t>Cartão de crédito</t>
        </is>
      </c>
      <c r="J217" s="38" t="n">
        <v>2</v>
      </c>
      <c r="K217" s="37" t="n"/>
      <c r="L217" s="39" t="n">
        <v>30</v>
      </c>
      <c r="M217" s="40" t="n">
        <v>380</v>
      </c>
      <c r="N217" s="30">
        <f>IF(A217="","",MONTH(A217))</f>
        <v>6</v>
      </c>
      <c r="O217" s="30">
        <f>IF(A217="","",YEAR(A217))</f>
        <v>2026</v>
      </c>
      <c r="P217" s="30" t="str">
        <f>IF(A217="","",CHOOSE(WEEKDAY(A217,2),"Segunda","Terça","Quarta","Quinta","Sexta","Sábado","Domingo"))</f>
        <v>Terça</v>
      </c>
      <c r="Q217" s="30" t="str">
        <f>IF(B217="","",IF(B217&lt;TIME(12,0,0),"Manhã",IF(B217&lt;TIME(18,0,0),"Tarde","Noite")))</f>
        <v>Manhã</v>
      </c>
      <c r="R217" s="46">
        <f>IF(AND(H217="Realizado",L217&lt;&gt;"",A217&lt;=Config!$B$9),L217/60,0)</f>
        <v>0.5</v>
      </c>
      <c r="S217" s="45">
        <f>IF(G217="","",IFERROR(INDEX(Config!$K$5:$K$16,MATCH(G217,Config!$J$5:$J$16,0)),""))</f>
        <v>30</v>
      </c>
      <c r="T217" s="31">
        <f>IF(OR(G217="",F217=""),"",IFERROR(INDEX(Config!$M$5:$R$16,MATCH(G217,Config!$J$5:$J$16,0),MATCH(F217,Config!$H$5:$H$10,0)),""))</f>
        <v>380</v>
      </c>
      <c r="U217" s="47">
        <f>IF(AND(H217="Realizado",L217&lt;&gt;""),L217/60,0)</f>
        <v>0.5</v>
      </c>
      <c r="V217" s="47">
        <f>IF(AND(H217="Realizado",OR(L217="",M217="")),1,0)</f>
        <v>0</v>
      </c>
    </row>
    <row r="218">
      <c r="A218" s="43" t="n">
        <v>46196</v>
      </c>
      <c r="B218" s="44" t="n">
        <v>0.4513888888888889</v>
      </c>
      <c r="C218" s="38" t="inlineStr">
        <is>
          <t>Dra. Carolina Mendes</t>
        </is>
      </c>
      <c r="D218" s="38" t="inlineStr">
        <is>
          <t>Sala 1</t>
        </is>
      </c>
      <c r="E218" s="37" t="inlineStr">
        <is>
          <t>Ricardo Melo</t>
        </is>
      </c>
      <c r="F218" s="38" t="inlineStr">
        <is>
          <t>Saúde Total</t>
        </is>
      </c>
      <c r="G218" s="38" t="inlineStr">
        <is>
          <t>Consulta</t>
        </is>
      </c>
      <c r="H218" s="38" t="inlineStr">
        <is>
          <t>Cancelado</t>
        </is>
      </c>
      <c r="I218" s="38" t="n"/>
      <c r="J218" s="38" t="n"/>
      <c r="K218" s="37" t="n"/>
      <c r="L218" s="39" t="n">
        <v>30</v>
      </c>
      <c r="M218" s="40" t="n">
        <v>120</v>
      </c>
      <c r="N218" s="30">
        <f>IF(A218="","",MONTH(A218))</f>
        <v>6</v>
      </c>
      <c r="O218" s="30">
        <f>IF(A218="","",YEAR(A218))</f>
        <v>2026</v>
      </c>
      <c r="P218" s="30" t="str">
        <f>IF(A218="","",CHOOSE(WEEKDAY(A218,2),"Segunda","Terça","Quarta","Quinta","Sexta","Sábado","Domingo"))</f>
        <v>Terça</v>
      </c>
      <c r="Q218" s="30" t="str">
        <f>IF(B218="","",IF(B218&lt;TIME(12,0,0),"Manhã",IF(B218&lt;TIME(18,0,0),"Tarde","Noite")))</f>
        <v>Manhã</v>
      </c>
      <c r="R218" s="46">
        <f>IF(AND(H218="Realizado",L218&lt;&gt;"",A218&lt;=Config!$B$9),L218/60,0)</f>
        <v>0</v>
      </c>
      <c r="S218" s="45">
        <f>IF(G218="","",IFERROR(INDEX(Config!$K$5:$K$16,MATCH(G218,Config!$J$5:$J$16,0)),""))</f>
        <v>30</v>
      </c>
      <c r="T218" s="31">
        <f>IF(OR(G218="",F218=""),"",IFERROR(INDEX(Config!$M$5:$R$16,MATCH(G218,Config!$J$5:$J$16,0),MATCH(F218,Config!$H$5:$H$10,0)),""))</f>
        <v>120</v>
      </c>
      <c r="U218" s="47">
        <f>IF(AND(H218="Realizado",L218&lt;&gt;""),L218/60,0)</f>
        <v>0</v>
      </c>
      <c r="V218" s="47">
        <f>IF(AND(H218="Realizado",OR(L218="",M218="")),1,0)</f>
        <v>0</v>
      </c>
    </row>
    <row r="219">
      <c r="A219" s="43" t="n">
        <v>46196</v>
      </c>
      <c r="B219" s="44" t="n">
        <v>0.4722222222222222</v>
      </c>
      <c r="C219" s="38" t="inlineStr">
        <is>
          <t>Dra. Carolina Mendes</t>
        </is>
      </c>
      <c r="D219" s="38" t="inlineStr">
        <is>
          <t>Sala 1</t>
        </is>
      </c>
      <c r="E219" s="37" t="inlineStr">
        <is>
          <t>Ricardo Melo</t>
        </is>
      </c>
      <c r="F219" s="38" t="inlineStr">
        <is>
          <t>Saúde Total</t>
        </is>
      </c>
      <c r="G219" s="38" t="inlineStr">
        <is>
          <t>Consulta</t>
        </is>
      </c>
      <c r="H219" s="38" t="inlineStr">
        <is>
          <t>Realizado</t>
        </is>
      </c>
      <c r="I219" s="38" t="inlineStr">
        <is>
          <t>Convênio</t>
        </is>
      </c>
      <c r="J219" s="38" t="n"/>
      <c r="K219" s="37" t="n"/>
      <c r="L219" s="39" t="n">
        <v>30</v>
      </c>
      <c r="M219" s="40" t="n">
        <v>120</v>
      </c>
      <c r="N219" s="30">
        <f>IF(A219="","",MONTH(A219))</f>
        <v>6</v>
      </c>
      <c r="O219" s="30">
        <f>IF(A219="","",YEAR(A219))</f>
        <v>2026</v>
      </c>
      <c r="P219" s="30" t="str">
        <f>IF(A219="","",CHOOSE(WEEKDAY(A219,2),"Segunda","Terça","Quarta","Quinta","Sexta","Sábado","Domingo"))</f>
        <v>Terça</v>
      </c>
      <c r="Q219" s="30" t="str">
        <f>IF(B219="","",IF(B219&lt;TIME(12,0,0),"Manhã",IF(B219&lt;TIME(18,0,0),"Tarde","Noite")))</f>
        <v>Manhã</v>
      </c>
      <c r="R219" s="46">
        <f>IF(AND(H219="Realizado",L219&lt;&gt;"",A219&lt;=Config!$B$9),L219/60,0)</f>
        <v>0.5</v>
      </c>
      <c r="S219" s="45">
        <f>IF(G219="","",IFERROR(INDEX(Config!$K$5:$K$16,MATCH(G219,Config!$J$5:$J$16,0)),""))</f>
        <v>30</v>
      </c>
      <c r="T219" s="31">
        <f>IF(OR(G219="",F219=""),"",IFERROR(INDEX(Config!$M$5:$R$16,MATCH(G219,Config!$J$5:$J$16,0),MATCH(F219,Config!$H$5:$H$10,0)),""))</f>
        <v>120</v>
      </c>
      <c r="U219" s="47">
        <f>IF(AND(H219="Realizado",L219&lt;&gt;""),L219/60,0)</f>
        <v>0.5</v>
      </c>
      <c r="V219" s="47">
        <f>IF(AND(H219="Realizado",OR(L219="",M219="")),1,0)</f>
        <v>0</v>
      </c>
    </row>
    <row r="220">
      <c r="A220" s="43" t="n">
        <v>46196</v>
      </c>
      <c r="B220" s="44" t="n">
        <v>0.5833333333333334</v>
      </c>
      <c r="C220" s="38" t="inlineStr">
        <is>
          <t>Dra. Renata Sousa</t>
        </is>
      </c>
      <c r="D220" s="38" t="inlineStr">
        <is>
          <t>Sala 1</t>
        </is>
      </c>
      <c r="E220" s="37" t="inlineStr">
        <is>
          <t>Gabriel Reis</t>
        </is>
      </c>
      <c r="F220" s="38" t="inlineStr">
        <is>
          <t>Particular</t>
        </is>
      </c>
      <c r="G220" s="38" t="inlineStr">
        <is>
          <t>Avaliação endócrina</t>
        </is>
      </c>
      <c r="H220" s="38" t="inlineStr">
        <is>
          <t>Realizado</t>
        </is>
      </c>
      <c r="I220" s="38" t="inlineStr">
        <is>
          <t>Cartão de crédito</t>
        </is>
      </c>
      <c r="J220" s="38" t="n">
        <v>2</v>
      </c>
      <c r="K220" s="37" t="n"/>
      <c r="L220" s="39" t="n">
        <v>40</v>
      </c>
      <c r="M220" s="40" t="n">
        <v>400</v>
      </c>
      <c r="N220" s="30">
        <f>IF(A220="","",MONTH(A220))</f>
        <v>6</v>
      </c>
      <c r="O220" s="30">
        <f>IF(A220="","",YEAR(A220))</f>
        <v>2026</v>
      </c>
      <c r="P220" s="30" t="str">
        <f>IF(A220="","",CHOOSE(WEEKDAY(A220,2),"Segunda","Terça","Quarta","Quinta","Sexta","Sábado","Domingo"))</f>
        <v>Terça</v>
      </c>
      <c r="Q220" s="30" t="str">
        <f>IF(B220="","",IF(B220&lt;TIME(12,0,0),"Manhã",IF(B220&lt;TIME(18,0,0),"Tarde","Noite")))</f>
        <v>Tarde</v>
      </c>
      <c r="R220" s="46">
        <f>IF(AND(H220="Realizado",L220&lt;&gt;"",A220&lt;=Config!$B$9),L220/60,0)</f>
        <v>0.666666666666667</v>
      </c>
      <c r="S220" s="45">
        <f>IF(G220="","",IFERROR(INDEX(Config!$K$5:$K$16,MATCH(G220,Config!$J$5:$J$16,0)),""))</f>
        <v>40</v>
      </c>
      <c r="T220" s="31">
        <f>IF(OR(G220="",F220=""),"",IFERROR(INDEX(Config!$M$5:$R$16,MATCH(G220,Config!$J$5:$J$16,0),MATCH(F220,Config!$H$5:$H$10,0)),""))</f>
        <v>400</v>
      </c>
      <c r="U220" s="47">
        <f>IF(AND(H220="Realizado",L220&lt;&gt;""),L220/60,0)</f>
        <v>0.666666666666667</v>
      </c>
      <c r="V220" s="47">
        <f>IF(AND(H220="Realizado",OR(L220="",M220="")),1,0)</f>
        <v>0</v>
      </c>
    </row>
    <row r="221">
      <c r="A221" s="43" t="n">
        <v>46196</v>
      </c>
      <c r="B221" s="44" t="n">
        <v>0.5833333333333334</v>
      </c>
      <c r="C221" s="38" t="inlineStr">
        <is>
          <t>Dr. Paulo Andrade</t>
        </is>
      </c>
      <c r="D221" s="38" t="inlineStr">
        <is>
          <t>Sala 2</t>
        </is>
      </c>
      <c r="E221" s="37" t="inlineStr">
        <is>
          <t>Sandra Barros</t>
        </is>
      </c>
      <c r="F221" s="38" t="inlineStr">
        <is>
          <t>Saúde Total</t>
        </is>
      </c>
      <c r="G221" s="38" t="inlineStr">
        <is>
          <t>ECG</t>
        </is>
      </c>
      <c r="H221" s="38" t="inlineStr">
        <is>
          <t>Realizado</t>
        </is>
      </c>
      <c r="I221" s="38" t="inlineStr">
        <is>
          <t>Convênio</t>
        </is>
      </c>
      <c r="J221" s="38" t="n"/>
      <c r="K221" s="37" t="n"/>
      <c r="L221" s="39" t="n">
        <v>20</v>
      </c>
      <c r="M221" s="40" t="n">
        <v>40</v>
      </c>
      <c r="N221" s="30">
        <f>IF(A221="","",MONTH(A221))</f>
        <v>6</v>
      </c>
      <c r="O221" s="30">
        <f>IF(A221="","",YEAR(A221))</f>
        <v>2026</v>
      </c>
      <c r="P221" s="30" t="str">
        <f>IF(A221="","",CHOOSE(WEEKDAY(A221,2),"Segunda","Terça","Quarta","Quinta","Sexta","Sábado","Domingo"))</f>
        <v>Terça</v>
      </c>
      <c r="Q221" s="30" t="str">
        <f>IF(B221="","",IF(B221&lt;TIME(12,0,0),"Manhã",IF(B221&lt;TIME(18,0,0),"Tarde","Noite")))</f>
        <v>Tarde</v>
      </c>
      <c r="R221" s="46">
        <f>IF(AND(H221="Realizado",L221&lt;&gt;"",A221&lt;=Config!$B$9),L221/60,0)</f>
        <v>0.333333333333333</v>
      </c>
      <c r="S221" s="45">
        <f>IF(G221="","",IFERROR(INDEX(Config!$K$5:$K$16,MATCH(G221,Config!$J$5:$J$16,0)),""))</f>
        <v>20</v>
      </c>
      <c r="T221" s="31">
        <f>IF(OR(G221="",F221=""),"",IFERROR(INDEX(Config!$M$5:$R$16,MATCH(G221,Config!$J$5:$J$16,0),MATCH(F221,Config!$H$5:$H$10,0)),""))</f>
        <v>40</v>
      </c>
      <c r="U221" s="47">
        <f>IF(AND(H221="Realizado",L221&lt;&gt;""),L221/60,0)</f>
        <v>0.333333333333333</v>
      </c>
      <c r="V221" s="47">
        <f>IF(AND(H221="Realizado",OR(L221="",M221="")),1,0)</f>
        <v>0</v>
      </c>
    </row>
    <row r="222">
      <c r="A222" s="43" t="n">
        <v>46196</v>
      </c>
      <c r="B222" s="44" t="n">
        <v>0.5972222222222222</v>
      </c>
      <c r="C222" s="38" t="inlineStr">
        <is>
          <t>Dr. Paulo Andrade</t>
        </is>
      </c>
      <c r="D222" s="38" t="inlineStr">
        <is>
          <t>Sala 2</t>
        </is>
      </c>
      <c r="E222" s="37" t="inlineStr">
        <is>
          <t>Mateus Dias</t>
        </is>
      </c>
      <c r="F222" s="38" t="inlineStr">
        <is>
          <t>Saúde Total</t>
        </is>
      </c>
      <c r="G222" s="38" t="inlineStr">
        <is>
          <t>ECG</t>
        </is>
      </c>
      <c r="H222" s="38" t="inlineStr">
        <is>
          <t>Realizado</t>
        </is>
      </c>
      <c r="I222" s="38" t="inlineStr">
        <is>
          <t>Convênio</t>
        </is>
      </c>
      <c r="J222" s="38" t="n"/>
      <c r="K222" s="37" t="n"/>
      <c r="L222" s="39" t="n">
        <v>20</v>
      </c>
      <c r="M222" s="40" t="n">
        <v>40</v>
      </c>
      <c r="N222" s="30">
        <f>IF(A222="","",MONTH(A222))</f>
        <v>6</v>
      </c>
      <c r="O222" s="30">
        <f>IF(A222="","",YEAR(A222))</f>
        <v>2026</v>
      </c>
      <c r="P222" s="30" t="str">
        <f>IF(A222="","",CHOOSE(WEEKDAY(A222,2),"Segunda","Terça","Quarta","Quinta","Sexta","Sábado","Domingo"))</f>
        <v>Terça</v>
      </c>
      <c r="Q222" s="30" t="str">
        <f>IF(B222="","",IF(B222&lt;TIME(12,0,0),"Manhã",IF(B222&lt;TIME(18,0,0),"Tarde","Noite")))</f>
        <v>Tarde</v>
      </c>
      <c r="R222" s="46">
        <f>IF(AND(H222="Realizado",L222&lt;&gt;"",A222&lt;=Config!$B$9),L222/60,0)</f>
        <v>0.333333333333333</v>
      </c>
      <c r="S222" s="45">
        <f>IF(G222="","",IFERROR(INDEX(Config!$K$5:$K$16,MATCH(G222,Config!$J$5:$J$16,0)),""))</f>
        <v>20</v>
      </c>
      <c r="T222" s="31">
        <f>IF(OR(G222="",F222=""),"",IFERROR(INDEX(Config!$M$5:$R$16,MATCH(G222,Config!$J$5:$J$16,0),MATCH(F222,Config!$H$5:$H$10,0)),""))</f>
        <v>40</v>
      </c>
      <c r="U222" s="47">
        <f>IF(AND(H222="Realizado",L222&lt;&gt;""),L222/60,0)</f>
        <v>0.333333333333333</v>
      </c>
      <c r="V222" s="47">
        <f>IF(AND(H222="Realizado",OR(L222="",M222="")),1,0)</f>
        <v>0</v>
      </c>
    </row>
    <row r="223">
      <c r="A223" s="43" t="n">
        <v>46196</v>
      </c>
      <c r="B223" s="44" t="n">
        <v>0.6111111111111112</v>
      </c>
      <c r="C223" s="38" t="inlineStr">
        <is>
          <t>Dra. Renata Sousa</t>
        </is>
      </c>
      <c r="D223" s="38" t="inlineStr">
        <is>
          <t>Sala 1</t>
        </is>
      </c>
      <c r="E223" s="37" t="inlineStr">
        <is>
          <t>Mariana Gomes</t>
        </is>
      </c>
      <c r="F223" s="38" t="inlineStr">
        <is>
          <t>Particular</t>
        </is>
      </c>
      <c r="G223" s="38" t="inlineStr">
        <is>
          <t>Retorno</t>
        </is>
      </c>
      <c r="H223" s="38" t="inlineStr">
        <is>
          <t>Realizado</t>
        </is>
      </c>
      <c r="I223" s="38" t="inlineStr">
        <is>
          <t>Sem cobrança</t>
        </is>
      </c>
      <c r="J223" s="38" t="n"/>
      <c r="K223" s="37" t="n"/>
      <c r="L223" s="39" t="n">
        <v>20</v>
      </c>
      <c r="M223" s="40" t="n">
        <v>0</v>
      </c>
      <c r="N223" s="30">
        <f>IF(A223="","",MONTH(A223))</f>
        <v>6</v>
      </c>
      <c r="O223" s="30">
        <f>IF(A223="","",YEAR(A223))</f>
        <v>2026</v>
      </c>
      <c r="P223" s="30" t="str">
        <f>IF(A223="","",CHOOSE(WEEKDAY(A223,2),"Segunda","Terça","Quarta","Quinta","Sexta","Sábado","Domingo"))</f>
        <v>Terça</v>
      </c>
      <c r="Q223" s="30" t="str">
        <f>IF(B223="","",IF(B223&lt;TIME(12,0,0),"Manhã",IF(B223&lt;TIME(18,0,0),"Tarde","Noite")))</f>
        <v>Tarde</v>
      </c>
      <c r="R223" s="46">
        <f>IF(AND(H223="Realizado",L223&lt;&gt;"",A223&lt;=Config!$B$9),L223/60,0)</f>
        <v>0.333333333333333</v>
      </c>
      <c r="S223" s="45">
        <f>IF(G223="","",IFERROR(INDEX(Config!$K$5:$K$16,MATCH(G223,Config!$J$5:$J$16,0)),""))</f>
        <v>20</v>
      </c>
      <c r="T223" s="31">
        <f>IF(OR(G223="",F223=""),"",IFERROR(INDEX(Config!$M$5:$R$16,MATCH(G223,Config!$J$5:$J$16,0),MATCH(F223,Config!$H$5:$H$10,0)),""))</f>
        <v>0</v>
      </c>
      <c r="U223" s="47">
        <f>IF(AND(H223="Realizado",L223&lt;&gt;""),L223/60,0)</f>
        <v>0.333333333333333</v>
      </c>
      <c r="V223" s="47">
        <f>IF(AND(H223="Realizado",OR(L223="",M223="")),1,0)</f>
        <v>0</v>
      </c>
    </row>
    <row r="224">
      <c r="A224" s="43" t="n">
        <v>46196</v>
      </c>
      <c r="B224" s="44" t="n">
        <v>0.6111111111111112</v>
      </c>
      <c r="C224" s="38" t="inlineStr">
        <is>
          <t>Dr. Paulo Andrade</t>
        </is>
      </c>
      <c r="D224" s="38" t="inlineStr">
        <is>
          <t>Sala 2</t>
        </is>
      </c>
      <c r="E224" s="37" t="inlineStr">
        <is>
          <t>Mônica Teixeira</t>
        </is>
      </c>
      <c r="F224" s="38" t="inlineStr">
        <is>
          <t>Vida Care</t>
        </is>
      </c>
      <c r="G224" s="38" t="inlineStr">
        <is>
          <t>Teste ergométrico</t>
        </is>
      </c>
      <c r="H224" s="38" t="inlineStr">
        <is>
          <t>Realizado</t>
        </is>
      </c>
      <c r="I224" s="38" t="inlineStr">
        <is>
          <t>Convênio</t>
        </is>
      </c>
      <c r="J224" s="38" t="n"/>
      <c r="K224" s="37" t="n"/>
      <c r="L224" s="39" t="n">
        <v>40</v>
      </c>
      <c r="M224" s="40" t="n">
        <v>110</v>
      </c>
      <c r="N224" s="30">
        <f>IF(A224="","",MONTH(A224))</f>
        <v>6</v>
      </c>
      <c r="O224" s="30">
        <f>IF(A224="","",YEAR(A224))</f>
        <v>2026</v>
      </c>
      <c r="P224" s="30" t="str">
        <f>IF(A224="","",CHOOSE(WEEKDAY(A224,2),"Segunda","Terça","Quarta","Quinta","Sexta","Sábado","Domingo"))</f>
        <v>Terça</v>
      </c>
      <c r="Q224" s="30" t="str">
        <f>IF(B224="","",IF(B224&lt;TIME(12,0,0),"Manhã",IF(B224&lt;TIME(18,0,0),"Tarde","Noite")))</f>
        <v>Tarde</v>
      </c>
      <c r="R224" s="46">
        <f>IF(AND(H224="Realizado",L224&lt;&gt;"",A224&lt;=Config!$B$9),L224/60,0)</f>
        <v>0.666666666666667</v>
      </c>
      <c r="S224" s="45">
        <f>IF(G224="","",IFERROR(INDEX(Config!$K$5:$K$16,MATCH(G224,Config!$J$5:$J$16,0)),""))</f>
        <v>40</v>
      </c>
      <c r="T224" s="31">
        <f>IF(OR(G224="",F224=""),"",IFERROR(INDEX(Config!$M$5:$R$16,MATCH(G224,Config!$J$5:$J$16,0),MATCH(F224,Config!$H$5:$H$10,0)),""))</f>
        <v>110</v>
      </c>
      <c r="U224" s="47">
        <f>IF(AND(H224="Realizado",L224&lt;&gt;""),L224/60,0)</f>
        <v>0.666666666666667</v>
      </c>
      <c r="V224" s="47">
        <f>IF(AND(H224="Realizado",OR(L224="",M224="")),1,0)</f>
        <v>0</v>
      </c>
    </row>
    <row r="225">
      <c r="A225" s="43" t="n">
        <v>46196</v>
      </c>
      <c r="B225" s="44" t="n">
        <v>0.625</v>
      </c>
      <c r="C225" s="38" t="inlineStr">
        <is>
          <t>Dra. Renata Sousa</t>
        </is>
      </c>
      <c r="D225" s="38" t="inlineStr">
        <is>
          <t>Sala 1</t>
        </is>
      </c>
      <c r="E225" s="37" t="inlineStr">
        <is>
          <t>Mariana Reis</t>
        </is>
      </c>
      <c r="F225" s="38" t="inlineStr">
        <is>
          <t>Particular</t>
        </is>
      </c>
      <c r="G225" s="38" t="inlineStr">
        <is>
          <t>Avaliação endócrina</t>
        </is>
      </c>
      <c r="H225" s="38" t="inlineStr">
        <is>
          <t>Realizado</t>
        </is>
      </c>
      <c r="I225" s="38" t="inlineStr">
        <is>
          <t>A prazo</t>
        </is>
      </c>
      <c r="J225" s="38" t="n"/>
      <c r="K225" s="37" t="n"/>
      <c r="L225" s="39" t="n">
        <v>40</v>
      </c>
      <c r="M225" s="40" t="n">
        <v>400</v>
      </c>
      <c r="N225" s="30">
        <f>IF(A225="","",MONTH(A225))</f>
        <v>6</v>
      </c>
      <c r="O225" s="30">
        <f>IF(A225="","",YEAR(A225))</f>
        <v>2026</v>
      </c>
      <c r="P225" s="30" t="str">
        <f>IF(A225="","",CHOOSE(WEEKDAY(A225,2),"Segunda","Terça","Quarta","Quinta","Sexta","Sábado","Domingo"))</f>
        <v>Terça</v>
      </c>
      <c r="Q225" s="30" t="str">
        <f>IF(B225="","",IF(B225&lt;TIME(12,0,0),"Manhã",IF(B225&lt;TIME(18,0,0),"Tarde","Noite")))</f>
        <v>Tarde</v>
      </c>
      <c r="R225" s="46">
        <f>IF(AND(H225="Realizado",L225&lt;&gt;"",A225&lt;=Config!$B$9),L225/60,0)</f>
        <v>0.666666666666667</v>
      </c>
      <c r="S225" s="45">
        <f>IF(G225="","",IFERROR(INDEX(Config!$K$5:$K$16,MATCH(G225,Config!$J$5:$J$16,0)),""))</f>
        <v>40</v>
      </c>
      <c r="T225" s="31">
        <f>IF(OR(G225="",F225=""),"",IFERROR(INDEX(Config!$M$5:$R$16,MATCH(G225,Config!$J$5:$J$16,0),MATCH(F225,Config!$H$5:$H$10,0)),""))</f>
        <v>400</v>
      </c>
      <c r="U225" s="47">
        <f>IF(AND(H225="Realizado",L225&lt;&gt;""),L225/60,0)</f>
        <v>0.666666666666667</v>
      </c>
      <c r="V225" s="47">
        <f>IF(AND(H225="Realizado",OR(L225="",M225="")),1,0)</f>
        <v>0</v>
      </c>
    </row>
    <row r="226">
      <c r="A226" s="43" t="n">
        <v>46196</v>
      </c>
      <c r="B226" s="44" t="n">
        <v>0.6388888888888888</v>
      </c>
      <c r="C226" s="38" t="inlineStr">
        <is>
          <t>Dr. Paulo Andrade</t>
        </is>
      </c>
      <c r="D226" s="38" t="inlineStr">
        <is>
          <t>Sala 2</t>
        </is>
      </c>
      <c r="E226" s="37" t="inlineStr">
        <is>
          <t>Eduardo Lima</t>
        </is>
      </c>
      <c r="F226" s="38" t="inlineStr">
        <is>
          <t>Particular</t>
        </is>
      </c>
      <c r="G226" s="38" t="inlineStr">
        <is>
          <t>Teste ergométrico</t>
        </is>
      </c>
      <c r="H226" s="38" t="inlineStr">
        <is>
          <t>Realizado</t>
        </is>
      </c>
      <c r="I226" s="38" t="inlineStr">
        <is>
          <t>Pix</t>
        </is>
      </c>
      <c r="J226" s="38" t="n"/>
      <c r="K226" s="37" t="n"/>
      <c r="L226" s="39" t="n">
        <v>40</v>
      </c>
      <c r="M226" s="40" t="n">
        <v>450</v>
      </c>
      <c r="N226" s="30">
        <f>IF(A226="","",MONTH(A226))</f>
        <v>6</v>
      </c>
      <c r="O226" s="30">
        <f>IF(A226="","",YEAR(A226))</f>
        <v>2026</v>
      </c>
      <c r="P226" s="30" t="str">
        <f>IF(A226="","",CHOOSE(WEEKDAY(A226,2),"Segunda","Terça","Quarta","Quinta","Sexta","Sábado","Domingo"))</f>
        <v>Terça</v>
      </c>
      <c r="Q226" s="30" t="str">
        <f>IF(B226="","",IF(B226&lt;TIME(12,0,0),"Manhã",IF(B226&lt;TIME(18,0,0),"Tarde","Noite")))</f>
        <v>Tarde</v>
      </c>
      <c r="R226" s="46">
        <f>IF(AND(H226="Realizado",L226&lt;&gt;"",A226&lt;=Config!$B$9),L226/60,0)</f>
        <v>0.666666666666667</v>
      </c>
      <c r="S226" s="45">
        <f>IF(G226="","",IFERROR(INDEX(Config!$K$5:$K$16,MATCH(G226,Config!$J$5:$J$16,0)),""))</f>
        <v>40</v>
      </c>
      <c r="T226" s="31">
        <f>IF(OR(G226="",F226=""),"",IFERROR(INDEX(Config!$M$5:$R$16,MATCH(G226,Config!$J$5:$J$16,0),MATCH(F226,Config!$H$5:$H$10,0)),""))</f>
        <v>450</v>
      </c>
      <c r="U226" s="47">
        <f>IF(AND(H226="Realizado",L226&lt;&gt;""),L226/60,0)</f>
        <v>0.666666666666667</v>
      </c>
      <c r="V226" s="47">
        <f>IF(AND(H226="Realizado",OR(L226="",M226="")),1,0)</f>
        <v>0</v>
      </c>
    </row>
    <row r="227">
      <c r="A227" s="43" t="n">
        <v>46196</v>
      </c>
      <c r="B227" s="44" t="n">
        <v>0.6527777777777778</v>
      </c>
      <c r="C227" s="38" t="inlineStr">
        <is>
          <t>Dra. Renata Sousa</t>
        </is>
      </c>
      <c r="D227" s="38" t="inlineStr">
        <is>
          <t>Sala 1</t>
        </is>
      </c>
      <c r="E227" s="37" t="inlineStr">
        <is>
          <t>Rafael Pereira</t>
        </is>
      </c>
      <c r="F227" s="38" t="inlineStr">
        <is>
          <t>Particular</t>
        </is>
      </c>
      <c r="G227" s="38" t="inlineStr">
        <is>
          <t>Avaliação endócrina</t>
        </is>
      </c>
      <c r="H227" s="38" t="inlineStr">
        <is>
          <t>Falta</t>
        </is>
      </c>
      <c r="I227" s="38" t="n"/>
      <c r="J227" s="38" t="n"/>
      <c r="K227" s="37" t="n"/>
      <c r="L227" s="39" t="n">
        <v>40</v>
      </c>
      <c r="M227" s="40" t="n">
        <v>400</v>
      </c>
      <c r="N227" s="30">
        <f>IF(A227="","",MONTH(A227))</f>
        <v>6</v>
      </c>
      <c r="O227" s="30">
        <f>IF(A227="","",YEAR(A227))</f>
        <v>2026</v>
      </c>
      <c r="P227" s="30" t="str">
        <f>IF(A227="","",CHOOSE(WEEKDAY(A227,2),"Segunda","Terça","Quarta","Quinta","Sexta","Sábado","Domingo"))</f>
        <v>Terça</v>
      </c>
      <c r="Q227" s="30" t="str">
        <f>IF(B227="","",IF(B227&lt;TIME(12,0,0),"Manhã",IF(B227&lt;TIME(18,0,0),"Tarde","Noite")))</f>
        <v>Tarde</v>
      </c>
      <c r="R227" s="46">
        <f>IF(AND(H227="Realizado",L227&lt;&gt;"",A227&lt;=Config!$B$9),L227/60,0)</f>
        <v>0</v>
      </c>
      <c r="S227" s="45">
        <f>IF(G227="","",IFERROR(INDEX(Config!$K$5:$K$16,MATCH(G227,Config!$J$5:$J$16,0)),""))</f>
        <v>40</v>
      </c>
      <c r="T227" s="31">
        <f>IF(OR(G227="",F227=""),"",IFERROR(INDEX(Config!$M$5:$R$16,MATCH(G227,Config!$J$5:$J$16,0),MATCH(F227,Config!$H$5:$H$10,0)),""))</f>
        <v>400</v>
      </c>
      <c r="U227" s="47">
        <f>IF(AND(H227="Realizado",L227&lt;&gt;""),L227/60,0)</f>
        <v>0</v>
      </c>
      <c r="V227" s="47">
        <f>IF(AND(H227="Realizado",OR(L227="",M227="")),1,0)</f>
        <v>0</v>
      </c>
    </row>
    <row r="228">
      <c r="A228" s="43" t="n">
        <v>46196</v>
      </c>
      <c r="B228" s="44" t="n">
        <v>0.6805555555555556</v>
      </c>
      <c r="C228" s="38" t="inlineStr">
        <is>
          <t>Dra. Renata Sousa</t>
        </is>
      </c>
      <c r="D228" s="38" t="inlineStr">
        <is>
          <t>Sala 1</t>
        </is>
      </c>
      <c r="E228" s="37" t="inlineStr">
        <is>
          <t>Daniel Moreira</t>
        </is>
      </c>
      <c r="F228" s="38" t="inlineStr">
        <is>
          <t>Saúde Total</t>
        </is>
      </c>
      <c r="G228" s="38" t="inlineStr">
        <is>
          <t>Avaliação endócrina</t>
        </is>
      </c>
      <c r="H228" s="38" t="inlineStr">
        <is>
          <t>Cancelado</t>
        </is>
      </c>
      <c r="I228" s="38" t="n"/>
      <c r="J228" s="38" t="n"/>
      <c r="K228" s="37" t="n"/>
      <c r="L228" s="39" t="n">
        <v>40</v>
      </c>
      <c r="M228" s="40" t="n">
        <v>130</v>
      </c>
      <c r="N228" s="30">
        <f>IF(A228="","",MONTH(A228))</f>
        <v>6</v>
      </c>
      <c r="O228" s="30">
        <f>IF(A228="","",YEAR(A228))</f>
        <v>2026</v>
      </c>
      <c r="P228" s="30" t="str">
        <f>IF(A228="","",CHOOSE(WEEKDAY(A228,2),"Segunda","Terça","Quarta","Quinta","Sexta","Sábado","Domingo"))</f>
        <v>Terça</v>
      </c>
      <c r="Q228" s="30" t="str">
        <f>IF(B228="","",IF(B228&lt;TIME(12,0,0),"Manhã",IF(B228&lt;TIME(18,0,0),"Tarde","Noite")))</f>
        <v>Tarde</v>
      </c>
      <c r="R228" s="46">
        <f>IF(AND(H228="Realizado",L228&lt;&gt;"",A228&lt;=Config!$B$9),L228/60,0)</f>
        <v>0</v>
      </c>
      <c r="S228" s="45">
        <f>IF(G228="","",IFERROR(INDEX(Config!$K$5:$K$16,MATCH(G228,Config!$J$5:$J$16,0)),""))</f>
        <v>40</v>
      </c>
      <c r="T228" s="31">
        <f>IF(OR(G228="",F228=""),"",IFERROR(INDEX(Config!$M$5:$R$16,MATCH(G228,Config!$J$5:$J$16,0),MATCH(F228,Config!$H$5:$H$10,0)),""))</f>
        <v>130</v>
      </c>
      <c r="U228" s="47">
        <f>IF(AND(H228="Realizado",L228&lt;&gt;""),L228/60,0)</f>
        <v>0</v>
      </c>
      <c r="V228" s="47">
        <f>IF(AND(H228="Realizado",OR(L228="",M228="")),1,0)</f>
        <v>0</v>
      </c>
    </row>
    <row r="229">
      <c r="A229" s="43" t="n">
        <v>46196</v>
      </c>
      <c r="B229" s="44" t="n">
        <v>0.6875</v>
      </c>
      <c r="C229" s="38" t="inlineStr">
        <is>
          <t>Dr. Paulo Andrade</t>
        </is>
      </c>
      <c r="D229" s="38" t="inlineStr">
        <is>
          <t>Sala 2</t>
        </is>
      </c>
      <c r="E229" s="37" t="inlineStr">
        <is>
          <t>Rafael Barros</t>
        </is>
      </c>
      <c r="F229" s="38" t="inlineStr">
        <is>
          <t>Particular</t>
        </is>
      </c>
      <c r="G229" s="38" t="inlineStr">
        <is>
          <t>Consulta</t>
        </is>
      </c>
      <c r="H229" s="38" t="inlineStr">
        <is>
          <t>Realizado</t>
        </is>
      </c>
      <c r="I229" s="38" t="inlineStr">
        <is>
          <t>Cartão de débito</t>
        </is>
      </c>
      <c r="J229" s="38" t="n"/>
      <c r="K229" s="37" t="n"/>
      <c r="L229" s="39" t="n">
        <v>30</v>
      </c>
      <c r="M229" s="40" t="n">
        <v>380</v>
      </c>
      <c r="N229" s="30">
        <f>IF(A229="","",MONTH(A229))</f>
        <v>6</v>
      </c>
      <c r="O229" s="30">
        <f>IF(A229="","",YEAR(A229))</f>
        <v>2026</v>
      </c>
      <c r="P229" s="30" t="str">
        <f>IF(A229="","",CHOOSE(WEEKDAY(A229,2),"Segunda","Terça","Quarta","Quinta","Sexta","Sábado","Domingo"))</f>
        <v>Terça</v>
      </c>
      <c r="Q229" s="30" t="str">
        <f>IF(B229="","",IF(B229&lt;TIME(12,0,0),"Manhã",IF(B229&lt;TIME(18,0,0),"Tarde","Noite")))</f>
        <v>Tarde</v>
      </c>
      <c r="R229" s="46">
        <f>IF(AND(H229="Realizado",L229&lt;&gt;"",A229&lt;=Config!$B$9),L229/60,0)</f>
        <v>0.5</v>
      </c>
      <c r="S229" s="45">
        <f>IF(G229="","",IFERROR(INDEX(Config!$K$5:$K$16,MATCH(G229,Config!$J$5:$J$16,0)),""))</f>
        <v>30</v>
      </c>
      <c r="T229" s="31">
        <f>IF(OR(G229="",F229=""),"",IFERROR(INDEX(Config!$M$5:$R$16,MATCH(G229,Config!$J$5:$J$16,0),MATCH(F229,Config!$H$5:$H$10,0)),""))</f>
        <v>380</v>
      </c>
      <c r="U229" s="47">
        <f>IF(AND(H229="Realizado",L229&lt;&gt;""),L229/60,0)</f>
        <v>0.5</v>
      </c>
      <c r="V229" s="47">
        <f>IF(AND(H229="Realizado",OR(L229="",M229="")),1,0)</f>
        <v>0</v>
      </c>
    </row>
    <row r="230">
      <c r="A230" s="43" t="n">
        <v>46196</v>
      </c>
      <c r="B230" s="44" t="n">
        <v>0.7083333333333334</v>
      </c>
      <c r="C230" s="38" t="inlineStr">
        <is>
          <t>Dra. Renata Sousa</t>
        </is>
      </c>
      <c r="D230" s="38" t="inlineStr">
        <is>
          <t>Sala 1</t>
        </is>
      </c>
      <c r="E230" s="37" t="inlineStr">
        <is>
          <t>Paulo Freitas</t>
        </is>
      </c>
      <c r="F230" s="38" t="inlineStr">
        <is>
          <t>Saúde Total</t>
        </is>
      </c>
      <c r="G230" s="38" t="inlineStr">
        <is>
          <t>Avaliação endócrina</t>
        </is>
      </c>
      <c r="H230" s="38" t="inlineStr">
        <is>
          <t>Realizado</t>
        </is>
      </c>
      <c r="I230" s="38" t="inlineStr">
        <is>
          <t>Convênio</t>
        </is>
      </c>
      <c r="J230" s="38" t="n"/>
      <c r="K230" s="37" t="n"/>
      <c r="L230" s="39" t="n">
        <v>40</v>
      </c>
      <c r="M230" s="40" t="n">
        <v>130</v>
      </c>
      <c r="N230" s="30">
        <f>IF(A230="","",MONTH(A230))</f>
        <v>6</v>
      </c>
      <c r="O230" s="30">
        <f>IF(A230="","",YEAR(A230))</f>
        <v>2026</v>
      </c>
      <c r="P230" s="30" t="str">
        <f>IF(A230="","",CHOOSE(WEEKDAY(A230,2),"Segunda","Terça","Quarta","Quinta","Sexta","Sábado","Domingo"))</f>
        <v>Terça</v>
      </c>
      <c r="Q230" s="30" t="str">
        <f>IF(B230="","",IF(B230&lt;TIME(12,0,0),"Manhã",IF(B230&lt;TIME(18,0,0),"Tarde","Noite")))</f>
        <v>Tarde</v>
      </c>
      <c r="R230" s="46">
        <f>IF(AND(H230="Realizado",L230&lt;&gt;"",A230&lt;=Config!$B$9),L230/60,0)</f>
        <v>0.666666666666667</v>
      </c>
      <c r="S230" s="45">
        <f>IF(G230="","",IFERROR(INDEX(Config!$K$5:$K$16,MATCH(G230,Config!$J$5:$J$16,0)),""))</f>
        <v>40</v>
      </c>
      <c r="T230" s="31">
        <f>IF(OR(G230="",F230=""),"",IFERROR(INDEX(Config!$M$5:$R$16,MATCH(G230,Config!$J$5:$J$16,0),MATCH(F230,Config!$H$5:$H$10,0)),""))</f>
        <v>130</v>
      </c>
      <c r="U230" s="47">
        <f>IF(AND(H230="Realizado",L230&lt;&gt;""),L230/60,0)</f>
        <v>0.666666666666667</v>
      </c>
      <c r="V230" s="47">
        <f>IF(AND(H230="Realizado",OR(L230="",M230="")),1,0)</f>
        <v>0</v>
      </c>
    </row>
    <row r="231">
      <c r="A231" s="43" t="n">
        <v>46196</v>
      </c>
      <c r="B231" s="44" t="n">
        <v>0.7083333333333334</v>
      </c>
      <c r="C231" s="38" t="inlineStr">
        <is>
          <t>Dr. Paulo Andrade</t>
        </is>
      </c>
      <c r="D231" s="38" t="inlineStr">
        <is>
          <t>Sala 2</t>
        </is>
      </c>
      <c r="E231" s="37" t="inlineStr">
        <is>
          <t>Vanessa Moreira</t>
        </is>
      </c>
      <c r="F231" s="38" t="inlineStr">
        <is>
          <t>Saúde Total</t>
        </is>
      </c>
      <c r="G231" s="38" t="inlineStr">
        <is>
          <t>Consulta</t>
        </is>
      </c>
      <c r="H231" s="38" t="inlineStr">
        <is>
          <t>Realizado</t>
        </is>
      </c>
      <c r="I231" s="38" t="inlineStr">
        <is>
          <t>Convênio</t>
        </is>
      </c>
      <c r="J231" s="38" t="n"/>
      <c r="K231" s="37" t="n"/>
      <c r="L231" s="39" t="n">
        <v>30</v>
      </c>
      <c r="M231" s="40" t="n">
        <v>120</v>
      </c>
      <c r="N231" s="30">
        <f>IF(A231="","",MONTH(A231))</f>
        <v>6</v>
      </c>
      <c r="O231" s="30">
        <f>IF(A231="","",YEAR(A231))</f>
        <v>2026</v>
      </c>
      <c r="P231" s="30" t="str">
        <f>IF(A231="","",CHOOSE(WEEKDAY(A231,2),"Segunda","Terça","Quarta","Quinta","Sexta","Sábado","Domingo"))</f>
        <v>Terça</v>
      </c>
      <c r="Q231" s="30" t="str">
        <f>IF(B231="","",IF(B231&lt;TIME(12,0,0),"Manhã",IF(B231&lt;TIME(18,0,0),"Tarde","Noite")))</f>
        <v>Tarde</v>
      </c>
      <c r="R231" s="46">
        <f>IF(AND(H231="Realizado",L231&lt;&gt;"",A231&lt;=Config!$B$9),L231/60,0)</f>
        <v>0.5</v>
      </c>
      <c r="S231" s="45">
        <f>IF(G231="","",IFERROR(INDEX(Config!$K$5:$K$16,MATCH(G231,Config!$J$5:$J$16,0)),""))</f>
        <v>30</v>
      </c>
      <c r="T231" s="31">
        <f>IF(OR(G231="",F231=""),"",IFERROR(INDEX(Config!$M$5:$R$16,MATCH(G231,Config!$J$5:$J$16,0),MATCH(F231,Config!$H$5:$H$10,0)),""))</f>
        <v>120</v>
      </c>
      <c r="U231" s="47">
        <f>IF(AND(H231="Realizado",L231&lt;&gt;""),L231/60,0)</f>
        <v>0.5</v>
      </c>
      <c r="V231" s="47">
        <f>IF(AND(H231="Realizado",OR(L231="",M231="")),1,0)</f>
        <v>0</v>
      </c>
    </row>
    <row r="232">
      <c r="A232" s="43" t="n">
        <v>46196</v>
      </c>
      <c r="B232" s="44" t="n">
        <v>0.7291666666666666</v>
      </c>
      <c r="C232" s="38" t="inlineStr">
        <is>
          <t>Dr. Paulo Andrade</t>
        </is>
      </c>
      <c r="D232" s="38" t="inlineStr">
        <is>
          <t>Sala 2</t>
        </is>
      </c>
      <c r="E232" s="37" t="inlineStr">
        <is>
          <t>Regina Duarte</t>
        </is>
      </c>
      <c r="F232" s="38" t="inlineStr">
        <is>
          <t>Particular</t>
        </is>
      </c>
      <c r="G232" s="38" t="inlineStr">
        <is>
          <t>Holter</t>
        </is>
      </c>
      <c r="H232" s="38" t="inlineStr">
        <is>
          <t>Realizado</t>
        </is>
      </c>
      <c r="I232" s="38" t="inlineStr">
        <is>
          <t>Pix</t>
        </is>
      </c>
      <c r="J232" s="38" t="n"/>
      <c r="K232" s="37" t="n"/>
      <c r="L232" s="39" t="n">
        <v>20</v>
      </c>
      <c r="M232" s="40" t="n">
        <v>350</v>
      </c>
      <c r="N232" s="30">
        <f>IF(A232="","",MONTH(A232))</f>
        <v>6</v>
      </c>
      <c r="O232" s="30">
        <f>IF(A232="","",YEAR(A232))</f>
        <v>2026</v>
      </c>
      <c r="P232" s="30" t="str">
        <f>IF(A232="","",CHOOSE(WEEKDAY(A232,2),"Segunda","Terça","Quarta","Quinta","Sexta","Sábado","Domingo"))</f>
        <v>Terça</v>
      </c>
      <c r="Q232" s="30" t="str">
        <f>IF(B232="","",IF(B232&lt;TIME(12,0,0),"Manhã",IF(B232&lt;TIME(18,0,0),"Tarde","Noite")))</f>
        <v>Tarde</v>
      </c>
      <c r="R232" s="46">
        <f>IF(AND(H232="Realizado",L232&lt;&gt;"",A232&lt;=Config!$B$9),L232/60,0)</f>
        <v>0.333333333333333</v>
      </c>
      <c r="S232" s="45">
        <f>IF(G232="","",IFERROR(INDEX(Config!$K$5:$K$16,MATCH(G232,Config!$J$5:$J$16,0)),""))</f>
        <v>20</v>
      </c>
      <c r="T232" s="31">
        <f>IF(OR(G232="",F232=""),"",IFERROR(INDEX(Config!$M$5:$R$16,MATCH(G232,Config!$J$5:$J$16,0),MATCH(F232,Config!$H$5:$H$10,0)),""))</f>
        <v>350</v>
      </c>
      <c r="U232" s="47">
        <f>IF(AND(H232="Realizado",L232&lt;&gt;""),L232/60,0)</f>
        <v>0.333333333333333</v>
      </c>
      <c r="V232" s="47">
        <f>IF(AND(H232="Realizado",OR(L232="",M232="")),1,0)</f>
        <v>0</v>
      </c>
    </row>
    <row r="233">
      <c r="A233" s="43" t="n">
        <v>46196</v>
      </c>
      <c r="B233" s="44" t="n">
        <v>0.7361111111111112</v>
      </c>
      <c r="C233" s="38" t="inlineStr">
        <is>
          <t>Dra. Renata Sousa</t>
        </is>
      </c>
      <c r="D233" s="38" t="inlineStr">
        <is>
          <t>Sala 1</t>
        </is>
      </c>
      <c r="E233" s="37" t="inlineStr">
        <is>
          <t>Beatriz Monteiro</t>
        </is>
      </c>
      <c r="F233" s="38" t="inlineStr">
        <is>
          <t>Particular</t>
        </is>
      </c>
      <c r="G233" s="38" t="inlineStr">
        <is>
          <t>Avaliação endócrina</t>
        </is>
      </c>
      <c r="H233" s="38" t="inlineStr">
        <is>
          <t>Realizado</t>
        </is>
      </c>
      <c r="I233" s="38" t="inlineStr">
        <is>
          <t>Pix</t>
        </is>
      </c>
      <c r="J233" s="38" t="n"/>
      <c r="K233" s="37" t="n"/>
      <c r="L233" s="39" t="n">
        <v>40</v>
      </c>
      <c r="M233" s="40" t="n">
        <v>400</v>
      </c>
      <c r="N233" s="30">
        <f>IF(A233="","",MONTH(A233))</f>
        <v>6</v>
      </c>
      <c r="O233" s="30">
        <f>IF(A233="","",YEAR(A233))</f>
        <v>2026</v>
      </c>
      <c r="P233" s="30" t="str">
        <f>IF(A233="","",CHOOSE(WEEKDAY(A233,2),"Segunda","Terça","Quarta","Quinta","Sexta","Sábado","Domingo"))</f>
        <v>Terça</v>
      </c>
      <c r="Q233" s="30" t="str">
        <f>IF(B233="","",IF(B233&lt;TIME(12,0,0),"Manhã",IF(B233&lt;TIME(18,0,0),"Tarde","Noite")))</f>
        <v>Tarde</v>
      </c>
      <c r="R233" s="46">
        <f>IF(AND(H233="Realizado",L233&lt;&gt;"",A233&lt;=Config!$B$9),L233/60,0)</f>
        <v>0.666666666666667</v>
      </c>
      <c r="S233" s="45">
        <f>IF(G233="","",IFERROR(INDEX(Config!$K$5:$K$16,MATCH(G233,Config!$J$5:$J$16,0)),""))</f>
        <v>40</v>
      </c>
      <c r="T233" s="31">
        <f>IF(OR(G233="",F233=""),"",IFERROR(INDEX(Config!$M$5:$R$16,MATCH(G233,Config!$J$5:$J$16,0),MATCH(F233,Config!$H$5:$H$10,0)),""))</f>
        <v>400</v>
      </c>
      <c r="U233" s="47">
        <f>IF(AND(H233="Realizado",L233&lt;&gt;""),L233/60,0)</f>
        <v>0.666666666666667</v>
      </c>
      <c r="V233" s="47">
        <f>IF(AND(H233="Realizado",OR(L233="",M233="")),1,0)</f>
        <v>0</v>
      </c>
    </row>
    <row r="234">
      <c r="A234" s="43" t="n">
        <v>46197</v>
      </c>
      <c r="B234" s="44" t="n">
        <v>0.5833333333333334</v>
      </c>
      <c r="C234" s="38" t="inlineStr">
        <is>
          <t>Dra. Carolina Mendes</t>
        </is>
      </c>
      <c r="D234" s="38" t="inlineStr">
        <is>
          <t>Sala 1</t>
        </is>
      </c>
      <c r="E234" s="37" t="inlineStr">
        <is>
          <t>Lucas Lopes</t>
        </is>
      </c>
      <c r="F234" s="38" t="inlineStr">
        <is>
          <t>Particular</t>
        </is>
      </c>
      <c r="G234" s="38" t="inlineStr">
        <is>
          <t>Retorno</t>
        </is>
      </c>
      <c r="H234" s="38" t="inlineStr">
        <is>
          <t>Realizado</t>
        </is>
      </c>
      <c r="I234" s="38" t="inlineStr">
        <is>
          <t>Sem cobrança</t>
        </is>
      </c>
      <c r="J234" s="38" t="n"/>
      <c r="K234" s="37" t="n"/>
      <c r="L234" s="39" t="n">
        <v>20</v>
      </c>
      <c r="M234" s="40" t="n">
        <v>0</v>
      </c>
      <c r="N234" s="30">
        <f>IF(A234="","",MONTH(A234))</f>
        <v>6</v>
      </c>
      <c r="O234" s="30">
        <f>IF(A234="","",YEAR(A234))</f>
        <v>2026</v>
      </c>
      <c r="P234" s="30" t="str">
        <f>IF(A234="","",CHOOSE(WEEKDAY(A234,2),"Segunda","Terça","Quarta","Quinta","Sexta","Sábado","Domingo"))</f>
        <v>Quarta</v>
      </c>
      <c r="Q234" s="30" t="str">
        <f>IF(B234="","",IF(B234&lt;TIME(12,0,0),"Manhã",IF(B234&lt;TIME(18,0,0),"Tarde","Noite")))</f>
        <v>Tarde</v>
      </c>
      <c r="R234" s="46">
        <f>IF(AND(H234="Realizado",L234&lt;&gt;"",A234&lt;=Config!$B$9),L234/60,0)</f>
        <v>0.333333333333333</v>
      </c>
      <c r="S234" s="45">
        <f>IF(G234="","",IFERROR(INDEX(Config!$K$5:$K$16,MATCH(G234,Config!$J$5:$J$16,0)),""))</f>
        <v>20</v>
      </c>
      <c r="T234" s="31">
        <f>IF(OR(G234="",F234=""),"",IFERROR(INDEX(Config!$M$5:$R$16,MATCH(G234,Config!$J$5:$J$16,0),MATCH(F234,Config!$H$5:$H$10,0)),""))</f>
        <v>0</v>
      </c>
      <c r="U234" s="47">
        <f>IF(AND(H234="Realizado",L234&lt;&gt;""),L234/60,0)</f>
        <v>0.333333333333333</v>
      </c>
      <c r="V234" s="47">
        <f>IF(AND(H234="Realizado",OR(L234="",M234="")),1,0)</f>
        <v>0</v>
      </c>
    </row>
    <row r="235">
      <c r="A235" s="43" t="n">
        <v>46197</v>
      </c>
      <c r="B235" s="44" t="n">
        <v>0.5972222222222222</v>
      </c>
      <c r="C235" s="38" t="inlineStr">
        <is>
          <t>Dra. Carolina Mendes</t>
        </is>
      </c>
      <c r="D235" s="38" t="inlineStr">
        <is>
          <t>Sala 1</t>
        </is>
      </c>
      <c r="E235" s="37" t="inlineStr">
        <is>
          <t>Juliana Silva</t>
        </is>
      </c>
      <c r="F235" s="38" t="inlineStr">
        <is>
          <t>Vida Care</t>
        </is>
      </c>
      <c r="G235" s="38" t="inlineStr">
        <is>
          <t>Consulta</t>
        </is>
      </c>
      <c r="H235" s="38" t="inlineStr">
        <is>
          <t>Realizado</t>
        </is>
      </c>
      <c r="I235" s="38" t="inlineStr">
        <is>
          <t>Convênio</t>
        </is>
      </c>
      <c r="J235" s="38" t="n"/>
      <c r="K235" s="37" t="n"/>
      <c r="L235" s="39" t="n">
        <v>30</v>
      </c>
      <c r="M235" s="40" t="n">
        <v>90</v>
      </c>
      <c r="N235" s="30">
        <f>IF(A235="","",MONTH(A235))</f>
        <v>6</v>
      </c>
      <c r="O235" s="30">
        <f>IF(A235="","",YEAR(A235))</f>
        <v>2026</v>
      </c>
      <c r="P235" s="30" t="str">
        <f>IF(A235="","",CHOOSE(WEEKDAY(A235,2),"Segunda","Terça","Quarta","Quinta","Sexta","Sábado","Domingo"))</f>
        <v>Quarta</v>
      </c>
      <c r="Q235" s="30" t="str">
        <f>IF(B235="","",IF(B235&lt;TIME(12,0,0),"Manhã",IF(B235&lt;TIME(18,0,0),"Tarde","Noite")))</f>
        <v>Tarde</v>
      </c>
      <c r="R235" s="46">
        <f>IF(AND(H235="Realizado",L235&lt;&gt;"",A235&lt;=Config!$B$9),L235/60,0)</f>
        <v>0.5</v>
      </c>
      <c r="S235" s="45">
        <f>IF(G235="","",IFERROR(INDEX(Config!$K$5:$K$16,MATCH(G235,Config!$J$5:$J$16,0)),""))</f>
        <v>30</v>
      </c>
      <c r="T235" s="31">
        <f>IF(OR(G235="",F235=""),"",IFERROR(INDEX(Config!$M$5:$R$16,MATCH(G235,Config!$J$5:$J$16,0),MATCH(F235,Config!$H$5:$H$10,0)),""))</f>
        <v>90</v>
      </c>
      <c r="U235" s="47">
        <f>IF(AND(H235="Realizado",L235&lt;&gt;""),L235/60,0)</f>
        <v>0.5</v>
      </c>
      <c r="V235" s="47">
        <f>IF(AND(H235="Realizado",OR(L235="",M235="")),1,0)</f>
        <v>0</v>
      </c>
    </row>
    <row r="236">
      <c r="A236" s="43" t="n">
        <v>46197</v>
      </c>
      <c r="B236" s="44" t="n">
        <v>0.6180555555555556</v>
      </c>
      <c r="C236" s="38" t="inlineStr">
        <is>
          <t>Dra. Carolina Mendes</t>
        </is>
      </c>
      <c r="D236" s="38" t="inlineStr">
        <is>
          <t>Sala 1</t>
        </is>
      </c>
      <c r="E236" s="37" t="inlineStr">
        <is>
          <t>Mônica Martins</t>
        </is>
      </c>
      <c r="F236" s="38" t="inlineStr">
        <is>
          <t>Particular</t>
        </is>
      </c>
      <c r="G236" s="38" t="inlineStr">
        <is>
          <t>Consulta</t>
        </is>
      </c>
      <c r="H236" s="38" t="inlineStr">
        <is>
          <t>Realizado</t>
        </is>
      </c>
      <c r="I236" s="38" t="inlineStr">
        <is>
          <t>Cartão de crédito</t>
        </is>
      </c>
      <c r="J236" s="38" t="n"/>
      <c r="K236" s="37" t="n"/>
      <c r="L236" s="39" t="n">
        <v>30</v>
      </c>
      <c r="M236" s="40" t="n">
        <v>380</v>
      </c>
      <c r="N236" s="30">
        <f>IF(A236="","",MONTH(A236))</f>
        <v>6</v>
      </c>
      <c r="O236" s="30">
        <f>IF(A236="","",YEAR(A236))</f>
        <v>2026</v>
      </c>
      <c r="P236" s="30" t="str">
        <f>IF(A236="","",CHOOSE(WEEKDAY(A236,2),"Segunda","Terça","Quarta","Quinta","Sexta","Sábado","Domingo"))</f>
        <v>Quarta</v>
      </c>
      <c r="Q236" s="30" t="str">
        <f>IF(B236="","",IF(B236&lt;TIME(12,0,0),"Manhã",IF(B236&lt;TIME(18,0,0),"Tarde","Noite")))</f>
        <v>Tarde</v>
      </c>
      <c r="R236" s="46">
        <f>IF(AND(H236="Realizado",L236&lt;&gt;"",A236&lt;=Config!$B$9),L236/60,0)</f>
        <v>0.5</v>
      </c>
      <c r="S236" s="45">
        <f>IF(G236="","",IFERROR(INDEX(Config!$K$5:$K$16,MATCH(G236,Config!$J$5:$J$16,0)),""))</f>
        <v>30</v>
      </c>
      <c r="T236" s="31">
        <f>IF(OR(G236="",F236=""),"",IFERROR(INDEX(Config!$M$5:$R$16,MATCH(G236,Config!$J$5:$J$16,0),MATCH(F236,Config!$H$5:$H$10,0)),""))</f>
        <v>380</v>
      </c>
      <c r="U236" s="47">
        <f>IF(AND(H236="Realizado",L236&lt;&gt;""),L236/60,0)</f>
        <v>0.5</v>
      </c>
      <c r="V236" s="47">
        <f>IF(AND(H236="Realizado",OR(L236="",M236="")),1,0)</f>
        <v>0</v>
      </c>
    </row>
    <row r="237">
      <c r="A237" s="43" t="n">
        <v>46197</v>
      </c>
      <c r="B237" s="44" t="n">
        <v>0.6388888888888888</v>
      </c>
      <c r="C237" s="38" t="inlineStr">
        <is>
          <t>Dra. Carolina Mendes</t>
        </is>
      </c>
      <c r="D237" s="38" t="inlineStr">
        <is>
          <t>Sala 1</t>
        </is>
      </c>
      <c r="E237" s="37" t="inlineStr">
        <is>
          <t>Cláudia Santos</t>
        </is>
      </c>
      <c r="F237" s="38" t="inlineStr">
        <is>
          <t>Particular</t>
        </is>
      </c>
      <c r="G237" s="38" t="inlineStr">
        <is>
          <t>Consulta</t>
        </is>
      </c>
      <c r="H237" s="38" t="inlineStr">
        <is>
          <t>Realizado</t>
        </is>
      </c>
      <c r="I237" s="38" t="inlineStr">
        <is>
          <t>Cartão de crédito</t>
        </is>
      </c>
      <c r="J237" s="38" t="n"/>
      <c r="K237" s="37" t="n"/>
      <c r="L237" s="39" t="n">
        <v>30</v>
      </c>
      <c r="M237" s="40" t="n">
        <v>380</v>
      </c>
      <c r="N237" s="30">
        <f>IF(A237="","",MONTH(A237))</f>
        <v>6</v>
      </c>
      <c r="O237" s="30">
        <f>IF(A237="","",YEAR(A237))</f>
        <v>2026</v>
      </c>
      <c r="P237" s="30" t="str">
        <f>IF(A237="","",CHOOSE(WEEKDAY(A237,2),"Segunda","Terça","Quarta","Quinta","Sexta","Sábado","Domingo"))</f>
        <v>Quarta</v>
      </c>
      <c r="Q237" s="30" t="str">
        <f>IF(B237="","",IF(B237&lt;TIME(12,0,0),"Manhã",IF(B237&lt;TIME(18,0,0),"Tarde","Noite")))</f>
        <v>Tarde</v>
      </c>
      <c r="R237" s="46">
        <f>IF(AND(H237="Realizado",L237&lt;&gt;"",A237&lt;=Config!$B$9),L237/60,0)</f>
        <v>0.5</v>
      </c>
      <c r="S237" s="45">
        <f>IF(G237="","",IFERROR(INDEX(Config!$K$5:$K$16,MATCH(G237,Config!$J$5:$J$16,0)),""))</f>
        <v>30</v>
      </c>
      <c r="T237" s="31">
        <f>IF(OR(G237="",F237=""),"",IFERROR(INDEX(Config!$M$5:$R$16,MATCH(G237,Config!$J$5:$J$16,0),MATCH(F237,Config!$H$5:$H$10,0)),""))</f>
        <v>380</v>
      </c>
      <c r="U237" s="47">
        <f>IF(AND(H237="Realizado",L237&lt;&gt;""),L237/60,0)</f>
        <v>0.5</v>
      </c>
      <c r="V237" s="47">
        <f>IF(AND(H237="Realizado",OR(L237="",M237="")),1,0)</f>
        <v>0</v>
      </c>
    </row>
    <row r="238">
      <c r="A238" s="43" t="n">
        <v>46197</v>
      </c>
      <c r="B238" s="44" t="n">
        <v>0.6597222222222222</v>
      </c>
      <c r="C238" s="38" t="inlineStr">
        <is>
          <t>Dra. Carolina Mendes</t>
        </is>
      </c>
      <c r="D238" s="38" t="inlineStr">
        <is>
          <t>Sala 1</t>
        </is>
      </c>
      <c r="E238" s="37" t="inlineStr">
        <is>
          <t>Priscila Castro</t>
        </is>
      </c>
      <c r="F238" s="38" t="inlineStr">
        <is>
          <t>Saúde Total</t>
        </is>
      </c>
      <c r="G238" s="38" t="inlineStr">
        <is>
          <t>Consulta</t>
        </is>
      </c>
      <c r="H238" s="38" t="inlineStr">
        <is>
          <t>Realizado</t>
        </is>
      </c>
      <c r="I238" s="38" t="inlineStr">
        <is>
          <t>Convênio</t>
        </is>
      </c>
      <c r="J238" s="38" t="n"/>
      <c r="K238" s="37" t="n"/>
      <c r="L238" s="39" t="n">
        <v>30</v>
      </c>
      <c r="M238" s="40" t="n">
        <v>120</v>
      </c>
      <c r="N238" s="30">
        <f>IF(A238="","",MONTH(A238))</f>
        <v>6</v>
      </c>
      <c r="O238" s="30">
        <f>IF(A238="","",YEAR(A238))</f>
        <v>2026</v>
      </c>
      <c r="P238" s="30" t="str">
        <f>IF(A238="","",CHOOSE(WEEKDAY(A238,2),"Segunda","Terça","Quarta","Quinta","Sexta","Sábado","Domingo"))</f>
        <v>Quarta</v>
      </c>
      <c r="Q238" s="30" t="str">
        <f>IF(B238="","",IF(B238&lt;TIME(12,0,0),"Manhã",IF(B238&lt;TIME(18,0,0),"Tarde","Noite")))</f>
        <v>Tarde</v>
      </c>
      <c r="R238" s="46">
        <f>IF(AND(H238="Realizado",L238&lt;&gt;"",A238&lt;=Config!$B$9),L238/60,0)</f>
        <v>0.5</v>
      </c>
      <c r="S238" s="45">
        <f>IF(G238="","",IFERROR(INDEX(Config!$K$5:$K$16,MATCH(G238,Config!$J$5:$J$16,0)),""))</f>
        <v>30</v>
      </c>
      <c r="T238" s="31">
        <f>IF(OR(G238="",F238=""),"",IFERROR(INDEX(Config!$M$5:$R$16,MATCH(G238,Config!$J$5:$J$16,0),MATCH(F238,Config!$H$5:$H$10,0)),""))</f>
        <v>120</v>
      </c>
      <c r="U238" s="47">
        <f>IF(AND(H238="Realizado",L238&lt;&gt;""),L238/60,0)</f>
        <v>0.5</v>
      </c>
      <c r="V238" s="47">
        <f>IF(AND(H238="Realizado",OR(L238="",M238="")),1,0)</f>
        <v>0</v>
      </c>
    </row>
    <row r="239">
      <c r="A239" s="43" t="n">
        <v>46197</v>
      </c>
      <c r="B239" s="44" t="n">
        <v>0.7013888888888888</v>
      </c>
      <c r="C239" s="38" t="inlineStr">
        <is>
          <t>Dra. Carolina Mendes</t>
        </is>
      </c>
      <c r="D239" s="38" t="inlineStr">
        <is>
          <t>Sala 1</t>
        </is>
      </c>
      <c r="E239" s="37" t="inlineStr">
        <is>
          <t>Tatiana Cunha</t>
        </is>
      </c>
      <c r="F239" s="38" t="inlineStr">
        <is>
          <t>Saúde Total</t>
        </is>
      </c>
      <c r="G239" s="38" t="inlineStr">
        <is>
          <t>Consulta</t>
        </is>
      </c>
      <c r="H239" s="38" t="inlineStr">
        <is>
          <t>Realizado</t>
        </is>
      </c>
      <c r="I239" s="38" t="inlineStr">
        <is>
          <t>Convênio</t>
        </is>
      </c>
      <c r="J239" s="38" t="n"/>
      <c r="K239" s="37" t="n"/>
      <c r="L239" s="39" t="n">
        <v>30</v>
      </c>
      <c r="M239" s="40" t="n">
        <v>120</v>
      </c>
      <c r="N239" s="30">
        <f>IF(A239="","",MONTH(A239))</f>
        <v>6</v>
      </c>
      <c r="O239" s="30">
        <f>IF(A239="","",YEAR(A239))</f>
        <v>2026</v>
      </c>
      <c r="P239" s="30" t="str">
        <f>IF(A239="","",CHOOSE(WEEKDAY(A239,2),"Segunda","Terça","Quarta","Quinta","Sexta","Sábado","Domingo"))</f>
        <v>Quarta</v>
      </c>
      <c r="Q239" s="30" t="str">
        <f>IF(B239="","",IF(B239&lt;TIME(12,0,0),"Manhã",IF(B239&lt;TIME(18,0,0),"Tarde","Noite")))</f>
        <v>Tarde</v>
      </c>
      <c r="R239" s="46">
        <f>IF(AND(H239="Realizado",L239&lt;&gt;"",A239&lt;=Config!$B$9),L239/60,0)</f>
        <v>0.5</v>
      </c>
      <c r="S239" s="45">
        <f>IF(G239="","",IFERROR(INDEX(Config!$K$5:$K$16,MATCH(G239,Config!$J$5:$J$16,0)),""))</f>
        <v>30</v>
      </c>
      <c r="T239" s="31">
        <f>IF(OR(G239="",F239=""),"",IFERROR(INDEX(Config!$M$5:$R$16,MATCH(G239,Config!$J$5:$J$16,0),MATCH(F239,Config!$H$5:$H$10,0)),""))</f>
        <v>120</v>
      </c>
      <c r="U239" s="47">
        <f>IF(AND(H239="Realizado",L239&lt;&gt;""),L239/60,0)</f>
        <v>0.5</v>
      </c>
      <c r="V239" s="47">
        <f>IF(AND(H239="Realizado",OR(L239="",M239="")),1,0)</f>
        <v>0</v>
      </c>
    </row>
    <row r="240">
      <c r="A240" s="43" t="n">
        <v>46197</v>
      </c>
      <c r="B240" s="44" t="n">
        <v>0.7222222222222222</v>
      </c>
      <c r="C240" s="38" t="inlineStr">
        <is>
          <t>Dra. Carolina Mendes</t>
        </is>
      </c>
      <c r="D240" s="38" t="inlineStr">
        <is>
          <t>Sala 1</t>
        </is>
      </c>
      <c r="E240" s="37" t="inlineStr">
        <is>
          <t>Débora Machado</t>
        </is>
      </c>
      <c r="F240" s="38" t="inlineStr">
        <is>
          <t>Saúde Total</t>
        </is>
      </c>
      <c r="G240" s="38" t="inlineStr">
        <is>
          <t>Consulta</t>
        </is>
      </c>
      <c r="H240" s="38" t="inlineStr">
        <is>
          <t>Realizado</t>
        </is>
      </c>
      <c r="I240" s="38" t="inlineStr">
        <is>
          <t>Convênio</t>
        </is>
      </c>
      <c r="J240" s="38" t="n"/>
      <c r="K240" s="37" t="n"/>
      <c r="L240" s="39" t="n">
        <v>30</v>
      </c>
      <c r="M240" s="40" t="n">
        <v>120</v>
      </c>
      <c r="N240" s="30">
        <f>IF(A240="","",MONTH(A240))</f>
        <v>6</v>
      </c>
      <c r="O240" s="30">
        <f>IF(A240="","",YEAR(A240))</f>
        <v>2026</v>
      </c>
      <c r="P240" s="30" t="str">
        <f>IF(A240="","",CHOOSE(WEEKDAY(A240,2),"Segunda","Terça","Quarta","Quinta","Sexta","Sábado","Domingo"))</f>
        <v>Quarta</v>
      </c>
      <c r="Q240" s="30" t="str">
        <f>IF(B240="","",IF(B240&lt;TIME(12,0,0),"Manhã",IF(B240&lt;TIME(18,0,0),"Tarde","Noite")))</f>
        <v>Tarde</v>
      </c>
      <c r="R240" s="46">
        <f>IF(AND(H240="Realizado",L240&lt;&gt;"",A240&lt;=Config!$B$9),L240/60,0)</f>
        <v>0.5</v>
      </c>
      <c r="S240" s="45">
        <f>IF(G240="","",IFERROR(INDEX(Config!$K$5:$K$16,MATCH(G240,Config!$J$5:$J$16,0)),""))</f>
        <v>30</v>
      </c>
      <c r="T240" s="31">
        <f>IF(OR(G240="",F240=""),"",IFERROR(INDEX(Config!$M$5:$R$16,MATCH(G240,Config!$J$5:$J$16,0),MATCH(F240,Config!$H$5:$H$10,0)),""))</f>
        <v>120</v>
      </c>
      <c r="U240" s="47">
        <f>IF(AND(H240="Realizado",L240&lt;&gt;""),L240/60,0)</f>
        <v>0.5</v>
      </c>
      <c r="V240" s="47">
        <f>IF(AND(H240="Realizado",OR(L240="",M240="")),1,0)</f>
        <v>0</v>
      </c>
    </row>
    <row r="241">
      <c r="A241" s="43" t="n">
        <v>46198</v>
      </c>
      <c r="B241" s="44" t="n">
        <v>0.3333333333333333</v>
      </c>
      <c r="C241" s="38" t="inlineStr">
        <is>
          <t>Dra. Carolina Mendes</t>
        </is>
      </c>
      <c r="D241" s="38" t="inlineStr">
        <is>
          <t>Sala 1</t>
        </is>
      </c>
      <c r="E241" s="37" t="inlineStr">
        <is>
          <t>Ricardo Melo</t>
        </is>
      </c>
      <c r="F241" s="38" t="inlineStr">
        <is>
          <t>Saúde Total</t>
        </is>
      </c>
      <c r="G241" s="38" t="inlineStr">
        <is>
          <t>Retorno</t>
        </is>
      </c>
      <c r="H241" s="38" t="inlineStr">
        <is>
          <t>Realizado</t>
        </is>
      </c>
      <c r="I241" s="38" t="inlineStr">
        <is>
          <t>Sem cobrança</t>
        </is>
      </c>
      <c r="J241" s="38" t="n"/>
      <c r="K241" s="37" t="n"/>
      <c r="L241" s="39" t="n">
        <v>20</v>
      </c>
      <c r="M241" s="40" t="n">
        <v>0</v>
      </c>
      <c r="N241" s="30">
        <f>IF(A241="","",MONTH(A241))</f>
        <v>6</v>
      </c>
      <c r="O241" s="30">
        <f>IF(A241="","",YEAR(A241))</f>
        <v>2026</v>
      </c>
      <c r="P241" s="30" t="str">
        <f>IF(A241="","",CHOOSE(WEEKDAY(A241,2),"Segunda","Terça","Quarta","Quinta","Sexta","Sábado","Domingo"))</f>
        <v>Quinta</v>
      </c>
      <c r="Q241" s="30" t="str">
        <f>IF(B241="","",IF(B241&lt;TIME(12,0,0),"Manhã",IF(B241&lt;TIME(18,0,0),"Tarde","Noite")))</f>
        <v>Manhã</v>
      </c>
      <c r="R241" s="46">
        <f>IF(AND(H241="Realizado",L241&lt;&gt;"",A241&lt;=Config!$B$9),L241/60,0)</f>
        <v>0.333333333333333</v>
      </c>
      <c r="S241" s="45">
        <f>IF(G241="","",IFERROR(INDEX(Config!$K$5:$K$16,MATCH(G241,Config!$J$5:$J$16,0)),""))</f>
        <v>20</v>
      </c>
      <c r="T241" s="31">
        <f>IF(OR(G241="",F241=""),"",IFERROR(INDEX(Config!$M$5:$R$16,MATCH(G241,Config!$J$5:$J$16,0),MATCH(F241,Config!$H$5:$H$10,0)),""))</f>
        <v>0</v>
      </c>
      <c r="U241" s="47">
        <f>IF(AND(H241="Realizado",L241&lt;&gt;""),L241/60,0)</f>
        <v>0.333333333333333</v>
      </c>
      <c r="V241" s="47">
        <f>IF(AND(H241="Realizado",OR(L241="",M241="")),1,0)</f>
        <v>0</v>
      </c>
    </row>
    <row r="242">
      <c r="A242" s="43" t="n">
        <v>46198</v>
      </c>
      <c r="B242" s="44" t="n">
        <v>0.3472222222222222</v>
      </c>
      <c r="C242" s="38" t="inlineStr">
        <is>
          <t>Dra. Carolina Mendes</t>
        </is>
      </c>
      <c r="D242" s="38" t="inlineStr">
        <is>
          <t>Sala 1</t>
        </is>
      </c>
      <c r="E242" s="37" t="inlineStr">
        <is>
          <t>Mônica Batista</t>
        </is>
      </c>
      <c r="F242" s="38" t="inlineStr">
        <is>
          <t>MediPlan</t>
        </is>
      </c>
      <c r="G242" s="38" t="inlineStr">
        <is>
          <t>Consulta</t>
        </is>
      </c>
      <c r="H242" s="38" t="inlineStr">
        <is>
          <t>Realizado</t>
        </is>
      </c>
      <c r="I242" s="38" t="inlineStr">
        <is>
          <t>Convênio</t>
        </is>
      </c>
      <c r="J242" s="38" t="n"/>
      <c r="K242" s="37" t="n"/>
      <c r="L242" s="39" t="n">
        <v>30</v>
      </c>
      <c r="M242" s="40" t="n">
        <v>100</v>
      </c>
      <c r="N242" s="30">
        <f>IF(A242="","",MONTH(A242))</f>
        <v>6</v>
      </c>
      <c r="O242" s="30">
        <f>IF(A242="","",YEAR(A242))</f>
        <v>2026</v>
      </c>
      <c r="P242" s="30" t="str">
        <f>IF(A242="","",CHOOSE(WEEKDAY(A242,2),"Segunda","Terça","Quarta","Quinta","Sexta","Sábado","Domingo"))</f>
        <v>Quinta</v>
      </c>
      <c r="Q242" s="30" t="str">
        <f>IF(B242="","",IF(B242&lt;TIME(12,0,0),"Manhã",IF(B242&lt;TIME(18,0,0),"Tarde","Noite")))</f>
        <v>Manhã</v>
      </c>
      <c r="R242" s="46">
        <f>IF(AND(H242="Realizado",L242&lt;&gt;"",A242&lt;=Config!$B$9),L242/60,0)</f>
        <v>0.5</v>
      </c>
      <c r="S242" s="45">
        <f>IF(G242="","",IFERROR(INDEX(Config!$K$5:$K$16,MATCH(G242,Config!$J$5:$J$16,0)),""))</f>
        <v>30</v>
      </c>
      <c r="T242" s="31">
        <f>IF(OR(G242="",F242=""),"",IFERROR(INDEX(Config!$M$5:$R$16,MATCH(G242,Config!$J$5:$J$16,0),MATCH(F242,Config!$H$5:$H$10,0)),""))</f>
        <v>100</v>
      </c>
      <c r="U242" s="47">
        <f>IF(AND(H242="Realizado",L242&lt;&gt;""),L242/60,0)</f>
        <v>0.5</v>
      </c>
      <c r="V242" s="47">
        <f>IF(AND(H242="Realizado",OR(L242="",M242="")),1,0)</f>
        <v>0</v>
      </c>
    </row>
    <row r="243">
      <c r="A243" s="43" t="n">
        <v>46198</v>
      </c>
      <c r="B243" s="44" t="n">
        <v>0.3680555555555556</v>
      </c>
      <c r="C243" s="38" t="inlineStr">
        <is>
          <t>Dra. Carolina Mendes</t>
        </is>
      </c>
      <c r="D243" s="38" t="inlineStr">
        <is>
          <t>Sala 1</t>
        </is>
      </c>
      <c r="E243" s="37" t="inlineStr">
        <is>
          <t>Letícia Vieira</t>
        </is>
      </c>
      <c r="F243" s="38" t="inlineStr">
        <is>
          <t>Saúde Total</t>
        </is>
      </c>
      <c r="G243" s="38" t="inlineStr">
        <is>
          <t>Consulta</t>
        </is>
      </c>
      <c r="H243" s="38" t="inlineStr">
        <is>
          <t>Realizado</t>
        </is>
      </c>
      <c r="I243" s="38" t="inlineStr">
        <is>
          <t>Convênio</t>
        </is>
      </c>
      <c r="J243" s="38" t="n"/>
      <c r="K243" s="37" t="n"/>
      <c r="L243" s="39" t="n">
        <v>30</v>
      </c>
      <c r="M243" s="40" t="n">
        <v>120</v>
      </c>
      <c r="N243" s="30">
        <f>IF(A243="","",MONTH(A243))</f>
        <v>6</v>
      </c>
      <c r="O243" s="30">
        <f>IF(A243="","",YEAR(A243))</f>
        <v>2026</v>
      </c>
      <c r="P243" s="30" t="str">
        <f>IF(A243="","",CHOOSE(WEEKDAY(A243,2),"Segunda","Terça","Quarta","Quinta","Sexta","Sábado","Domingo"))</f>
        <v>Quinta</v>
      </c>
      <c r="Q243" s="30" t="str">
        <f>IF(B243="","",IF(B243&lt;TIME(12,0,0),"Manhã",IF(B243&lt;TIME(18,0,0),"Tarde","Noite")))</f>
        <v>Manhã</v>
      </c>
      <c r="R243" s="46">
        <f>IF(AND(H243="Realizado",L243&lt;&gt;"",A243&lt;=Config!$B$9),L243/60,0)</f>
        <v>0.5</v>
      </c>
      <c r="S243" s="45">
        <f>IF(G243="","",IFERROR(INDEX(Config!$K$5:$K$16,MATCH(G243,Config!$J$5:$J$16,0)),""))</f>
        <v>30</v>
      </c>
      <c r="T243" s="31">
        <f>IF(OR(G243="",F243=""),"",IFERROR(INDEX(Config!$M$5:$R$16,MATCH(G243,Config!$J$5:$J$16,0),MATCH(F243,Config!$H$5:$H$10,0)),""))</f>
        <v>120</v>
      </c>
      <c r="U243" s="47">
        <f>IF(AND(H243="Realizado",L243&lt;&gt;""),L243/60,0)</f>
        <v>0.5</v>
      </c>
      <c r="V243" s="47">
        <f>IF(AND(H243="Realizado",OR(L243="",M243="")),1,0)</f>
        <v>0</v>
      </c>
    </row>
    <row r="244">
      <c r="A244" s="43" t="n">
        <v>46198</v>
      </c>
      <c r="B244" s="44" t="n">
        <v>0.3888888888888889</v>
      </c>
      <c r="C244" s="38" t="inlineStr">
        <is>
          <t>Dra. Carolina Mendes</t>
        </is>
      </c>
      <c r="D244" s="38" t="inlineStr">
        <is>
          <t>Sala 1</t>
        </is>
      </c>
      <c r="E244" s="37" t="inlineStr">
        <is>
          <t>Gustavo Ferreira</t>
        </is>
      </c>
      <c r="F244" s="38" t="inlineStr">
        <is>
          <t>Particular</t>
        </is>
      </c>
      <c r="G244" s="38" t="inlineStr">
        <is>
          <t>Consulta</t>
        </is>
      </c>
      <c r="H244" s="38" t="inlineStr">
        <is>
          <t>Realizado</t>
        </is>
      </c>
      <c r="I244" s="38" t="inlineStr">
        <is>
          <t>Pix</t>
        </is>
      </c>
      <c r="J244" s="38" t="n"/>
      <c r="K244" s="37" t="n"/>
      <c r="L244" s="39" t="n">
        <v>30</v>
      </c>
      <c r="M244" s="40" t="n">
        <v>380</v>
      </c>
      <c r="N244" s="30">
        <f>IF(A244="","",MONTH(A244))</f>
        <v>6</v>
      </c>
      <c r="O244" s="30">
        <f>IF(A244="","",YEAR(A244))</f>
        <v>2026</v>
      </c>
      <c r="P244" s="30" t="str">
        <f>IF(A244="","",CHOOSE(WEEKDAY(A244,2),"Segunda","Terça","Quarta","Quinta","Sexta","Sábado","Domingo"))</f>
        <v>Quinta</v>
      </c>
      <c r="Q244" s="30" t="str">
        <f>IF(B244="","",IF(B244&lt;TIME(12,0,0),"Manhã",IF(B244&lt;TIME(18,0,0),"Tarde","Noite")))</f>
        <v>Manhã</v>
      </c>
      <c r="R244" s="46">
        <f>IF(AND(H244="Realizado",L244&lt;&gt;"",A244&lt;=Config!$B$9),L244/60,0)</f>
        <v>0.5</v>
      </c>
      <c r="S244" s="45">
        <f>IF(G244="","",IFERROR(INDEX(Config!$K$5:$K$16,MATCH(G244,Config!$J$5:$J$16,0)),""))</f>
        <v>30</v>
      </c>
      <c r="T244" s="31">
        <f>IF(OR(G244="",F244=""),"",IFERROR(INDEX(Config!$M$5:$R$16,MATCH(G244,Config!$J$5:$J$16,0),MATCH(F244,Config!$H$5:$H$10,0)),""))</f>
        <v>380</v>
      </c>
      <c r="U244" s="47">
        <f>IF(AND(H244="Realizado",L244&lt;&gt;""),L244/60,0)</f>
        <v>0.5</v>
      </c>
      <c r="V244" s="47">
        <f>IF(AND(H244="Realizado",OR(L244="",M244="")),1,0)</f>
        <v>0</v>
      </c>
    </row>
    <row r="245">
      <c r="A245" s="43" t="n">
        <v>46198</v>
      </c>
      <c r="B245" s="44" t="n">
        <v>0.4097222222222222</v>
      </c>
      <c r="C245" s="38" t="inlineStr">
        <is>
          <t>Dra. Carolina Mendes</t>
        </is>
      </c>
      <c r="D245" s="38" t="inlineStr">
        <is>
          <t>Sala 1</t>
        </is>
      </c>
      <c r="E245" s="37" t="inlineStr">
        <is>
          <t>Otávio Cardoso</t>
        </is>
      </c>
      <c r="F245" s="38" t="inlineStr">
        <is>
          <t>Particular</t>
        </is>
      </c>
      <c r="G245" s="38" t="inlineStr">
        <is>
          <t>Consulta</t>
        </is>
      </c>
      <c r="H245" s="38" t="inlineStr">
        <is>
          <t>Realizado</t>
        </is>
      </c>
      <c r="I245" s="38" t="inlineStr">
        <is>
          <t>Pix</t>
        </is>
      </c>
      <c r="J245" s="38" t="n"/>
      <c r="K245" s="37" t="n"/>
      <c r="L245" s="39" t="n">
        <v>30</v>
      </c>
      <c r="M245" s="40" t="n">
        <v>380</v>
      </c>
      <c r="N245" s="30">
        <f>IF(A245="","",MONTH(A245))</f>
        <v>6</v>
      </c>
      <c r="O245" s="30">
        <f>IF(A245="","",YEAR(A245))</f>
        <v>2026</v>
      </c>
      <c r="P245" s="30" t="str">
        <f>IF(A245="","",CHOOSE(WEEKDAY(A245,2),"Segunda","Terça","Quarta","Quinta","Sexta","Sábado","Domingo"))</f>
        <v>Quinta</v>
      </c>
      <c r="Q245" s="30" t="str">
        <f>IF(B245="","",IF(B245&lt;TIME(12,0,0),"Manhã",IF(B245&lt;TIME(18,0,0),"Tarde","Noite")))</f>
        <v>Manhã</v>
      </c>
      <c r="R245" s="46">
        <f>IF(AND(H245="Realizado",L245&lt;&gt;"",A245&lt;=Config!$B$9),L245/60,0)</f>
        <v>0.5</v>
      </c>
      <c r="S245" s="45">
        <f>IF(G245="","",IFERROR(INDEX(Config!$K$5:$K$16,MATCH(G245,Config!$J$5:$J$16,0)),""))</f>
        <v>30</v>
      </c>
      <c r="T245" s="31">
        <f>IF(OR(G245="",F245=""),"",IFERROR(INDEX(Config!$M$5:$R$16,MATCH(G245,Config!$J$5:$J$16,0),MATCH(F245,Config!$H$5:$H$10,0)),""))</f>
        <v>380</v>
      </c>
      <c r="U245" s="47">
        <f>IF(AND(H245="Realizado",L245&lt;&gt;""),L245/60,0)</f>
        <v>0.5</v>
      </c>
      <c r="V245" s="47">
        <f>IF(AND(H245="Realizado",OR(L245="",M245="")),1,0)</f>
        <v>0</v>
      </c>
    </row>
    <row r="246">
      <c r="A246" s="43" t="n">
        <v>46198</v>
      </c>
      <c r="B246" s="44" t="n">
        <v>0.4305555555555556</v>
      </c>
      <c r="C246" s="38" t="inlineStr">
        <is>
          <t>Dra. Carolina Mendes</t>
        </is>
      </c>
      <c r="D246" s="38" t="inlineStr">
        <is>
          <t>Sala 1</t>
        </is>
      </c>
      <c r="E246" s="37" t="inlineStr">
        <is>
          <t>Leandro Oliveira</t>
        </is>
      </c>
      <c r="F246" s="38" t="inlineStr">
        <is>
          <t>Particular</t>
        </is>
      </c>
      <c r="G246" s="38" t="inlineStr">
        <is>
          <t>Consulta</t>
        </is>
      </c>
      <c r="H246" s="38" t="inlineStr">
        <is>
          <t>Realizado</t>
        </is>
      </c>
      <c r="I246" s="38" t="inlineStr">
        <is>
          <t>Pix</t>
        </is>
      </c>
      <c r="J246" s="38" t="n"/>
      <c r="K246" s="37" t="n"/>
      <c r="L246" s="39" t="n">
        <v>30</v>
      </c>
      <c r="M246" s="40" t="n">
        <v>380</v>
      </c>
      <c r="N246" s="30">
        <f>IF(A246="","",MONTH(A246))</f>
        <v>6</v>
      </c>
      <c r="O246" s="30">
        <f>IF(A246="","",YEAR(A246))</f>
        <v>2026</v>
      </c>
      <c r="P246" s="30" t="str">
        <f>IF(A246="","",CHOOSE(WEEKDAY(A246,2),"Segunda","Terça","Quarta","Quinta","Sexta","Sábado","Domingo"))</f>
        <v>Quinta</v>
      </c>
      <c r="Q246" s="30" t="str">
        <f>IF(B246="","",IF(B246&lt;TIME(12,0,0),"Manhã",IF(B246&lt;TIME(18,0,0),"Tarde","Noite")))</f>
        <v>Manhã</v>
      </c>
      <c r="R246" s="46">
        <f>IF(AND(H246="Realizado",L246&lt;&gt;"",A246&lt;=Config!$B$9),L246/60,0)</f>
        <v>0.5</v>
      </c>
      <c r="S246" s="45">
        <f>IF(G246="","",IFERROR(INDEX(Config!$K$5:$K$16,MATCH(G246,Config!$J$5:$J$16,0)),""))</f>
        <v>30</v>
      </c>
      <c r="T246" s="31">
        <f>IF(OR(G246="",F246=""),"",IFERROR(INDEX(Config!$M$5:$R$16,MATCH(G246,Config!$J$5:$J$16,0),MATCH(F246,Config!$H$5:$H$10,0)),""))</f>
        <v>380</v>
      </c>
      <c r="U246" s="47">
        <f>IF(AND(H246="Realizado",L246&lt;&gt;""),L246/60,0)</f>
        <v>0.5</v>
      </c>
      <c r="V246" s="47">
        <f>IF(AND(H246="Realizado",OR(L246="",M246="")),1,0)</f>
        <v>0</v>
      </c>
    </row>
    <row r="247">
      <c r="A247" s="43" t="n">
        <v>46198</v>
      </c>
      <c r="B247" s="44" t="n">
        <v>0.4513888888888889</v>
      </c>
      <c r="C247" s="38" t="inlineStr">
        <is>
          <t>Dra. Carolina Mendes</t>
        </is>
      </c>
      <c r="D247" s="38" t="inlineStr">
        <is>
          <t>Sala 1</t>
        </is>
      </c>
      <c r="E247" s="37" t="inlineStr">
        <is>
          <t>Helena Moreira</t>
        </is>
      </c>
      <c r="F247" s="38" t="inlineStr">
        <is>
          <t>Particular</t>
        </is>
      </c>
      <c r="G247" s="38" t="inlineStr">
        <is>
          <t>Consulta</t>
        </is>
      </c>
      <c r="H247" s="38" t="inlineStr">
        <is>
          <t>Realizado</t>
        </is>
      </c>
      <c r="I247" s="38" t="inlineStr">
        <is>
          <t>Pix</t>
        </is>
      </c>
      <c r="J247" s="38" t="n"/>
      <c r="K247" s="37" t="n"/>
      <c r="L247" s="39" t="n">
        <v>30</v>
      </c>
      <c r="M247" s="40" t="n">
        <v>380</v>
      </c>
      <c r="N247" s="30">
        <f>IF(A247="","",MONTH(A247))</f>
        <v>6</v>
      </c>
      <c r="O247" s="30">
        <f>IF(A247="","",YEAR(A247))</f>
        <v>2026</v>
      </c>
      <c r="P247" s="30" t="str">
        <f>IF(A247="","",CHOOSE(WEEKDAY(A247,2),"Segunda","Terça","Quarta","Quinta","Sexta","Sábado","Domingo"))</f>
        <v>Quinta</v>
      </c>
      <c r="Q247" s="30" t="str">
        <f>IF(B247="","",IF(B247&lt;TIME(12,0,0),"Manhã",IF(B247&lt;TIME(18,0,0),"Tarde","Noite")))</f>
        <v>Manhã</v>
      </c>
      <c r="R247" s="46">
        <f>IF(AND(H247="Realizado",L247&lt;&gt;"",A247&lt;=Config!$B$9),L247/60,0)</f>
        <v>0.5</v>
      </c>
      <c r="S247" s="45">
        <f>IF(G247="","",IFERROR(INDEX(Config!$K$5:$K$16,MATCH(G247,Config!$J$5:$J$16,0)),""))</f>
        <v>30</v>
      </c>
      <c r="T247" s="31">
        <f>IF(OR(G247="",F247=""),"",IFERROR(INDEX(Config!$M$5:$R$16,MATCH(G247,Config!$J$5:$J$16,0),MATCH(F247,Config!$H$5:$H$10,0)),""))</f>
        <v>380</v>
      </c>
      <c r="U247" s="47">
        <f>IF(AND(H247="Realizado",L247&lt;&gt;""),L247/60,0)</f>
        <v>0.5</v>
      </c>
      <c r="V247" s="47">
        <f>IF(AND(H247="Realizado",OR(L247="",M247="")),1,0)</f>
        <v>0</v>
      </c>
    </row>
    <row r="248">
      <c r="A248" s="43" t="n">
        <v>46198</v>
      </c>
      <c r="B248" s="44" t="n">
        <v>0.4722222222222222</v>
      </c>
      <c r="C248" s="38" t="inlineStr">
        <is>
          <t>Dra. Carolina Mendes</t>
        </is>
      </c>
      <c r="D248" s="38" t="inlineStr">
        <is>
          <t>Sala 1</t>
        </is>
      </c>
      <c r="E248" s="37" t="inlineStr">
        <is>
          <t>Mariana Nascimento</t>
        </is>
      </c>
      <c r="F248" s="38" t="inlineStr">
        <is>
          <t>Particular</t>
        </is>
      </c>
      <c r="G248" s="38" t="inlineStr">
        <is>
          <t>Consulta</t>
        </is>
      </c>
      <c r="H248" s="38" t="inlineStr">
        <is>
          <t>Realizado</t>
        </is>
      </c>
      <c r="I248" s="38" t="inlineStr">
        <is>
          <t>Pix</t>
        </is>
      </c>
      <c r="J248" s="38" t="n"/>
      <c r="K248" s="37" t="n"/>
      <c r="L248" s="39" t="n">
        <v>30</v>
      </c>
      <c r="M248" s="40" t="n">
        <v>380</v>
      </c>
      <c r="N248" s="30">
        <f>IF(A248="","",MONTH(A248))</f>
        <v>6</v>
      </c>
      <c r="O248" s="30">
        <f>IF(A248="","",YEAR(A248))</f>
        <v>2026</v>
      </c>
      <c r="P248" s="30" t="str">
        <f>IF(A248="","",CHOOSE(WEEKDAY(A248,2),"Segunda","Terça","Quarta","Quinta","Sexta","Sábado","Domingo"))</f>
        <v>Quinta</v>
      </c>
      <c r="Q248" s="30" t="str">
        <f>IF(B248="","",IF(B248&lt;TIME(12,0,0),"Manhã",IF(B248&lt;TIME(18,0,0),"Tarde","Noite")))</f>
        <v>Manhã</v>
      </c>
      <c r="R248" s="46">
        <f>IF(AND(H248="Realizado",L248&lt;&gt;"",A248&lt;=Config!$B$9),L248/60,0)</f>
        <v>0.5</v>
      </c>
      <c r="S248" s="45">
        <f>IF(G248="","",IFERROR(INDEX(Config!$K$5:$K$16,MATCH(G248,Config!$J$5:$J$16,0)),""))</f>
        <v>30</v>
      </c>
      <c r="T248" s="31">
        <f>IF(OR(G248="",F248=""),"",IFERROR(INDEX(Config!$M$5:$R$16,MATCH(G248,Config!$J$5:$J$16,0),MATCH(F248,Config!$H$5:$H$10,0)),""))</f>
        <v>380</v>
      </c>
      <c r="U248" s="47">
        <f>IF(AND(H248="Realizado",L248&lt;&gt;""),L248/60,0)</f>
        <v>0.5</v>
      </c>
      <c r="V248" s="47">
        <f>IF(AND(H248="Realizado",OR(L248="",M248="")),1,0)</f>
        <v>0</v>
      </c>
    </row>
    <row r="249">
      <c r="A249" s="43" t="n">
        <v>46198</v>
      </c>
      <c r="B249" s="44" t="n">
        <v>0.5833333333333334</v>
      </c>
      <c r="C249" s="38" t="inlineStr">
        <is>
          <t>Dr. Paulo Andrade</t>
        </is>
      </c>
      <c r="D249" s="38" t="inlineStr">
        <is>
          <t>Sala 2</t>
        </is>
      </c>
      <c r="E249" s="37" t="inlineStr">
        <is>
          <t>Juliana Ribeiro</t>
        </is>
      </c>
      <c r="F249" s="38" t="inlineStr">
        <is>
          <t>Saúde Total</t>
        </is>
      </c>
      <c r="G249" s="38" t="inlineStr">
        <is>
          <t>Teste ergométrico</t>
        </is>
      </c>
      <c r="H249" s="38" t="inlineStr">
        <is>
          <t>Realizado</t>
        </is>
      </c>
      <c r="I249" s="38" t="inlineStr">
        <is>
          <t>Convênio</t>
        </is>
      </c>
      <c r="J249" s="38" t="n"/>
      <c r="K249" s="37" t="n"/>
      <c r="L249" s="39" t="n">
        <v>40</v>
      </c>
      <c r="M249" s="40" t="n">
        <v>140</v>
      </c>
      <c r="N249" s="30">
        <f>IF(A249="","",MONTH(A249))</f>
        <v>6</v>
      </c>
      <c r="O249" s="30">
        <f>IF(A249="","",YEAR(A249))</f>
        <v>2026</v>
      </c>
      <c r="P249" s="30" t="str">
        <f>IF(A249="","",CHOOSE(WEEKDAY(A249,2),"Segunda","Terça","Quarta","Quinta","Sexta","Sábado","Domingo"))</f>
        <v>Quinta</v>
      </c>
      <c r="Q249" s="30" t="str">
        <f>IF(B249="","",IF(B249&lt;TIME(12,0,0),"Manhã",IF(B249&lt;TIME(18,0,0),"Tarde","Noite")))</f>
        <v>Tarde</v>
      </c>
      <c r="R249" s="46">
        <f>IF(AND(H249="Realizado",L249&lt;&gt;"",A249&lt;=Config!$B$9),L249/60,0)</f>
        <v>0.666666666666667</v>
      </c>
      <c r="S249" s="45">
        <f>IF(G249="","",IFERROR(INDEX(Config!$K$5:$K$16,MATCH(G249,Config!$J$5:$J$16,0)),""))</f>
        <v>40</v>
      </c>
      <c r="T249" s="31">
        <f>IF(OR(G249="",F249=""),"",IFERROR(INDEX(Config!$M$5:$R$16,MATCH(G249,Config!$J$5:$J$16,0),MATCH(F249,Config!$H$5:$H$10,0)),""))</f>
        <v>140</v>
      </c>
      <c r="U249" s="47">
        <f>IF(AND(H249="Realizado",L249&lt;&gt;""),L249/60,0)</f>
        <v>0.666666666666667</v>
      </c>
      <c r="V249" s="47">
        <f>IF(AND(H249="Realizado",OR(L249="",M249="")),1,0)</f>
        <v>0</v>
      </c>
    </row>
    <row r="250">
      <c r="A250" s="43" t="n">
        <v>46198</v>
      </c>
      <c r="B250" s="44" t="n">
        <v>0.6041666666666666</v>
      </c>
      <c r="C250" s="38" t="inlineStr">
        <is>
          <t>Dra. Renata Sousa</t>
        </is>
      </c>
      <c r="D250" s="38" t="inlineStr">
        <is>
          <t>Sala 1</t>
        </is>
      </c>
      <c r="E250" s="37" t="inlineStr">
        <is>
          <t>Daniel Moreira</t>
        </is>
      </c>
      <c r="F250" s="38" t="inlineStr">
        <is>
          <t>Saúde Total</t>
        </is>
      </c>
      <c r="G250" s="38" t="inlineStr">
        <is>
          <t>Retorno</t>
        </is>
      </c>
      <c r="H250" s="38" t="inlineStr">
        <is>
          <t>Realizado</t>
        </is>
      </c>
      <c r="I250" s="38" t="inlineStr">
        <is>
          <t>Sem cobrança</t>
        </is>
      </c>
      <c r="J250" s="38" t="n"/>
      <c r="K250" s="37" t="n"/>
      <c r="L250" s="39" t="n">
        <v>20</v>
      </c>
      <c r="M250" s="40" t="n">
        <v>0</v>
      </c>
      <c r="N250" s="30">
        <f>IF(A250="","",MONTH(A250))</f>
        <v>6</v>
      </c>
      <c r="O250" s="30">
        <f>IF(A250="","",YEAR(A250))</f>
        <v>2026</v>
      </c>
      <c r="P250" s="30" t="str">
        <f>IF(A250="","",CHOOSE(WEEKDAY(A250,2),"Segunda","Terça","Quarta","Quinta","Sexta","Sábado","Domingo"))</f>
        <v>Quinta</v>
      </c>
      <c r="Q250" s="30" t="str">
        <f>IF(B250="","",IF(B250&lt;TIME(12,0,0),"Manhã",IF(B250&lt;TIME(18,0,0),"Tarde","Noite")))</f>
        <v>Tarde</v>
      </c>
      <c r="R250" s="46">
        <f>IF(AND(H250="Realizado",L250&lt;&gt;"",A250&lt;=Config!$B$9),L250/60,0)</f>
        <v>0.333333333333333</v>
      </c>
      <c r="S250" s="45">
        <f>IF(G250="","",IFERROR(INDEX(Config!$K$5:$K$16,MATCH(G250,Config!$J$5:$J$16,0)),""))</f>
        <v>20</v>
      </c>
      <c r="T250" s="31">
        <f>IF(OR(G250="",F250=""),"",IFERROR(INDEX(Config!$M$5:$R$16,MATCH(G250,Config!$J$5:$J$16,0),MATCH(F250,Config!$H$5:$H$10,0)),""))</f>
        <v>0</v>
      </c>
      <c r="U250" s="47">
        <f>IF(AND(H250="Realizado",L250&lt;&gt;""),L250/60,0)</f>
        <v>0.333333333333333</v>
      </c>
      <c r="V250" s="47">
        <f>IF(AND(H250="Realizado",OR(L250="",M250="")),1,0)</f>
        <v>0</v>
      </c>
    </row>
    <row r="251">
      <c r="A251" s="43" t="n">
        <v>46198</v>
      </c>
      <c r="B251" s="44" t="n">
        <v>0.6111111111111112</v>
      </c>
      <c r="C251" s="38" t="inlineStr">
        <is>
          <t>Dr. Paulo Andrade</t>
        </is>
      </c>
      <c r="D251" s="38" t="inlineStr">
        <is>
          <t>Sala 2</t>
        </is>
      </c>
      <c r="E251" s="37" t="inlineStr">
        <is>
          <t>Natália Martins</t>
        </is>
      </c>
      <c r="F251" s="38" t="inlineStr">
        <is>
          <t>Particular</t>
        </is>
      </c>
      <c r="G251" s="38" t="inlineStr">
        <is>
          <t>Retorno</t>
        </is>
      </c>
      <c r="H251" s="38" t="inlineStr">
        <is>
          <t>Realizado</t>
        </is>
      </c>
      <c r="I251" s="38" t="inlineStr">
        <is>
          <t>Sem cobrança</t>
        </is>
      </c>
      <c r="J251" s="38" t="n"/>
      <c r="K251" s="37" t="n"/>
      <c r="L251" s="39" t="n">
        <v>20</v>
      </c>
      <c r="M251" s="40" t="n">
        <v>0</v>
      </c>
      <c r="N251" s="30">
        <f>IF(A251="","",MONTH(A251))</f>
        <v>6</v>
      </c>
      <c r="O251" s="30">
        <f>IF(A251="","",YEAR(A251))</f>
        <v>2026</v>
      </c>
      <c r="P251" s="30" t="str">
        <f>IF(A251="","",CHOOSE(WEEKDAY(A251,2),"Segunda","Terça","Quarta","Quinta","Sexta","Sábado","Domingo"))</f>
        <v>Quinta</v>
      </c>
      <c r="Q251" s="30" t="str">
        <f>IF(B251="","",IF(B251&lt;TIME(12,0,0),"Manhã",IF(B251&lt;TIME(18,0,0),"Tarde","Noite")))</f>
        <v>Tarde</v>
      </c>
      <c r="R251" s="46">
        <f>IF(AND(H251="Realizado",L251&lt;&gt;"",A251&lt;=Config!$B$9),L251/60,0)</f>
        <v>0.333333333333333</v>
      </c>
      <c r="S251" s="45">
        <f>IF(G251="","",IFERROR(INDEX(Config!$K$5:$K$16,MATCH(G251,Config!$J$5:$J$16,0)),""))</f>
        <v>20</v>
      </c>
      <c r="T251" s="31">
        <f>IF(OR(G251="",F251=""),"",IFERROR(INDEX(Config!$M$5:$R$16,MATCH(G251,Config!$J$5:$J$16,0),MATCH(F251,Config!$H$5:$H$10,0)),""))</f>
        <v>0</v>
      </c>
      <c r="U251" s="47">
        <f>IF(AND(H251="Realizado",L251&lt;&gt;""),L251/60,0)</f>
        <v>0.333333333333333</v>
      </c>
      <c r="V251" s="47">
        <f>IF(AND(H251="Realizado",OR(L251="",M251="")),1,0)</f>
        <v>0</v>
      </c>
    </row>
    <row r="252">
      <c r="A252" s="43" t="n">
        <v>46198</v>
      </c>
      <c r="B252" s="44" t="n">
        <v>0.625</v>
      </c>
      <c r="C252" s="38" t="inlineStr">
        <is>
          <t>Dr. Paulo Andrade</t>
        </is>
      </c>
      <c r="D252" s="38" t="inlineStr">
        <is>
          <t>Sala 2</t>
        </is>
      </c>
      <c r="E252" s="37" t="inlineStr">
        <is>
          <t>Leandro Ferreira</t>
        </is>
      </c>
      <c r="F252" s="38" t="inlineStr">
        <is>
          <t>Saúde Total</t>
        </is>
      </c>
      <c r="G252" s="38" t="inlineStr">
        <is>
          <t>Consulta</t>
        </is>
      </c>
      <c r="H252" s="38" t="inlineStr">
        <is>
          <t>Falta</t>
        </is>
      </c>
      <c r="I252" s="38" t="n"/>
      <c r="J252" s="38" t="n"/>
      <c r="K252" s="37" t="n"/>
      <c r="L252" s="39" t="n">
        <v>30</v>
      </c>
      <c r="M252" s="40" t="n">
        <v>120</v>
      </c>
      <c r="N252" s="30">
        <f>IF(A252="","",MONTH(A252))</f>
        <v>6</v>
      </c>
      <c r="O252" s="30">
        <f>IF(A252="","",YEAR(A252))</f>
        <v>2026</v>
      </c>
      <c r="P252" s="30" t="str">
        <f>IF(A252="","",CHOOSE(WEEKDAY(A252,2),"Segunda","Terça","Quarta","Quinta","Sexta","Sábado","Domingo"))</f>
        <v>Quinta</v>
      </c>
      <c r="Q252" s="30" t="str">
        <f>IF(B252="","",IF(B252&lt;TIME(12,0,0),"Manhã",IF(B252&lt;TIME(18,0,0),"Tarde","Noite")))</f>
        <v>Tarde</v>
      </c>
      <c r="R252" s="46">
        <f>IF(AND(H252="Realizado",L252&lt;&gt;"",A252&lt;=Config!$B$9),L252/60,0)</f>
        <v>0</v>
      </c>
      <c r="S252" s="45">
        <f>IF(G252="","",IFERROR(INDEX(Config!$K$5:$K$16,MATCH(G252,Config!$J$5:$J$16,0)),""))</f>
        <v>30</v>
      </c>
      <c r="T252" s="31">
        <f>IF(OR(G252="",F252=""),"",IFERROR(INDEX(Config!$M$5:$R$16,MATCH(G252,Config!$J$5:$J$16,0),MATCH(F252,Config!$H$5:$H$10,0)),""))</f>
        <v>120</v>
      </c>
      <c r="U252" s="47">
        <f>IF(AND(H252="Realizado",L252&lt;&gt;""),L252/60,0)</f>
        <v>0</v>
      </c>
      <c r="V252" s="47">
        <f>IF(AND(H252="Realizado",OR(L252="",M252="")),1,0)</f>
        <v>0</v>
      </c>
    </row>
    <row r="253">
      <c r="A253" s="43" t="n">
        <v>46198</v>
      </c>
      <c r="B253" s="44" t="n">
        <v>0.6388888888888888</v>
      </c>
      <c r="C253" s="38" t="inlineStr">
        <is>
          <t>Dra. Renata Sousa</t>
        </is>
      </c>
      <c r="D253" s="38" t="inlineStr">
        <is>
          <t>Sala 1</t>
        </is>
      </c>
      <c r="E253" s="37" t="inlineStr">
        <is>
          <t>Fábio Ferreira</t>
        </is>
      </c>
      <c r="F253" s="38" t="inlineStr">
        <is>
          <t>Particular</t>
        </is>
      </c>
      <c r="G253" s="38" t="inlineStr">
        <is>
          <t>Avaliação endócrina</t>
        </is>
      </c>
      <c r="H253" s="38" t="inlineStr">
        <is>
          <t>Realizado</t>
        </is>
      </c>
      <c r="I253" s="38" t="inlineStr">
        <is>
          <t>Pix</t>
        </is>
      </c>
      <c r="J253" s="38" t="n"/>
      <c r="K253" s="37" t="n"/>
      <c r="L253" s="39" t="n">
        <v>40</v>
      </c>
      <c r="M253" s="40" t="n">
        <v>400</v>
      </c>
      <c r="N253" s="30">
        <f>IF(A253="","",MONTH(A253))</f>
        <v>6</v>
      </c>
      <c r="O253" s="30">
        <f>IF(A253="","",YEAR(A253))</f>
        <v>2026</v>
      </c>
      <c r="P253" s="30" t="str">
        <f>IF(A253="","",CHOOSE(WEEKDAY(A253,2),"Segunda","Terça","Quarta","Quinta","Sexta","Sábado","Domingo"))</f>
        <v>Quinta</v>
      </c>
      <c r="Q253" s="30" t="str">
        <f>IF(B253="","",IF(B253&lt;TIME(12,0,0),"Manhã",IF(B253&lt;TIME(18,0,0),"Tarde","Noite")))</f>
        <v>Tarde</v>
      </c>
      <c r="R253" s="46">
        <f>IF(AND(H253="Realizado",L253&lt;&gt;"",A253&lt;=Config!$B$9),L253/60,0)</f>
        <v>0.666666666666667</v>
      </c>
      <c r="S253" s="45">
        <f>IF(G253="","",IFERROR(INDEX(Config!$K$5:$K$16,MATCH(G253,Config!$J$5:$J$16,0)),""))</f>
        <v>40</v>
      </c>
      <c r="T253" s="31">
        <f>IF(OR(G253="",F253=""),"",IFERROR(INDEX(Config!$M$5:$R$16,MATCH(G253,Config!$J$5:$J$16,0),MATCH(F253,Config!$H$5:$H$10,0)),""))</f>
        <v>400</v>
      </c>
      <c r="U253" s="47">
        <f>IF(AND(H253="Realizado",L253&lt;&gt;""),L253/60,0)</f>
        <v>0.666666666666667</v>
      </c>
      <c r="V253" s="47">
        <f>IF(AND(H253="Realizado",OR(L253="",M253="")),1,0)</f>
        <v>0</v>
      </c>
    </row>
    <row r="254">
      <c r="A254" s="43" t="n">
        <v>46198</v>
      </c>
      <c r="B254" s="44" t="n">
        <v>0.6458333333333334</v>
      </c>
      <c r="C254" s="38" t="inlineStr">
        <is>
          <t>Dr. Paulo Andrade</t>
        </is>
      </c>
      <c r="D254" s="38" t="inlineStr">
        <is>
          <t>Sala 2</t>
        </is>
      </c>
      <c r="E254" s="37" t="inlineStr">
        <is>
          <t>Priscila Nunes</t>
        </is>
      </c>
      <c r="F254" s="38" t="inlineStr">
        <is>
          <t>MediPlan</t>
        </is>
      </c>
      <c r="G254" s="38" t="inlineStr">
        <is>
          <t>ECG</t>
        </is>
      </c>
      <c r="H254" s="38" t="inlineStr">
        <is>
          <t>Realizado</t>
        </is>
      </c>
      <c r="I254" s="38" t="inlineStr">
        <is>
          <t>Convênio</t>
        </is>
      </c>
      <c r="J254" s="38" t="n"/>
      <c r="K254" s="37" t="n"/>
      <c r="L254" s="39" t="n">
        <v>20</v>
      </c>
      <c r="M254" s="40" t="n">
        <v>35</v>
      </c>
      <c r="N254" s="30">
        <f>IF(A254="","",MONTH(A254))</f>
        <v>6</v>
      </c>
      <c r="O254" s="30">
        <f>IF(A254="","",YEAR(A254))</f>
        <v>2026</v>
      </c>
      <c r="P254" s="30" t="str">
        <f>IF(A254="","",CHOOSE(WEEKDAY(A254,2),"Segunda","Terça","Quarta","Quinta","Sexta","Sábado","Domingo"))</f>
        <v>Quinta</v>
      </c>
      <c r="Q254" s="30" t="str">
        <f>IF(B254="","",IF(B254&lt;TIME(12,0,0),"Manhã",IF(B254&lt;TIME(18,0,0),"Tarde","Noite")))</f>
        <v>Tarde</v>
      </c>
      <c r="R254" s="46">
        <f>IF(AND(H254="Realizado",L254&lt;&gt;"",A254&lt;=Config!$B$9),L254/60,0)</f>
        <v>0.333333333333333</v>
      </c>
      <c r="S254" s="45">
        <f>IF(G254="","",IFERROR(INDEX(Config!$K$5:$K$16,MATCH(G254,Config!$J$5:$J$16,0)),""))</f>
        <v>20</v>
      </c>
      <c r="T254" s="31">
        <f>IF(OR(G254="",F254=""),"",IFERROR(INDEX(Config!$M$5:$R$16,MATCH(G254,Config!$J$5:$J$16,0),MATCH(F254,Config!$H$5:$H$10,0)),""))</f>
        <v>35</v>
      </c>
      <c r="U254" s="47">
        <f>IF(AND(H254="Realizado",L254&lt;&gt;""),L254/60,0)</f>
        <v>0.333333333333333</v>
      </c>
      <c r="V254" s="47">
        <f>IF(AND(H254="Realizado",OR(L254="",M254="")),1,0)</f>
        <v>0</v>
      </c>
    </row>
    <row r="255">
      <c r="A255" s="43" t="n">
        <v>46198</v>
      </c>
      <c r="B255" s="44" t="n">
        <v>0.6597222222222222</v>
      </c>
      <c r="C255" s="38" t="inlineStr">
        <is>
          <t>Dr. Paulo Andrade</t>
        </is>
      </c>
      <c r="D255" s="38" t="inlineStr">
        <is>
          <t>Sala 2</t>
        </is>
      </c>
      <c r="E255" s="37" t="inlineStr">
        <is>
          <t>Leandro Ferreira</t>
        </is>
      </c>
      <c r="F255" s="38" t="inlineStr">
        <is>
          <t>Saúde Total</t>
        </is>
      </c>
      <c r="G255" s="38" t="inlineStr">
        <is>
          <t>Consulta</t>
        </is>
      </c>
      <c r="H255" s="38" t="inlineStr">
        <is>
          <t>Realizado</t>
        </is>
      </c>
      <c r="I255" s="38" t="inlineStr">
        <is>
          <t>Convênio</t>
        </is>
      </c>
      <c r="J255" s="38" t="n"/>
      <c r="K255" s="37" t="n"/>
      <c r="L255" s="39" t="n">
        <v>30</v>
      </c>
      <c r="M255" s="40" t="n">
        <v>120</v>
      </c>
      <c r="N255" s="30">
        <f>IF(A255="","",MONTH(A255))</f>
        <v>6</v>
      </c>
      <c r="O255" s="30">
        <f>IF(A255="","",YEAR(A255))</f>
        <v>2026</v>
      </c>
      <c r="P255" s="30" t="str">
        <f>IF(A255="","",CHOOSE(WEEKDAY(A255,2),"Segunda","Terça","Quarta","Quinta","Sexta","Sábado","Domingo"))</f>
        <v>Quinta</v>
      </c>
      <c r="Q255" s="30" t="str">
        <f>IF(B255="","",IF(B255&lt;TIME(12,0,0),"Manhã",IF(B255&lt;TIME(18,0,0),"Tarde","Noite")))</f>
        <v>Tarde</v>
      </c>
      <c r="R255" s="46">
        <f>IF(AND(H255="Realizado",L255&lt;&gt;"",A255&lt;=Config!$B$9),L255/60,0)</f>
        <v>0.5</v>
      </c>
      <c r="S255" s="45">
        <f>IF(G255="","",IFERROR(INDEX(Config!$K$5:$K$16,MATCH(G255,Config!$J$5:$J$16,0)),""))</f>
        <v>30</v>
      </c>
      <c r="T255" s="31">
        <f>IF(OR(G255="",F255=""),"",IFERROR(INDEX(Config!$M$5:$R$16,MATCH(G255,Config!$J$5:$J$16,0),MATCH(F255,Config!$H$5:$H$10,0)),""))</f>
        <v>120</v>
      </c>
      <c r="U255" s="47">
        <f>IF(AND(H255="Realizado",L255&lt;&gt;""),L255/60,0)</f>
        <v>0.5</v>
      </c>
      <c r="V255" s="47">
        <f>IF(AND(H255="Realizado",OR(L255="",M255="")),1,0)</f>
        <v>0</v>
      </c>
    </row>
    <row r="256">
      <c r="A256" s="43" t="n">
        <v>46198</v>
      </c>
      <c r="B256" s="44" t="n">
        <v>0.6666666666666666</v>
      </c>
      <c r="C256" s="38" t="inlineStr">
        <is>
          <t>Dra. Renata Sousa</t>
        </is>
      </c>
      <c r="D256" s="38" t="inlineStr">
        <is>
          <t>Sala 1</t>
        </is>
      </c>
      <c r="E256" s="37" t="inlineStr">
        <is>
          <t>Fernanda Gonçalves</t>
        </is>
      </c>
      <c r="F256" s="38" t="inlineStr">
        <is>
          <t>Saúde Total</t>
        </is>
      </c>
      <c r="G256" s="38" t="inlineStr">
        <is>
          <t>Avaliação endócrina</t>
        </is>
      </c>
      <c r="H256" s="38" t="inlineStr">
        <is>
          <t>Realizado</t>
        </is>
      </c>
      <c r="I256" s="38" t="inlineStr">
        <is>
          <t>Convênio</t>
        </is>
      </c>
      <c r="J256" s="38" t="n"/>
      <c r="K256" s="37" t="n"/>
      <c r="L256" s="39" t="n">
        <v>40</v>
      </c>
      <c r="M256" s="40" t="n">
        <v>130</v>
      </c>
      <c r="N256" s="30">
        <f>IF(A256="","",MONTH(A256))</f>
        <v>6</v>
      </c>
      <c r="O256" s="30">
        <f>IF(A256="","",YEAR(A256))</f>
        <v>2026</v>
      </c>
      <c r="P256" s="30" t="str">
        <f>IF(A256="","",CHOOSE(WEEKDAY(A256,2),"Segunda","Terça","Quarta","Quinta","Sexta","Sábado","Domingo"))</f>
        <v>Quinta</v>
      </c>
      <c r="Q256" s="30" t="str">
        <f>IF(B256="","",IF(B256&lt;TIME(12,0,0),"Manhã",IF(B256&lt;TIME(18,0,0),"Tarde","Noite")))</f>
        <v>Tarde</v>
      </c>
      <c r="R256" s="46">
        <f>IF(AND(H256="Realizado",L256&lt;&gt;"",A256&lt;=Config!$B$9),L256/60,0)</f>
        <v>0.666666666666667</v>
      </c>
      <c r="S256" s="45">
        <f>IF(G256="","",IFERROR(INDEX(Config!$K$5:$K$16,MATCH(G256,Config!$J$5:$J$16,0)),""))</f>
        <v>40</v>
      </c>
      <c r="T256" s="31">
        <f>IF(OR(G256="",F256=""),"",IFERROR(INDEX(Config!$M$5:$R$16,MATCH(G256,Config!$J$5:$J$16,0),MATCH(F256,Config!$H$5:$H$10,0)),""))</f>
        <v>130</v>
      </c>
      <c r="U256" s="47">
        <f>IF(AND(H256="Realizado",L256&lt;&gt;""),L256/60,0)</f>
        <v>0.666666666666667</v>
      </c>
      <c r="V256" s="47">
        <f>IF(AND(H256="Realizado",OR(L256="",M256="")),1,0)</f>
        <v>0</v>
      </c>
    </row>
    <row r="257">
      <c r="A257" s="43" t="n">
        <v>46198</v>
      </c>
      <c r="B257" s="44" t="n">
        <v>0.6805555555555556</v>
      </c>
      <c r="C257" s="38" t="inlineStr">
        <is>
          <t>Dr. Paulo Andrade</t>
        </is>
      </c>
      <c r="D257" s="38" t="inlineStr">
        <is>
          <t>Sala 2</t>
        </is>
      </c>
      <c r="E257" s="37" t="inlineStr">
        <is>
          <t>Priscila Carvalho</t>
        </is>
      </c>
      <c r="F257" s="38" t="inlineStr">
        <is>
          <t>Vida Care</t>
        </is>
      </c>
      <c r="G257" s="38" t="inlineStr">
        <is>
          <t>ECG</t>
        </is>
      </c>
      <c r="H257" s="38" t="inlineStr">
        <is>
          <t>Realizado</t>
        </is>
      </c>
      <c r="I257" s="38" t="inlineStr">
        <is>
          <t>Convênio</t>
        </is>
      </c>
      <c r="J257" s="38" t="n"/>
      <c r="K257" s="37" t="n"/>
      <c r="L257" s="39" t="n">
        <v>20</v>
      </c>
      <c r="M257" s="40" t="n">
        <v>32</v>
      </c>
      <c r="N257" s="30">
        <f>IF(A257="","",MONTH(A257))</f>
        <v>6</v>
      </c>
      <c r="O257" s="30">
        <f>IF(A257="","",YEAR(A257))</f>
        <v>2026</v>
      </c>
      <c r="P257" s="30" t="str">
        <f>IF(A257="","",CHOOSE(WEEKDAY(A257,2),"Segunda","Terça","Quarta","Quinta","Sexta","Sábado","Domingo"))</f>
        <v>Quinta</v>
      </c>
      <c r="Q257" s="30" t="str">
        <f>IF(B257="","",IF(B257&lt;TIME(12,0,0),"Manhã",IF(B257&lt;TIME(18,0,0),"Tarde","Noite")))</f>
        <v>Tarde</v>
      </c>
      <c r="R257" s="46">
        <f>IF(AND(H257="Realizado",L257&lt;&gt;"",A257&lt;=Config!$B$9),L257/60,0)</f>
        <v>0.333333333333333</v>
      </c>
      <c r="S257" s="45">
        <f>IF(G257="","",IFERROR(INDEX(Config!$K$5:$K$16,MATCH(G257,Config!$J$5:$J$16,0)),""))</f>
        <v>20</v>
      </c>
      <c r="T257" s="31">
        <f>IF(OR(G257="",F257=""),"",IFERROR(INDEX(Config!$M$5:$R$16,MATCH(G257,Config!$J$5:$J$16,0),MATCH(F257,Config!$H$5:$H$10,0)),""))</f>
        <v>32</v>
      </c>
      <c r="U257" s="47">
        <f>IF(AND(H257="Realizado",L257&lt;&gt;""),L257/60,0)</f>
        <v>0.333333333333333</v>
      </c>
      <c r="V257" s="47">
        <f>IF(AND(H257="Realizado",OR(L257="",M257="")),1,0)</f>
        <v>0</v>
      </c>
    </row>
    <row r="258">
      <c r="A258" s="43" t="n">
        <v>46198</v>
      </c>
      <c r="B258" s="44" t="n">
        <v>0.6944444444444444</v>
      </c>
      <c r="C258" s="38" t="inlineStr">
        <is>
          <t>Dr. Paulo Andrade</t>
        </is>
      </c>
      <c r="D258" s="38" t="inlineStr">
        <is>
          <t>Sala 2</t>
        </is>
      </c>
      <c r="E258" s="37" t="inlineStr">
        <is>
          <t>Gisele Lima</t>
        </is>
      </c>
      <c r="F258" s="38" t="inlineStr">
        <is>
          <t>Saúde Total</t>
        </is>
      </c>
      <c r="G258" s="38" t="inlineStr">
        <is>
          <t>Retorno</t>
        </is>
      </c>
      <c r="H258" s="38" t="inlineStr">
        <is>
          <t>Realizado</t>
        </is>
      </c>
      <c r="I258" s="38" t="inlineStr">
        <is>
          <t>Sem cobrança</t>
        </is>
      </c>
      <c r="J258" s="38" t="n"/>
      <c r="K258" s="37" t="n"/>
      <c r="L258" s="39" t="n">
        <v>20</v>
      </c>
      <c r="M258" s="40" t="n">
        <v>0</v>
      </c>
      <c r="N258" s="30">
        <f>IF(A258="","",MONTH(A258))</f>
        <v>6</v>
      </c>
      <c r="O258" s="30">
        <f>IF(A258="","",YEAR(A258))</f>
        <v>2026</v>
      </c>
      <c r="P258" s="30" t="str">
        <f>IF(A258="","",CHOOSE(WEEKDAY(A258,2),"Segunda","Terça","Quarta","Quinta","Sexta","Sábado","Domingo"))</f>
        <v>Quinta</v>
      </c>
      <c r="Q258" s="30" t="str">
        <f>IF(B258="","",IF(B258&lt;TIME(12,0,0),"Manhã",IF(B258&lt;TIME(18,0,0),"Tarde","Noite")))</f>
        <v>Tarde</v>
      </c>
      <c r="R258" s="46">
        <f>IF(AND(H258="Realizado",L258&lt;&gt;"",A258&lt;=Config!$B$9),L258/60,0)</f>
        <v>0.333333333333333</v>
      </c>
      <c r="S258" s="45">
        <f>IF(G258="","",IFERROR(INDEX(Config!$K$5:$K$16,MATCH(G258,Config!$J$5:$J$16,0)),""))</f>
        <v>20</v>
      </c>
      <c r="T258" s="31">
        <f>IF(OR(G258="",F258=""),"",IFERROR(INDEX(Config!$M$5:$R$16,MATCH(G258,Config!$J$5:$J$16,0),MATCH(F258,Config!$H$5:$H$10,0)),""))</f>
        <v>0</v>
      </c>
      <c r="U258" s="47">
        <f>IF(AND(H258="Realizado",L258&lt;&gt;""),L258/60,0)</f>
        <v>0.333333333333333</v>
      </c>
      <c r="V258" s="47">
        <f>IF(AND(H258="Realizado",OR(L258="",M258="")),1,0)</f>
        <v>0</v>
      </c>
    </row>
    <row r="259">
      <c r="A259" s="43" t="n">
        <v>46198</v>
      </c>
      <c r="B259" s="44" t="n">
        <v>0.7083333333333334</v>
      </c>
      <c r="C259" s="38" t="inlineStr">
        <is>
          <t>Dr. Paulo Andrade</t>
        </is>
      </c>
      <c r="D259" s="38" t="inlineStr">
        <is>
          <t>Sala 2</t>
        </is>
      </c>
      <c r="E259" s="37" t="inlineStr">
        <is>
          <t>Sérgio Batista</t>
        </is>
      </c>
      <c r="F259" s="38" t="inlineStr">
        <is>
          <t>MediPlan</t>
        </is>
      </c>
      <c r="G259" s="38" t="inlineStr">
        <is>
          <t>ECG</t>
        </is>
      </c>
      <c r="H259" s="38" t="inlineStr">
        <is>
          <t>Realizado</t>
        </is>
      </c>
      <c r="I259" s="38" t="inlineStr">
        <is>
          <t>Convênio</t>
        </is>
      </c>
      <c r="J259" s="38" t="n"/>
      <c r="K259" s="37" t="n"/>
      <c r="L259" s="39" t="n">
        <v>20</v>
      </c>
      <c r="M259" s="40" t="n">
        <v>35</v>
      </c>
      <c r="N259" s="30">
        <f>IF(A259="","",MONTH(A259))</f>
        <v>6</v>
      </c>
      <c r="O259" s="30">
        <f>IF(A259="","",YEAR(A259))</f>
        <v>2026</v>
      </c>
      <c r="P259" s="30" t="str">
        <f>IF(A259="","",CHOOSE(WEEKDAY(A259,2),"Segunda","Terça","Quarta","Quinta","Sexta","Sábado","Domingo"))</f>
        <v>Quinta</v>
      </c>
      <c r="Q259" s="30" t="str">
        <f>IF(B259="","",IF(B259&lt;TIME(12,0,0),"Manhã",IF(B259&lt;TIME(18,0,0),"Tarde","Noite")))</f>
        <v>Tarde</v>
      </c>
      <c r="R259" s="46">
        <f>IF(AND(H259="Realizado",L259&lt;&gt;"",A259&lt;=Config!$B$9),L259/60,0)</f>
        <v>0.333333333333333</v>
      </c>
      <c r="S259" s="45">
        <f>IF(G259="","",IFERROR(INDEX(Config!$K$5:$K$16,MATCH(G259,Config!$J$5:$J$16,0)),""))</f>
        <v>20</v>
      </c>
      <c r="T259" s="31">
        <f>IF(OR(G259="",F259=""),"",IFERROR(INDEX(Config!$M$5:$R$16,MATCH(G259,Config!$J$5:$J$16,0),MATCH(F259,Config!$H$5:$H$10,0)),""))</f>
        <v>35</v>
      </c>
      <c r="U259" s="47">
        <f>IF(AND(H259="Realizado",L259&lt;&gt;""),L259/60,0)</f>
        <v>0.333333333333333</v>
      </c>
      <c r="V259" s="47">
        <f>IF(AND(H259="Realizado",OR(L259="",M259="")),1,0)</f>
        <v>0</v>
      </c>
    </row>
    <row r="260">
      <c r="A260" s="43" t="n">
        <v>46198</v>
      </c>
      <c r="B260" s="44" t="n">
        <v>0.7222222222222222</v>
      </c>
      <c r="C260" s="38" t="inlineStr">
        <is>
          <t>Dr. Paulo Andrade</t>
        </is>
      </c>
      <c r="D260" s="38" t="inlineStr">
        <is>
          <t>Sala 2</t>
        </is>
      </c>
      <c r="E260" s="37" t="inlineStr">
        <is>
          <t>Gabriel Fernandes</t>
        </is>
      </c>
      <c r="F260" s="38" t="inlineStr">
        <is>
          <t>Particular</t>
        </is>
      </c>
      <c r="G260" s="38" t="inlineStr">
        <is>
          <t>Consulta</t>
        </is>
      </c>
      <c r="H260" s="38" t="inlineStr">
        <is>
          <t>Realizado</t>
        </is>
      </c>
      <c r="I260" s="38" t="inlineStr">
        <is>
          <t>Pix</t>
        </is>
      </c>
      <c r="J260" s="38" t="n"/>
      <c r="K260" s="37" t="n"/>
      <c r="L260" s="39" t="n">
        <v>30</v>
      </c>
      <c r="M260" s="40" t="n">
        <v>380</v>
      </c>
      <c r="N260" s="30">
        <f>IF(A260="","",MONTH(A260))</f>
        <v>6</v>
      </c>
      <c r="O260" s="30">
        <f>IF(A260="","",YEAR(A260))</f>
        <v>2026</v>
      </c>
      <c r="P260" s="30" t="str">
        <f>IF(A260="","",CHOOSE(WEEKDAY(A260,2),"Segunda","Terça","Quarta","Quinta","Sexta","Sábado","Domingo"))</f>
        <v>Quinta</v>
      </c>
      <c r="Q260" s="30" t="str">
        <f>IF(B260="","",IF(B260&lt;TIME(12,0,0),"Manhã",IF(B260&lt;TIME(18,0,0),"Tarde","Noite")))</f>
        <v>Tarde</v>
      </c>
      <c r="R260" s="46">
        <f>IF(AND(H260="Realizado",L260&lt;&gt;"",A260&lt;=Config!$B$9),L260/60,0)</f>
        <v>0.5</v>
      </c>
      <c r="S260" s="45">
        <f>IF(G260="","",IFERROR(INDEX(Config!$K$5:$K$16,MATCH(G260,Config!$J$5:$J$16,0)),""))</f>
        <v>30</v>
      </c>
      <c r="T260" s="31">
        <f>IF(OR(G260="",F260=""),"",IFERROR(INDEX(Config!$M$5:$R$16,MATCH(G260,Config!$J$5:$J$16,0),MATCH(F260,Config!$H$5:$H$10,0)),""))</f>
        <v>380</v>
      </c>
      <c r="U260" s="47">
        <f>IF(AND(H260="Realizado",L260&lt;&gt;""),L260/60,0)</f>
        <v>0.5</v>
      </c>
      <c r="V260" s="47">
        <f>IF(AND(H260="Realizado",OR(L260="",M260="")),1,0)</f>
        <v>0</v>
      </c>
    </row>
    <row r="261">
      <c r="A261" s="43" t="n">
        <v>46198</v>
      </c>
      <c r="B261" s="44" t="n">
        <v>0.7361111111111112</v>
      </c>
      <c r="C261" s="38" t="inlineStr">
        <is>
          <t>Dra. Renata Sousa</t>
        </is>
      </c>
      <c r="D261" s="38" t="inlineStr">
        <is>
          <t>Sala 1</t>
        </is>
      </c>
      <c r="E261" s="37" t="inlineStr">
        <is>
          <t>Gisele Lopes</t>
        </is>
      </c>
      <c r="F261" s="38" t="inlineStr">
        <is>
          <t>Saúde Total</t>
        </is>
      </c>
      <c r="G261" s="38" t="inlineStr">
        <is>
          <t>Avaliação endócrina</t>
        </is>
      </c>
      <c r="H261" s="38" t="inlineStr">
        <is>
          <t>Realizado</t>
        </is>
      </c>
      <c r="I261" s="38" t="inlineStr">
        <is>
          <t>Convênio</t>
        </is>
      </c>
      <c r="J261" s="38" t="n"/>
      <c r="K261" s="37" t="n"/>
      <c r="L261" s="39" t="n">
        <v>40</v>
      </c>
      <c r="M261" s="40" t="n">
        <v>130</v>
      </c>
      <c r="N261" s="30">
        <f>IF(A261="","",MONTH(A261))</f>
        <v>6</v>
      </c>
      <c r="O261" s="30">
        <f>IF(A261="","",YEAR(A261))</f>
        <v>2026</v>
      </c>
      <c r="P261" s="30" t="str">
        <f>IF(A261="","",CHOOSE(WEEKDAY(A261,2),"Segunda","Terça","Quarta","Quinta","Sexta","Sábado","Domingo"))</f>
        <v>Quinta</v>
      </c>
      <c r="Q261" s="30" t="str">
        <f>IF(B261="","",IF(B261&lt;TIME(12,0,0),"Manhã",IF(B261&lt;TIME(18,0,0),"Tarde","Noite")))</f>
        <v>Tarde</v>
      </c>
      <c r="R261" s="46">
        <f>IF(AND(H261="Realizado",L261&lt;&gt;"",A261&lt;=Config!$B$9),L261/60,0)</f>
        <v>0.666666666666667</v>
      </c>
      <c r="S261" s="45">
        <f>IF(G261="","",IFERROR(INDEX(Config!$K$5:$K$16,MATCH(G261,Config!$J$5:$J$16,0)),""))</f>
        <v>40</v>
      </c>
      <c r="T261" s="31">
        <f>IF(OR(G261="",F261=""),"",IFERROR(INDEX(Config!$M$5:$R$16,MATCH(G261,Config!$J$5:$J$16,0),MATCH(F261,Config!$H$5:$H$10,0)),""))</f>
        <v>130</v>
      </c>
      <c r="U261" s="47">
        <f>IF(AND(H261="Realizado",L261&lt;&gt;""),L261/60,0)</f>
        <v>0.666666666666667</v>
      </c>
      <c r="V261" s="47">
        <f>IF(AND(H261="Realizado",OR(L261="",M261="")),1,0)</f>
        <v>0</v>
      </c>
    </row>
    <row r="262">
      <c r="A262" s="43" t="n">
        <v>46199</v>
      </c>
      <c r="B262" s="44" t="n">
        <v>0.3333333333333333</v>
      </c>
      <c r="C262" s="38" t="inlineStr">
        <is>
          <t>Dr. Paulo Andrade</t>
        </is>
      </c>
      <c r="D262" s="38" t="inlineStr">
        <is>
          <t>Sala 2</t>
        </is>
      </c>
      <c r="E262" s="37" t="inlineStr">
        <is>
          <t>Beatriz Gonçalves</t>
        </is>
      </c>
      <c r="F262" s="38" t="inlineStr">
        <is>
          <t>Saúde Total</t>
        </is>
      </c>
      <c r="G262" s="38" t="inlineStr">
        <is>
          <t>Consulta</t>
        </is>
      </c>
      <c r="H262" s="38" t="inlineStr">
        <is>
          <t>Realizado</t>
        </is>
      </c>
      <c r="I262" s="38" t="inlineStr">
        <is>
          <t>Convênio</t>
        </is>
      </c>
      <c r="J262" s="38" t="n"/>
      <c r="K262" s="37" t="n"/>
      <c r="L262" s="39" t="n">
        <v>30</v>
      </c>
      <c r="M262" s="40" t="n">
        <v>120</v>
      </c>
      <c r="N262" s="30">
        <f>IF(A262="","",MONTH(A262))</f>
        <v>6</v>
      </c>
      <c r="O262" s="30">
        <f>IF(A262="","",YEAR(A262))</f>
        <v>2026</v>
      </c>
      <c r="P262" s="30" t="str">
        <f>IF(A262="","",CHOOSE(WEEKDAY(A262,2),"Segunda","Terça","Quarta","Quinta","Sexta","Sábado","Domingo"))</f>
        <v>Sexta</v>
      </c>
      <c r="Q262" s="30" t="str">
        <f>IF(B262="","",IF(B262&lt;TIME(12,0,0),"Manhã",IF(B262&lt;TIME(18,0,0),"Tarde","Noite")))</f>
        <v>Manhã</v>
      </c>
      <c r="R262" s="46">
        <f>IF(AND(H262="Realizado",L262&lt;&gt;"",A262&lt;=Config!$B$9),L262/60,0)</f>
        <v>0.5</v>
      </c>
      <c r="S262" s="45">
        <f>IF(G262="","",IFERROR(INDEX(Config!$K$5:$K$16,MATCH(G262,Config!$J$5:$J$16,0)),""))</f>
        <v>30</v>
      </c>
      <c r="T262" s="31">
        <f>IF(OR(G262="",F262=""),"",IFERROR(INDEX(Config!$M$5:$R$16,MATCH(G262,Config!$J$5:$J$16,0),MATCH(F262,Config!$H$5:$H$10,0)),""))</f>
        <v>120</v>
      </c>
      <c r="U262" s="47">
        <f>IF(AND(H262="Realizado",L262&lt;&gt;""),L262/60,0)</f>
        <v>0.5</v>
      </c>
      <c r="V262" s="47">
        <f>IF(AND(H262="Realizado",OR(L262="",M262="")),1,0)</f>
        <v>0</v>
      </c>
    </row>
    <row r="263">
      <c r="A263" s="43" t="n">
        <v>46199</v>
      </c>
      <c r="B263" s="44" t="n">
        <v>0.3541666666666667</v>
      </c>
      <c r="C263" s="38" t="inlineStr">
        <is>
          <t>Dr. Paulo Andrade</t>
        </is>
      </c>
      <c r="D263" s="38" t="inlineStr">
        <is>
          <t>Sala 2</t>
        </is>
      </c>
      <c r="E263" s="37" t="inlineStr">
        <is>
          <t>Leandro Cardoso</t>
        </is>
      </c>
      <c r="F263" s="38" t="inlineStr">
        <is>
          <t>MediPlan</t>
        </is>
      </c>
      <c r="G263" s="38" t="inlineStr">
        <is>
          <t>Consulta</t>
        </is>
      </c>
      <c r="H263" s="38" t="inlineStr">
        <is>
          <t>Realizado</t>
        </is>
      </c>
      <c r="I263" s="38" t="inlineStr">
        <is>
          <t>Convênio</t>
        </is>
      </c>
      <c r="J263" s="38" t="n"/>
      <c r="K263" s="37" t="n"/>
      <c r="L263" s="39" t="n">
        <v>30</v>
      </c>
      <c r="M263" s="40" t="n">
        <v>100</v>
      </c>
      <c r="N263" s="30">
        <f>IF(A263="","",MONTH(A263))</f>
        <v>6</v>
      </c>
      <c r="O263" s="30">
        <f>IF(A263="","",YEAR(A263))</f>
        <v>2026</v>
      </c>
      <c r="P263" s="30" t="str">
        <f>IF(A263="","",CHOOSE(WEEKDAY(A263,2),"Segunda","Terça","Quarta","Quinta","Sexta","Sábado","Domingo"))</f>
        <v>Sexta</v>
      </c>
      <c r="Q263" s="30" t="str">
        <f>IF(B263="","",IF(B263&lt;TIME(12,0,0),"Manhã",IF(B263&lt;TIME(18,0,0),"Tarde","Noite")))</f>
        <v>Manhã</v>
      </c>
      <c r="R263" s="46">
        <f>IF(AND(H263="Realizado",L263&lt;&gt;"",A263&lt;=Config!$B$9),L263/60,0)</f>
        <v>0.5</v>
      </c>
      <c r="S263" s="45">
        <f>IF(G263="","",IFERROR(INDEX(Config!$K$5:$K$16,MATCH(G263,Config!$J$5:$J$16,0)),""))</f>
        <v>30</v>
      </c>
      <c r="T263" s="31">
        <f>IF(OR(G263="",F263=""),"",IFERROR(INDEX(Config!$M$5:$R$16,MATCH(G263,Config!$J$5:$J$16,0),MATCH(F263,Config!$H$5:$H$10,0)),""))</f>
        <v>100</v>
      </c>
      <c r="U263" s="47">
        <f>IF(AND(H263="Realizado",L263&lt;&gt;""),L263/60,0)</f>
        <v>0.5</v>
      </c>
      <c r="V263" s="47">
        <f>IF(AND(H263="Realizado",OR(L263="",M263="")),1,0)</f>
        <v>0</v>
      </c>
    </row>
    <row r="264">
      <c r="A264" s="43" t="n">
        <v>46199</v>
      </c>
      <c r="B264" s="44" t="n">
        <v>0.375</v>
      </c>
      <c r="C264" s="38" t="inlineStr">
        <is>
          <t>Dr. Paulo Andrade</t>
        </is>
      </c>
      <c r="D264" s="38" t="inlineStr">
        <is>
          <t>Sala 2</t>
        </is>
      </c>
      <c r="E264" s="37" t="inlineStr">
        <is>
          <t>Priscila Rocha</t>
        </is>
      </c>
      <c r="F264" s="38" t="inlineStr">
        <is>
          <t>MediPlan</t>
        </is>
      </c>
      <c r="G264" s="38" t="inlineStr">
        <is>
          <t>ECG</t>
        </is>
      </c>
      <c r="H264" s="38" t="inlineStr">
        <is>
          <t>Falta</t>
        </is>
      </c>
      <c r="I264" s="38" t="n"/>
      <c r="J264" s="38" t="n"/>
      <c r="K264" s="37" t="n"/>
      <c r="L264" s="39" t="n">
        <v>20</v>
      </c>
      <c r="M264" s="40" t="n">
        <v>35</v>
      </c>
      <c r="N264" s="30">
        <f>IF(A264="","",MONTH(A264))</f>
        <v>6</v>
      </c>
      <c r="O264" s="30">
        <f>IF(A264="","",YEAR(A264))</f>
        <v>2026</v>
      </c>
      <c r="P264" s="30" t="str">
        <f>IF(A264="","",CHOOSE(WEEKDAY(A264,2),"Segunda","Terça","Quarta","Quinta","Sexta","Sábado","Domingo"))</f>
        <v>Sexta</v>
      </c>
      <c r="Q264" s="30" t="str">
        <f>IF(B264="","",IF(B264&lt;TIME(12,0,0),"Manhã",IF(B264&lt;TIME(18,0,0),"Tarde","Noite")))</f>
        <v>Manhã</v>
      </c>
      <c r="R264" s="46">
        <f>IF(AND(H264="Realizado",L264&lt;&gt;"",A264&lt;=Config!$B$9),L264/60,0)</f>
        <v>0</v>
      </c>
      <c r="S264" s="45">
        <f>IF(G264="","",IFERROR(INDEX(Config!$K$5:$K$16,MATCH(G264,Config!$J$5:$J$16,0)),""))</f>
        <v>20</v>
      </c>
      <c r="T264" s="31">
        <f>IF(OR(G264="",F264=""),"",IFERROR(INDEX(Config!$M$5:$R$16,MATCH(G264,Config!$J$5:$J$16,0),MATCH(F264,Config!$H$5:$H$10,0)),""))</f>
        <v>35</v>
      </c>
      <c r="U264" s="47">
        <f>IF(AND(H264="Realizado",L264&lt;&gt;""),L264/60,0)</f>
        <v>0</v>
      </c>
      <c r="V264" s="47">
        <f>IF(AND(H264="Realizado",OR(L264="",M264="")),1,0)</f>
        <v>0</v>
      </c>
    </row>
    <row r="265">
      <c r="A265" s="43" t="n">
        <v>46199</v>
      </c>
      <c r="B265" s="44" t="n">
        <v>0.3888888888888889</v>
      </c>
      <c r="C265" s="38" t="inlineStr">
        <is>
          <t>Dr. Paulo Andrade</t>
        </is>
      </c>
      <c r="D265" s="38" t="inlineStr">
        <is>
          <t>Sala 2</t>
        </is>
      </c>
      <c r="E265" s="37" t="inlineStr">
        <is>
          <t>Carlos Castro</t>
        </is>
      </c>
      <c r="F265" s="38" t="inlineStr">
        <is>
          <t>Saúde Total</t>
        </is>
      </c>
      <c r="G265" s="38" t="inlineStr">
        <is>
          <t>ECG</t>
        </is>
      </c>
      <c r="H265" s="38" t="inlineStr">
        <is>
          <t>Realizado</t>
        </is>
      </c>
      <c r="I265" s="38" t="inlineStr">
        <is>
          <t>Convênio</t>
        </is>
      </c>
      <c r="J265" s="38" t="n"/>
      <c r="K265" s="37" t="n"/>
      <c r="L265" s="39" t="n">
        <v>20</v>
      </c>
      <c r="M265" s="40" t="n">
        <v>40</v>
      </c>
      <c r="N265" s="30">
        <f>IF(A265="","",MONTH(A265))</f>
        <v>6</v>
      </c>
      <c r="O265" s="30">
        <f>IF(A265="","",YEAR(A265))</f>
        <v>2026</v>
      </c>
      <c r="P265" s="30" t="str">
        <f>IF(A265="","",CHOOSE(WEEKDAY(A265,2),"Segunda","Terça","Quarta","Quinta","Sexta","Sábado","Domingo"))</f>
        <v>Sexta</v>
      </c>
      <c r="Q265" s="30" t="str">
        <f>IF(B265="","",IF(B265&lt;TIME(12,0,0),"Manhã",IF(B265&lt;TIME(18,0,0),"Tarde","Noite")))</f>
        <v>Manhã</v>
      </c>
      <c r="R265" s="46">
        <f>IF(AND(H265="Realizado",L265&lt;&gt;"",A265&lt;=Config!$B$9),L265/60,0)</f>
        <v>0.333333333333333</v>
      </c>
      <c r="S265" s="45">
        <f>IF(G265="","",IFERROR(INDEX(Config!$K$5:$K$16,MATCH(G265,Config!$J$5:$J$16,0)),""))</f>
        <v>20</v>
      </c>
      <c r="T265" s="31">
        <f>IF(OR(G265="",F265=""),"",IFERROR(INDEX(Config!$M$5:$R$16,MATCH(G265,Config!$J$5:$J$16,0),MATCH(F265,Config!$H$5:$H$10,0)),""))</f>
        <v>40</v>
      </c>
      <c r="U265" s="47">
        <f>IF(AND(H265="Realizado",L265&lt;&gt;""),L265/60,0)</f>
        <v>0.333333333333333</v>
      </c>
      <c r="V265" s="47">
        <f>IF(AND(H265="Realizado",OR(L265="",M265="")),1,0)</f>
        <v>0</v>
      </c>
    </row>
    <row r="266">
      <c r="A266" s="43" t="n">
        <v>46199</v>
      </c>
      <c r="B266" s="44" t="n">
        <v>0.4027777777777778</v>
      </c>
      <c r="C266" s="38" t="inlineStr">
        <is>
          <t>Dr. Paulo Andrade</t>
        </is>
      </c>
      <c r="D266" s="38" t="inlineStr">
        <is>
          <t>Sala 2</t>
        </is>
      </c>
      <c r="E266" s="37" t="inlineStr">
        <is>
          <t>Otávio Martins</t>
        </is>
      </c>
      <c r="F266" s="38" t="inlineStr">
        <is>
          <t>MediPlan</t>
        </is>
      </c>
      <c r="G266" s="38" t="inlineStr">
        <is>
          <t>Consulta</t>
        </is>
      </c>
      <c r="H266" s="38" t="inlineStr">
        <is>
          <t>Realizado</t>
        </is>
      </c>
      <c r="I266" s="38" t="inlineStr">
        <is>
          <t>Convênio</t>
        </is>
      </c>
      <c r="J266" s="38" t="n"/>
      <c r="K266" s="37" t="n"/>
      <c r="L266" s="39" t="n">
        <v>30</v>
      </c>
      <c r="M266" s="40" t="n">
        <v>100</v>
      </c>
      <c r="N266" s="30">
        <f>IF(A266="","",MONTH(A266))</f>
        <v>6</v>
      </c>
      <c r="O266" s="30">
        <f>IF(A266="","",YEAR(A266))</f>
        <v>2026</v>
      </c>
      <c r="P266" s="30" t="str">
        <f>IF(A266="","",CHOOSE(WEEKDAY(A266,2),"Segunda","Terça","Quarta","Quinta","Sexta","Sábado","Domingo"))</f>
        <v>Sexta</v>
      </c>
      <c r="Q266" s="30" t="str">
        <f>IF(B266="","",IF(B266&lt;TIME(12,0,0),"Manhã",IF(B266&lt;TIME(18,0,0),"Tarde","Noite")))</f>
        <v>Manhã</v>
      </c>
      <c r="R266" s="46">
        <f>IF(AND(H266="Realizado",L266&lt;&gt;"",A266&lt;=Config!$B$9),L266/60,0)</f>
        <v>0.5</v>
      </c>
      <c r="S266" s="45">
        <f>IF(G266="","",IFERROR(INDEX(Config!$K$5:$K$16,MATCH(G266,Config!$J$5:$J$16,0)),""))</f>
        <v>30</v>
      </c>
      <c r="T266" s="31">
        <f>IF(OR(G266="",F266=""),"",IFERROR(INDEX(Config!$M$5:$R$16,MATCH(G266,Config!$J$5:$J$16,0),MATCH(F266,Config!$H$5:$H$10,0)),""))</f>
        <v>100</v>
      </c>
      <c r="U266" s="47">
        <f>IF(AND(H266="Realizado",L266&lt;&gt;""),L266/60,0)</f>
        <v>0.5</v>
      </c>
      <c r="V266" s="47">
        <f>IF(AND(H266="Realizado",OR(L266="",M266="")),1,0)</f>
        <v>0</v>
      </c>
    </row>
    <row r="267">
      <c r="A267" s="43" t="n">
        <v>46199</v>
      </c>
      <c r="B267" s="44" t="n">
        <v>0.4236111111111111</v>
      </c>
      <c r="C267" s="38" t="inlineStr">
        <is>
          <t>Dr. Paulo Andrade</t>
        </is>
      </c>
      <c r="D267" s="38" t="inlineStr">
        <is>
          <t>Sala 2</t>
        </is>
      </c>
      <c r="E267" s="37" t="inlineStr">
        <is>
          <t>Rafael Araújo</t>
        </is>
      </c>
      <c r="F267" s="38" t="inlineStr">
        <is>
          <t>MediPlan</t>
        </is>
      </c>
      <c r="G267" s="38" t="inlineStr">
        <is>
          <t>Consulta</t>
        </is>
      </c>
      <c r="H267" s="38" t="inlineStr">
        <is>
          <t>Realizado</t>
        </is>
      </c>
      <c r="I267" s="38" t="inlineStr">
        <is>
          <t>Convênio</t>
        </is>
      </c>
      <c r="J267" s="38" t="n"/>
      <c r="K267" s="37" t="n"/>
      <c r="L267" s="39" t="n">
        <v>30</v>
      </c>
      <c r="M267" s="40" t="n">
        <v>100</v>
      </c>
      <c r="N267" s="30">
        <f>IF(A267="","",MONTH(A267))</f>
        <v>6</v>
      </c>
      <c r="O267" s="30">
        <f>IF(A267="","",YEAR(A267))</f>
        <v>2026</v>
      </c>
      <c r="P267" s="30" t="str">
        <f>IF(A267="","",CHOOSE(WEEKDAY(A267,2),"Segunda","Terça","Quarta","Quinta","Sexta","Sábado","Domingo"))</f>
        <v>Sexta</v>
      </c>
      <c r="Q267" s="30" t="str">
        <f>IF(B267="","",IF(B267&lt;TIME(12,0,0),"Manhã",IF(B267&lt;TIME(18,0,0),"Tarde","Noite")))</f>
        <v>Manhã</v>
      </c>
      <c r="R267" s="46">
        <f>IF(AND(H267="Realizado",L267&lt;&gt;"",A267&lt;=Config!$B$9),L267/60,0)</f>
        <v>0.5</v>
      </c>
      <c r="S267" s="45">
        <f>IF(G267="","",IFERROR(INDEX(Config!$K$5:$K$16,MATCH(G267,Config!$J$5:$J$16,0)),""))</f>
        <v>30</v>
      </c>
      <c r="T267" s="31">
        <f>IF(OR(G267="",F267=""),"",IFERROR(INDEX(Config!$M$5:$R$16,MATCH(G267,Config!$J$5:$J$16,0),MATCH(F267,Config!$H$5:$H$10,0)),""))</f>
        <v>100</v>
      </c>
      <c r="U267" s="47">
        <f>IF(AND(H267="Realizado",L267&lt;&gt;""),L267/60,0)</f>
        <v>0.5</v>
      </c>
      <c r="V267" s="47">
        <f>IF(AND(H267="Realizado",OR(L267="",M267="")),1,0)</f>
        <v>0</v>
      </c>
    </row>
    <row r="268">
      <c r="A268" s="43" t="n">
        <v>46199</v>
      </c>
      <c r="B268" s="44" t="n">
        <v>0.4652777777777778</v>
      </c>
      <c r="C268" s="38" t="inlineStr">
        <is>
          <t>Dr. Paulo Andrade</t>
        </is>
      </c>
      <c r="D268" s="38" t="inlineStr">
        <is>
          <t>Sala 2</t>
        </is>
      </c>
      <c r="E268" s="37" t="inlineStr">
        <is>
          <t>Marcelo Ferreira</t>
        </is>
      </c>
      <c r="F268" s="38" t="inlineStr">
        <is>
          <t>Particular</t>
        </is>
      </c>
      <c r="G268" s="38" t="inlineStr">
        <is>
          <t>Consulta</t>
        </is>
      </c>
      <c r="H268" s="38" t="inlineStr">
        <is>
          <t>Realizado</t>
        </is>
      </c>
      <c r="I268" s="38" t="inlineStr">
        <is>
          <t>Cartão de débito</t>
        </is>
      </c>
      <c r="J268" s="38" t="n"/>
      <c r="K268" s="37" t="n"/>
      <c r="L268" s="39" t="n">
        <v>30</v>
      </c>
      <c r="M268" s="40" t="n">
        <v>380</v>
      </c>
      <c r="N268" s="30">
        <f>IF(A268="","",MONTH(A268))</f>
        <v>6</v>
      </c>
      <c r="O268" s="30">
        <f>IF(A268="","",YEAR(A268))</f>
        <v>2026</v>
      </c>
      <c r="P268" s="30" t="str">
        <f>IF(A268="","",CHOOSE(WEEKDAY(A268,2),"Segunda","Terça","Quarta","Quinta","Sexta","Sábado","Domingo"))</f>
        <v>Sexta</v>
      </c>
      <c r="Q268" s="30" t="str">
        <f>IF(B268="","",IF(B268&lt;TIME(12,0,0),"Manhã",IF(B268&lt;TIME(18,0,0),"Tarde","Noite")))</f>
        <v>Manhã</v>
      </c>
      <c r="R268" s="46">
        <f>IF(AND(H268="Realizado",L268&lt;&gt;"",A268&lt;=Config!$B$9),L268/60,0)</f>
        <v>0.5</v>
      </c>
      <c r="S268" s="45">
        <f>IF(G268="","",IFERROR(INDEX(Config!$K$5:$K$16,MATCH(G268,Config!$J$5:$J$16,0)),""))</f>
        <v>30</v>
      </c>
      <c r="T268" s="31">
        <f>IF(OR(G268="",F268=""),"",IFERROR(INDEX(Config!$M$5:$R$16,MATCH(G268,Config!$J$5:$J$16,0),MATCH(F268,Config!$H$5:$H$10,0)),""))</f>
        <v>380</v>
      </c>
      <c r="U268" s="47">
        <f>IF(AND(H268="Realizado",L268&lt;&gt;""),L268/60,0)</f>
        <v>0.5</v>
      </c>
      <c r="V268" s="47">
        <f>IF(AND(H268="Realizado",OR(L268="",M268="")),1,0)</f>
        <v>0</v>
      </c>
    </row>
    <row r="269">
      <c r="A269" s="43" t="n">
        <v>46199</v>
      </c>
      <c r="B269" s="44" t="n">
        <v>0.4861111111111111</v>
      </c>
      <c r="C269" s="38" t="inlineStr">
        <is>
          <t>Dr. Paulo Andrade</t>
        </is>
      </c>
      <c r="D269" s="38" t="inlineStr">
        <is>
          <t>Sala 2</t>
        </is>
      </c>
      <c r="E269" s="37" t="inlineStr">
        <is>
          <t>Mariana Nascimento</t>
        </is>
      </c>
      <c r="F269" s="38" t="inlineStr">
        <is>
          <t>Particular</t>
        </is>
      </c>
      <c r="G269" s="38" t="inlineStr">
        <is>
          <t>MAPA</t>
        </is>
      </c>
      <c r="H269" s="38" t="inlineStr">
        <is>
          <t>Realizado</t>
        </is>
      </c>
      <c r="I269" s="38" t="inlineStr">
        <is>
          <t>Pix</t>
        </is>
      </c>
      <c r="J269" s="38" t="n"/>
      <c r="K269" s="37" t="n"/>
      <c r="L269" s="39" t="n">
        <v>20</v>
      </c>
      <c r="M269" s="40" t="n">
        <v>300</v>
      </c>
      <c r="N269" s="30">
        <f>IF(A269="","",MONTH(A269))</f>
        <v>6</v>
      </c>
      <c r="O269" s="30">
        <f>IF(A269="","",YEAR(A269))</f>
        <v>2026</v>
      </c>
      <c r="P269" s="30" t="str">
        <f>IF(A269="","",CHOOSE(WEEKDAY(A269,2),"Segunda","Terça","Quarta","Quinta","Sexta","Sábado","Domingo"))</f>
        <v>Sexta</v>
      </c>
      <c r="Q269" s="30" t="str">
        <f>IF(B269="","",IF(B269&lt;TIME(12,0,0),"Manhã",IF(B269&lt;TIME(18,0,0),"Tarde","Noite")))</f>
        <v>Manhã</v>
      </c>
      <c r="R269" s="46">
        <f>IF(AND(H269="Realizado",L269&lt;&gt;"",A269&lt;=Config!$B$9),L269/60,0)</f>
        <v>0.333333333333333</v>
      </c>
      <c r="S269" s="45">
        <f>IF(G269="","",IFERROR(INDEX(Config!$K$5:$K$16,MATCH(G269,Config!$J$5:$J$16,0)),""))</f>
        <v>20</v>
      </c>
      <c r="T269" s="31">
        <f>IF(OR(G269="",F269=""),"",IFERROR(INDEX(Config!$M$5:$R$16,MATCH(G269,Config!$J$5:$J$16,0),MATCH(F269,Config!$H$5:$H$10,0)),""))</f>
        <v>300</v>
      </c>
      <c r="U269" s="47">
        <f>IF(AND(H269="Realizado",L269&lt;&gt;""),L269/60,0)</f>
        <v>0.333333333333333</v>
      </c>
      <c r="V269" s="47">
        <f>IF(AND(H269="Realizado",OR(L269="",M269="")),1,0)</f>
        <v>0</v>
      </c>
    </row>
    <row r="270">
      <c r="A270" s="43" t="n">
        <v>46202</v>
      </c>
      <c r="B270" s="44" t="n">
        <v>0.3333333333333333</v>
      </c>
      <c r="C270" s="38" t="inlineStr">
        <is>
          <t>Dra. Carolina Mendes</t>
        </is>
      </c>
      <c r="D270" s="38" t="inlineStr">
        <is>
          <t>Sala 1</t>
        </is>
      </c>
      <c r="E270" s="37" t="inlineStr">
        <is>
          <t>Roberta Araújo</t>
        </is>
      </c>
      <c r="F270" s="38" t="inlineStr">
        <is>
          <t>Particular</t>
        </is>
      </c>
      <c r="G270" s="38" t="inlineStr">
        <is>
          <t>Consulta</t>
        </is>
      </c>
      <c r="H270" s="38" t="inlineStr">
        <is>
          <t>Realizado</t>
        </is>
      </c>
      <c r="I270" s="38" t="inlineStr">
        <is>
          <t>Cartão de débito</t>
        </is>
      </c>
      <c r="J270" s="38" t="n"/>
      <c r="K270" s="37" t="n"/>
      <c r="L270" s="39" t="n">
        <v>30</v>
      </c>
      <c r="M270" s="40" t="n">
        <v>380</v>
      </c>
      <c r="N270" s="30">
        <f>IF(A270="","",MONTH(A270))</f>
        <v>6</v>
      </c>
      <c r="O270" s="30">
        <f>IF(A270="","",YEAR(A270))</f>
        <v>2026</v>
      </c>
      <c r="P270" s="30" t="str">
        <f>IF(A270="","",CHOOSE(WEEKDAY(A270,2),"Segunda","Terça","Quarta","Quinta","Sexta","Sábado","Domingo"))</f>
        <v>Segunda</v>
      </c>
      <c r="Q270" s="30" t="str">
        <f>IF(B270="","",IF(B270&lt;TIME(12,0,0),"Manhã",IF(B270&lt;TIME(18,0,0),"Tarde","Noite")))</f>
        <v>Manhã</v>
      </c>
      <c r="R270" s="46">
        <f>IF(AND(H270="Realizado",L270&lt;&gt;"",A270&lt;=Config!$B$9),L270/60,0)</f>
        <v>0.5</v>
      </c>
      <c r="S270" s="45">
        <f>IF(G270="","",IFERROR(INDEX(Config!$K$5:$K$16,MATCH(G270,Config!$J$5:$J$16,0)),""))</f>
        <v>30</v>
      </c>
      <c r="T270" s="31">
        <f>IF(OR(G270="",F270=""),"",IFERROR(INDEX(Config!$M$5:$R$16,MATCH(G270,Config!$J$5:$J$16,0),MATCH(F270,Config!$H$5:$H$10,0)),""))</f>
        <v>380</v>
      </c>
      <c r="U270" s="47">
        <f>IF(AND(H270="Realizado",L270&lt;&gt;""),L270/60,0)</f>
        <v>0.5</v>
      </c>
      <c r="V270" s="47">
        <f>IF(AND(H270="Realizado",OR(L270="",M270="")),1,0)</f>
        <v>0</v>
      </c>
    </row>
    <row r="271">
      <c r="A271" s="43" t="n">
        <v>46202</v>
      </c>
      <c r="B271" s="44" t="n">
        <v>0.375</v>
      </c>
      <c r="C271" s="38" t="inlineStr">
        <is>
          <t>Dra. Carolina Mendes</t>
        </is>
      </c>
      <c r="D271" s="38" t="inlineStr">
        <is>
          <t>Sala 1</t>
        </is>
      </c>
      <c r="E271" s="37" t="inlineStr">
        <is>
          <t>Gisele Ribeiro</t>
        </is>
      </c>
      <c r="F271" s="38" t="inlineStr">
        <is>
          <t>Particular</t>
        </is>
      </c>
      <c r="G271" s="38" t="inlineStr">
        <is>
          <t>Consulta</t>
        </is>
      </c>
      <c r="H271" s="38" t="inlineStr">
        <is>
          <t>Falta</t>
        </is>
      </c>
      <c r="I271" s="38" t="n"/>
      <c r="J271" s="38" t="n"/>
      <c r="K271" s="37" t="n"/>
      <c r="L271" s="39" t="n">
        <v>30</v>
      </c>
      <c r="M271" s="40" t="n">
        <v>380</v>
      </c>
      <c r="N271" s="30">
        <f>IF(A271="","",MONTH(A271))</f>
        <v>6</v>
      </c>
      <c r="O271" s="30">
        <f>IF(A271="","",YEAR(A271))</f>
        <v>2026</v>
      </c>
      <c r="P271" s="30" t="str">
        <f>IF(A271="","",CHOOSE(WEEKDAY(A271,2),"Segunda","Terça","Quarta","Quinta","Sexta","Sábado","Domingo"))</f>
        <v>Segunda</v>
      </c>
      <c r="Q271" s="30" t="str">
        <f>IF(B271="","",IF(B271&lt;TIME(12,0,0),"Manhã",IF(B271&lt;TIME(18,0,0),"Tarde","Noite")))</f>
        <v>Manhã</v>
      </c>
      <c r="R271" s="46">
        <f>IF(AND(H271="Realizado",L271&lt;&gt;"",A271&lt;=Config!$B$9),L271/60,0)</f>
        <v>0</v>
      </c>
      <c r="S271" s="45">
        <f>IF(G271="","",IFERROR(INDEX(Config!$K$5:$K$16,MATCH(G271,Config!$J$5:$J$16,0)),""))</f>
        <v>30</v>
      </c>
      <c r="T271" s="31">
        <f>IF(OR(G271="",F271=""),"",IFERROR(INDEX(Config!$M$5:$R$16,MATCH(G271,Config!$J$5:$J$16,0),MATCH(F271,Config!$H$5:$H$10,0)),""))</f>
        <v>380</v>
      </c>
      <c r="U271" s="47">
        <f>IF(AND(H271="Realizado",L271&lt;&gt;""),L271/60,0)</f>
        <v>0</v>
      </c>
      <c r="V271" s="47">
        <f>IF(AND(H271="Realizado",OR(L271="",M271="")),1,0)</f>
        <v>0</v>
      </c>
    </row>
    <row r="272">
      <c r="A272" s="43" t="n">
        <v>46202</v>
      </c>
      <c r="B272" s="44" t="n">
        <v>0.3958333333333333</v>
      </c>
      <c r="C272" s="38" t="inlineStr">
        <is>
          <t>Dra. Carolina Mendes</t>
        </is>
      </c>
      <c r="D272" s="38" t="inlineStr">
        <is>
          <t>Sala 1</t>
        </is>
      </c>
      <c r="E272" s="37" t="inlineStr">
        <is>
          <t>Leandro Oliveira</t>
        </is>
      </c>
      <c r="F272" s="38" t="inlineStr">
        <is>
          <t>Particular</t>
        </is>
      </c>
      <c r="G272" s="38" t="inlineStr">
        <is>
          <t>Retorno</t>
        </is>
      </c>
      <c r="H272" s="38" t="inlineStr">
        <is>
          <t>Realizado</t>
        </is>
      </c>
      <c r="I272" s="38" t="inlineStr">
        <is>
          <t>Sem cobrança</t>
        </is>
      </c>
      <c r="J272" s="38" t="n"/>
      <c r="K272" s="37" t="n"/>
      <c r="L272" s="39" t="n">
        <v>20</v>
      </c>
      <c r="M272" s="40" t="n">
        <v>0</v>
      </c>
      <c r="N272" s="30">
        <f>IF(A272="","",MONTH(A272))</f>
        <v>6</v>
      </c>
      <c r="O272" s="30">
        <f>IF(A272="","",YEAR(A272))</f>
        <v>2026</v>
      </c>
      <c r="P272" s="30" t="str">
        <f>IF(A272="","",CHOOSE(WEEKDAY(A272,2),"Segunda","Terça","Quarta","Quinta","Sexta","Sábado","Domingo"))</f>
        <v>Segunda</v>
      </c>
      <c r="Q272" s="30" t="str">
        <f>IF(B272="","",IF(B272&lt;TIME(12,0,0),"Manhã",IF(B272&lt;TIME(18,0,0),"Tarde","Noite")))</f>
        <v>Manhã</v>
      </c>
      <c r="R272" s="46">
        <f>IF(AND(H272="Realizado",L272&lt;&gt;"",A272&lt;=Config!$B$9),L272/60,0)</f>
        <v>0.333333333333333</v>
      </c>
      <c r="S272" s="45">
        <f>IF(G272="","",IFERROR(INDEX(Config!$K$5:$K$16,MATCH(G272,Config!$J$5:$J$16,0)),""))</f>
        <v>20</v>
      </c>
      <c r="T272" s="31">
        <f>IF(OR(G272="",F272=""),"",IFERROR(INDEX(Config!$M$5:$R$16,MATCH(G272,Config!$J$5:$J$16,0),MATCH(F272,Config!$H$5:$H$10,0)),""))</f>
        <v>0</v>
      </c>
      <c r="U272" s="47">
        <f>IF(AND(H272="Realizado",L272&lt;&gt;""),L272/60,0)</f>
        <v>0.333333333333333</v>
      </c>
      <c r="V272" s="47">
        <f>IF(AND(H272="Realizado",OR(L272="",M272="")),1,0)</f>
        <v>0</v>
      </c>
    </row>
    <row r="273">
      <c r="A273" s="43" t="n">
        <v>46202</v>
      </c>
      <c r="B273" s="44" t="n">
        <v>0.4305555555555556</v>
      </c>
      <c r="C273" s="38" t="inlineStr">
        <is>
          <t>Dra. Carolina Mendes</t>
        </is>
      </c>
      <c r="D273" s="38" t="inlineStr">
        <is>
          <t>Sala 1</t>
        </is>
      </c>
      <c r="E273" s="37" t="inlineStr">
        <is>
          <t>Otávio Nascimento</t>
        </is>
      </c>
      <c r="F273" s="38" t="inlineStr">
        <is>
          <t>Particular</t>
        </is>
      </c>
      <c r="G273" s="38" t="inlineStr">
        <is>
          <t>Consulta</t>
        </is>
      </c>
      <c r="H273" s="38" t="inlineStr">
        <is>
          <t>Realizado</t>
        </is>
      </c>
      <c r="I273" s="38" t="inlineStr">
        <is>
          <t>Cartão de crédito</t>
        </is>
      </c>
      <c r="J273" s="38" t="n">
        <v>2</v>
      </c>
      <c r="K273" s="37" t="n"/>
      <c r="L273" s="39" t="n">
        <v>30</v>
      </c>
      <c r="M273" s="40" t="n">
        <v>380</v>
      </c>
      <c r="N273" s="30">
        <f>IF(A273="","",MONTH(A273))</f>
        <v>6</v>
      </c>
      <c r="O273" s="30">
        <f>IF(A273="","",YEAR(A273))</f>
        <v>2026</v>
      </c>
      <c r="P273" s="30" t="str">
        <f>IF(A273="","",CHOOSE(WEEKDAY(A273,2),"Segunda","Terça","Quarta","Quinta","Sexta","Sábado","Domingo"))</f>
        <v>Segunda</v>
      </c>
      <c r="Q273" s="30" t="str">
        <f>IF(B273="","",IF(B273&lt;TIME(12,0,0),"Manhã",IF(B273&lt;TIME(18,0,0),"Tarde","Noite")))</f>
        <v>Manhã</v>
      </c>
      <c r="R273" s="46">
        <f>IF(AND(H273="Realizado",L273&lt;&gt;"",A273&lt;=Config!$B$9),L273/60,0)</f>
        <v>0.5</v>
      </c>
      <c r="S273" s="45">
        <f>IF(G273="","",IFERROR(INDEX(Config!$K$5:$K$16,MATCH(G273,Config!$J$5:$J$16,0)),""))</f>
        <v>30</v>
      </c>
      <c r="T273" s="31">
        <f>IF(OR(G273="",F273=""),"",IFERROR(INDEX(Config!$M$5:$R$16,MATCH(G273,Config!$J$5:$J$16,0),MATCH(F273,Config!$H$5:$H$10,0)),""))</f>
        <v>380</v>
      </c>
      <c r="U273" s="47">
        <f>IF(AND(H273="Realizado",L273&lt;&gt;""),L273/60,0)</f>
        <v>0.5</v>
      </c>
      <c r="V273" s="47">
        <f>IF(AND(H273="Realizado",OR(L273="",M273="")),1,0)</f>
        <v>0</v>
      </c>
    </row>
    <row r="274">
      <c r="A274" s="43" t="n">
        <v>46202</v>
      </c>
      <c r="B274" s="44" t="n">
        <v>0.4513888888888889</v>
      </c>
      <c r="C274" s="38" t="inlineStr">
        <is>
          <t>Dra. Carolina Mendes</t>
        </is>
      </c>
      <c r="D274" s="38" t="inlineStr">
        <is>
          <t>Sala 1</t>
        </is>
      </c>
      <c r="E274" s="37" t="inlineStr">
        <is>
          <t>Ana Costa</t>
        </is>
      </c>
      <c r="F274" s="38" t="inlineStr">
        <is>
          <t>Particular</t>
        </is>
      </c>
      <c r="G274" s="38" t="inlineStr">
        <is>
          <t>Retorno</t>
        </is>
      </c>
      <c r="H274" s="38" t="inlineStr">
        <is>
          <t>Realizado</t>
        </is>
      </c>
      <c r="I274" s="38" t="inlineStr">
        <is>
          <t>Sem cobrança</t>
        </is>
      </c>
      <c r="J274" s="38" t="n"/>
      <c r="K274" s="37" t="n"/>
      <c r="L274" s="39" t="n">
        <v>20</v>
      </c>
      <c r="M274" s="40" t="n">
        <v>0</v>
      </c>
      <c r="N274" s="30">
        <f>IF(A274="","",MONTH(A274))</f>
        <v>6</v>
      </c>
      <c r="O274" s="30">
        <f>IF(A274="","",YEAR(A274))</f>
        <v>2026</v>
      </c>
      <c r="P274" s="30" t="str">
        <f>IF(A274="","",CHOOSE(WEEKDAY(A274,2),"Segunda","Terça","Quarta","Quinta","Sexta","Sábado","Domingo"))</f>
        <v>Segunda</v>
      </c>
      <c r="Q274" s="30" t="str">
        <f>IF(B274="","",IF(B274&lt;TIME(12,0,0),"Manhã",IF(B274&lt;TIME(18,0,0),"Tarde","Noite")))</f>
        <v>Manhã</v>
      </c>
      <c r="R274" s="46">
        <f>IF(AND(H274="Realizado",L274&lt;&gt;"",A274&lt;=Config!$B$9),L274/60,0)</f>
        <v>0.333333333333333</v>
      </c>
      <c r="S274" s="45">
        <f>IF(G274="","",IFERROR(INDEX(Config!$K$5:$K$16,MATCH(G274,Config!$J$5:$J$16,0)),""))</f>
        <v>20</v>
      </c>
      <c r="T274" s="31">
        <f>IF(OR(G274="",F274=""),"",IFERROR(INDEX(Config!$M$5:$R$16,MATCH(G274,Config!$J$5:$J$16,0),MATCH(F274,Config!$H$5:$H$10,0)),""))</f>
        <v>0</v>
      </c>
      <c r="U274" s="47">
        <f>IF(AND(H274="Realizado",L274&lt;&gt;""),L274/60,0)</f>
        <v>0.333333333333333</v>
      </c>
      <c r="V274" s="47">
        <f>IF(AND(H274="Realizado",OR(L274="",M274="")),1,0)</f>
        <v>0</v>
      </c>
    </row>
    <row r="275">
      <c r="A275" s="43" t="n">
        <v>46202</v>
      </c>
      <c r="B275" s="44" t="n">
        <v>0.4861111111111111</v>
      </c>
      <c r="C275" s="38" t="inlineStr">
        <is>
          <t>Dra. Carolina Mendes</t>
        </is>
      </c>
      <c r="D275" s="38" t="inlineStr">
        <is>
          <t>Sala 1</t>
        </is>
      </c>
      <c r="E275" s="37" t="inlineStr">
        <is>
          <t>Cláudia Costa</t>
        </is>
      </c>
      <c r="F275" s="38" t="inlineStr">
        <is>
          <t>Particular</t>
        </is>
      </c>
      <c r="G275" s="38" t="inlineStr">
        <is>
          <t>Retorno</t>
        </is>
      </c>
      <c r="H275" s="38" t="inlineStr">
        <is>
          <t>Realizado</t>
        </is>
      </c>
      <c r="I275" s="38" t="inlineStr">
        <is>
          <t>Sem cobrança</t>
        </is>
      </c>
      <c r="J275" s="38" t="n"/>
      <c r="K275" s="37" t="n"/>
      <c r="L275" s="39" t="n">
        <v>20</v>
      </c>
      <c r="M275" s="40" t="n">
        <v>0</v>
      </c>
      <c r="N275" s="30">
        <f>IF(A275="","",MONTH(A275))</f>
        <v>6</v>
      </c>
      <c r="O275" s="30">
        <f>IF(A275="","",YEAR(A275))</f>
        <v>2026</v>
      </c>
      <c r="P275" s="30" t="str">
        <f>IF(A275="","",CHOOSE(WEEKDAY(A275,2),"Segunda","Terça","Quarta","Quinta","Sexta","Sábado","Domingo"))</f>
        <v>Segunda</v>
      </c>
      <c r="Q275" s="30" t="str">
        <f>IF(B275="","",IF(B275&lt;TIME(12,0,0),"Manhã",IF(B275&lt;TIME(18,0,0),"Tarde","Noite")))</f>
        <v>Manhã</v>
      </c>
      <c r="R275" s="46">
        <f>IF(AND(H275="Realizado",L275&lt;&gt;"",A275&lt;=Config!$B$9),L275/60,0)</f>
        <v>0.333333333333333</v>
      </c>
      <c r="S275" s="45">
        <f>IF(G275="","",IFERROR(INDEX(Config!$K$5:$K$16,MATCH(G275,Config!$J$5:$J$16,0)),""))</f>
        <v>20</v>
      </c>
      <c r="T275" s="31">
        <f>IF(OR(G275="",F275=""),"",IFERROR(INDEX(Config!$M$5:$R$16,MATCH(G275,Config!$J$5:$J$16,0),MATCH(F275,Config!$H$5:$H$10,0)),""))</f>
        <v>0</v>
      </c>
      <c r="U275" s="47">
        <f>IF(AND(H275="Realizado",L275&lt;&gt;""),L275/60,0)</f>
        <v>0.333333333333333</v>
      </c>
      <c r="V275" s="47">
        <f>IF(AND(H275="Realizado",OR(L275="",M275="")),1,0)</f>
        <v>0</v>
      </c>
    </row>
    <row r="276">
      <c r="A276" s="43" t="n">
        <v>46202</v>
      </c>
      <c r="B276" s="44" t="n">
        <v>0.5833333333333334</v>
      </c>
      <c r="C276" s="38" t="inlineStr">
        <is>
          <t>Dr. Paulo Andrade</t>
        </is>
      </c>
      <c r="D276" s="38" t="inlineStr">
        <is>
          <t>Sala 2</t>
        </is>
      </c>
      <c r="E276" s="37" t="inlineStr">
        <is>
          <t>Tatiana Cunha</t>
        </is>
      </c>
      <c r="F276" s="38" t="inlineStr">
        <is>
          <t>Saúde Total</t>
        </is>
      </c>
      <c r="G276" s="38" t="inlineStr">
        <is>
          <t>Holter</t>
        </is>
      </c>
      <c r="H276" s="38" t="inlineStr">
        <is>
          <t>Realizado</t>
        </is>
      </c>
      <c r="I276" s="38" t="inlineStr">
        <is>
          <t>Convênio</t>
        </is>
      </c>
      <c r="J276" s="38" t="n"/>
      <c r="K276" s="37" t="n"/>
      <c r="L276" s="39" t="n">
        <v>20</v>
      </c>
      <c r="M276" s="40" t="n">
        <v>105</v>
      </c>
      <c r="N276" s="30">
        <f>IF(A276="","",MONTH(A276))</f>
        <v>6</v>
      </c>
      <c r="O276" s="30">
        <f>IF(A276="","",YEAR(A276))</f>
        <v>2026</v>
      </c>
      <c r="P276" s="30" t="str">
        <f>IF(A276="","",CHOOSE(WEEKDAY(A276,2),"Segunda","Terça","Quarta","Quinta","Sexta","Sábado","Domingo"))</f>
        <v>Segunda</v>
      </c>
      <c r="Q276" s="30" t="str">
        <f>IF(B276="","",IF(B276&lt;TIME(12,0,0),"Manhã",IF(B276&lt;TIME(18,0,0),"Tarde","Noite")))</f>
        <v>Tarde</v>
      </c>
      <c r="R276" s="46">
        <f>IF(AND(H276="Realizado",L276&lt;&gt;"",A276&lt;=Config!$B$9),L276/60,0)</f>
        <v>0.333333333333333</v>
      </c>
      <c r="S276" s="45">
        <f>IF(G276="","",IFERROR(INDEX(Config!$K$5:$K$16,MATCH(G276,Config!$J$5:$J$16,0)),""))</f>
        <v>20</v>
      </c>
      <c r="T276" s="31">
        <f>IF(OR(G276="",F276=""),"",IFERROR(INDEX(Config!$M$5:$R$16,MATCH(G276,Config!$J$5:$J$16,0),MATCH(F276,Config!$H$5:$H$10,0)),""))</f>
        <v>105</v>
      </c>
      <c r="U276" s="47">
        <f>IF(AND(H276="Realizado",L276&lt;&gt;""),L276/60,0)</f>
        <v>0.333333333333333</v>
      </c>
      <c r="V276" s="47">
        <f>IF(AND(H276="Realizado",OR(L276="",M276="")),1,0)</f>
        <v>0</v>
      </c>
    </row>
    <row r="277">
      <c r="A277" s="43" t="n">
        <v>46202</v>
      </c>
      <c r="B277" s="44" t="n">
        <v>0.6180555555555556</v>
      </c>
      <c r="C277" s="38" t="inlineStr">
        <is>
          <t>Dr. Paulo Andrade</t>
        </is>
      </c>
      <c r="D277" s="38" t="inlineStr">
        <is>
          <t>Sala 2</t>
        </is>
      </c>
      <c r="E277" s="37" t="inlineStr">
        <is>
          <t>Sandra Cardoso</t>
        </is>
      </c>
      <c r="F277" s="38" t="inlineStr">
        <is>
          <t>Saúde Total</t>
        </is>
      </c>
      <c r="G277" s="38" t="inlineStr">
        <is>
          <t>ECG</t>
        </is>
      </c>
      <c r="H277" s="38" t="inlineStr">
        <is>
          <t>Realizado</t>
        </is>
      </c>
      <c r="I277" s="38" t="inlineStr">
        <is>
          <t>Convênio</t>
        </is>
      </c>
      <c r="J277" s="38" t="n"/>
      <c r="K277" s="37" t="n"/>
      <c r="L277" s="39" t="n">
        <v>20</v>
      </c>
      <c r="M277" s="40" t="n">
        <v>40</v>
      </c>
      <c r="N277" s="30">
        <f>IF(A277="","",MONTH(A277))</f>
        <v>6</v>
      </c>
      <c r="O277" s="30">
        <f>IF(A277="","",YEAR(A277))</f>
        <v>2026</v>
      </c>
      <c r="P277" s="30" t="str">
        <f>IF(A277="","",CHOOSE(WEEKDAY(A277,2),"Segunda","Terça","Quarta","Quinta","Sexta","Sábado","Domingo"))</f>
        <v>Segunda</v>
      </c>
      <c r="Q277" s="30" t="str">
        <f>IF(B277="","",IF(B277&lt;TIME(12,0,0),"Manhã",IF(B277&lt;TIME(18,0,0),"Tarde","Noite")))</f>
        <v>Tarde</v>
      </c>
      <c r="R277" s="46">
        <f>IF(AND(H277="Realizado",L277&lt;&gt;"",A277&lt;=Config!$B$9),L277/60,0)</f>
        <v>0.333333333333333</v>
      </c>
      <c r="S277" s="45">
        <f>IF(G277="","",IFERROR(INDEX(Config!$K$5:$K$16,MATCH(G277,Config!$J$5:$J$16,0)),""))</f>
        <v>20</v>
      </c>
      <c r="T277" s="31">
        <f>IF(OR(G277="",F277=""),"",IFERROR(INDEX(Config!$M$5:$R$16,MATCH(G277,Config!$J$5:$J$16,0),MATCH(F277,Config!$H$5:$H$10,0)),""))</f>
        <v>40</v>
      </c>
      <c r="U277" s="47">
        <f>IF(AND(H277="Realizado",L277&lt;&gt;""),L277/60,0)</f>
        <v>0.333333333333333</v>
      </c>
      <c r="V277" s="47">
        <f>IF(AND(H277="Realizado",OR(L277="",M277="")),1,0)</f>
        <v>0</v>
      </c>
    </row>
    <row r="278">
      <c r="A278" s="43" t="n">
        <v>46202</v>
      </c>
      <c r="B278" s="44" t="n">
        <v>0.6319444444444444</v>
      </c>
      <c r="C278" s="38" t="inlineStr">
        <is>
          <t>Dr. Paulo Andrade</t>
        </is>
      </c>
      <c r="D278" s="38" t="inlineStr">
        <is>
          <t>Sala 2</t>
        </is>
      </c>
      <c r="E278" s="37" t="inlineStr">
        <is>
          <t>Roberta Araújo</t>
        </is>
      </c>
      <c r="F278" s="38" t="inlineStr">
        <is>
          <t>Particular</t>
        </is>
      </c>
      <c r="G278" s="38" t="inlineStr">
        <is>
          <t>MAPA</t>
        </is>
      </c>
      <c r="H278" s="38" t="inlineStr">
        <is>
          <t>Realizado</t>
        </is>
      </c>
      <c r="I278" s="38" t="inlineStr">
        <is>
          <t>Pix</t>
        </is>
      </c>
      <c r="J278" s="38" t="n"/>
      <c r="K278" s="37" t="n"/>
      <c r="L278" s="39" t="n">
        <v>20</v>
      </c>
      <c r="M278" s="40" t="n">
        <v>300</v>
      </c>
      <c r="N278" s="30">
        <f>IF(A278="","",MONTH(A278))</f>
        <v>6</v>
      </c>
      <c r="O278" s="30">
        <f>IF(A278="","",YEAR(A278))</f>
        <v>2026</v>
      </c>
      <c r="P278" s="30" t="str">
        <f>IF(A278="","",CHOOSE(WEEKDAY(A278,2),"Segunda","Terça","Quarta","Quinta","Sexta","Sábado","Domingo"))</f>
        <v>Segunda</v>
      </c>
      <c r="Q278" s="30" t="str">
        <f>IF(B278="","",IF(B278&lt;TIME(12,0,0),"Manhã",IF(B278&lt;TIME(18,0,0),"Tarde","Noite")))</f>
        <v>Tarde</v>
      </c>
      <c r="R278" s="46">
        <f>IF(AND(H278="Realizado",L278&lt;&gt;"",A278&lt;=Config!$B$9),L278/60,0)</f>
        <v>0.333333333333333</v>
      </c>
      <c r="S278" s="45">
        <f>IF(G278="","",IFERROR(INDEX(Config!$K$5:$K$16,MATCH(G278,Config!$J$5:$J$16,0)),""))</f>
        <v>20</v>
      </c>
      <c r="T278" s="31">
        <f>IF(OR(G278="",F278=""),"",IFERROR(INDEX(Config!$M$5:$R$16,MATCH(G278,Config!$J$5:$J$16,0),MATCH(F278,Config!$H$5:$H$10,0)),""))</f>
        <v>300</v>
      </c>
      <c r="U278" s="47">
        <f>IF(AND(H278="Realizado",L278&lt;&gt;""),L278/60,0)</f>
        <v>0.333333333333333</v>
      </c>
      <c r="V278" s="47">
        <f>IF(AND(H278="Realizado",OR(L278="",M278="")),1,0)</f>
        <v>0</v>
      </c>
    </row>
    <row r="279">
      <c r="A279" s="43" t="n">
        <v>46202</v>
      </c>
      <c r="B279" s="44" t="n">
        <v>0.6458333333333334</v>
      </c>
      <c r="C279" s="38" t="inlineStr">
        <is>
          <t>Dr. Paulo Andrade</t>
        </is>
      </c>
      <c r="D279" s="38" t="inlineStr">
        <is>
          <t>Sala 2</t>
        </is>
      </c>
      <c r="E279" s="37" t="inlineStr">
        <is>
          <t>Camila Martins</t>
        </is>
      </c>
      <c r="F279" s="38" t="inlineStr">
        <is>
          <t>Vida Care</t>
        </is>
      </c>
      <c r="G279" s="38" t="inlineStr">
        <is>
          <t>Consulta</t>
        </is>
      </c>
      <c r="H279" s="38" t="inlineStr">
        <is>
          <t>Realizado</t>
        </is>
      </c>
      <c r="I279" s="38" t="inlineStr">
        <is>
          <t>Convênio</t>
        </is>
      </c>
      <c r="J279" s="38" t="n"/>
      <c r="K279" s="37" t="n"/>
      <c r="L279" s="39" t="n">
        <v>30</v>
      </c>
      <c r="M279" s="40" t="n">
        <v>90</v>
      </c>
      <c r="N279" s="30">
        <f>IF(A279="","",MONTH(A279))</f>
        <v>6</v>
      </c>
      <c r="O279" s="30">
        <f>IF(A279="","",YEAR(A279))</f>
        <v>2026</v>
      </c>
      <c r="P279" s="30" t="str">
        <f>IF(A279="","",CHOOSE(WEEKDAY(A279,2),"Segunda","Terça","Quarta","Quinta","Sexta","Sábado","Domingo"))</f>
        <v>Segunda</v>
      </c>
      <c r="Q279" s="30" t="str">
        <f>IF(B279="","",IF(B279&lt;TIME(12,0,0),"Manhã",IF(B279&lt;TIME(18,0,0),"Tarde","Noite")))</f>
        <v>Tarde</v>
      </c>
      <c r="R279" s="46">
        <f>IF(AND(H279="Realizado",L279&lt;&gt;"",A279&lt;=Config!$B$9),L279/60,0)</f>
        <v>0.5</v>
      </c>
      <c r="S279" s="45">
        <f>IF(G279="","",IFERROR(INDEX(Config!$K$5:$K$16,MATCH(G279,Config!$J$5:$J$16,0)),""))</f>
        <v>30</v>
      </c>
      <c r="T279" s="31">
        <f>IF(OR(G279="",F279=""),"",IFERROR(INDEX(Config!$M$5:$R$16,MATCH(G279,Config!$J$5:$J$16,0),MATCH(F279,Config!$H$5:$H$10,0)),""))</f>
        <v>90</v>
      </c>
      <c r="U279" s="47">
        <f>IF(AND(H279="Realizado",L279&lt;&gt;""),L279/60,0)</f>
        <v>0.5</v>
      </c>
      <c r="V279" s="47">
        <f>IF(AND(H279="Realizado",OR(L279="",M279="")),1,0)</f>
        <v>0</v>
      </c>
    </row>
    <row r="280">
      <c r="A280" s="43" t="n">
        <v>46202</v>
      </c>
      <c r="B280" s="44" t="n">
        <v>0.6666666666666666</v>
      </c>
      <c r="C280" s="38" t="inlineStr">
        <is>
          <t>Dr. Paulo Andrade</t>
        </is>
      </c>
      <c r="D280" s="38" t="inlineStr">
        <is>
          <t>Sala 2</t>
        </is>
      </c>
      <c r="E280" s="37" t="inlineStr">
        <is>
          <t>Priscila Rocha</t>
        </is>
      </c>
      <c r="F280" s="38" t="inlineStr">
        <is>
          <t>MediPlan</t>
        </is>
      </c>
      <c r="G280" s="38" t="inlineStr">
        <is>
          <t>Consulta</t>
        </is>
      </c>
      <c r="H280" s="38" t="inlineStr">
        <is>
          <t>Realizado</t>
        </is>
      </c>
      <c r="I280" s="38" t="inlineStr">
        <is>
          <t>Convênio</t>
        </is>
      </c>
      <c r="J280" s="38" t="n"/>
      <c r="K280" s="37" t="n"/>
      <c r="L280" s="39" t="n">
        <v>30</v>
      </c>
      <c r="M280" s="40" t="n">
        <v>100</v>
      </c>
      <c r="N280" s="30">
        <f>IF(A280="","",MONTH(A280))</f>
        <v>6</v>
      </c>
      <c r="O280" s="30">
        <f>IF(A280="","",YEAR(A280))</f>
        <v>2026</v>
      </c>
      <c r="P280" s="30" t="str">
        <f>IF(A280="","",CHOOSE(WEEKDAY(A280,2),"Segunda","Terça","Quarta","Quinta","Sexta","Sábado","Domingo"))</f>
        <v>Segunda</v>
      </c>
      <c r="Q280" s="30" t="str">
        <f>IF(B280="","",IF(B280&lt;TIME(12,0,0),"Manhã",IF(B280&lt;TIME(18,0,0),"Tarde","Noite")))</f>
        <v>Tarde</v>
      </c>
      <c r="R280" s="46">
        <f>IF(AND(H280="Realizado",L280&lt;&gt;"",A280&lt;=Config!$B$9),L280/60,0)</f>
        <v>0.5</v>
      </c>
      <c r="S280" s="45">
        <f>IF(G280="","",IFERROR(INDEX(Config!$K$5:$K$16,MATCH(G280,Config!$J$5:$J$16,0)),""))</f>
        <v>30</v>
      </c>
      <c r="T280" s="31">
        <f>IF(OR(G280="",F280=""),"",IFERROR(INDEX(Config!$M$5:$R$16,MATCH(G280,Config!$J$5:$J$16,0),MATCH(F280,Config!$H$5:$H$10,0)),""))</f>
        <v>100</v>
      </c>
      <c r="U280" s="47">
        <f>IF(AND(H280="Realizado",L280&lt;&gt;""),L280/60,0)</f>
        <v>0.5</v>
      </c>
      <c r="V280" s="47">
        <f>IF(AND(H280="Realizado",OR(L280="",M280="")),1,0)</f>
        <v>0</v>
      </c>
    </row>
    <row r="281">
      <c r="A281" s="43" t="n">
        <v>46202</v>
      </c>
      <c r="B281" s="44" t="n">
        <v>0.6875</v>
      </c>
      <c r="C281" s="38" t="inlineStr">
        <is>
          <t>Dr. Paulo Andrade</t>
        </is>
      </c>
      <c r="D281" s="38" t="inlineStr">
        <is>
          <t>Sala 2</t>
        </is>
      </c>
      <c r="E281" s="37" t="inlineStr">
        <is>
          <t>Lucas Xavier</t>
        </is>
      </c>
      <c r="F281" s="38" t="inlineStr">
        <is>
          <t>Saúde Total</t>
        </is>
      </c>
      <c r="G281" s="38" t="inlineStr">
        <is>
          <t>MAPA</t>
        </is>
      </c>
      <c r="H281" s="38" t="inlineStr">
        <is>
          <t>Realizado</t>
        </is>
      </c>
      <c r="I281" s="38" t="inlineStr">
        <is>
          <t>Convênio</t>
        </is>
      </c>
      <c r="J281" s="38" t="n"/>
      <c r="K281" s="37" t="n"/>
      <c r="L281" s="39" t="n">
        <v>20</v>
      </c>
      <c r="M281" s="40" t="n">
        <v>95</v>
      </c>
      <c r="N281" s="30">
        <f>IF(A281="","",MONTH(A281))</f>
        <v>6</v>
      </c>
      <c r="O281" s="30">
        <f>IF(A281="","",YEAR(A281))</f>
        <v>2026</v>
      </c>
      <c r="P281" s="30" t="str">
        <f>IF(A281="","",CHOOSE(WEEKDAY(A281,2),"Segunda","Terça","Quarta","Quinta","Sexta","Sábado","Domingo"))</f>
        <v>Segunda</v>
      </c>
      <c r="Q281" s="30" t="str">
        <f>IF(B281="","",IF(B281&lt;TIME(12,0,0),"Manhã",IF(B281&lt;TIME(18,0,0),"Tarde","Noite")))</f>
        <v>Tarde</v>
      </c>
      <c r="R281" s="46">
        <f>IF(AND(H281="Realizado",L281&lt;&gt;"",A281&lt;=Config!$B$9),L281/60,0)</f>
        <v>0.333333333333333</v>
      </c>
      <c r="S281" s="45">
        <f>IF(G281="","",IFERROR(INDEX(Config!$K$5:$K$16,MATCH(G281,Config!$J$5:$J$16,0)),""))</f>
        <v>20</v>
      </c>
      <c r="T281" s="31">
        <f>IF(OR(G281="",F281=""),"",IFERROR(INDEX(Config!$M$5:$R$16,MATCH(G281,Config!$J$5:$J$16,0),MATCH(F281,Config!$H$5:$H$10,0)),""))</f>
        <v>95</v>
      </c>
      <c r="U281" s="47">
        <f>IF(AND(H281="Realizado",L281&lt;&gt;""),L281/60,0)</f>
        <v>0.333333333333333</v>
      </c>
      <c r="V281" s="47">
        <f>IF(AND(H281="Realizado",OR(L281="",M281="")),1,0)</f>
        <v>0</v>
      </c>
    </row>
    <row r="282">
      <c r="A282" s="43" t="n">
        <v>46202</v>
      </c>
      <c r="B282" s="44" t="n">
        <v>0.7013888888888888</v>
      </c>
      <c r="C282" s="38" t="inlineStr">
        <is>
          <t>Dr. Paulo Andrade</t>
        </is>
      </c>
      <c r="D282" s="38" t="inlineStr">
        <is>
          <t>Sala 2</t>
        </is>
      </c>
      <c r="E282" s="37" t="inlineStr">
        <is>
          <t>Gisele Xavier</t>
        </is>
      </c>
      <c r="F282" s="38" t="inlineStr">
        <is>
          <t>Particular</t>
        </is>
      </c>
      <c r="G282" s="38" t="inlineStr">
        <is>
          <t>ECG</t>
        </is>
      </c>
      <c r="H282" s="38" t="inlineStr">
        <is>
          <t>Realizado</t>
        </is>
      </c>
      <c r="I282" s="38" t="inlineStr">
        <is>
          <t>Cartão de débito</t>
        </is>
      </c>
      <c r="J282" s="38" t="n"/>
      <c r="K282" s="37" t="n"/>
      <c r="L282" s="39" t="n">
        <v>20</v>
      </c>
      <c r="M282" s="40" t="n">
        <v>130</v>
      </c>
      <c r="N282" s="30">
        <f>IF(A282="","",MONTH(A282))</f>
        <v>6</v>
      </c>
      <c r="O282" s="30">
        <f>IF(A282="","",YEAR(A282))</f>
        <v>2026</v>
      </c>
      <c r="P282" s="30" t="str">
        <f>IF(A282="","",CHOOSE(WEEKDAY(A282,2),"Segunda","Terça","Quarta","Quinta","Sexta","Sábado","Domingo"))</f>
        <v>Segunda</v>
      </c>
      <c r="Q282" s="30" t="str">
        <f>IF(B282="","",IF(B282&lt;TIME(12,0,0),"Manhã",IF(B282&lt;TIME(18,0,0),"Tarde","Noite")))</f>
        <v>Tarde</v>
      </c>
      <c r="R282" s="46">
        <f>IF(AND(H282="Realizado",L282&lt;&gt;"",A282&lt;=Config!$B$9),L282/60,0)</f>
        <v>0.333333333333333</v>
      </c>
      <c r="S282" s="45">
        <f>IF(G282="","",IFERROR(INDEX(Config!$K$5:$K$16,MATCH(G282,Config!$J$5:$J$16,0)),""))</f>
        <v>20</v>
      </c>
      <c r="T282" s="31">
        <f>IF(OR(G282="",F282=""),"",IFERROR(INDEX(Config!$M$5:$R$16,MATCH(G282,Config!$J$5:$J$16,0),MATCH(F282,Config!$H$5:$H$10,0)),""))</f>
        <v>130</v>
      </c>
      <c r="U282" s="47">
        <f>IF(AND(H282="Realizado",L282&lt;&gt;""),L282/60,0)</f>
        <v>0.333333333333333</v>
      </c>
      <c r="V282" s="47">
        <f>IF(AND(H282="Realizado",OR(L282="",M282="")),1,0)</f>
        <v>0</v>
      </c>
    </row>
    <row r="283">
      <c r="A283" s="43" t="n">
        <v>46202</v>
      </c>
      <c r="B283" s="44" t="n">
        <v>0.7152777777777778</v>
      </c>
      <c r="C283" s="38" t="inlineStr">
        <is>
          <t>Dr. Paulo Andrade</t>
        </is>
      </c>
      <c r="D283" s="38" t="inlineStr">
        <is>
          <t>Sala 2</t>
        </is>
      </c>
      <c r="E283" s="37" t="inlineStr">
        <is>
          <t>Gustavo Ferreira</t>
        </is>
      </c>
      <c r="F283" s="38" t="inlineStr">
        <is>
          <t>Particular</t>
        </is>
      </c>
      <c r="G283" s="38" t="inlineStr">
        <is>
          <t>Teste ergométrico</t>
        </is>
      </c>
      <c r="H283" s="38" t="inlineStr">
        <is>
          <t>Cancelado</t>
        </is>
      </c>
      <c r="I283" s="38" t="n"/>
      <c r="J283" s="38" t="n"/>
      <c r="K283" s="37" t="n"/>
      <c r="L283" s="39" t="n">
        <v>40</v>
      </c>
      <c r="M283" s="40" t="n">
        <v>450</v>
      </c>
      <c r="N283" s="30">
        <f>IF(A283="","",MONTH(A283))</f>
        <v>6</v>
      </c>
      <c r="O283" s="30">
        <f>IF(A283="","",YEAR(A283))</f>
        <v>2026</v>
      </c>
      <c r="P283" s="30" t="str">
        <f>IF(A283="","",CHOOSE(WEEKDAY(A283,2),"Segunda","Terça","Quarta","Quinta","Sexta","Sábado","Domingo"))</f>
        <v>Segunda</v>
      </c>
      <c r="Q283" s="30" t="str">
        <f>IF(B283="","",IF(B283&lt;TIME(12,0,0),"Manhã",IF(B283&lt;TIME(18,0,0),"Tarde","Noite")))</f>
        <v>Tarde</v>
      </c>
      <c r="R283" s="46">
        <f>IF(AND(H283="Realizado",L283&lt;&gt;"",A283&lt;=Config!$B$9),L283/60,0)</f>
        <v>0</v>
      </c>
      <c r="S283" s="45">
        <f>IF(G283="","",IFERROR(INDEX(Config!$K$5:$K$16,MATCH(G283,Config!$J$5:$J$16,0)),""))</f>
        <v>40</v>
      </c>
      <c r="T283" s="31">
        <f>IF(OR(G283="",F283=""),"",IFERROR(INDEX(Config!$M$5:$R$16,MATCH(G283,Config!$J$5:$J$16,0),MATCH(F283,Config!$H$5:$H$10,0)),""))</f>
        <v>450</v>
      </c>
      <c r="U283" s="47">
        <f>IF(AND(H283="Realizado",L283&lt;&gt;""),L283/60,0)</f>
        <v>0</v>
      </c>
      <c r="V283" s="47">
        <f>IF(AND(H283="Realizado",OR(L283="",M283="")),1,0)</f>
        <v>0</v>
      </c>
    </row>
    <row r="284">
      <c r="A284" s="43" t="n">
        <v>46203</v>
      </c>
      <c r="B284" s="44" t="n">
        <v>0.3333333333333333</v>
      </c>
      <c r="C284" s="38" t="inlineStr">
        <is>
          <t>Dra. Carolina Mendes</t>
        </is>
      </c>
      <c r="D284" s="38" t="inlineStr">
        <is>
          <t>Sala 1</t>
        </is>
      </c>
      <c r="E284" s="37" t="inlineStr">
        <is>
          <t>Gisele Ribeiro</t>
        </is>
      </c>
      <c r="F284" s="38" t="inlineStr">
        <is>
          <t>Particular</t>
        </is>
      </c>
      <c r="G284" s="38" t="inlineStr">
        <is>
          <t>Consulta</t>
        </is>
      </c>
      <c r="H284" s="38" t="inlineStr">
        <is>
          <t>Realizado</t>
        </is>
      </c>
      <c r="I284" s="38" t="inlineStr">
        <is>
          <t>Cartão de crédito</t>
        </is>
      </c>
      <c r="J284" s="38" t="n"/>
      <c r="K284" s="37" t="n"/>
      <c r="L284" s="39" t="n">
        <v>30</v>
      </c>
      <c r="M284" s="40" t="n">
        <v>380</v>
      </c>
      <c r="N284" s="30">
        <f>IF(A284="","",MONTH(A284))</f>
        <v>6</v>
      </c>
      <c r="O284" s="30">
        <f>IF(A284="","",YEAR(A284))</f>
        <v>2026</v>
      </c>
      <c r="P284" s="30" t="str">
        <f>IF(A284="","",CHOOSE(WEEKDAY(A284,2),"Segunda","Terça","Quarta","Quinta","Sexta","Sábado","Domingo"))</f>
        <v>Terça</v>
      </c>
      <c r="Q284" s="30" t="str">
        <f>IF(B284="","",IF(B284&lt;TIME(12,0,0),"Manhã",IF(B284&lt;TIME(18,0,0),"Tarde","Noite")))</f>
        <v>Manhã</v>
      </c>
      <c r="R284" s="46">
        <f>IF(AND(H284="Realizado",L284&lt;&gt;"",A284&lt;=Config!$B$9),L284/60,0)</f>
        <v>0.5</v>
      </c>
      <c r="S284" s="45">
        <f>IF(G284="","",IFERROR(INDEX(Config!$K$5:$K$16,MATCH(G284,Config!$J$5:$J$16,0)),""))</f>
        <v>30</v>
      </c>
      <c r="T284" s="31">
        <f>IF(OR(G284="",F284=""),"",IFERROR(INDEX(Config!$M$5:$R$16,MATCH(G284,Config!$J$5:$J$16,0),MATCH(F284,Config!$H$5:$H$10,0)),""))</f>
        <v>380</v>
      </c>
      <c r="U284" s="47">
        <f>IF(AND(H284="Realizado",L284&lt;&gt;""),L284/60,0)</f>
        <v>0.5</v>
      </c>
      <c r="V284" s="47">
        <f>IF(AND(H284="Realizado",OR(L284="",M284="")),1,0)</f>
        <v>0</v>
      </c>
    </row>
    <row r="285">
      <c r="A285" s="43" t="n">
        <v>46203</v>
      </c>
      <c r="B285" s="44" t="n">
        <v>0.3541666666666667</v>
      </c>
      <c r="C285" s="38" t="inlineStr">
        <is>
          <t>Dra. Carolina Mendes</t>
        </is>
      </c>
      <c r="D285" s="38" t="inlineStr">
        <is>
          <t>Sala 1</t>
        </is>
      </c>
      <c r="E285" s="37" t="inlineStr">
        <is>
          <t>Marcelo Santos</t>
        </is>
      </c>
      <c r="F285" s="38" t="inlineStr">
        <is>
          <t>Particular</t>
        </is>
      </c>
      <c r="G285" s="38" t="inlineStr">
        <is>
          <t>Consulta</t>
        </is>
      </c>
      <c r="H285" s="38" t="inlineStr">
        <is>
          <t>Realizado</t>
        </is>
      </c>
      <c r="I285" s="38" t="inlineStr">
        <is>
          <t>Cartão de crédito</t>
        </is>
      </c>
      <c r="J285" s="38" t="n"/>
      <c r="K285" s="37" t="n"/>
      <c r="L285" s="39" t="n">
        <v>30</v>
      </c>
      <c r="M285" s="40" t="n">
        <v>380</v>
      </c>
      <c r="N285" s="30">
        <f>IF(A285="","",MONTH(A285))</f>
        <v>6</v>
      </c>
      <c r="O285" s="30">
        <f>IF(A285="","",YEAR(A285))</f>
        <v>2026</v>
      </c>
      <c r="P285" s="30" t="str">
        <f>IF(A285="","",CHOOSE(WEEKDAY(A285,2),"Segunda","Terça","Quarta","Quinta","Sexta","Sábado","Domingo"))</f>
        <v>Terça</v>
      </c>
      <c r="Q285" s="30" t="str">
        <f>IF(B285="","",IF(B285&lt;TIME(12,0,0),"Manhã",IF(B285&lt;TIME(18,0,0),"Tarde","Noite")))</f>
        <v>Manhã</v>
      </c>
      <c r="R285" s="46">
        <f>IF(AND(H285="Realizado",L285&lt;&gt;"",A285&lt;=Config!$B$9),L285/60,0)</f>
        <v>0.5</v>
      </c>
      <c r="S285" s="45">
        <f>IF(G285="","",IFERROR(INDEX(Config!$K$5:$K$16,MATCH(G285,Config!$J$5:$J$16,0)),""))</f>
        <v>30</v>
      </c>
      <c r="T285" s="31">
        <f>IF(OR(G285="",F285=""),"",IFERROR(INDEX(Config!$M$5:$R$16,MATCH(G285,Config!$J$5:$J$16,0),MATCH(F285,Config!$H$5:$H$10,0)),""))</f>
        <v>380</v>
      </c>
      <c r="U285" s="47">
        <f>IF(AND(H285="Realizado",L285&lt;&gt;""),L285/60,0)</f>
        <v>0.5</v>
      </c>
      <c r="V285" s="47">
        <f>IF(AND(H285="Realizado",OR(L285="",M285="")),1,0)</f>
        <v>0</v>
      </c>
    </row>
    <row r="286">
      <c r="A286" s="43" t="n">
        <v>46203</v>
      </c>
      <c r="B286" s="44" t="n">
        <v>0.375</v>
      </c>
      <c r="C286" s="38" t="inlineStr">
        <is>
          <t>Dra. Carolina Mendes</t>
        </is>
      </c>
      <c r="D286" s="38" t="inlineStr">
        <is>
          <t>Sala 1</t>
        </is>
      </c>
      <c r="E286" s="37" t="inlineStr">
        <is>
          <t>Juliana Silva</t>
        </is>
      </c>
      <c r="F286" s="38" t="inlineStr">
        <is>
          <t>Vida Care</t>
        </is>
      </c>
      <c r="G286" s="38" t="inlineStr">
        <is>
          <t>Retorno</t>
        </is>
      </c>
      <c r="H286" s="38" t="inlineStr">
        <is>
          <t>Realizado</t>
        </is>
      </c>
      <c r="I286" s="38" t="inlineStr">
        <is>
          <t>Sem cobrança</t>
        </is>
      </c>
      <c r="J286" s="38" t="n"/>
      <c r="K286" s="37" t="n"/>
      <c r="L286" s="39" t="n">
        <v>20</v>
      </c>
      <c r="M286" s="40" t="n">
        <v>0</v>
      </c>
      <c r="N286" s="30">
        <f>IF(A286="","",MONTH(A286))</f>
        <v>6</v>
      </c>
      <c r="O286" s="30">
        <f>IF(A286="","",YEAR(A286))</f>
        <v>2026</v>
      </c>
      <c r="P286" s="30" t="str">
        <f>IF(A286="","",CHOOSE(WEEKDAY(A286,2),"Segunda","Terça","Quarta","Quinta","Sexta","Sábado","Domingo"))</f>
        <v>Terça</v>
      </c>
      <c r="Q286" s="30" t="str">
        <f>IF(B286="","",IF(B286&lt;TIME(12,0,0),"Manhã",IF(B286&lt;TIME(18,0,0),"Tarde","Noite")))</f>
        <v>Manhã</v>
      </c>
      <c r="R286" s="46">
        <f>IF(AND(H286="Realizado",L286&lt;&gt;"",A286&lt;=Config!$B$9),L286/60,0)</f>
        <v>0.333333333333333</v>
      </c>
      <c r="S286" s="45">
        <f>IF(G286="","",IFERROR(INDEX(Config!$K$5:$K$16,MATCH(G286,Config!$J$5:$J$16,0)),""))</f>
        <v>20</v>
      </c>
      <c r="T286" s="31">
        <f>IF(OR(G286="",F286=""),"",IFERROR(INDEX(Config!$M$5:$R$16,MATCH(G286,Config!$J$5:$J$16,0),MATCH(F286,Config!$H$5:$H$10,0)),""))</f>
        <v>0</v>
      </c>
      <c r="U286" s="47">
        <f>IF(AND(H286="Realizado",L286&lt;&gt;""),L286/60,0)</f>
        <v>0.333333333333333</v>
      </c>
      <c r="V286" s="47">
        <f>IF(AND(H286="Realizado",OR(L286="",M286="")),1,0)</f>
        <v>0</v>
      </c>
    </row>
    <row r="287">
      <c r="A287" s="43" t="n">
        <v>46203</v>
      </c>
      <c r="B287" s="44" t="n">
        <v>0.3888888888888889</v>
      </c>
      <c r="C287" s="38" t="inlineStr">
        <is>
          <t>Dra. Carolina Mendes</t>
        </is>
      </c>
      <c r="D287" s="38" t="inlineStr">
        <is>
          <t>Sala 1</t>
        </is>
      </c>
      <c r="E287" s="37" t="inlineStr">
        <is>
          <t>Elaine Cardoso</t>
        </is>
      </c>
      <c r="F287" s="38" t="inlineStr">
        <is>
          <t>Particular</t>
        </is>
      </c>
      <c r="G287" s="38" t="inlineStr">
        <is>
          <t>Consulta</t>
        </is>
      </c>
      <c r="H287" s="38" t="inlineStr">
        <is>
          <t>Realizado</t>
        </is>
      </c>
      <c r="I287" s="38" t="inlineStr">
        <is>
          <t>Cartão de débito</t>
        </is>
      </c>
      <c r="J287" s="38" t="n"/>
      <c r="K287" s="37" t="n"/>
      <c r="L287" s="39" t="n">
        <v>30</v>
      </c>
      <c r="M287" s="40" t="n">
        <v>380</v>
      </c>
      <c r="N287" s="30">
        <f>IF(A287="","",MONTH(A287))</f>
        <v>6</v>
      </c>
      <c r="O287" s="30">
        <f>IF(A287="","",YEAR(A287))</f>
        <v>2026</v>
      </c>
      <c r="P287" s="30" t="str">
        <f>IF(A287="","",CHOOSE(WEEKDAY(A287,2),"Segunda","Terça","Quarta","Quinta","Sexta","Sábado","Domingo"))</f>
        <v>Terça</v>
      </c>
      <c r="Q287" s="30" t="str">
        <f>IF(B287="","",IF(B287&lt;TIME(12,0,0),"Manhã",IF(B287&lt;TIME(18,0,0),"Tarde","Noite")))</f>
        <v>Manhã</v>
      </c>
      <c r="R287" s="46">
        <f>IF(AND(H287="Realizado",L287&lt;&gt;"",A287&lt;=Config!$B$9),L287/60,0)</f>
        <v>0.5</v>
      </c>
      <c r="S287" s="45">
        <f>IF(G287="","",IFERROR(INDEX(Config!$K$5:$K$16,MATCH(G287,Config!$J$5:$J$16,0)),""))</f>
        <v>30</v>
      </c>
      <c r="T287" s="31">
        <f>IF(OR(G287="",F287=""),"",IFERROR(INDEX(Config!$M$5:$R$16,MATCH(G287,Config!$J$5:$J$16,0),MATCH(F287,Config!$H$5:$H$10,0)),""))</f>
        <v>380</v>
      </c>
      <c r="U287" s="47">
        <f>IF(AND(H287="Realizado",L287&lt;&gt;""),L287/60,0)</f>
        <v>0.5</v>
      </c>
      <c r="V287" s="47">
        <f>IF(AND(H287="Realizado",OR(L287="",M287="")),1,0)</f>
        <v>0</v>
      </c>
    </row>
    <row r="288">
      <c r="A288" s="43" t="n">
        <v>46203</v>
      </c>
      <c r="B288" s="44" t="n">
        <v>0.4097222222222222</v>
      </c>
      <c r="C288" s="38" t="inlineStr">
        <is>
          <t>Dra. Carolina Mendes</t>
        </is>
      </c>
      <c r="D288" s="38" t="inlineStr">
        <is>
          <t>Sala 1</t>
        </is>
      </c>
      <c r="E288" s="37" t="inlineStr">
        <is>
          <t>Priscila Carvalho</t>
        </is>
      </c>
      <c r="F288" s="38" t="inlineStr">
        <is>
          <t>Vida Care</t>
        </is>
      </c>
      <c r="G288" s="38" t="inlineStr">
        <is>
          <t>Consulta</t>
        </is>
      </c>
      <c r="H288" s="38" t="inlineStr">
        <is>
          <t>Falta</t>
        </is>
      </c>
      <c r="I288" s="38" t="n"/>
      <c r="J288" s="38" t="n"/>
      <c r="K288" s="37" t="n"/>
      <c r="L288" s="39" t="n">
        <v>30</v>
      </c>
      <c r="M288" s="40" t="n">
        <v>90</v>
      </c>
      <c r="N288" s="30">
        <f>IF(A288="","",MONTH(A288))</f>
        <v>6</v>
      </c>
      <c r="O288" s="30">
        <f>IF(A288="","",YEAR(A288))</f>
        <v>2026</v>
      </c>
      <c r="P288" s="30" t="str">
        <f>IF(A288="","",CHOOSE(WEEKDAY(A288,2),"Segunda","Terça","Quarta","Quinta","Sexta","Sábado","Domingo"))</f>
        <v>Terça</v>
      </c>
      <c r="Q288" s="30" t="str">
        <f>IF(B288="","",IF(B288&lt;TIME(12,0,0),"Manhã",IF(B288&lt;TIME(18,0,0),"Tarde","Noite")))</f>
        <v>Manhã</v>
      </c>
      <c r="R288" s="46">
        <f>IF(AND(H288="Realizado",L288&lt;&gt;"",A288&lt;=Config!$B$9),L288/60,0)</f>
        <v>0</v>
      </c>
      <c r="S288" s="45">
        <f>IF(G288="","",IFERROR(INDEX(Config!$K$5:$K$16,MATCH(G288,Config!$J$5:$J$16,0)),""))</f>
        <v>30</v>
      </c>
      <c r="T288" s="31">
        <f>IF(OR(G288="",F288=""),"",IFERROR(INDEX(Config!$M$5:$R$16,MATCH(G288,Config!$J$5:$J$16,0),MATCH(F288,Config!$H$5:$H$10,0)),""))</f>
        <v>90</v>
      </c>
      <c r="U288" s="47">
        <f>IF(AND(H288="Realizado",L288&lt;&gt;""),L288/60,0)</f>
        <v>0</v>
      </c>
      <c r="V288" s="47">
        <f>IF(AND(H288="Realizado",OR(L288="",M288="")),1,0)</f>
        <v>0</v>
      </c>
    </row>
    <row r="289">
      <c r="A289" s="43" t="n">
        <v>46203</v>
      </c>
      <c r="B289" s="44" t="n">
        <v>0.4305555555555556</v>
      </c>
      <c r="C289" s="38" t="inlineStr">
        <is>
          <t>Dra. Carolina Mendes</t>
        </is>
      </c>
      <c r="D289" s="38" t="inlineStr">
        <is>
          <t>Sala 1</t>
        </is>
      </c>
      <c r="E289" s="37" t="inlineStr">
        <is>
          <t>Daniel Melo</t>
        </is>
      </c>
      <c r="F289" s="38" t="inlineStr">
        <is>
          <t>Saúde Total</t>
        </is>
      </c>
      <c r="G289" s="38" t="inlineStr">
        <is>
          <t>Consulta</t>
        </is>
      </c>
      <c r="H289" s="38" t="inlineStr">
        <is>
          <t>Realizado</t>
        </is>
      </c>
      <c r="I289" s="38" t="inlineStr">
        <is>
          <t>Convênio</t>
        </is>
      </c>
      <c r="J289" s="38" t="n"/>
      <c r="K289" s="37" t="n"/>
      <c r="L289" s="39" t="n">
        <v>30</v>
      </c>
      <c r="M289" s="40" t="n">
        <v>120</v>
      </c>
      <c r="N289" s="30">
        <f>IF(A289="","",MONTH(A289))</f>
        <v>6</v>
      </c>
      <c r="O289" s="30">
        <f>IF(A289="","",YEAR(A289))</f>
        <v>2026</v>
      </c>
      <c r="P289" s="30" t="str">
        <f>IF(A289="","",CHOOSE(WEEKDAY(A289,2),"Segunda","Terça","Quarta","Quinta","Sexta","Sábado","Domingo"))</f>
        <v>Terça</v>
      </c>
      <c r="Q289" s="30" t="str">
        <f>IF(B289="","",IF(B289&lt;TIME(12,0,0),"Manhã",IF(B289&lt;TIME(18,0,0),"Tarde","Noite")))</f>
        <v>Manhã</v>
      </c>
      <c r="R289" s="46">
        <f>IF(AND(H289="Realizado",L289&lt;&gt;"",A289&lt;=Config!$B$9),L289/60,0)</f>
        <v>0.5</v>
      </c>
      <c r="S289" s="45">
        <f>IF(G289="","",IFERROR(INDEX(Config!$K$5:$K$16,MATCH(G289,Config!$J$5:$J$16,0)),""))</f>
        <v>30</v>
      </c>
      <c r="T289" s="31">
        <f>IF(OR(G289="",F289=""),"",IFERROR(INDEX(Config!$M$5:$R$16,MATCH(G289,Config!$J$5:$J$16,0),MATCH(F289,Config!$H$5:$H$10,0)),""))</f>
        <v>120</v>
      </c>
      <c r="U289" s="47">
        <f>IF(AND(H289="Realizado",L289&lt;&gt;""),L289/60,0)</f>
        <v>0.5</v>
      </c>
      <c r="V289" s="47">
        <f>IF(AND(H289="Realizado",OR(L289="",M289="")),1,0)</f>
        <v>0</v>
      </c>
    </row>
    <row r="290">
      <c r="A290" s="43" t="n">
        <v>46203</v>
      </c>
      <c r="B290" s="44" t="n">
        <v>0.4513888888888889</v>
      </c>
      <c r="C290" s="38" t="inlineStr">
        <is>
          <t>Dra. Carolina Mendes</t>
        </is>
      </c>
      <c r="D290" s="38" t="inlineStr">
        <is>
          <t>Sala 1</t>
        </is>
      </c>
      <c r="E290" s="37" t="inlineStr">
        <is>
          <t>Regina Macedo</t>
        </is>
      </c>
      <c r="F290" s="38" t="inlineStr">
        <is>
          <t>Particular</t>
        </is>
      </c>
      <c r="G290" s="38" t="inlineStr">
        <is>
          <t>Consulta</t>
        </is>
      </c>
      <c r="H290" s="38" t="inlineStr">
        <is>
          <t>Realizado</t>
        </is>
      </c>
      <c r="I290" s="38" t="inlineStr">
        <is>
          <t>Cartão de crédito</t>
        </is>
      </c>
      <c r="J290" s="38" t="n">
        <v>2</v>
      </c>
      <c r="K290" s="37" t="n"/>
      <c r="L290" s="39" t="n">
        <v>30</v>
      </c>
      <c r="M290" s="40" t="n">
        <v>380</v>
      </c>
      <c r="N290" s="30">
        <f>IF(A290="","",MONTH(A290))</f>
        <v>6</v>
      </c>
      <c r="O290" s="30">
        <f>IF(A290="","",YEAR(A290))</f>
        <v>2026</v>
      </c>
      <c r="P290" s="30" t="str">
        <f>IF(A290="","",CHOOSE(WEEKDAY(A290,2),"Segunda","Terça","Quarta","Quinta","Sexta","Sábado","Domingo"))</f>
        <v>Terça</v>
      </c>
      <c r="Q290" s="30" t="str">
        <f>IF(B290="","",IF(B290&lt;TIME(12,0,0),"Manhã",IF(B290&lt;TIME(18,0,0),"Tarde","Noite")))</f>
        <v>Manhã</v>
      </c>
      <c r="R290" s="46">
        <f>IF(AND(H290="Realizado",L290&lt;&gt;"",A290&lt;=Config!$B$9),L290/60,0)</f>
        <v>0.5</v>
      </c>
      <c r="S290" s="45">
        <f>IF(G290="","",IFERROR(INDEX(Config!$K$5:$K$16,MATCH(G290,Config!$J$5:$J$16,0)),""))</f>
        <v>30</v>
      </c>
      <c r="T290" s="31">
        <f>IF(OR(G290="",F290=""),"",IFERROR(INDEX(Config!$M$5:$R$16,MATCH(G290,Config!$J$5:$J$16,0),MATCH(F290,Config!$H$5:$H$10,0)),""))</f>
        <v>380</v>
      </c>
      <c r="U290" s="47">
        <f>IF(AND(H290="Realizado",L290&lt;&gt;""),L290/60,0)</f>
        <v>0.5</v>
      </c>
      <c r="V290" s="47">
        <f>IF(AND(H290="Realizado",OR(L290="",M290="")),1,0)</f>
        <v>0</v>
      </c>
    </row>
    <row r="291">
      <c r="A291" s="43" t="n">
        <v>46203</v>
      </c>
      <c r="B291" s="44" t="n">
        <v>0.4722222222222222</v>
      </c>
      <c r="C291" s="38" t="inlineStr">
        <is>
          <t>Dra. Carolina Mendes</t>
        </is>
      </c>
      <c r="D291" s="38" t="inlineStr">
        <is>
          <t>Sala 1</t>
        </is>
      </c>
      <c r="E291" s="37" t="inlineStr">
        <is>
          <t>Camila Batista</t>
        </is>
      </c>
      <c r="F291" s="38" t="inlineStr">
        <is>
          <t>MediPlan</t>
        </is>
      </c>
      <c r="G291" s="38" t="inlineStr">
        <is>
          <t>Consulta</t>
        </is>
      </c>
      <c r="H291" s="38" t="inlineStr">
        <is>
          <t>Realizado</t>
        </is>
      </c>
      <c r="I291" s="38" t="inlineStr">
        <is>
          <t>Convênio</t>
        </is>
      </c>
      <c r="J291" s="38" t="n"/>
      <c r="K291" s="37" t="n"/>
      <c r="L291" s="39" t="n">
        <v>30</v>
      </c>
      <c r="M291" s="40" t="n">
        <v>100</v>
      </c>
      <c r="N291" s="30">
        <f>IF(A291="","",MONTH(A291))</f>
        <v>6</v>
      </c>
      <c r="O291" s="30">
        <f>IF(A291="","",YEAR(A291))</f>
        <v>2026</v>
      </c>
      <c r="P291" s="30" t="str">
        <f>IF(A291="","",CHOOSE(WEEKDAY(A291,2),"Segunda","Terça","Quarta","Quinta","Sexta","Sábado","Domingo"))</f>
        <v>Terça</v>
      </c>
      <c r="Q291" s="30" t="str">
        <f>IF(B291="","",IF(B291&lt;TIME(12,0,0),"Manhã",IF(B291&lt;TIME(18,0,0),"Tarde","Noite")))</f>
        <v>Manhã</v>
      </c>
      <c r="R291" s="46">
        <f>IF(AND(H291="Realizado",L291&lt;&gt;"",A291&lt;=Config!$B$9),L291/60,0)</f>
        <v>0.5</v>
      </c>
      <c r="S291" s="45">
        <f>IF(G291="","",IFERROR(INDEX(Config!$K$5:$K$16,MATCH(G291,Config!$J$5:$J$16,0)),""))</f>
        <v>30</v>
      </c>
      <c r="T291" s="31">
        <f>IF(OR(G291="",F291=""),"",IFERROR(INDEX(Config!$M$5:$R$16,MATCH(G291,Config!$J$5:$J$16,0),MATCH(F291,Config!$H$5:$H$10,0)),""))</f>
        <v>100</v>
      </c>
      <c r="U291" s="47">
        <f>IF(AND(H291="Realizado",L291&lt;&gt;""),L291/60,0)</f>
        <v>0.5</v>
      </c>
      <c r="V291" s="47">
        <f>IF(AND(H291="Realizado",OR(L291="",M291="")),1,0)</f>
        <v>0</v>
      </c>
    </row>
    <row r="292">
      <c r="A292" s="43" t="n">
        <v>46203</v>
      </c>
      <c r="B292" s="44" t="n">
        <v>0.5833333333333334</v>
      </c>
      <c r="C292" s="38" t="inlineStr">
        <is>
          <t>Dr. Paulo Andrade</t>
        </is>
      </c>
      <c r="D292" s="38" t="inlineStr">
        <is>
          <t>Sala 2</t>
        </is>
      </c>
      <c r="E292" s="37" t="inlineStr">
        <is>
          <t>Gabriel Vieira</t>
        </is>
      </c>
      <c r="F292" s="38" t="inlineStr">
        <is>
          <t>Vida Care</t>
        </is>
      </c>
      <c r="G292" s="38" t="inlineStr">
        <is>
          <t>Consulta</t>
        </is>
      </c>
      <c r="H292" s="38" t="inlineStr">
        <is>
          <t>Realizado</t>
        </is>
      </c>
      <c r="I292" s="38" t="inlineStr">
        <is>
          <t>Convênio</t>
        </is>
      </c>
      <c r="J292" s="38" t="n"/>
      <c r="K292" s="37" t="n"/>
      <c r="L292" s="39" t="n">
        <v>30</v>
      </c>
      <c r="M292" s="40" t="n">
        <v>90</v>
      </c>
      <c r="N292" s="30">
        <f>IF(A292="","",MONTH(A292))</f>
        <v>6</v>
      </c>
      <c r="O292" s="30">
        <f>IF(A292="","",YEAR(A292))</f>
        <v>2026</v>
      </c>
      <c r="P292" s="30" t="str">
        <f>IF(A292="","",CHOOSE(WEEKDAY(A292,2),"Segunda","Terça","Quarta","Quinta","Sexta","Sábado","Domingo"))</f>
        <v>Terça</v>
      </c>
      <c r="Q292" s="30" t="str">
        <f>IF(B292="","",IF(B292&lt;TIME(12,0,0),"Manhã",IF(B292&lt;TIME(18,0,0),"Tarde","Noite")))</f>
        <v>Tarde</v>
      </c>
      <c r="R292" s="46">
        <f>IF(AND(H292="Realizado",L292&lt;&gt;"",A292&lt;=Config!$B$9),L292/60,0)</f>
        <v>0.5</v>
      </c>
      <c r="S292" s="45">
        <f>IF(G292="","",IFERROR(INDEX(Config!$K$5:$K$16,MATCH(G292,Config!$J$5:$J$16,0)),""))</f>
        <v>30</v>
      </c>
      <c r="T292" s="31">
        <f>IF(OR(G292="",F292=""),"",IFERROR(INDEX(Config!$M$5:$R$16,MATCH(G292,Config!$J$5:$J$16,0),MATCH(F292,Config!$H$5:$H$10,0)),""))</f>
        <v>90</v>
      </c>
      <c r="U292" s="47">
        <f>IF(AND(H292="Realizado",L292&lt;&gt;""),L292/60,0)</f>
        <v>0.5</v>
      </c>
      <c r="V292" s="47">
        <f>IF(AND(H292="Realizado",OR(L292="",M292="")),1,0)</f>
        <v>0</v>
      </c>
    </row>
    <row r="293">
      <c r="A293" s="43" t="n">
        <v>46203</v>
      </c>
      <c r="B293" s="44" t="n">
        <v>0.6041666666666666</v>
      </c>
      <c r="C293" s="38" t="inlineStr">
        <is>
          <t>Dr. Paulo Andrade</t>
        </is>
      </c>
      <c r="D293" s="38" t="inlineStr">
        <is>
          <t>Sala 2</t>
        </is>
      </c>
      <c r="E293" s="37" t="inlineStr">
        <is>
          <t>Mateus Dias</t>
        </is>
      </c>
      <c r="F293" s="38" t="inlineStr">
        <is>
          <t>Saúde Total</t>
        </is>
      </c>
      <c r="G293" s="38" t="inlineStr">
        <is>
          <t>Consulta</t>
        </is>
      </c>
      <c r="H293" s="38" t="inlineStr">
        <is>
          <t>Realizado</t>
        </is>
      </c>
      <c r="I293" s="38" t="inlineStr">
        <is>
          <t>Convênio</t>
        </is>
      </c>
      <c r="J293" s="38" t="n"/>
      <c r="K293" s="37" t="n"/>
      <c r="L293" s="39" t="n">
        <v>30</v>
      </c>
      <c r="M293" s="40" t="n">
        <v>120</v>
      </c>
      <c r="N293" s="30">
        <f>IF(A293="","",MONTH(A293))</f>
        <v>6</v>
      </c>
      <c r="O293" s="30">
        <f>IF(A293="","",YEAR(A293))</f>
        <v>2026</v>
      </c>
      <c r="P293" s="30" t="str">
        <f>IF(A293="","",CHOOSE(WEEKDAY(A293,2),"Segunda","Terça","Quarta","Quinta","Sexta","Sábado","Domingo"))</f>
        <v>Terça</v>
      </c>
      <c r="Q293" s="30" t="str">
        <f>IF(B293="","",IF(B293&lt;TIME(12,0,0),"Manhã",IF(B293&lt;TIME(18,0,0),"Tarde","Noite")))</f>
        <v>Tarde</v>
      </c>
      <c r="R293" s="46">
        <f>IF(AND(H293="Realizado",L293&lt;&gt;"",A293&lt;=Config!$B$9),L293/60,0)</f>
        <v>0.5</v>
      </c>
      <c r="S293" s="45">
        <f>IF(G293="","",IFERROR(INDEX(Config!$K$5:$K$16,MATCH(G293,Config!$J$5:$J$16,0)),""))</f>
        <v>30</v>
      </c>
      <c r="T293" s="31">
        <f>IF(OR(G293="",F293=""),"",IFERROR(INDEX(Config!$M$5:$R$16,MATCH(G293,Config!$J$5:$J$16,0),MATCH(F293,Config!$H$5:$H$10,0)),""))</f>
        <v>120</v>
      </c>
      <c r="U293" s="47">
        <f>IF(AND(H293="Realizado",L293&lt;&gt;""),L293/60,0)</f>
        <v>0.5</v>
      </c>
      <c r="V293" s="47">
        <f>IF(AND(H293="Realizado",OR(L293="",M293="")),1,0)</f>
        <v>0</v>
      </c>
    </row>
    <row r="294">
      <c r="A294" s="43" t="n">
        <v>46203</v>
      </c>
      <c r="B294" s="44" t="n">
        <v>0.625</v>
      </c>
      <c r="C294" s="38" t="inlineStr">
        <is>
          <t>Dra. Renata Sousa</t>
        </is>
      </c>
      <c r="D294" s="38" t="inlineStr">
        <is>
          <t>Sala 1</t>
        </is>
      </c>
      <c r="E294" s="37" t="inlineStr">
        <is>
          <t>Patrícia Dias</t>
        </is>
      </c>
      <c r="F294" s="38" t="inlineStr">
        <is>
          <t>Particular</t>
        </is>
      </c>
      <c r="G294" s="38" t="inlineStr">
        <is>
          <t>Avaliação endócrina</t>
        </is>
      </c>
      <c r="H294" s="38" t="inlineStr">
        <is>
          <t>Realizado</t>
        </is>
      </c>
      <c r="I294" s="38" t="inlineStr">
        <is>
          <t>A prazo</t>
        </is>
      </c>
      <c r="J294" s="38" t="n"/>
      <c r="K294" s="37" t="n"/>
      <c r="L294" s="39" t="n">
        <v>40</v>
      </c>
      <c r="M294" s="40" t="n">
        <v>400</v>
      </c>
      <c r="N294" s="30">
        <f>IF(A294="","",MONTH(A294))</f>
        <v>6</v>
      </c>
      <c r="O294" s="30">
        <f>IF(A294="","",YEAR(A294))</f>
        <v>2026</v>
      </c>
      <c r="P294" s="30" t="str">
        <f>IF(A294="","",CHOOSE(WEEKDAY(A294,2),"Segunda","Terça","Quarta","Quinta","Sexta","Sábado","Domingo"))</f>
        <v>Terça</v>
      </c>
      <c r="Q294" s="30" t="str">
        <f>IF(B294="","",IF(B294&lt;TIME(12,0,0),"Manhã",IF(B294&lt;TIME(18,0,0),"Tarde","Noite")))</f>
        <v>Tarde</v>
      </c>
      <c r="R294" s="46">
        <f>IF(AND(H294="Realizado",L294&lt;&gt;"",A294&lt;=Config!$B$9),L294/60,0)</f>
        <v>0.666666666666667</v>
      </c>
      <c r="S294" s="45">
        <f>IF(G294="","",IFERROR(INDEX(Config!$K$5:$K$16,MATCH(G294,Config!$J$5:$J$16,0)),""))</f>
        <v>40</v>
      </c>
      <c r="T294" s="31">
        <f>IF(OR(G294="",F294=""),"",IFERROR(INDEX(Config!$M$5:$R$16,MATCH(G294,Config!$J$5:$J$16,0),MATCH(F294,Config!$H$5:$H$10,0)),""))</f>
        <v>400</v>
      </c>
      <c r="U294" s="47">
        <f>IF(AND(H294="Realizado",L294&lt;&gt;""),L294/60,0)</f>
        <v>0.666666666666667</v>
      </c>
      <c r="V294" s="47">
        <f>IF(AND(H294="Realizado",OR(L294="",M294="")),1,0)</f>
        <v>0</v>
      </c>
    </row>
    <row r="295">
      <c r="A295" s="43" t="n">
        <v>46203</v>
      </c>
      <c r="B295" s="44" t="n">
        <v>0.625</v>
      </c>
      <c r="C295" s="38" t="inlineStr">
        <is>
          <t>Dr. Paulo Andrade</t>
        </is>
      </c>
      <c r="D295" s="38" t="inlineStr">
        <is>
          <t>Sala 2</t>
        </is>
      </c>
      <c r="E295" s="37" t="inlineStr">
        <is>
          <t>Vanessa Moreira</t>
        </is>
      </c>
      <c r="F295" s="38" t="inlineStr">
        <is>
          <t>Saúde Total</t>
        </is>
      </c>
      <c r="G295" s="38" t="inlineStr">
        <is>
          <t>Consulta</t>
        </is>
      </c>
      <c r="H295" s="38" t="inlineStr">
        <is>
          <t>Realizado</t>
        </is>
      </c>
      <c r="I295" s="38" t="inlineStr">
        <is>
          <t>Convênio</t>
        </is>
      </c>
      <c r="J295" s="38" t="n"/>
      <c r="K295" s="37" t="n"/>
      <c r="L295" s="39" t="n">
        <v>30</v>
      </c>
      <c r="M295" s="40" t="n">
        <v>120</v>
      </c>
      <c r="N295" s="30">
        <f>IF(A295="","",MONTH(A295))</f>
        <v>6</v>
      </c>
      <c r="O295" s="30">
        <f>IF(A295="","",YEAR(A295))</f>
        <v>2026</v>
      </c>
      <c r="P295" s="30" t="str">
        <f>IF(A295="","",CHOOSE(WEEKDAY(A295,2),"Segunda","Terça","Quarta","Quinta","Sexta","Sábado","Domingo"))</f>
        <v>Terça</v>
      </c>
      <c r="Q295" s="30" t="str">
        <f>IF(B295="","",IF(B295&lt;TIME(12,0,0),"Manhã",IF(B295&lt;TIME(18,0,0),"Tarde","Noite")))</f>
        <v>Tarde</v>
      </c>
      <c r="R295" s="46">
        <f>IF(AND(H295="Realizado",L295&lt;&gt;"",A295&lt;=Config!$B$9),L295/60,0)</f>
        <v>0.5</v>
      </c>
      <c r="S295" s="45">
        <f>IF(G295="","",IFERROR(INDEX(Config!$K$5:$K$16,MATCH(G295,Config!$J$5:$J$16,0)),""))</f>
        <v>30</v>
      </c>
      <c r="T295" s="31">
        <f>IF(OR(G295="",F295=""),"",IFERROR(INDEX(Config!$M$5:$R$16,MATCH(G295,Config!$J$5:$J$16,0),MATCH(F295,Config!$H$5:$H$10,0)),""))</f>
        <v>120</v>
      </c>
      <c r="U295" s="47">
        <f>IF(AND(H295="Realizado",L295&lt;&gt;""),L295/60,0)</f>
        <v>0.5</v>
      </c>
      <c r="V295" s="47">
        <f>IF(AND(H295="Realizado",OR(L295="",M295="")),1,0)</f>
        <v>0</v>
      </c>
    </row>
    <row r="296">
      <c r="A296" s="43" t="n">
        <v>46203</v>
      </c>
      <c r="B296" s="44" t="n">
        <v>0.6458333333333334</v>
      </c>
      <c r="C296" s="38" t="inlineStr">
        <is>
          <t>Dr. Paulo Andrade</t>
        </is>
      </c>
      <c r="D296" s="38" t="inlineStr">
        <is>
          <t>Sala 2</t>
        </is>
      </c>
      <c r="E296" s="37" t="inlineStr">
        <is>
          <t>Fábio Correia</t>
        </is>
      </c>
      <c r="F296" s="38" t="inlineStr">
        <is>
          <t>Particular</t>
        </is>
      </c>
      <c r="G296" s="38" t="inlineStr">
        <is>
          <t>Consulta</t>
        </is>
      </c>
      <c r="H296" s="38" t="inlineStr">
        <is>
          <t>Realizado</t>
        </is>
      </c>
      <c r="I296" s="38" t="inlineStr">
        <is>
          <t>Pix</t>
        </is>
      </c>
      <c r="J296" s="38" t="n"/>
      <c r="K296" s="37" t="n"/>
      <c r="L296" s="39" t="n">
        <v>30</v>
      </c>
      <c r="M296" s="40" t="n">
        <v>380</v>
      </c>
      <c r="N296" s="30">
        <f>IF(A296="","",MONTH(A296))</f>
        <v>6</v>
      </c>
      <c r="O296" s="30">
        <f>IF(A296="","",YEAR(A296))</f>
        <v>2026</v>
      </c>
      <c r="P296" s="30" t="str">
        <f>IF(A296="","",CHOOSE(WEEKDAY(A296,2),"Segunda","Terça","Quarta","Quinta","Sexta","Sábado","Domingo"))</f>
        <v>Terça</v>
      </c>
      <c r="Q296" s="30" t="str">
        <f>IF(B296="","",IF(B296&lt;TIME(12,0,0),"Manhã",IF(B296&lt;TIME(18,0,0),"Tarde","Noite")))</f>
        <v>Tarde</v>
      </c>
      <c r="R296" s="46">
        <f>IF(AND(H296="Realizado",L296&lt;&gt;"",A296&lt;=Config!$B$9),L296/60,0)</f>
        <v>0.5</v>
      </c>
      <c r="S296" s="45">
        <f>IF(G296="","",IFERROR(INDEX(Config!$K$5:$K$16,MATCH(G296,Config!$J$5:$J$16,0)),""))</f>
        <v>30</v>
      </c>
      <c r="T296" s="31">
        <f>IF(OR(G296="",F296=""),"",IFERROR(INDEX(Config!$M$5:$R$16,MATCH(G296,Config!$J$5:$J$16,0),MATCH(F296,Config!$H$5:$H$10,0)),""))</f>
        <v>380</v>
      </c>
      <c r="U296" s="47">
        <f>IF(AND(H296="Realizado",L296&lt;&gt;""),L296/60,0)</f>
        <v>0.5</v>
      </c>
      <c r="V296" s="47">
        <f>IF(AND(H296="Realizado",OR(L296="",M296="")),1,0)</f>
        <v>0</v>
      </c>
    </row>
    <row r="297">
      <c r="A297" s="43" t="n">
        <v>46203</v>
      </c>
      <c r="B297" s="44" t="n">
        <v>0.6666666666666666</v>
      </c>
      <c r="C297" s="38" t="inlineStr">
        <is>
          <t>Dr. Paulo Andrade</t>
        </is>
      </c>
      <c r="D297" s="38" t="inlineStr">
        <is>
          <t>Sala 2</t>
        </is>
      </c>
      <c r="E297" s="37" t="inlineStr">
        <is>
          <t>Sérgio Teixeira</t>
        </is>
      </c>
      <c r="F297" s="38" t="inlineStr">
        <is>
          <t>MediPlan</t>
        </is>
      </c>
      <c r="G297" s="38" t="inlineStr">
        <is>
          <t>Retorno</t>
        </is>
      </c>
      <c r="H297" s="38" t="inlineStr">
        <is>
          <t>Realizado</t>
        </is>
      </c>
      <c r="I297" s="38" t="inlineStr">
        <is>
          <t>Sem cobrança</t>
        </is>
      </c>
      <c r="J297" s="38" t="n"/>
      <c r="K297" s="37" t="n"/>
      <c r="L297" s="39" t="n">
        <v>20</v>
      </c>
      <c r="M297" s="40" t="n">
        <v>0</v>
      </c>
      <c r="N297" s="30">
        <f>IF(A297="","",MONTH(A297))</f>
        <v>6</v>
      </c>
      <c r="O297" s="30">
        <f>IF(A297="","",YEAR(A297))</f>
        <v>2026</v>
      </c>
      <c r="P297" s="30" t="str">
        <f>IF(A297="","",CHOOSE(WEEKDAY(A297,2),"Segunda","Terça","Quarta","Quinta","Sexta","Sábado","Domingo"))</f>
        <v>Terça</v>
      </c>
      <c r="Q297" s="30" t="str">
        <f>IF(B297="","",IF(B297&lt;TIME(12,0,0),"Manhã",IF(B297&lt;TIME(18,0,0),"Tarde","Noite")))</f>
        <v>Tarde</v>
      </c>
      <c r="R297" s="46">
        <f>IF(AND(H297="Realizado",L297&lt;&gt;"",A297&lt;=Config!$B$9),L297/60,0)</f>
        <v>0.333333333333333</v>
      </c>
      <c r="S297" s="45">
        <f>IF(G297="","",IFERROR(INDEX(Config!$K$5:$K$16,MATCH(G297,Config!$J$5:$J$16,0)),""))</f>
        <v>20</v>
      </c>
      <c r="T297" s="31">
        <f>IF(OR(G297="",F297=""),"",IFERROR(INDEX(Config!$M$5:$R$16,MATCH(G297,Config!$J$5:$J$16,0),MATCH(F297,Config!$H$5:$H$10,0)),""))</f>
        <v>0</v>
      </c>
      <c r="U297" s="47">
        <f>IF(AND(H297="Realizado",L297&lt;&gt;""),L297/60,0)</f>
        <v>0.333333333333333</v>
      </c>
      <c r="V297" s="47">
        <f>IF(AND(H297="Realizado",OR(L297="",M297="")),1,0)</f>
        <v>0</v>
      </c>
    </row>
    <row r="298">
      <c r="A298" s="43" t="n">
        <v>46203</v>
      </c>
      <c r="B298" s="44" t="n">
        <v>0.6736111111111112</v>
      </c>
      <c r="C298" s="38" t="inlineStr">
        <is>
          <t>Dra. Renata Sousa</t>
        </is>
      </c>
      <c r="D298" s="38" t="inlineStr">
        <is>
          <t>Sala 1</t>
        </is>
      </c>
      <c r="E298" s="37" t="inlineStr">
        <is>
          <t>Eduardo Pereira</t>
        </is>
      </c>
      <c r="F298" s="38" t="inlineStr">
        <is>
          <t>Particular</t>
        </is>
      </c>
      <c r="G298" s="38" t="inlineStr">
        <is>
          <t>Avaliação endócrina</t>
        </is>
      </c>
      <c r="H298" s="38" t="inlineStr">
        <is>
          <t>Realizado</t>
        </is>
      </c>
      <c r="I298" s="38" t="inlineStr">
        <is>
          <t>Cartão de crédito</t>
        </is>
      </c>
      <c r="J298" s="38" t="n">
        <v>2</v>
      </c>
      <c r="K298" s="37" t="n"/>
      <c r="L298" s="39" t="n">
        <v>40</v>
      </c>
      <c r="M298" s="40" t="n">
        <v>400</v>
      </c>
      <c r="N298" s="30">
        <f>IF(A298="","",MONTH(A298))</f>
        <v>6</v>
      </c>
      <c r="O298" s="30">
        <f>IF(A298="","",YEAR(A298))</f>
        <v>2026</v>
      </c>
      <c r="P298" s="30" t="str">
        <f>IF(A298="","",CHOOSE(WEEKDAY(A298,2),"Segunda","Terça","Quarta","Quinta","Sexta","Sábado","Domingo"))</f>
        <v>Terça</v>
      </c>
      <c r="Q298" s="30" t="str">
        <f>IF(B298="","",IF(B298&lt;TIME(12,0,0),"Manhã",IF(B298&lt;TIME(18,0,0),"Tarde","Noite")))</f>
        <v>Tarde</v>
      </c>
      <c r="R298" s="46">
        <f>IF(AND(H298="Realizado",L298&lt;&gt;"",A298&lt;=Config!$B$9),L298/60,0)</f>
        <v>0.666666666666667</v>
      </c>
      <c r="S298" s="45">
        <f>IF(G298="","",IFERROR(INDEX(Config!$K$5:$K$16,MATCH(G298,Config!$J$5:$J$16,0)),""))</f>
        <v>40</v>
      </c>
      <c r="T298" s="31">
        <f>IF(OR(G298="",F298=""),"",IFERROR(INDEX(Config!$M$5:$R$16,MATCH(G298,Config!$J$5:$J$16,0),MATCH(F298,Config!$H$5:$H$10,0)),""))</f>
        <v>400</v>
      </c>
      <c r="U298" s="47">
        <f>IF(AND(H298="Realizado",L298&lt;&gt;""),L298/60,0)</f>
        <v>0.666666666666667</v>
      </c>
      <c r="V298" s="47">
        <f>IF(AND(H298="Realizado",OR(L298="",M298="")),1,0)</f>
        <v>0</v>
      </c>
    </row>
    <row r="299">
      <c r="A299" s="43" t="n">
        <v>46203</v>
      </c>
      <c r="B299" s="44" t="n">
        <v>0.6805555555555556</v>
      </c>
      <c r="C299" s="38" t="inlineStr">
        <is>
          <t>Dr. Paulo Andrade</t>
        </is>
      </c>
      <c r="D299" s="38" t="inlineStr">
        <is>
          <t>Sala 2</t>
        </is>
      </c>
      <c r="E299" s="37" t="inlineStr">
        <is>
          <t>Lucas Cardoso</t>
        </is>
      </c>
      <c r="F299" s="38" t="inlineStr">
        <is>
          <t>Particular</t>
        </is>
      </c>
      <c r="G299" s="38" t="inlineStr">
        <is>
          <t>Retorno</t>
        </is>
      </c>
      <c r="H299" s="38" t="inlineStr">
        <is>
          <t>Realizado</t>
        </is>
      </c>
      <c r="I299" s="38" t="inlineStr">
        <is>
          <t>Sem cobrança</t>
        </is>
      </c>
      <c r="J299" s="38" t="n"/>
      <c r="K299" s="37" t="n"/>
      <c r="L299" s="39" t="n">
        <v>20</v>
      </c>
      <c r="M299" s="40" t="n">
        <v>0</v>
      </c>
      <c r="N299" s="30">
        <f>IF(A299="","",MONTH(A299))</f>
        <v>6</v>
      </c>
      <c r="O299" s="30">
        <f>IF(A299="","",YEAR(A299))</f>
        <v>2026</v>
      </c>
      <c r="P299" s="30" t="str">
        <f>IF(A299="","",CHOOSE(WEEKDAY(A299,2),"Segunda","Terça","Quarta","Quinta","Sexta","Sábado","Domingo"))</f>
        <v>Terça</v>
      </c>
      <c r="Q299" s="30" t="str">
        <f>IF(B299="","",IF(B299&lt;TIME(12,0,0),"Manhã",IF(B299&lt;TIME(18,0,0),"Tarde","Noite")))</f>
        <v>Tarde</v>
      </c>
      <c r="R299" s="46">
        <f>IF(AND(H299="Realizado",L299&lt;&gt;"",A299&lt;=Config!$B$9),L299/60,0)</f>
        <v>0.333333333333333</v>
      </c>
      <c r="S299" s="45">
        <f>IF(G299="","",IFERROR(INDEX(Config!$K$5:$K$16,MATCH(G299,Config!$J$5:$J$16,0)),""))</f>
        <v>20</v>
      </c>
      <c r="T299" s="31">
        <f>IF(OR(G299="",F299=""),"",IFERROR(INDEX(Config!$M$5:$R$16,MATCH(G299,Config!$J$5:$J$16,0),MATCH(F299,Config!$H$5:$H$10,0)),""))</f>
        <v>0</v>
      </c>
      <c r="U299" s="47">
        <f>IF(AND(H299="Realizado",L299&lt;&gt;""),L299/60,0)</f>
        <v>0.333333333333333</v>
      </c>
      <c r="V299" s="47">
        <f>IF(AND(H299="Realizado",OR(L299="",M299="")),1,0)</f>
        <v>0</v>
      </c>
    </row>
    <row r="300">
      <c r="A300" s="43" t="n">
        <v>46203</v>
      </c>
      <c r="B300" s="44" t="n">
        <v>0.6944444444444444</v>
      </c>
      <c r="C300" s="38" t="inlineStr">
        <is>
          <t>Dr. Paulo Andrade</t>
        </is>
      </c>
      <c r="D300" s="38" t="inlineStr">
        <is>
          <t>Sala 2</t>
        </is>
      </c>
      <c r="E300" s="37" t="inlineStr">
        <is>
          <t>Paulo Ribeiro</t>
        </is>
      </c>
      <c r="F300" s="38" t="inlineStr">
        <is>
          <t>Saúde Total</t>
        </is>
      </c>
      <c r="G300" s="38" t="inlineStr">
        <is>
          <t>Consulta</t>
        </is>
      </c>
      <c r="H300" s="38" t="inlineStr">
        <is>
          <t>Realizado</t>
        </is>
      </c>
      <c r="I300" s="38" t="inlineStr">
        <is>
          <t>Convênio</t>
        </is>
      </c>
      <c r="J300" s="38" t="n"/>
      <c r="K300" s="37" t="n"/>
      <c r="L300" s="39" t="n">
        <v>30</v>
      </c>
      <c r="M300" s="40" t="n">
        <v>120</v>
      </c>
      <c r="N300" s="30">
        <f>IF(A300="","",MONTH(A300))</f>
        <v>6</v>
      </c>
      <c r="O300" s="30">
        <f>IF(A300="","",YEAR(A300))</f>
        <v>2026</v>
      </c>
      <c r="P300" s="30" t="str">
        <f>IF(A300="","",CHOOSE(WEEKDAY(A300,2),"Segunda","Terça","Quarta","Quinta","Sexta","Sábado","Domingo"))</f>
        <v>Terça</v>
      </c>
      <c r="Q300" s="30" t="str">
        <f>IF(B300="","",IF(B300&lt;TIME(12,0,0),"Manhã",IF(B300&lt;TIME(18,0,0),"Tarde","Noite")))</f>
        <v>Tarde</v>
      </c>
      <c r="R300" s="46">
        <f>IF(AND(H300="Realizado",L300&lt;&gt;"",A300&lt;=Config!$B$9),L300/60,0)</f>
        <v>0.5</v>
      </c>
      <c r="S300" s="45">
        <f>IF(G300="","",IFERROR(INDEX(Config!$K$5:$K$16,MATCH(G300,Config!$J$5:$J$16,0)),""))</f>
        <v>30</v>
      </c>
      <c r="T300" s="31">
        <f>IF(OR(G300="",F300=""),"",IFERROR(INDEX(Config!$M$5:$R$16,MATCH(G300,Config!$J$5:$J$16,0),MATCH(F300,Config!$H$5:$H$10,0)),""))</f>
        <v>120</v>
      </c>
      <c r="U300" s="47">
        <f>IF(AND(H300="Realizado",L300&lt;&gt;""),L300/60,0)</f>
        <v>0.5</v>
      </c>
      <c r="V300" s="47">
        <f>IF(AND(H300="Realizado",OR(L300="",M300="")),1,0)</f>
        <v>0</v>
      </c>
    </row>
    <row r="301">
      <c r="A301" s="43" t="n">
        <v>46203</v>
      </c>
      <c r="B301" s="44" t="n">
        <v>0.7152777777777778</v>
      </c>
      <c r="C301" s="38" t="inlineStr">
        <is>
          <t>Dr. Paulo Andrade</t>
        </is>
      </c>
      <c r="D301" s="38" t="inlineStr">
        <is>
          <t>Sala 2</t>
        </is>
      </c>
      <c r="E301" s="37" t="inlineStr">
        <is>
          <t>Beatriz Gonçalves</t>
        </is>
      </c>
      <c r="F301" s="38" t="inlineStr">
        <is>
          <t>Saúde Total</t>
        </is>
      </c>
      <c r="G301" s="38" t="inlineStr">
        <is>
          <t>Retorno</t>
        </is>
      </c>
      <c r="H301" s="38" t="inlineStr">
        <is>
          <t>Realizado</t>
        </is>
      </c>
      <c r="I301" s="38" t="inlineStr">
        <is>
          <t>Sem cobrança</t>
        </is>
      </c>
      <c r="J301" s="38" t="n"/>
      <c r="K301" s="37" t="n"/>
      <c r="L301" s="39" t="n">
        <v>20</v>
      </c>
      <c r="M301" s="40" t="n">
        <v>0</v>
      </c>
      <c r="N301" s="30">
        <f>IF(A301="","",MONTH(A301))</f>
        <v>6</v>
      </c>
      <c r="O301" s="30">
        <f>IF(A301="","",YEAR(A301))</f>
        <v>2026</v>
      </c>
      <c r="P301" s="30" t="str">
        <f>IF(A301="","",CHOOSE(WEEKDAY(A301,2),"Segunda","Terça","Quarta","Quinta","Sexta","Sábado","Domingo"))</f>
        <v>Terça</v>
      </c>
      <c r="Q301" s="30" t="str">
        <f>IF(B301="","",IF(B301&lt;TIME(12,0,0),"Manhã",IF(B301&lt;TIME(18,0,0),"Tarde","Noite")))</f>
        <v>Tarde</v>
      </c>
      <c r="R301" s="46">
        <f>IF(AND(H301="Realizado",L301&lt;&gt;"",A301&lt;=Config!$B$9),L301/60,0)</f>
        <v>0.333333333333333</v>
      </c>
      <c r="S301" s="45">
        <f>IF(G301="","",IFERROR(INDEX(Config!$K$5:$K$16,MATCH(G301,Config!$J$5:$J$16,0)),""))</f>
        <v>20</v>
      </c>
      <c r="T301" s="31">
        <f>IF(OR(G301="",F301=""),"",IFERROR(INDEX(Config!$M$5:$R$16,MATCH(G301,Config!$J$5:$J$16,0),MATCH(F301,Config!$H$5:$H$10,0)),""))</f>
        <v>0</v>
      </c>
      <c r="U301" s="47">
        <f>IF(AND(H301="Realizado",L301&lt;&gt;""),L301/60,0)</f>
        <v>0.333333333333333</v>
      </c>
      <c r="V301" s="47">
        <f>IF(AND(H301="Realizado",OR(L301="",M301="")),1,0)</f>
        <v>0</v>
      </c>
    </row>
    <row r="302">
      <c r="A302" s="43" t="n">
        <v>46203</v>
      </c>
      <c r="B302" s="44" t="n">
        <v>0.7222222222222222</v>
      </c>
      <c r="C302" s="38" t="inlineStr">
        <is>
          <t>Dra. Renata Sousa</t>
        </is>
      </c>
      <c r="D302" s="38" t="inlineStr">
        <is>
          <t>Sala 1</t>
        </is>
      </c>
      <c r="E302" s="37" t="inlineStr">
        <is>
          <t>Márcia Duarte</t>
        </is>
      </c>
      <c r="F302" s="38" t="inlineStr">
        <is>
          <t>Particular</t>
        </is>
      </c>
      <c r="G302" s="38" t="inlineStr">
        <is>
          <t>Retorno</t>
        </is>
      </c>
      <c r="H302" s="38" t="inlineStr">
        <is>
          <t>Realizado</t>
        </is>
      </c>
      <c r="I302" s="38" t="inlineStr">
        <is>
          <t>Sem cobrança</t>
        </is>
      </c>
      <c r="J302" s="38" t="n"/>
      <c r="K302" s="37" t="n"/>
      <c r="L302" s="39" t="n">
        <v>20</v>
      </c>
      <c r="M302" s="40" t="n">
        <v>0</v>
      </c>
      <c r="N302" s="30">
        <f>IF(A302="","",MONTH(A302))</f>
        <v>6</v>
      </c>
      <c r="O302" s="30">
        <f>IF(A302="","",YEAR(A302))</f>
        <v>2026</v>
      </c>
      <c r="P302" s="30" t="str">
        <f>IF(A302="","",CHOOSE(WEEKDAY(A302,2),"Segunda","Terça","Quarta","Quinta","Sexta","Sábado","Domingo"))</f>
        <v>Terça</v>
      </c>
      <c r="Q302" s="30" t="str">
        <f>IF(B302="","",IF(B302&lt;TIME(12,0,0),"Manhã",IF(B302&lt;TIME(18,0,0),"Tarde","Noite")))</f>
        <v>Tarde</v>
      </c>
      <c r="R302" s="46">
        <f>IF(AND(H302="Realizado",L302&lt;&gt;"",A302&lt;=Config!$B$9),L302/60,0)</f>
        <v>0.333333333333333</v>
      </c>
      <c r="S302" s="45">
        <f>IF(G302="","",IFERROR(INDEX(Config!$K$5:$K$16,MATCH(G302,Config!$J$5:$J$16,0)),""))</f>
        <v>20</v>
      </c>
      <c r="T302" s="31">
        <f>IF(OR(G302="",F302=""),"",IFERROR(INDEX(Config!$M$5:$R$16,MATCH(G302,Config!$J$5:$J$16,0),MATCH(F302,Config!$H$5:$H$10,0)),""))</f>
        <v>0</v>
      </c>
      <c r="U302" s="47">
        <f>IF(AND(H302="Realizado",L302&lt;&gt;""),L302/60,0)</f>
        <v>0.333333333333333</v>
      </c>
      <c r="V302" s="47">
        <f>IF(AND(H302="Realizado",OR(L302="",M302="")),1,0)</f>
        <v>0</v>
      </c>
    </row>
    <row r="303">
      <c r="A303" s="43" t="n">
        <v>46203</v>
      </c>
      <c r="B303" s="44" t="n">
        <v>0.7291666666666666</v>
      </c>
      <c r="C303" s="38" t="inlineStr">
        <is>
          <t>Dr. Paulo Andrade</t>
        </is>
      </c>
      <c r="D303" s="38" t="inlineStr">
        <is>
          <t>Sala 2</t>
        </is>
      </c>
      <c r="E303" s="37" t="inlineStr">
        <is>
          <t>Paulo Nascimento</t>
        </is>
      </c>
      <c r="F303" s="38" t="inlineStr">
        <is>
          <t>MediPlan</t>
        </is>
      </c>
      <c r="G303" s="38" t="inlineStr">
        <is>
          <t>Retorno</t>
        </is>
      </c>
      <c r="H303" s="38" t="inlineStr">
        <is>
          <t>Realizado</t>
        </is>
      </c>
      <c r="I303" s="38" t="inlineStr">
        <is>
          <t>Sem cobrança</t>
        </is>
      </c>
      <c r="J303" s="38" t="n"/>
      <c r="K303" s="37" t="n"/>
      <c r="L303" s="39" t="n">
        <v>20</v>
      </c>
      <c r="M303" s="40" t="n">
        <v>0</v>
      </c>
      <c r="N303" s="30">
        <f>IF(A303="","",MONTH(A303))</f>
        <v>6</v>
      </c>
      <c r="O303" s="30">
        <f>IF(A303="","",YEAR(A303))</f>
        <v>2026</v>
      </c>
      <c r="P303" s="30" t="str">
        <f>IF(A303="","",CHOOSE(WEEKDAY(A303,2),"Segunda","Terça","Quarta","Quinta","Sexta","Sábado","Domingo"))</f>
        <v>Terça</v>
      </c>
      <c r="Q303" s="30" t="str">
        <f>IF(B303="","",IF(B303&lt;TIME(12,0,0),"Manhã",IF(B303&lt;TIME(18,0,0),"Tarde","Noite")))</f>
        <v>Tarde</v>
      </c>
      <c r="R303" s="46">
        <f>IF(AND(H303="Realizado",L303&lt;&gt;"",A303&lt;=Config!$B$9),L303/60,0)</f>
        <v>0.333333333333333</v>
      </c>
      <c r="S303" s="45">
        <f>IF(G303="","",IFERROR(INDEX(Config!$K$5:$K$16,MATCH(G303,Config!$J$5:$J$16,0)),""))</f>
        <v>20</v>
      </c>
      <c r="T303" s="31">
        <f>IF(OR(G303="",F303=""),"",IFERROR(INDEX(Config!$M$5:$R$16,MATCH(G303,Config!$J$5:$J$16,0),MATCH(F303,Config!$H$5:$H$10,0)),""))</f>
        <v>0</v>
      </c>
      <c r="U303" s="47">
        <f>IF(AND(H303="Realizado",L303&lt;&gt;""),L303/60,0)</f>
        <v>0.333333333333333</v>
      </c>
      <c r="V303" s="47">
        <f>IF(AND(H303="Realizado",OR(L303="",M303="")),1,0)</f>
        <v>0</v>
      </c>
    </row>
    <row r="304">
      <c r="A304" s="43" t="n">
        <v>46203</v>
      </c>
      <c r="B304" s="44" t="n">
        <v>0.7361111111111112</v>
      </c>
      <c r="C304" s="38" t="inlineStr">
        <is>
          <t>Dra. Renata Sousa</t>
        </is>
      </c>
      <c r="D304" s="38" t="inlineStr">
        <is>
          <t>Sala 1</t>
        </is>
      </c>
      <c r="E304" s="37" t="inlineStr">
        <is>
          <t>Roberta Lima</t>
        </is>
      </c>
      <c r="F304" s="38" t="inlineStr">
        <is>
          <t>Particular</t>
        </is>
      </c>
      <c r="G304" s="38" t="inlineStr">
        <is>
          <t>Avaliação endócrina</t>
        </is>
      </c>
      <c r="H304" s="38" t="inlineStr">
        <is>
          <t>Realizado</t>
        </is>
      </c>
      <c r="I304" s="38" t="inlineStr">
        <is>
          <t>A prazo</t>
        </is>
      </c>
      <c r="J304" s="38" t="n"/>
      <c r="K304" s="37" t="n"/>
      <c r="L304" s="39" t="n">
        <v>40</v>
      </c>
      <c r="M304" s="40" t="n">
        <v>400</v>
      </c>
      <c r="N304" s="30">
        <f>IF(A304="","",MONTH(A304))</f>
        <v>6</v>
      </c>
      <c r="O304" s="30">
        <f>IF(A304="","",YEAR(A304))</f>
        <v>2026</v>
      </c>
      <c r="P304" s="30" t="str">
        <f>IF(A304="","",CHOOSE(WEEKDAY(A304,2),"Segunda","Terça","Quarta","Quinta","Sexta","Sábado","Domingo"))</f>
        <v>Terça</v>
      </c>
      <c r="Q304" s="30" t="str">
        <f>IF(B304="","",IF(B304&lt;TIME(12,0,0),"Manhã",IF(B304&lt;TIME(18,0,0),"Tarde","Noite")))</f>
        <v>Tarde</v>
      </c>
      <c r="R304" s="46">
        <f>IF(AND(H304="Realizado",L304&lt;&gt;"",A304&lt;=Config!$B$9),L304/60,0)</f>
        <v>0.666666666666667</v>
      </c>
      <c r="S304" s="45">
        <f>IF(G304="","",IFERROR(INDEX(Config!$K$5:$K$16,MATCH(G304,Config!$J$5:$J$16,0)),""))</f>
        <v>40</v>
      </c>
      <c r="T304" s="31">
        <f>IF(OR(G304="",F304=""),"",IFERROR(INDEX(Config!$M$5:$R$16,MATCH(G304,Config!$J$5:$J$16,0),MATCH(F304,Config!$H$5:$H$10,0)),""))</f>
        <v>400</v>
      </c>
      <c r="U304" s="47">
        <f>IF(AND(H304="Realizado",L304&lt;&gt;""),L304/60,0)</f>
        <v>0.666666666666667</v>
      </c>
      <c r="V304" s="47">
        <f>IF(AND(H304="Realizado",OR(L304="",M304="")),1,0)</f>
        <v>0</v>
      </c>
    </row>
    <row r="305">
      <c r="A305" s="43" t="n">
        <v>46204</v>
      </c>
      <c r="B305" s="44" t="n">
        <v>0.5833333333333334</v>
      </c>
      <c r="C305" s="38" t="inlineStr">
        <is>
          <t>Dra. Carolina Mendes</t>
        </is>
      </c>
      <c r="D305" s="38" t="inlineStr">
        <is>
          <t>Sala 1</t>
        </is>
      </c>
      <c r="E305" s="37" t="inlineStr">
        <is>
          <t>Cláudia Santos</t>
        </is>
      </c>
      <c r="F305" s="38" t="inlineStr">
        <is>
          <t>Particular</t>
        </is>
      </c>
      <c r="G305" s="38" t="inlineStr">
        <is>
          <t>Consulta</t>
        </is>
      </c>
      <c r="H305" s="38" t="inlineStr">
        <is>
          <t>Realizado</t>
        </is>
      </c>
      <c r="I305" s="38" t="inlineStr">
        <is>
          <t>Pix</t>
        </is>
      </c>
      <c r="J305" s="38" t="n"/>
      <c r="K305" s="37" t="n"/>
      <c r="L305" s="39" t="n">
        <v>30</v>
      </c>
      <c r="M305" s="40" t="n">
        <v>380</v>
      </c>
      <c r="N305" s="30">
        <f>IF(A305="","",MONTH(A305))</f>
        <v>7</v>
      </c>
      <c r="O305" s="30">
        <f>IF(A305="","",YEAR(A305))</f>
        <v>2026</v>
      </c>
      <c r="P305" s="30" t="str">
        <f>IF(A305="","",CHOOSE(WEEKDAY(A305,2),"Segunda","Terça","Quarta","Quinta","Sexta","Sábado","Domingo"))</f>
        <v>Quarta</v>
      </c>
      <c r="Q305" s="30" t="str">
        <f>IF(B305="","",IF(B305&lt;TIME(12,0,0),"Manhã",IF(B305&lt;TIME(18,0,0),"Tarde","Noite")))</f>
        <v>Tarde</v>
      </c>
      <c r="R305" s="46">
        <f>IF(AND(H305="Realizado",L305&lt;&gt;"",A305&lt;=Config!$B$9),L305/60,0)</f>
        <v>0.5</v>
      </c>
      <c r="S305" s="45">
        <f>IF(G305="","",IFERROR(INDEX(Config!$K$5:$K$16,MATCH(G305,Config!$J$5:$J$16,0)),""))</f>
        <v>30</v>
      </c>
      <c r="T305" s="31">
        <f>IF(OR(G305="",F305=""),"",IFERROR(INDEX(Config!$M$5:$R$16,MATCH(G305,Config!$J$5:$J$16,0),MATCH(F305,Config!$H$5:$H$10,0)),""))</f>
        <v>380</v>
      </c>
      <c r="U305" s="47">
        <f>IF(AND(H305="Realizado",L305&lt;&gt;""),L305/60,0)</f>
        <v>0.5</v>
      </c>
      <c r="V305" s="47">
        <f>IF(AND(H305="Realizado",OR(L305="",M305="")),1,0)</f>
        <v>0</v>
      </c>
    </row>
    <row r="306">
      <c r="A306" s="43" t="n">
        <v>46204</v>
      </c>
      <c r="B306" s="44" t="n">
        <v>0.6041666666666666</v>
      </c>
      <c r="C306" s="38" t="inlineStr">
        <is>
          <t>Dra. Carolina Mendes</t>
        </is>
      </c>
      <c r="D306" s="38" t="inlineStr">
        <is>
          <t>Sala 1</t>
        </is>
      </c>
      <c r="E306" s="37" t="inlineStr">
        <is>
          <t>Lucas Lopes</t>
        </is>
      </c>
      <c r="F306" s="38" t="inlineStr">
        <is>
          <t>Particular</t>
        </is>
      </c>
      <c r="G306" s="38" t="inlineStr">
        <is>
          <t>Consulta</t>
        </is>
      </c>
      <c r="H306" s="38" t="inlineStr">
        <is>
          <t>Realizado</t>
        </is>
      </c>
      <c r="I306" s="38" t="inlineStr">
        <is>
          <t>Cartão de débito</t>
        </is>
      </c>
      <c r="J306" s="38" t="n"/>
      <c r="K306" s="37" t="n"/>
      <c r="L306" s="39" t="n">
        <v>30</v>
      </c>
      <c r="M306" s="40" t="n">
        <v>380</v>
      </c>
      <c r="N306" s="30">
        <f>IF(A306="","",MONTH(A306))</f>
        <v>7</v>
      </c>
      <c r="O306" s="30">
        <f>IF(A306="","",YEAR(A306))</f>
        <v>2026</v>
      </c>
      <c r="P306" s="30" t="str">
        <f>IF(A306="","",CHOOSE(WEEKDAY(A306,2),"Segunda","Terça","Quarta","Quinta","Sexta","Sábado","Domingo"))</f>
        <v>Quarta</v>
      </c>
      <c r="Q306" s="30" t="str">
        <f>IF(B306="","",IF(B306&lt;TIME(12,0,0),"Manhã",IF(B306&lt;TIME(18,0,0),"Tarde","Noite")))</f>
        <v>Tarde</v>
      </c>
      <c r="R306" s="46">
        <f>IF(AND(H306="Realizado",L306&lt;&gt;"",A306&lt;=Config!$B$9),L306/60,0)</f>
        <v>0.5</v>
      </c>
      <c r="S306" s="45">
        <f>IF(G306="","",IFERROR(INDEX(Config!$K$5:$K$16,MATCH(G306,Config!$J$5:$J$16,0)),""))</f>
        <v>30</v>
      </c>
      <c r="T306" s="31">
        <f>IF(OR(G306="",F306=""),"",IFERROR(INDEX(Config!$M$5:$R$16,MATCH(G306,Config!$J$5:$J$16,0),MATCH(F306,Config!$H$5:$H$10,0)),""))</f>
        <v>380</v>
      </c>
      <c r="U306" s="47">
        <f>IF(AND(H306="Realizado",L306&lt;&gt;""),L306/60,0)</f>
        <v>0.5</v>
      </c>
      <c r="V306" s="47">
        <f>IF(AND(H306="Realizado",OR(L306="",M306="")),1,0)</f>
        <v>0</v>
      </c>
    </row>
    <row r="307">
      <c r="A307" s="43" t="n">
        <v>46204</v>
      </c>
      <c r="B307" s="44" t="n">
        <v>0.625</v>
      </c>
      <c r="C307" s="38" t="inlineStr">
        <is>
          <t>Dra. Carolina Mendes</t>
        </is>
      </c>
      <c r="D307" s="38" t="inlineStr">
        <is>
          <t>Sala 1</t>
        </is>
      </c>
      <c r="E307" s="37" t="inlineStr">
        <is>
          <t>Eduardo Nunes</t>
        </is>
      </c>
      <c r="F307" s="38" t="inlineStr">
        <is>
          <t>MediPlan</t>
        </is>
      </c>
      <c r="G307" s="38" t="inlineStr">
        <is>
          <t>Consulta</t>
        </is>
      </c>
      <c r="H307" s="38" t="inlineStr">
        <is>
          <t>Realizado</t>
        </is>
      </c>
      <c r="I307" s="38" t="inlineStr">
        <is>
          <t>Convênio</t>
        </is>
      </c>
      <c r="J307" s="38" t="n"/>
      <c r="K307" s="37" t="n"/>
      <c r="L307" s="39" t="n">
        <v>30</v>
      </c>
      <c r="M307" s="40" t="n">
        <v>100</v>
      </c>
      <c r="N307" s="30">
        <f>IF(A307="","",MONTH(A307))</f>
        <v>7</v>
      </c>
      <c r="O307" s="30">
        <f>IF(A307="","",YEAR(A307))</f>
        <v>2026</v>
      </c>
      <c r="P307" s="30" t="str">
        <f>IF(A307="","",CHOOSE(WEEKDAY(A307,2),"Segunda","Terça","Quarta","Quinta","Sexta","Sábado","Domingo"))</f>
        <v>Quarta</v>
      </c>
      <c r="Q307" s="30" t="str">
        <f>IF(B307="","",IF(B307&lt;TIME(12,0,0),"Manhã",IF(B307&lt;TIME(18,0,0),"Tarde","Noite")))</f>
        <v>Tarde</v>
      </c>
      <c r="R307" s="46">
        <f>IF(AND(H307="Realizado",L307&lt;&gt;"",A307&lt;=Config!$B$9),L307/60,0)</f>
        <v>0.5</v>
      </c>
      <c r="S307" s="45">
        <f>IF(G307="","",IFERROR(INDEX(Config!$K$5:$K$16,MATCH(G307,Config!$J$5:$J$16,0)),""))</f>
        <v>30</v>
      </c>
      <c r="T307" s="31">
        <f>IF(OR(G307="",F307=""),"",IFERROR(INDEX(Config!$M$5:$R$16,MATCH(G307,Config!$J$5:$J$16,0),MATCH(F307,Config!$H$5:$H$10,0)),""))</f>
        <v>100</v>
      </c>
      <c r="U307" s="47">
        <f>IF(AND(H307="Realizado",L307&lt;&gt;""),L307/60,0)</f>
        <v>0.5</v>
      </c>
      <c r="V307" s="47">
        <f>IF(AND(H307="Realizado",OR(L307="",M307="")),1,0)</f>
        <v>0</v>
      </c>
    </row>
    <row r="308">
      <c r="A308" s="43" t="n">
        <v>46204</v>
      </c>
      <c r="B308" s="44" t="n">
        <v>0.6458333333333334</v>
      </c>
      <c r="C308" s="38" t="inlineStr">
        <is>
          <t>Dra. Carolina Mendes</t>
        </is>
      </c>
      <c r="D308" s="38" t="inlineStr">
        <is>
          <t>Sala 1</t>
        </is>
      </c>
      <c r="E308" s="37" t="inlineStr">
        <is>
          <t>Priscila Carvalho</t>
        </is>
      </c>
      <c r="F308" s="38" t="inlineStr">
        <is>
          <t>Vida Care</t>
        </is>
      </c>
      <c r="G308" s="38" t="inlineStr">
        <is>
          <t>Consulta</t>
        </is>
      </c>
      <c r="H308" s="38" t="inlineStr">
        <is>
          <t>Falta</t>
        </is>
      </c>
      <c r="I308" s="38" t="n"/>
      <c r="J308" s="38" t="n"/>
      <c r="K308" s="37" t="n"/>
      <c r="L308" s="39" t="n">
        <v>30</v>
      </c>
      <c r="M308" s="40" t="n">
        <v>90</v>
      </c>
      <c r="N308" s="30">
        <f>IF(A308="","",MONTH(A308))</f>
        <v>7</v>
      </c>
      <c r="O308" s="30">
        <f>IF(A308="","",YEAR(A308))</f>
        <v>2026</v>
      </c>
      <c r="P308" s="30" t="str">
        <f>IF(A308="","",CHOOSE(WEEKDAY(A308,2),"Segunda","Terça","Quarta","Quinta","Sexta","Sábado","Domingo"))</f>
        <v>Quarta</v>
      </c>
      <c r="Q308" s="30" t="str">
        <f>IF(B308="","",IF(B308&lt;TIME(12,0,0),"Manhã",IF(B308&lt;TIME(18,0,0),"Tarde","Noite")))</f>
        <v>Tarde</v>
      </c>
      <c r="R308" s="46">
        <f>IF(AND(H308="Realizado",L308&lt;&gt;"",A308&lt;=Config!$B$9),L308/60,0)</f>
        <v>0</v>
      </c>
      <c r="S308" s="45">
        <f>IF(G308="","",IFERROR(INDEX(Config!$K$5:$K$16,MATCH(G308,Config!$J$5:$J$16,0)),""))</f>
        <v>30</v>
      </c>
      <c r="T308" s="31">
        <f>IF(OR(G308="",F308=""),"",IFERROR(INDEX(Config!$M$5:$R$16,MATCH(G308,Config!$J$5:$J$16,0),MATCH(F308,Config!$H$5:$H$10,0)),""))</f>
        <v>90</v>
      </c>
      <c r="U308" s="47">
        <f>IF(AND(H308="Realizado",L308&lt;&gt;""),L308/60,0)</f>
        <v>0</v>
      </c>
      <c r="V308" s="47">
        <f>IF(AND(H308="Realizado",OR(L308="",M308="")),1,0)</f>
        <v>0</v>
      </c>
    </row>
    <row r="309">
      <c r="A309" s="43" t="n">
        <v>46204</v>
      </c>
      <c r="B309" s="44" t="n">
        <v>0.6666666666666666</v>
      </c>
      <c r="C309" s="38" t="inlineStr">
        <is>
          <t>Dra. Carolina Mendes</t>
        </is>
      </c>
      <c r="D309" s="38" t="inlineStr">
        <is>
          <t>Sala 1</t>
        </is>
      </c>
      <c r="E309" s="37" t="inlineStr">
        <is>
          <t>Tatiana Cunha</t>
        </is>
      </c>
      <c r="F309" s="38" t="inlineStr">
        <is>
          <t>Saúde Total</t>
        </is>
      </c>
      <c r="G309" s="38" t="inlineStr">
        <is>
          <t>Consulta</t>
        </is>
      </c>
      <c r="H309" s="38" t="inlineStr">
        <is>
          <t>Realizado</t>
        </is>
      </c>
      <c r="I309" s="38" t="inlineStr">
        <is>
          <t>Convênio</t>
        </is>
      </c>
      <c r="J309" s="38" t="n"/>
      <c r="K309" s="37" t="n"/>
      <c r="L309" s="39" t="n">
        <v>30</v>
      </c>
      <c r="M309" s="40" t="n">
        <v>120</v>
      </c>
      <c r="N309" s="30">
        <f>IF(A309="","",MONTH(A309))</f>
        <v>7</v>
      </c>
      <c r="O309" s="30">
        <f>IF(A309="","",YEAR(A309))</f>
        <v>2026</v>
      </c>
      <c r="P309" s="30" t="str">
        <f>IF(A309="","",CHOOSE(WEEKDAY(A309,2),"Segunda","Terça","Quarta","Quinta","Sexta","Sábado","Domingo"))</f>
        <v>Quarta</v>
      </c>
      <c r="Q309" s="30" t="str">
        <f>IF(B309="","",IF(B309&lt;TIME(12,0,0),"Manhã",IF(B309&lt;TIME(18,0,0),"Tarde","Noite")))</f>
        <v>Tarde</v>
      </c>
      <c r="R309" s="46">
        <f>IF(AND(H309="Realizado",L309&lt;&gt;"",A309&lt;=Config!$B$9),L309/60,0)</f>
        <v>0.5</v>
      </c>
      <c r="S309" s="45">
        <f>IF(G309="","",IFERROR(INDEX(Config!$K$5:$K$16,MATCH(G309,Config!$J$5:$J$16,0)),""))</f>
        <v>30</v>
      </c>
      <c r="T309" s="31">
        <f>IF(OR(G309="",F309=""),"",IFERROR(INDEX(Config!$M$5:$R$16,MATCH(G309,Config!$J$5:$J$16,0),MATCH(F309,Config!$H$5:$H$10,0)),""))</f>
        <v>120</v>
      </c>
      <c r="U309" s="47">
        <f>IF(AND(H309="Realizado",L309&lt;&gt;""),L309/60,0)</f>
        <v>0.5</v>
      </c>
      <c r="V309" s="47">
        <f>IF(AND(H309="Realizado",OR(L309="",M309="")),1,0)</f>
        <v>0</v>
      </c>
    </row>
    <row r="310">
      <c r="A310" s="43" t="n">
        <v>46204</v>
      </c>
      <c r="B310" s="44" t="n">
        <v>0.6875</v>
      </c>
      <c r="C310" s="38" t="inlineStr">
        <is>
          <t>Dra. Carolina Mendes</t>
        </is>
      </c>
      <c r="D310" s="38" t="inlineStr">
        <is>
          <t>Sala 1</t>
        </is>
      </c>
      <c r="E310" s="37" t="inlineStr">
        <is>
          <t>Priscila Castro</t>
        </is>
      </c>
      <c r="F310" s="38" t="inlineStr">
        <is>
          <t>Saúde Total</t>
        </is>
      </c>
      <c r="G310" s="38" t="inlineStr">
        <is>
          <t>Consulta</t>
        </is>
      </c>
      <c r="H310" s="38" t="inlineStr">
        <is>
          <t>Falta</t>
        </is>
      </c>
      <c r="I310" s="38" t="n"/>
      <c r="J310" s="38" t="n"/>
      <c r="K310" s="37" t="n"/>
      <c r="L310" s="39" t="n">
        <v>30</v>
      </c>
      <c r="M310" s="40" t="n">
        <v>120</v>
      </c>
      <c r="N310" s="30">
        <f>IF(A310="","",MONTH(A310))</f>
        <v>7</v>
      </c>
      <c r="O310" s="30">
        <f>IF(A310="","",YEAR(A310))</f>
        <v>2026</v>
      </c>
      <c r="P310" s="30" t="str">
        <f>IF(A310="","",CHOOSE(WEEKDAY(A310,2),"Segunda","Terça","Quarta","Quinta","Sexta","Sábado","Domingo"))</f>
        <v>Quarta</v>
      </c>
      <c r="Q310" s="30" t="str">
        <f>IF(B310="","",IF(B310&lt;TIME(12,0,0),"Manhã",IF(B310&lt;TIME(18,0,0),"Tarde","Noite")))</f>
        <v>Tarde</v>
      </c>
      <c r="R310" s="46">
        <f>IF(AND(H310="Realizado",L310&lt;&gt;"",A310&lt;=Config!$B$9),L310/60,0)</f>
        <v>0</v>
      </c>
      <c r="S310" s="45">
        <f>IF(G310="","",IFERROR(INDEX(Config!$K$5:$K$16,MATCH(G310,Config!$J$5:$J$16,0)),""))</f>
        <v>30</v>
      </c>
      <c r="T310" s="31">
        <f>IF(OR(G310="",F310=""),"",IFERROR(INDEX(Config!$M$5:$R$16,MATCH(G310,Config!$J$5:$J$16,0),MATCH(F310,Config!$H$5:$H$10,0)),""))</f>
        <v>120</v>
      </c>
      <c r="U310" s="47">
        <f>IF(AND(H310="Realizado",L310&lt;&gt;""),L310/60,0)</f>
        <v>0</v>
      </c>
      <c r="V310" s="47">
        <f>IF(AND(H310="Realizado",OR(L310="",M310="")),1,0)</f>
        <v>0</v>
      </c>
    </row>
    <row r="311">
      <c r="A311" s="43" t="n">
        <v>46204</v>
      </c>
      <c r="B311" s="44" t="n">
        <v>0.7083333333333334</v>
      </c>
      <c r="C311" s="38" t="inlineStr">
        <is>
          <t>Dra. Carolina Mendes</t>
        </is>
      </c>
      <c r="D311" s="38" t="inlineStr">
        <is>
          <t>Sala 1</t>
        </is>
      </c>
      <c r="E311" s="37" t="inlineStr">
        <is>
          <t>Mônica Martins</t>
        </is>
      </c>
      <c r="F311" s="38" t="inlineStr">
        <is>
          <t>Particular</t>
        </is>
      </c>
      <c r="G311" s="38" t="inlineStr">
        <is>
          <t>Consulta</t>
        </is>
      </c>
      <c r="H311" s="38" t="inlineStr">
        <is>
          <t>Realizado</t>
        </is>
      </c>
      <c r="I311" s="38" t="inlineStr">
        <is>
          <t>Pix</t>
        </is>
      </c>
      <c r="J311" s="38" t="n"/>
      <c r="K311" s="37" t="n"/>
      <c r="L311" s="39" t="n">
        <v>30</v>
      </c>
      <c r="M311" s="40" t="n">
        <v>380</v>
      </c>
      <c r="N311" s="30">
        <f>IF(A311="","",MONTH(A311))</f>
        <v>7</v>
      </c>
      <c r="O311" s="30">
        <f>IF(A311="","",YEAR(A311))</f>
        <v>2026</v>
      </c>
      <c r="P311" s="30" t="str">
        <f>IF(A311="","",CHOOSE(WEEKDAY(A311,2),"Segunda","Terça","Quarta","Quinta","Sexta","Sábado","Domingo"))</f>
        <v>Quarta</v>
      </c>
      <c r="Q311" s="30" t="str">
        <f>IF(B311="","",IF(B311&lt;TIME(12,0,0),"Manhã",IF(B311&lt;TIME(18,0,0),"Tarde","Noite")))</f>
        <v>Tarde</v>
      </c>
      <c r="R311" s="46">
        <f>IF(AND(H311="Realizado",L311&lt;&gt;"",A311&lt;=Config!$B$9),L311/60,0)</f>
        <v>0.5</v>
      </c>
      <c r="S311" s="45">
        <f>IF(G311="","",IFERROR(INDEX(Config!$K$5:$K$16,MATCH(G311,Config!$J$5:$J$16,0)),""))</f>
        <v>30</v>
      </c>
      <c r="T311" s="31">
        <f>IF(OR(G311="",F311=""),"",IFERROR(INDEX(Config!$M$5:$R$16,MATCH(G311,Config!$J$5:$J$16,0),MATCH(F311,Config!$H$5:$H$10,0)),""))</f>
        <v>380</v>
      </c>
      <c r="U311" s="47">
        <f>IF(AND(H311="Realizado",L311&lt;&gt;""),L311/60,0)</f>
        <v>0.5</v>
      </c>
      <c r="V311" s="47">
        <f>IF(AND(H311="Realizado",OR(L311="",M311="")),1,0)</f>
        <v>0</v>
      </c>
    </row>
    <row r="312">
      <c r="A312" s="43" t="n">
        <v>46204</v>
      </c>
      <c r="B312" s="44" t="n">
        <v>0.7291666666666666</v>
      </c>
      <c r="C312" s="38" t="inlineStr">
        <is>
          <t>Dra. Carolina Mendes</t>
        </is>
      </c>
      <c r="D312" s="38" t="inlineStr">
        <is>
          <t>Sala 1</t>
        </is>
      </c>
      <c r="E312" s="37" t="inlineStr">
        <is>
          <t>Débora Machado</t>
        </is>
      </c>
      <c r="F312" s="38" t="inlineStr">
        <is>
          <t>Saúde Total</t>
        </is>
      </c>
      <c r="G312" s="38" t="inlineStr">
        <is>
          <t>Consulta</t>
        </is>
      </c>
      <c r="H312" s="38" t="inlineStr">
        <is>
          <t>Realizado</t>
        </is>
      </c>
      <c r="I312" s="38" t="inlineStr">
        <is>
          <t>Convênio</t>
        </is>
      </c>
      <c r="J312" s="38" t="n"/>
      <c r="K312" s="37" t="n"/>
      <c r="L312" s="39" t="n">
        <v>30</v>
      </c>
      <c r="M312" s="40" t="n">
        <v>120</v>
      </c>
      <c r="N312" s="30">
        <f>IF(A312="","",MONTH(A312))</f>
        <v>7</v>
      </c>
      <c r="O312" s="30">
        <f>IF(A312="","",YEAR(A312))</f>
        <v>2026</v>
      </c>
      <c r="P312" s="30" t="str">
        <f>IF(A312="","",CHOOSE(WEEKDAY(A312,2),"Segunda","Terça","Quarta","Quinta","Sexta","Sábado","Domingo"))</f>
        <v>Quarta</v>
      </c>
      <c r="Q312" s="30" t="str">
        <f>IF(B312="","",IF(B312&lt;TIME(12,0,0),"Manhã",IF(B312&lt;TIME(18,0,0),"Tarde","Noite")))</f>
        <v>Tarde</v>
      </c>
      <c r="R312" s="46">
        <f>IF(AND(H312="Realizado",L312&lt;&gt;"",A312&lt;=Config!$B$9),L312/60,0)</f>
        <v>0.5</v>
      </c>
      <c r="S312" s="45">
        <f>IF(G312="","",IFERROR(INDEX(Config!$K$5:$K$16,MATCH(G312,Config!$J$5:$J$16,0)),""))</f>
        <v>30</v>
      </c>
      <c r="T312" s="31">
        <f>IF(OR(G312="",F312=""),"",IFERROR(INDEX(Config!$M$5:$R$16,MATCH(G312,Config!$J$5:$J$16,0),MATCH(F312,Config!$H$5:$H$10,0)),""))</f>
        <v>120</v>
      </c>
      <c r="U312" s="47">
        <f>IF(AND(H312="Realizado",L312&lt;&gt;""),L312/60,0)</f>
        <v>0.5</v>
      </c>
      <c r="V312" s="47">
        <f>IF(AND(H312="Realizado",OR(L312="",M312="")),1,0)</f>
        <v>0</v>
      </c>
    </row>
    <row r="313">
      <c r="A313" s="43" t="n">
        <v>46205</v>
      </c>
      <c r="B313" s="44" t="n">
        <v>0.3333333333333333</v>
      </c>
      <c r="C313" s="38" t="inlineStr">
        <is>
          <t>Dra. Carolina Mendes</t>
        </is>
      </c>
      <c r="D313" s="38" t="inlineStr">
        <is>
          <t>Sala 1</t>
        </is>
      </c>
      <c r="E313" s="37" t="inlineStr">
        <is>
          <t>Débora Ramos</t>
        </is>
      </c>
      <c r="F313" s="38" t="inlineStr">
        <is>
          <t>Particular</t>
        </is>
      </c>
      <c r="G313" s="38" t="inlineStr">
        <is>
          <t>Consulta</t>
        </is>
      </c>
      <c r="H313" s="38" t="inlineStr">
        <is>
          <t>Realizado</t>
        </is>
      </c>
      <c r="I313" s="38" t="inlineStr">
        <is>
          <t>Cartão de crédito</t>
        </is>
      </c>
      <c r="J313" s="38" t="n"/>
      <c r="K313" s="37" t="n"/>
      <c r="L313" s="39" t="n">
        <v>30</v>
      </c>
      <c r="M313" s="40" t="n">
        <v>380</v>
      </c>
      <c r="N313" s="30">
        <f>IF(A313="","",MONTH(A313))</f>
        <v>7</v>
      </c>
      <c r="O313" s="30">
        <f>IF(A313="","",YEAR(A313))</f>
        <v>2026</v>
      </c>
      <c r="P313" s="30" t="str">
        <f>IF(A313="","",CHOOSE(WEEKDAY(A313,2),"Segunda","Terça","Quarta","Quinta","Sexta","Sábado","Domingo"))</f>
        <v>Quinta</v>
      </c>
      <c r="Q313" s="30" t="str">
        <f>IF(B313="","",IF(B313&lt;TIME(12,0,0),"Manhã",IF(B313&lt;TIME(18,0,0),"Tarde","Noite")))</f>
        <v>Manhã</v>
      </c>
      <c r="R313" s="46">
        <f>IF(AND(H313="Realizado",L313&lt;&gt;"",A313&lt;=Config!$B$9),L313/60,0)</f>
        <v>0.5</v>
      </c>
      <c r="S313" s="45">
        <f>IF(G313="","",IFERROR(INDEX(Config!$K$5:$K$16,MATCH(G313,Config!$J$5:$J$16,0)),""))</f>
        <v>30</v>
      </c>
      <c r="T313" s="31">
        <f>IF(OR(G313="",F313=""),"",IFERROR(INDEX(Config!$M$5:$R$16,MATCH(G313,Config!$J$5:$J$16,0),MATCH(F313,Config!$H$5:$H$10,0)),""))</f>
        <v>380</v>
      </c>
      <c r="U313" s="47">
        <f>IF(AND(H313="Realizado",L313&lt;&gt;""),L313/60,0)</f>
        <v>0.5</v>
      </c>
      <c r="V313" s="47">
        <f>IF(AND(H313="Realizado",OR(L313="",M313="")),1,0)</f>
        <v>0</v>
      </c>
    </row>
    <row r="314">
      <c r="A314" s="43" t="n">
        <v>46205</v>
      </c>
      <c r="B314" s="44" t="n">
        <v>0.3541666666666667</v>
      </c>
      <c r="C314" s="38" t="inlineStr">
        <is>
          <t>Dra. Carolina Mendes</t>
        </is>
      </c>
      <c r="D314" s="38" t="inlineStr">
        <is>
          <t>Sala 1</t>
        </is>
      </c>
      <c r="E314" s="37" t="inlineStr">
        <is>
          <t>Juliana Ribeiro</t>
        </is>
      </c>
      <c r="F314" s="38" t="inlineStr">
        <is>
          <t>Saúde Total</t>
        </is>
      </c>
      <c r="G314" s="38" t="inlineStr">
        <is>
          <t>Retorno</t>
        </is>
      </c>
      <c r="H314" s="38" t="inlineStr">
        <is>
          <t>Realizado</t>
        </is>
      </c>
      <c r="I314" s="38" t="inlineStr">
        <is>
          <t>Sem cobrança</t>
        </is>
      </c>
      <c r="J314" s="38" t="n"/>
      <c r="K314" s="37" t="n"/>
      <c r="L314" s="39" t="n">
        <v>20</v>
      </c>
      <c r="M314" s="40" t="n">
        <v>0</v>
      </c>
      <c r="N314" s="30">
        <f>IF(A314="","",MONTH(A314))</f>
        <v>7</v>
      </c>
      <c r="O314" s="30">
        <f>IF(A314="","",YEAR(A314))</f>
        <v>2026</v>
      </c>
      <c r="P314" s="30" t="str">
        <f>IF(A314="","",CHOOSE(WEEKDAY(A314,2),"Segunda","Terça","Quarta","Quinta","Sexta","Sábado","Domingo"))</f>
        <v>Quinta</v>
      </c>
      <c r="Q314" s="30" t="str">
        <f>IF(B314="","",IF(B314&lt;TIME(12,0,0),"Manhã",IF(B314&lt;TIME(18,0,0),"Tarde","Noite")))</f>
        <v>Manhã</v>
      </c>
      <c r="R314" s="46">
        <f>IF(AND(H314="Realizado",L314&lt;&gt;"",A314&lt;=Config!$B$9),L314/60,0)</f>
        <v>0.333333333333333</v>
      </c>
      <c r="S314" s="45">
        <f>IF(G314="","",IFERROR(INDEX(Config!$K$5:$K$16,MATCH(G314,Config!$J$5:$J$16,0)),""))</f>
        <v>20</v>
      </c>
      <c r="T314" s="31">
        <f>IF(OR(G314="",F314=""),"",IFERROR(INDEX(Config!$M$5:$R$16,MATCH(G314,Config!$J$5:$J$16,0),MATCH(F314,Config!$H$5:$H$10,0)),""))</f>
        <v>0</v>
      </c>
      <c r="U314" s="47">
        <f>IF(AND(H314="Realizado",L314&lt;&gt;""),L314/60,0)</f>
        <v>0.333333333333333</v>
      </c>
      <c r="V314" s="47">
        <f>IF(AND(H314="Realizado",OR(L314="",M314="")),1,0)</f>
        <v>0</v>
      </c>
    </row>
    <row r="315">
      <c r="A315" s="43" t="n">
        <v>46205</v>
      </c>
      <c r="B315" s="44" t="n">
        <v>0.3680555555555556</v>
      </c>
      <c r="C315" s="38" t="inlineStr">
        <is>
          <t>Dra. Carolina Mendes</t>
        </is>
      </c>
      <c r="D315" s="38" t="inlineStr">
        <is>
          <t>Sala 1</t>
        </is>
      </c>
      <c r="E315" s="37" t="inlineStr">
        <is>
          <t>Mariana Nascimento</t>
        </is>
      </c>
      <c r="F315" s="38" t="inlineStr">
        <is>
          <t>Particular</t>
        </is>
      </c>
      <c r="G315" s="38" t="inlineStr">
        <is>
          <t>Consulta</t>
        </is>
      </c>
      <c r="H315" s="38" t="inlineStr">
        <is>
          <t>Remarcado</t>
        </is>
      </c>
      <c r="I315" s="38" t="n"/>
      <c r="J315" s="38" t="n"/>
      <c r="K315" s="37" t="inlineStr">
        <is>
          <t>Paciente pediu outra data</t>
        </is>
      </c>
      <c r="L315" s="39" t="n">
        <v>30</v>
      </c>
      <c r="M315" s="40" t="n">
        <v>380</v>
      </c>
      <c r="N315" s="30">
        <f>IF(A315="","",MONTH(A315))</f>
        <v>7</v>
      </c>
      <c r="O315" s="30">
        <f>IF(A315="","",YEAR(A315))</f>
        <v>2026</v>
      </c>
      <c r="P315" s="30" t="str">
        <f>IF(A315="","",CHOOSE(WEEKDAY(A315,2),"Segunda","Terça","Quarta","Quinta","Sexta","Sábado","Domingo"))</f>
        <v>Quinta</v>
      </c>
      <c r="Q315" s="30" t="str">
        <f>IF(B315="","",IF(B315&lt;TIME(12,0,0),"Manhã",IF(B315&lt;TIME(18,0,0),"Tarde","Noite")))</f>
        <v>Manhã</v>
      </c>
      <c r="R315" s="46">
        <f>IF(AND(H315="Realizado",L315&lt;&gt;"",A315&lt;=Config!$B$9),L315/60,0)</f>
        <v>0</v>
      </c>
      <c r="S315" s="45">
        <f>IF(G315="","",IFERROR(INDEX(Config!$K$5:$K$16,MATCH(G315,Config!$J$5:$J$16,0)),""))</f>
        <v>30</v>
      </c>
      <c r="T315" s="31">
        <f>IF(OR(G315="",F315=""),"",IFERROR(INDEX(Config!$M$5:$R$16,MATCH(G315,Config!$J$5:$J$16,0),MATCH(F315,Config!$H$5:$H$10,0)),""))</f>
        <v>380</v>
      </c>
      <c r="U315" s="47">
        <f>IF(AND(H315="Realizado",L315&lt;&gt;""),L315/60,0)</f>
        <v>0</v>
      </c>
      <c r="V315" s="47">
        <f>IF(AND(H315="Realizado",OR(L315="",M315="")),1,0)</f>
        <v>0</v>
      </c>
    </row>
    <row r="316">
      <c r="A316" s="43" t="n">
        <v>46205</v>
      </c>
      <c r="B316" s="44" t="n">
        <v>0.3888888888888889</v>
      </c>
      <c r="C316" s="38" t="inlineStr">
        <is>
          <t>Dra. Carolina Mendes</t>
        </is>
      </c>
      <c r="D316" s="38" t="inlineStr">
        <is>
          <t>Sala 1</t>
        </is>
      </c>
      <c r="E316" s="37" t="inlineStr">
        <is>
          <t>Priscila Castro</t>
        </is>
      </c>
      <c r="F316" s="38" t="inlineStr">
        <is>
          <t>Saúde Total</t>
        </is>
      </c>
      <c r="G316" s="38" t="inlineStr">
        <is>
          <t>Consulta</t>
        </is>
      </c>
      <c r="H316" s="38" t="inlineStr">
        <is>
          <t>Realizado</t>
        </is>
      </c>
      <c r="I316" s="38" t="inlineStr">
        <is>
          <t>Convênio</t>
        </is>
      </c>
      <c r="J316" s="38" t="n"/>
      <c r="K316" s="37" t="n"/>
      <c r="L316" s="39" t="n">
        <v>30</v>
      </c>
      <c r="M316" s="40" t="n">
        <v>120</v>
      </c>
      <c r="N316" s="30">
        <f>IF(A316="","",MONTH(A316))</f>
        <v>7</v>
      </c>
      <c r="O316" s="30">
        <f>IF(A316="","",YEAR(A316))</f>
        <v>2026</v>
      </c>
      <c r="P316" s="30" t="str">
        <f>IF(A316="","",CHOOSE(WEEKDAY(A316,2),"Segunda","Terça","Quarta","Quinta","Sexta","Sábado","Domingo"))</f>
        <v>Quinta</v>
      </c>
      <c r="Q316" s="30" t="str">
        <f>IF(B316="","",IF(B316&lt;TIME(12,0,0),"Manhã",IF(B316&lt;TIME(18,0,0),"Tarde","Noite")))</f>
        <v>Manhã</v>
      </c>
      <c r="R316" s="46">
        <f>IF(AND(H316="Realizado",L316&lt;&gt;"",A316&lt;=Config!$B$9),L316/60,0)</f>
        <v>0.5</v>
      </c>
      <c r="S316" s="45">
        <f>IF(G316="","",IFERROR(INDEX(Config!$K$5:$K$16,MATCH(G316,Config!$J$5:$J$16,0)),""))</f>
        <v>30</v>
      </c>
      <c r="T316" s="31">
        <f>IF(OR(G316="",F316=""),"",IFERROR(INDEX(Config!$M$5:$R$16,MATCH(G316,Config!$J$5:$J$16,0),MATCH(F316,Config!$H$5:$H$10,0)),""))</f>
        <v>120</v>
      </c>
      <c r="U316" s="47">
        <f>IF(AND(H316="Realizado",L316&lt;&gt;""),L316/60,0)</f>
        <v>0.5</v>
      </c>
      <c r="V316" s="47">
        <f>IF(AND(H316="Realizado",OR(L316="",M316="")),1,0)</f>
        <v>0</v>
      </c>
    </row>
    <row r="317">
      <c r="A317" s="43" t="n">
        <v>46205</v>
      </c>
      <c r="B317" s="44" t="n">
        <v>0.4097222222222222</v>
      </c>
      <c r="C317" s="38" t="inlineStr">
        <is>
          <t>Dra. Carolina Mendes</t>
        </is>
      </c>
      <c r="D317" s="38" t="inlineStr">
        <is>
          <t>Sala 1</t>
        </is>
      </c>
      <c r="E317" s="37" t="inlineStr">
        <is>
          <t>Letícia Vieira</t>
        </is>
      </c>
      <c r="F317" s="38" t="inlineStr">
        <is>
          <t>Saúde Total</t>
        </is>
      </c>
      <c r="G317" s="38" t="inlineStr">
        <is>
          <t>Consulta</t>
        </is>
      </c>
      <c r="H317" s="38" t="inlineStr">
        <is>
          <t>Realizado</t>
        </is>
      </c>
      <c r="I317" s="38" t="inlineStr">
        <is>
          <t>Convênio</t>
        </is>
      </c>
      <c r="J317" s="38" t="n"/>
      <c r="K317" s="37" t="n"/>
      <c r="L317" s="39" t="n">
        <v>30</v>
      </c>
      <c r="M317" s="40" t="n">
        <v>120</v>
      </c>
      <c r="N317" s="30">
        <f>IF(A317="","",MONTH(A317))</f>
        <v>7</v>
      </c>
      <c r="O317" s="30">
        <f>IF(A317="","",YEAR(A317))</f>
        <v>2026</v>
      </c>
      <c r="P317" s="30" t="str">
        <f>IF(A317="","",CHOOSE(WEEKDAY(A317,2),"Segunda","Terça","Quarta","Quinta","Sexta","Sábado","Domingo"))</f>
        <v>Quinta</v>
      </c>
      <c r="Q317" s="30" t="str">
        <f>IF(B317="","",IF(B317&lt;TIME(12,0,0),"Manhã",IF(B317&lt;TIME(18,0,0),"Tarde","Noite")))</f>
        <v>Manhã</v>
      </c>
      <c r="R317" s="46">
        <f>IF(AND(H317="Realizado",L317&lt;&gt;"",A317&lt;=Config!$B$9),L317/60,0)</f>
        <v>0.5</v>
      </c>
      <c r="S317" s="45">
        <f>IF(G317="","",IFERROR(INDEX(Config!$K$5:$K$16,MATCH(G317,Config!$J$5:$J$16,0)),""))</f>
        <v>30</v>
      </c>
      <c r="T317" s="31">
        <f>IF(OR(G317="",F317=""),"",IFERROR(INDEX(Config!$M$5:$R$16,MATCH(G317,Config!$J$5:$J$16,0),MATCH(F317,Config!$H$5:$H$10,0)),""))</f>
        <v>120</v>
      </c>
      <c r="U317" s="47">
        <f>IF(AND(H317="Realizado",L317&lt;&gt;""),L317/60,0)</f>
        <v>0.5</v>
      </c>
      <c r="V317" s="47">
        <f>IF(AND(H317="Realizado",OR(L317="",M317="")),1,0)</f>
        <v>0</v>
      </c>
    </row>
    <row r="318">
      <c r="A318" s="43" t="n">
        <v>46205</v>
      </c>
      <c r="B318" s="44" t="n">
        <v>0.4305555555555556</v>
      </c>
      <c r="C318" s="38" t="inlineStr">
        <is>
          <t>Dra. Carolina Mendes</t>
        </is>
      </c>
      <c r="D318" s="38" t="inlineStr">
        <is>
          <t>Sala 1</t>
        </is>
      </c>
      <c r="E318" s="37" t="inlineStr">
        <is>
          <t>Mônica Batista</t>
        </is>
      </c>
      <c r="F318" s="38" t="inlineStr">
        <is>
          <t>MediPlan</t>
        </is>
      </c>
      <c r="G318" s="38" t="inlineStr">
        <is>
          <t>Consulta</t>
        </is>
      </c>
      <c r="H318" s="38" t="inlineStr">
        <is>
          <t>Realizado</t>
        </is>
      </c>
      <c r="I318" s="38" t="inlineStr">
        <is>
          <t>Convênio</t>
        </is>
      </c>
      <c r="J318" s="38" t="n"/>
      <c r="K318" s="37" t="n"/>
      <c r="L318" s="39" t="n">
        <v>30</v>
      </c>
      <c r="M318" s="40" t="n">
        <v>100</v>
      </c>
      <c r="N318" s="30">
        <f>IF(A318="","",MONTH(A318))</f>
        <v>7</v>
      </c>
      <c r="O318" s="30">
        <f>IF(A318="","",YEAR(A318))</f>
        <v>2026</v>
      </c>
      <c r="P318" s="30" t="str">
        <f>IF(A318="","",CHOOSE(WEEKDAY(A318,2),"Segunda","Terça","Quarta","Quinta","Sexta","Sábado","Domingo"))</f>
        <v>Quinta</v>
      </c>
      <c r="Q318" s="30" t="str">
        <f>IF(B318="","",IF(B318&lt;TIME(12,0,0),"Manhã",IF(B318&lt;TIME(18,0,0),"Tarde","Noite")))</f>
        <v>Manhã</v>
      </c>
      <c r="R318" s="46">
        <f>IF(AND(H318="Realizado",L318&lt;&gt;"",A318&lt;=Config!$B$9),L318/60,0)</f>
        <v>0.5</v>
      </c>
      <c r="S318" s="45">
        <f>IF(G318="","",IFERROR(INDEX(Config!$K$5:$K$16,MATCH(G318,Config!$J$5:$J$16,0)),""))</f>
        <v>30</v>
      </c>
      <c r="T318" s="31">
        <f>IF(OR(G318="",F318=""),"",IFERROR(INDEX(Config!$M$5:$R$16,MATCH(G318,Config!$J$5:$J$16,0),MATCH(F318,Config!$H$5:$H$10,0)),""))</f>
        <v>100</v>
      </c>
      <c r="U318" s="47">
        <f>IF(AND(H318="Realizado",L318&lt;&gt;""),L318/60,0)</f>
        <v>0.5</v>
      </c>
      <c r="V318" s="47">
        <f>IF(AND(H318="Realizado",OR(L318="",M318="")),1,0)</f>
        <v>0</v>
      </c>
    </row>
    <row r="319">
      <c r="A319" s="43" t="n">
        <v>46205</v>
      </c>
      <c r="B319" s="44" t="n">
        <v>0.4513888888888889</v>
      </c>
      <c r="C319" s="38" t="inlineStr">
        <is>
          <t>Dra. Carolina Mendes</t>
        </is>
      </c>
      <c r="D319" s="38" t="inlineStr">
        <is>
          <t>Sala 1</t>
        </is>
      </c>
      <c r="E319" s="37" t="inlineStr">
        <is>
          <t>Mariana Nascimento</t>
        </is>
      </c>
      <c r="F319" s="38" t="inlineStr">
        <is>
          <t>Particular</t>
        </is>
      </c>
      <c r="G319" s="38" t="inlineStr">
        <is>
          <t>Consulta</t>
        </is>
      </c>
      <c r="H319" s="38" t="inlineStr">
        <is>
          <t>Realizado</t>
        </is>
      </c>
      <c r="I319" s="38" t="inlineStr">
        <is>
          <t>Cartão de crédito</t>
        </is>
      </c>
      <c r="J319" s="38" t="n"/>
      <c r="K319" s="37" t="n"/>
      <c r="L319" s="39" t="n">
        <v>30</v>
      </c>
      <c r="M319" s="40" t="n">
        <v>380</v>
      </c>
      <c r="N319" s="30">
        <f>IF(A319="","",MONTH(A319))</f>
        <v>7</v>
      </c>
      <c r="O319" s="30">
        <f>IF(A319="","",YEAR(A319))</f>
        <v>2026</v>
      </c>
      <c r="P319" s="30" t="str">
        <f>IF(A319="","",CHOOSE(WEEKDAY(A319,2),"Segunda","Terça","Quarta","Quinta","Sexta","Sábado","Domingo"))</f>
        <v>Quinta</v>
      </c>
      <c r="Q319" s="30" t="str">
        <f>IF(B319="","",IF(B319&lt;TIME(12,0,0),"Manhã",IF(B319&lt;TIME(18,0,0),"Tarde","Noite")))</f>
        <v>Manhã</v>
      </c>
      <c r="R319" s="46">
        <f>IF(AND(H319="Realizado",L319&lt;&gt;"",A319&lt;=Config!$B$9),L319/60,0)</f>
        <v>0.5</v>
      </c>
      <c r="S319" s="45">
        <f>IF(G319="","",IFERROR(INDEX(Config!$K$5:$K$16,MATCH(G319,Config!$J$5:$J$16,0)),""))</f>
        <v>30</v>
      </c>
      <c r="T319" s="31">
        <f>IF(OR(G319="",F319=""),"",IFERROR(INDEX(Config!$M$5:$R$16,MATCH(G319,Config!$J$5:$J$16,0),MATCH(F319,Config!$H$5:$H$10,0)),""))</f>
        <v>380</v>
      </c>
      <c r="U319" s="47">
        <f>IF(AND(H319="Realizado",L319&lt;&gt;""),L319/60,0)</f>
        <v>0.5</v>
      </c>
      <c r="V319" s="47">
        <f>IF(AND(H319="Realizado",OR(L319="",M319="")),1,0)</f>
        <v>0</v>
      </c>
    </row>
    <row r="320">
      <c r="A320" s="43" t="n">
        <v>46205</v>
      </c>
      <c r="B320" s="44" t="n">
        <v>0.4722222222222222</v>
      </c>
      <c r="C320" s="38" t="inlineStr">
        <is>
          <t>Dra. Carolina Mendes</t>
        </is>
      </c>
      <c r="D320" s="38" t="inlineStr">
        <is>
          <t>Sala 1</t>
        </is>
      </c>
      <c r="E320" s="37" t="inlineStr">
        <is>
          <t>Helena Moreira</t>
        </is>
      </c>
      <c r="F320" s="38" t="inlineStr">
        <is>
          <t>Particular</t>
        </is>
      </c>
      <c r="G320" s="38" t="inlineStr">
        <is>
          <t>Consulta</t>
        </is>
      </c>
      <c r="H320" s="38" t="inlineStr">
        <is>
          <t>Realizado</t>
        </is>
      </c>
      <c r="I320" s="38" t="inlineStr">
        <is>
          <t>Cartão de crédito</t>
        </is>
      </c>
      <c r="J320" s="38" t="n"/>
      <c r="K320" s="37" t="n"/>
      <c r="L320" s="39" t="n">
        <v>30</v>
      </c>
      <c r="M320" s="40" t="n">
        <v>380</v>
      </c>
      <c r="N320" s="30">
        <f>IF(A320="","",MONTH(A320))</f>
        <v>7</v>
      </c>
      <c r="O320" s="30">
        <f>IF(A320="","",YEAR(A320))</f>
        <v>2026</v>
      </c>
      <c r="P320" s="30" t="str">
        <f>IF(A320="","",CHOOSE(WEEKDAY(A320,2),"Segunda","Terça","Quarta","Quinta","Sexta","Sábado","Domingo"))</f>
        <v>Quinta</v>
      </c>
      <c r="Q320" s="30" t="str">
        <f>IF(B320="","",IF(B320&lt;TIME(12,0,0),"Manhã",IF(B320&lt;TIME(18,0,0),"Tarde","Noite")))</f>
        <v>Manhã</v>
      </c>
      <c r="R320" s="46">
        <f>IF(AND(H320="Realizado",L320&lt;&gt;"",A320&lt;=Config!$B$9),L320/60,0)</f>
        <v>0.5</v>
      </c>
      <c r="S320" s="45">
        <f>IF(G320="","",IFERROR(INDEX(Config!$K$5:$K$16,MATCH(G320,Config!$J$5:$J$16,0)),""))</f>
        <v>30</v>
      </c>
      <c r="T320" s="31">
        <f>IF(OR(G320="",F320=""),"",IFERROR(INDEX(Config!$M$5:$R$16,MATCH(G320,Config!$J$5:$J$16,0),MATCH(F320,Config!$H$5:$H$10,0)),""))</f>
        <v>380</v>
      </c>
      <c r="U320" s="47">
        <f>IF(AND(H320="Realizado",L320&lt;&gt;""),L320/60,0)</f>
        <v>0.5</v>
      </c>
      <c r="V320" s="47">
        <f>IF(AND(H320="Realizado",OR(L320="",M320="")),1,0)</f>
        <v>0</v>
      </c>
    </row>
    <row r="321">
      <c r="A321" s="43" t="n">
        <v>46205</v>
      </c>
      <c r="B321" s="44" t="n">
        <v>0.5833333333333334</v>
      </c>
      <c r="C321" s="38" t="inlineStr">
        <is>
          <t>Dra. Renata Sousa</t>
        </is>
      </c>
      <c r="D321" s="38" t="inlineStr">
        <is>
          <t>Sala 1</t>
        </is>
      </c>
      <c r="E321" s="37" t="inlineStr">
        <is>
          <t>Gisele Lopes</t>
        </is>
      </c>
      <c r="F321" s="38" t="inlineStr">
        <is>
          <t>Saúde Total</t>
        </is>
      </c>
      <c r="G321" s="38" t="inlineStr">
        <is>
          <t>Avaliação endócrina</t>
        </is>
      </c>
      <c r="H321" s="38" t="inlineStr">
        <is>
          <t>Realizado</t>
        </is>
      </c>
      <c r="I321" s="38" t="inlineStr">
        <is>
          <t>Convênio</t>
        </is>
      </c>
      <c r="J321" s="38" t="n"/>
      <c r="K321" s="37" t="n"/>
      <c r="L321" s="39" t="n">
        <v>40</v>
      </c>
      <c r="M321" s="40" t="n">
        <v>130</v>
      </c>
      <c r="N321" s="30">
        <f>IF(A321="","",MONTH(A321))</f>
        <v>7</v>
      </c>
      <c r="O321" s="30">
        <f>IF(A321="","",YEAR(A321))</f>
        <v>2026</v>
      </c>
      <c r="P321" s="30" t="str">
        <f>IF(A321="","",CHOOSE(WEEKDAY(A321,2),"Segunda","Terça","Quarta","Quinta","Sexta","Sábado","Domingo"))</f>
        <v>Quinta</v>
      </c>
      <c r="Q321" s="30" t="str">
        <f>IF(B321="","",IF(B321&lt;TIME(12,0,0),"Manhã",IF(B321&lt;TIME(18,0,0),"Tarde","Noite")))</f>
        <v>Tarde</v>
      </c>
      <c r="R321" s="46">
        <f>IF(AND(H321="Realizado",L321&lt;&gt;"",A321&lt;=Config!$B$9),L321/60,0)</f>
        <v>0.666666666666667</v>
      </c>
      <c r="S321" s="45">
        <f>IF(G321="","",IFERROR(INDEX(Config!$K$5:$K$16,MATCH(G321,Config!$J$5:$J$16,0)),""))</f>
        <v>40</v>
      </c>
      <c r="T321" s="31">
        <f>IF(OR(G321="",F321=""),"",IFERROR(INDEX(Config!$M$5:$R$16,MATCH(G321,Config!$J$5:$J$16,0),MATCH(F321,Config!$H$5:$H$10,0)),""))</f>
        <v>130</v>
      </c>
      <c r="U321" s="47">
        <f>IF(AND(H321="Realizado",L321&lt;&gt;""),L321/60,0)</f>
        <v>0.666666666666667</v>
      </c>
      <c r="V321" s="47">
        <f>IF(AND(H321="Realizado",OR(L321="",M321="")),1,0)</f>
        <v>0</v>
      </c>
    </row>
    <row r="322">
      <c r="A322" s="43" t="n">
        <v>46205</v>
      </c>
      <c r="B322" s="44" t="n">
        <v>0.5833333333333334</v>
      </c>
      <c r="C322" s="38" t="inlineStr">
        <is>
          <t>Dr. Paulo Andrade</t>
        </is>
      </c>
      <c r="D322" s="38" t="inlineStr">
        <is>
          <t>Sala 2</t>
        </is>
      </c>
      <c r="E322" s="37" t="inlineStr">
        <is>
          <t>Priscila Pinto</t>
        </is>
      </c>
      <c r="F322" s="38" t="inlineStr">
        <is>
          <t>Saúde Total</t>
        </is>
      </c>
      <c r="G322" s="38" t="inlineStr">
        <is>
          <t>Retorno</t>
        </is>
      </c>
      <c r="H322" s="38" t="inlineStr">
        <is>
          <t>Realizado</t>
        </is>
      </c>
      <c r="I322" s="38" t="inlineStr">
        <is>
          <t>Sem cobrança</t>
        </is>
      </c>
      <c r="J322" s="38" t="n"/>
      <c r="K322" s="37" t="n"/>
      <c r="L322" s="39" t="n">
        <v>20</v>
      </c>
      <c r="M322" s="40" t="n">
        <v>0</v>
      </c>
      <c r="N322" s="30">
        <f>IF(A322="","",MONTH(A322))</f>
        <v>7</v>
      </c>
      <c r="O322" s="30">
        <f>IF(A322="","",YEAR(A322))</f>
        <v>2026</v>
      </c>
      <c r="P322" s="30" t="str">
        <f>IF(A322="","",CHOOSE(WEEKDAY(A322,2),"Segunda","Terça","Quarta","Quinta","Sexta","Sábado","Domingo"))</f>
        <v>Quinta</v>
      </c>
      <c r="Q322" s="30" t="str">
        <f>IF(B322="","",IF(B322&lt;TIME(12,0,0),"Manhã",IF(B322&lt;TIME(18,0,0),"Tarde","Noite")))</f>
        <v>Tarde</v>
      </c>
      <c r="R322" s="46">
        <f>IF(AND(H322="Realizado",L322&lt;&gt;"",A322&lt;=Config!$B$9),L322/60,0)</f>
        <v>0.333333333333333</v>
      </c>
      <c r="S322" s="45">
        <f>IF(G322="","",IFERROR(INDEX(Config!$K$5:$K$16,MATCH(G322,Config!$J$5:$J$16,0)),""))</f>
        <v>20</v>
      </c>
      <c r="T322" s="31">
        <f>IF(OR(G322="",F322=""),"",IFERROR(INDEX(Config!$M$5:$R$16,MATCH(G322,Config!$J$5:$J$16,0),MATCH(F322,Config!$H$5:$H$10,0)),""))</f>
        <v>0</v>
      </c>
      <c r="U322" s="47">
        <f>IF(AND(H322="Realizado",L322&lt;&gt;""),L322/60,0)</f>
        <v>0.333333333333333</v>
      </c>
      <c r="V322" s="47">
        <f>IF(AND(H322="Realizado",OR(L322="",M322="")),1,0)</f>
        <v>0</v>
      </c>
    </row>
    <row r="323">
      <c r="A323" s="43" t="n">
        <v>46205</v>
      </c>
      <c r="B323" s="44" t="n">
        <v>0.6111111111111112</v>
      </c>
      <c r="C323" s="38" t="inlineStr">
        <is>
          <t>Dra. Renata Sousa</t>
        </is>
      </c>
      <c r="D323" s="38" t="inlineStr">
        <is>
          <t>Sala 1</t>
        </is>
      </c>
      <c r="E323" s="37" t="inlineStr">
        <is>
          <t>Thiago Melo</t>
        </is>
      </c>
      <c r="F323" s="38" t="inlineStr">
        <is>
          <t>Particular</t>
        </is>
      </c>
      <c r="G323" s="38" t="inlineStr">
        <is>
          <t>Retorno</t>
        </is>
      </c>
      <c r="H323" s="38" t="inlineStr">
        <is>
          <t>Realizado</t>
        </is>
      </c>
      <c r="I323" s="38" t="inlineStr">
        <is>
          <t>Sem cobrança</t>
        </is>
      </c>
      <c r="J323" s="38" t="n"/>
      <c r="K323" s="37" t="n"/>
      <c r="L323" s="39" t="n">
        <v>20</v>
      </c>
      <c r="M323" s="40" t="n">
        <v>0</v>
      </c>
      <c r="N323" s="30">
        <f>IF(A323="","",MONTH(A323))</f>
        <v>7</v>
      </c>
      <c r="O323" s="30">
        <f>IF(A323="","",YEAR(A323))</f>
        <v>2026</v>
      </c>
      <c r="P323" s="30" t="str">
        <f>IF(A323="","",CHOOSE(WEEKDAY(A323,2),"Segunda","Terça","Quarta","Quinta","Sexta","Sábado","Domingo"))</f>
        <v>Quinta</v>
      </c>
      <c r="Q323" s="30" t="str">
        <f>IF(B323="","",IF(B323&lt;TIME(12,0,0),"Manhã",IF(B323&lt;TIME(18,0,0),"Tarde","Noite")))</f>
        <v>Tarde</v>
      </c>
      <c r="R323" s="46">
        <f>IF(AND(H323="Realizado",L323&lt;&gt;"",A323&lt;=Config!$B$9),L323/60,0)</f>
        <v>0.333333333333333</v>
      </c>
      <c r="S323" s="45">
        <f>IF(G323="","",IFERROR(INDEX(Config!$K$5:$K$16,MATCH(G323,Config!$J$5:$J$16,0)),""))</f>
        <v>20</v>
      </c>
      <c r="T323" s="31">
        <f>IF(OR(G323="",F323=""),"",IFERROR(INDEX(Config!$M$5:$R$16,MATCH(G323,Config!$J$5:$J$16,0),MATCH(F323,Config!$H$5:$H$10,0)),""))</f>
        <v>0</v>
      </c>
      <c r="U323" s="47">
        <f>IF(AND(H323="Realizado",L323&lt;&gt;""),L323/60,0)</f>
        <v>0.333333333333333</v>
      </c>
      <c r="V323" s="47">
        <f>IF(AND(H323="Realizado",OR(L323="",M323="")),1,0)</f>
        <v>0</v>
      </c>
    </row>
    <row r="324">
      <c r="A324" s="43" t="n">
        <v>46205</v>
      </c>
      <c r="B324" s="44" t="n">
        <v>0.6180555555555556</v>
      </c>
      <c r="C324" s="38" t="inlineStr">
        <is>
          <t>Dr. Paulo Andrade</t>
        </is>
      </c>
      <c r="D324" s="38" t="inlineStr">
        <is>
          <t>Sala 2</t>
        </is>
      </c>
      <c r="E324" s="37" t="inlineStr">
        <is>
          <t>Gabriel Oliveira</t>
        </is>
      </c>
      <c r="F324" s="38" t="inlineStr">
        <is>
          <t>Particular</t>
        </is>
      </c>
      <c r="G324" s="38" t="inlineStr">
        <is>
          <t>ECG</t>
        </is>
      </c>
      <c r="H324" s="38" t="inlineStr">
        <is>
          <t>Realizado</t>
        </is>
      </c>
      <c r="I324" s="38" t="inlineStr">
        <is>
          <t>Pix</t>
        </is>
      </c>
      <c r="J324" s="38" t="n"/>
      <c r="K324" s="37" t="n"/>
      <c r="L324" s="39" t="n">
        <v>20</v>
      </c>
      <c r="M324" s="40" t="n">
        <v>130</v>
      </c>
      <c r="N324" s="30">
        <f>IF(A324="","",MONTH(A324))</f>
        <v>7</v>
      </c>
      <c r="O324" s="30">
        <f>IF(A324="","",YEAR(A324))</f>
        <v>2026</v>
      </c>
      <c r="P324" s="30" t="str">
        <f>IF(A324="","",CHOOSE(WEEKDAY(A324,2),"Segunda","Terça","Quarta","Quinta","Sexta","Sábado","Domingo"))</f>
        <v>Quinta</v>
      </c>
      <c r="Q324" s="30" t="str">
        <f>IF(B324="","",IF(B324&lt;TIME(12,0,0),"Manhã",IF(B324&lt;TIME(18,0,0),"Tarde","Noite")))</f>
        <v>Tarde</v>
      </c>
      <c r="R324" s="46">
        <f>IF(AND(H324="Realizado",L324&lt;&gt;"",A324&lt;=Config!$B$9),L324/60,0)</f>
        <v>0.333333333333333</v>
      </c>
      <c r="S324" s="45">
        <f>IF(G324="","",IFERROR(INDEX(Config!$K$5:$K$16,MATCH(G324,Config!$J$5:$J$16,0)),""))</f>
        <v>20</v>
      </c>
      <c r="T324" s="31">
        <f>IF(OR(G324="",F324=""),"",IFERROR(INDEX(Config!$M$5:$R$16,MATCH(G324,Config!$J$5:$J$16,0),MATCH(F324,Config!$H$5:$H$10,0)),""))</f>
        <v>130</v>
      </c>
      <c r="U324" s="47">
        <f>IF(AND(H324="Realizado",L324&lt;&gt;""),L324/60,0)</f>
        <v>0.333333333333333</v>
      </c>
      <c r="V324" s="47">
        <f>IF(AND(H324="Realizado",OR(L324="",M324="")),1,0)</f>
        <v>0</v>
      </c>
    </row>
    <row r="325">
      <c r="A325" s="43" t="n">
        <v>46205</v>
      </c>
      <c r="B325" s="44" t="n">
        <v>0.6319444444444444</v>
      </c>
      <c r="C325" s="38" t="inlineStr">
        <is>
          <t>Dr. Paulo Andrade</t>
        </is>
      </c>
      <c r="D325" s="38" t="inlineStr">
        <is>
          <t>Sala 2</t>
        </is>
      </c>
      <c r="E325" s="37" t="inlineStr">
        <is>
          <t>Helena Ribeiro</t>
        </is>
      </c>
      <c r="F325" s="38" t="inlineStr">
        <is>
          <t>MediPlan</t>
        </is>
      </c>
      <c r="G325" s="38" t="inlineStr">
        <is>
          <t>Consulta</t>
        </is>
      </c>
      <c r="H325" s="38" t="inlineStr">
        <is>
          <t>Realizado</t>
        </is>
      </c>
      <c r="I325" s="38" t="inlineStr">
        <is>
          <t>Convênio</t>
        </is>
      </c>
      <c r="J325" s="38" t="n"/>
      <c r="K325" s="37" t="n"/>
      <c r="L325" s="39" t="n">
        <v>30</v>
      </c>
      <c r="M325" s="40" t="n">
        <v>100</v>
      </c>
      <c r="N325" s="30">
        <f>IF(A325="","",MONTH(A325))</f>
        <v>7</v>
      </c>
      <c r="O325" s="30">
        <f>IF(A325="","",YEAR(A325))</f>
        <v>2026</v>
      </c>
      <c r="P325" s="30" t="str">
        <f>IF(A325="","",CHOOSE(WEEKDAY(A325,2),"Segunda","Terça","Quarta","Quinta","Sexta","Sábado","Domingo"))</f>
        <v>Quinta</v>
      </c>
      <c r="Q325" s="30" t="str">
        <f>IF(B325="","",IF(B325&lt;TIME(12,0,0),"Manhã",IF(B325&lt;TIME(18,0,0),"Tarde","Noite")))</f>
        <v>Tarde</v>
      </c>
      <c r="R325" s="46">
        <f>IF(AND(H325="Realizado",L325&lt;&gt;"",A325&lt;=Config!$B$9),L325/60,0)</f>
        <v>0.5</v>
      </c>
      <c r="S325" s="45">
        <f>IF(G325="","",IFERROR(INDEX(Config!$K$5:$K$16,MATCH(G325,Config!$J$5:$J$16,0)),""))</f>
        <v>30</v>
      </c>
      <c r="T325" s="31">
        <f>IF(OR(G325="",F325=""),"",IFERROR(INDEX(Config!$M$5:$R$16,MATCH(G325,Config!$J$5:$J$16,0),MATCH(F325,Config!$H$5:$H$10,0)),""))</f>
        <v>100</v>
      </c>
      <c r="U325" s="47">
        <f>IF(AND(H325="Realizado",L325&lt;&gt;""),L325/60,0)</f>
        <v>0.5</v>
      </c>
      <c r="V325" s="47">
        <f>IF(AND(H325="Realizado",OR(L325="",M325="")),1,0)</f>
        <v>0</v>
      </c>
    </row>
    <row r="326">
      <c r="A326" s="43" t="n">
        <v>46205</v>
      </c>
      <c r="B326" s="44" t="n">
        <v>0.6527777777777778</v>
      </c>
      <c r="C326" s="38" t="inlineStr">
        <is>
          <t>Dr. Paulo Andrade</t>
        </is>
      </c>
      <c r="D326" s="38" t="inlineStr">
        <is>
          <t>Sala 2</t>
        </is>
      </c>
      <c r="E326" s="37" t="inlineStr">
        <is>
          <t>Gabriel Oliveira</t>
        </is>
      </c>
      <c r="F326" s="38" t="inlineStr">
        <is>
          <t>Particular</t>
        </is>
      </c>
      <c r="G326" s="38" t="inlineStr">
        <is>
          <t>Retorno</t>
        </is>
      </c>
      <c r="H326" s="38" t="inlineStr">
        <is>
          <t>Realizado</t>
        </is>
      </c>
      <c r="I326" s="38" t="inlineStr">
        <is>
          <t>Sem cobrança</t>
        </is>
      </c>
      <c r="J326" s="38" t="n"/>
      <c r="K326" s="37" t="n"/>
      <c r="L326" s="39" t="n">
        <v>20</v>
      </c>
      <c r="M326" s="40" t="n">
        <v>0</v>
      </c>
      <c r="N326" s="30">
        <f>IF(A326="","",MONTH(A326))</f>
        <v>7</v>
      </c>
      <c r="O326" s="30">
        <f>IF(A326="","",YEAR(A326))</f>
        <v>2026</v>
      </c>
      <c r="P326" s="30" t="str">
        <f>IF(A326="","",CHOOSE(WEEKDAY(A326,2),"Segunda","Terça","Quarta","Quinta","Sexta","Sábado","Domingo"))</f>
        <v>Quinta</v>
      </c>
      <c r="Q326" s="30" t="str">
        <f>IF(B326="","",IF(B326&lt;TIME(12,0,0),"Manhã",IF(B326&lt;TIME(18,0,0),"Tarde","Noite")))</f>
        <v>Tarde</v>
      </c>
      <c r="R326" s="46">
        <f>IF(AND(H326="Realizado",L326&lt;&gt;"",A326&lt;=Config!$B$9),L326/60,0)</f>
        <v>0.333333333333333</v>
      </c>
      <c r="S326" s="45">
        <f>IF(G326="","",IFERROR(INDEX(Config!$K$5:$K$16,MATCH(G326,Config!$J$5:$J$16,0)),""))</f>
        <v>20</v>
      </c>
      <c r="T326" s="31">
        <f>IF(OR(G326="",F326=""),"",IFERROR(INDEX(Config!$M$5:$R$16,MATCH(G326,Config!$J$5:$J$16,0),MATCH(F326,Config!$H$5:$H$10,0)),""))</f>
        <v>0</v>
      </c>
      <c r="U326" s="47">
        <f>IF(AND(H326="Realizado",L326&lt;&gt;""),L326/60,0)</f>
        <v>0.333333333333333</v>
      </c>
      <c r="V326" s="47">
        <f>IF(AND(H326="Realizado",OR(L326="",M326="")),1,0)</f>
        <v>0</v>
      </c>
    </row>
    <row r="327">
      <c r="A327" s="43" t="n">
        <v>46205</v>
      </c>
      <c r="B327" s="44" t="n">
        <v>0.6666666666666666</v>
      </c>
      <c r="C327" s="38" t="inlineStr">
        <is>
          <t>Dra. Renata Sousa</t>
        </is>
      </c>
      <c r="D327" s="38" t="inlineStr">
        <is>
          <t>Sala 1</t>
        </is>
      </c>
      <c r="E327" s="37" t="inlineStr">
        <is>
          <t>Camila Dias</t>
        </is>
      </c>
      <c r="F327" s="38" t="inlineStr">
        <is>
          <t>Particular</t>
        </is>
      </c>
      <c r="G327" s="38" t="inlineStr">
        <is>
          <t>Retorno</t>
        </is>
      </c>
      <c r="H327" s="38" t="inlineStr">
        <is>
          <t>Realizado</t>
        </is>
      </c>
      <c r="I327" s="38" t="inlineStr">
        <is>
          <t>Sem cobrança</t>
        </is>
      </c>
      <c r="J327" s="38" t="n"/>
      <c r="K327" s="37" t="n"/>
      <c r="L327" s="39" t="n">
        <v>20</v>
      </c>
      <c r="M327" s="40" t="n">
        <v>0</v>
      </c>
      <c r="N327" s="30">
        <f>IF(A327="","",MONTH(A327))</f>
        <v>7</v>
      </c>
      <c r="O327" s="30">
        <f>IF(A327="","",YEAR(A327))</f>
        <v>2026</v>
      </c>
      <c r="P327" s="30" t="str">
        <f>IF(A327="","",CHOOSE(WEEKDAY(A327,2),"Segunda","Terça","Quarta","Quinta","Sexta","Sábado","Domingo"))</f>
        <v>Quinta</v>
      </c>
      <c r="Q327" s="30" t="str">
        <f>IF(B327="","",IF(B327&lt;TIME(12,0,0),"Manhã",IF(B327&lt;TIME(18,0,0),"Tarde","Noite")))</f>
        <v>Tarde</v>
      </c>
      <c r="R327" s="46">
        <f>IF(AND(H327="Realizado",L327&lt;&gt;"",A327&lt;=Config!$B$9),L327/60,0)</f>
        <v>0.333333333333333</v>
      </c>
      <c r="S327" s="45">
        <f>IF(G327="","",IFERROR(INDEX(Config!$K$5:$K$16,MATCH(G327,Config!$J$5:$J$16,0)),""))</f>
        <v>20</v>
      </c>
      <c r="T327" s="31">
        <f>IF(OR(G327="",F327=""),"",IFERROR(INDEX(Config!$M$5:$R$16,MATCH(G327,Config!$J$5:$J$16,0),MATCH(F327,Config!$H$5:$H$10,0)),""))</f>
        <v>0</v>
      </c>
      <c r="U327" s="47">
        <f>IF(AND(H327="Realizado",L327&lt;&gt;""),L327/60,0)</f>
        <v>0.333333333333333</v>
      </c>
      <c r="V327" s="47">
        <f>IF(AND(H327="Realizado",OR(L327="",M327="")),1,0)</f>
        <v>0</v>
      </c>
    </row>
    <row r="328">
      <c r="A328" s="43" t="n">
        <v>46205</v>
      </c>
      <c r="B328" s="44" t="n">
        <v>0.6666666666666666</v>
      </c>
      <c r="C328" s="38" t="inlineStr">
        <is>
          <t>Dr. Paulo Andrade</t>
        </is>
      </c>
      <c r="D328" s="38" t="inlineStr">
        <is>
          <t>Sala 2</t>
        </is>
      </c>
      <c r="E328" s="37" t="inlineStr">
        <is>
          <t>Eduardo Nunes</t>
        </is>
      </c>
      <c r="F328" s="38" t="inlineStr">
        <is>
          <t>MediPlan</t>
        </is>
      </c>
      <c r="G328" s="38" t="inlineStr">
        <is>
          <t>ECG</t>
        </is>
      </c>
      <c r="H328" s="38" t="inlineStr">
        <is>
          <t>Realizado</t>
        </is>
      </c>
      <c r="I328" s="38" t="inlineStr">
        <is>
          <t>Convênio</t>
        </is>
      </c>
      <c r="J328" s="38" t="n"/>
      <c r="K328" s="37" t="n"/>
      <c r="L328" s="39" t="n">
        <v>20</v>
      </c>
      <c r="M328" s="40" t="n">
        <v>35</v>
      </c>
      <c r="N328" s="30">
        <f>IF(A328="","",MONTH(A328))</f>
        <v>7</v>
      </c>
      <c r="O328" s="30">
        <f>IF(A328="","",YEAR(A328))</f>
        <v>2026</v>
      </c>
      <c r="P328" s="30" t="str">
        <f>IF(A328="","",CHOOSE(WEEKDAY(A328,2),"Segunda","Terça","Quarta","Quinta","Sexta","Sábado","Domingo"))</f>
        <v>Quinta</v>
      </c>
      <c r="Q328" s="30" t="str">
        <f>IF(B328="","",IF(B328&lt;TIME(12,0,0),"Manhã",IF(B328&lt;TIME(18,0,0),"Tarde","Noite")))</f>
        <v>Tarde</v>
      </c>
      <c r="R328" s="46">
        <f>IF(AND(H328="Realizado",L328&lt;&gt;"",A328&lt;=Config!$B$9),L328/60,0)</f>
        <v>0.333333333333333</v>
      </c>
      <c r="S328" s="45">
        <f>IF(G328="","",IFERROR(INDEX(Config!$K$5:$K$16,MATCH(G328,Config!$J$5:$J$16,0)),""))</f>
        <v>20</v>
      </c>
      <c r="T328" s="31">
        <f>IF(OR(G328="",F328=""),"",IFERROR(INDEX(Config!$M$5:$R$16,MATCH(G328,Config!$J$5:$J$16,0),MATCH(F328,Config!$H$5:$H$10,0)),""))</f>
        <v>35</v>
      </c>
      <c r="U328" s="47">
        <f>IF(AND(H328="Realizado",L328&lt;&gt;""),L328/60,0)</f>
        <v>0.333333333333333</v>
      </c>
      <c r="V328" s="47">
        <f>IF(AND(H328="Realizado",OR(L328="",M328="")),1,0)</f>
        <v>0</v>
      </c>
    </row>
    <row r="329">
      <c r="A329" s="43" t="n">
        <v>46205</v>
      </c>
      <c r="B329" s="44" t="n">
        <v>0.6805555555555556</v>
      </c>
      <c r="C329" s="38" t="inlineStr">
        <is>
          <t>Dra. Renata Sousa</t>
        </is>
      </c>
      <c r="D329" s="38" t="inlineStr">
        <is>
          <t>Sala 1</t>
        </is>
      </c>
      <c r="E329" s="37" t="inlineStr">
        <is>
          <t>Cláudia Melo</t>
        </is>
      </c>
      <c r="F329" s="38" t="inlineStr">
        <is>
          <t>Particular</t>
        </is>
      </c>
      <c r="G329" s="38" t="inlineStr">
        <is>
          <t>Retorno</t>
        </is>
      </c>
      <c r="H329" s="38" t="inlineStr">
        <is>
          <t>Realizado</t>
        </is>
      </c>
      <c r="I329" s="38" t="inlineStr">
        <is>
          <t>Sem cobrança</t>
        </is>
      </c>
      <c r="J329" s="38" t="n"/>
      <c r="K329" s="37" t="n"/>
      <c r="L329" s="39" t="n">
        <v>20</v>
      </c>
      <c r="M329" s="40" t="n">
        <v>0</v>
      </c>
      <c r="N329" s="30">
        <f>IF(A329="","",MONTH(A329))</f>
        <v>7</v>
      </c>
      <c r="O329" s="30">
        <f>IF(A329="","",YEAR(A329))</f>
        <v>2026</v>
      </c>
      <c r="P329" s="30" t="str">
        <f>IF(A329="","",CHOOSE(WEEKDAY(A329,2),"Segunda","Terça","Quarta","Quinta","Sexta","Sábado","Domingo"))</f>
        <v>Quinta</v>
      </c>
      <c r="Q329" s="30" t="str">
        <f>IF(B329="","",IF(B329&lt;TIME(12,0,0),"Manhã",IF(B329&lt;TIME(18,0,0),"Tarde","Noite")))</f>
        <v>Tarde</v>
      </c>
      <c r="R329" s="46">
        <f>IF(AND(H329="Realizado",L329&lt;&gt;"",A329&lt;=Config!$B$9),L329/60,0)</f>
        <v>0.333333333333333</v>
      </c>
      <c r="S329" s="45">
        <f>IF(G329="","",IFERROR(INDEX(Config!$K$5:$K$16,MATCH(G329,Config!$J$5:$J$16,0)),""))</f>
        <v>20</v>
      </c>
      <c r="T329" s="31">
        <f>IF(OR(G329="",F329=""),"",IFERROR(INDEX(Config!$M$5:$R$16,MATCH(G329,Config!$J$5:$J$16,0),MATCH(F329,Config!$H$5:$H$10,0)),""))</f>
        <v>0</v>
      </c>
      <c r="U329" s="47">
        <f>IF(AND(H329="Realizado",L329&lt;&gt;""),L329/60,0)</f>
        <v>0.333333333333333</v>
      </c>
      <c r="V329" s="47">
        <f>IF(AND(H329="Realizado",OR(L329="",M329="")),1,0)</f>
        <v>0</v>
      </c>
    </row>
    <row r="330">
      <c r="A330" s="43" t="n">
        <v>46205</v>
      </c>
      <c r="B330" s="44" t="n">
        <v>0.6805555555555556</v>
      </c>
      <c r="C330" s="38" t="inlineStr">
        <is>
          <t>Dr. Paulo Andrade</t>
        </is>
      </c>
      <c r="D330" s="38" t="inlineStr">
        <is>
          <t>Sala 2</t>
        </is>
      </c>
      <c r="E330" s="37" t="inlineStr">
        <is>
          <t>Patrícia Vieira</t>
        </is>
      </c>
      <c r="F330" s="38" t="inlineStr">
        <is>
          <t>Saúde Total</t>
        </is>
      </c>
      <c r="G330" s="38" t="inlineStr">
        <is>
          <t>Consulta</t>
        </is>
      </c>
      <c r="H330" s="38" t="inlineStr">
        <is>
          <t>Realizado</t>
        </is>
      </c>
      <c r="I330" s="38" t="inlineStr">
        <is>
          <t>Convênio</t>
        </is>
      </c>
      <c r="J330" s="38" t="n"/>
      <c r="K330" s="37" t="n"/>
      <c r="L330" s="39" t="n">
        <v>30</v>
      </c>
      <c r="M330" s="40" t="n">
        <v>120</v>
      </c>
      <c r="N330" s="30">
        <f>IF(A330="","",MONTH(A330))</f>
        <v>7</v>
      </c>
      <c r="O330" s="30">
        <f>IF(A330="","",YEAR(A330))</f>
        <v>2026</v>
      </c>
      <c r="P330" s="30" t="str">
        <f>IF(A330="","",CHOOSE(WEEKDAY(A330,2),"Segunda","Terça","Quarta","Quinta","Sexta","Sábado","Domingo"))</f>
        <v>Quinta</v>
      </c>
      <c r="Q330" s="30" t="str">
        <f>IF(B330="","",IF(B330&lt;TIME(12,0,0),"Manhã",IF(B330&lt;TIME(18,0,0),"Tarde","Noite")))</f>
        <v>Tarde</v>
      </c>
      <c r="R330" s="46">
        <f>IF(AND(H330="Realizado",L330&lt;&gt;"",A330&lt;=Config!$B$9),L330/60,0)</f>
        <v>0.5</v>
      </c>
      <c r="S330" s="45">
        <f>IF(G330="","",IFERROR(INDEX(Config!$K$5:$K$16,MATCH(G330,Config!$J$5:$J$16,0)),""))</f>
        <v>30</v>
      </c>
      <c r="T330" s="31">
        <f>IF(OR(G330="",F330=""),"",IFERROR(INDEX(Config!$M$5:$R$16,MATCH(G330,Config!$J$5:$J$16,0),MATCH(F330,Config!$H$5:$H$10,0)),""))</f>
        <v>120</v>
      </c>
      <c r="U330" s="47">
        <f>IF(AND(H330="Realizado",L330&lt;&gt;""),L330/60,0)</f>
        <v>0.5</v>
      </c>
      <c r="V330" s="47">
        <f>IF(AND(H330="Realizado",OR(L330="",M330="")),1,0)</f>
        <v>0</v>
      </c>
    </row>
    <row r="331">
      <c r="A331" s="43" t="n">
        <v>46205</v>
      </c>
      <c r="B331" s="44" t="n">
        <v>0.6944444444444444</v>
      </c>
      <c r="C331" s="38" t="inlineStr">
        <is>
          <t>Dra. Renata Sousa</t>
        </is>
      </c>
      <c r="D331" s="38" t="inlineStr">
        <is>
          <t>Sala 1</t>
        </is>
      </c>
      <c r="E331" s="37" t="inlineStr">
        <is>
          <t>Beatriz Monteiro</t>
        </is>
      </c>
      <c r="F331" s="38" t="inlineStr">
        <is>
          <t>Particular</t>
        </is>
      </c>
      <c r="G331" s="38" t="inlineStr">
        <is>
          <t>Avaliação endócrina</t>
        </is>
      </c>
      <c r="H331" s="38" t="inlineStr">
        <is>
          <t>Realizado</t>
        </is>
      </c>
      <c r="I331" s="38" t="inlineStr">
        <is>
          <t>Cartão de crédito</t>
        </is>
      </c>
      <c r="J331" s="38" t="n">
        <v>2</v>
      </c>
      <c r="K331" s="37" t="n"/>
      <c r="L331" s="39" t="n">
        <v>40</v>
      </c>
      <c r="M331" s="40" t="n">
        <v>400</v>
      </c>
      <c r="N331" s="30">
        <f>IF(A331="","",MONTH(A331))</f>
        <v>7</v>
      </c>
      <c r="O331" s="30">
        <f>IF(A331="","",YEAR(A331))</f>
        <v>2026</v>
      </c>
      <c r="P331" s="30" t="str">
        <f>IF(A331="","",CHOOSE(WEEKDAY(A331,2),"Segunda","Terça","Quarta","Quinta","Sexta","Sábado","Domingo"))</f>
        <v>Quinta</v>
      </c>
      <c r="Q331" s="30" t="str">
        <f>IF(B331="","",IF(B331&lt;TIME(12,0,0),"Manhã",IF(B331&lt;TIME(18,0,0),"Tarde","Noite")))</f>
        <v>Tarde</v>
      </c>
      <c r="R331" s="46">
        <f>IF(AND(H331="Realizado",L331&lt;&gt;"",A331&lt;=Config!$B$9),L331/60,0)</f>
        <v>0.666666666666667</v>
      </c>
      <c r="S331" s="45">
        <f>IF(G331="","",IFERROR(INDEX(Config!$K$5:$K$16,MATCH(G331,Config!$J$5:$J$16,0)),""))</f>
        <v>40</v>
      </c>
      <c r="T331" s="31">
        <f>IF(OR(G331="",F331=""),"",IFERROR(INDEX(Config!$M$5:$R$16,MATCH(G331,Config!$J$5:$J$16,0),MATCH(F331,Config!$H$5:$H$10,0)),""))</f>
        <v>400</v>
      </c>
      <c r="U331" s="47">
        <f>IF(AND(H331="Realizado",L331&lt;&gt;""),L331/60,0)</f>
        <v>0.666666666666667</v>
      </c>
      <c r="V331" s="47">
        <f>IF(AND(H331="Realizado",OR(L331="",M331="")),1,0)</f>
        <v>0</v>
      </c>
    </row>
    <row r="332">
      <c r="A332" s="43" t="n">
        <v>46205</v>
      </c>
      <c r="B332" s="44" t="n">
        <v>0.7222222222222222</v>
      </c>
      <c r="C332" s="38" t="inlineStr">
        <is>
          <t>Dra. Renata Sousa</t>
        </is>
      </c>
      <c r="D332" s="38" t="inlineStr">
        <is>
          <t>Sala 1</t>
        </is>
      </c>
      <c r="E332" s="37" t="inlineStr">
        <is>
          <t>Daniel Moreira</t>
        </is>
      </c>
      <c r="F332" s="38" t="inlineStr">
        <is>
          <t>Saúde Total</t>
        </is>
      </c>
      <c r="G332" s="38" t="inlineStr">
        <is>
          <t>Avaliação endócrina</t>
        </is>
      </c>
      <c r="H332" s="38" t="inlineStr">
        <is>
          <t>Realizado</t>
        </is>
      </c>
      <c r="I332" s="38" t="inlineStr">
        <is>
          <t>Convênio</t>
        </is>
      </c>
      <c r="J332" s="38" t="n"/>
      <c r="K332" s="37" t="n"/>
      <c r="L332" s="39" t="n">
        <v>40</v>
      </c>
      <c r="M332" s="40" t="n">
        <v>130</v>
      </c>
      <c r="N332" s="30">
        <f>IF(A332="","",MONTH(A332))</f>
        <v>7</v>
      </c>
      <c r="O332" s="30">
        <f>IF(A332="","",YEAR(A332))</f>
        <v>2026</v>
      </c>
      <c r="P332" s="30" t="str">
        <f>IF(A332="","",CHOOSE(WEEKDAY(A332,2),"Segunda","Terça","Quarta","Quinta","Sexta","Sábado","Domingo"))</f>
        <v>Quinta</v>
      </c>
      <c r="Q332" s="30" t="str">
        <f>IF(B332="","",IF(B332&lt;TIME(12,0,0),"Manhã",IF(B332&lt;TIME(18,0,0),"Tarde","Noite")))</f>
        <v>Tarde</v>
      </c>
      <c r="R332" s="46">
        <f>IF(AND(H332="Realizado",L332&lt;&gt;"",A332&lt;=Config!$B$9),L332/60,0)</f>
        <v>0.666666666666667</v>
      </c>
      <c r="S332" s="45">
        <f>IF(G332="","",IFERROR(INDEX(Config!$K$5:$K$16,MATCH(G332,Config!$J$5:$J$16,0)),""))</f>
        <v>40</v>
      </c>
      <c r="T332" s="31">
        <f>IF(OR(G332="",F332=""),"",IFERROR(INDEX(Config!$M$5:$R$16,MATCH(G332,Config!$J$5:$J$16,0),MATCH(F332,Config!$H$5:$H$10,0)),""))</f>
        <v>130</v>
      </c>
      <c r="U332" s="47">
        <f>IF(AND(H332="Realizado",L332&lt;&gt;""),L332/60,0)</f>
        <v>0.666666666666667</v>
      </c>
      <c r="V332" s="47">
        <f>IF(AND(H332="Realizado",OR(L332="",M332="")),1,0)</f>
        <v>0</v>
      </c>
    </row>
    <row r="333">
      <c r="A333" s="43" t="n">
        <v>46206</v>
      </c>
      <c r="B333" s="44" t="n">
        <v>0.3333333333333333</v>
      </c>
      <c r="C333" s="38" t="inlineStr">
        <is>
          <t>Dr. Paulo Andrade</t>
        </is>
      </c>
      <c r="D333" s="38" t="inlineStr">
        <is>
          <t>Sala 2</t>
        </is>
      </c>
      <c r="E333" s="37" t="inlineStr">
        <is>
          <t>Renato Dias</t>
        </is>
      </c>
      <c r="F333" s="38" t="inlineStr">
        <is>
          <t>Particular</t>
        </is>
      </c>
      <c r="G333" s="38" t="inlineStr">
        <is>
          <t>ECG</t>
        </is>
      </c>
      <c r="H333" s="38" t="inlineStr">
        <is>
          <t>Realizado</t>
        </is>
      </c>
      <c r="I333" s="38" t="inlineStr">
        <is>
          <t>Pix</t>
        </is>
      </c>
      <c r="J333" s="38" t="n"/>
      <c r="K333" s="37" t="n"/>
      <c r="L333" s="39" t="n">
        <v>20</v>
      </c>
      <c r="M333" s="40" t="n">
        <v>130</v>
      </c>
      <c r="N333" s="30">
        <f>IF(A333="","",MONTH(A333))</f>
        <v>7</v>
      </c>
      <c r="O333" s="30">
        <f>IF(A333="","",YEAR(A333))</f>
        <v>2026</v>
      </c>
      <c r="P333" s="30" t="str">
        <f>IF(A333="","",CHOOSE(WEEKDAY(A333,2),"Segunda","Terça","Quarta","Quinta","Sexta","Sábado","Domingo"))</f>
        <v>Sexta</v>
      </c>
      <c r="Q333" s="30" t="str">
        <f>IF(B333="","",IF(B333&lt;TIME(12,0,0),"Manhã",IF(B333&lt;TIME(18,0,0),"Tarde","Noite")))</f>
        <v>Manhã</v>
      </c>
      <c r="R333" s="46">
        <f>IF(AND(H333="Realizado",L333&lt;&gt;"",A333&lt;=Config!$B$9),L333/60,0)</f>
        <v>0.333333333333333</v>
      </c>
      <c r="S333" s="45">
        <f>IF(G333="","",IFERROR(INDEX(Config!$K$5:$K$16,MATCH(G333,Config!$J$5:$J$16,0)),""))</f>
        <v>20</v>
      </c>
      <c r="T333" s="31">
        <f>IF(OR(G333="",F333=""),"",IFERROR(INDEX(Config!$M$5:$R$16,MATCH(G333,Config!$J$5:$J$16,0),MATCH(F333,Config!$H$5:$H$10,0)),""))</f>
        <v>130</v>
      </c>
      <c r="U333" s="47">
        <f>IF(AND(H333="Realizado",L333&lt;&gt;""),L333/60,0)</f>
        <v>0.333333333333333</v>
      </c>
      <c r="V333" s="47">
        <f>IF(AND(H333="Realizado",OR(L333="",M333="")),1,0)</f>
        <v>0</v>
      </c>
    </row>
    <row r="334">
      <c r="A334" s="43" t="n">
        <v>46206</v>
      </c>
      <c r="B334" s="44" t="n">
        <v>0.3472222222222222</v>
      </c>
      <c r="C334" s="38" t="inlineStr">
        <is>
          <t>Dr. Paulo Andrade</t>
        </is>
      </c>
      <c r="D334" s="38" t="inlineStr">
        <is>
          <t>Sala 2</t>
        </is>
      </c>
      <c r="E334" s="37" t="inlineStr">
        <is>
          <t>Wagner Costa</t>
        </is>
      </c>
      <c r="F334" s="38" t="inlineStr">
        <is>
          <t>Particular</t>
        </is>
      </c>
      <c r="G334" s="38" t="inlineStr">
        <is>
          <t>Consulta</t>
        </is>
      </c>
      <c r="H334" s="38" t="inlineStr">
        <is>
          <t>Realizado</t>
        </is>
      </c>
      <c r="I334" s="38" t="inlineStr">
        <is>
          <t>Pix</t>
        </is>
      </c>
      <c r="J334" s="38" t="n"/>
      <c r="K334" s="37" t="n"/>
      <c r="L334" s="39" t="n">
        <v>30</v>
      </c>
      <c r="M334" s="40" t="n">
        <v>380</v>
      </c>
      <c r="N334" s="30">
        <f>IF(A334="","",MONTH(A334))</f>
        <v>7</v>
      </c>
      <c r="O334" s="30">
        <f>IF(A334="","",YEAR(A334))</f>
        <v>2026</v>
      </c>
      <c r="P334" s="30" t="str">
        <f>IF(A334="","",CHOOSE(WEEKDAY(A334,2),"Segunda","Terça","Quarta","Quinta","Sexta","Sábado","Domingo"))</f>
        <v>Sexta</v>
      </c>
      <c r="Q334" s="30" t="str">
        <f>IF(B334="","",IF(B334&lt;TIME(12,0,0),"Manhã",IF(B334&lt;TIME(18,0,0),"Tarde","Noite")))</f>
        <v>Manhã</v>
      </c>
      <c r="R334" s="46">
        <f>IF(AND(H334="Realizado",L334&lt;&gt;"",A334&lt;=Config!$B$9),L334/60,0)</f>
        <v>0.5</v>
      </c>
      <c r="S334" s="45">
        <f>IF(G334="","",IFERROR(INDEX(Config!$K$5:$K$16,MATCH(G334,Config!$J$5:$J$16,0)),""))</f>
        <v>30</v>
      </c>
      <c r="T334" s="31">
        <f>IF(OR(G334="",F334=""),"",IFERROR(INDEX(Config!$M$5:$R$16,MATCH(G334,Config!$J$5:$J$16,0),MATCH(F334,Config!$H$5:$H$10,0)),""))</f>
        <v>380</v>
      </c>
      <c r="U334" s="47">
        <f>IF(AND(H334="Realizado",L334&lt;&gt;""),L334/60,0)</f>
        <v>0.5</v>
      </c>
      <c r="V334" s="47">
        <f>IF(AND(H334="Realizado",OR(L334="",M334="")),1,0)</f>
        <v>0</v>
      </c>
    </row>
    <row r="335">
      <c r="A335" s="43" t="n">
        <v>46206</v>
      </c>
      <c r="B335" s="44" t="n">
        <v>0.4097222222222222</v>
      </c>
      <c r="C335" s="38" t="inlineStr">
        <is>
          <t>Dr. Paulo Andrade</t>
        </is>
      </c>
      <c r="D335" s="38" t="inlineStr">
        <is>
          <t>Sala 2</t>
        </is>
      </c>
      <c r="E335" s="37" t="inlineStr">
        <is>
          <t>Fábio Martins</t>
        </is>
      </c>
      <c r="F335" s="38" t="inlineStr">
        <is>
          <t>MediPlan</t>
        </is>
      </c>
      <c r="G335" s="38" t="inlineStr">
        <is>
          <t>Consulta</t>
        </is>
      </c>
      <c r="H335" s="38" t="inlineStr">
        <is>
          <t>Realizado</t>
        </is>
      </c>
      <c r="I335" s="38" t="inlineStr">
        <is>
          <t>Convênio</t>
        </is>
      </c>
      <c r="J335" s="38" t="n"/>
      <c r="K335" s="37" t="n"/>
      <c r="L335" s="39" t="n">
        <v>30</v>
      </c>
      <c r="M335" s="40" t="n">
        <v>100</v>
      </c>
      <c r="N335" s="30">
        <f>IF(A335="","",MONTH(A335))</f>
        <v>7</v>
      </c>
      <c r="O335" s="30">
        <f>IF(A335="","",YEAR(A335))</f>
        <v>2026</v>
      </c>
      <c r="P335" s="30" t="str">
        <f>IF(A335="","",CHOOSE(WEEKDAY(A335,2),"Segunda","Terça","Quarta","Quinta","Sexta","Sábado","Domingo"))</f>
        <v>Sexta</v>
      </c>
      <c r="Q335" s="30" t="str">
        <f>IF(B335="","",IF(B335&lt;TIME(12,0,0),"Manhã",IF(B335&lt;TIME(18,0,0),"Tarde","Noite")))</f>
        <v>Manhã</v>
      </c>
      <c r="R335" s="46">
        <f>IF(AND(H335="Realizado",L335&lt;&gt;"",A335&lt;=Config!$B$9),L335/60,0)</f>
        <v>0.5</v>
      </c>
      <c r="S335" s="45">
        <f>IF(G335="","",IFERROR(INDEX(Config!$K$5:$K$16,MATCH(G335,Config!$J$5:$J$16,0)),""))</f>
        <v>30</v>
      </c>
      <c r="T335" s="31">
        <f>IF(OR(G335="",F335=""),"",IFERROR(INDEX(Config!$M$5:$R$16,MATCH(G335,Config!$J$5:$J$16,0),MATCH(F335,Config!$H$5:$H$10,0)),""))</f>
        <v>100</v>
      </c>
      <c r="U335" s="47">
        <f>IF(AND(H335="Realizado",L335&lt;&gt;""),L335/60,0)</f>
        <v>0.5</v>
      </c>
      <c r="V335" s="47">
        <f>IF(AND(H335="Realizado",OR(L335="",M335="")),1,0)</f>
        <v>0</v>
      </c>
    </row>
    <row r="336">
      <c r="A336" s="43" t="n">
        <v>46206</v>
      </c>
      <c r="B336" s="44" t="n">
        <v>0.4305555555555556</v>
      </c>
      <c r="C336" s="38" t="inlineStr">
        <is>
          <t>Dr. Paulo Andrade</t>
        </is>
      </c>
      <c r="D336" s="38" t="inlineStr">
        <is>
          <t>Sala 2</t>
        </is>
      </c>
      <c r="E336" s="37" t="inlineStr">
        <is>
          <t>Rafael Araújo</t>
        </is>
      </c>
      <c r="F336" s="38" t="inlineStr">
        <is>
          <t>MediPlan</t>
        </is>
      </c>
      <c r="G336" s="38" t="inlineStr">
        <is>
          <t>Consulta</t>
        </is>
      </c>
      <c r="H336" s="38" t="inlineStr">
        <is>
          <t>Realizado</t>
        </is>
      </c>
      <c r="I336" s="38" t="inlineStr">
        <is>
          <t>Convênio</t>
        </is>
      </c>
      <c r="J336" s="38" t="n"/>
      <c r="K336" s="37" t="n"/>
      <c r="L336" s="39" t="n">
        <v>30</v>
      </c>
      <c r="M336" s="40" t="n">
        <v>100</v>
      </c>
      <c r="N336" s="30">
        <f>IF(A336="","",MONTH(A336))</f>
        <v>7</v>
      </c>
      <c r="O336" s="30">
        <f>IF(A336="","",YEAR(A336))</f>
        <v>2026</v>
      </c>
      <c r="P336" s="30" t="str">
        <f>IF(A336="","",CHOOSE(WEEKDAY(A336,2),"Segunda","Terça","Quarta","Quinta","Sexta","Sábado","Domingo"))</f>
        <v>Sexta</v>
      </c>
      <c r="Q336" s="30" t="str">
        <f>IF(B336="","",IF(B336&lt;TIME(12,0,0),"Manhã",IF(B336&lt;TIME(18,0,0),"Tarde","Noite")))</f>
        <v>Manhã</v>
      </c>
      <c r="R336" s="46">
        <f>IF(AND(H336="Realizado",L336&lt;&gt;"",A336&lt;=Config!$B$9),L336/60,0)</f>
        <v>0.5</v>
      </c>
      <c r="S336" s="45">
        <f>IF(G336="","",IFERROR(INDEX(Config!$K$5:$K$16,MATCH(G336,Config!$J$5:$J$16,0)),""))</f>
        <v>30</v>
      </c>
      <c r="T336" s="31">
        <f>IF(OR(G336="",F336=""),"",IFERROR(INDEX(Config!$M$5:$R$16,MATCH(G336,Config!$J$5:$J$16,0),MATCH(F336,Config!$H$5:$H$10,0)),""))</f>
        <v>100</v>
      </c>
      <c r="U336" s="47">
        <f>IF(AND(H336="Realizado",L336&lt;&gt;""),L336/60,0)</f>
        <v>0.5</v>
      </c>
      <c r="V336" s="47">
        <f>IF(AND(H336="Realizado",OR(L336="",M336="")),1,0)</f>
        <v>0</v>
      </c>
    </row>
    <row r="337">
      <c r="A337" s="43" t="n">
        <v>46206</v>
      </c>
      <c r="B337" s="44" t="n">
        <v>0.4722222222222222</v>
      </c>
      <c r="C337" s="38" t="inlineStr">
        <is>
          <t>Dr. Paulo Andrade</t>
        </is>
      </c>
      <c r="D337" s="38" t="inlineStr">
        <is>
          <t>Sala 2</t>
        </is>
      </c>
      <c r="E337" s="37" t="inlineStr">
        <is>
          <t>Mônica Teixeira</t>
        </is>
      </c>
      <c r="F337" s="38" t="inlineStr">
        <is>
          <t>Vida Care</t>
        </is>
      </c>
      <c r="G337" s="38" t="inlineStr">
        <is>
          <t>ECG</t>
        </is>
      </c>
      <c r="H337" s="38" t="inlineStr">
        <is>
          <t>Realizado</t>
        </is>
      </c>
      <c r="I337" s="38" t="inlineStr">
        <is>
          <t>Convênio</t>
        </is>
      </c>
      <c r="J337" s="38" t="n"/>
      <c r="K337" s="37" t="n"/>
      <c r="L337" s="39" t="n">
        <v>20</v>
      </c>
      <c r="M337" s="40" t="n">
        <v>32</v>
      </c>
      <c r="N337" s="30">
        <f>IF(A337="","",MONTH(A337))</f>
        <v>7</v>
      </c>
      <c r="O337" s="30">
        <f>IF(A337="","",YEAR(A337))</f>
        <v>2026</v>
      </c>
      <c r="P337" s="30" t="str">
        <f>IF(A337="","",CHOOSE(WEEKDAY(A337,2),"Segunda","Terça","Quarta","Quinta","Sexta","Sábado","Domingo"))</f>
        <v>Sexta</v>
      </c>
      <c r="Q337" s="30" t="str">
        <f>IF(B337="","",IF(B337&lt;TIME(12,0,0),"Manhã",IF(B337&lt;TIME(18,0,0),"Tarde","Noite")))</f>
        <v>Manhã</v>
      </c>
      <c r="R337" s="46">
        <f>IF(AND(H337="Realizado",L337&lt;&gt;"",A337&lt;=Config!$B$9),L337/60,0)</f>
        <v>0.333333333333333</v>
      </c>
      <c r="S337" s="45">
        <f>IF(G337="","",IFERROR(INDEX(Config!$K$5:$K$16,MATCH(G337,Config!$J$5:$J$16,0)),""))</f>
        <v>20</v>
      </c>
      <c r="T337" s="31">
        <f>IF(OR(G337="",F337=""),"",IFERROR(INDEX(Config!$M$5:$R$16,MATCH(G337,Config!$J$5:$J$16,0),MATCH(F337,Config!$H$5:$H$10,0)),""))</f>
        <v>32</v>
      </c>
      <c r="U337" s="47">
        <f>IF(AND(H337="Realizado",L337&lt;&gt;""),L337/60,0)</f>
        <v>0.333333333333333</v>
      </c>
      <c r="V337" s="47">
        <f>IF(AND(H337="Realizado",OR(L337="",M337="")),1,0)</f>
        <v>0</v>
      </c>
    </row>
    <row r="338">
      <c r="A338" s="43" t="n">
        <v>46206</v>
      </c>
      <c r="B338" s="44" t="n">
        <v>0.4861111111111111</v>
      </c>
      <c r="C338" s="38" t="inlineStr">
        <is>
          <t>Dr. Paulo Andrade</t>
        </is>
      </c>
      <c r="D338" s="38" t="inlineStr">
        <is>
          <t>Sala 2</t>
        </is>
      </c>
      <c r="E338" s="37" t="inlineStr">
        <is>
          <t>Natália Xavier</t>
        </is>
      </c>
      <c r="F338" s="38" t="inlineStr">
        <is>
          <t>MediPlan</t>
        </is>
      </c>
      <c r="G338" s="38" t="inlineStr">
        <is>
          <t>Consulta</t>
        </is>
      </c>
      <c r="H338" s="38" t="inlineStr">
        <is>
          <t>Realizado</t>
        </is>
      </c>
      <c r="I338" s="38" t="inlineStr">
        <is>
          <t>Convênio</t>
        </is>
      </c>
      <c r="J338" s="38" t="n"/>
      <c r="K338" s="37" t="n"/>
      <c r="L338" s="39" t="n">
        <v>30</v>
      </c>
      <c r="M338" s="40" t="n">
        <v>100</v>
      </c>
      <c r="N338" s="30">
        <f>IF(A338="","",MONTH(A338))</f>
        <v>7</v>
      </c>
      <c r="O338" s="30">
        <f>IF(A338="","",YEAR(A338))</f>
        <v>2026</v>
      </c>
      <c r="P338" s="30" t="str">
        <f>IF(A338="","",CHOOSE(WEEKDAY(A338,2),"Segunda","Terça","Quarta","Quinta","Sexta","Sábado","Domingo"))</f>
        <v>Sexta</v>
      </c>
      <c r="Q338" s="30" t="str">
        <f>IF(B338="","",IF(B338&lt;TIME(12,0,0),"Manhã",IF(B338&lt;TIME(18,0,0),"Tarde","Noite")))</f>
        <v>Manhã</v>
      </c>
      <c r="R338" s="46">
        <f>IF(AND(H338="Realizado",L338&lt;&gt;"",A338&lt;=Config!$B$9),L338/60,0)</f>
        <v>0.5</v>
      </c>
      <c r="S338" s="45">
        <f>IF(G338="","",IFERROR(INDEX(Config!$K$5:$K$16,MATCH(G338,Config!$J$5:$J$16,0)),""))</f>
        <v>30</v>
      </c>
      <c r="T338" s="31">
        <f>IF(OR(G338="",F338=""),"",IFERROR(INDEX(Config!$M$5:$R$16,MATCH(G338,Config!$J$5:$J$16,0),MATCH(F338,Config!$H$5:$H$10,0)),""))</f>
        <v>100</v>
      </c>
      <c r="U338" s="47">
        <f>IF(AND(H338="Realizado",L338&lt;&gt;""),L338/60,0)</f>
        <v>0.5</v>
      </c>
      <c r="V338" s="47">
        <f>IF(AND(H338="Realizado",OR(L338="",M338="")),1,0)</f>
        <v>0</v>
      </c>
    </row>
    <row r="339">
      <c r="A339" s="43" t="n">
        <v>46209</v>
      </c>
      <c r="B339" s="44" t="n">
        <v>0.3333333333333333</v>
      </c>
      <c r="C339" s="38" t="inlineStr">
        <is>
          <t>Dra. Carolina Mendes</t>
        </is>
      </c>
      <c r="D339" s="38" t="inlineStr">
        <is>
          <t>Sala 1</t>
        </is>
      </c>
      <c r="E339" s="37" t="inlineStr">
        <is>
          <t>Wagner Lima</t>
        </is>
      </c>
      <c r="F339" s="38" t="inlineStr">
        <is>
          <t>Particular</t>
        </is>
      </c>
      <c r="G339" s="38" t="inlineStr">
        <is>
          <t>Consulta</t>
        </is>
      </c>
      <c r="H339" s="38" t="inlineStr">
        <is>
          <t>Realizado</t>
        </is>
      </c>
      <c r="I339" s="38" t="inlineStr">
        <is>
          <t>Cartão de crédito</t>
        </is>
      </c>
      <c r="J339" s="38" t="n">
        <v>2</v>
      </c>
      <c r="K339" s="37" t="n"/>
      <c r="L339" s="39" t="n">
        <v>30</v>
      </c>
      <c r="M339" s="40" t="n">
        <v>380</v>
      </c>
      <c r="N339" s="30">
        <f>IF(A339="","",MONTH(A339))</f>
        <v>7</v>
      </c>
      <c r="O339" s="30">
        <f>IF(A339="","",YEAR(A339))</f>
        <v>2026</v>
      </c>
      <c r="P339" s="30" t="str">
        <f>IF(A339="","",CHOOSE(WEEKDAY(A339,2),"Segunda","Terça","Quarta","Quinta","Sexta","Sábado","Domingo"))</f>
        <v>Segunda</v>
      </c>
      <c r="Q339" s="30" t="str">
        <f>IF(B339="","",IF(B339&lt;TIME(12,0,0),"Manhã",IF(B339&lt;TIME(18,0,0),"Tarde","Noite")))</f>
        <v>Manhã</v>
      </c>
      <c r="R339" s="46">
        <f>IF(AND(H339="Realizado",L339&lt;&gt;"",A339&lt;=Config!$B$9),L339/60,0)</f>
        <v>0.5</v>
      </c>
      <c r="S339" s="45">
        <f>IF(G339="","",IFERROR(INDEX(Config!$K$5:$K$16,MATCH(G339,Config!$J$5:$J$16,0)),""))</f>
        <v>30</v>
      </c>
      <c r="T339" s="31">
        <f>IF(OR(G339="",F339=""),"",IFERROR(INDEX(Config!$M$5:$R$16,MATCH(G339,Config!$J$5:$J$16,0),MATCH(F339,Config!$H$5:$H$10,0)),""))</f>
        <v>380</v>
      </c>
      <c r="U339" s="47">
        <f>IF(AND(H339="Realizado",L339&lt;&gt;""),L339/60,0)</f>
        <v>0.5</v>
      </c>
      <c r="V339" s="47">
        <f>IF(AND(H339="Realizado",OR(L339="",M339="")),1,0)</f>
        <v>0</v>
      </c>
    </row>
    <row r="340">
      <c r="A340" s="43" t="n">
        <v>46209</v>
      </c>
      <c r="B340" s="44" t="n">
        <v>0.375</v>
      </c>
      <c r="C340" s="38" t="inlineStr">
        <is>
          <t>Dra. Carolina Mendes</t>
        </is>
      </c>
      <c r="D340" s="38" t="inlineStr">
        <is>
          <t>Sala 1</t>
        </is>
      </c>
      <c r="E340" s="37" t="inlineStr">
        <is>
          <t>Regina Teixeira</t>
        </is>
      </c>
      <c r="F340" s="38" t="inlineStr">
        <is>
          <t>Particular</t>
        </is>
      </c>
      <c r="G340" s="38" t="inlineStr">
        <is>
          <t>Retorno</t>
        </is>
      </c>
      <c r="H340" s="38" t="inlineStr">
        <is>
          <t>Remarcado</t>
        </is>
      </c>
      <c r="I340" s="38" t="n"/>
      <c r="J340" s="38" t="n"/>
      <c r="K340" s="37" t="inlineStr">
        <is>
          <t>Paciente pediu outra data</t>
        </is>
      </c>
      <c r="L340" s="39" t="n">
        <v>20</v>
      </c>
      <c r="M340" s="40" t="n">
        <v>0</v>
      </c>
      <c r="N340" s="30">
        <f>IF(A340="","",MONTH(A340))</f>
        <v>7</v>
      </c>
      <c r="O340" s="30">
        <f>IF(A340="","",YEAR(A340))</f>
        <v>2026</v>
      </c>
      <c r="P340" s="30" t="str">
        <f>IF(A340="","",CHOOSE(WEEKDAY(A340,2),"Segunda","Terça","Quarta","Quinta","Sexta","Sábado","Domingo"))</f>
        <v>Segunda</v>
      </c>
      <c r="Q340" s="30" t="str">
        <f>IF(B340="","",IF(B340&lt;TIME(12,0,0),"Manhã",IF(B340&lt;TIME(18,0,0),"Tarde","Noite")))</f>
        <v>Manhã</v>
      </c>
      <c r="R340" s="46">
        <f>IF(AND(H340="Realizado",L340&lt;&gt;"",A340&lt;=Config!$B$9),L340/60,0)</f>
        <v>0</v>
      </c>
      <c r="S340" s="45">
        <f>IF(G340="","",IFERROR(INDEX(Config!$K$5:$K$16,MATCH(G340,Config!$J$5:$J$16,0)),""))</f>
        <v>20</v>
      </c>
      <c r="T340" s="31">
        <f>IF(OR(G340="",F340=""),"",IFERROR(INDEX(Config!$M$5:$R$16,MATCH(G340,Config!$J$5:$J$16,0),MATCH(F340,Config!$H$5:$H$10,0)),""))</f>
        <v>0</v>
      </c>
      <c r="U340" s="47">
        <f>IF(AND(H340="Realizado",L340&lt;&gt;""),L340/60,0)</f>
        <v>0</v>
      </c>
      <c r="V340" s="47">
        <f>IF(AND(H340="Realizado",OR(L340="",M340="")),1,0)</f>
        <v>0</v>
      </c>
    </row>
    <row r="341">
      <c r="A341" s="43" t="n">
        <v>46209</v>
      </c>
      <c r="B341" s="44" t="n">
        <v>0.3888888888888889</v>
      </c>
      <c r="C341" s="38" t="inlineStr">
        <is>
          <t>Dra. Carolina Mendes</t>
        </is>
      </c>
      <c r="D341" s="38" t="inlineStr">
        <is>
          <t>Sala 1</t>
        </is>
      </c>
      <c r="E341" s="37" t="inlineStr">
        <is>
          <t>Isabela Pinto</t>
        </is>
      </c>
      <c r="F341" s="38" t="inlineStr">
        <is>
          <t>Saúde Total</t>
        </is>
      </c>
      <c r="G341" s="38" t="inlineStr">
        <is>
          <t>Retorno</t>
        </is>
      </c>
      <c r="H341" s="38" t="inlineStr">
        <is>
          <t>Realizado</t>
        </is>
      </c>
      <c r="I341" s="38" t="inlineStr">
        <is>
          <t>Sem cobrança</t>
        </is>
      </c>
      <c r="J341" s="38" t="n"/>
      <c r="K341" s="37" t="n"/>
      <c r="L341" s="39" t="n">
        <v>20</v>
      </c>
      <c r="M341" s="40" t="n">
        <v>0</v>
      </c>
      <c r="N341" s="30">
        <f>IF(A341="","",MONTH(A341))</f>
        <v>7</v>
      </c>
      <c r="O341" s="30">
        <f>IF(A341="","",YEAR(A341))</f>
        <v>2026</v>
      </c>
      <c r="P341" s="30" t="str">
        <f>IF(A341="","",CHOOSE(WEEKDAY(A341,2),"Segunda","Terça","Quarta","Quinta","Sexta","Sábado","Domingo"))</f>
        <v>Segunda</v>
      </c>
      <c r="Q341" s="30" t="str">
        <f>IF(B341="","",IF(B341&lt;TIME(12,0,0),"Manhã",IF(B341&lt;TIME(18,0,0),"Tarde","Noite")))</f>
        <v>Manhã</v>
      </c>
      <c r="R341" s="46">
        <f>IF(AND(H341="Realizado",L341&lt;&gt;"",A341&lt;=Config!$B$9),L341/60,0)</f>
        <v>0.333333333333333</v>
      </c>
      <c r="S341" s="45">
        <f>IF(G341="","",IFERROR(INDEX(Config!$K$5:$K$16,MATCH(G341,Config!$J$5:$J$16,0)),""))</f>
        <v>20</v>
      </c>
      <c r="T341" s="31">
        <f>IF(OR(G341="",F341=""),"",IFERROR(INDEX(Config!$M$5:$R$16,MATCH(G341,Config!$J$5:$J$16,0),MATCH(F341,Config!$H$5:$H$10,0)),""))</f>
        <v>0</v>
      </c>
      <c r="U341" s="47">
        <f>IF(AND(H341="Realizado",L341&lt;&gt;""),L341/60,0)</f>
        <v>0.333333333333333</v>
      </c>
      <c r="V341" s="47">
        <f>IF(AND(H341="Realizado",OR(L341="",M341="")),1,0)</f>
        <v>0</v>
      </c>
    </row>
    <row r="342">
      <c r="A342" s="43" t="n">
        <v>46209</v>
      </c>
      <c r="B342" s="44" t="n">
        <v>0.4027777777777778</v>
      </c>
      <c r="C342" s="38" t="inlineStr">
        <is>
          <t>Dra. Carolina Mendes</t>
        </is>
      </c>
      <c r="D342" s="38" t="inlineStr">
        <is>
          <t>Sala 1</t>
        </is>
      </c>
      <c r="E342" s="37" t="inlineStr">
        <is>
          <t>Carlos Fernandes</t>
        </is>
      </c>
      <c r="F342" s="38" t="inlineStr">
        <is>
          <t>Particular</t>
        </is>
      </c>
      <c r="G342" s="38" t="inlineStr">
        <is>
          <t>Consulta</t>
        </is>
      </c>
      <c r="H342" s="38" t="inlineStr">
        <is>
          <t>Falta</t>
        </is>
      </c>
      <c r="I342" s="38" t="n"/>
      <c r="J342" s="38" t="n"/>
      <c r="K342" s="37" t="n"/>
      <c r="L342" s="39" t="n">
        <v>30</v>
      </c>
      <c r="M342" s="40" t="n">
        <v>380</v>
      </c>
      <c r="N342" s="30">
        <f>IF(A342="","",MONTH(A342))</f>
        <v>7</v>
      </c>
      <c r="O342" s="30">
        <f>IF(A342="","",YEAR(A342))</f>
        <v>2026</v>
      </c>
      <c r="P342" s="30" t="str">
        <f>IF(A342="","",CHOOSE(WEEKDAY(A342,2),"Segunda","Terça","Quarta","Quinta","Sexta","Sábado","Domingo"))</f>
        <v>Segunda</v>
      </c>
      <c r="Q342" s="30" t="str">
        <f>IF(B342="","",IF(B342&lt;TIME(12,0,0),"Manhã",IF(B342&lt;TIME(18,0,0),"Tarde","Noite")))</f>
        <v>Manhã</v>
      </c>
      <c r="R342" s="46">
        <f>IF(AND(H342="Realizado",L342&lt;&gt;"",A342&lt;=Config!$B$9),L342/60,0)</f>
        <v>0</v>
      </c>
      <c r="S342" s="45">
        <f>IF(G342="","",IFERROR(INDEX(Config!$K$5:$K$16,MATCH(G342,Config!$J$5:$J$16,0)),""))</f>
        <v>30</v>
      </c>
      <c r="T342" s="31">
        <f>IF(OR(G342="",F342=""),"",IFERROR(INDEX(Config!$M$5:$R$16,MATCH(G342,Config!$J$5:$J$16,0),MATCH(F342,Config!$H$5:$H$10,0)),""))</f>
        <v>380</v>
      </c>
      <c r="U342" s="47">
        <f>IF(AND(H342="Realizado",L342&lt;&gt;""),L342/60,0)</f>
        <v>0</v>
      </c>
      <c r="V342" s="47">
        <f>IF(AND(H342="Realizado",OR(L342="",M342="")),1,0)</f>
        <v>0</v>
      </c>
    </row>
    <row r="343">
      <c r="A343" s="43" t="n">
        <v>46209</v>
      </c>
      <c r="B343" s="44" t="n">
        <v>0.4444444444444444</v>
      </c>
      <c r="C343" s="38" t="inlineStr">
        <is>
          <t>Dra. Carolina Mendes</t>
        </is>
      </c>
      <c r="D343" s="38" t="inlineStr">
        <is>
          <t>Sala 1</t>
        </is>
      </c>
      <c r="E343" s="37" t="inlineStr">
        <is>
          <t>Carlos Fernandes</t>
        </is>
      </c>
      <c r="F343" s="38" t="inlineStr">
        <is>
          <t>Particular</t>
        </is>
      </c>
      <c r="G343" s="38" t="inlineStr">
        <is>
          <t>Consulta</t>
        </is>
      </c>
      <c r="H343" s="38" t="inlineStr">
        <is>
          <t>Realizado</t>
        </is>
      </c>
      <c r="I343" s="38" t="inlineStr">
        <is>
          <t>A prazo</t>
        </is>
      </c>
      <c r="J343" s="38" t="n"/>
      <c r="K343" s="37" t="n"/>
      <c r="L343" s="39" t="n">
        <v>30</v>
      </c>
      <c r="M343" s="40" t="n">
        <v>380</v>
      </c>
      <c r="N343" s="30">
        <f>IF(A343="","",MONTH(A343))</f>
        <v>7</v>
      </c>
      <c r="O343" s="30">
        <f>IF(A343="","",YEAR(A343))</f>
        <v>2026</v>
      </c>
      <c r="P343" s="30" t="str">
        <f>IF(A343="","",CHOOSE(WEEKDAY(A343,2),"Segunda","Terça","Quarta","Quinta","Sexta","Sábado","Domingo"))</f>
        <v>Segunda</v>
      </c>
      <c r="Q343" s="30" t="str">
        <f>IF(B343="","",IF(B343&lt;TIME(12,0,0),"Manhã",IF(B343&lt;TIME(18,0,0),"Tarde","Noite")))</f>
        <v>Manhã</v>
      </c>
      <c r="R343" s="46">
        <f>IF(AND(H343="Realizado",L343&lt;&gt;"",A343&lt;=Config!$B$9),L343/60,0)</f>
        <v>0.5</v>
      </c>
      <c r="S343" s="45">
        <f>IF(G343="","",IFERROR(INDEX(Config!$K$5:$K$16,MATCH(G343,Config!$J$5:$J$16,0)),""))</f>
        <v>30</v>
      </c>
      <c r="T343" s="31">
        <f>IF(OR(G343="",F343=""),"",IFERROR(INDEX(Config!$M$5:$R$16,MATCH(G343,Config!$J$5:$J$16,0),MATCH(F343,Config!$H$5:$H$10,0)),""))</f>
        <v>380</v>
      </c>
      <c r="U343" s="47">
        <f>IF(AND(H343="Realizado",L343&lt;&gt;""),L343/60,0)</f>
        <v>0.5</v>
      </c>
      <c r="V343" s="47">
        <f>IF(AND(H343="Realizado",OR(L343="",M343="")),1,0)</f>
        <v>0</v>
      </c>
    </row>
    <row r="344">
      <c r="A344" s="43" t="n">
        <v>46209</v>
      </c>
      <c r="B344" s="44" t="n">
        <v>0.4652777777777778</v>
      </c>
      <c r="C344" s="38" t="inlineStr">
        <is>
          <t>Dra. Carolina Mendes</t>
        </is>
      </c>
      <c r="D344" s="38" t="inlineStr">
        <is>
          <t>Sala 1</t>
        </is>
      </c>
      <c r="E344" s="37" t="inlineStr">
        <is>
          <t>Priscila Carvalho</t>
        </is>
      </c>
      <c r="F344" s="38" t="inlineStr">
        <is>
          <t>Vida Care</t>
        </is>
      </c>
      <c r="G344" s="38" t="inlineStr">
        <is>
          <t>Consulta</t>
        </is>
      </c>
      <c r="H344" s="38" t="inlineStr">
        <is>
          <t>Realizado</t>
        </is>
      </c>
      <c r="I344" s="38" t="inlineStr">
        <is>
          <t>Convênio</t>
        </is>
      </c>
      <c r="J344" s="38" t="n"/>
      <c r="K344" s="37" t="n"/>
      <c r="L344" s="39" t="n">
        <v>30</v>
      </c>
      <c r="M344" s="40" t="n">
        <v>90</v>
      </c>
      <c r="N344" s="30">
        <f>IF(A344="","",MONTH(A344))</f>
        <v>7</v>
      </c>
      <c r="O344" s="30">
        <f>IF(A344="","",YEAR(A344))</f>
        <v>2026</v>
      </c>
      <c r="P344" s="30" t="str">
        <f>IF(A344="","",CHOOSE(WEEKDAY(A344,2),"Segunda","Terça","Quarta","Quinta","Sexta","Sábado","Domingo"))</f>
        <v>Segunda</v>
      </c>
      <c r="Q344" s="30" t="str">
        <f>IF(B344="","",IF(B344&lt;TIME(12,0,0),"Manhã",IF(B344&lt;TIME(18,0,0),"Tarde","Noite")))</f>
        <v>Manhã</v>
      </c>
      <c r="R344" s="46">
        <f>IF(AND(H344="Realizado",L344&lt;&gt;"",A344&lt;=Config!$B$9),L344/60,0)</f>
        <v>0.5</v>
      </c>
      <c r="S344" s="45">
        <f>IF(G344="","",IFERROR(INDEX(Config!$K$5:$K$16,MATCH(G344,Config!$J$5:$J$16,0)),""))</f>
        <v>30</v>
      </c>
      <c r="T344" s="31">
        <f>IF(OR(G344="",F344=""),"",IFERROR(INDEX(Config!$M$5:$R$16,MATCH(G344,Config!$J$5:$J$16,0),MATCH(F344,Config!$H$5:$H$10,0)),""))</f>
        <v>90</v>
      </c>
      <c r="U344" s="47">
        <f>IF(AND(H344="Realizado",L344&lt;&gt;""),L344/60,0)</f>
        <v>0.5</v>
      </c>
      <c r="V344" s="47">
        <f>IF(AND(H344="Realizado",OR(L344="",M344="")),1,0)</f>
        <v>0</v>
      </c>
    </row>
    <row r="345">
      <c r="A345" s="43" t="n">
        <v>46209</v>
      </c>
      <c r="B345" s="44" t="n">
        <v>0.5833333333333334</v>
      </c>
      <c r="C345" s="38" t="inlineStr">
        <is>
          <t>Dr. Paulo Andrade</t>
        </is>
      </c>
      <c r="D345" s="38" t="inlineStr">
        <is>
          <t>Sala 2</t>
        </is>
      </c>
      <c r="E345" s="37" t="inlineStr">
        <is>
          <t>Leandro Cardoso</t>
        </is>
      </c>
      <c r="F345" s="38" t="inlineStr">
        <is>
          <t>MediPlan</t>
        </is>
      </c>
      <c r="G345" s="38" t="inlineStr">
        <is>
          <t>Consulta</t>
        </is>
      </c>
      <c r="H345" s="38" t="inlineStr">
        <is>
          <t>Realizado</t>
        </is>
      </c>
      <c r="I345" s="38" t="inlineStr">
        <is>
          <t>Convênio</t>
        </is>
      </c>
      <c r="J345" s="38" t="n"/>
      <c r="K345" s="37" t="n"/>
      <c r="L345" s="39" t="n">
        <v>30</v>
      </c>
      <c r="M345" s="40" t="n">
        <v>100</v>
      </c>
      <c r="N345" s="30">
        <f>IF(A345="","",MONTH(A345))</f>
        <v>7</v>
      </c>
      <c r="O345" s="30">
        <f>IF(A345="","",YEAR(A345))</f>
        <v>2026</v>
      </c>
      <c r="P345" s="30" t="str">
        <f>IF(A345="","",CHOOSE(WEEKDAY(A345,2),"Segunda","Terça","Quarta","Quinta","Sexta","Sábado","Domingo"))</f>
        <v>Segunda</v>
      </c>
      <c r="Q345" s="30" t="str">
        <f>IF(B345="","",IF(B345&lt;TIME(12,0,0),"Manhã",IF(B345&lt;TIME(18,0,0),"Tarde","Noite")))</f>
        <v>Tarde</v>
      </c>
      <c r="R345" s="46">
        <f>IF(AND(H345="Realizado",L345&lt;&gt;"",A345&lt;=Config!$B$9),L345/60,0)</f>
        <v>0.5</v>
      </c>
      <c r="S345" s="45">
        <f>IF(G345="","",IFERROR(INDEX(Config!$K$5:$K$16,MATCH(G345,Config!$J$5:$J$16,0)),""))</f>
        <v>30</v>
      </c>
      <c r="T345" s="31">
        <f>IF(OR(G345="",F345=""),"",IFERROR(INDEX(Config!$M$5:$R$16,MATCH(G345,Config!$J$5:$J$16,0),MATCH(F345,Config!$H$5:$H$10,0)),""))</f>
        <v>100</v>
      </c>
      <c r="U345" s="47">
        <f>IF(AND(H345="Realizado",L345&lt;&gt;""),L345/60,0)</f>
        <v>0.5</v>
      </c>
      <c r="V345" s="47">
        <f>IF(AND(H345="Realizado",OR(L345="",M345="")),1,0)</f>
        <v>0</v>
      </c>
    </row>
    <row r="346">
      <c r="A346" s="43" t="n">
        <v>46209</v>
      </c>
      <c r="B346" s="44" t="n">
        <v>0.6041666666666666</v>
      </c>
      <c r="C346" s="38" t="inlineStr">
        <is>
          <t>Dr. Paulo Andrade</t>
        </is>
      </c>
      <c r="D346" s="38" t="inlineStr">
        <is>
          <t>Sala 2</t>
        </is>
      </c>
      <c r="E346" s="37" t="inlineStr">
        <is>
          <t>Tatiana Rocha</t>
        </is>
      </c>
      <c r="F346" s="38" t="inlineStr">
        <is>
          <t>Vida Care</t>
        </is>
      </c>
      <c r="G346" s="38" t="inlineStr">
        <is>
          <t>Holter</t>
        </is>
      </c>
      <c r="H346" s="38" t="inlineStr">
        <is>
          <t>Realizado</t>
        </is>
      </c>
      <c r="I346" s="38" t="inlineStr">
        <is>
          <t>Convênio</t>
        </is>
      </c>
      <c r="J346" s="38" t="n"/>
      <c r="K346" s="37" t="n"/>
      <c r="L346" s="39" t="n">
        <v>20</v>
      </c>
      <c r="M346" s="40" t="n">
        <v>85</v>
      </c>
      <c r="N346" s="30">
        <f>IF(A346="","",MONTH(A346))</f>
        <v>7</v>
      </c>
      <c r="O346" s="30">
        <f>IF(A346="","",YEAR(A346))</f>
        <v>2026</v>
      </c>
      <c r="P346" s="30" t="str">
        <f>IF(A346="","",CHOOSE(WEEKDAY(A346,2),"Segunda","Terça","Quarta","Quinta","Sexta","Sábado","Domingo"))</f>
        <v>Segunda</v>
      </c>
      <c r="Q346" s="30" t="str">
        <f>IF(B346="","",IF(B346&lt;TIME(12,0,0),"Manhã",IF(B346&lt;TIME(18,0,0),"Tarde","Noite")))</f>
        <v>Tarde</v>
      </c>
      <c r="R346" s="46">
        <f>IF(AND(H346="Realizado",L346&lt;&gt;"",A346&lt;=Config!$B$9),L346/60,0)</f>
        <v>0.333333333333333</v>
      </c>
      <c r="S346" s="45">
        <f>IF(G346="","",IFERROR(INDEX(Config!$K$5:$K$16,MATCH(G346,Config!$J$5:$J$16,0)),""))</f>
        <v>20</v>
      </c>
      <c r="T346" s="31">
        <f>IF(OR(G346="",F346=""),"",IFERROR(INDEX(Config!$M$5:$R$16,MATCH(G346,Config!$J$5:$J$16,0),MATCH(F346,Config!$H$5:$H$10,0)),""))</f>
        <v>85</v>
      </c>
      <c r="U346" s="47">
        <f>IF(AND(H346="Realizado",L346&lt;&gt;""),L346/60,0)</f>
        <v>0.333333333333333</v>
      </c>
      <c r="V346" s="47">
        <f>IF(AND(H346="Realizado",OR(L346="",M346="")),1,0)</f>
        <v>0</v>
      </c>
    </row>
    <row r="347">
      <c r="A347" s="43" t="n">
        <v>46209</v>
      </c>
      <c r="B347" s="44" t="n">
        <v>0.6180555555555556</v>
      </c>
      <c r="C347" s="38" t="inlineStr">
        <is>
          <t>Dr. Paulo Andrade</t>
        </is>
      </c>
      <c r="D347" s="38" t="inlineStr">
        <is>
          <t>Sala 2</t>
        </is>
      </c>
      <c r="E347" s="37" t="inlineStr">
        <is>
          <t>Paulo Reis</t>
        </is>
      </c>
      <c r="F347" s="38" t="inlineStr">
        <is>
          <t>Particular</t>
        </is>
      </c>
      <c r="G347" s="38" t="inlineStr">
        <is>
          <t>Consulta</t>
        </is>
      </c>
      <c r="H347" s="38" t="inlineStr">
        <is>
          <t>Realizado</t>
        </is>
      </c>
      <c r="I347" s="38" t="inlineStr">
        <is>
          <t>Cartão de crédito</t>
        </is>
      </c>
      <c r="J347" s="38" t="n"/>
      <c r="K347" s="37" t="n"/>
      <c r="L347" s="39" t="n">
        <v>30</v>
      </c>
      <c r="M347" s="40" t="n">
        <v>380</v>
      </c>
      <c r="N347" s="30">
        <f>IF(A347="","",MONTH(A347))</f>
        <v>7</v>
      </c>
      <c r="O347" s="30">
        <f>IF(A347="","",YEAR(A347))</f>
        <v>2026</v>
      </c>
      <c r="P347" s="30" t="str">
        <f>IF(A347="","",CHOOSE(WEEKDAY(A347,2),"Segunda","Terça","Quarta","Quinta","Sexta","Sábado","Domingo"))</f>
        <v>Segunda</v>
      </c>
      <c r="Q347" s="30" t="str">
        <f>IF(B347="","",IF(B347&lt;TIME(12,0,0),"Manhã",IF(B347&lt;TIME(18,0,0),"Tarde","Noite")))</f>
        <v>Tarde</v>
      </c>
      <c r="R347" s="46">
        <f>IF(AND(H347="Realizado",L347&lt;&gt;"",A347&lt;=Config!$B$9),L347/60,0)</f>
        <v>0.5</v>
      </c>
      <c r="S347" s="45">
        <f>IF(G347="","",IFERROR(INDEX(Config!$K$5:$K$16,MATCH(G347,Config!$J$5:$J$16,0)),""))</f>
        <v>30</v>
      </c>
      <c r="T347" s="31">
        <f>IF(OR(G347="",F347=""),"",IFERROR(INDEX(Config!$M$5:$R$16,MATCH(G347,Config!$J$5:$J$16,0),MATCH(F347,Config!$H$5:$H$10,0)),""))</f>
        <v>380</v>
      </c>
      <c r="U347" s="47">
        <f>IF(AND(H347="Realizado",L347&lt;&gt;""),L347/60,0)</f>
        <v>0.5</v>
      </c>
      <c r="V347" s="47">
        <f>IF(AND(H347="Realizado",OR(L347="",M347="")),1,0)</f>
        <v>0</v>
      </c>
    </row>
    <row r="348">
      <c r="A348" s="43" t="n">
        <v>46209</v>
      </c>
      <c r="B348" s="44" t="n">
        <v>0.6388888888888888</v>
      </c>
      <c r="C348" s="38" t="inlineStr">
        <is>
          <t>Dr. Paulo Andrade</t>
        </is>
      </c>
      <c r="D348" s="38" t="inlineStr">
        <is>
          <t>Sala 2</t>
        </is>
      </c>
      <c r="E348" s="37" t="inlineStr">
        <is>
          <t>Otávio Martins</t>
        </is>
      </c>
      <c r="F348" s="38" t="inlineStr">
        <is>
          <t>MediPlan</t>
        </is>
      </c>
      <c r="G348" s="38" t="inlineStr">
        <is>
          <t>Consulta</t>
        </is>
      </c>
      <c r="H348" s="38" t="inlineStr">
        <is>
          <t>Realizado</t>
        </is>
      </c>
      <c r="I348" s="38" t="inlineStr">
        <is>
          <t>Convênio</t>
        </is>
      </c>
      <c r="J348" s="38" t="n"/>
      <c r="K348" s="37" t="n"/>
      <c r="L348" s="39" t="n">
        <v>30</v>
      </c>
      <c r="M348" s="40" t="n">
        <v>100</v>
      </c>
      <c r="N348" s="30">
        <f>IF(A348="","",MONTH(A348))</f>
        <v>7</v>
      </c>
      <c r="O348" s="30">
        <f>IF(A348="","",YEAR(A348))</f>
        <v>2026</v>
      </c>
      <c r="P348" s="30" t="str">
        <f>IF(A348="","",CHOOSE(WEEKDAY(A348,2),"Segunda","Terça","Quarta","Quinta","Sexta","Sábado","Domingo"))</f>
        <v>Segunda</v>
      </c>
      <c r="Q348" s="30" t="str">
        <f>IF(B348="","",IF(B348&lt;TIME(12,0,0),"Manhã",IF(B348&lt;TIME(18,0,0),"Tarde","Noite")))</f>
        <v>Tarde</v>
      </c>
      <c r="R348" s="46">
        <f>IF(AND(H348="Realizado",L348&lt;&gt;"",A348&lt;=Config!$B$9),L348/60,0)</f>
        <v>0.5</v>
      </c>
      <c r="S348" s="45">
        <f>IF(G348="","",IFERROR(INDEX(Config!$K$5:$K$16,MATCH(G348,Config!$J$5:$J$16,0)),""))</f>
        <v>30</v>
      </c>
      <c r="T348" s="31">
        <f>IF(OR(G348="",F348=""),"",IFERROR(INDEX(Config!$M$5:$R$16,MATCH(G348,Config!$J$5:$J$16,0),MATCH(F348,Config!$H$5:$H$10,0)),""))</f>
        <v>100</v>
      </c>
      <c r="U348" s="47">
        <f>IF(AND(H348="Realizado",L348&lt;&gt;""),L348/60,0)</f>
        <v>0.5</v>
      </c>
      <c r="V348" s="47">
        <f>IF(AND(H348="Realizado",OR(L348="",M348="")),1,0)</f>
        <v>0</v>
      </c>
    </row>
    <row r="349">
      <c r="A349" s="43" t="n">
        <v>46209</v>
      </c>
      <c r="B349" s="44" t="n">
        <v>0.6597222222222222</v>
      </c>
      <c r="C349" s="38" t="inlineStr">
        <is>
          <t>Dr. Paulo Andrade</t>
        </is>
      </c>
      <c r="D349" s="38" t="inlineStr">
        <is>
          <t>Sala 2</t>
        </is>
      </c>
      <c r="E349" s="37" t="inlineStr">
        <is>
          <t>Ricardo Melo</t>
        </is>
      </c>
      <c r="F349" s="38" t="inlineStr">
        <is>
          <t>Saúde Total</t>
        </is>
      </c>
      <c r="G349" s="38" t="inlineStr">
        <is>
          <t>Teste ergométrico</t>
        </is>
      </c>
      <c r="H349" s="38" t="inlineStr">
        <is>
          <t>Realizado</t>
        </is>
      </c>
      <c r="I349" s="38" t="inlineStr">
        <is>
          <t>Convênio</t>
        </is>
      </c>
      <c r="J349" s="38" t="n"/>
      <c r="K349" s="37" t="n"/>
      <c r="L349" s="39" t="n">
        <v>40</v>
      </c>
      <c r="M349" s="40" t="n">
        <v>140</v>
      </c>
      <c r="N349" s="30">
        <f>IF(A349="","",MONTH(A349))</f>
        <v>7</v>
      </c>
      <c r="O349" s="30">
        <f>IF(A349="","",YEAR(A349))</f>
        <v>2026</v>
      </c>
      <c r="P349" s="30" t="str">
        <f>IF(A349="","",CHOOSE(WEEKDAY(A349,2),"Segunda","Terça","Quarta","Quinta","Sexta","Sábado","Domingo"))</f>
        <v>Segunda</v>
      </c>
      <c r="Q349" s="30" t="str">
        <f>IF(B349="","",IF(B349&lt;TIME(12,0,0),"Manhã",IF(B349&lt;TIME(18,0,0),"Tarde","Noite")))</f>
        <v>Tarde</v>
      </c>
      <c r="R349" s="46">
        <f>IF(AND(H349="Realizado",L349&lt;&gt;"",A349&lt;=Config!$B$9),L349/60,0)</f>
        <v>0.666666666666667</v>
      </c>
      <c r="S349" s="45">
        <f>IF(G349="","",IFERROR(INDEX(Config!$K$5:$K$16,MATCH(G349,Config!$J$5:$J$16,0)),""))</f>
        <v>40</v>
      </c>
      <c r="T349" s="31">
        <f>IF(OR(G349="",F349=""),"",IFERROR(INDEX(Config!$M$5:$R$16,MATCH(G349,Config!$J$5:$J$16,0),MATCH(F349,Config!$H$5:$H$10,0)),""))</f>
        <v>140</v>
      </c>
      <c r="U349" s="47">
        <f>IF(AND(H349="Realizado",L349&lt;&gt;""),L349/60,0)</f>
        <v>0.666666666666667</v>
      </c>
      <c r="V349" s="47">
        <f>IF(AND(H349="Realizado",OR(L349="",M349="")),1,0)</f>
        <v>0</v>
      </c>
    </row>
    <row r="350">
      <c r="A350" s="43" t="n">
        <v>46209</v>
      </c>
      <c r="B350" s="44" t="n">
        <v>0.6875</v>
      </c>
      <c r="C350" s="38" t="inlineStr">
        <is>
          <t>Dr. Paulo Andrade</t>
        </is>
      </c>
      <c r="D350" s="38" t="inlineStr">
        <is>
          <t>Sala 2</t>
        </is>
      </c>
      <c r="E350" s="37" t="inlineStr">
        <is>
          <t>Camila Martins</t>
        </is>
      </c>
      <c r="F350" s="38" t="inlineStr">
        <is>
          <t>Vida Care</t>
        </is>
      </c>
      <c r="G350" s="38" t="inlineStr">
        <is>
          <t>Consulta</t>
        </is>
      </c>
      <c r="H350" s="38" t="inlineStr">
        <is>
          <t>Realizado</t>
        </is>
      </c>
      <c r="I350" s="38" t="inlineStr">
        <is>
          <t>Convênio</t>
        </is>
      </c>
      <c r="J350" s="38" t="n"/>
      <c r="K350" s="37" t="n"/>
      <c r="L350" s="39" t="n">
        <v>30</v>
      </c>
      <c r="M350" s="40" t="n">
        <v>90</v>
      </c>
      <c r="N350" s="30">
        <f>IF(A350="","",MONTH(A350))</f>
        <v>7</v>
      </c>
      <c r="O350" s="30">
        <f>IF(A350="","",YEAR(A350))</f>
        <v>2026</v>
      </c>
      <c r="P350" s="30" t="str">
        <f>IF(A350="","",CHOOSE(WEEKDAY(A350,2),"Segunda","Terça","Quarta","Quinta","Sexta","Sábado","Domingo"))</f>
        <v>Segunda</v>
      </c>
      <c r="Q350" s="30" t="str">
        <f>IF(B350="","",IF(B350&lt;TIME(12,0,0),"Manhã",IF(B350&lt;TIME(18,0,0),"Tarde","Noite")))</f>
        <v>Tarde</v>
      </c>
      <c r="R350" s="46">
        <f>IF(AND(H350="Realizado",L350&lt;&gt;"",A350&lt;=Config!$B$9),L350/60,0)</f>
        <v>0.5</v>
      </c>
      <c r="S350" s="45">
        <f>IF(G350="","",IFERROR(INDEX(Config!$K$5:$K$16,MATCH(G350,Config!$J$5:$J$16,0)),""))</f>
        <v>30</v>
      </c>
      <c r="T350" s="31">
        <f>IF(OR(G350="",F350=""),"",IFERROR(INDEX(Config!$M$5:$R$16,MATCH(G350,Config!$J$5:$J$16,0),MATCH(F350,Config!$H$5:$H$10,0)),""))</f>
        <v>90</v>
      </c>
      <c r="U350" s="47">
        <f>IF(AND(H350="Realizado",L350&lt;&gt;""),L350/60,0)</f>
        <v>0.5</v>
      </c>
      <c r="V350" s="47">
        <f>IF(AND(H350="Realizado",OR(L350="",M350="")),1,0)</f>
        <v>0</v>
      </c>
    </row>
    <row r="351">
      <c r="A351" s="43" t="n">
        <v>46209</v>
      </c>
      <c r="B351" s="44" t="n">
        <v>0.7291666666666666</v>
      </c>
      <c r="C351" s="38" t="inlineStr">
        <is>
          <t>Dr. Paulo Andrade</t>
        </is>
      </c>
      <c r="D351" s="38" t="inlineStr">
        <is>
          <t>Sala 2</t>
        </is>
      </c>
      <c r="E351" s="37" t="inlineStr">
        <is>
          <t>Gisele Lima</t>
        </is>
      </c>
      <c r="F351" s="38" t="inlineStr">
        <is>
          <t>Saúde Total</t>
        </is>
      </c>
      <c r="G351" s="38" t="inlineStr">
        <is>
          <t>Consulta</t>
        </is>
      </c>
      <c r="H351" s="38" t="inlineStr">
        <is>
          <t>Realizado</t>
        </is>
      </c>
      <c r="I351" s="38" t="inlineStr">
        <is>
          <t>Convênio</t>
        </is>
      </c>
      <c r="J351" s="38" t="n"/>
      <c r="K351" s="37" t="n"/>
      <c r="L351" s="39" t="n">
        <v>30</v>
      </c>
      <c r="M351" s="40" t="n">
        <v>120</v>
      </c>
      <c r="N351" s="30">
        <f>IF(A351="","",MONTH(A351))</f>
        <v>7</v>
      </c>
      <c r="O351" s="30">
        <f>IF(A351="","",YEAR(A351))</f>
        <v>2026</v>
      </c>
      <c r="P351" s="30" t="str">
        <f>IF(A351="","",CHOOSE(WEEKDAY(A351,2),"Segunda","Terça","Quarta","Quinta","Sexta","Sábado","Domingo"))</f>
        <v>Segunda</v>
      </c>
      <c r="Q351" s="30" t="str">
        <f>IF(B351="","",IF(B351&lt;TIME(12,0,0),"Manhã",IF(B351&lt;TIME(18,0,0),"Tarde","Noite")))</f>
        <v>Tarde</v>
      </c>
      <c r="R351" s="46">
        <f>IF(AND(H351="Realizado",L351&lt;&gt;"",A351&lt;=Config!$B$9),L351/60,0)</f>
        <v>0.5</v>
      </c>
      <c r="S351" s="45">
        <f>IF(G351="","",IFERROR(INDEX(Config!$K$5:$K$16,MATCH(G351,Config!$J$5:$J$16,0)),""))</f>
        <v>30</v>
      </c>
      <c r="T351" s="31">
        <f>IF(OR(G351="",F351=""),"",IFERROR(INDEX(Config!$M$5:$R$16,MATCH(G351,Config!$J$5:$J$16,0),MATCH(F351,Config!$H$5:$H$10,0)),""))</f>
        <v>120</v>
      </c>
      <c r="U351" s="47">
        <f>IF(AND(H351="Realizado",L351&lt;&gt;""),L351/60,0)</f>
        <v>0.5</v>
      </c>
      <c r="V351" s="47">
        <f>IF(AND(H351="Realizado",OR(L351="",M351="")),1,0)</f>
        <v>0</v>
      </c>
    </row>
    <row r="352">
      <c r="A352" s="43" t="n">
        <v>46210</v>
      </c>
      <c r="B352" s="44" t="n">
        <v>0.3333333333333333</v>
      </c>
      <c r="C352" s="38" t="inlineStr">
        <is>
          <t>Dra. Carolina Mendes</t>
        </is>
      </c>
      <c r="D352" s="38" t="inlineStr">
        <is>
          <t>Sala 1</t>
        </is>
      </c>
      <c r="E352" s="37" t="inlineStr">
        <is>
          <t>Marcelo Santos</t>
        </is>
      </c>
      <c r="F352" s="38" t="inlineStr">
        <is>
          <t>Particular</t>
        </is>
      </c>
      <c r="G352" s="38" t="inlineStr">
        <is>
          <t>Consulta</t>
        </is>
      </c>
      <c r="H352" s="38" t="inlineStr">
        <is>
          <t>Realizado</t>
        </is>
      </c>
      <c r="I352" s="38" t="inlineStr">
        <is>
          <t>Pix</t>
        </is>
      </c>
      <c r="J352" s="38" t="n"/>
      <c r="K352" s="37" t="n"/>
      <c r="L352" s="39" t="n">
        <v>30</v>
      </c>
      <c r="M352" s="40" t="n">
        <v>380</v>
      </c>
      <c r="N352" s="30">
        <f>IF(A352="","",MONTH(A352))</f>
        <v>7</v>
      </c>
      <c r="O352" s="30">
        <f>IF(A352="","",YEAR(A352))</f>
        <v>2026</v>
      </c>
      <c r="P352" s="30" t="str">
        <f>IF(A352="","",CHOOSE(WEEKDAY(A352,2),"Segunda","Terça","Quarta","Quinta","Sexta","Sábado","Domingo"))</f>
        <v>Terça</v>
      </c>
      <c r="Q352" s="30" t="str">
        <f>IF(B352="","",IF(B352&lt;TIME(12,0,0),"Manhã",IF(B352&lt;TIME(18,0,0),"Tarde","Noite")))</f>
        <v>Manhã</v>
      </c>
      <c r="R352" s="46">
        <f>IF(AND(H352="Realizado",L352&lt;&gt;"",A352&lt;=Config!$B$9),L352/60,0)</f>
        <v>0.5</v>
      </c>
      <c r="S352" s="45">
        <f>IF(G352="","",IFERROR(INDEX(Config!$K$5:$K$16,MATCH(G352,Config!$J$5:$J$16,0)),""))</f>
        <v>30</v>
      </c>
      <c r="T352" s="31">
        <f>IF(OR(G352="",F352=""),"",IFERROR(INDEX(Config!$M$5:$R$16,MATCH(G352,Config!$J$5:$J$16,0),MATCH(F352,Config!$H$5:$H$10,0)),""))</f>
        <v>380</v>
      </c>
      <c r="U352" s="47">
        <f>IF(AND(H352="Realizado",L352&lt;&gt;""),L352/60,0)</f>
        <v>0.5</v>
      </c>
      <c r="V352" s="47">
        <f>IF(AND(H352="Realizado",OR(L352="",M352="")),1,0)</f>
        <v>0</v>
      </c>
    </row>
    <row r="353">
      <c r="A353" s="43" t="n">
        <v>46210</v>
      </c>
      <c r="B353" s="44" t="n">
        <v>0.3541666666666667</v>
      </c>
      <c r="C353" s="38" t="inlineStr">
        <is>
          <t>Dra. Carolina Mendes</t>
        </is>
      </c>
      <c r="D353" s="38" t="inlineStr">
        <is>
          <t>Sala 1</t>
        </is>
      </c>
      <c r="E353" s="37" t="inlineStr">
        <is>
          <t>Regina Teixeira</t>
        </is>
      </c>
      <c r="F353" s="38" t="inlineStr">
        <is>
          <t>Particular</t>
        </is>
      </c>
      <c r="G353" s="38" t="inlineStr">
        <is>
          <t>Consulta</t>
        </is>
      </c>
      <c r="H353" s="38" t="inlineStr">
        <is>
          <t>Realizado</t>
        </is>
      </c>
      <c r="I353" s="38" t="inlineStr">
        <is>
          <t>Pix</t>
        </is>
      </c>
      <c r="J353" s="38" t="n"/>
      <c r="K353" s="37" t="n"/>
      <c r="L353" s="39" t="n">
        <v>30</v>
      </c>
      <c r="M353" s="40" t="n">
        <v>380</v>
      </c>
      <c r="N353" s="30">
        <f>IF(A353="","",MONTH(A353))</f>
        <v>7</v>
      </c>
      <c r="O353" s="30">
        <f>IF(A353="","",YEAR(A353))</f>
        <v>2026</v>
      </c>
      <c r="P353" s="30" t="str">
        <f>IF(A353="","",CHOOSE(WEEKDAY(A353,2),"Segunda","Terça","Quarta","Quinta","Sexta","Sábado","Domingo"))</f>
        <v>Terça</v>
      </c>
      <c r="Q353" s="30" t="str">
        <f>IF(B353="","",IF(B353&lt;TIME(12,0,0),"Manhã",IF(B353&lt;TIME(18,0,0),"Tarde","Noite")))</f>
        <v>Manhã</v>
      </c>
      <c r="R353" s="46">
        <f>IF(AND(H353="Realizado",L353&lt;&gt;"",A353&lt;=Config!$B$9),L353/60,0)</f>
        <v>0.5</v>
      </c>
      <c r="S353" s="45">
        <f>IF(G353="","",IFERROR(INDEX(Config!$K$5:$K$16,MATCH(G353,Config!$J$5:$J$16,0)),""))</f>
        <v>30</v>
      </c>
      <c r="T353" s="31">
        <f>IF(OR(G353="",F353=""),"",IFERROR(INDEX(Config!$M$5:$R$16,MATCH(G353,Config!$J$5:$J$16,0),MATCH(F353,Config!$H$5:$H$10,0)),""))</f>
        <v>380</v>
      </c>
      <c r="U353" s="47">
        <f>IF(AND(H353="Realizado",L353&lt;&gt;""),L353/60,0)</f>
        <v>0.5</v>
      </c>
      <c r="V353" s="47">
        <f>IF(AND(H353="Realizado",OR(L353="",M353="")),1,0)</f>
        <v>0</v>
      </c>
    </row>
    <row r="354">
      <c r="A354" s="43" t="n">
        <v>46210</v>
      </c>
      <c r="B354" s="44" t="n">
        <v>0.375</v>
      </c>
      <c r="C354" s="38" t="inlineStr">
        <is>
          <t>Dra. Carolina Mendes</t>
        </is>
      </c>
      <c r="D354" s="38" t="inlineStr">
        <is>
          <t>Sala 1</t>
        </is>
      </c>
      <c r="E354" s="37" t="inlineStr">
        <is>
          <t>Wagner Santos</t>
        </is>
      </c>
      <c r="F354" s="38" t="inlineStr">
        <is>
          <t>Particular</t>
        </is>
      </c>
      <c r="G354" s="38" t="inlineStr">
        <is>
          <t>Retorno</t>
        </is>
      </c>
      <c r="H354" s="38" t="inlineStr">
        <is>
          <t>Realizado</t>
        </is>
      </c>
      <c r="I354" s="38" t="inlineStr">
        <is>
          <t>Sem cobrança</t>
        </is>
      </c>
      <c r="J354" s="38" t="n"/>
      <c r="K354" s="37" t="n"/>
      <c r="L354" s="39" t="n">
        <v>20</v>
      </c>
      <c r="M354" s="40" t="n">
        <v>0</v>
      </c>
      <c r="N354" s="30">
        <f>IF(A354="","",MONTH(A354))</f>
        <v>7</v>
      </c>
      <c r="O354" s="30">
        <f>IF(A354="","",YEAR(A354))</f>
        <v>2026</v>
      </c>
      <c r="P354" s="30" t="str">
        <f>IF(A354="","",CHOOSE(WEEKDAY(A354,2),"Segunda","Terça","Quarta","Quinta","Sexta","Sábado","Domingo"))</f>
        <v>Terça</v>
      </c>
      <c r="Q354" s="30" t="str">
        <f>IF(B354="","",IF(B354&lt;TIME(12,0,0),"Manhã",IF(B354&lt;TIME(18,0,0),"Tarde","Noite")))</f>
        <v>Manhã</v>
      </c>
      <c r="R354" s="46">
        <f>IF(AND(H354="Realizado",L354&lt;&gt;"",A354&lt;=Config!$B$9),L354/60,0)</f>
        <v>0.333333333333333</v>
      </c>
      <c r="S354" s="45">
        <f>IF(G354="","",IFERROR(INDEX(Config!$K$5:$K$16,MATCH(G354,Config!$J$5:$J$16,0)),""))</f>
        <v>20</v>
      </c>
      <c r="T354" s="31">
        <f>IF(OR(G354="",F354=""),"",IFERROR(INDEX(Config!$M$5:$R$16,MATCH(G354,Config!$J$5:$J$16,0),MATCH(F354,Config!$H$5:$H$10,0)),""))</f>
        <v>0</v>
      </c>
      <c r="U354" s="47">
        <f>IF(AND(H354="Realizado",L354&lt;&gt;""),L354/60,0)</f>
        <v>0.333333333333333</v>
      </c>
      <c r="V354" s="47">
        <f>IF(AND(H354="Realizado",OR(L354="",M354="")),1,0)</f>
        <v>0</v>
      </c>
    </row>
    <row r="355">
      <c r="A355" s="43" t="n">
        <v>46210</v>
      </c>
      <c r="B355" s="44" t="n">
        <v>0.4097222222222222</v>
      </c>
      <c r="C355" s="38" t="inlineStr">
        <is>
          <t>Dra. Carolina Mendes</t>
        </is>
      </c>
      <c r="D355" s="38" t="inlineStr">
        <is>
          <t>Sala 1</t>
        </is>
      </c>
      <c r="E355" s="37" t="inlineStr">
        <is>
          <t>Gisele Ribeiro</t>
        </is>
      </c>
      <c r="F355" s="38" t="inlineStr">
        <is>
          <t>Particular</t>
        </is>
      </c>
      <c r="G355" s="38" t="inlineStr">
        <is>
          <t>Consulta</t>
        </is>
      </c>
      <c r="H355" s="38" t="inlineStr">
        <is>
          <t>Realizado</t>
        </is>
      </c>
      <c r="I355" s="38" t="inlineStr">
        <is>
          <t>Pix</t>
        </is>
      </c>
      <c r="J355" s="38" t="n"/>
      <c r="K355" s="37" t="n"/>
      <c r="L355" s="39" t="n">
        <v>30</v>
      </c>
      <c r="M355" s="40" t="n">
        <v>380</v>
      </c>
      <c r="N355" s="30">
        <f>IF(A355="","",MONTH(A355))</f>
        <v>7</v>
      </c>
      <c r="O355" s="30">
        <f>IF(A355="","",YEAR(A355))</f>
        <v>2026</v>
      </c>
      <c r="P355" s="30" t="str">
        <f>IF(A355="","",CHOOSE(WEEKDAY(A355,2),"Segunda","Terça","Quarta","Quinta","Sexta","Sábado","Domingo"))</f>
        <v>Terça</v>
      </c>
      <c r="Q355" s="30" t="str">
        <f>IF(B355="","",IF(B355&lt;TIME(12,0,0),"Manhã",IF(B355&lt;TIME(18,0,0),"Tarde","Noite")))</f>
        <v>Manhã</v>
      </c>
      <c r="R355" s="46">
        <f>IF(AND(H355="Realizado",L355&lt;&gt;"",A355&lt;=Config!$B$9),L355/60,0)</f>
        <v>0.5</v>
      </c>
      <c r="S355" s="45">
        <f>IF(G355="","",IFERROR(INDEX(Config!$K$5:$K$16,MATCH(G355,Config!$J$5:$J$16,0)),""))</f>
        <v>30</v>
      </c>
      <c r="T355" s="31">
        <f>IF(OR(G355="",F355=""),"",IFERROR(INDEX(Config!$M$5:$R$16,MATCH(G355,Config!$J$5:$J$16,0),MATCH(F355,Config!$H$5:$H$10,0)),""))</f>
        <v>380</v>
      </c>
      <c r="U355" s="47">
        <f>IF(AND(H355="Realizado",L355&lt;&gt;""),L355/60,0)</f>
        <v>0.5</v>
      </c>
      <c r="V355" s="47">
        <f>IF(AND(H355="Realizado",OR(L355="",M355="")),1,0)</f>
        <v>0</v>
      </c>
    </row>
    <row r="356">
      <c r="A356" s="43" t="n">
        <v>46210</v>
      </c>
      <c r="B356" s="44" t="n">
        <v>0.4305555555555556</v>
      </c>
      <c r="C356" s="38" t="inlineStr">
        <is>
          <t>Dra. Carolina Mendes</t>
        </is>
      </c>
      <c r="D356" s="38" t="inlineStr">
        <is>
          <t>Sala 1</t>
        </is>
      </c>
      <c r="E356" s="37" t="inlineStr">
        <is>
          <t>Daniel Melo</t>
        </is>
      </c>
      <c r="F356" s="38" t="inlineStr">
        <is>
          <t>Saúde Total</t>
        </is>
      </c>
      <c r="G356" s="38" t="inlineStr">
        <is>
          <t>Consulta</t>
        </is>
      </c>
      <c r="H356" s="38" t="inlineStr">
        <is>
          <t>Realizado</t>
        </is>
      </c>
      <c r="I356" s="38" t="inlineStr">
        <is>
          <t>Convênio</t>
        </is>
      </c>
      <c r="J356" s="38" t="n"/>
      <c r="K356" s="37" t="n"/>
      <c r="L356" s="39" t="n">
        <v>30</v>
      </c>
      <c r="M356" s="40" t="n">
        <v>120</v>
      </c>
      <c r="N356" s="30">
        <f>IF(A356="","",MONTH(A356))</f>
        <v>7</v>
      </c>
      <c r="O356" s="30">
        <f>IF(A356="","",YEAR(A356))</f>
        <v>2026</v>
      </c>
      <c r="P356" s="30" t="str">
        <f>IF(A356="","",CHOOSE(WEEKDAY(A356,2),"Segunda","Terça","Quarta","Quinta","Sexta","Sábado","Domingo"))</f>
        <v>Terça</v>
      </c>
      <c r="Q356" s="30" t="str">
        <f>IF(B356="","",IF(B356&lt;TIME(12,0,0),"Manhã",IF(B356&lt;TIME(18,0,0),"Tarde","Noite")))</f>
        <v>Manhã</v>
      </c>
      <c r="R356" s="46">
        <f>IF(AND(H356="Realizado",L356&lt;&gt;"",A356&lt;=Config!$B$9),L356/60,0)</f>
        <v>0.5</v>
      </c>
      <c r="S356" s="45">
        <f>IF(G356="","",IFERROR(INDEX(Config!$K$5:$K$16,MATCH(G356,Config!$J$5:$J$16,0)),""))</f>
        <v>30</v>
      </c>
      <c r="T356" s="31">
        <f>IF(OR(G356="",F356=""),"",IFERROR(INDEX(Config!$M$5:$R$16,MATCH(G356,Config!$J$5:$J$16,0),MATCH(F356,Config!$H$5:$H$10,0)),""))</f>
        <v>120</v>
      </c>
      <c r="U356" s="47">
        <f>IF(AND(H356="Realizado",L356&lt;&gt;""),L356/60,0)</f>
        <v>0.5</v>
      </c>
      <c r="V356" s="47">
        <f>IF(AND(H356="Realizado",OR(L356="",M356="")),1,0)</f>
        <v>0</v>
      </c>
    </row>
    <row r="357">
      <c r="A357" s="43" t="n">
        <v>46210</v>
      </c>
      <c r="B357" s="44" t="n">
        <v>0.4513888888888889</v>
      </c>
      <c r="C357" s="38" t="inlineStr">
        <is>
          <t>Dra. Carolina Mendes</t>
        </is>
      </c>
      <c r="D357" s="38" t="inlineStr">
        <is>
          <t>Sala 1</t>
        </is>
      </c>
      <c r="E357" s="37" t="inlineStr">
        <is>
          <t>Gustavo Ferreira</t>
        </is>
      </c>
      <c r="F357" s="38" t="inlineStr">
        <is>
          <t>Particular</t>
        </is>
      </c>
      <c r="G357" s="38" t="inlineStr">
        <is>
          <t>Consulta</t>
        </is>
      </c>
      <c r="H357" s="38" t="inlineStr">
        <is>
          <t>Realizado</t>
        </is>
      </c>
      <c r="I357" s="38" t="inlineStr">
        <is>
          <t>A prazo</t>
        </is>
      </c>
      <c r="J357" s="38" t="n"/>
      <c r="K357" s="37" t="n"/>
      <c r="L357" s="39" t="n">
        <v>30</v>
      </c>
      <c r="M357" s="40" t="n">
        <v>380</v>
      </c>
      <c r="N357" s="30">
        <f>IF(A357="","",MONTH(A357))</f>
        <v>7</v>
      </c>
      <c r="O357" s="30">
        <f>IF(A357="","",YEAR(A357))</f>
        <v>2026</v>
      </c>
      <c r="P357" s="30" t="str">
        <f>IF(A357="","",CHOOSE(WEEKDAY(A357,2),"Segunda","Terça","Quarta","Quinta","Sexta","Sábado","Domingo"))</f>
        <v>Terça</v>
      </c>
      <c r="Q357" s="30" t="str">
        <f>IF(B357="","",IF(B357&lt;TIME(12,0,0),"Manhã",IF(B357&lt;TIME(18,0,0),"Tarde","Noite")))</f>
        <v>Manhã</v>
      </c>
      <c r="R357" s="46">
        <f>IF(AND(H357="Realizado",L357&lt;&gt;"",A357&lt;=Config!$B$9),L357/60,0)</f>
        <v>0.5</v>
      </c>
      <c r="S357" s="45">
        <f>IF(G357="","",IFERROR(INDEX(Config!$K$5:$K$16,MATCH(G357,Config!$J$5:$J$16,0)),""))</f>
        <v>30</v>
      </c>
      <c r="T357" s="31">
        <f>IF(OR(G357="",F357=""),"",IFERROR(INDEX(Config!$M$5:$R$16,MATCH(G357,Config!$J$5:$J$16,0),MATCH(F357,Config!$H$5:$H$10,0)),""))</f>
        <v>380</v>
      </c>
      <c r="U357" s="47">
        <f>IF(AND(H357="Realizado",L357&lt;&gt;""),L357/60,0)</f>
        <v>0.5</v>
      </c>
      <c r="V357" s="47">
        <f>IF(AND(H357="Realizado",OR(L357="",M357="")),1,0)</f>
        <v>0</v>
      </c>
    </row>
    <row r="358">
      <c r="A358" s="43" t="n">
        <v>46210</v>
      </c>
      <c r="B358" s="44" t="n">
        <v>0.5833333333333334</v>
      </c>
      <c r="C358" s="38" t="inlineStr">
        <is>
          <t>Dra. Renata Sousa</t>
        </is>
      </c>
      <c r="D358" s="38" t="inlineStr">
        <is>
          <t>Sala 1</t>
        </is>
      </c>
      <c r="E358" s="37" t="inlineStr">
        <is>
          <t>Paulo Freitas</t>
        </is>
      </c>
      <c r="F358" s="38" t="inlineStr">
        <is>
          <t>Saúde Total</t>
        </is>
      </c>
      <c r="G358" s="38" t="inlineStr">
        <is>
          <t>Retorno</t>
        </is>
      </c>
      <c r="H358" s="38" t="inlineStr">
        <is>
          <t>Realizado</t>
        </is>
      </c>
      <c r="I358" s="38" t="inlineStr">
        <is>
          <t>Sem cobrança</t>
        </is>
      </c>
      <c r="J358" s="38" t="n"/>
      <c r="K358" s="37" t="n"/>
      <c r="L358" s="39" t="n">
        <v>20</v>
      </c>
      <c r="M358" s="40" t="n">
        <v>0</v>
      </c>
      <c r="N358" s="30">
        <f>IF(A358="","",MONTH(A358))</f>
        <v>7</v>
      </c>
      <c r="O358" s="30">
        <f>IF(A358="","",YEAR(A358))</f>
        <v>2026</v>
      </c>
      <c r="P358" s="30" t="str">
        <f>IF(A358="","",CHOOSE(WEEKDAY(A358,2),"Segunda","Terça","Quarta","Quinta","Sexta","Sábado","Domingo"))</f>
        <v>Terça</v>
      </c>
      <c r="Q358" s="30" t="str">
        <f>IF(B358="","",IF(B358&lt;TIME(12,0,0),"Manhã",IF(B358&lt;TIME(18,0,0),"Tarde","Noite")))</f>
        <v>Tarde</v>
      </c>
      <c r="R358" s="46">
        <f>IF(AND(H358="Realizado",L358&lt;&gt;"",A358&lt;=Config!$B$9),L358/60,0)</f>
        <v>0.333333333333333</v>
      </c>
      <c r="S358" s="45">
        <f>IF(G358="","",IFERROR(INDEX(Config!$K$5:$K$16,MATCH(G358,Config!$J$5:$J$16,0)),""))</f>
        <v>20</v>
      </c>
      <c r="T358" s="31">
        <f>IF(OR(G358="",F358=""),"",IFERROR(INDEX(Config!$M$5:$R$16,MATCH(G358,Config!$J$5:$J$16,0),MATCH(F358,Config!$H$5:$H$10,0)),""))</f>
        <v>0</v>
      </c>
      <c r="U358" s="47">
        <f>IF(AND(H358="Realizado",L358&lt;&gt;""),L358/60,0)</f>
        <v>0.333333333333333</v>
      </c>
      <c r="V358" s="47">
        <f>IF(AND(H358="Realizado",OR(L358="",M358="")),1,0)</f>
        <v>0</v>
      </c>
    </row>
    <row r="359">
      <c r="A359" s="43" t="n">
        <v>46210</v>
      </c>
      <c r="B359" s="44" t="n">
        <v>0.5972222222222222</v>
      </c>
      <c r="C359" s="38" t="inlineStr">
        <is>
          <t>Dra. Renata Sousa</t>
        </is>
      </c>
      <c r="D359" s="38" t="inlineStr">
        <is>
          <t>Sala 1</t>
        </is>
      </c>
      <c r="E359" s="37" t="inlineStr">
        <is>
          <t>Carlos Gonçalves</t>
        </is>
      </c>
      <c r="F359" s="38" t="inlineStr">
        <is>
          <t>Saúde Total</t>
        </is>
      </c>
      <c r="G359" s="38" t="inlineStr">
        <is>
          <t>Avaliação endócrina</t>
        </is>
      </c>
      <c r="H359" s="38" t="inlineStr">
        <is>
          <t>Falta</t>
        </is>
      </c>
      <c r="I359" s="38" t="n"/>
      <c r="J359" s="38" t="n"/>
      <c r="K359" s="37" t="n"/>
      <c r="L359" s="39" t="n">
        <v>40</v>
      </c>
      <c r="M359" s="40" t="n">
        <v>130</v>
      </c>
      <c r="N359" s="30">
        <f>IF(A359="","",MONTH(A359))</f>
        <v>7</v>
      </c>
      <c r="O359" s="30">
        <f>IF(A359="","",YEAR(A359))</f>
        <v>2026</v>
      </c>
      <c r="P359" s="30" t="str">
        <f>IF(A359="","",CHOOSE(WEEKDAY(A359,2),"Segunda","Terça","Quarta","Quinta","Sexta","Sábado","Domingo"))</f>
        <v>Terça</v>
      </c>
      <c r="Q359" s="30" t="str">
        <f>IF(B359="","",IF(B359&lt;TIME(12,0,0),"Manhã",IF(B359&lt;TIME(18,0,0),"Tarde","Noite")))</f>
        <v>Tarde</v>
      </c>
      <c r="R359" s="46">
        <f>IF(AND(H359="Realizado",L359&lt;&gt;"",A359&lt;=Config!$B$9),L359/60,0)</f>
        <v>0</v>
      </c>
      <c r="S359" s="45">
        <f>IF(G359="","",IFERROR(INDEX(Config!$K$5:$K$16,MATCH(G359,Config!$J$5:$J$16,0)),""))</f>
        <v>40</v>
      </c>
      <c r="T359" s="31">
        <f>IF(OR(G359="",F359=""),"",IFERROR(INDEX(Config!$M$5:$R$16,MATCH(G359,Config!$J$5:$J$16,0),MATCH(F359,Config!$H$5:$H$10,0)),""))</f>
        <v>130</v>
      </c>
      <c r="U359" s="47">
        <f>IF(AND(H359="Realizado",L359&lt;&gt;""),L359/60,0)</f>
        <v>0</v>
      </c>
      <c r="V359" s="47">
        <f>IF(AND(H359="Realizado",OR(L359="",M359="")),1,0)</f>
        <v>0</v>
      </c>
    </row>
    <row r="360">
      <c r="A360" s="43" t="n">
        <v>46210</v>
      </c>
      <c r="B360" s="44" t="n">
        <v>0.6041666666666666</v>
      </c>
      <c r="C360" s="38" t="inlineStr">
        <is>
          <t>Dr. Paulo Andrade</t>
        </is>
      </c>
      <c r="D360" s="38" t="inlineStr">
        <is>
          <t>Sala 2</t>
        </is>
      </c>
      <c r="E360" s="37" t="inlineStr">
        <is>
          <t>Eduardo Reis</t>
        </is>
      </c>
      <c r="F360" s="38" t="inlineStr">
        <is>
          <t>Vida Care</t>
        </is>
      </c>
      <c r="G360" s="38" t="inlineStr">
        <is>
          <t>Teste ergométrico</t>
        </is>
      </c>
      <c r="H360" s="38" t="inlineStr">
        <is>
          <t>Realizado</t>
        </is>
      </c>
      <c r="I360" s="38" t="inlineStr">
        <is>
          <t>Convênio</t>
        </is>
      </c>
      <c r="J360" s="38" t="n"/>
      <c r="K360" s="37" t="n"/>
      <c r="L360" s="39" t="n">
        <v>40</v>
      </c>
      <c r="M360" s="40" t="n">
        <v>110</v>
      </c>
      <c r="N360" s="30">
        <f>IF(A360="","",MONTH(A360))</f>
        <v>7</v>
      </c>
      <c r="O360" s="30">
        <f>IF(A360="","",YEAR(A360))</f>
        <v>2026</v>
      </c>
      <c r="P360" s="30" t="str">
        <f>IF(A360="","",CHOOSE(WEEKDAY(A360,2),"Segunda","Terça","Quarta","Quinta","Sexta","Sábado","Domingo"))</f>
        <v>Terça</v>
      </c>
      <c r="Q360" s="30" t="str">
        <f>IF(B360="","",IF(B360&lt;TIME(12,0,0),"Manhã",IF(B360&lt;TIME(18,0,0),"Tarde","Noite")))</f>
        <v>Tarde</v>
      </c>
      <c r="R360" s="46">
        <f>IF(AND(H360="Realizado",L360&lt;&gt;"",A360&lt;=Config!$B$9),L360/60,0)</f>
        <v>0.666666666666667</v>
      </c>
      <c r="S360" s="45">
        <f>IF(G360="","",IFERROR(INDEX(Config!$K$5:$K$16,MATCH(G360,Config!$J$5:$J$16,0)),""))</f>
        <v>40</v>
      </c>
      <c r="T360" s="31">
        <f>IF(OR(G360="",F360=""),"",IFERROR(INDEX(Config!$M$5:$R$16,MATCH(G360,Config!$J$5:$J$16,0),MATCH(F360,Config!$H$5:$H$10,0)),""))</f>
        <v>110</v>
      </c>
      <c r="U360" s="47">
        <f>IF(AND(H360="Realizado",L360&lt;&gt;""),L360/60,0)</f>
        <v>0.666666666666667</v>
      </c>
      <c r="V360" s="47">
        <f>IF(AND(H360="Realizado",OR(L360="",M360="")),1,0)</f>
        <v>0</v>
      </c>
    </row>
    <row r="361">
      <c r="A361" s="43" t="n">
        <v>46210</v>
      </c>
      <c r="B361" s="44" t="n">
        <v>0.625</v>
      </c>
      <c r="C361" s="38" t="inlineStr">
        <is>
          <t>Dra. Renata Sousa</t>
        </is>
      </c>
      <c r="D361" s="38" t="inlineStr">
        <is>
          <t>Sala 1</t>
        </is>
      </c>
      <c r="E361" s="37" t="inlineStr">
        <is>
          <t>Gabriel Reis</t>
        </is>
      </c>
      <c r="F361" s="38" t="inlineStr">
        <is>
          <t>Particular</t>
        </is>
      </c>
      <c r="G361" s="38" t="inlineStr">
        <is>
          <t>Retorno</t>
        </is>
      </c>
      <c r="H361" s="38" t="inlineStr">
        <is>
          <t>Realizado</t>
        </is>
      </c>
      <c r="I361" s="38" t="inlineStr">
        <is>
          <t>Sem cobrança</t>
        </is>
      </c>
      <c r="J361" s="38" t="n"/>
      <c r="K361" s="37" t="n"/>
      <c r="L361" s="39" t="n">
        <v>20</v>
      </c>
      <c r="M361" s="40" t="n">
        <v>0</v>
      </c>
      <c r="N361" s="30">
        <f>IF(A361="","",MONTH(A361))</f>
        <v>7</v>
      </c>
      <c r="O361" s="30">
        <f>IF(A361="","",YEAR(A361))</f>
        <v>2026</v>
      </c>
      <c r="P361" s="30" t="str">
        <f>IF(A361="","",CHOOSE(WEEKDAY(A361,2),"Segunda","Terça","Quarta","Quinta","Sexta","Sábado","Domingo"))</f>
        <v>Terça</v>
      </c>
      <c r="Q361" s="30" t="str">
        <f>IF(B361="","",IF(B361&lt;TIME(12,0,0),"Manhã",IF(B361&lt;TIME(18,0,0),"Tarde","Noite")))</f>
        <v>Tarde</v>
      </c>
      <c r="R361" s="46">
        <f>IF(AND(H361="Realizado",L361&lt;&gt;"",A361&lt;=Config!$B$9),L361/60,0)</f>
        <v>0.333333333333333</v>
      </c>
      <c r="S361" s="45">
        <f>IF(G361="","",IFERROR(INDEX(Config!$K$5:$K$16,MATCH(G361,Config!$J$5:$J$16,0)),""))</f>
        <v>20</v>
      </c>
      <c r="T361" s="31">
        <f>IF(OR(G361="",F361=""),"",IFERROR(INDEX(Config!$M$5:$R$16,MATCH(G361,Config!$J$5:$J$16,0),MATCH(F361,Config!$H$5:$H$10,0)),""))</f>
        <v>0</v>
      </c>
      <c r="U361" s="47">
        <f>IF(AND(H361="Realizado",L361&lt;&gt;""),L361/60,0)</f>
        <v>0.333333333333333</v>
      </c>
      <c r="V361" s="47">
        <f>IF(AND(H361="Realizado",OR(L361="",M361="")),1,0)</f>
        <v>0</v>
      </c>
    </row>
    <row r="362">
      <c r="A362" s="43" t="n">
        <v>46210</v>
      </c>
      <c r="B362" s="44" t="n">
        <v>0.6319444444444444</v>
      </c>
      <c r="C362" s="38" t="inlineStr">
        <is>
          <t>Dr. Paulo Andrade</t>
        </is>
      </c>
      <c r="D362" s="38" t="inlineStr">
        <is>
          <t>Sala 2</t>
        </is>
      </c>
      <c r="E362" s="37" t="inlineStr">
        <is>
          <t>Rafael Barros</t>
        </is>
      </c>
      <c r="F362" s="38" t="inlineStr">
        <is>
          <t>Particular</t>
        </is>
      </c>
      <c r="G362" s="38" t="inlineStr">
        <is>
          <t>Retorno</t>
        </is>
      </c>
      <c r="H362" s="38" t="inlineStr">
        <is>
          <t>Realizado</t>
        </is>
      </c>
      <c r="I362" s="38" t="inlineStr">
        <is>
          <t>Sem cobrança</t>
        </is>
      </c>
      <c r="J362" s="38" t="n"/>
      <c r="K362" s="37" t="n"/>
      <c r="L362" s="39" t="n">
        <v>20</v>
      </c>
      <c r="M362" s="40" t="n">
        <v>0</v>
      </c>
      <c r="N362" s="30">
        <f>IF(A362="","",MONTH(A362))</f>
        <v>7</v>
      </c>
      <c r="O362" s="30">
        <f>IF(A362="","",YEAR(A362))</f>
        <v>2026</v>
      </c>
      <c r="P362" s="30" t="str">
        <f>IF(A362="","",CHOOSE(WEEKDAY(A362,2),"Segunda","Terça","Quarta","Quinta","Sexta","Sábado","Domingo"))</f>
        <v>Terça</v>
      </c>
      <c r="Q362" s="30" t="str">
        <f>IF(B362="","",IF(B362&lt;TIME(12,0,0),"Manhã",IF(B362&lt;TIME(18,0,0),"Tarde","Noite")))</f>
        <v>Tarde</v>
      </c>
      <c r="R362" s="46">
        <f>IF(AND(H362="Realizado",L362&lt;&gt;"",A362&lt;=Config!$B$9),L362/60,0)</f>
        <v>0.333333333333333</v>
      </c>
      <c r="S362" s="45">
        <f>IF(G362="","",IFERROR(INDEX(Config!$K$5:$K$16,MATCH(G362,Config!$J$5:$J$16,0)),""))</f>
        <v>20</v>
      </c>
      <c r="T362" s="31">
        <f>IF(OR(G362="",F362=""),"",IFERROR(INDEX(Config!$M$5:$R$16,MATCH(G362,Config!$J$5:$J$16,0),MATCH(F362,Config!$H$5:$H$10,0)),""))</f>
        <v>0</v>
      </c>
      <c r="U362" s="47">
        <f>IF(AND(H362="Realizado",L362&lt;&gt;""),L362/60,0)</f>
        <v>0.333333333333333</v>
      </c>
      <c r="V362" s="47">
        <f>IF(AND(H362="Realizado",OR(L362="",M362="")),1,0)</f>
        <v>0</v>
      </c>
    </row>
    <row r="363">
      <c r="A363" s="43" t="n">
        <v>46210</v>
      </c>
      <c r="B363" s="44" t="n">
        <v>0.6388888888888888</v>
      </c>
      <c r="C363" s="38" t="inlineStr">
        <is>
          <t>Dra. Renata Sousa</t>
        </is>
      </c>
      <c r="D363" s="38" t="inlineStr">
        <is>
          <t>Sala 1</t>
        </is>
      </c>
      <c r="E363" s="37" t="inlineStr">
        <is>
          <t>Beatriz Reis</t>
        </is>
      </c>
      <c r="F363" s="38" t="inlineStr">
        <is>
          <t>Particular</t>
        </is>
      </c>
      <c r="G363" s="38" t="inlineStr">
        <is>
          <t>Avaliação endócrina</t>
        </is>
      </c>
      <c r="H363" s="38" t="inlineStr">
        <is>
          <t>Realizado</t>
        </is>
      </c>
      <c r="I363" s="38" t="inlineStr">
        <is>
          <t>Pix</t>
        </is>
      </c>
      <c r="J363" s="38" t="n"/>
      <c r="K363" s="37" t="n"/>
      <c r="L363" s="39" t="n">
        <v>40</v>
      </c>
      <c r="M363" s="40" t="n">
        <v>400</v>
      </c>
      <c r="N363" s="30">
        <f>IF(A363="","",MONTH(A363))</f>
        <v>7</v>
      </c>
      <c r="O363" s="30">
        <f>IF(A363="","",YEAR(A363))</f>
        <v>2026</v>
      </c>
      <c r="P363" s="30" t="str">
        <f>IF(A363="","",CHOOSE(WEEKDAY(A363,2),"Segunda","Terça","Quarta","Quinta","Sexta","Sábado","Domingo"))</f>
        <v>Terça</v>
      </c>
      <c r="Q363" s="30" t="str">
        <f>IF(B363="","",IF(B363&lt;TIME(12,0,0),"Manhã",IF(B363&lt;TIME(18,0,0),"Tarde","Noite")))</f>
        <v>Tarde</v>
      </c>
      <c r="R363" s="46">
        <f>IF(AND(H363="Realizado",L363&lt;&gt;"",A363&lt;=Config!$B$9),L363/60,0)</f>
        <v>0.666666666666667</v>
      </c>
      <c r="S363" s="45">
        <f>IF(G363="","",IFERROR(INDEX(Config!$K$5:$K$16,MATCH(G363,Config!$J$5:$J$16,0)),""))</f>
        <v>40</v>
      </c>
      <c r="T363" s="31">
        <f>IF(OR(G363="",F363=""),"",IFERROR(INDEX(Config!$M$5:$R$16,MATCH(G363,Config!$J$5:$J$16,0),MATCH(F363,Config!$H$5:$H$10,0)),""))</f>
        <v>400</v>
      </c>
      <c r="U363" s="47">
        <f>IF(AND(H363="Realizado",L363&lt;&gt;""),L363/60,0)</f>
        <v>0.666666666666667</v>
      </c>
      <c r="V363" s="47">
        <f>IF(AND(H363="Realizado",OR(L363="",M363="")),1,0)</f>
        <v>0</v>
      </c>
    </row>
    <row r="364">
      <c r="A364" s="43" t="n">
        <v>46210</v>
      </c>
      <c r="B364" s="44" t="n">
        <v>0.6458333333333334</v>
      </c>
      <c r="C364" s="38" t="inlineStr">
        <is>
          <t>Dr. Paulo Andrade</t>
        </is>
      </c>
      <c r="D364" s="38" t="inlineStr">
        <is>
          <t>Sala 2</t>
        </is>
      </c>
      <c r="E364" s="37" t="inlineStr">
        <is>
          <t>Marcelo Ferreira</t>
        </is>
      </c>
      <c r="F364" s="38" t="inlineStr">
        <is>
          <t>Particular</t>
        </is>
      </c>
      <c r="G364" s="38" t="inlineStr">
        <is>
          <t>Consulta</t>
        </is>
      </c>
      <c r="H364" s="38" t="inlineStr">
        <is>
          <t>Realizado</t>
        </is>
      </c>
      <c r="I364" s="38" t="inlineStr">
        <is>
          <t>Cartão de crédito</t>
        </is>
      </c>
      <c r="J364" s="38" t="n"/>
      <c r="K364" s="37" t="n"/>
      <c r="L364" s="39" t="n">
        <v>30</v>
      </c>
      <c r="M364" s="40" t="n">
        <v>380</v>
      </c>
      <c r="N364" s="30">
        <f>IF(A364="","",MONTH(A364))</f>
        <v>7</v>
      </c>
      <c r="O364" s="30">
        <f>IF(A364="","",YEAR(A364))</f>
        <v>2026</v>
      </c>
      <c r="P364" s="30" t="str">
        <f>IF(A364="","",CHOOSE(WEEKDAY(A364,2),"Segunda","Terça","Quarta","Quinta","Sexta","Sábado","Domingo"))</f>
        <v>Terça</v>
      </c>
      <c r="Q364" s="30" t="str">
        <f>IF(B364="","",IF(B364&lt;TIME(12,0,0),"Manhã",IF(B364&lt;TIME(18,0,0),"Tarde","Noite")))</f>
        <v>Tarde</v>
      </c>
      <c r="R364" s="46">
        <f>IF(AND(H364="Realizado",L364&lt;&gt;"",A364&lt;=Config!$B$9),L364/60,0)</f>
        <v>0.5</v>
      </c>
      <c r="S364" s="45">
        <f>IF(G364="","",IFERROR(INDEX(Config!$K$5:$K$16,MATCH(G364,Config!$J$5:$J$16,0)),""))</f>
        <v>30</v>
      </c>
      <c r="T364" s="31">
        <f>IF(OR(G364="",F364=""),"",IFERROR(INDEX(Config!$M$5:$R$16,MATCH(G364,Config!$J$5:$J$16,0),MATCH(F364,Config!$H$5:$H$10,0)),""))</f>
        <v>380</v>
      </c>
      <c r="U364" s="47">
        <f>IF(AND(H364="Realizado",L364&lt;&gt;""),L364/60,0)</f>
        <v>0.5</v>
      </c>
      <c r="V364" s="47">
        <f>IF(AND(H364="Realizado",OR(L364="",M364="")),1,0)</f>
        <v>0</v>
      </c>
    </row>
    <row r="365">
      <c r="A365" s="43" t="n">
        <v>46210</v>
      </c>
      <c r="B365" s="44" t="n">
        <v>0.6666666666666666</v>
      </c>
      <c r="C365" s="38" t="inlineStr">
        <is>
          <t>Dra. Renata Sousa</t>
        </is>
      </c>
      <c r="D365" s="38" t="inlineStr">
        <is>
          <t>Sala 1</t>
        </is>
      </c>
      <c r="E365" s="37" t="inlineStr">
        <is>
          <t>Mariana Reis</t>
        </is>
      </c>
      <c r="F365" s="38" t="inlineStr">
        <is>
          <t>Particular</t>
        </is>
      </c>
      <c r="G365" s="38" t="inlineStr">
        <is>
          <t>Retorno</t>
        </is>
      </c>
      <c r="H365" s="38" t="inlineStr">
        <is>
          <t>Realizado</t>
        </is>
      </c>
      <c r="I365" s="38" t="inlineStr">
        <is>
          <t>Sem cobrança</t>
        </is>
      </c>
      <c r="J365" s="38" t="n"/>
      <c r="K365" s="37" t="n"/>
      <c r="L365" s="39" t="n">
        <v>20</v>
      </c>
      <c r="M365" s="40" t="n">
        <v>0</v>
      </c>
      <c r="N365" s="30">
        <f>IF(A365="","",MONTH(A365))</f>
        <v>7</v>
      </c>
      <c r="O365" s="30">
        <f>IF(A365="","",YEAR(A365))</f>
        <v>2026</v>
      </c>
      <c r="P365" s="30" t="str">
        <f>IF(A365="","",CHOOSE(WEEKDAY(A365,2),"Segunda","Terça","Quarta","Quinta","Sexta","Sábado","Domingo"))</f>
        <v>Terça</v>
      </c>
      <c r="Q365" s="30" t="str">
        <f>IF(B365="","",IF(B365&lt;TIME(12,0,0),"Manhã",IF(B365&lt;TIME(18,0,0),"Tarde","Noite")))</f>
        <v>Tarde</v>
      </c>
      <c r="R365" s="46">
        <f>IF(AND(H365="Realizado",L365&lt;&gt;"",A365&lt;=Config!$B$9),L365/60,0)</f>
        <v>0.333333333333333</v>
      </c>
      <c r="S365" s="45">
        <f>IF(G365="","",IFERROR(INDEX(Config!$K$5:$K$16,MATCH(G365,Config!$J$5:$J$16,0)),""))</f>
        <v>20</v>
      </c>
      <c r="T365" s="31">
        <f>IF(OR(G365="",F365=""),"",IFERROR(INDEX(Config!$M$5:$R$16,MATCH(G365,Config!$J$5:$J$16,0),MATCH(F365,Config!$H$5:$H$10,0)),""))</f>
        <v>0</v>
      </c>
      <c r="U365" s="47">
        <f>IF(AND(H365="Realizado",L365&lt;&gt;""),L365/60,0)</f>
        <v>0.333333333333333</v>
      </c>
      <c r="V365" s="47">
        <f>IF(AND(H365="Realizado",OR(L365="",M365="")),1,0)</f>
        <v>0</v>
      </c>
    </row>
    <row r="366">
      <c r="A366" s="43" t="n">
        <v>46210</v>
      </c>
      <c r="B366" s="44" t="n">
        <v>0.6666666666666666</v>
      </c>
      <c r="C366" s="38" t="inlineStr">
        <is>
          <t>Dr. Paulo Andrade</t>
        </is>
      </c>
      <c r="D366" s="38" t="inlineStr">
        <is>
          <t>Sala 2</t>
        </is>
      </c>
      <c r="E366" s="37" t="inlineStr">
        <is>
          <t>Lucas Cardoso</t>
        </is>
      </c>
      <c r="F366" s="38" t="inlineStr">
        <is>
          <t>Particular</t>
        </is>
      </c>
      <c r="G366" s="38" t="inlineStr">
        <is>
          <t>Consulta</t>
        </is>
      </c>
      <c r="H366" s="38" t="inlineStr">
        <is>
          <t>Realizado</t>
        </is>
      </c>
      <c r="I366" s="38" t="inlineStr">
        <is>
          <t>Cartão de crédito</t>
        </is>
      </c>
      <c r="J366" s="38" t="n"/>
      <c r="K366" s="37" t="n"/>
      <c r="L366" s="39" t="n">
        <v>30</v>
      </c>
      <c r="M366" s="40" t="n">
        <v>380</v>
      </c>
      <c r="N366" s="30">
        <f>IF(A366="","",MONTH(A366))</f>
        <v>7</v>
      </c>
      <c r="O366" s="30">
        <f>IF(A366="","",YEAR(A366))</f>
        <v>2026</v>
      </c>
      <c r="P366" s="30" t="str">
        <f>IF(A366="","",CHOOSE(WEEKDAY(A366,2),"Segunda","Terça","Quarta","Quinta","Sexta","Sábado","Domingo"))</f>
        <v>Terça</v>
      </c>
      <c r="Q366" s="30" t="str">
        <f>IF(B366="","",IF(B366&lt;TIME(12,0,0),"Manhã",IF(B366&lt;TIME(18,0,0),"Tarde","Noite")))</f>
        <v>Tarde</v>
      </c>
      <c r="R366" s="46">
        <f>IF(AND(H366="Realizado",L366&lt;&gt;"",A366&lt;=Config!$B$9),L366/60,0)</f>
        <v>0.5</v>
      </c>
      <c r="S366" s="45">
        <f>IF(G366="","",IFERROR(INDEX(Config!$K$5:$K$16,MATCH(G366,Config!$J$5:$J$16,0)),""))</f>
        <v>30</v>
      </c>
      <c r="T366" s="31">
        <f>IF(OR(G366="",F366=""),"",IFERROR(INDEX(Config!$M$5:$R$16,MATCH(G366,Config!$J$5:$J$16,0),MATCH(F366,Config!$H$5:$H$10,0)),""))</f>
        <v>380</v>
      </c>
      <c r="U366" s="47">
        <f>IF(AND(H366="Realizado",L366&lt;&gt;""),L366/60,0)</f>
        <v>0.5</v>
      </c>
      <c r="V366" s="47">
        <f>IF(AND(H366="Realizado",OR(L366="",M366="")),1,0)</f>
        <v>0</v>
      </c>
    </row>
    <row r="367">
      <c r="A367" s="43" t="n">
        <v>46210</v>
      </c>
      <c r="B367" s="44" t="n">
        <v>0.6805555555555556</v>
      </c>
      <c r="C367" s="38" t="inlineStr">
        <is>
          <t>Dra. Renata Sousa</t>
        </is>
      </c>
      <c r="D367" s="38" t="inlineStr">
        <is>
          <t>Sala 1</t>
        </is>
      </c>
      <c r="E367" s="37" t="inlineStr">
        <is>
          <t>Fernanda Gonçalves</t>
        </is>
      </c>
      <c r="F367" s="38" t="inlineStr">
        <is>
          <t>Saúde Total</t>
        </is>
      </c>
      <c r="G367" s="38" t="inlineStr">
        <is>
          <t>Avaliação endócrina</t>
        </is>
      </c>
      <c r="H367" s="38" t="inlineStr">
        <is>
          <t>Realizado</t>
        </is>
      </c>
      <c r="I367" s="38" t="inlineStr">
        <is>
          <t>Convênio</t>
        </is>
      </c>
      <c r="J367" s="38" t="n"/>
      <c r="K367" s="37" t="n"/>
      <c r="L367" s="39" t="n">
        <v>40</v>
      </c>
      <c r="M367" s="40" t="n">
        <v>130</v>
      </c>
      <c r="N367" s="30">
        <f>IF(A367="","",MONTH(A367))</f>
        <v>7</v>
      </c>
      <c r="O367" s="30">
        <f>IF(A367="","",YEAR(A367))</f>
        <v>2026</v>
      </c>
      <c r="P367" s="30" t="str">
        <f>IF(A367="","",CHOOSE(WEEKDAY(A367,2),"Segunda","Terça","Quarta","Quinta","Sexta","Sábado","Domingo"))</f>
        <v>Terça</v>
      </c>
      <c r="Q367" s="30" t="str">
        <f>IF(B367="","",IF(B367&lt;TIME(12,0,0),"Manhã",IF(B367&lt;TIME(18,0,0),"Tarde","Noite")))</f>
        <v>Tarde</v>
      </c>
      <c r="R367" s="46">
        <f>IF(AND(H367="Realizado",L367&lt;&gt;"",A367&lt;=Config!$B$9),L367/60,0)</f>
        <v>0.666666666666667</v>
      </c>
      <c r="S367" s="45">
        <f>IF(G367="","",IFERROR(INDEX(Config!$K$5:$K$16,MATCH(G367,Config!$J$5:$J$16,0)),""))</f>
        <v>40</v>
      </c>
      <c r="T367" s="31">
        <f>IF(OR(G367="",F367=""),"",IFERROR(INDEX(Config!$M$5:$R$16,MATCH(G367,Config!$J$5:$J$16,0),MATCH(F367,Config!$H$5:$H$10,0)),""))</f>
        <v>130</v>
      </c>
      <c r="U367" s="47">
        <f>IF(AND(H367="Realizado",L367&lt;&gt;""),L367/60,0)</f>
        <v>0.666666666666667</v>
      </c>
      <c r="V367" s="47">
        <f>IF(AND(H367="Realizado",OR(L367="",M367="")),1,0)</f>
        <v>0</v>
      </c>
    </row>
    <row r="368">
      <c r="A368" s="43" t="n">
        <v>46210</v>
      </c>
      <c r="B368" s="44" t="n">
        <v>0.7083333333333334</v>
      </c>
      <c r="C368" s="38" t="inlineStr">
        <is>
          <t>Dra. Renata Sousa</t>
        </is>
      </c>
      <c r="D368" s="38" t="inlineStr">
        <is>
          <t>Sala 1</t>
        </is>
      </c>
      <c r="E368" s="37" t="inlineStr">
        <is>
          <t>Roberta Lima</t>
        </is>
      </c>
      <c r="F368" s="38" t="inlineStr">
        <is>
          <t>Particular</t>
        </is>
      </c>
      <c r="G368" s="38" t="inlineStr">
        <is>
          <t>Avaliação endócrina</t>
        </is>
      </c>
      <c r="H368" s="38" t="inlineStr">
        <is>
          <t>Realizado</t>
        </is>
      </c>
      <c r="I368" s="38" t="inlineStr">
        <is>
          <t>Dinheiro</t>
        </is>
      </c>
      <c r="J368" s="38" t="n"/>
      <c r="K368" s="37" t="n"/>
      <c r="L368" s="39" t="n">
        <v>40</v>
      </c>
      <c r="M368" s="40" t="n">
        <v>400</v>
      </c>
      <c r="N368" s="30">
        <f>IF(A368="","",MONTH(A368))</f>
        <v>7</v>
      </c>
      <c r="O368" s="30">
        <f>IF(A368="","",YEAR(A368))</f>
        <v>2026</v>
      </c>
      <c r="P368" s="30" t="str">
        <f>IF(A368="","",CHOOSE(WEEKDAY(A368,2),"Segunda","Terça","Quarta","Quinta","Sexta","Sábado","Domingo"))</f>
        <v>Terça</v>
      </c>
      <c r="Q368" s="30" t="str">
        <f>IF(B368="","",IF(B368&lt;TIME(12,0,0),"Manhã",IF(B368&lt;TIME(18,0,0),"Tarde","Noite")))</f>
        <v>Tarde</v>
      </c>
      <c r="R368" s="46">
        <f>IF(AND(H368="Realizado",L368&lt;&gt;"",A368&lt;=Config!$B$9),L368/60,0)</f>
        <v>0.666666666666667</v>
      </c>
      <c r="S368" s="45">
        <f>IF(G368="","",IFERROR(INDEX(Config!$K$5:$K$16,MATCH(G368,Config!$J$5:$J$16,0)),""))</f>
        <v>40</v>
      </c>
      <c r="T368" s="31">
        <f>IF(OR(G368="",F368=""),"",IFERROR(INDEX(Config!$M$5:$R$16,MATCH(G368,Config!$J$5:$J$16,0),MATCH(F368,Config!$H$5:$H$10,0)),""))</f>
        <v>400</v>
      </c>
      <c r="U368" s="47">
        <f>IF(AND(H368="Realizado",L368&lt;&gt;""),L368/60,0)</f>
        <v>0.666666666666667</v>
      </c>
      <c r="V368" s="47">
        <f>IF(AND(H368="Realizado",OR(L368="",M368="")),1,0)</f>
        <v>0</v>
      </c>
    </row>
    <row r="369">
      <c r="A369" s="43" t="n">
        <v>46210</v>
      </c>
      <c r="B369" s="44" t="n">
        <v>0.7083333333333334</v>
      </c>
      <c r="C369" s="38" t="inlineStr">
        <is>
          <t>Dr. Paulo Andrade</t>
        </is>
      </c>
      <c r="D369" s="38" t="inlineStr">
        <is>
          <t>Sala 2</t>
        </is>
      </c>
      <c r="E369" s="37" t="inlineStr">
        <is>
          <t>Priscila Rocha</t>
        </is>
      </c>
      <c r="F369" s="38" t="inlineStr">
        <is>
          <t>MediPlan</t>
        </is>
      </c>
      <c r="G369" s="38" t="inlineStr">
        <is>
          <t>Consulta</t>
        </is>
      </c>
      <c r="H369" s="38" t="inlineStr">
        <is>
          <t>Realizado</t>
        </is>
      </c>
      <c r="I369" s="38" t="inlineStr">
        <is>
          <t>Convênio</t>
        </is>
      </c>
      <c r="J369" s="38" t="n"/>
      <c r="K369" s="37" t="n"/>
      <c r="L369" s="39" t="n">
        <v>30</v>
      </c>
      <c r="M369" s="40" t="n">
        <v>100</v>
      </c>
      <c r="N369" s="30">
        <f>IF(A369="","",MONTH(A369))</f>
        <v>7</v>
      </c>
      <c r="O369" s="30">
        <f>IF(A369="","",YEAR(A369))</f>
        <v>2026</v>
      </c>
      <c r="P369" s="30" t="str">
        <f>IF(A369="","",CHOOSE(WEEKDAY(A369,2),"Segunda","Terça","Quarta","Quinta","Sexta","Sábado","Domingo"))</f>
        <v>Terça</v>
      </c>
      <c r="Q369" s="30" t="str">
        <f>IF(B369="","",IF(B369&lt;TIME(12,0,0),"Manhã",IF(B369&lt;TIME(18,0,0),"Tarde","Noite")))</f>
        <v>Tarde</v>
      </c>
      <c r="R369" s="46">
        <f>IF(AND(H369="Realizado",L369&lt;&gt;"",A369&lt;=Config!$B$9),L369/60,0)</f>
        <v>0.5</v>
      </c>
      <c r="S369" s="45">
        <f>IF(G369="","",IFERROR(INDEX(Config!$K$5:$K$16,MATCH(G369,Config!$J$5:$J$16,0)),""))</f>
        <v>30</v>
      </c>
      <c r="T369" s="31">
        <f>IF(OR(G369="",F369=""),"",IFERROR(INDEX(Config!$M$5:$R$16,MATCH(G369,Config!$J$5:$J$16,0),MATCH(F369,Config!$H$5:$H$10,0)),""))</f>
        <v>100</v>
      </c>
      <c r="U369" s="47">
        <f>IF(AND(H369="Realizado",L369&lt;&gt;""),L369/60,0)</f>
        <v>0.5</v>
      </c>
      <c r="V369" s="47">
        <f>IF(AND(H369="Realizado",OR(L369="",M369="")),1,0)</f>
        <v>0</v>
      </c>
    </row>
    <row r="370">
      <c r="A370" s="43" t="n">
        <v>46210</v>
      </c>
      <c r="B370" s="44" t="n">
        <v>0.7291666666666666</v>
      </c>
      <c r="C370" s="38" t="inlineStr">
        <is>
          <t>Dr. Paulo Andrade</t>
        </is>
      </c>
      <c r="D370" s="38" t="inlineStr">
        <is>
          <t>Sala 2</t>
        </is>
      </c>
      <c r="E370" s="37" t="inlineStr">
        <is>
          <t>Sandra Cardoso</t>
        </is>
      </c>
      <c r="F370" s="38" t="inlineStr">
        <is>
          <t>Saúde Total</t>
        </is>
      </c>
      <c r="G370" s="38" t="inlineStr">
        <is>
          <t>Consulta</t>
        </is>
      </c>
      <c r="H370" s="38" t="inlineStr">
        <is>
          <t>Falta</t>
        </is>
      </c>
      <c r="I370" s="38" t="n"/>
      <c r="J370" s="38" t="n"/>
      <c r="K370" s="37" t="n"/>
      <c r="L370" s="39" t="n">
        <v>30</v>
      </c>
      <c r="M370" s="40" t="n">
        <v>120</v>
      </c>
      <c r="N370" s="30">
        <f>IF(A370="","",MONTH(A370))</f>
        <v>7</v>
      </c>
      <c r="O370" s="30">
        <f>IF(A370="","",YEAR(A370))</f>
        <v>2026</v>
      </c>
      <c r="P370" s="30" t="str">
        <f>IF(A370="","",CHOOSE(WEEKDAY(A370,2),"Segunda","Terça","Quarta","Quinta","Sexta","Sábado","Domingo"))</f>
        <v>Terça</v>
      </c>
      <c r="Q370" s="30" t="str">
        <f>IF(B370="","",IF(B370&lt;TIME(12,0,0),"Manhã",IF(B370&lt;TIME(18,0,0),"Tarde","Noite")))</f>
        <v>Tarde</v>
      </c>
      <c r="R370" s="46">
        <f>IF(AND(H370="Realizado",L370&lt;&gt;"",A370&lt;=Config!$B$9),L370/60,0)</f>
        <v>0</v>
      </c>
      <c r="S370" s="45">
        <f>IF(G370="","",IFERROR(INDEX(Config!$K$5:$K$16,MATCH(G370,Config!$J$5:$J$16,0)),""))</f>
        <v>30</v>
      </c>
      <c r="T370" s="31">
        <f>IF(OR(G370="",F370=""),"",IFERROR(INDEX(Config!$M$5:$R$16,MATCH(G370,Config!$J$5:$J$16,0),MATCH(F370,Config!$H$5:$H$10,0)),""))</f>
        <v>120</v>
      </c>
      <c r="U370" s="47">
        <f>IF(AND(H370="Realizado",L370&lt;&gt;""),L370/60,0)</f>
        <v>0</v>
      </c>
      <c r="V370" s="47">
        <f>IF(AND(H370="Realizado",OR(L370="",M370="")),1,0)</f>
        <v>0</v>
      </c>
    </row>
    <row r="371">
      <c r="A371" s="43" t="n">
        <v>46210</v>
      </c>
      <c r="B371" s="44" t="n">
        <v>0.7361111111111112</v>
      </c>
      <c r="C371" s="38" t="inlineStr">
        <is>
          <t>Dra. Renata Sousa</t>
        </is>
      </c>
      <c r="D371" s="38" t="inlineStr">
        <is>
          <t>Sala 1</t>
        </is>
      </c>
      <c r="E371" s="37" t="inlineStr">
        <is>
          <t>Carlos Gonçalves</t>
        </is>
      </c>
      <c r="F371" s="38" t="inlineStr">
        <is>
          <t>Saúde Total</t>
        </is>
      </c>
      <c r="G371" s="38" t="inlineStr">
        <is>
          <t>Avaliação endócrina</t>
        </is>
      </c>
      <c r="H371" s="38" t="inlineStr">
        <is>
          <t>Realizado</t>
        </is>
      </c>
      <c r="I371" s="38" t="inlineStr">
        <is>
          <t>Convênio</t>
        </is>
      </c>
      <c r="J371" s="38" t="n"/>
      <c r="K371" s="37" t="n"/>
      <c r="L371" s="39" t="n">
        <v>40</v>
      </c>
      <c r="M371" s="40" t="n">
        <v>130</v>
      </c>
      <c r="N371" s="30">
        <f>IF(A371="","",MONTH(A371))</f>
        <v>7</v>
      </c>
      <c r="O371" s="30">
        <f>IF(A371="","",YEAR(A371))</f>
        <v>2026</v>
      </c>
      <c r="P371" s="30" t="str">
        <f>IF(A371="","",CHOOSE(WEEKDAY(A371,2),"Segunda","Terça","Quarta","Quinta","Sexta","Sábado","Domingo"))</f>
        <v>Terça</v>
      </c>
      <c r="Q371" s="30" t="str">
        <f>IF(B371="","",IF(B371&lt;TIME(12,0,0),"Manhã",IF(B371&lt;TIME(18,0,0),"Tarde","Noite")))</f>
        <v>Tarde</v>
      </c>
      <c r="R371" s="46">
        <f>IF(AND(H371="Realizado",L371&lt;&gt;"",A371&lt;=Config!$B$9),L371/60,0)</f>
        <v>0.666666666666667</v>
      </c>
      <c r="S371" s="45">
        <f>IF(G371="","",IFERROR(INDEX(Config!$K$5:$K$16,MATCH(G371,Config!$J$5:$J$16,0)),""))</f>
        <v>40</v>
      </c>
      <c r="T371" s="31">
        <f>IF(OR(G371="",F371=""),"",IFERROR(INDEX(Config!$M$5:$R$16,MATCH(G371,Config!$J$5:$J$16,0),MATCH(F371,Config!$H$5:$H$10,0)),""))</f>
        <v>130</v>
      </c>
      <c r="U371" s="47">
        <f>IF(AND(H371="Realizado",L371&lt;&gt;""),L371/60,0)</f>
        <v>0.666666666666667</v>
      </c>
      <c r="V371" s="47">
        <f>IF(AND(H371="Realizado",OR(L371="",M371="")),1,0)</f>
        <v>0</v>
      </c>
    </row>
    <row r="372">
      <c r="A372" s="43" t="n">
        <v>46211</v>
      </c>
      <c r="B372" s="44" t="n">
        <v>0.6041666666666666</v>
      </c>
      <c r="C372" s="38" t="inlineStr">
        <is>
          <t>Dra. Carolina Mendes</t>
        </is>
      </c>
      <c r="D372" s="38" t="inlineStr">
        <is>
          <t>Sala 1</t>
        </is>
      </c>
      <c r="E372" s="37" t="inlineStr">
        <is>
          <t>Regina Castro</t>
        </is>
      </c>
      <c r="F372" s="38" t="inlineStr">
        <is>
          <t>Vida Care</t>
        </is>
      </c>
      <c r="G372" s="38" t="inlineStr">
        <is>
          <t>Consulta</t>
        </is>
      </c>
      <c r="H372" s="38" t="inlineStr">
        <is>
          <t>Falta</t>
        </is>
      </c>
      <c r="I372" s="38" t="n"/>
      <c r="J372" s="38" t="n"/>
      <c r="K372" s="37" t="n"/>
      <c r="L372" s="39" t="n">
        <v>30</v>
      </c>
      <c r="M372" s="40" t="n">
        <v>90</v>
      </c>
      <c r="N372" s="30">
        <f>IF(A372="","",MONTH(A372))</f>
        <v>7</v>
      </c>
      <c r="O372" s="30">
        <f>IF(A372="","",YEAR(A372))</f>
        <v>2026</v>
      </c>
      <c r="P372" s="30" t="str">
        <f>IF(A372="","",CHOOSE(WEEKDAY(A372,2),"Segunda","Terça","Quarta","Quinta","Sexta","Sábado","Domingo"))</f>
        <v>Quarta</v>
      </c>
      <c r="Q372" s="30" t="str">
        <f>IF(B372="","",IF(B372&lt;TIME(12,0,0),"Manhã",IF(B372&lt;TIME(18,0,0),"Tarde","Noite")))</f>
        <v>Tarde</v>
      </c>
      <c r="R372" s="46">
        <f>IF(AND(H372="Realizado",L372&lt;&gt;"",A372&lt;=Config!$B$9),L372/60,0)</f>
        <v>0</v>
      </c>
      <c r="S372" s="45">
        <f>IF(G372="","",IFERROR(INDEX(Config!$K$5:$K$16,MATCH(G372,Config!$J$5:$J$16,0)),""))</f>
        <v>30</v>
      </c>
      <c r="T372" s="31">
        <f>IF(OR(G372="",F372=""),"",IFERROR(INDEX(Config!$M$5:$R$16,MATCH(G372,Config!$J$5:$J$16,0),MATCH(F372,Config!$H$5:$H$10,0)),""))</f>
        <v>90</v>
      </c>
      <c r="U372" s="47">
        <f>IF(AND(H372="Realizado",L372&lt;&gt;""),L372/60,0)</f>
        <v>0</v>
      </c>
      <c r="V372" s="47">
        <f>IF(AND(H372="Realizado",OR(L372="",M372="")),1,0)</f>
        <v>0</v>
      </c>
    </row>
    <row r="373">
      <c r="A373" s="43" t="n">
        <v>46211</v>
      </c>
      <c r="B373" s="44" t="n">
        <v>0.625</v>
      </c>
      <c r="C373" s="38" t="inlineStr">
        <is>
          <t>Dra. Carolina Mendes</t>
        </is>
      </c>
      <c r="D373" s="38" t="inlineStr">
        <is>
          <t>Sala 1</t>
        </is>
      </c>
      <c r="E373" s="37" t="inlineStr">
        <is>
          <t>Regina Castro</t>
        </is>
      </c>
      <c r="F373" s="38" t="inlineStr">
        <is>
          <t>Vida Care</t>
        </is>
      </c>
      <c r="G373" s="38" t="inlineStr">
        <is>
          <t>Consulta</t>
        </is>
      </c>
      <c r="H373" s="38" t="inlineStr">
        <is>
          <t>Realizado</t>
        </is>
      </c>
      <c r="I373" s="38" t="inlineStr">
        <is>
          <t>Convênio</t>
        </is>
      </c>
      <c r="J373" s="38" t="n"/>
      <c r="K373" s="37" t="n"/>
      <c r="L373" s="39" t="n">
        <v>30</v>
      </c>
      <c r="M373" s="40" t="n">
        <v>90</v>
      </c>
      <c r="N373" s="30">
        <f>IF(A373="","",MONTH(A373))</f>
        <v>7</v>
      </c>
      <c r="O373" s="30">
        <f>IF(A373="","",YEAR(A373))</f>
        <v>2026</v>
      </c>
      <c r="P373" s="30" t="str">
        <f>IF(A373="","",CHOOSE(WEEKDAY(A373,2),"Segunda","Terça","Quarta","Quinta","Sexta","Sábado","Domingo"))</f>
        <v>Quarta</v>
      </c>
      <c r="Q373" s="30" t="str">
        <f>IF(B373="","",IF(B373&lt;TIME(12,0,0),"Manhã",IF(B373&lt;TIME(18,0,0),"Tarde","Noite")))</f>
        <v>Tarde</v>
      </c>
      <c r="R373" s="46">
        <f>IF(AND(H373="Realizado",L373&lt;&gt;"",A373&lt;=Config!$B$9),L373/60,0)</f>
        <v>0.5</v>
      </c>
      <c r="S373" s="45">
        <f>IF(G373="","",IFERROR(INDEX(Config!$K$5:$K$16,MATCH(G373,Config!$J$5:$J$16,0)),""))</f>
        <v>30</v>
      </c>
      <c r="T373" s="31">
        <f>IF(OR(G373="",F373=""),"",IFERROR(INDEX(Config!$M$5:$R$16,MATCH(G373,Config!$J$5:$J$16,0),MATCH(F373,Config!$H$5:$H$10,0)),""))</f>
        <v>90</v>
      </c>
      <c r="U373" s="47">
        <f>IF(AND(H373="Realizado",L373&lt;&gt;""),L373/60,0)</f>
        <v>0.5</v>
      </c>
      <c r="V373" s="47">
        <f>IF(AND(H373="Realizado",OR(L373="",M373="")),1,0)</f>
        <v>0</v>
      </c>
    </row>
    <row r="374">
      <c r="A374" s="43" t="n">
        <v>46211</v>
      </c>
      <c r="B374" s="44" t="n">
        <v>0.6458333333333334</v>
      </c>
      <c r="C374" s="38" t="inlineStr">
        <is>
          <t>Dra. Carolina Mendes</t>
        </is>
      </c>
      <c r="D374" s="38" t="inlineStr">
        <is>
          <t>Sala 1</t>
        </is>
      </c>
      <c r="E374" s="37" t="inlineStr">
        <is>
          <t>Eduardo Nunes</t>
        </is>
      </c>
      <c r="F374" s="38" t="inlineStr">
        <is>
          <t>MediPlan</t>
        </is>
      </c>
      <c r="G374" s="38" t="inlineStr">
        <is>
          <t>Consulta</t>
        </is>
      </c>
      <c r="H374" s="38" t="inlineStr">
        <is>
          <t>Falta</t>
        </is>
      </c>
      <c r="I374" s="38" t="n"/>
      <c r="J374" s="38" t="n"/>
      <c r="K374" s="37" t="n"/>
      <c r="L374" s="39" t="n">
        <v>30</v>
      </c>
      <c r="M374" s="40" t="n">
        <v>100</v>
      </c>
      <c r="N374" s="30">
        <f>IF(A374="","",MONTH(A374))</f>
        <v>7</v>
      </c>
      <c r="O374" s="30">
        <f>IF(A374="","",YEAR(A374))</f>
        <v>2026</v>
      </c>
      <c r="P374" s="30" t="str">
        <f>IF(A374="","",CHOOSE(WEEKDAY(A374,2),"Segunda","Terça","Quarta","Quinta","Sexta","Sábado","Domingo"))</f>
        <v>Quarta</v>
      </c>
      <c r="Q374" s="30" t="str">
        <f>IF(B374="","",IF(B374&lt;TIME(12,0,0),"Manhã",IF(B374&lt;TIME(18,0,0),"Tarde","Noite")))</f>
        <v>Tarde</v>
      </c>
      <c r="R374" s="46">
        <f>IF(AND(H374="Realizado",L374&lt;&gt;"",A374&lt;=Config!$B$9),L374/60,0)</f>
        <v>0</v>
      </c>
      <c r="S374" s="45">
        <f>IF(G374="","",IFERROR(INDEX(Config!$K$5:$K$16,MATCH(G374,Config!$J$5:$J$16,0)),""))</f>
        <v>30</v>
      </c>
      <c r="T374" s="31">
        <f>IF(OR(G374="",F374=""),"",IFERROR(INDEX(Config!$M$5:$R$16,MATCH(G374,Config!$J$5:$J$16,0),MATCH(F374,Config!$H$5:$H$10,0)),""))</f>
        <v>100</v>
      </c>
      <c r="U374" s="47">
        <f>IF(AND(H374="Realizado",L374&lt;&gt;""),L374/60,0)</f>
        <v>0</v>
      </c>
      <c r="V374" s="47">
        <f>IF(AND(H374="Realizado",OR(L374="",M374="")),1,0)</f>
        <v>0</v>
      </c>
    </row>
    <row r="375">
      <c r="A375" s="43" t="n">
        <v>46211</v>
      </c>
      <c r="B375" s="44" t="n">
        <v>0.6666666666666666</v>
      </c>
      <c r="C375" s="38" t="inlineStr">
        <is>
          <t>Dra. Carolina Mendes</t>
        </is>
      </c>
      <c r="D375" s="38" t="inlineStr">
        <is>
          <t>Sala 1</t>
        </is>
      </c>
      <c r="E375" s="37" t="inlineStr">
        <is>
          <t>Débora Machado</t>
        </is>
      </c>
      <c r="F375" s="38" t="inlineStr">
        <is>
          <t>Saúde Total</t>
        </is>
      </c>
      <c r="G375" s="38" t="inlineStr">
        <is>
          <t>Retorno</t>
        </is>
      </c>
      <c r="H375" s="38" t="inlineStr">
        <is>
          <t>Realizado</t>
        </is>
      </c>
      <c r="I375" s="38" t="inlineStr">
        <is>
          <t>Sem cobrança</t>
        </is>
      </c>
      <c r="J375" s="38" t="n"/>
      <c r="K375" s="37" t="n"/>
      <c r="L375" s="39" t="n">
        <v>20</v>
      </c>
      <c r="M375" s="40" t="n">
        <v>0</v>
      </c>
      <c r="N375" s="30">
        <f>IF(A375="","",MONTH(A375))</f>
        <v>7</v>
      </c>
      <c r="O375" s="30">
        <f>IF(A375="","",YEAR(A375))</f>
        <v>2026</v>
      </c>
      <c r="P375" s="30" t="str">
        <f>IF(A375="","",CHOOSE(WEEKDAY(A375,2),"Segunda","Terça","Quarta","Quinta","Sexta","Sábado","Domingo"))</f>
        <v>Quarta</v>
      </c>
      <c r="Q375" s="30" t="str">
        <f>IF(B375="","",IF(B375&lt;TIME(12,0,0),"Manhã",IF(B375&lt;TIME(18,0,0),"Tarde","Noite")))</f>
        <v>Tarde</v>
      </c>
      <c r="R375" s="46">
        <f>IF(AND(H375="Realizado",L375&lt;&gt;"",A375&lt;=Config!$B$9),L375/60,0)</f>
        <v>0.333333333333333</v>
      </c>
      <c r="S375" s="45">
        <f>IF(G375="","",IFERROR(INDEX(Config!$K$5:$K$16,MATCH(G375,Config!$J$5:$J$16,0)),""))</f>
        <v>20</v>
      </c>
      <c r="T375" s="31">
        <f>IF(OR(G375="",F375=""),"",IFERROR(INDEX(Config!$M$5:$R$16,MATCH(G375,Config!$J$5:$J$16,0),MATCH(F375,Config!$H$5:$H$10,0)),""))</f>
        <v>0</v>
      </c>
      <c r="U375" s="47">
        <f>IF(AND(H375="Realizado",L375&lt;&gt;""),L375/60,0)</f>
        <v>0.333333333333333</v>
      </c>
      <c r="V375" s="47">
        <f>IF(AND(H375="Realizado",OR(L375="",M375="")),1,0)</f>
        <v>0</v>
      </c>
    </row>
    <row r="376">
      <c r="A376" s="43" t="n">
        <v>46211</v>
      </c>
      <c r="B376" s="44" t="n">
        <v>0.7013888888888888</v>
      </c>
      <c r="C376" s="38" t="inlineStr">
        <is>
          <t>Dra. Carolina Mendes</t>
        </is>
      </c>
      <c r="D376" s="38" t="inlineStr">
        <is>
          <t>Sala 1</t>
        </is>
      </c>
      <c r="E376" s="37" t="inlineStr">
        <is>
          <t>Cláudia Santos</t>
        </is>
      </c>
      <c r="F376" s="38" t="inlineStr">
        <is>
          <t>Particular</t>
        </is>
      </c>
      <c r="G376" s="38" t="inlineStr">
        <is>
          <t>Consulta</t>
        </is>
      </c>
      <c r="H376" s="38" t="inlineStr">
        <is>
          <t>Realizado</t>
        </is>
      </c>
      <c r="I376" s="38" t="inlineStr">
        <is>
          <t>Pix</t>
        </is>
      </c>
      <c r="J376" s="38" t="n"/>
      <c r="K376" s="37" t="n"/>
      <c r="L376" s="39" t="n">
        <v>30</v>
      </c>
      <c r="M376" s="40" t="n">
        <v>380</v>
      </c>
      <c r="N376" s="30">
        <f>IF(A376="","",MONTH(A376))</f>
        <v>7</v>
      </c>
      <c r="O376" s="30">
        <f>IF(A376="","",YEAR(A376))</f>
        <v>2026</v>
      </c>
      <c r="P376" s="30" t="str">
        <f>IF(A376="","",CHOOSE(WEEKDAY(A376,2),"Segunda","Terça","Quarta","Quinta","Sexta","Sábado","Domingo"))</f>
        <v>Quarta</v>
      </c>
      <c r="Q376" s="30" t="str">
        <f>IF(B376="","",IF(B376&lt;TIME(12,0,0),"Manhã",IF(B376&lt;TIME(18,0,0),"Tarde","Noite")))</f>
        <v>Tarde</v>
      </c>
      <c r="R376" s="46">
        <f>IF(AND(H376="Realizado",L376&lt;&gt;"",A376&lt;=Config!$B$9),L376/60,0)</f>
        <v>0.5</v>
      </c>
      <c r="S376" s="45">
        <f>IF(G376="","",IFERROR(INDEX(Config!$K$5:$K$16,MATCH(G376,Config!$J$5:$J$16,0)),""))</f>
        <v>30</v>
      </c>
      <c r="T376" s="31">
        <f>IF(OR(G376="",F376=""),"",IFERROR(INDEX(Config!$M$5:$R$16,MATCH(G376,Config!$J$5:$J$16,0),MATCH(F376,Config!$H$5:$H$10,0)),""))</f>
        <v>380</v>
      </c>
      <c r="U376" s="47">
        <f>IF(AND(H376="Realizado",L376&lt;&gt;""),L376/60,0)</f>
        <v>0.5</v>
      </c>
      <c r="V376" s="47">
        <f>IF(AND(H376="Realizado",OR(L376="",M376="")),1,0)</f>
        <v>0</v>
      </c>
    </row>
    <row r="377">
      <c r="A377" s="43" t="n">
        <v>46211</v>
      </c>
      <c r="B377" s="44" t="n">
        <v>0.7222222222222222</v>
      </c>
      <c r="C377" s="38" t="inlineStr">
        <is>
          <t>Dra. Carolina Mendes</t>
        </is>
      </c>
      <c r="D377" s="38" t="inlineStr">
        <is>
          <t>Sala 1</t>
        </is>
      </c>
      <c r="E377" s="37" t="inlineStr">
        <is>
          <t>Otávio Nascimento</t>
        </is>
      </c>
      <c r="F377" s="38" t="inlineStr">
        <is>
          <t>Particular</t>
        </is>
      </c>
      <c r="G377" s="38" t="inlineStr">
        <is>
          <t>Consulta</t>
        </is>
      </c>
      <c r="H377" s="38" t="inlineStr">
        <is>
          <t>Realizado</t>
        </is>
      </c>
      <c r="I377" s="38" t="inlineStr">
        <is>
          <t>Cartão de crédito</t>
        </is>
      </c>
      <c r="J377" s="38" t="n"/>
      <c r="K377" s="37" t="n"/>
      <c r="L377" s="39" t="n">
        <v>30</v>
      </c>
      <c r="M377" s="40" t="n">
        <v>380</v>
      </c>
      <c r="N377" s="30">
        <f>IF(A377="","",MONTH(A377))</f>
        <v>7</v>
      </c>
      <c r="O377" s="30">
        <f>IF(A377="","",YEAR(A377))</f>
        <v>2026</v>
      </c>
      <c r="P377" s="30" t="str">
        <f>IF(A377="","",CHOOSE(WEEKDAY(A377,2),"Segunda","Terça","Quarta","Quinta","Sexta","Sábado","Domingo"))</f>
        <v>Quarta</v>
      </c>
      <c r="Q377" s="30" t="str">
        <f>IF(B377="","",IF(B377&lt;TIME(12,0,0),"Manhã",IF(B377&lt;TIME(18,0,0),"Tarde","Noite")))</f>
        <v>Tarde</v>
      </c>
      <c r="R377" s="46">
        <f>IF(AND(H377="Realizado",L377&lt;&gt;"",A377&lt;=Config!$B$9),L377/60,0)</f>
        <v>0.5</v>
      </c>
      <c r="S377" s="45">
        <f>IF(G377="","",IFERROR(INDEX(Config!$K$5:$K$16,MATCH(G377,Config!$J$5:$J$16,0)),""))</f>
        <v>30</v>
      </c>
      <c r="T377" s="31">
        <f>IF(OR(G377="",F377=""),"",IFERROR(INDEX(Config!$M$5:$R$16,MATCH(G377,Config!$J$5:$J$16,0),MATCH(F377,Config!$H$5:$H$10,0)),""))</f>
        <v>380</v>
      </c>
      <c r="U377" s="47">
        <f>IF(AND(H377="Realizado",L377&lt;&gt;""),L377/60,0)</f>
        <v>0.5</v>
      </c>
      <c r="V377" s="47">
        <f>IF(AND(H377="Realizado",OR(L377="",M377="")),1,0)</f>
        <v>0</v>
      </c>
    </row>
    <row r="378">
      <c r="A378" s="43" t="n">
        <v>46212</v>
      </c>
      <c r="B378" s="44" t="n">
        <v>0.3333333333333333</v>
      </c>
      <c r="C378" s="38" t="inlineStr">
        <is>
          <t>Dra. Carolina Mendes</t>
        </is>
      </c>
      <c r="D378" s="38" t="inlineStr">
        <is>
          <t>Sala 1</t>
        </is>
      </c>
      <c r="E378" s="37" t="inlineStr">
        <is>
          <t>Otávio Cardoso</t>
        </is>
      </c>
      <c r="F378" s="38" t="inlineStr">
        <is>
          <t>Particular</t>
        </is>
      </c>
      <c r="G378" s="38" t="inlineStr">
        <is>
          <t>Retorno</t>
        </is>
      </c>
      <c r="H378" s="38" t="inlineStr">
        <is>
          <t>Falta</t>
        </is>
      </c>
      <c r="I378" s="38" t="n"/>
      <c r="J378" s="38" t="n"/>
      <c r="K378" s="37" t="n"/>
      <c r="L378" s="39" t="n">
        <v>20</v>
      </c>
      <c r="M378" s="40" t="n">
        <v>0</v>
      </c>
      <c r="N378" s="30">
        <f>IF(A378="","",MONTH(A378))</f>
        <v>7</v>
      </c>
      <c r="O378" s="30">
        <f>IF(A378="","",YEAR(A378))</f>
        <v>2026</v>
      </c>
      <c r="P378" s="30" t="str">
        <f>IF(A378="","",CHOOSE(WEEKDAY(A378,2),"Segunda","Terça","Quarta","Quinta","Sexta","Sábado","Domingo"))</f>
        <v>Quinta</v>
      </c>
      <c r="Q378" s="30" t="str">
        <f>IF(B378="","",IF(B378&lt;TIME(12,0,0),"Manhã",IF(B378&lt;TIME(18,0,0),"Tarde","Noite")))</f>
        <v>Manhã</v>
      </c>
      <c r="R378" s="46">
        <f>IF(AND(H378="Realizado",L378&lt;&gt;"",A378&lt;=Config!$B$9),L378/60,0)</f>
        <v>0</v>
      </c>
      <c r="S378" s="45">
        <f>IF(G378="","",IFERROR(INDEX(Config!$K$5:$K$16,MATCH(G378,Config!$J$5:$J$16,0)),""))</f>
        <v>20</v>
      </c>
      <c r="T378" s="31">
        <f>IF(OR(G378="",F378=""),"",IFERROR(INDEX(Config!$M$5:$R$16,MATCH(G378,Config!$J$5:$J$16,0),MATCH(F378,Config!$H$5:$H$10,0)),""))</f>
        <v>0</v>
      </c>
      <c r="U378" s="47">
        <f>IF(AND(H378="Realizado",L378&lt;&gt;""),L378/60,0)</f>
        <v>0</v>
      </c>
      <c r="V378" s="47">
        <f>IF(AND(H378="Realizado",OR(L378="",M378="")),1,0)</f>
        <v>0</v>
      </c>
    </row>
    <row r="379">
      <c r="A379" s="43" t="n">
        <v>46212</v>
      </c>
      <c r="B379" s="44" t="n">
        <v>0.3472222222222222</v>
      </c>
      <c r="C379" s="38" t="inlineStr">
        <is>
          <t>Dra. Carolina Mendes</t>
        </is>
      </c>
      <c r="D379" s="38" t="inlineStr">
        <is>
          <t>Sala 1</t>
        </is>
      </c>
      <c r="E379" s="37" t="inlineStr">
        <is>
          <t>Elaine Cardoso</t>
        </is>
      </c>
      <c r="F379" s="38" t="inlineStr">
        <is>
          <t>Particular</t>
        </is>
      </c>
      <c r="G379" s="38" t="inlineStr">
        <is>
          <t>Consulta</t>
        </is>
      </c>
      <c r="H379" s="38" t="inlineStr">
        <is>
          <t>Realizado</t>
        </is>
      </c>
      <c r="I379" s="38" t="inlineStr">
        <is>
          <t>Cartão de crédito</t>
        </is>
      </c>
      <c r="J379" s="38" t="n"/>
      <c r="K379" s="37" t="n"/>
      <c r="L379" s="39" t="n">
        <v>30</v>
      </c>
      <c r="M379" s="40" t="n">
        <v>380</v>
      </c>
      <c r="N379" s="30">
        <f>IF(A379="","",MONTH(A379))</f>
        <v>7</v>
      </c>
      <c r="O379" s="30">
        <f>IF(A379="","",YEAR(A379))</f>
        <v>2026</v>
      </c>
      <c r="P379" s="30" t="str">
        <f>IF(A379="","",CHOOSE(WEEKDAY(A379,2),"Segunda","Terça","Quarta","Quinta","Sexta","Sábado","Domingo"))</f>
        <v>Quinta</v>
      </c>
      <c r="Q379" s="30" t="str">
        <f>IF(B379="","",IF(B379&lt;TIME(12,0,0),"Manhã",IF(B379&lt;TIME(18,0,0),"Tarde","Noite")))</f>
        <v>Manhã</v>
      </c>
      <c r="R379" s="46">
        <f>IF(AND(H379="Realizado",L379&lt;&gt;"",A379&lt;=Config!$B$9),L379/60,0)</f>
        <v>0.5</v>
      </c>
      <c r="S379" s="45">
        <f>IF(G379="","",IFERROR(INDEX(Config!$K$5:$K$16,MATCH(G379,Config!$J$5:$J$16,0)),""))</f>
        <v>30</v>
      </c>
      <c r="T379" s="31">
        <f>IF(OR(G379="",F379=""),"",IFERROR(INDEX(Config!$M$5:$R$16,MATCH(G379,Config!$J$5:$J$16,0),MATCH(F379,Config!$H$5:$H$10,0)),""))</f>
        <v>380</v>
      </c>
      <c r="U379" s="47">
        <f>IF(AND(H379="Realizado",L379&lt;&gt;""),L379/60,0)</f>
        <v>0.5</v>
      </c>
      <c r="V379" s="47">
        <f>IF(AND(H379="Realizado",OR(L379="",M379="")),1,0)</f>
        <v>0</v>
      </c>
    </row>
    <row r="380">
      <c r="A380" s="43" t="n">
        <v>46212</v>
      </c>
      <c r="B380" s="44" t="n">
        <v>0.3888888888888889</v>
      </c>
      <c r="C380" s="38" t="inlineStr">
        <is>
          <t>Dra. Carolina Mendes</t>
        </is>
      </c>
      <c r="D380" s="38" t="inlineStr">
        <is>
          <t>Sala 1</t>
        </is>
      </c>
      <c r="E380" s="37" t="inlineStr">
        <is>
          <t>Eduardo Nunes</t>
        </is>
      </c>
      <c r="F380" s="38" t="inlineStr">
        <is>
          <t>MediPlan</t>
        </is>
      </c>
      <c r="G380" s="38" t="inlineStr">
        <is>
          <t>Consulta</t>
        </is>
      </c>
      <c r="H380" s="38" t="inlineStr">
        <is>
          <t>Remarcado</t>
        </is>
      </c>
      <c r="I380" s="38" t="n"/>
      <c r="J380" s="38" t="n"/>
      <c r="K380" s="37" t="inlineStr">
        <is>
          <t>Paciente pediu outra data</t>
        </is>
      </c>
      <c r="L380" s="39" t="n">
        <v>30</v>
      </c>
      <c r="M380" s="40" t="n">
        <v>100</v>
      </c>
      <c r="N380" s="30">
        <f>IF(A380="","",MONTH(A380))</f>
        <v>7</v>
      </c>
      <c r="O380" s="30">
        <f>IF(A380="","",YEAR(A380))</f>
        <v>2026</v>
      </c>
      <c r="P380" s="30" t="str">
        <f>IF(A380="","",CHOOSE(WEEKDAY(A380,2),"Segunda","Terça","Quarta","Quinta","Sexta","Sábado","Domingo"))</f>
        <v>Quinta</v>
      </c>
      <c r="Q380" s="30" t="str">
        <f>IF(B380="","",IF(B380&lt;TIME(12,0,0),"Manhã",IF(B380&lt;TIME(18,0,0),"Tarde","Noite")))</f>
        <v>Manhã</v>
      </c>
      <c r="R380" s="46">
        <f>IF(AND(H380="Realizado",L380&lt;&gt;"",A380&lt;=Config!$B$9),L380/60,0)</f>
        <v>0</v>
      </c>
      <c r="S380" s="45">
        <f>IF(G380="","",IFERROR(INDEX(Config!$K$5:$K$16,MATCH(G380,Config!$J$5:$J$16,0)),""))</f>
        <v>30</v>
      </c>
      <c r="T380" s="31">
        <f>IF(OR(G380="",F380=""),"",IFERROR(INDEX(Config!$M$5:$R$16,MATCH(G380,Config!$J$5:$J$16,0),MATCH(F380,Config!$H$5:$H$10,0)),""))</f>
        <v>100</v>
      </c>
      <c r="U380" s="47">
        <f>IF(AND(H380="Realizado",L380&lt;&gt;""),L380/60,0)</f>
        <v>0</v>
      </c>
      <c r="V380" s="47">
        <f>IF(AND(H380="Realizado",OR(L380="",M380="")),1,0)</f>
        <v>0</v>
      </c>
    </row>
    <row r="381">
      <c r="A381" s="43" t="n">
        <v>46212</v>
      </c>
      <c r="B381" s="44" t="n">
        <v>0.4097222222222222</v>
      </c>
      <c r="C381" s="38" t="inlineStr">
        <is>
          <t>Dra. Carolina Mendes</t>
        </is>
      </c>
      <c r="D381" s="38" t="inlineStr">
        <is>
          <t>Sala 1</t>
        </is>
      </c>
      <c r="E381" s="37" t="inlineStr">
        <is>
          <t>Priscila Castro</t>
        </is>
      </c>
      <c r="F381" s="38" t="inlineStr">
        <is>
          <t>Saúde Total</t>
        </is>
      </c>
      <c r="G381" s="38" t="inlineStr">
        <is>
          <t>Consulta</t>
        </is>
      </c>
      <c r="H381" s="38" t="inlineStr">
        <is>
          <t>Realizado</t>
        </is>
      </c>
      <c r="I381" s="38" t="inlineStr">
        <is>
          <t>Convênio</t>
        </is>
      </c>
      <c r="J381" s="38" t="n"/>
      <c r="K381" s="37" t="n"/>
      <c r="L381" s="39" t="n">
        <v>30</v>
      </c>
      <c r="M381" s="40" t="n">
        <v>120</v>
      </c>
      <c r="N381" s="30">
        <f>IF(A381="","",MONTH(A381))</f>
        <v>7</v>
      </c>
      <c r="O381" s="30">
        <f>IF(A381="","",YEAR(A381))</f>
        <v>2026</v>
      </c>
      <c r="P381" s="30" t="str">
        <f>IF(A381="","",CHOOSE(WEEKDAY(A381,2),"Segunda","Terça","Quarta","Quinta","Sexta","Sábado","Domingo"))</f>
        <v>Quinta</v>
      </c>
      <c r="Q381" s="30" t="str">
        <f>IF(B381="","",IF(B381&lt;TIME(12,0,0),"Manhã",IF(B381&lt;TIME(18,0,0),"Tarde","Noite")))</f>
        <v>Manhã</v>
      </c>
      <c r="R381" s="46">
        <f>IF(AND(H381="Realizado",L381&lt;&gt;"",A381&lt;=Config!$B$9),L381/60,0)</f>
        <v>0.5</v>
      </c>
      <c r="S381" s="45">
        <f>IF(G381="","",IFERROR(INDEX(Config!$K$5:$K$16,MATCH(G381,Config!$J$5:$J$16,0)),""))</f>
        <v>30</v>
      </c>
      <c r="T381" s="31">
        <f>IF(OR(G381="",F381=""),"",IFERROR(INDEX(Config!$M$5:$R$16,MATCH(G381,Config!$J$5:$J$16,0),MATCH(F381,Config!$H$5:$H$10,0)),""))</f>
        <v>120</v>
      </c>
      <c r="U381" s="47">
        <f>IF(AND(H381="Realizado",L381&lt;&gt;""),L381/60,0)</f>
        <v>0.5</v>
      </c>
      <c r="V381" s="47">
        <f>IF(AND(H381="Realizado",OR(L381="",M381="")),1,0)</f>
        <v>0</v>
      </c>
    </row>
    <row r="382">
      <c r="A382" s="43" t="n">
        <v>46212</v>
      </c>
      <c r="B382" s="44" t="n">
        <v>0.4305555555555556</v>
      </c>
      <c r="C382" s="38" t="inlineStr">
        <is>
          <t>Dra. Carolina Mendes</t>
        </is>
      </c>
      <c r="D382" s="38" t="inlineStr">
        <is>
          <t>Sala 1</t>
        </is>
      </c>
      <c r="E382" s="37" t="inlineStr">
        <is>
          <t>Roberta Araújo</t>
        </is>
      </c>
      <c r="F382" s="38" t="inlineStr">
        <is>
          <t>Particular</t>
        </is>
      </c>
      <c r="G382" s="38" t="inlineStr">
        <is>
          <t>Consulta</t>
        </is>
      </c>
      <c r="H382" s="38" t="inlineStr">
        <is>
          <t>Realizado</t>
        </is>
      </c>
      <c r="I382" s="38" t="inlineStr">
        <is>
          <t>Pix</t>
        </is>
      </c>
      <c r="J382" s="38" t="n"/>
      <c r="K382" s="37" t="n"/>
      <c r="L382" s="39" t="n">
        <v>30</v>
      </c>
      <c r="M382" s="40" t="n">
        <v>380</v>
      </c>
      <c r="N382" s="30">
        <f>IF(A382="","",MONTH(A382))</f>
        <v>7</v>
      </c>
      <c r="O382" s="30">
        <f>IF(A382="","",YEAR(A382))</f>
        <v>2026</v>
      </c>
      <c r="P382" s="30" t="str">
        <f>IF(A382="","",CHOOSE(WEEKDAY(A382,2),"Segunda","Terça","Quarta","Quinta","Sexta","Sábado","Domingo"))</f>
        <v>Quinta</v>
      </c>
      <c r="Q382" s="30" t="str">
        <f>IF(B382="","",IF(B382&lt;TIME(12,0,0),"Manhã",IF(B382&lt;TIME(18,0,0),"Tarde","Noite")))</f>
        <v>Manhã</v>
      </c>
      <c r="R382" s="46">
        <f>IF(AND(H382="Realizado",L382&lt;&gt;"",A382&lt;=Config!$B$9),L382/60,0)</f>
        <v>0.5</v>
      </c>
      <c r="S382" s="45">
        <f>IF(G382="","",IFERROR(INDEX(Config!$K$5:$K$16,MATCH(G382,Config!$J$5:$J$16,0)),""))</f>
        <v>30</v>
      </c>
      <c r="T382" s="31">
        <f>IF(OR(G382="",F382=""),"",IFERROR(INDEX(Config!$M$5:$R$16,MATCH(G382,Config!$J$5:$J$16,0),MATCH(F382,Config!$H$5:$H$10,0)),""))</f>
        <v>380</v>
      </c>
      <c r="U382" s="47">
        <f>IF(AND(H382="Realizado",L382&lt;&gt;""),L382/60,0)</f>
        <v>0.5</v>
      </c>
      <c r="V382" s="47">
        <f>IF(AND(H382="Realizado",OR(L382="",M382="")),1,0)</f>
        <v>0</v>
      </c>
    </row>
    <row r="383">
      <c r="A383" s="43" t="n">
        <v>46212</v>
      </c>
      <c r="B383" s="44" t="n">
        <v>0.4513888888888889</v>
      </c>
      <c r="C383" s="38" t="inlineStr">
        <is>
          <t>Dra. Carolina Mendes</t>
        </is>
      </c>
      <c r="D383" s="38" t="inlineStr">
        <is>
          <t>Sala 1</t>
        </is>
      </c>
      <c r="E383" s="37" t="inlineStr">
        <is>
          <t>Tatiana Cunha</t>
        </is>
      </c>
      <c r="F383" s="38" t="inlineStr">
        <is>
          <t>Saúde Total</t>
        </is>
      </c>
      <c r="G383" s="38" t="inlineStr">
        <is>
          <t>Consulta</t>
        </is>
      </c>
      <c r="H383" s="38" t="inlineStr">
        <is>
          <t>Realizado</t>
        </is>
      </c>
      <c r="I383" s="38" t="inlineStr">
        <is>
          <t>Convênio</t>
        </is>
      </c>
      <c r="J383" s="38" t="n"/>
      <c r="K383" s="37" t="n"/>
      <c r="L383" s="39" t="n">
        <v>30</v>
      </c>
      <c r="M383" s="40" t="n">
        <v>120</v>
      </c>
      <c r="N383" s="30">
        <f>IF(A383="","",MONTH(A383))</f>
        <v>7</v>
      </c>
      <c r="O383" s="30">
        <f>IF(A383="","",YEAR(A383))</f>
        <v>2026</v>
      </c>
      <c r="P383" s="30" t="str">
        <f>IF(A383="","",CHOOSE(WEEKDAY(A383,2),"Segunda","Terça","Quarta","Quinta","Sexta","Sábado","Domingo"))</f>
        <v>Quinta</v>
      </c>
      <c r="Q383" s="30" t="str">
        <f>IF(B383="","",IF(B383&lt;TIME(12,0,0),"Manhã",IF(B383&lt;TIME(18,0,0),"Tarde","Noite")))</f>
        <v>Manhã</v>
      </c>
      <c r="R383" s="46">
        <f>IF(AND(H383="Realizado",L383&lt;&gt;"",A383&lt;=Config!$B$9),L383/60,0)</f>
        <v>0.5</v>
      </c>
      <c r="S383" s="45">
        <f>IF(G383="","",IFERROR(INDEX(Config!$K$5:$K$16,MATCH(G383,Config!$J$5:$J$16,0)),""))</f>
        <v>30</v>
      </c>
      <c r="T383" s="31">
        <f>IF(OR(G383="",F383=""),"",IFERROR(INDEX(Config!$M$5:$R$16,MATCH(G383,Config!$J$5:$J$16,0),MATCH(F383,Config!$H$5:$H$10,0)),""))</f>
        <v>120</v>
      </c>
      <c r="U383" s="47">
        <f>IF(AND(H383="Realizado",L383&lt;&gt;""),L383/60,0)</f>
        <v>0.5</v>
      </c>
      <c r="V383" s="47">
        <f>IF(AND(H383="Realizado",OR(L383="",M383="")),1,0)</f>
        <v>0</v>
      </c>
    </row>
    <row r="384">
      <c r="A384" s="43" t="n">
        <v>46212</v>
      </c>
      <c r="B384" s="44" t="n">
        <v>0.5833333333333334</v>
      </c>
      <c r="C384" s="38" t="inlineStr">
        <is>
          <t>Dra. Renata Sousa</t>
        </is>
      </c>
      <c r="D384" s="38" t="inlineStr">
        <is>
          <t>Sala 1</t>
        </is>
      </c>
      <c r="E384" s="37" t="inlineStr">
        <is>
          <t>Fábio Ferreira</t>
        </is>
      </c>
      <c r="F384" s="38" t="inlineStr">
        <is>
          <t>Particular</t>
        </is>
      </c>
      <c r="G384" s="38" t="inlineStr">
        <is>
          <t>Retorno</t>
        </is>
      </c>
      <c r="H384" s="38" t="inlineStr">
        <is>
          <t>Realizado</t>
        </is>
      </c>
      <c r="I384" s="38" t="inlineStr">
        <is>
          <t>Sem cobrança</t>
        </is>
      </c>
      <c r="J384" s="38" t="n"/>
      <c r="K384" s="37" t="n"/>
      <c r="L384" s="39" t="n">
        <v>20</v>
      </c>
      <c r="M384" s="40" t="n">
        <v>0</v>
      </c>
      <c r="N384" s="30">
        <f>IF(A384="","",MONTH(A384))</f>
        <v>7</v>
      </c>
      <c r="O384" s="30">
        <f>IF(A384="","",YEAR(A384))</f>
        <v>2026</v>
      </c>
      <c r="P384" s="30" t="str">
        <f>IF(A384="","",CHOOSE(WEEKDAY(A384,2),"Segunda","Terça","Quarta","Quinta","Sexta","Sábado","Domingo"))</f>
        <v>Quinta</v>
      </c>
      <c r="Q384" s="30" t="str">
        <f>IF(B384="","",IF(B384&lt;TIME(12,0,0),"Manhã",IF(B384&lt;TIME(18,0,0),"Tarde","Noite")))</f>
        <v>Tarde</v>
      </c>
      <c r="R384" s="46">
        <f>IF(AND(H384="Realizado",L384&lt;&gt;"",A384&lt;=Config!$B$9),L384/60,0)</f>
        <v>0.333333333333333</v>
      </c>
      <c r="S384" s="45">
        <f>IF(G384="","",IFERROR(INDEX(Config!$K$5:$K$16,MATCH(G384,Config!$J$5:$J$16,0)),""))</f>
        <v>20</v>
      </c>
      <c r="T384" s="31">
        <f>IF(OR(G384="",F384=""),"",IFERROR(INDEX(Config!$M$5:$R$16,MATCH(G384,Config!$J$5:$J$16,0),MATCH(F384,Config!$H$5:$H$10,0)),""))</f>
        <v>0</v>
      </c>
      <c r="U384" s="47">
        <f>IF(AND(H384="Realizado",L384&lt;&gt;""),L384/60,0)</f>
        <v>0.333333333333333</v>
      </c>
      <c r="V384" s="47">
        <f>IF(AND(H384="Realizado",OR(L384="",M384="")),1,0)</f>
        <v>0</v>
      </c>
    </row>
    <row r="385">
      <c r="A385" s="43" t="n">
        <v>46212</v>
      </c>
      <c r="B385" s="44" t="n">
        <v>0.5833333333333334</v>
      </c>
      <c r="C385" s="38" t="inlineStr">
        <is>
          <t>Dr. Paulo Andrade</t>
        </is>
      </c>
      <c r="D385" s="38" t="inlineStr">
        <is>
          <t>Sala 2</t>
        </is>
      </c>
      <c r="E385" s="37" t="inlineStr">
        <is>
          <t>Leandro Ferreira</t>
        </is>
      </c>
      <c r="F385" s="38" t="inlineStr">
        <is>
          <t>Saúde Total</t>
        </is>
      </c>
      <c r="G385" s="38" t="inlineStr">
        <is>
          <t>Retorno</t>
        </is>
      </c>
      <c r="H385" s="38" t="inlineStr">
        <is>
          <t>Realizado</t>
        </is>
      </c>
      <c r="I385" s="38" t="inlineStr">
        <is>
          <t>Sem cobrança</t>
        </is>
      </c>
      <c r="J385" s="38" t="n"/>
      <c r="K385" s="37" t="n"/>
      <c r="L385" s="39" t="n">
        <v>20</v>
      </c>
      <c r="M385" s="40" t="n">
        <v>0</v>
      </c>
      <c r="N385" s="30">
        <f>IF(A385="","",MONTH(A385))</f>
        <v>7</v>
      </c>
      <c r="O385" s="30">
        <f>IF(A385="","",YEAR(A385))</f>
        <v>2026</v>
      </c>
      <c r="P385" s="30" t="str">
        <f>IF(A385="","",CHOOSE(WEEKDAY(A385,2),"Segunda","Terça","Quarta","Quinta","Sexta","Sábado","Domingo"))</f>
        <v>Quinta</v>
      </c>
      <c r="Q385" s="30" t="str">
        <f>IF(B385="","",IF(B385&lt;TIME(12,0,0),"Manhã",IF(B385&lt;TIME(18,0,0),"Tarde","Noite")))</f>
        <v>Tarde</v>
      </c>
      <c r="R385" s="46">
        <f>IF(AND(H385="Realizado",L385&lt;&gt;"",A385&lt;=Config!$B$9),L385/60,0)</f>
        <v>0.333333333333333</v>
      </c>
      <c r="S385" s="45">
        <f>IF(G385="","",IFERROR(INDEX(Config!$K$5:$K$16,MATCH(G385,Config!$J$5:$J$16,0)),""))</f>
        <v>20</v>
      </c>
      <c r="T385" s="31">
        <f>IF(OR(G385="",F385=""),"",IFERROR(INDEX(Config!$M$5:$R$16,MATCH(G385,Config!$J$5:$J$16,0),MATCH(F385,Config!$H$5:$H$10,0)),""))</f>
        <v>0</v>
      </c>
      <c r="U385" s="47">
        <f>IF(AND(H385="Realizado",L385&lt;&gt;""),L385/60,0)</f>
        <v>0.333333333333333</v>
      </c>
      <c r="V385" s="47">
        <f>IF(AND(H385="Realizado",OR(L385="",M385="")),1,0)</f>
        <v>0</v>
      </c>
    </row>
    <row r="386">
      <c r="A386" s="43" t="n">
        <v>46212</v>
      </c>
      <c r="B386" s="44" t="n">
        <v>0.5972222222222222</v>
      </c>
      <c r="C386" s="38" t="inlineStr">
        <is>
          <t>Dra. Renata Sousa</t>
        </is>
      </c>
      <c r="D386" s="38" t="inlineStr">
        <is>
          <t>Sala 1</t>
        </is>
      </c>
      <c r="E386" s="37" t="inlineStr">
        <is>
          <t>Fábio Gomes</t>
        </is>
      </c>
      <c r="F386" s="38" t="inlineStr">
        <is>
          <t>Particular</t>
        </is>
      </c>
      <c r="G386" s="38" t="inlineStr">
        <is>
          <t>Avaliação endócrina</t>
        </is>
      </c>
      <c r="H386" s="38" t="inlineStr">
        <is>
          <t>Realizado</t>
        </is>
      </c>
      <c r="I386" s="38" t="inlineStr">
        <is>
          <t>Cartão de crédito</t>
        </is>
      </c>
      <c r="J386" s="38" t="n"/>
      <c r="K386" s="37" t="n"/>
      <c r="L386" s="39" t="n">
        <v>40</v>
      </c>
      <c r="M386" s="40" t="n">
        <v>400</v>
      </c>
      <c r="N386" s="30">
        <f>IF(A386="","",MONTH(A386))</f>
        <v>7</v>
      </c>
      <c r="O386" s="30">
        <f>IF(A386="","",YEAR(A386))</f>
        <v>2026</v>
      </c>
      <c r="P386" s="30" t="str">
        <f>IF(A386="","",CHOOSE(WEEKDAY(A386,2),"Segunda","Terça","Quarta","Quinta","Sexta","Sábado","Domingo"))</f>
        <v>Quinta</v>
      </c>
      <c r="Q386" s="30" t="str">
        <f>IF(B386="","",IF(B386&lt;TIME(12,0,0),"Manhã",IF(B386&lt;TIME(18,0,0),"Tarde","Noite")))</f>
        <v>Tarde</v>
      </c>
      <c r="R386" s="46">
        <f>IF(AND(H386="Realizado",L386&lt;&gt;"",A386&lt;=Config!$B$9),L386/60,0)</f>
        <v>0.666666666666667</v>
      </c>
      <c r="S386" s="45">
        <f>IF(G386="","",IFERROR(INDEX(Config!$K$5:$K$16,MATCH(G386,Config!$J$5:$J$16,0)),""))</f>
        <v>40</v>
      </c>
      <c r="T386" s="31">
        <f>IF(OR(G386="",F386=""),"",IFERROR(INDEX(Config!$M$5:$R$16,MATCH(G386,Config!$J$5:$J$16,0),MATCH(F386,Config!$H$5:$H$10,0)),""))</f>
        <v>400</v>
      </c>
      <c r="U386" s="47">
        <f>IF(AND(H386="Realizado",L386&lt;&gt;""),L386/60,0)</f>
        <v>0.666666666666667</v>
      </c>
      <c r="V386" s="47">
        <f>IF(AND(H386="Realizado",OR(L386="",M386="")),1,0)</f>
        <v>0</v>
      </c>
    </row>
    <row r="387">
      <c r="A387" s="43" t="n">
        <v>46212</v>
      </c>
      <c r="B387" s="44" t="n">
        <v>0.5972222222222222</v>
      </c>
      <c r="C387" s="38" t="inlineStr">
        <is>
          <t>Dr. Paulo Andrade</t>
        </is>
      </c>
      <c r="D387" s="38" t="inlineStr">
        <is>
          <t>Sala 2</t>
        </is>
      </c>
      <c r="E387" s="37" t="inlineStr">
        <is>
          <t>Gabriel Vieira</t>
        </is>
      </c>
      <c r="F387" s="38" t="inlineStr">
        <is>
          <t>Vida Care</t>
        </is>
      </c>
      <c r="G387" s="38" t="inlineStr">
        <is>
          <t>Consulta</t>
        </is>
      </c>
      <c r="H387" s="38" t="inlineStr">
        <is>
          <t>Realizado</t>
        </is>
      </c>
      <c r="I387" s="38" t="inlineStr">
        <is>
          <t>Convênio</t>
        </is>
      </c>
      <c r="J387" s="38" t="n"/>
      <c r="K387" s="37" t="n"/>
      <c r="L387" s="39" t="n">
        <v>30</v>
      </c>
      <c r="M387" s="40" t="n">
        <v>90</v>
      </c>
      <c r="N387" s="30">
        <f>IF(A387="","",MONTH(A387))</f>
        <v>7</v>
      </c>
      <c r="O387" s="30">
        <f>IF(A387="","",YEAR(A387))</f>
        <v>2026</v>
      </c>
      <c r="P387" s="30" t="str">
        <f>IF(A387="","",CHOOSE(WEEKDAY(A387,2),"Segunda","Terça","Quarta","Quinta","Sexta","Sábado","Domingo"))</f>
        <v>Quinta</v>
      </c>
      <c r="Q387" s="30" t="str">
        <f>IF(B387="","",IF(B387&lt;TIME(12,0,0),"Manhã",IF(B387&lt;TIME(18,0,0),"Tarde","Noite")))</f>
        <v>Tarde</v>
      </c>
      <c r="R387" s="46">
        <f>IF(AND(H387="Realizado",L387&lt;&gt;"",A387&lt;=Config!$B$9),L387/60,0)</f>
        <v>0.5</v>
      </c>
      <c r="S387" s="45">
        <f>IF(G387="","",IFERROR(INDEX(Config!$K$5:$K$16,MATCH(G387,Config!$J$5:$J$16,0)),""))</f>
        <v>30</v>
      </c>
      <c r="T387" s="31">
        <f>IF(OR(G387="",F387=""),"",IFERROR(INDEX(Config!$M$5:$R$16,MATCH(G387,Config!$J$5:$J$16,0),MATCH(F387,Config!$H$5:$H$10,0)),""))</f>
        <v>90</v>
      </c>
      <c r="U387" s="47">
        <f>IF(AND(H387="Realizado",L387&lt;&gt;""),L387/60,0)</f>
        <v>0.5</v>
      </c>
      <c r="V387" s="47">
        <f>IF(AND(H387="Realizado",OR(L387="",M387="")),1,0)</f>
        <v>0</v>
      </c>
    </row>
    <row r="388">
      <c r="A388" s="43" t="n">
        <v>46212</v>
      </c>
      <c r="B388" s="44" t="n">
        <v>0.6180555555555556</v>
      </c>
      <c r="C388" s="38" t="inlineStr">
        <is>
          <t>Dr. Paulo Andrade</t>
        </is>
      </c>
      <c r="D388" s="38" t="inlineStr">
        <is>
          <t>Sala 2</t>
        </is>
      </c>
      <c r="E388" s="37" t="inlineStr">
        <is>
          <t>Paulo Nascimento</t>
        </is>
      </c>
      <c r="F388" s="38" t="inlineStr">
        <is>
          <t>MediPlan</t>
        </is>
      </c>
      <c r="G388" s="38" t="inlineStr">
        <is>
          <t>Consulta</t>
        </is>
      </c>
      <c r="H388" s="38" t="inlineStr">
        <is>
          <t>Realizado</t>
        </is>
      </c>
      <c r="I388" s="38" t="inlineStr">
        <is>
          <t>Convênio</t>
        </is>
      </c>
      <c r="J388" s="38" t="n"/>
      <c r="K388" s="37" t="n"/>
      <c r="L388" s="39" t="n">
        <v>30</v>
      </c>
      <c r="M388" s="40" t="n">
        <v>100</v>
      </c>
      <c r="N388" s="30">
        <f>IF(A388="","",MONTH(A388))</f>
        <v>7</v>
      </c>
      <c r="O388" s="30">
        <f>IF(A388="","",YEAR(A388))</f>
        <v>2026</v>
      </c>
      <c r="P388" s="30" t="str">
        <f>IF(A388="","",CHOOSE(WEEKDAY(A388,2),"Segunda","Terça","Quarta","Quinta","Sexta","Sábado","Domingo"))</f>
        <v>Quinta</v>
      </c>
      <c r="Q388" s="30" t="str">
        <f>IF(B388="","",IF(B388&lt;TIME(12,0,0),"Manhã",IF(B388&lt;TIME(18,0,0),"Tarde","Noite")))</f>
        <v>Tarde</v>
      </c>
      <c r="R388" s="46">
        <f>IF(AND(H388="Realizado",L388&lt;&gt;"",A388&lt;=Config!$B$9),L388/60,0)</f>
        <v>0.5</v>
      </c>
      <c r="S388" s="45">
        <f>IF(G388="","",IFERROR(INDEX(Config!$K$5:$K$16,MATCH(G388,Config!$J$5:$J$16,0)),""))</f>
        <v>30</v>
      </c>
      <c r="T388" s="31">
        <f>IF(OR(G388="",F388=""),"",IFERROR(INDEX(Config!$M$5:$R$16,MATCH(G388,Config!$J$5:$J$16,0),MATCH(F388,Config!$H$5:$H$10,0)),""))</f>
        <v>100</v>
      </c>
      <c r="U388" s="47">
        <f>IF(AND(H388="Realizado",L388&lt;&gt;""),L388/60,0)</f>
        <v>0.5</v>
      </c>
      <c r="V388" s="47">
        <f>IF(AND(H388="Realizado",OR(L388="",M388="")),1,0)</f>
        <v>0</v>
      </c>
    </row>
    <row r="389">
      <c r="A389" s="43" t="n">
        <v>46212</v>
      </c>
      <c r="B389" s="44" t="n">
        <v>0.625</v>
      </c>
      <c r="C389" s="38" t="inlineStr">
        <is>
          <t>Dra. Renata Sousa</t>
        </is>
      </c>
      <c r="D389" s="38" t="inlineStr">
        <is>
          <t>Sala 1</t>
        </is>
      </c>
      <c r="E389" s="37" t="inlineStr">
        <is>
          <t>Isabela Barbosa</t>
        </is>
      </c>
      <c r="F389" s="38" t="inlineStr">
        <is>
          <t>Saúde Total</t>
        </is>
      </c>
      <c r="G389" s="38" t="inlineStr">
        <is>
          <t>Avaliação endócrina</t>
        </is>
      </c>
      <c r="H389" s="38" t="inlineStr">
        <is>
          <t>Realizado</t>
        </is>
      </c>
      <c r="I389" s="38" t="inlineStr">
        <is>
          <t>Convênio</t>
        </is>
      </c>
      <c r="J389" s="38" t="n"/>
      <c r="K389" s="37" t="n"/>
      <c r="L389" s="39" t="n">
        <v>40</v>
      </c>
      <c r="M389" s="40" t="n">
        <v>130</v>
      </c>
      <c r="N389" s="30">
        <f>IF(A389="","",MONTH(A389))</f>
        <v>7</v>
      </c>
      <c r="O389" s="30">
        <f>IF(A389="","",YEAR(A389))</f>
        <v>2026</v>
      </c>
      <c r="P389" s="30" t="str">
        <f>IF(A389="","",CHOOSE(WEEKDAY(A389,2),"Segunda","Terça","Quarta","Quinta","Sexta","Sábado","Domingo"))</f>
        <v>Quinta</v>
      </c>
      <c r="Q389" s="30" t="str">
        <f>IF(B389="","",IF(B389&lt;TIME(12,0,0),"Manhã",IF(B389&lt;TIME(18,0,0),"Tarde","Noite")))</f>
        <v>Tarde</v>
      </c>
      <c r="R389" s="46">
        <f>IF(AND(H389="Realizado",L389&lt;&gt;"",A389&lt;=Config!$B$9),L389/60,0)</f>
        <v>0.666666666666667</v>
      </c>
      <c r="S389" s="45">
        <f>IF(G389="","",IFERROR(INDEX(Config!$K$5:$K$16,MATCH(G389,Config!$J$5:$J$16,0)),""))</f>
        <v>40</v>
      </c>
      <c r="T389" s="31">
        <f>IF(OR(G389="",F389=""),"",IFERROR(INDEX(Config!$M$5:$R$16,MATCH(G389,Config!$J$5:$J$16,0),MATCH(F389,Config!$H$5:$H$10,0)),""))</f>
        <v>130</v>
      </c>
      <c r="U389" s="47">
        <f>IF(AND(H389="Realizado",L389&lt;&gt;""),L389/60,0)</f>
        <v>0.666666666666667</v>
      </c>
      <c r="V389" s="47">
        <f>IF(AND(H389="Realizado",OR(L389="",M389="")),1,0)</f>
        <v>0</v>
      </c>
    </row>
    <row r="390">
      <c r="A390" s="43" t="n">
        <v>46212</v>
      </c>
      <c r="B390" s="44" t="n">
        <v>0.6388888888888888</v>
      </c>
      <c r="C390" s="38" t="inlineStr">
        <is>
          <t>Dr. Paulo Andrade</t>
        </is>
      </c>
      <c r="D390" s="38" t="inlineStr">
        <is>
          <t>Sala 2</t>
        </is>
      </c>
      <c r="E390" s="37" t="inlineStr">
        <is>
          <t>Priscila Pinto</t>
        </is>
      </c>
      <c r="F390" s="38" t="inlineStr">
        <is>
          <t>Saúde Total</t>
        </is>
      </c>
      <c r="G390" s="38" t="inlineStr">
        <is>
          <t>Consulta</t>
        </is>
      </c>
      <c r="H390" s="38" t="inlineStr">
        <is>
          <t>Realizado</t>
        </is>
      </c>
      <c r="I390" s="38" t="inlineStr">
        <is>
          <t>Convênio</t>
        </is>
      </c>
      <c r="J390" s="38" t="n"/>
      <c r="K390" s="37" t="n"/>
      <c r="L390" s="39" t="n">
        <v>30</v>
      </c>
      <c r="M390" s="40" t="n">
        <v>120</v>
      </c>
      <c r="N390" s="30">
        <f>IF(A390="","",MONTH(A390))</f>
        <v>7</v>
      </c>
      <c r="O390" s="30">
        <f>IF(A390="","",YEAR(A390))</f>
        <v>2026</v>
      </c>
      <c r="P390" s="30" t="str">
        <f>IF(A390="","",CHOOSE(WEEKDAY(A390,2),"Segunda","Terça","Quarta","Quinta","Sexta","Sábado","Domingo"))</f>
        <v>Quinta</v>
      </c>
      <c r="Q390" s="30" t="str">
        <f>IF(B390="","",IF(B390&lt;TIME(12,0,0),"Manhã",IF(B390&lt;TIME(18,0,0),"Tarde","Noite")))</f>
        <v>Tarde</v>
      </c>
      <c r="R390" s="46">
        <f>IF(AND(H390="Realizado",L390&lt;&gt;"",A390&lt;=Config!$B$9),L390/60,0)</f>
        <v>0.5</v>
      </c>
      <c r="S390" s="45">
        <f>IF(G390="","",IFERROR(INDEX(Config!$K$5:$K$16,MATCH(G390,Config!$J$5:$J$16,0)),""))</f>
        <v>30</v>
      </c>
      <c r="T390" s="31">
        <f>IF(OR(G390="",F390=""),"",IFERROR(INDEX(Config!$M$5:$R$16,MATCH(G390,Config!$J$5:$J$16,0),MATCH(F390,Config!$H$5:$H$10,0)),""))</f>
        <v>120</v>
      </c>
      <c r="U390" s="47">
        <f>IF(AND(H390="Realizado",L390&lt;&gt;""),L390/60,0)</f>
        <v>0.5</v>
      </c>
      <c r="V390" s="47">
        <f>IF(AND(H390="Realizado",OR(L390="",M390="")),1,0)</f>
        <v>0</v>
      </c>
    </row>
    <row r="391">
      <c r="A391" s="43" t="n">
        <v>46212</v>
      </c>
      <c r="B391" s="44" t="n">
        <v>0.6527777777777778</v>
      </c>
      <c r="C391" s="38" t="inlineStr">
        <is>
          <t>Dra. Renata Sousa</t>
        </is>
      </c>
      <c r="D391" s="38" t="inlineStr">
        <is>
          <t>Sala 1</t>
        </is>
      </c>
      <c r="E391" s="37" t="inlineStr">
        <is>
          <t>Rafael Pereira</t>
        </is>
      </c>
      <c r="F391" s="38" t="inlineStr">
        <is>
          <t>Particular</t>
        </is>
      </c>
      <c r="G391" s="38" t="inlineStr">
        <is>
          <t>Avaliação endócrina</t>
        </is>
      </c>
      <c r="H391" s="38" t="inlineStr">
        <is>
          <t>Realizado</t>
        </is>
      </c>
      <c r="I391" s="38" t="inlineStr">
        <is>
          <t>Pix</t>
        </is>
      </c>
      <c r="J391" s="38" t="n"/>
      <c r="K391" s="37" t="n"/>
      <c r="L391" s="39" t="n">
        <v>40</v>
      </c>
      <c r="M391" s="40" t="n">
        <v>400</v>
      </c>
      <c r="N391" s="30">
        <f>IF(A391="","",MONTH(A391))</f>
        <v>7</v>
      </c>
      <c r="O391" s="30">
        <f>IF(A391="","",YEAR(A391))</f>
        <v>2026</v>
      </c>
      <c r="P391" s="30" t="str">
        <f>IF(A391="","",CHOOSE(WEEKDAY(A391,2),"Segunda","Terça","Quarta","Quinta","Sexta","Sábado","Domingo"))</f>
        <v>Quinta</v>
      </c>
      <c r="Q391" s="30" t="str">
        <f>IF(B391="","",IF(B391&lt;TIME(12,0,0),"Manhã",IF(B391&lt;TIME(18,0,0),"Tarde","Noite")))</f>
        <v>Tarde</v>
      </c>
      <c r="R391" s="46">
        <f>IF(AND(H391="Realizado",L391&lt;&gt;"",A391&lt;=Config!$B$9),L391/60,0)</f>
        <v>0.666666666666667</v>
      </c>
      <c r="S391" s="45">
        <f>IF(G391="","",IFERROR(INDEX(Config!$K$5:$K$16,MATCH(G391,Config!$J$5:$J$16,0)),""))</f>
        <v>40</v>
      </c>
      <c r="T391" s="31">
        <f>IF(OR(G391="",F391=""),"",IFERROR(INDEX(Config!$M$5:$R$16,MATCH(G391,Config!$J$5:$J$16,0),MATCH(F391,Config!$H$5:$H$10,0)),""))</f>
        <v>400</v>
      </c>
      <c r="U391" s="47">
        <f>IF(AND(H391="Realizado",L391&lt;&gt;""),L391/60,0)</f>
        <v>0.666666666666667</v>
      </c>
      <c r="V391" s="47">
        <f>IF(AND(H391="Realizado",OR(L391="",M391="")),1,0)</f>
        <v>0</v>
      </c>
    </row>
    <row r="392">
      <c r="A392" s="43" t="n">
        <v>46212</v>
      </c>
      <c r="B392" s="44" t="n">
        <v>0.6597222222222222</v>
      </c>
      <c r="C392" s="38" t="inlineStr">
        <is>
          <t>Dr. Paulo Andrade</t>
        </is>
      </c>
      <c r="D392" s="38" t="inlineStr">
        <is>
          <t>Sala 2</t>
        </is>
      </c>
      <c r="E392" s="37" t="inlineStr">
        <is>
          <t>Larissa Costa</t>
        </is>
      </c>
      <c r="F392" s="38" t="inlineStr">
        <is>
          <t>Particular</t>
        </is>
      </c>
      <c r="G392" s="38" t="inlineStr">
        <is>
          <t>ECG</t>
        </is>
      </c>
      <c r="H392" s="38" t="inlineStr">
        <is>
          <t>Realizado</t>
        </is>
      </c>
      <c r="I392" s="38" t="inlineStr">
        <is>
          <t>Cartão de crédito</t>
        </is>
      </c>
      <c r="J392" s="38" t="n"/>
      <c r="K392" s="37" t="n"/>
      <c r="L392" s="39" t="n">
        <v>20</v>
      </c>
      <c r="M392" s="40" t="n">
        <v>130</v>
      </c>
      <c r="N392" s="30">
        <f>IF(A392="","",MONTH(A392))</f>
        <v>7</v>
      </c>
      <c r="O392" s="30">
        <f>IF(A392="","",YEAR(A392))</f>
        <v>2026</v>
      </c>
      <c r="P392" s="30" t="str">
        <f>IF(A392="","",CHOOSE(WEEKDAY(A392,2),"Segunda","Terça","Quarta","Quinta","Sexta","Sábado","Domingo"))</f>
        <v>Quinta</v>
      </c>
      <c r="Q392" s="30" t="str">
        <f>IF(B392="","",IF(B392&lt;TIME(12,0,0),"Manhã",IF(B392&lt;TIME(18,0,0),"Tarde","Noite")))</f>
        <v>Tarde</v>
      </c>
      <c r="R392" s="46">
        <f>IF(AND(H392="Realizado",L392&lt;&gt;"",A392&lt;=Config!$B$9),L392/60,0)</f>
        <v>0.333333333333333</v>
      </c>
      <c r="S392" s="45">
        <f>IF(G392="","",IFERROR(INDEX(Config!$K$5:$K$16,MATCH(G392,Config!$J$5:$J$16,0)),""))</f>
        <v>20</v>
      </c>
      <c r="T392" s="31">
        <f>IF(OR(G392="",F392=""),"",IFERROR(INDEX(Config!$M$5:$R$16,MATCH(G392,Config!$J$5:$J$16,0),MATCH(F392,Config!$H$5:$H$10,0)),""))</f>
        <v>130</v>
      </c>
      <c r="U392" s="47">
        <f>IF(AND(H392="Realizado",L392&lt;&gt;""),L392/60,0)</f>
        <v>0.333333333333333</v>
      </c>
      <c r="V392" s="47">
        <f>IF(AND(H392="Realizado",OR(L392="",M392="")),1,0)</f>
        <v>0</v>
      </c>
    </row>
    <row r="393">
      <c r="A393" s="43" t="n">
        <v>46212</v>
      </c>
      <c r="B393" s="44" t="n">
        <v>0.6736111111111112</v>
      </c>
      <c r="C393" s="38" t="inlineStr">
        <is>
          <t>Dr. Paulo Andrade</t>
        </is>
      </c>
      <c r="D393" s="38" t="inlineStr">
        <is>
          <t>Sala 2</t>
        </is>
      </c>
      <c r="E393" s="37" t="inlineStr">
        <is>
          <t>Vanessa Moreira</t>
        </is>
      </c>
      <c r="F393" s="38" t="inlineStr">
        <is>
          <t>Saúde Total</t>
        </is>
      </c>
      <c r="G393" s="38" t="inlineStr">
        <is>
          <t>Consulta</t>
        </is>
      </c>
      <c r="H393" s="38" t="inlineStr">
        <is>
          <t>Realizado</t>
        </is>
      </c>
      <c r="I393" s="38" t="inlineStr">
        <is>
          <t>Convênio</t>
        </is>
      </c>
      <c r="J393" s="38" t="n"/>
      <c r="K393" s="37" t="n"/>
      <c r="L393" s="39" t="n">
        <v>30</v>
      </c>
      <c r="M393" s="40" t="n">
        <v>120</v>
      </c>
      <c r="N393" s="30">
        <f>IF(A393="","",MONTH(A393))</f>
        <v>7</v>
      </c>
      <c r="O393" s="30">
        <f>IF(A393="","",YEAR(A393))</f>
        <v>2026</v>
      </c>
      <c r="P393" s="30" t="str">
        <f>IF(A393="","",CHOOSE(WEEKDAY(A393,2),"Segunda","Terça","Quarta","Quinta","Sexta","Sábado","Domingo"))</f>
        <v>Quinta</v>
      </c>
      <c r="Q393" s="30" t="str">
        <f>IF(B393="","",IF(B393&lt;TIME(12,0,0),"Manhã",IF(B393&lt;TIME(18,0,0),"Tarde","Noite")))</f>
        <v>Tarde</v>
      </c>
      <c r="R393" s="46">
        <f>IF(AND(H393="Realizado",L393&lt;&gt;"",A393&lt;=Config!$B$9),L393/60,0)</f>
        <v>0.5</v>
      </c>
      <c r="S393" s="45">
        <f>IF(G393="","",IFERROR(INDEX(Config!$K$5:$K$16,MATCH(G393,Config!$J$5:$J$16,0)),""))</f>
        <v>30</v>
      </c>
      <c r="T393" s="31">
        <f>IF(OR(G393="",F393=""),"",IFERROR(INDEX(Config!$M$5:$R$16,MATCH(G393,Config!$J$5:$J$16,0),MATCH(F393,Config!$H$5:$H$10,0)),""))</f>
        <v>120</v>
      </c>
      <c r="U393" s="47">
        <f>IF(AND(H393="Realizado",L393&lt;&gt;""),L393/60,0)</f>
        <v>0.5</v>
      </c>
      <c r="V393" s="47">
        <f>IF(AND(H393="Realizado",OR(L393="",M393="")),1,0)</f>
        <v>0</v>
      </c>
    </row>
    <row r="394">
      <c r="A394" s="43" t="n">
        <v>46212</v>
      </c>
      <c r="B394" s="44" t="n">
        <v>0.6944444444444444</v>
      </c>
      <c r="C394" s="38" t="inlineStr">
        <is>
          <t>Dr. Paulo Andrade</t>
        </is>
      </c>
      <c r="D394" s="38" t="inlineStr">
        <is>
          <t>Sala 2</t>
        </is>
      </c>
      <c r="E394" s="37" t="inlineStr">
        <is>
          <t>Patrícia Vieira</t>
        </is>
      </c>
      <c r="F394" s="38" t="inlineStr">
        <is>
          <t>Saúde Total</t>
        </is>
      </c>
      <c r="G394" s="38" t="inlineStr">
        <is>
          <t>Consulta</t>
        </is>
      </c>
      <c r="H394" s="38" t="inlineStr">
        <is>
          <t>Realizado</t>
        </is>
      </c>
      <c r="I394" s="38" t="inlineStr">
        <is>
          <t>Convênio</t>
        </is>
      </c>
      <c r="J394" s="38" t="n"/>
      <c r="K394" s="37" t="n"/>
      <c r="L394" s="39" t="n">
        <v>30</v>
      </c>
      <c r="M394" s="40" t="n">
        <v>120</v>
      </c>
      <c r="N394" s="30">
        <f>IF(A394="","",MONTH(A394))</f>
        <v>7</v>
      </c>
      <c r="O394" s="30">
        <f>IF(A394="","",YEAR(A394))</f>
        <v>2026</v>
      </c>
      <c r="P394" s="30" t="str">
        <f>IF(A394="","",CHOOSE(WEEKDAY(A394,2),"Segunda","Terça","Quarta","Quinta","Sexta","Sábado","Domingo"))</f>
        <v>Quinta</v>
      </c>
      <c r="Q394" s="30" t="str">
        <f>IF(B394="","",IF(B394&lt;TIME(12,0,0),"Manhã",IF(B394&lt;TIME(18,0,0),"Tarde","Noite")))</f>
        <v>Tarde</v>
      </c>
      <c r="R394" s="46">
        <f>IF(AND(H394="Realizado",L394&lt;&gt;"",A394&lt;=Config!$B$9),L394/60,0)</f>
        <v>0.5</v>
      </c>
      <c r="S394" s="45">
        <f>IF(G394="","",IFERROR(INDEX(Config!$K$5:$K$16,MATCH(G394,Config!$J$5:$J$16,0)),""))</f>
        <v>30</v>
      </c>
      <c r="T394" s="31">
        <f>IF(OR(G394="",F394=""),"",IFERROR(INDEX(Config!$M$5:$R$16,MATCH(G394,Config!$J$5:$J$16,0),MATCH(F394,Config!$H$5:$H$10,0)),""))</f>
        <v>120</v>
      </c>
      <c r="U394" s="47">
        <f>IF(AND(H394="Realizado",L394&lt;&gt;""),L394/60,0)</f>
        <v>0.5</v>
      </c>
      <c r="V394" s="47">
        <f>IF(AND(H394="Realizado",OR(L394="",M394="")),1,0)</f>
        <v>0</v>
      </c>
    </row>
    <row r="395">
      <c r="A395" s="43" t="n">
        <v>46212</v>
      </c>
      <c r="B395" s="44" t="n">
        <v>0.7152777777777778</v>
      </c>
      <c r="C395" s="38" t="inlineStr">
        <is>
          <t>Dr. Paulo Andrade</t>
        </is>
      </c>
      <c r="D395" s="38" t="inlineStr">
        <is>
          <t>Sala 2</t>
        </is>
      </c>
      <c r="E395" s="37" t="inlineStr">
        <is>
          <t>Fábio Correia</t>
        </is>
      </c>
      <c r="F395" s="38" t="inlineStr">
        <is>
          <t>Particular</t>
        </is>
      </c>
      <c r="G395" s="38" t="inlineStr">
        <is>
          <t>Consulta</t>
        </is>
      </c>
      <c r="H395" s="38" t="inlineStr">
        <is>
          <t>Realizado</t>
        </is>
      </c>
      <c r="I395" s="38" t="inlineStr">
        <is>
          <t>Cartão de crédito</t>
        </is>
      </c>
      <c r="J395" s="38" t="n"/>
      <c r="K395" s="37" t="n"/>
      <c r="L395" s="39" t="n">
        <v>30</v>
      </c>
      <c r="M395" s="40" t="n">
        <v>380</v>
      </c>
      <c r="N395" s="30">
        <f>IF(A395="","",MONTH(A395))</f>
        <v>7</v>
      </c>
      <c r="O395" s="30">
        <f>IF(A395="","",YEAR(A395))</f>
        <v>2026</v>
      </c>
      <c r="P395" s="30" t="str">
        <f>IF(A395="","",CHOOSE(WEEKDAY(A395,2),"Segunda","Terça","Quarta","Quinta","Sexta","Sábado","Domingo"))</f>
        <v>Quinta</v>
      </c>
      <c r="Q395" s="30" t="str">
        <f>IF(B395="","",IF(B395&lt;TIME(12,0,0),"Manhã",IF(B395&lt;TIME(18,0,0),"Tarde","Noite")))</f>
        <v>Tarde</v>
      </c>
      <c r="R395" s="46">
        <f>IF(AND(H395="Realizado",L395&lt;&gt;"",A395&lt;=Config!$B$9),L395/60,0)</f>
        <v>0.5</v>
      </c>
      <c r="S395" s="45">
        <f>IF(G395="","",IFERROR(INDEX(Config!$K$5:$K$16,MATCH(G395,Config!$J$5:$J$16,0)),""))</f>
        <v>30</v>
      </c>
      <c r="T395" s="31">
        <f>IF(OR(G395="",F395=""),"",IFERROR(INDEX(Config!$M$5:$R$16,MATCH(G395,Config!$J$5:$J$16,0),MATCH(F395,Config!$H$5:$H$10,0)),""))</f>
        <v>380</v>
      </c>
      <c r="U395" s="47">
        <f>IF(AND(H395="Realizado",L395&lt;&gt;""),L395/60,0)</f>
        <v>0.5</v>
      </c>
      <c r="V395" s="47">
        <f>IF(AND(H395="Realizado",OR(L395="",M395="")),1,0)</f>
        <v>0</v>
      </c>
    </row>
    <row r="396">
      <c r="A396" s="43" t="n">
        <v>46212</v>
      </c>
      <c r="B396" s="44" t="n">
        <v>0.7222222222222222</v>
      </c>
      <c r="C396" s="38" t="inlineStr">
        <is>
          <t>Dra. Renata Sousa</t>
        </is>
      </c>
      <c r="D396" s="38" t="inlineStr">
        <is>
          <t>Sala 1</t>
        </is>
      </c>
      <c r="E396" s="37" t="inlineStr">
        <is>
          <t>Gisele Lopes</t>
        </is>
      </c>
      <c r="F396" s="38" t="inlineStr">
        <is>
          <t>Saúde Total</t>
        </is>
      </c>
      <c r="G396" s="38" t="inlineStr">
        <is>
          <t>Avaliação endócrina</t>
        </is>
      </c>
      <c r="H396" s="38" t="inlineStr">
        <is>
          <t>Realizado</t>
        </is>
      </c>
      <c r="I396" s="38" t="inlineStr">
        <is>
          <t>Convênio</t>
        </is>
      </c>
      <c r="J396" s="38" t="n"/>
      <c r="K396" s="37" t="n"/>
      <c r="L396" s="39" t="n">
        <v>40</v>
      </c>
      <c r="M396" s="40" t="n">
        <v>130</v>
      </c>
      <c r="N396" s="30">
        <f>IF(A396="","",MONTH(A396))</f>
        <v>7</v>
      </c>
      <c r="O396" s="30">
        <f>IF(A396="","",YEAR(A396))</f>
        <v>2026</v>
      </c>
      <c r="P396" s="30" t="str">
        <f>IF(A396="","",CHOOSE(WEEKDAY(A396,2),"Segunda","Terça","Quarta","Quinta","Sexta","Sábado","Domingo"))</f>
        <v>Quinta</v>
      </c>
      <c r="Q396" s="30" t="str">
        <f>IF(B396="","",IF(B396&lt;TIME(12,0,0),"Manhã",IF(B396&lt;TIME(18,0,0),"Tarde","Noite")))</f>
        <v>Tarde</v>
      </c>
      <c r="R396" s="46">
        <f>IF(AND(H396="Realizado",L396&lt;&gt;"",A396&lt;=Config!$B$9),L396/60,0)</f>
        <v>0.666666666666667</v>
      </c>
      <c r="S396" s="45">
        <f>IF(G396="","",IFERROR(INDEX(Config!$K$5:$K$16,MATCH(G396,Config!$J$5:$J$16,0)),""))</f>
        <v>40</v>
      </c>
      <c r="T396" s="31">
        <f>IF(OR(G396="",F396=""),"",IFERROR(INDEX(Config!$M$5:$R$16,MATCH(G396,Config!$J$5:$J$16,0),MATCH(F396,Config!$H$5:$H$10,0)),""))</f>
        <v>130</v>
      </c>
      <c r="U396" s="47">
        <f>IF(AND(H396="Realizado",L396&lt;&gt;""),L396/60,0)</f>
        <v>0.666666666666667</v>
      </c>
      <c r="V396" s="47">
        <f>IF(AND(H396="Realizado",OR(L396="",M396="")),1,0)</f>
        <v>0</v>
      </c>
    </row>
    <row r="397">
      <c r="A397" s="43" t="n">
        <v>46212</v>
      </c>
      <c r="B397" s="44" t="n">
        <v>0.7361111111111112</v>
      </c>
      <c r="C397" s="38" t="inlineStr">
        <is>
          <t>Dr. Paulo Andrade</t>
        </is>
      </c>
      <c r="D397" s="38" t="inlineStr">
        <is>
          <t>Sala 2</t>
        </is>
      </c>
      <c r="E397" s="37" t="inlineStr">
        <is>
          <t>Gustavo Ferreira</t>
        </is>
      </c>
      <c r="F397" s="38" t="inlineStr">
        <is>
          <t>Particular</t>
        </is>
      </c>
      <c r="G397" s="38" t="inlineStr">
        <is>
          <t>Holter</t>
        </is>
      </c>
      <c r="H397" s="38" t="inlineStr">
        <is>
          <t>Realizado</t>
        </is>
      </c>
      <c r="I397" s="38" t="inlineStr">
        <is>
          <t>Pix</t>
        </is>
      </c>
      <c r="J397" s="38" t="n"/>
      <c r="K397" s="37" t="n"/>
      <c r="L397" s="39" t="n">
        <v>20</v>
      </c>
      <c r="M397" s="40" t="n">
        <v>350</v>
      </c>
      <c r="N397" s="30">
        <f>IF(A397="","",MONTH(A397))</f>
        <v>7</v>
      </c>
      <c r="O397" s="30">
        <f>IF(A397="","",YEAR(A397))</f>
        <v>2026</v>
      </c>
      <c r="P397" s="30" t="str">
        <f>IF(A397="","",CHOOSE(WEEKDAY(A397,2),"Segunda","Terça","Quarta","Quinta","Sexta","Sábado","Domingo"))</f>
        <v>Quinta</v>
      </c>
      <c r="Q397" s="30" t="str">
        <f>IF(B397="","",IF(B397&lt;TIME(12,0,0),"Manhã",IF(B397&lt;TIME(18,0,0),"Tarde","Noite")))</f>
        <v>Tarde</v>
      </c>
      <c r="R397" s="46">
        <f>IF(AND(H397="Realizado",L397&lt;&gt;"",A397&lt;=Config!$B$9),L397/60,0)</f>
        <v>0.333333333333333</v>
      </c>
      <c r="S397" s="45">
        <f>IF(G397="","",IFERROR(INDEX(Config!$K$5:$K$16,MATCH(G397,Config!$J$5:$J$16,0)),""))</f>
        <v>20</v>
      </c>
      <c r="T397" s="31">
        <f>IF(OR(G397="",F397=""),"",IFERROR(INDEX(Config!$M$5:$R$16,MATCH(G397,Config!$J$5:$J$16,0),MATCH(F397,Config!$H$5:$H$10,0)),""))</f>
        <v>350</v>
      </c>
      <c r="U397" s="47">
        <f>IF(AND(H397="Realizado",L397&lt;&gt;""),L397/60,0)</f>
        <v>0.333333333333333</v>
      </c>
      <c r="V397" s="47">
        <f>IF(AND(H397="Realizado",OR(L397="",M397="")),1,0)</f>
        <v>0</v>
      </c>
    </row>
    <row r="398">
      <c r="A398" s="43" t="n">
        <v>46213</v>
      </c>
      <c r="B398" s="44" t="n">
        <v>0.3333333333333333</v>
      </c>
      <c r="C398" s="38" t="inlineStr">
        <is>
          <t>Dr. Paulo Andrade</t>
        </is>
      </c>
      <c r="D398" s="38" t="inlineStr">
        <is>
          <t>Sala 2</t>
        </is>
      </c>
      <c r="E398" s="37" t="inlineStr">
        <is>
          <t>Débora Machado</t>
        </is>
      </c>
      <c r="F398" s="38" t="inlineStr">
        <is>
          <t>Saúde Total</t>
        </is>
      </c>
      <c r="G398" s="38" t="inlineStr">
        <is>
          <t>ECG</t>
        </is>
      </c>
      <c r="H398" s="38" t="inlineStr">
        <is>
          <t>Realizado</t>
        </is>
      </c>
      <c r="I398" s="38" t="inlineStr">
        <is>
          <t>Convênio</t>
        </is>
      </c>
      <c r="J398" s="38" t="n"/>
      <c r="K398" s="37" t="n"/>
      <c r="L398" s="39" t="n">
        <v>20</v>
      </c>
      <c r="M398" s="40" t="n">
        <v>40</v>
      </c>
      <c r="N398" s="30">
        <f>IF(A398="","",MONTH(A398))</f>
        <v>7</v>
      </c>
      <c r="O398" s="30">
        <f>IF(A398="","",YEAR(A398))</f>
        <v>2026</v>
      </c>
      <c r="P398" s="30" t="str">
        <f>IF(A398="","",CHOOSE(WEEKDAY(A398,2),"Segunda","Terça","Quarta","Quinta","Sexta","Sábado","Domingo"))</f>
        <v>Sexta</v>
      </c>
      <c r="Q398" s="30" t="str">
        <f>IF(B398="","",IF(B398&lt;TIME(12,0,0),"Manhã",IF(B398&lt;TIME(18,0,0),"Tarde","Noite")))</f>
        <v>Manhã</v>
      </c>
      <c r="R398" s="46">
        <f>IF(AND(H398="Realizado",L398&lt;&gt;"",A398&lt;=Config!$B$9),L398/60,0)</f>
        <v>0.333333333333333</v>
      </c>
      <c r="S398" s="45">
        <f>IF(G398="","",IFERROR(INDEX(Config!$K$5:$K$16,MATCH(G398,Config!$J$5:$J$16,0)),""))</f>
        <v>20</v>
      </c>
      <c r="T398" s="31">
        <f>IF(OR(G398="",F398=""),"",IFERROR(INDEX(Config!$M$5:$R$16,MATCH(G398,Config!$J$5:$J$16,0),MATCH(F398,Config!$H$5:$H$10,0)),""))</f>
        <v>40</v>
      </c>
      <c r="U398" s="47">
        <f>IF(AND(H398="Realizado",L398&lt;&gt;""),L398/60,0)</f>
        <v>0.333333333333333</v>
      </c>
      <c r="V398" s="47">
        <f>IF(AND(H398="Realizado",OR(L398="",M398="")),1,0)</f>
        <v>0</v>
      </c>
    </row>
    <row r="399">
      <c r="A399" s="43" t="n">
        <v>46213</v>
      </c>
      <c r="B399" s="44" t="n">
        <v>0.3472222222222222</v>
      </c>
      <c r="C399" s="38" t="inlineStr">
        <is>
          <t>Dr. Paulo Andrade</t>
        </is>
      </c>
      <c r="D399" s="38" t="inlineStr">
        <is>
          <t>Sala 2</t>
        </is>
      </c>
      <c r="E399" s="37" t="inlineStr">
        <is>
          <t>Patrícia Correia</t>
        </is>
      </c>
      <c r="F399" s="38" t="inlineStr">
        <is>
          <t>Saúde Total</t>
        </is>
      </c>
      <c r="G399" s="38" t="inlineStr">
        <is>
          <t>Consulta</t>
        </is>
      </c>
      <c r="H399" s="38" t="inlineStr">
        <is>
          <t>Realizado</t>
        </is>
      </c>
      <c r="I399" s="38" t="inlineStr">
        <is>
          <t>Convênio</t>
        </is>
      </c>
      <c r="J399" s="38" t="n"/>
      <c r="K399" s="37" t="n"/>
      <c r="L399" s="39" t="n">
        <v>30</v>
      </c>
      <c r="M399" s="40" t="n">
        <v>120</v>
      </c>
      <c r="N399" s="30">
        <f>IF(A399="","",MONTH(A399))</f>
        <v>7</v>
      </c>
      <c r="O399" s="30">
        <f>IF(A399="","",YEAR(A399))</f>
        <v>2026</v>
      </c>
      <c r="P399" s="30" t="str">
        <f>IF(A399="","",CHOOSE(WEEKDAY(A399,2),"Segunda","Terça","Quarta","Quinta","Sexta","Sábado","Domingo"))</f>
        <v>Sexta</v>
      </c>
      <c r="Q399" s="30" t="str">
        <f>IF(B399="","",IF(B399&lt;TIME(12,0,0),"Manhã",IF(B399&lt;TIME(18,0,0),"Tarde","Noite")))</f>
        <v>Manhã</v>
      </c>
      <c r="R399" s="46">
        <f>IF(AND(H399="Realizado",L399&lt;&gt;"",A399&lt;=Config!$B$9),L399/60,0)</f>
        <v>0.5</v>
      </c>
      <c r="S399" s="45">
        <f>IF(G399="","",IFERROR(INDEX(Config!$K$5:$K$16,MATCH(G399,Config!$J$5:$J$16,0)),""))</f>
        <v>30</v>
      </c>
      <c r="T399" s="31">
        <f>IF(OR(G399="",F399=""),"",IFERROR(INDEX(Config!$M$5:$R$16,MATCH(G399,Config!$J$5:$J$16,0),MATCH(F399,Config!$H$5:$H$10,0)),""))</f>
        <v>120</v>
      </c>
      <c r="U399" s="47">
        <f>IF(AND(H399="Realizado",L399&lt;&gt;""),L399/60,0)</f>
        <v>0.5</v>
      </c>
      <c r="V399" s="47">
        <f>IF(AND(H399="Realizado",OR(L399="",M399="")),1,0)</f>
        <v>0</v>
      </c>
    </row>
    <row r="400">
      <c r="A400" s="43" t="n">
        <v>46213</v>
      </c>
      <c r="B400" s="44" t="n">
        <v>0.3680555555555556</v>
      </c>
      <c r="C400" s="38" t="inlineStr">
        <is>
          <t>Dr. Paulo Andrade</t>
        </is>
      </c>
      <c r="D400" s="38" t="inlineStr">
        <is>
          <t>Sala 2</t>
        </is>
      </c>
      <c r="E400" s="37" t="inlineStr">
        <is>
          <t>Mônica Batista</t>
        </is>
      </c>
      <c r="F400" s="38" t="inlineStr">
        <is>
          <t>MediPlan</t>
        </is>
      </c>
      <c r="G400" s="38" t="inlineStr">
        <is>
          <t>ECG</t>
        </is>
      </c>
      <c r="H400" s="38" t="inlineStr">
        <is>
          <t>Realizado</t>
        </is>
      </c>
      <c r="I400" s="38" t="inlineStr">
        <is>
          <t>Convênio</t>
        </is>
      </c>
      <c r="J400" s="38" t="n"/>
      <c r="K400" s="37" t="n"/>
      <c r="L400" s="39" t="n">
        <v>20</v>
      </c>
      <c r="M400" s="40" t="n">
        <v>35</v>
      </c>
      <c r="N400" s="30">
        <f>IF(A400="","",MONTH(A400))</f>
        <v>7</v>
      </c>
      <c r="O400" s="30">
        <f>IF(A400="","",YEAR(A400))</f>
        <v>2026</v>
      </c>
      <c r="P400" s="30" t="str">
        <f>IF(A400="","",CHOOSE(WEEKDAY(A400,2),"Segunda","Terça","Quarta","Quinta","Sexta","Sábado","Domingo"))</f>
        <v>Sexta</v>
      </c>
      <c r="Q400" s="30" t="str">
        <f>IF(B400="","",IF(B400&lt;TIME(12,0,0),"Manhã",IF(B400&lt;TIME(18,0,0),"Tarde","Noite")))</f>
        <v>Manhã</v>
      </c>
      <c r="R400" s="46">
        <f>IF(AND(H400="Realizado",L400&lt;&gt;"",A400&lt;=Config!$B$9),L400/60,0)</f>
        <v>0.333333333333333</v>
      </c>
      <c r="S400" s="45">
        <f>IF(G400="","",IFERROR(INDEX(Config!$K$5:$K$16,MATCH(G400,Config!$J$5:$J$16,0)),""))</f>
        <v>20</v>
      </c>
      <c r="T400" s="31">
        <f>IF(OR(G400="",F400=""),"",IFERROR(INDEX(Config!$M$5:$R$16,MATCH(G400,Config!$J$5:$J$16,0),MATCH(F400,Config!$H$5:$H$10,0)),""))</f>
        <v>35</v>
      </c>
      <c r="U400" s="47">
        <f>IF(AND(H400="Realizado",L400&lt;&gt;""),L400/60,0)</f>
        <v>0.333333333333333</v>
      </c>
      <c r="V400" s="47">
        <f>IF(AND(H400="Realizado",OR(L400="",M400="")),1,0)</f>
        <v>0</v>
      </c>
    </row>
    <row r="401">
      <c r="A401" s="43" t="n">
        <v>46213</v>
      </c>
      <c r="B401" s="44" t="n">
        <v>0.3819444444444444</v>
      </c>
      <c r="C401" s="38" t="inlineStr">
        <is>
          <t>Dr. Paulo Andrade</t>
        </is>
      </c>
      <c r="D401" s="38" t="inlineStr">
        <is>
          <t>Sala 2</t>
        </is>
      </c>
      <c r="E401" s="37" t="inlineStr">
        <is>
          <t>Mateus Dias</t>
        </is>
      </c>
      <c r="F401" s="38" t="inlineStr">
        <is>
          <t>Saúde Total</t>
        </is>
      </c>
      <c r="G401" s="38" t="inlineStr">
        <is>
          <t>Consulta</t>
        </is>
      </c>
      <c r="H401" s="38" t="inlineStr">
        <is>
          <t>Realizado</t>
        </is>
      </c>
      <c r="I401" s="38" t="inlineStr">
        <is>
          <t>Convênio</t>
        </is>
      </c>
      <c r="J401" s="38" t="n"/>
      <c r="K401" s="37" t="n"/>
      <c r="L401" s="39" t="n">
        <v>30</v>
      </c>
      <c r="M401" s="40" t="n">
        <v>120</v>
      </c>
      <c r="N401" s="30">
        <f>IF(A401="","",MONTH(A401))</f>
        <v>7</v>
      </c>
      <c r="O401" s="30">
        <f>IF(A401="","",YEAR(A401))</f>
        <v>2026</v>
      </c>
      <c r="P401" s="30" t="str">
        <f>IF(A401="","",CHOOSE(WEEKDAY(A401,2),"Segunda","Terça","Quarta","Quinta","Sexta","Sábado","Domingo"))</f>
        <v>Sexta</v>
      </c>
      <c r="Q401" s="30" t="str">
        <f>IF(B401="","",IF(B401&lt;TIME(12,0,0),"Manhã",IF(B401&lt;TIME(18,0,0),"Tarde","Noite")))</f>
        <v>Manhã</v>
      </c>
      <c r="R401" s="46">
        <f>IF(AND(H401="Realizado",L401&lt;&gt;"",A401&lt;=Config!$B$9),L401/60,0)</f>
        <v>0.5</v>
      </c>
      <c r="S401" s="45">
        <f>IF(G401="","",IFERROR(INDEX(Config!$K$5:$K$16,MATCH(G401,Config!$J$5:$J$16,0)),""))</f>
        <v>30</v>
      </c>
      <c r="T401" s="31">
        <f>IF(OR(G401="",F401=""),"",IFERROR(INDEX(Config!$M$5:$R$16,MATCH(G401,Config!$J$5:$J$16,0),MATCH(F401,Config!$H$5:$H$10,0)),""))</f>
        <v>120</v>
      </c>
      <c r="U401" s="47">
        <f>IF(AND(H401="Realizado",L401&lt;&gt;""),L401/60,0)</f>
        <v>0.5</v>
      </c>
      <c r="V401" s="47">
        <f>IF(AND(H401="Realizado",OR(L401="",M401="")),1,0)</f>
        <v>0</v>
      </c>
    </row>
    <row r="402">
      <c r="A402" s="43" t="n">
        <v>46213</v>
      </c>
      <c r="B402" s="44" t="n">
        <v>0.4027777777777778</v>
      </c>
      <c r="C402" s="38" t="inlineStr">
        <is>
          <t>Dr. Paulo Andrade</t>
        </is>
      </c>
      <c r="D402" s="38" t="inlineStr">
        <is>
          <t>Sala 2</t>
        </is>
      </c>
      <c r="E402" s="37" t="inlineStr">
        <is>
          <t>Wagner Costa</t>
        </is>
      </c>
      <c r="F402" s="38" t="inlineStr">
        <is>
          <t>Particular</t>
        </is>
      </c>
      <c r="G402" s="38" t="inlineStr">
        <is>
          <t>Consulta</t>
        </is>
      </c>
      <c r="H402" s="38" t="inlineStr">
        <is>
          <t>Realizado</t>
        </is>
      </c>
      <c r="I402" s="38" t="inlineStr">
        <is>
          <t>Cartão de débito</t>
        </is>
      </c>
      <c r="J402" s="38" t="n"/>
      <c r="K402" s="37" t="n"/>
      <c r="L402" s="39" t="n">
        <v>30</v>
      </c>
      <c r="M402" s="40" t="n">
        <v>380</v>
      </c>
      <c r="N402" s="30">
        <f>IF(A402="","",MONTH(A402))</f>
        <v>7</v>
      </c>
      <c r="O402" s="30">
        <f>IF(A402="","",YEAR(A402))</f>
        <v>2026</v>
      </c>
      <c r="P402" s="30" t="str">
        <f>IF(A402="","",CHOOSE(WEEKDAY(A402,2),"Segunda","Terça","Quarta","Quinta","Sexta","Sábado","Domingo"))</f>
        <v>Sexta</v>
      </c>
      <c r="Q402" s="30" t="str">
        <f>IF(B402="","",IF(B402&lt;TIME(12,0,0),"Manhã",IF(B402&lt;TIME(18,0,0),"Tarde","Noite")))</f>
        <v>Manhã</v>
      </c>
      <c r="R402" s="46">
        <f>IF(AND(H402="Realizado",L402&lt;&gt;"",A402&lt;=Config!$B$9),L402/60,0)</f>
        <v>0.5</v>
      </c>
      <c r="S402" s="45">
        <f>IF(G402="","",IFERROR(INDEX(Config!$K$5:$K$16,MATCH(G402,Config!$J$5:$J$16,0)),""))</f>
        <v>30</v>
      </c>
      <c r="T402" s="31">
        <f>IF(OR(G402="",F402=""),"",IFERROR(INDEX(Config!$M$5:$R$16,MATCH(G402,Config!$J$5:$J$16,0),MATCH(F402,Config!$H$5:$H$10,0)),""))</f>
        <v>380</v>
      </c>
      <c r="U402" s="47">
        <f>IF(AND(H402="Realizado",L402&lt;&gt;""),L402/60,0)</f>
        <v>0.5</v>
      </c>
      <c r="V402" s="47">
        <f>IF(AND(H402="Realizado",OR(L402="",M402="")),1,0)</f>
        <v>0</v>
      </c>
    </row>
    <row r="403">
      <c r="A403" s="43" t="n">
        <v>46213</v>
      </c>
      <c r="B403" s="44" t="n">
        <v>0.4236111111111111</v>
      </c>
      <c r="C403" s="38" t="inlineStr">
        <is>
          <t>Dr. Paulo Andrade</t>
        </is>
      </c>
      <c r="D403" s="38" t="inlineStr">
        <is>
          <t>Sala 2</t>
        </is>
      </c>
      <c r="E403" s="37" t="inlineStr">
        <is>
          <t>Helena Ribeiro</t>
        </is>
      </c>
      <c r="F403" s="38" t="inlineStr">
        <is>
          <t>MediPlan</t>
        </is>
      </c>
      <c r="G403" s="38" t="inlineStr">
        <is>
          <t>Consulta</t>
        </is>
      </c>
      <c r="H403" s="38" t="inlineStr">
        <is>
          <t>Realizado</t>
        </is>
      </c>
      <c r="I403" s="38" t="inlineStr">
        <is>
          <t>Convênio</t>
        </is>
      </c>
      <c r="J403" s="38" t="n"/>
      <c r="K403" s="37" t="n"/>
      <c r="L403" s="39" t="n">
        <v>30</v>
      </c>
      <c r="M403" s="40" t="n">
        <v>100</v>
      </c>
      <c r="N403" s="30">
        <f>IF(A403="","",MONTH(A403))</f>
        <v>7</v>
      </c>
      <c r="O403" s="30">
        <f>IF(A403="","",YEAR(A403))</f>
        <v>2026</v>
      </c>
      <c r="P403" s="30" t="str">
        <f>IF(A403="","",CHOOSE(WEEKDAY(A403,2),"Segunda","Terça","Quarta","Quinta","Sexta","Sábado","Domingo"))</f>
        <v>Sexta</v>
      </c>
      <c r="Q403" s="30" t="str">
        <f>IF(B403="","",IF(B403&lt;TIME(12,0,0),"Manhã",IF(B403&lt;TIME(18,0,0),"Tarde","Noite")))</f>
        <v>Manhã</v>
      </c>
      <c r="R403" s="46">
        <f>IF(AND(H403="Realizado",L403&lt;&gt;"",A403&lt;=Config!$B$9),L403/60,0)</f>
        <v>0.5</v>
      </c>
      <c r="S403" s="45">
        <f>IF(G403="","",IFERROR(INDEX(Config!$K$5:$K$16,MATCH(G403,Config!$J$5:$J$16,0)),""))</f>
        <v>30</v>
      </c>
      <c r="T403" s="31">
        <f>IF(OR(G403="",F403=""),"",IFERROR(INDEX(Config!$M$5:$R$16,MATCH(G403,Config!$J$5:$J$16,0),MATCH(F403,Config!$H$5:$H$10,0)),""))</f>
        <v>100</v>
      </c>
      <c r="U403" s="47">
        <f>IF(AND(H403="Realizado",L403&lt;&gt;""),L403/60,0)</f>
        <v>0.5</v>
      </c>
      <c r="V403" s="47">
        <f>IF(AND(H403="Realizado",OR(L403="",M403="")),1,0)</f>
        <v>0</v>
      </c>
    </row>
    <row r="404">
      <c r="A404" s="43" t="n">
        <v>46213</v>
      </c>
      <c r="B404" s="44" t="n">
        <v>0.4444444444444444</v>
      </c>
      <c r="C404" s="38" t="inlineStr">
        <is>
          <t>Dr. Paulo Andrade</t>
        </is>
      </c>
      <c r="D404" s="38" t="inlineStr">
        <is>
          <t>Sala 2</t>
        </is>
      </c>
      <c r="E404" s="37" t="inlineStr">
        <is>
          <t>Sandra Cardoso</t>
        </is>
      </c>
      <c r="F404" s="38" t="inlineStr">
        <is>
          <t>Saúde Total</t>
        </is>
      </c>
      <c r="G404" s="38" t="inlineStr">
        <is>
          <t>Consulta</t>
        </is>
      </c>
      <c r="H404" s="38" t="inlineStr">
        <is>
          <t>Remarcado</t>
        </is>
      </c>
      <c r="I404" s="38" t="n"/>
      <c r="J404" s="38" t="n"/>
      <c r="K404" s="37" t="inlineStr">
        <is>
          <t>Paciente pediu outra data</t>
        </is>
      </c>
      <c r="L404" s="39" t="n">
        <v>30</v>
      </c>
      <c r="M404" s="40" t="n">
        <v>120</v>
      </c>
      <c r="N404" s="30">
        <f>IF(A404="","",MONTH(A404))</f>
        <v>7</v>
      </c>
      <c r="O404" s="30">
        <f>IF(A404="","",YEAR(A404))</f>
        <v>2026</v>
      </c>
      <c r="P404" s="30" t="str">
        <f>IF(A404="","",CHOOSE(WEEKDAY(A404,2),"Segunda","Terça","Quarta","Quinta","Sexta","Sábado","Domingo"))</f>
        <v>Sexta</v>
      </c>
      <c r="Q404" s="30" t="str">
        <f>IF(B404="","",IF(B404&lt;TIME(12,0,0),"Manhã",IF(B404&lt;TIME(18,0,0),"Tarde","Noite")))</f>
        <v>Manhã</v>
      </c>
      <c r="R404" s="46">
        <f>IF(AND(H404="Realizado",L404&lt;&gt;"",A404&lt;=Config!$B$9),L404/60,0)</f>
        <v>0</v>
      </c>
      <c r="S404" s="45">
        <f>IF(G404="","",IFERROR(INDEX(Config!$K$5:$K$16,MATCH(G404,Config!$J$5:$J$16,0)),""))</f>
        <v>30</v>
      </c>
      <c r="T404" s="31">
        <f>IF(OR(G404="",F404=""),"",IFERROR(INDEX(Config!$M$5:$R$16,MATCH(G404,Config!$J$5:$J$16,0),MATCH(F404,Config!$H$5:$H$10,0)),""))</f>
        <v>120</v>
      </c>
      <c r="U404" s="47">
        <f>IF(AND(H404="Realizado",L404&lt;&gt;""),L404/60,0)</f>
        <v>0</v>
      </c>
      <c r="V404" s="47">
        <f>IF(AND(H404="Realizado",OR(L404="",M404="")),1,0)</f>
        <v>0</v>
      </c>
    </row>
    <row r="405">
      <c r="A405" s="43" t="n">
        <v>46213</v>
      </c>
      <c r="B405" s="44" t="n">
        <v>0.4652777777777778</v>
      </c>
      <c r="C405" s="38" t="inlineStr">
        <is>
          <t>Dr. Paulo Andrade</t>
        </is>
      </c>
      <c r="D405" s="38" t="inlineStr">
        <is>
          <t>Sala 2</t>
        </is>
      </c>
      <c r="E405" s="37" t="inlineStr">
        <is>
          <t>Sandra Cardoso</t>
        </is>
      </c>
      <c r="F405" s="38" t="inlineStr">
        <is>
          <t>Saúde Total</t>
        </is>
      </c>
      <c r="G405" s="38" t="inlineStr">
        <is>
          <t>Consulta</t>
        </is>
      </c>
      <c r="H405" s="38" t="inlineStr">
        <is>
          <t>Realizado</t>
        </is>
      </c>
      <c r="I405" s="38" t="inlineStr">
        <is>
          <t>Convênio</t>
        </is>
      </c>
      <c r="J405" s="38" t="n"/>
      <c r="K405" s="37" t="n"/>
      <c r="L405" s="39" t="n">
        <v>30</v>
      </c>
      <c r="M405" s="40" t="n">
        <v>120</v>
      </c>
      <c r="N405" s="30">
        <f>IF(A405="","",MONTH(A405))</f>
        <v>7</v>
      </c>
      <c r="O405" s="30">
        <f>IF(A405="","",YEAR(A405))</f>
        <v>2026</v>
      </c>
      <c r="P405" s="30" t="str">
        <f>IF(A405="","",CHOOSE(WEEKDAY(A405,2),"Segunda","Terça","Quarta","Quinta","Sexta","Sábado","Domingo"))</f>
        <v>Sexta</v>
      </c>
      <c r="Q405" s="30" t="str">
        <f>IF(B405="","",IF(B405&lt;TIME(12,0,0),"Manhã",IF(B405&lt;TIME(18,0,0),"Tarde","Noite")))</f>
        <v>Manhã</v>
      </c>
      <c r="R405" s="46">
        <f>IF(AND(H405="Realizado",L405&lt;&gt;"",A405&lt;=Config!$B$9),L405/60,0)</f>
        <v>0.5</v>
      </c>
      <c r="S405" s="45">
        <f>IF(G405="","",IFERROR(INDEX(Config!$K$5:$K$16,MATCH(G405,Config!$J$5:$J$16,0)),""))</f>
        <v>30</v>
      </c>
      <c r="T405" s="31">
        <f>IF(OR(G405="",F405=""),"",IFERROR(INDEX(Config!$M$5:$R$16,MATCH(G405,Config!$J$5:$J$16,0),MATCH(F405,Config!$H$5:$H$10,0)),""))</f>
        <v>120</v>
      </c>
      <c r="U405" s="47">
        <f>IF(AND(H405="Realizado",L405&lt;&gt;""),L405/60,0)</f>
        <v>0.5</v>
      </c>
      <c r="V405" s="47">
        <f>IF(AND(H405="Realizado",OR(L405="",M405="")),1,0)</f>
        <v>0</v>
      </c>
    </row>
    <row r="406">
      <c r="A406" s="43" t="n">
        <v>46213</v>
      </c>
      <c r="B406" s="44" t="n">
        <v>0.4861111111111111</v>
      </c>
      <c r="C406" s="38" t="inlineStr">
        <is>
          <t>Dr. Paulo Andrade</t>
        </is>
      </c>
      <c r="D406" s="38" t="inlineStr">
        <is>
          <t>Sala 2</t>
        </is>
      </c>
      <c r="E406" s="37" t="inlineStr">
        <is>
          <t>Natália Xavier</t>
        </is>
      </c>
      <c r="F406" s="38" t="inlineStr">
        <is>
          <t>MediPlan</t>
        </is>
      </c>
      <c r="G406" s="38" t="inlineStr">
        <is>
          <t>Consulta</t>
        </is>
      </c>
      <c r="H406" s="38" t="inlineStr">
        <is>
          <t>Realizado</t>
        </is>
      </c>
      <c r="I406" s="38" t="inlineStr">
        <is>
          <t>Convênio</t>
        </is>
      </c>
      <c r="J406" s="38" t="n"/>
      <c r="K406" s="37" t="n"/>
      <c r="L406" s="39" t="n">
        <v>30</v>
      </c>
      <c r="M406" s="40" t="n">
        <v>100</v>
      </c>
      <c r="N406" s="30">
        <f>IF(A406="","",MONTH(A406))</f>
        <v>7</v>
      </c>
      <c r="O406" s="30">
        <f>IF(A406="","",YEAR(A406))</f>
        <v>2026</v>
      </c>
      <c r="P406" s="30" t="str">
        <f>IF(A406="","",CHOOSE(WEEKDAY(A406,2),"Segunda","Terça","Quarta","Quinta","Sexta","Sábado","Domingo"))</f>
        <v>Sexta</v>
      </c>
      <c r="Q406" s="30" t="str">
        <f>IF(B406="","",IF(B406&lt;TIME(12,0,0),"Manhã",IF(B406&lt;TIME(18,0,0),"Tarde","Noite")))</f>
        <v>Manhã</v>
      </c>
      <c r="R406" s="46">
        <f>IF(AND(H406="Realizado",L406&lt;&gt;"",A406&lt;=Config!$B$9),L406/60,0)</f>
        <v>0.5</v>
      </c>
      <c r="S406" s="45">
        <f>IF(G406="","",IFERROR(INDEX(Config!$K$5:$K$16,MATCH(G406,Config!$J$5:$J$16,0)),""))</f>
        <v>30</v>
      </c>
      <c r="T406" s="31">
        <f>IF(OR(G406="",F406=""),"",IFERROR(INDEX(Config!$M$5:$R$16,MATCH(G406,Config!$J$5:$J$16,0),MATCH(F406,Config!$H$5:$H$10,0)),""))</f>
        <v>100</v>
      </c>
      <c r="U406" s="47">
        <f>IF(AND(H406="Realizado",L406&lt;&gt;""),L406/60,0)</f>
        <v>0.5</v>
      </c>
      <c r="V406" s="47">
        <f>IF(AND(H406="Realizado",OR(L406="",M406="")),1,0)</f>
        <v>0</v>
      </c>
    </row>
    <row r="407">
      <c r="A407" s="43" t="n">
        <v>46216</v>
      </c>
      <c r="B407" s="44" t="n">
        <v>0.3333333333333333</v>
      </c>
      <c r="C407" s="38" t="inlineStr">
        <is>
          <t>Dra. Carolina Mendes</t>
        </is>
      </c>
      <c r="D407" s="38" t="inlineStr">
        <is>
          <t>Sala 1</t>
        </is>
      </c>
      <c r="E407" s="37" t="inlineStr">
        <is>
          <t>Ana Costa</t>
        </is>
      </c>
      <c r="F407" s="38" t="inlineStr">
        <is>
          <t>Particular</t>
        </is>
      </c>
      <c r="G407" s="38" t="inlineStr">
        <is>
          <t>Consulta</t>
        </is>
      </c>
      <c r="H407" s="38" t="inlineStr">
        <is>
          <t>Realizado</t>
        </is>
      </c>
      <c r="I407" s="38" t="inlineStr">
        <is>
          <t>Cartão de débito</t>
        </is>
      </c>
      <c r="J407" s="38" t="n"/>
      <c r="K407" s="37" t="n"/>
      <c r="L407" s="39" t="n">
        <v>30</v>
      </c>
      <c r="M407" s="40" t="n">
        <v>380</v>
      </c>
      <c r="N407" s="30">
        <f>IF(A407="","",MONTH(A407))</f>
        <v>7</v>
      </c>
      <c r="O407" s="30">
        <f>IF(A407="","",YEAR(A407))</f>
        <v>2026</v>
      </c>
      <c r="P407" s="30" t="str">
        <f>IF(A407="","",CHOOSE(WEEKDAY(A407,2),"Segunda","Terça","Quarta","Quinta","Sexta","Sábado","Domingo"))</f>
        <v>Segunda</v>
      </c>
      <c r="Q407" s="30" t="str">
        <f>IF(B407="","",IF(B407&lt;TIME(12,0,0),"Manhã",IF(B407&lt;TIME(18,0,0),"Tarde","Noite")))</f>
        <v>Manhã</v>
      </c>
      <c r="R407" s="46">
        <f>IF(AND(H407="Realizado",L407&lt;&gt;"",A407&lt;=Config!$B$9),L407/60,0)</f>
        <v>0.5</v>
      </c>
      <c r="S407" s="45">
        <f>IF(G407="","",IFERROR(INDEX(Config!$K$5:$K$16,MATCH(G407,Config!$J$5:$J$16,0)),""))</f>
        <v>30</v>
      </c>
      <c r="T407" s="31">
        <f>IF(OR(G407="",F407=""),"",IFERROR(INDEX(Config!$M$5:$R$16,MATCH(G407,Config!$J$5:$J$16,0),MATCH(F407,Config!$H$5:$H$10,0)),""))</f>
        <v>380</v>
      </c>
      <c r="U407" s="47">
        <f>IF(AND(H407="Realizado",L407&lt;&gt;""),L407/60,0)</f>
        <v>0.5</v>
      </c>
      <c r="V407" s="47">
        <f>IF(AND(H407="Realizado",OR(L407="",M407="")),1,0)</f>
        <v>0</v>
      </c>
    </row>
    <row r="408">
      <c r="A408" s="43" t="n">
        <v>46216</v>
      </c>
      <c r="B408" s="44" t="n">
        <v>0.3541666666666667</v>
      </c>
      <c r="C408" s="38" t="inlineStr">
        <is>
          <t>Dra. Carolina Mendes</t>
        </is>
      </c>
      <c r="D408" s="38" t="inlineStr">
        <is>
          <t>Sala 1</t>
        </is>
      </c>
      <c r="E408" s="37" t="inlineStr">
        <is>
          <t>Débora Ramos</t>
        </is>
      </c>
      <c r="F408" s="38" t="inlineStr">
        <is>
          <t>Particular</t>
        </is>
      </c>
      <c r="G408" s="38" t="inlineStr">
        <is>
          <t>Consulta</t>
        </is>
      </c>
      <c r="H408" s="38" t="inlineStr">
        <is>
          <t>Realizado</t>
        </is>
      </c>
      <c r="I408" s="38" t="inlineStr">
        <is>
          <t>Cartão de débito</t>
        </is>
      </c>
      <c r="J408" s="38" t="n"/>
      <c r="K408" s="37" t="n"/>
      <c r="L408" s="39" t="n">
        <v>30</v>
      </c>
      <c r="M408" s="40" t="n">
        <v>380</v>
      </c>
      <c r="N408" s="30">
        <f>IF(A408="","",MONTH(A408))</f>
        <v>7</v>
      </c>
      <c r="O408" s="30">
        <f>IF(A408="","",YEAR(A408))</f>
        <v>2026</v>
      </c>
      <c r="P408" s="30" t="str">
        <f>IF(A408="","",CHOOSE(WEEKDAY(A408,2),"Segunda","Terça","Quarta","Quinta","Sexta","Sábado","Domingo"))</f>
        <v>Segunda</v>
      </c>
      <c r="Q408" s="30" t="str">
        <f>IF(B408="","",IF(B408&lt;TIME(12,0,0),"Manhã",IF(B408&lt;TIME(18,0,0),"Tarde","Noite")))</f>
        <v>Manhã</v>
      </c>
      <c r="R408" s="46">
        <f>IF(AND(H408="Realizado",L408&lt;&gt;"",A408&lt;=Config!$B$9),L408/60,0)</f>
        <v>0.5</v>
      </c>
      <c r="S408" s="45">
        <f>IF(G408="","",IFERROR(INDEX(Config!$K$5:$K$16,MATCH(G408,Config!$J$5:$J$16,0)),""))</f>
        <v>30</v>
      </c>
      <c r="T408" s="31">
        <f>IF(OR(G408="",F408=""),"",IFERROR(INDEX(Config!$M$5:$R$16,MATCH(G408,Config!$J$5:$J$16,0),MATCH(F408,Config!$H$5:$H$10,0)),""))</f>
        <v>380</v>
      </c>
      <c r="U408" s="47">
        <f>IF(AND(H408="Realizado",L408&lt;&gt;""),L408/60,0)</f>
        <v>0.5</v>
      </c>
      <c r="V408" s="47">
        <f>IF(AND(H408="Realizado",OR(L408="",M408="")),1,0)</f>
        <v>0</v>
      </c>
    </row>
    <row r="409">
      <c r="A409" s="43" t="n">
        <v>46216</v>
      </c>
      <c r="B409" s="44" t="n">
        <v>0.3958333333333333</v>
      </c>
      <c r="C409" s="38" t="inlineStr">
        <is>
          <t>Dra. Carolina Mendes</t>
        </is>
      </c>
      <c r="D409" s="38" t="inlineStr">
        <is>
          <t>Sala 1</t>
        </is>
      </c>
      <c r="E409" s="37" t="inlineStr">
        <is>
          <t>Daniel Almeida</t>
        </is>
      </c>
      <c r="F409" s="38" t="inlineStr">
        <is>
          <t>Saúde Total</t>
        </is>
      </c>
      <c r="G409" s="38" t="inlineStr">
        <is>
          <t>Consulta</t>
        </is>
      </c>
      <c r="H409" s="38" t="inlineStr">
        <is>
          <t>Remarcado</t>
        </is>
      </c>
      <c r="I409" s="38" t="n"/>
      <c r="J409" s="38" t="n"/>
      <c r="K409" s="37" t="inlineStr">
        <is>
          <t>Paciente pediu outra data</t>
        </is>
      </c>
      <c r="L409" s="39" t="n">
        <v>30</v>
      </c>
      <c r="M409" s="40" t="n">
        <v>120</v>
      </c>
      <c r="N409" s="30">
        <f>IF(A409="","",MONTH(A409))</f>
        <v>7</v>
      </c>
      <c r="O409" s="30">
        <f>IF(A409="","",YEAR(A409))</f>
        <v>2026</v>
      </c>
      <c r="P409" s="30" t="str">
        <f>IF(A409="","",CHOOSE(WEEKDAY(A409,2),"Segunda","Terça","Quarta","Quinta","Sexta","Sábado","Domingo"))</f>
        <v>Segunda</v>
      </c>
      <c r="Q409" s="30" t="str">
        <f>IF(B409="","",IF(B409&lt;TIME(12,0,0),"Manhã",IF(B409&lt;TIME(18,0,0),"Tarde","Noite")))</f>
        <v>Manhã</v>
      </c>
      <c r="R409" s="46">
        <f>IF(AND(H409="Realizado",L409&lt;&gt;"",A409&lt;=Config!$B$9),L409/60,0)</f>
        <v>0</v>
      </c>
      <c r="S409" s="45">
        <f>IF(G409="","",IFERROR(INDEX(Config!$K$5:$K$16,MATCH(G409,Config!$J$5:$J$16,0)),""))</f>
        <v>30</v>
      </c>
      <c r="T409" s="31">
        <f>IF(OR(G409="",F409=""),"",IFERROR(INDEX(Config!$M$5:$R$16,MATCH(G409,Config!$J$5:$J$16,0),MATCH(F409,Config!$H$5:$H$10,0)),""))</f>
        <v>120</v>
      </c>
      <c r="U409" s="47">
        <f>IF(AND(H409="Realizado",L409&lt;&gt;""),L409/60,0)</f>
        <v>0</v>
      </c>
      <c r="V409" s="47">
        <f>IF(AND(H409="Realizado",OR(L409="",M409="")),1,0)</f>
        <v>0</v>
      </c>
    </row>
    <row r="410">
      <c r="A410" s="43" t="n">
        <v>46216</v>
      </c>
      <c r="B410" s="44" t="n">
        <v>0.4375</v>
      </c>
      <c r="C410" s="38" t="inlineStr">
        <is>
          <t>Dra. Carolina Mendes</t>
        </is>
      </c>
      <c r="D410" s="38" t="inlineStr">
        <is>
          <t>Sala 1</t>
        </is>
      </c>
      <c r="E410" s="37" t="inlineStr">
        <is>
          <t>Rodrigo Moreira</t>
        </is>
      </c>
      <c r="F410" s="38" t="inlineStr">
        <is>
          <t>Particular</t>
        </is>
      </c>
      <c r="G410" s="38" t="inlineStr">
        <is>
          <t>Consulta</t>
        </is>
      </c>
      <c r="H410" s="38" t="inlineStr">
        <is>
          <t>Realizado</t>
        </is>
      </c>
      <c r="I410" s="38" t="inlineStr">
        <is>
          <t>Dinheiro</t>
        </is>
      </c>
      <c r="J410" s="38" t="n"/>
      <c r="K410" s="37" t="n"/>
      <c r="L410" s="39" t="n">
        <v>30</v>
      </c>
      <c r="M410" s="40" t="n">
        <v>380</v>
      </c>
      <c r="N410" s="30">
        <f>IF(A410="","",MONTH(A410))</f>
        <v>7</v>
      </c>
      <c r="O410" s="30">
        <f>IF(A410="","",YEAR(A410))</f>
        <v>2026</v>
      </c>
      <c r="P410" s="30" t="str">
        <f>IF(A410="","",CHOOSE(WEEKDAY(A410,2),"Segunda","Terça","Quarta","Quinta","Sexta","Sábado","Domingo"))</f>
        <v>Segunda</v>
      </c>
      <c r="Q410" s="30" t="str">
        <f>IF(B410="","",IF(B410&lt;TIME(12,0,0),"Manhã",IF(B410&lt;TIME(18,0,0),"Tarde","Noite")))</f>
        <v>Manhã</v>
      </c>
      <c r="R410" s="46">
        <f>IF(AND(H410="Realizado",L410&lt;&gt;"",A410&lt;=Config!$B$9),L410/60,0)</f>
        <v>0.5</v>
      </c>
      <c r="S410" s="45">
        <f>IF(G410="","",IFERROR(INDEX(Config!$K$5:$K$16,MATCH(G410,Config!$J$5:$J$16,0)),""))</f>
        <v>30</v>
      </c>
      <c r="T410" s="31">
        <f>IF(OR(G410="",F410=""),"",IFERROR(INDEX(Config!$M$5:$R$16,MATCH(G410,Config!$J$5:$J$16,0),MATCH(F410,Config!$H$5:$H$10,0)),""))</f>
        <v>380</v>
      </c>
      <c r="U410" s="47">
        <f>IF(AND(H410="Realizado",L410&lt;&gt;""),L410/60,0)</f>
        <v>0.5</v>
      </c>
      <c r="V410" s="47">
        <f>IF(AND(H410="Realizado",OR(L410="",M410="")),1,0)</f>
        <v>0</v>
      </c>
    </row>
    <row r="411">
      <c r="A411" s="43" t="n">
        <v>46216</v>
      </c>
      <c r="B411" s="44" t="n">
        <v>0.4583333333333333</v>
      </c>
      <c r="C411" s="38" t="inlineStr">
        <is>
          <t>Dra. Carolina Mendes</t>
        </is>
      </c>
      <c r="D411" s="38" t="inlineStr">
        <is>
          <t>Sala 1</t>
        </is>
      </c>
      <c r="E411" s="37" t="inlineStr">
        <is>
          <t>Helena Moreira</t>
        </is>
      </c>
      <c r="F411" s="38" t="inlineStr">
        <is>
          <t>Particular</t>
        </is>
      </c>
      <c r="G411" s="38" t="inlineStr">
        <is>
          <t>Consulta</t>
        </is>
      </c>
      <c r="H411" s="38" t="inlineStr">
        <is>
          <t>Realizado</t>
        </is>
      </c>
      <c r="I411" s="38" t="inlineStr">
        <is>
          <t>Pix</t>
        </is>
      </c>
      <c r="J411" s="38" t="n"/>
      <c r="K411" s="37" t="n"/>
      <c r="L411" s="39" t="n">
        <v>30</v>
      </c>
      <c r="M411" s="40" t="n">
        <v>380</v>
      </c>
      <c r="N411" s="30">
        <f>IF(A411="","",MONTH(A411))</f>
        <v>7</v>
      </c>
      <c r="O411" s="30">
        <f>IF(A411="","",YEAR(A411))</f>
        <v>2026</v>
      </c>
      <c r="P411" s="30" t="str">
        <f>IF(A411="","",CHOOSE(WEEKDAY(A411,2),"Segunda","Terça","Quarta","Quinta","Sexta","Sábado","Domingo"))</f>
        <v>Segunda</v>
      </c>
      <c r="Q411" s="30" t="str">
        <f>IF(B411="","",IF(B411&lt;TIME(12,0,0),"Manhã",IF(B411&lt;TIME(18,0,0),"Tarde","Noite")))</f>
        <v>Manhã</v>
      </c>
      <c r="R411" s="46">
        <f>IF(AND(H411="Realizado",L411&lt;&gt;"",A411&lt;=Config!$B$9),L411/60,0)</f>
        <v>0.5</v>
      </c>
      <c r="S411" s="45">
        <f>IF(G411="","",IFERROR(INDEX(Config!$K$5:$K$16,MATCH(G411,Config!$J$5:$J$16,0)),""))</f>
        <v>30</v>
      </c>
      <c r="T411" s="31">
        <f>IF(OR(G411="",F411=""),"",IFERROR(INDEX(Config!$M$5:$R$16,MATCH(G411,Config!$J$5:$J$16,0),MATCH(F411,Config!$H$5:$H$10,0)),""))</f>
        <v>380</v>
      </c>
      <c r="U411" s="47">
        <f>IF(AND(H411="Realizado",L411&lt;&gt;""),L411/60,0)</f>
        <v>0.5</v>
      </c>
      <c r="V411" s="47">
        <f>IF(AND(H411="Realizado",OR(L411="",M411="")),1,0)</f>
        <v>0</v>
      </c>
    </row>
    <row r="412">
      <c r="A412" s="43" t="n">
        <v>46216</v>
      </c>
      <c r="B412" s="44" t="n">
        <v>0.625</v>
      </c>
      <c r="C412" s="38" t="inlineStr">
        <is>
          <t>Dr. Paulo Andrade</t>
        </is>
      </c>
      <c r="D412" s="38" t="inlineStr">
        <is>
          <t>Sala 2</t>
        </is>
      </c>
      <c r="E412" s="37" t="inlineStr">
        <is>
          <t>Gisele Ribeiro</t>
        </is>
      </c>
      <c r="F412" s="38" t="inlineStr">
        <is>
          <t>Particular</t>
        </is>
      </c>
      <c r="G412" s="38" t="inlineStr">
        <is>
          <t>ECG</t>
        </is>
      </c>
      <c r="H412" s="38" t="inlineStr">
        <is>
          <t>Realizado</t>
        </is>
      </c>
      <c r="I412" s="38" t="inlineStr">
        <is>
          <t>Cartão de crédito</t>
        </is>
      </c>
      <c r="J412" s="38" t="n"/>
      <c r="K412" s="37" t="n"/>
      <c r="L412" s="39" t="n">
        <v>20</v>
      </c>
      <c r="M412" s="40" t="n">
        <v>130</v>
      </c>
      <c r="N412" s="30">
        <f>IF(A412="","",MONTH(A412))</f>
        <v>7</v>
      </c>
      <c r="O412" s="30">
        <f>IF(A412="","",YEAR(A412))</f>
        <v>2026</v>
      </c>
      <c r="P412" s="30" t="str">
        <f>IF(A412="","",CHOOSE(WEEKDAY(A412,2),"Segunda","Terça","Quarta","Quinta","Sexta","Sábado","Domingo"))</f>
        <v>Segunda</v>
      </c>
      <c r="Q412" s="30" t="str">
        <f>IF(B412="","",IF(B412&lt;TIME(12,0,0),"Manhã",IF(B412&lt;TIME(18,0,0),"Tarde","Noite")))</f>
        <v>Tarde</v>
      </c>
      <c r="R412" s="46">
        <f>IF(AND(H412="Realizado",L412&lt;&gt;"",A412&lt;=Config!$B$9),L412/60,0)</f>
        <v>0.333333333333333</v>
      </c>
      <c r="S412" s="45">
        <f>IF(G412="","",IFERROR(INDEX(Config!$K$5:$K$16,MATCH(G412,Config!$J$5:$J$16,0)),""))</f>
        <v>20</v>
      </c>
      <c r="T412" s="31">
        <f>IF(OR(G412="",F412=""),"",IFERROR(INDEX(Config!$M$5:$R$16,MATCH(G412,Config!$J$5:$J$16,0),MATCH(F412,Config!$H$5:$H$10,0)),""))</f>
        <v>130</v>
      </c>
      <c r="U412" s="47">
        <f>IF(AND(H412="Realizado",L412&lt;&gt;""),L412/60,0)</f>
        <v>0.333333333333333</v>
      </c>
      <c r="V412" s="47">
        <f>IF(AND(H412="Realizado",OR(L412="",M412="")),1,0)</f>
        <v>0</v>
      </c>
    </row>
    <row r="413">
      <c r="A413" s="43" t="n">
        <v>46216</v>
      </c>
      <c r="B413" s="44" t="n">
        <v>0.6388888888888888</v>
      </c>
      <c r="C413" s="38" t="inlineStr">
        <is>
          <t>Dr. Paulo Andrade</t>
        </is>
      </c>
      <c r="D413" s="38" t="inlineStr">
        <is>
          <t>Sala 2</t>
        </is>
      </c>
      <c r="E413" s="37" t="inlineStr">
        <is>
          <t>Henrique Ribeiro</t>
        </is>
      </c>
      <c r="F413" s="38" t="inlineStr">
        <is>
          <t>Particular</t>
        </is>
      </c>
      <c r="G413" s="38" t="inlineStr">
        <is>
          <t>Consulta</t>
        </is>
      </c>
      <c r="H413" s="38" t="inlineStr">
        <is>
          <t>Realizado</t>
        </is>
      </c>
      <c r="I413" s="38" t="inlineStr">
        <is>
          <t>Cartão de crédito</t>
        </is>
      </c>
      <c r="J413" s="38" t="n">
        <v>2</v>
      </c>
      <c r="K413" s="37" t="n"/>
      <c r="L413" s="39" t="n">
        <v>30</v>
      </c>
      <c r="M413" s="40" t="n">
        <v>380</v>
      </c>
      <c r="N413" s="30">
        <f>IF(A413="","",MONTH(A413))</f>
        <v>7</v>
      </c>
      <c r="O413" s="30">
        <f>IF(A413="","",YEAR(A413))</f>
        <v>2026</v>
      </c>
      <c r="P413" s="30" t="str">
        <f>IF(A413="","",CHOOSE(WEEKDAY(A413,2),"Segunda","Terça","Quarta","Quinta","Sexta","Sábado","Domingo"))</f>
        <v>Segunda</v>
      </c>
      <c r="Q413" s="30" t="str">
        <f>IF(B413="","",IF(B413&lt;TIME(12,0,0),"Manhã",IF(B413&lt;TIME(18,0,0),"Tarde","Noite")))</f>
        <v>Tarde</v>
      </c>
      <c r="R413" s="46">
        <f>IF(AND(H413="Realizado",L413&lt;&gt;"",A413&lt;=Config!$B$9),L413/60,0)</f>
        <v>0.5</v>
      </c>
      <c r="S413" s="45">
        <f>IF(G413="","",IFERROR(INDEX(Config!$K$5:$K$16,MATCH(G413,Config!$J$5:$J$16,0)),""))</f>
        <v>30</v>
      </c>
      <c r="T413" s="31">
        <f>IF(OR(G413="",F413=""),"",IFERROR(INDEX(Config!$M$5:$R$16,MATCH(G413,Config!$J$5:$J$16,0),MATCH(F413,Config!$H$5:$H$10,0)),""))</f>
        <v>380</v>
      </c>
      <c r="U413" s="47">
        <f>IF(AND(H413="Realizado",L413&lt;&gt;""),L413/60,0)</f>
        <v>0.5</v>
      </c>
      <c r="V413" s="47">
        <f>IF(AND(H413="Realizado",OR(L413="",M413="")),1,0)</f>
        <v>0</v>
      </c>
    </row>
    <row r="414">
      <c r="A414" s="43" t="n">
        <v>46216</v>
      </c>
      <c r="B414" s="44" t="n">
        <v>0.6597222222222222</v>
      </c>
      <c r="C414" s="38" t="inlineStr">
        <is>
          <t>Dr. Paulo Andrade</t>
        </is>
      </c>
      <c r="D414" s="38" t="inlineStr">
        <is>
          <t>Sala 2</t>
        </is>
      </c>
      <c r="E414" s="37" t="inlineStr">
        <is>
          <t>Paulo Ribeiro</t>
        </is>
      </c>
      <c r="F414" s="38" t="inlineStr">
        <is>
          <t>Saúde Total</t>
        </is>
      </c>
      <c r="G414" s="38" t="inlineStr">
        <is>
          <t>Consulta</t>
        </is>
      </c>
      <c r="H414" s="38" t="inlineStr">
        <is>
          <t>Realizado</t>
        </is>
      </c>
      <c r="I414" s="38" t="inlineStr">
        <is>
          <t>Convênio</t>
        </is>
      </c>
      <c r="J414" s="38" t="n"/>
      <c r="K414" s="37" t="n"/>
      <c r="L414" s="39" t="n">
        <v>30</v>
      </c>
      <c r="M414" s="40" t="n">
        <v>120</v>
      </c>
      <c r="N414" s="30">
        <f>IF(A414="","",MONTH(A414))</f>
        <v>7</v>
      </c>
      <c r="O414" s="30">
        <f>IF(A414="","",YEAR(A414))</f>
        <v>2026</v>
      </c>
      <c r="P414" s="30" t="str">
        <f>IF(A414="","",CHOOSE(WEEKDAY(A414,2),"Segunda","Terça","Quarta","Quinta","Sexta","Sábado","Domingo"))</f>
        <v>Segunda</v>
      </c>
      <c r="Q414" s="30" t="str">
        <f>IF(B414="","",IF(B414&lt;TIME(12,0,0),"Manhã",IF(B414&lt;TIME(18,0,0),"Tarde","Noite")))</f>
        <v>Tarde</v>
      </c>
      <c r="R414" s="46">
        <f>IF(AND(H414="Realizado",L414&lt;&gt;"",A414&lt;=Config!$B$9),L414/60,0)</f>
        <v>0.5</v>
      </c>
      <c r="S414" s="45">
        <f>IF(G414="","",IFERROR(INDEX(Config!$K$5:$K$16,MATCH(G414,Config!$J$5:$J$16,0)),""))</f>
        <v>30</v>
      </c>
      <c r="T414" s="31">
        <f>IF(OR(G414="",F414=""),"",IFERROR(INDEX(Config!$M$5:$R$16,MATCH(G414,Config!$J$5:$J$16,0),MATCH(F414,Config!$H$5:$H$10,0)),""))</f>
        <v>120</v>
      </c>
      <c r="U414" s="47">
        <f>IF(AND(H414="Realizado",L414&lt;&gt;""),L414/60,0)</f>
        <v>0.5</v>
      </c>
      <c r="V414" s="47">
        <f>IF(AND(H414="Realizado",OR(L414="",M414="")),1,0)</f>
        <v>0</v>
      </c>
    </row>
    <row r="415">
      <c r="A415" s="43" t="n">
        <v>46216</v>
      </c>
      <c r="B415" s="44" t="n">
        <v>0.6805555555555556</v>
      </c>
      <c r="C415" s="38" t="inlineStr">
        <is>
          <t>Dr. Paulo Andrade</t>
        </is>
      </c>
      <c r="D415" s="38" t="inlineStr">
        <is>
          <t>Sala 2</t>
        </is>
      </c>
      <c r="E415" s="37" t="inlineStr">
        <is>
          <t>Gisele Lima</t>
        </is>
      </c>
      <c r="F415" s="38" t="inlineStr">
        <is>
          <t>Saúde Total</t>
        </is>
      </c>
      <c r="G415" s="38" t="inlineStr">
        <is>
          <t>Consulta</t>
        </is>
      </c>
      <c r="H415" s="38" t="inlineStr">
        <is>
          <t>Realizado</t>
        </is>
      </c>
      <c r="I415" s="38" t="inlineStr">
        <is>
          <t>Convênio</t>
        </is>
      </c>
      <c r="J415" s="38" t="n"/>
      <c r="K415" s="37" t="n"/>
      <c r="L415" s="39" t="n">
        <v>30</v>
      </c>
      <c r="M415" s="40" t="n">
        <v>120</v>
      </c>
      <c r="N415" s="30">
        <f>IF(A415="","",MONTH(A415))</f>
        <v>7</v>
      </c>
      <c r="O415" s="30">
        <f>IF(A415="","",YEAR(A415))</f>
        <v>2026</v>
      </c>
      <c r="P415" s="30" t="str">
        <f>IF(A415="","",CHOOSE(WEEKDAY(A415,2),"Segunda","Terça","Quarta","Quinta","Sexta","Sábado","Domingo"))</f>
        <v>Segunda</v>
      </c>
      <c r="Q415" s="30" t="str">
        <f>IF(B415="","",IF(B415&lt;TIME(12,0,0),"Manhã",IF(B415&lt;TIME(18,0,0),"Tarde","Noite")))</f>
        <v>Tarde</v>
      </c>
      <c r="R415" s="46">
        <f>IF(AND(H415="Realizado",L415&lt;&gt;"",A415&lt;=Config!$B$9),L415/60,0)</f>
        <v>0.5</v>
      </c>
      <c r="S415" s="45">
        <f>IF(G415="","",IFERROR(INDEX(Config!$K$5:$K$16,MATCH(G415,Config!$J$5:$J$16,0)),""))</f>
        <v>30</v>
      </c>
      <c r="T415" s="31">
        <f>IF(OR(G415="",F415=""),"",IFERROR(INDEX(Config!$M$5:$R$16,MATCH(G415,Config!$J$5:$J$16,0),MATCH(F415,Config!$H$5:$H$10,0)),""))</f>
        <v>120</v>
      </c>
      <c r="U415" s="47">
        <f>IF(AND(H415="Realizado",L415&lt;&gt;""),L415/60,0)</f>
        <v>0.5</v>
      </c>
      <c r="V415" s="47">
        <f>IF(AND(H415="Realizado",OR(L415="",M415="")),1,0)</f>
        <v>0</v>
      </c>
    </row>
    <row r="416">
      <c r="A416" s="43" t="n">
        <v>46216</v>
      </c>
      <c r="B416" s="44" t="n">
        <v>0.7013888888888888</v>
      </c>
      <c r="C416" s="38" t="inlineStr">
        <is>
          <t>Dr. Paulo Andrade</t>
        </is>
      </c>
      <c r="D416" s="38" t="inlineStr">
        <is>
          <t>Sala 2</t>
        </is>
      </c>
      <c r="E416" s="37" t="inlineStr">
        <is>
          <t>Camila Martins</t>
        </is>
      </c>
      <c r="F416" s="38" t="inlineStr">
        <is>
          <t>Vida Care</t>
        </is>
      </c>
      <c r="G416" s="38" t="inlineStr">
        <is>
          <t>Consulta</t>
        </is>
      </c>
      <c r="H416" s="38" t="inlineStr">
        <is>
          <t>Realizado</t>
        </is>
      </c>
      <c r="I416" s="38" t="inlineStr">
        <is>
          <t>Convênio</t>
        </is>
      </c>
      <c r="J416" s="38" t="n"/>
      <c r="K416" s="37" t="n"/>
      <c r="L416" s="39" t="n">
        <v>30</v>
      </c>
      <c r="M416" s="40" t="n">
        <v>90</v>
      </c>
      <c r="N416" s="30">
        <f>IF(A416="","",MONTH(A416))</f>
        <v>7</v>
      </c>
      <c r="O416" s="30">
        <f>IF(A416="","",YEAR(A416))</f>
        <v>2026</v>
      </c>
      <c r="P416" s="30" t="str">
        <f>IF(A416="","",CHOOSE(WEEKDAY(A416,2),"Segunda","Terça","Quarta","Quinta","Sexta","Sábado","Domingo"))</f>
        <v>Segunda</v>
      </c>
      <c r="Q416" s="30" t="str">
        <f>IF(B416="","",IF(B416&lt;TIME(12,0,0),"Manhã",IF(B416&lt;TIME(18,0,0),"Tarde","Noite")))</f>
        <v>Tarde</v>
      </c>
      <c r="R416" s="46">
        <f>IF(AND(H416="Realizado",L416&lt;&gt;"",A416&lt;=Config!$B$9),L416/60,0)</f>
        <v>0.5</v>
      </c>
      <c r="S416" s="45">
        <f>IF(G416="","",IFERROR(INDEX(Config!$K$5:$K$16,MATCH(G416,Config!$J$5:$J$16,0)),""))</f>
        <v>30</v>
      </c>
      <c r="T416" s="31">
        <f>IF(OR(G416="",F416=""),"",IFERROR(INDEX(Config!$M$5:$R$16,MATCH(G416,Config!$J$5:$J$16,0),MATCH(F416,Config!$H$5:$H$10,0)),""))</f>
        <v>90</v>
      </c>
      <c r="U416" s="47">
        <f>IF(AND(H416="Realizado",L416&lt;&gt;""),L416/60,0)</f>
        <v>0.5</v>
      </c>
      <c r="V416" s="47">
        <f>IF(AND(H416="Realizado",OR(L416="",M416="")),1,0)</f>
        <v>0</v>
      </c>
    </row>
    <row r="417">
      <c r="A417" s="43" t="n">
        <v>46216</v>
      </c>
      <c r="B417" s="44" t="n">
        <v>0.7222222222222222</v>
      </c>
      <c r="C417" s="38" t="inlineStr">
        <is>
          <t>Dr. Paulo Andrade</t>
        </is>
      </c>
      <c r="D417" s="38" t="inlineStr">
        <is>
          <t>Sala 2</t>
        </is>
      </c>
      <c r="E417" s="37" t="inlineStr">
        <is>
          <t>Gabriel Oliveira</t>
        </is>
      </c>
      <c r="F417" s="38" t="inlineStr">
        <is>
          <t>Particular</t>
        </is>
      </c>
      <c r="G417" s="38" t="inlineStr">
        <is>
          <t>Consulta</t>
        </is>
      </c>
      <c r="H417" s="38" t="inlineStr">
        <is>
          <t>Realizado</t>
        </is>
      </c>
      <c r="I417" s="38" t="inlineStr">
        <is>
          <t>Pix</t>
        </is>
      </c>
      <c r="J417" s="38" t="n"/>
      <c r="K417" s="37" t="n"/>
      <c r="L417" s="39" t="n">
        <v>30</v>
      </c>
      <c r="M417" s="40" t="n">
        <v>380</v>
      </c>
      <c r="N417" s="30">
        <f>IF(A417="","",MONTH(A417))</f>
        <v>7</v>
      </c>
      <c r="O417" s="30">
        <f>IF(A417="","",YEAR(A417))</f>
        <v>2026</v>
      </c>
      <c r="P417" s="30" t="str">
        <f>IF(A417="","",CHOOSE(WEEKDAY(A417,2),"Segunda","Terça","Quarta","Quinta","Sexta","Sábado","Domingo"))</f>
        <v>Segunda</v>
      </c>
      <c r="Q417" s="30" t="str">
        <f>IF(B417="","",IF(B417&lt;TIME(12,0,0),"Manhã",IF(B417&lt;TIME(18,0,0),"Tarde","Noite")))</f>
        <v>Tarde</v>
      </c>
      <c r="R417" s="46">
        <f>IF(AND(H417="Realizado",L417&lt;&gt;"",A417&lt;=Config!$B$9),L417/60,0)</f>
        <v>0.5</v>
      </c>
      <c r="S417" s="45">
        <f>IF(G417="","",IFERROR(INDEX(Config!$K$5:$K$16,MATCH(G417,Config!$J$5:$J$16,0)),""))</f>
        <v>30</v>
      </c>
      <c r="T417" s="31">
        <f>IF(OR(G417="",F417=""),"",IFERROR(INDEX(Config!$M$5:$R$16,MATCH(G417,Config!$J$5:$J$16,0),MATCH(F417,Config!$H$5:$H$10,0)),""))</f>
        <v>380</v>
      </c>
      <c r="U417" s="47">
        <f>IF(AND(H417="Realizado",L417&lt;&gt;""),L417/60,0)</f>
        <v>0.5</v>
      </c>
      <c r="V417" s="47">
        <f>IF(AND(H417="Realizado",OR(L417="",M417="")),1,0)</f>
        <v>0</v>
      </c>
    </row>
    <row r="418">
      <c r="A418" s="43" t="n">
        <v>46217</v>
      </c>
      <c r="B418" s="44" t="n">
        <v>0.3333333333333333</v>
      </c>
      <c r="C418" s="38" t="inlineStr">
        <is>
          <t>Dra. Carolina Mendes</t>
        </is>
      </c>
      <c r="D418" s="38" t="inlineStr">
        <is>
          <t>Sala 1</t>
        </is>
      </c>
      <c r="E418" s="37" t="inlineStr">
        <is>
          <t>Daniel Almeida</t>
        </is>
      </c>
      <c r="F418" s="38" t="inlineStr">
        <is>
          <t>Saúde Total</t>
        </is>
      </c>
      <c r="G418" s="38" t="inlineStr">
        <is>
          <t>Consulta</t>
        </is>
      </c>
      <c r="H418" s="38" t="inlineStr">
        <is>
          <t>Realizado</t>
        </is>
      </c>
      <c r="I418" s="38" t="inlineStr">
        <is>
          <t>Convênio</t>
        </is>
      </c>
      <c r="J418" s="38" t="n"/>
      <c r="K418" s="37" t="n"/>
      <c r="L418" s="39" t="n">
        <v>30</v>
      </c>
      <c r="M418" s="40" t="n">
        <v>120</v>
      </c>
      <c r="N418" s="30">
        <f>IF(A418="","",MONTH(A418))</f>
        <v>7</v>
      </c>
      <c r="O418" s="30">
        <f>IF(A418="","",YEAR(A418))</f>
        <v>2026</v>
      </c>
      <c r="P418" s="30" t="str">
        <f>IF(A418="","",CHOOSE(WEEKDAY(A418,2),"Segunda","Terça","Quarta","Quinta","Sexta","Sábado","Domingo"))</f>
        <v>Terça</v>
      </c>
      <c r="Q418" s="30" t="str">
        <f>IF(B418="","",IF(B418&lt;TIME(12,0,0),"Manhã",IF(B418&lt;TIME(18,0,0),"Tarde","Noite")))</f>
        <v>Manhã</v>
      </c>
      <c r="R418" s="46">
        <f>IF(AND(H418="Realizado",L418&lt;&gt;"",A418&lt;=Config!$B$9),L418/60,0)</f>
        <v>0.5</v>
      </c>
      <c r="S418" s="45">
        <f>IF(G418="","",IFERROR(INDEX(Config!$K$5:$K$16,MATCH(G418,Config!$J$5:$J$16,0)),""))</f>
        <v>30</v>
      </c>
      <c r="T418" s="31">
        <f>IF(OR(G418="",F418=""),"",IFERROR(INDEX(Config!$M$5:$R$16,MATCH(G418,Config!$J$5:$J$16,0),MATCH(F418,Config!$H$5:$H$10,0)),""))</f>
        <v>120</v>
      </c>
      <c r="U418" s="47">
        <f>IF(AND(H418="Realizado",L418&lt;&gt;""),L418/60,0)</f>
        <v>0.5</v>
      </c>
      <c r="V418" s="47">
        <f>IF(AND(H418="Realizado",OR(L418="",M418="")),1,0)</f>
        <v>0</v>
      </c>
    </row>
    <row r="419">
      <c r="A419" s="43" t="n">
        <v>46217</v>
      </c>
      <c r="B419" s="44" t="n">
        <v>0.3541666666666667</v>
      </c>
      <c r="C419" s="38" t="inlineStr">
        <is>
          <t>Dra. Carolina Mendes</t>
        </is>
      </c>
      <c r="D419" s="38" t="inlineStr">
        <is>
          <t>Sala 1</t>
        </is>
      </c>
      <c r="E419" s="37" t="inlineStr">
        <is>
          <t>Eduardo Reis</t>
        </is>
      </c>
      <c r="F419" s="38" t="inlineStr">
        <is>
          <t>Vida Care</t>
        </is>
      </c>
      <c r="G419" s="38" t="inlineStr">
        <is>
          <t>Consulta</t>
        </is>
      </c>
      <c r="H419" s="38" t="inlineStr">
        <is>
          <t>Realizado</t>
        </is>
      </c>
      <c r="I419" s="38" t="inlineStr">
        <is>
          <t>Convênio</t>
        </is>
      </c>
      <c r="J419" s="38" t="n"/>
      <c r="K419" s="37" t="n"/>
      <c r="L419" s="39" t="n">
        <v>30</v>
      </c>
      <c r="M419" s="40" t="n">
        <v>90</v>
      </c>
      <c r="N419" s="30">
        <f>IF(A419="","",MONTH(A419))</f>
        <v>7</v>
      </c>
      <c r="O419" s="30">
        <f>IF(A419="","",YEAR(A419))</f>
        <v>2026</v>
      </c>
      <c r="P419" s="30" t="str">
        <f>IF(A419="","",CHOOSE(WEEKDAY(A419,2),"Segunda","Terça","Quarta","Quinta","Sexta","Sábado","Domingo"))</f>
        <v>Terça</v>
      </c>
      <c r="Q419" s="30" t="str">
        <f>IF(B419="","",IF(B419&lt;TIME(12,0,0),"Manhã",IF(B419&lt;TIME(18,0,0),"Tarde","Noite")))</f>
        <v>Manhã</v>
      </c>
      <c r="R419" s="46">
        <f>IF(AND(H419="Realizado",L419&lt;&gt;"",A419&lt;=Config!$B$9),L419/60,0)</f>
        <v>0.5</v>
      </c>
      <c r="S419" s="45">
        <f>IF(G419="","",IFERROR(INDEX(Config!$K$5:$K$16,MATCH(G419,Config!$J$5:$J$16,0)),""))</f>
        <v>30</v>
      </c>
      <c r="T419" s="31">
        <f>IF(OR(G419="",F419=""),"",IFERROR(INDEX(Config!$M$5:$R$16,MATCH(G419,Config!$J$5:$J$16,0),MATCH(F419,Config!$H$5:$H$10,0)),""))</f>
        <v>90</v>
      </c>
      <c r="U419" s="47">
        <f>IF(AND(H419="Realizado",L419&lt;&gt;""),L419/60,0)</f>
        <v>0.5</v>
      </c>
      <c r="V419" s="47">
        <f>IF(AND(H419="Realizado",OR(L419="",M419="")),1,0)</f>
        <v>0</v>
      </c>
    </row>
    <row r="420">
      <c r="A420" s="43" t="n">
        <v>46217</v>
      </c>
      <c r="B420" s="44" t="n">
        <v>0.375</v>
      </c>
      <c r="C420" s="38" t="inlineStr">
        <is>
          <t>Dra. Carolina Mendes</t>
        </is>
      </c>
      <c r="D420" s="38" t="inlineStr">
        <is>
          <t>Sala 1</t>
        </is>
      </c>
      <c r="E420" s="37" t="inlineStr">
        <is>
          <t>Regina Macedo</t>
        </is>
      </c>
      <c r="F420" s="38" t="inlineStr">
        <is>
          <t>Particular</t>
        </is>
      </c>
      <c r="G420" s="38" t="inlineStr">
        <is>
          <t>Retorno</t>
        </is>
      </c>
      <c r="H420" s="38" t="inlineStr">
        <is>
          <t>Realizado</t>
        </is>
      </c>
      <c r="I420" s="38" t="inlineStr">
        <is>
          <t>Sem cobrança</t>
        </is>
      </c>
      <c r="J420" s="38" t="n"/>
      <c r="K420" s="37" t="n"/>
      <c r="L420" s="39" t="n">
        <v>20</v>
      </c>
      <c r="M420" s="40" t="n">
        <v>0</v>
      </c>
      <c r="N420" s="30">
        <f>IF(A420="","",MONTH(A420))</f>
        <v>7</v>
      </c>
      <c r="O420" s="30">
        <f>IF(A420="","",YEAR(A420))</f>
        <v>2026</v>
      </c>
      <c r="P420" s="30" t="str">
        <f>IF(A420="","",CHOOSE(WEEKDAY(A420,2),"Segunda","Terça","Quarta","Quinta","Sexta","Sábado","Domingo"))</f>
        <v>Terça</v>
      </c>
      <c r="Q420" s="30" t="str">
        <f>IF(B420="","",IF(B420&lt;TIME(12,0,0),"Manhã",IF(B420&lt;TIME(18,0,0),"Tarde","Noite")))</f>
        <v>Manhã</v>
      </c>
      <c r="R420" s="46">
        <f>IF(AND(H420="Realizado",L420&lt;&gt;"",A420&lt;=Config!$B$9),L420/60,0)</f>
        <v>0.333333333333333</v>
      </c>
      <c r="S420" s="45">
        <f>IF(G420="","",IFERROR(INDEX(Config!$K$5:$K$16,MATCH(G420,Config!$J$5:$J$16,0)),""))</f>
        <v>20</v>
      </c>
      <c r="T420" s="31">
        <f>IF(OR(G420="",F420=""),"",IFERROR(INDEX(Config!$M$5:$R$16,MATCH(G420,Config!$J$5:$J$16,0),MATCH(F420,Config!$H$5:$H$10,0)),""))</f>
        <v>0</v>
      </c>
      <c r="U420" s="47">
        <f>IF(AND(H420="Realizado",L420&lt;&gt;""),L420/60,0)</f>
        <v>0.333333333333333</v>
      </c>
      <c r="V420" s="47">
        <f>IF(AND(H420="Realizado",OR(L420="",M420="")),1,0)</f>
        <v>0</v>
      </c>
    </row>
    <row r="421">
      <c r="A421" s="43" t="n">
        <v>46217</v>
      </c>
      <c r="B421" s="44" t="n">
        <v>0.3888888888888889</v>
      </c>
      <c r="C421" s="38" t="inlineStr">
        <is>
          <t>Dra. Carolina Mendes</t>
        </is>
      </c>
      <c r="D421" s="38" t="inlineStr">
        <is>
          <t>Sala 1</t>
        </is>
      </c>
      <c r="E421" s="37" t="inlineStr">
        <is>
          <t>Priscila Carvalho</t>
        </is>
      </c>
      <c r="F421" s="38" t="inlineStr">
        <is>
          <t>Vida Care</t>
        </is>
      </c>
      <c r="G421" s="38" t="inlineStr">
        <is>
          <t>Consulta</t>
        </is>
      </c>
      <c r="H421" s="38" t="inlineStr">
        <is>
          <t>Realizado</t>
        </is>
      </c>
      <c r="I421" s="38" t="inlineStr">
        <is>
          <t>Convênio</t>
        </is>
      </c>
      <c r="J421" s="38" t="n"/>
      <c r="K421" s="37" t="n"/>
      <c r="L421" s="39" t="n">
        <v>30</v>
      </c>
      <c r="M421" s="40" t="n">
        <v>90</v>
      </c>
      <c r="N421" s="30">
        <f>IF(A421="","",MONTH(A421))</f>
        <v>7</v>
      </c>
      <c r="O421" s="30">
        <f>IF(A421="","",YEAR(A421))</f>
        <v>2026</v>
      </c>
      <c r="P421" s="30" t="str">
        <f>IF(A421="","",CHOOSE(WEEKDAY(A421,2),"Segunda","Terça","Quarta","Quinta","Sexta","Sábado","Domingo"))</f>
        <v>Terça</v>
      </c>
      <c r="Q421" s="30" t="str">
        <f>IF(B421="","",IF(B421&lt;TIME(12,0,0),"Manhã",IF(B421&lt;TIME(18,0,0),"Tarde","Noite")))</f>
        <v>Manhã</v>
      </c>
      <c r="R421" s="46">
        <f>IF(AND(H421="Realizado",L421&lt;&gt;"",A421&lt;=Config!$B$9),L421/60,0)</f>
        <v>0.5</v>
      </c>
      <c r="S421" s="45">
        <f>IF(G421="","",IFERROR(INDEX(Config!$K$5:$K$16,MATCH(G421,Config!$J$5:$J$16,0)),""))</f>
        <v>30</v>
      </c>
      <c r="T421" s="31">
        <f>IF(OR(G421="",F421=""),"",IFERROR(INDEX(Config!$M$5:$R$16,MATCH(G421,Config!$J$5:$J$16,0),MATCH(F421,Config!$H$5:$H$10,0)),""))</f>
        <v>90</v>
      </c>
      <c r="U421" s="47">
        <f>IF(AND(H421="Realizado",L421&lt;&gt;""),L421/60,0)</f>
        <v>0.5</v>
      </c>
      <c r="V421" s="47">
        <f>IF(AND(H421="Realizado",OR(L421="",M421="")),1,0)</f>
        <v>0</v>
      </c>
    </row>
    <row r="422">
      <c r="A422" s="43" t="n">
        <v>46217</v>
      </c>
      <c r="B422" s="44" t="n">
        <v>0.4097222222222222</v>
      </c>
      <c r="C422" s="38" t="inlineStr">
        <is>
          <t>Dra. Carolina Mendes</t>
        </is>
      </c>
      <c r="D422" s="38" t="inlineStr">
        <is>
          <t>Sala 1</t>
        </is>
      </c>
      <c r="E422" s="37" t="inlineStr">
        <is>
          <t>Regina Teixeira</t>
        </is>
      </c>
      <c r="F422" s="38" t="inlineStr">
        <is>
          <t>Particular</t>
        </is>
      </c>
      <c r="G422" s="38" t="inlineStr">
        <is>
          <t>Consulta</t>
        </is>
      </c>
      <c r="H422" s="38" t="inlineStr">
        <is>
          <t>Realizado</t>
        </is>
      </c>
      <c r="I422" s="38" t="inlineStr">
        <is>
          <t>Pix</t>
        </is>
      </c>
      <c r="J422" s="38" t="n"/>
      <c r="K422" s="37" t="n"/>
      <c r="L422" s="39" t="n">
        <v>30</v>
      </c>
      <c r="M422" s="40" t="n">
        <v>380</v>
      </c>
      <c r="N422" s="30">
        <f>IF(A422="","",MONTH(A422))</f>
        <v>7</v>
      </c>
      <c r="O422" s="30">
        <f>IF(A422="","",YEAR(A422))</f>
        <v>2026</v>
      </c>
      <c r="P422" s="30" t="str">
        <f>IF(A422="","",CHOOSE(WEEKDAY(A422,2),"Segunda","Terça","Quarta","Quinta","Sexta","Sábado","Domingo"))</f>
        <v>Terça</v>
      </c>
      <c r="Q422" s="30" t="str">
        <f>IF(B422="","",IF(B422&lt;TIME(12,0,0),"Manhã",IF(B422&lt;TIME(18,0,0),"Tarde","Noite")))</f>
        <v>Manhã</v>
      </c>
      <c r="R422" s="46">
        <f>IF(AND(H422="Realizado",L422&lt;&gt;"",A422&lt;=Config!$B$9),L422/60,0)</f>
        <v>0.5</v>
      </c>
      <c r="S422" s="45">
        <f>IF(G422="","",IFERROR(INDEX(Config!$K$5:$K$16,MATCH(G422,Config!$J$5:$J$16,0)),""))</f>
        <v>30</v>
      </c>
      <c r="T422" s="31">
        <f>IF(OR(G422="",F422=""),"",IFERROR(INDEX(Config!$M$5:$R$16,MATCH(G422,Config!$J$5:$J$16,0),MATCH(F422,Config!$H$5:$H$10,0)),""))</f>
        <v>380</v>
      </c>
      <c r="U422" s="47">
        <f>IF(AND(H422="Realizado",L422&lt;&gt;""),L422/60,0)</f>
        <v>0.5</v>
      </c>
      <c r="V422" s="47">
        <f>IF(AND(H422="Realizado",OR(L422="",M422="")),1,0)</f>
        <v>0</v>
      </c>
    </row>
    <row r="423">
      <c r="A423" s="43" t="n">
        <v>46217</v>
      </c>
      <c r="B423" s="44" t="n">
        <v>0.4513888888888889</v>
      </c>
      <c r="C423" s="38" t="inlineStr">
        <is>
          <t>Dra. Carolina Mendes</t>
        </is>
      </c>
      <c r="D423" s="38" t="inlineStr">
        <is>
          <t>Sala 1</t>
        </is>
      </c>
      <c r="E423" s="37" t="inlineStr">
        <is>
          <t>Camila Batista</t>
        </is>
      </c>
      <c r="F423" s="38" t="inlineStr">
        <is>
          <t>MediPlan</t>
        </is>
      </c>
      <c r="G423" s="38" t="inlineStr">
        <is>
          <t>Consulta</t>
        </is>
      </c>
      <c r="H423" s="38" t="inlineStr">
        <is>
          <t>Falta</t>
        </is>
      </c>
      <c r="I423" s="38" t="n"/>
      <c r="J423" s="38" t="n"/>
      <c r="K423" s="37" t="n"/>
      <c r="L423" s="39" t="n">
        <v>30</v>
      </c>
      <c r="M423" s="40" t="n">
        <v>100</v>
      </c>
      <c r="N423" s="30">
        <f>IF(A423="","",MONTH(A423))</f>
        <v>7</v>
      </c>
      <c r="O423" s="30">
        <f>IF(A423="","",YEAR(A423))</f>
        <v>2026</v>
      </c>
      <c r="P423" s="30" t="str">
        <f>IF(A423="","",CHOOSE(WEEKDAY(A423,2),"Segunda","Terça","Quarta","Quinta","Sexta","Sábado","Domingo"))</f>
        <v>Terça</v>
      </c>
      <c r="Q423" s="30" t="str">
        <f>IF(B423="","",IF(B423&lt;TIME(12,0,0),"Manhã",IF(B423&lt;TIME(18,0,0),"Tarde","Noite")))</f>
        <v>Manhã</v>
      </c>
      <c r="R423" s="46">
        <f>IF(AND(H423="Realizado",L423&lt;&gt;"",A423&lt;=Config!$B$9),L423/60,0)</f>
        <v>0</v>
      </c>
      <c r="S423" s="45">
        <f>IF(G423="","",IFERROR(INDEX(Config!$K$5:$K$16,MATCH(G423,Config!$J$5:$J$16,0)),""))</f>
        <v>30</v>
      </c>
      <c r="T423" s="31">
        <f>IF(OR(G423="",F423=""),"",IFERROR(INDEX(Config!$M$5:$R$16,MATCH(G423,Config!$J$5:$J$16,0),MATCH(F423,Config!$H$5:$H$10,0)),""))</f>
        <v>100</v>
      </c>
      <c r="U423" s="47">
        <f>IF(AND(H423="Realizado",L423&lt;&gt;""),L423/60,0)</f>
        <v>0</v>
      </c>
      <c r="V423" s="47">
        <f>IF(AND(H423="Realizado",OR(L423="",M423="")),1,0)</f>
        <v>0</v>
      </c>
    </row>
    <row r="424">
      <c r="A424" s="43" t="n">
        <v>46217</v>
      </c>
      <c r="B424" s="44" t="n">
        <v>0.4722222222222222</v>
      </c>
      <c r="C424" s="38" t="inlineStr">
        <is>
          <t>Dra. Carolina Mendes</t>
        </is>
      </c>
      <c r="D424" s="38" t="inlineStr">
        <is>
          <t>Sala 1</t>
        </is>
      </c>
      <c r="E424" s="37" t="inlineStr">
        <is>
          <t>Lucas Lopes</t>
        </is>
      </c>
      <c r="F424" s="38" t="inlineStr">
        <is>
          <t>Particular</t>
        </is>
      </c>
      <c r="G424" s="38" t="inlineStr">
        <is>
          <t>Consulta</t>
        </is>
      </c>
      <c r="H424" s="38" t="inlineStr">
        <is>
          <t>Realizado</t>
        </is>
      </c>
      <c r="I424" s="38" t="inlineStr">
        <is>
          <t>A prazo</t>
        </is>
      </c>
      <c r="J424" s="38" t="n"/>
      <c r="K424" s="37" t="n"/>
      <c r="L424" s="39" t="n">
        <v>30</v>
      </c>
      <c r="M424" s="40" t="n">
        <v>380</v>
      </c>
      <c r="N424" s="30">
        <f>IF(A424="","",MONTH(A424))</f>
        <v>7</v>
      </c>
      <c r="O424" s="30">
        <f>IF(A424="","",YEAR(A424))</f>
        <v>2026</v>
      </c>
      <c r="P424" s="30" t="str">
        <f>IF(A424="","",CHOOSE(WEEKDAY(A424,2),"Segunda","Terça","Quarta","Quinta","Sexta","Sábado","Domingo"))</f>
        <v>Terça</v>
      </c>
      <c r="Q424" s="30" t="str">
        <f>IF(B424="","",IF(B424&lt;TIME(12,0,0),"Manhã",IF(B424&lt;TIME(18,0,0),"Tarde","Noite")))</f>
        <v>Manhã</v>
      </c>
      <c r="R424" s="46">
        <f>IF(AND(H424="Realizado",L424&lt;&gt;"",A424&lt;=Config!$B$9),L424/60,0)</f>
        <v>0.5</v>
      </c>
      <c r="S424" s="45">
        <f>IF(G424="","",IFERROR(INDEX(Config!$K$5:$K$16,MATCH(G424,Config!$J$5:$J$16,0)),""))</f>
        <v>30</v>
      </c>
      <c r="T424" s="31">
        <f>IF(OR(G424="",F424=""),"",IFERROR(INDEX(Config!$M$5:$R$16,MATCH(G424,Config!$J$5:$J$16,0),MATCH(F424,Config!$H$5:$H$10,0)),""))</f>
        <v>380</v>
      </c>
      <c r="U424" s="47">
        <f>IF(AND(H424="Realizado",L424&lt;&gt;""),L424/60,0)</f>
        <v>0.5</v>
      </c>
      <c r="V424" s="47">
        <f>IF(AND(H424="Realizado",OR(L424="",M424="")),1,0)</f>
        <v>0</v>
      </c>
    </row>
    <row r="425">
      <c r="A425" s="43" t="n">
        <v>46217</v>
      </c>
      <c r="B425" s="44" t="n">
        <v>0.5833333333333334</v>
      </c>
      <c r="C425" s="38" t="inlineStr">
        <is>
          <t>Dra. Renata Sousa</t>
        </is>
      </c>
      <c r="D425" s="38" t="inlineStr">
        <is>
          <t>Sala 1</t>
        </is>
      </c>
      <c r="E425" s="37" t="inlineStr">
        <is>
          <t>Eduardo Pereira</t>
        </is>
      </c>
      <c r="F425" s="38" t="inlineStr">
        <is>
          <t>Particular</t>
        </is>
      </c>
      <c r="G425" s="38" t="inlineStr">
        <is>
          <t>Retorno</t>
        </is>
      </c>
      <c r="H425" s="38" t="inlineStr">
        <is>
          <t>Realizado</t>
        </is>
      </c>
      <c r="I425" s="38" t="inlineStr">
        <is>
          <t>Sem cobrança</t>
        </is>
      </c>
      <c r="J425" s="38" t="n"/>
      <c r="K425" s="37" t="n"/>
      <c r="L425" s="39" t="n">
        <v>20</v>
      </c>
      <c r="M425" s="40" t="n">
        <v>0</v>
      </c>
      <c r="N425" s="30">
        <f>IF(A425="","",MONTH(A425))</f>
        <v>7</v>
      </c>
      <c r="O425" s="30">
        <f>IF(A425="","",YEAR(A425))</f>
        <v>2026</v>
      </c>
      <c r="P425" s="30" t="str">
        <f>IF(A425="","",CHOOSE(WEEKDAY(A425,2),"Segunda","Terça","Quarta","Quinta","Sexta","Sábado","Domingo"))</f>
        <v>Terça</v>
      </c>
      <c r="Q425" s="30" t="str">
        <f>IF(B425="","",IF(B425&lt;TIME(12,0,0),"Manhã",IF(B425&lt;TIME(18,0,0),"Tarde","Noite")))</f>
        <v>Tarde</v>
      </c>
      <c r="R425" s="46">
        <f>IF(AND(H425="Realizado",L425&lt;&gt;"",A425&lt;=Config!$B$9),L425/60,0)</f>
        <v>0.333333333333333</v>
      </c>
      <c r="S425" s="45">
        <f>IF(G425="","",IFERROR(INDEX(Config!$K$5:$K$16,MATCH(G425,Config!$J$5:$J$16,0)),""))</f>
        <v>20</v>
      </c>
      <c r="T425" s="31">
        <f>IF(OR(G425="",F425=""),"",IFERROR(INDEX(Config!$M$5:$R$16,MATCH(G425,Config!$J$5:$J$16,0),MATCH(F425,Config!$H$5:$H$10,0)),""))</f>
        <v>0</v>
      </c>
      <c r="U425" s="47">
        <f>IF(AND(H425="Realizado",L425&lt;&gt;""),L425/60,0)</f>
        <v>0.333333333333333</v>
      </c>
      <c r="V425" s="47">
        <f>IF(AND(H425="Realizado",OR(L425="",M425="")),1,0)</f>
        <v>0</v>
      </c>
    </row>
    <row r="426">
      <c r="A426" s="43" t="n">
        <v>46217</v>
      </c>
      <c r="B426" s="44" t="n">
        <v>0.5833333333333334</v>
      </c>
      <c r="C426" s="38" t="inlineStr">
        <is>
          <t>Dr. Paulo Andrade</t>
        </is>
      </c>
      <c r="D426" s="38" t="inlineStr">
        <is>
          <t>Sala 2</t>
        </is>
      </c>
      <c r="E426" s="37" t="inlineStr">
        <is>
          <t>Paulo Reis</t>
        </is>
      </c>
      <c r="F426" s="38" t="inlineStr">
        <is>
          <t>Particular</t>
        </is>
      </c>
      <c r="G426" s="38" t="inlineStr">
        <is>
          <t>Consulta</t>
        </is>
      </c>
      <c r="H426" s="38" t="inlineStr">
        <is>
          <t>Realizado</t>
        </is>
      </c>
      <c r="I426" s="38" t="inlineStr">
        <is>
          <t>A prazo</t>
        </is>
      </c>
      <c r="J426" s="38" t="n"/>
      <c r="K426" s="37" t="n"/>
      <c r="L426" s="39" t="n">
        <v>30</v>
      </c>
      <c r="M426" s="40" t="n">
        <v>380</v>
      </c>
      <c r="N426" s="30">
        <f>IF(A426="","",MONTH(A426))</f>
        <v>7</v>
      </c>
      <c r="O426" s="30">
        <f>IF(A426="","",YEAR(A426))</f>
        <v>2026</v>
      </c>
      <c r="P426" s="30" t="str">
        <f>IF(A426="","",CHOOSE(WEEKDAY(A426,2),"Segunda","Terça","Quarta","Quinta","Sexta","Sábado","Domingo"))</f>
        <v>Terça</v>
      </c>
      <c r="Q426" s="30" t="str">
        <f>IF(B426="","",IF(B426&lt;TIME(12,0,0),"Manhã",IF(B426&lt;TIME(18,0,0),"Tarde","Noite")))</f>
        <v>Tarde</v>
      </c>
      <c r="R426" s="46">
        <f>IF(AND(H426="Realizado",L426&lt;&gt;"",A426&lt;=Config!$B$9),L426/60,0)</f>
        <v>0.5</v>
      </c>
      <c r="S426" s="45">
        <f>IF(G426="","",IFERROR(INDEX(Config!$K$5:$K$16,MATCH(G426,Config!$J$5:$J$16,0)),""))</f>
        <v>30</v>
      </c>
      <c r="T426" s="31">
        <f>IF(OR(G426="",F426=""),"",IFERROR(INDEX(Config!$M$5:$R$16,MATCH(G426,Config!$J$5:$J$16,0),MATCH(F426,Config!$H$5:$H$10,0)),""))</f>
        <v>380</v>
      </c>
      <c r="U426" s="47">
        <f>IF(AND(H426="Realizado",L426&lt;&gt;""),L426/60,0)</f>
        <v>0.5</v>
      </c>
      <c r="V426" s="47">
        <f>IF(AND(H426="Realizado",OR(L426="",M426="")),1,0)</f>
        <v>0</v>
      </c>
    </row>
    <row r="427">
      <c r="A427" s="43" t="n">
        <v>46217</v>
      </c>
      <c r="B427" s="44" t="n">
        <v>0.5972222222222222</v>
      </c>
      <c r="C427" s="38" t="inlineStr">
        <is>
          <t>Dra. Renata Sousa</t>
        </is>
      </c>
      <c r="D427" s="38" t="inlineStr">
        <is>
          <t>Sala 1</t>
        </is>
      </c>
      <c r="E427" s="37" t="inlineStr">
        <is>
          <t>Priscila Reis</t>
        </is>
      </c>
      <c r="F427" s="38" t="inlineStr">
        <is>
          <t>Particular</t>
        </is>
      </c>
      <c r="G427" s="38" t="inlineStr">
        <is>
          <t>Avaliação endócrina</t>
        </is>
      </c>
      <c r="H427" s="38" t="inlineStr">
        <is>
          <t>Realizado</t>
        </is>
      </c>
      <c r="I427" s="38" t="inlineStr">
        <is>
          <t>Pix</t>
        </is>
      </c>
      <c r="J427" s="38" t="n"/>
      <c r="K427" s="37" t="n"/>
      <c r="L427" s="39" t="n">
        <v>40</v>
      </c>
      <c r="M427" s="40" t="n">
        <v>400</v>
      </c>
      <c r="N427" s="30">
        <f>IF(A427="","",MONTH(A427))</f>
        <v>7</v>
      </c>
      <c r="O427" s="30">
        <f>IF(A427="","",YEAR(A427))</f>
        <v>2026</v>
      </c>
      <c r="P427" s="30" t="str">
        <f>IF(A427="","",CHOOSE(WEEKDAY(A427,2),"Segunda","Terça","Quarta","Quinta","Sexta","Sábado","Domingo"))</f>
        <v>Terça</v>
      </c>
      <c r="Q427" s="30" t="str">
        <f>IF(B427="","",IF(B427&lt;TIME(12,0,0),"Manhã",IF(B427&lt;TIME(18,0,0),"Tarde","Noite")))</f>
        <v>Tarde</v>
      </c>
      <c r="R427" s="46">
        <f>IF(AND(H427="Realizado",L427&lt;&gt;"",A427&lt;=Config!$B$9),L427/60,0)</f>
        <v>0.666666666666667</v>
      </c>
      <c r="S427" s="45">
        <f>IF(G427="","",IFERROR(INDEX(Config!$K$5:$K$16,MATCH(G427,Config!$J$5:$J$16,0)),""))</f>
        <v>40</v>
      </c>
      <c r="T427" s="31">
        <f>IF(OR(G427="",F427=""),"",IFERROR(INDEX(Config!$M$5:$R$16,MATCH(G427,Config!$J$5:$J$16,0),MATCH(F427,Config!$H$5:$H$10,0)),""))</f>
        <v>400</v>
      </c>
      <c r="U427" s="47">
        <f>IF(AND(H427="Realizado",L427&lt;&gt;""),L427/60,0)</f>
        <v>0.666666666666667</v>
      </c>
      <c r="V427" s="47">
        <f>IF(AND(H427="Realizado",OR(L427="",M427="")),1,0)</f>
        <v>0</v>
      </c>
    </row>
    <row r="428">
      <c r="A428" s="43" t="n">
        <v>46217</v>
      </c>
      <c r="B428" s="44" t="n">
        <v>0.6041666666666666</v>
      </c>
      <c r="C428" s="38" t="inlineStr">
        <is>
          <t>Dr. Paulo Andrade</t>
        </is>
      </c>
      <c r="D428" s="38" t="inlineStr">
        <is>
          <t>Sala 2</t>
        </is>
      </c>
      <c r="E428" s="37" t="inlineStr">
        <is>
          <t>Priscila Rocha</t>
        </is>
      </c>
      <c r="F428" s="38" t="inlineStr">
        <is>
          <t>MediPlan</t>
        </is>
      </c>
      <c r="G428" s="38" t="inlineStr">
        <is>
          <t>Consulta</t>
        </is>
      </c>
      <c r="H428" s="38" t="inlineStr">
        <is>
          <t>Realizado</t>
        </is>
      </c>
      <c r="I428" s="38" t="inlineStr">
        <is>
          <t>Convênio</t>
        </is>
      </c>
      <c r="J428" s="38" t="n"/>
      <c r="K428" s="37" t="n"/>
      <c r="L428" s="39" t="n">
        <v>30</v>
      </c>
      <c r="M428" s="40" t="n">
        <v>100</v>
      </c>
      <c r="N428" s="30">
        <f>IF(A428="","",MONTH(A428))</f>
        <v>7</v>
      </c>
      <c r="O428" s="30">
        <f>IF(A428="","",YEAR(A428))</f>
        <v>2026</v>
      </c>
      <c r="P428" s="30" t="str">
        <f>IF(A428="","",CHOOSE(WEEKDAY(A428,2),"Segunda","Terça","Quarta","Quinta","Sexta","Sábado","Domingo"))</f>
        <v>Terça</v>
      </c>
      <c r="Q428" s="30" t="str">
        <f>IF(B428="","",IF(B428&lt;TIME(12,0,0),"Manhã",IF(B428&lt;TIME(18,0,0),"Tarde","Noite")))</f>
        <v>Tarde</v>
      </c>
      <c r="R428" s="46">
        <f>IF(AND(H428="Realizado",L428&lt;&gt;"",A428&lt;=Config!$B$9),L428/60,0)</f>
        <v>0.5</v>
      </c>
      <c r="S428" s="45">
        <f>IF(G428="","",IFERROR(INDEX(Config!$K$5:$K$16,MATCH(G428,Config!$J$5:$J$16,0)),""))</f>
        <v>30</v>
      </c>
      <c r="T428" s="31">
        <f>IF(OR(G428="",F428=""),"",IFERROR(INDEX(Config!$M$5:$R$16,MATCH(G428,Config!$J$5:$J$16,0),MATCH(F428,Config!$H$5:$H$10,0)),""))</f>
        <v>100</v>
      </c>
      <c r="U428" s="47">
        <f>IF(AND(H428="Realizado",L428&lt;&gt;""),L428/60,0)</f>
        <v>0.5</v>
      </c>
      <c r="V428" s="47">
        <f>IF(AND(H428="Realizado",OR(L428="",M428="")),1,0)</f>
        <v>0</v>
      </c>
    </row>
    <row r="429">
      <c r="A429" s="43" t="n">
        <v>46217</v>
      </c>
      <c r="B429" s="44" t="n">
        <v>0.625</v>
      </c>
      <c r="C429" s="38" t="inlineStr">
        <is>
          <t>Dra. Renata Sousa</t>
        </is>
      </c>
      <c r="D429" s="38" t="inlineStr">
        <is>
          <t>Sala 1</t>
        </is>
      </c>
      <c r="E429" s="37" t="inlineStr">
        <is>
          <t>Cláudia Melo</t>
        </is>
      </c>
      <c r="F429" s="38" t="inlineStr">
        <is>
          <t>Particular</t>
        </is>
      </c>
      <c r="G429" s="38" t="inlineStr">
        <is>
          <t>Avaliação endócrina</t>
        </is>
      </c>
      <c r="H429" s="38" t="inlineStr">
        <is>
          <t>Realizado</t>
        </is>
      </c>
      <c r="I429" s="38" t="inlineStr">
        <is>
          <t>Cartão de crédito</t>
        </is>
      </c>
      <c r="J429" s="38" t="n"/>
      <c r="K429" s="37" t="n"/>
      <c r="L429" s="39" t="n">
        <v>40</v>
      </c>
      <c r="M429" s="40" t="n">
        <v>400</v>
      </c>
      <c r="N429" s="30">
        <f>IF(A429="","",MONTH(A429))</f>
        <v>7</v>
      </c>
      <c r="O429" s="30">
        <f>IF(A429="","",YEAR(A429))</f>
        <v>2026</v>
      </c>
      <c r="P429" s="30" t="str">
        <f>IF(A429="","",CHOOSE(WEEKDAY(A429,2),"Segunda","Terça","Quarta","Quinta","Sexta","Sábado","Domingo"))</f>
        <v>Terça</v>
      </c>
      <c r="Q429" s="30" t="str">
        <f>IF(B429="","",IF(B429&lt;TIME(12,0,0),"Manhã",IF(B429&lt;TIME(18,0,0),"Tarde","Noite")))</f>
        <v>Tarde</v>
      </c>
      <c r="R429" s="46">
        <f>IF(AND(H429="Realizado",L429&lt;&gt;"",A429&lt;=Config!$B$9),L429/60,0)</f>
        <v>0.666666666666667</v>
      </c>
      <c r="S429" s="45">
        <f>IF(G429="","",IFERROR(INDEX(Config!$K$5:$K$16,MATCH(G429,Config!$J$5:$J$16,0)),""))</f>
        <v>40</v>
      </c>
      <c r="T429" s="31">
        <f>IF(OR(G429="",F429=""),"",IFERROR(INDEX(Config!$M$5:$R$16,MATCH(G429,Config!$J$5:$J$16,0),MATCH(F429,Config!$H$5:$H$10,0)),""))</f>
        <v>400</v>
      </c>
      <c r="U429" s="47">
        <f>IF(AND(H429="Realizado",L429&lt;&gt;""),L429/60,0)</f>
        <v>0.666666666666667</v>
      </c>
      <c r="V429" s="47">
        <f>IF(AND(H429="Realizado",OR(L429="",M429="")),1,0)</f>
        <v>0</v>
      </c>
    </row>
    <row r="430">
      <c r="A430" s="43" t="n">
        <v>46217</v>
      </c>
      <c r="B430" s="44" t="n">
        <v>0.625</v>
      </c>
      <c r="C430" s="38" t="inlineStr">
        <is>
          <t>Dr. Paulo Andrade</t>
        </is>
      </c>
      <c r="D430" s="38" t="inlineStr">
        <is>
          <t>Sala 2</t>
        </is>
      </c>
      <c r="E430" s="37" t="inlineStr">
        <is>
          <t>Rafael Dias</t>
        </is>
      </c>
      <c r="F430" s="38" t="inlineStr">
        <is>
          <t>Particular</t>
        </is>
      </c>
      <c r="G430" s="38" t="inlineStr">
        <is>
          <t>ECG</t>
        </is>
      </c>
      <c r="H430" s="38" t="inlineStr">
        <is>
          <t>Realizado</t>
        </is>
      </c>
      <c r="I430" s="38" t="inlineStr">
        <is>
          <t>Cartão de crédito</t>
        </is>
      </c>
      <c r="J430" s="38" t="n"/>
      <c r="K430" s="37" t="n"/>
      <c r="L430" s="39" t="n">
        <v>20</v>
      </c>
      <c r="M430" s="40" t="n">
        <v>130</v>
      </c>
      <c r="N430" s="30">
        <f>IF(A430="","",MONTH(A430))</f>
        <v>7</v>
      </c>
      <c r="O430" s="30">
        <f>IF(A430="","",YEAR(A430))</f>
        <v>2026</v>
      </c>
      <c r="P430" s="30" t="str">
        <f>IF(A430="","",CHOOSE(WEEKDAY(A430,2),"Segunda","Terça","Quarta","Quinta","Sexta","Sábado","Domingo"))</f>
        <v>Terça</v>
      </c>
      <c r="Q430" s="30" t="str">
        <f>IF(B430="","",IF(B430&lt;TIME(12,0,0),"Manhã",IF(B430&lt;TIME(18,0,0),"Tarde","Noite")))</f>
        <v>Tarde</v>
      </c>
      <c r="R430" s="46">
        <f>IF(AND(H430="Realizado",L430&lt;&gt;"",A430&lt;=Config!$B$9),L430/60,0)</f>
        <v>0.333333333333333</v>
      </c>
      <c r="S430" s="45">
        <f>IF(G430="","",IFERROR(INDEX(Config!$K$5:$K$16,MATCH(G430,Config!$J$5:$J$16,0)),""))</f>
        <v>20</v>
      </c>
      <c r="T430" s="31">
        <f>IF(OR(G430="",F430=""),"",IFERROR(INDEX(Config!$M$5:$R$16,MATCH(G430,Config!$J$5:$J$16,0),MATCH(F430,Config!$H$5:$H$10,0)),""))</f>
        <v>130</v>
      </c>
      <c r="U430" s="47">
        <f>IF(AND(H430="Realizado",L430&lt;&gt;""),L430/60,0)</f>
        <v>0.333333333333333</v>
      </c>
      <c r="V430" s="47">
        <f>IF(AND(H430="Realizado",OR(L430="",M430="")),1,0)</f>
        <v>0</v>
      </c>
    </row>
    <row r="431">
      <c r="A431" s="43" t="n">
        <v>46217</v>
      </c>
      <c r="B431" s="44" t="n">
        <v>0.6388888888888888</v>
      </c>
      <c r="C431" s="38" t="inlineStr">
        <is>
          <t>Dr. Paulo Andrade</t>
        </is>
      </c>
      <c r="D431" s="38" t="inlineStr">
        <is>
          <t>Sala 2</t>
        </is>
      </c>
      <c r="E431" s="37" t="inlineStr">
        <is>
          <t>Mônica Martins</t>
        </is>
      </c>
      <c r="F431" s="38" t="inlineStr">
        <is>
          <t>Particular</t>
        </is>
      </c>
      <c r="G431" s="38" t="inlineStr">
        <is>
          <t>ECG</t>
        </is>
      </c>
      <c r="H431" s="38" t="inlineStr">
        <is>
          <t>Realizado</t>
        </is>
      </c>
      <c r="I431" s="38" t="inlineStr">
        <is>
          <t>Pix</t>
        </is>
      </c>
      <c r="J431" s="38" t="n"/>
      <c r="K431" s="37" t="n"/>
      <c r="L431" s="39" t="n">
        <v>20</v>
      </c>
      <c r="M431" s="40" t="n">
        <v>130</v>
      </c>
      <c r="N431" s="30">
        <f>IF(A431="","",MONTH(A431))</f>
        <v>7</v>
      </c>
      <c r="O431" s="30">
        <f>IF(A431="","",YEAR(A431))</f>
        <v>2026</v>
      </c>
      <c r="P431" s="30" t="str">
        <f>IF(A431="","",CHOOSE(WEEKDAY(A431,2),"Segunda","Terça","Quarta","Quinta","Sexta","Sábado","Domingo"))</f>
        <v>Terça</v>
      </c>
      <c r="Q431" s="30" t="str">
        <f>IF(B431="","",IF(B431&lt;TIME(12,0,0),"Manhã",IF(B431&lt;TIME(18,0,0),"Tarde","Noite")))</f>
        <v>Tarde</v>
      </c>
      <c r="R431" s="46">
        <f>IF(AND(H431="Realizado",L431&lt;&gt;"",A431&lt;=Config!$B$9),L431/60,0)</f>
        <v>0.333333333333333</v>
      </c>
      <c r="S431" s="45">
        <f>IF(G431="","",IFERROR(INDEX(Config!$K$5:$K$16,MATCH(G431,Config!$J$5:$J$16,0)),""))</f>
        <v>20</v>
      </c>
      <c r="T431" s="31">
        <f>IF(OR(G431="",F431=""),"",IFERROR(INDEX(Config!$M$5:$R$16,MATCH(G431,Config!$J$5:$J$16,0),MATCH(F431,Config!$H$5:$H$10,0)),""))</f>
        <v>130</v>
      </c>
      <c r="U431" s="47">
        <f>IF(AND(H431="Realizado",L431&lt;&gt;""),L431/60,0)</f>
        <v>0.333333333333333</v>
      </c>
      <c r="V431" s="47">
        <f>IF(AND(H431="Realizado",OR(L431="",M431="")),1,0)</f>
        <v>0</v>
      </c>
    </row>
    <row r="432">
      <c r="A432" s="43" t="n">
        <v>46217</v>
      </c>
      <c r="B432" s="44" t="n">
        <v>0.6527777777777778</v>
      </c>
      <c r="C432" s="38" t="inlineStr">
        <is>
          <t>Dra. Renata Sousa</t>
        </is>
      </c>
      <c r="D432" s="38" t="inlineStr">
        <is>
          <t>Sala 1</t>
        </is>
      </c>
      <c r="E432" s="37" t="inlineStr">
        <is>
          <t>Patrícia Dias</t>
        </is>
      </c>
      <c r="F432" s="38" t="inlineStr">
        <is>
          <t>Particular</t>
        </is>
      </c>
      <c r="G432" s="38" t="inlineStr">
        <is>
          <t>Retorno</t>
        </is>
      </c>
      <c r="H432" s="38" t="inlineStr">
        <is>
          <t>Realizado</t>
        </is>
      </c>
      <c r="I432" s="38" t="inlineStr">
        <is>
          <t>Sem cobrança</t>
        </is>
      </c>
      <c r="J432" s="38" t="n"/>
      <c r="K432" s="37" t="n"/>
      <c r="L432" s="39" t="n">
        <v>20</v>
      </c>
      <c r="M432" s="40" t="n">
        <v>0</v>
      </c>
      <c r="N432" s="30">
        <f>IF(A432="","",MONTH(A432))</f>
        <v>7</v>
      </c>
      <c r="O432" s="30">
        <f>IF(A432="","",YEAR(A432))</f>
        <v>2026</v>
      </c>
      <c r="P432" s="30" t="str">
        <f>IF(A432="","",CHOOSE(WEEKDAY(A432,2),"Segunda","Terça","Quarta","Quinta","Sexta","Sábado","Domingo"))</f>
        <v>Terça</v>
      </c>
      <c r="Q432" s="30" t="str">
        <f>IF(B432="","",IF(B432&lt;TIME(12,0,0),"Manhã",IF(B432&lt;TIME(18,0,0),"Tarde","Noite")))</f>
        <v>Tarde</v>
      </c>
      <c r="R432" s="46">
        <f>IF(AND(H432="Realizado",L432&lt;&gt;"",A432&lt;=Config!$B$9),L432/60,0)</f>
        <v>0.333333333333333</v>
      </c>
      <c r="S432" s="45">
        <f>IF(G432="","",IFERROR(INDEX(Config!$K$5:$K$16,MATCH(G432,Config!$J$5:$J$16,0)),""))</f>
        <v>20</v>
      </c>
      <c r="T432" s="31">
        <f>IF(OR(G432="",F432=""),"",IFERROR(INDEX(Config!$M$5:$R$16,MATCH(G432,Config!$J$5:$J$16,0),MATCH(F432,Config!$H$5:$H$10,0)),""))</f>
        <v>0</v>
      </c>
      <c r="U432" s="47">
        <f>IF(AND(H432="Realizado",L432&lt;&gt;""),L432/60,0)</f>
        <v>0.333333333333333</v>
      </c>
      <c r="V432" s="47">
        <f>IF(AND(H432="Realizado",OR(L432="",M432="")),1,0)</f>
        <v>0</v>
      </c>
    </row>
    <row r="433">
      <c r="A433" s="43" t="n">
        <v>46217</v>
      </c>
      <c r="B433" s="44" t="n">
        <v>0.6527777777777778</v>
      </c>
      <c r="C433" s="38" t="inlineStr">
        <is>
          <t>Dr. Paulo Andrade</t>
        </is>
      </c>
      <c r="D433" s="38" t="inlineStr">
        <is>
          <t>Sala 2</t>
        </is>
      </c>
      <c r="E433" s="37" t="inlineStr">
        <is>
          <t>Marcelo Ferreira</t>
        </is>
      </c>
      <c r="F433" s="38" t="inlineStr">
        <is>
          <t>Particular</t>
        </is>
      </c>
      <c r="G433" s="38" t="inlineStr">
        <is>
          <t>Consulta</t>
        </is>
      </c>
      <c r="H433" s="38" t="inlineStr">
        <is>
          <t>Realizado</t>
        </is>
      </c>
      <c r="I433" s="38" t="inlineStr">
        <is>
          <t>Cartão de crédito</t>
        </is>
      </c>
      <c r="J433" s="38" t="n">
        <v>2</v>
      </c>
      <c r="K433" s="37" t="n"/>
      <c r="L433" s="39" t="n">
        <v>30</v>
      </c>
      <c r="M433" s="40" t="n">
        <v>380</v>
      </c>
      <c r="N433" s="30">
        <f>IF(A433="","",MONTH(A433))</f>
        <v>7</v>
      </c>
      <c r="O433" s="30">
        <f>IF(A433="","",YEAR(A433))</f>
        <v>2026</v>
      </c>
      <c r="P433" s="30" t="str">
        <f>IF(A433="","",CHOOSE(WEEKDAY(A433,2),"Segunda","Terça","Quarta","Quinta","Sexta","Sábado","Domingo"))</f>
        <v>Terça</v>
      </c>
      <c r="Q433" s="30" t="str">
        <f>IF(B433="","",IF(B433&lt;TIME(12,0,0),"Manhã",IF(B433&lt;TIME(18,0,0),"Tarde","Noite")))</f>
        <v>Tarde</v>
      </c>
      <c r="R433" s="46">
        <f>IF(AND(H433="Realizado",L433&lt;&gt;"",A433&lt;=Config!$B$9),L433/60,0)</f>
        <v>0.5</v>
      </c>
      <c r="S433" s="45">
        <f>IF(G433="","",IFERROR(INDEX(Config!$K$5:$K$16,MATCH(G433,Config!$J$5:$J$16,0)),""))</f>
        <v>30</v>
      </c>
      <c r="T433" s="31">
        <f>IF(OR(G433="",F433=""),"",IFERROR(INDEX(Config!$M$5:$R$16,MATCH(G433,Config!$J$5:$J$16,0),MATCH(F433,Config!$H$5:$H$10,0)),""))</f>
        <v>380</v>
      </c>
      <c r="U433" s="47">
        <f>IF(AND(H433="Realizado",L433&lt;&gt;""),L433/60,0)</f>
        <v>0.5</v>
      </c>
      <c r="V433" s="47">
        <f>IF(AND(H433="Realizado",OR(L433="",M433="")),1,0)</f>
        <v>0</v>
      </c>
    </row>
    <row r="434">
      <c r="A434" s="43" t="n">
        <v>46217</v>
      </c>
      <c r="B434" s="44" t="n">
        <v>0.6666666666666666</v>
      </c>
      <c r="C434" s="38" t="inlineStr">
        <is>
          <t>Dra. Renata Sousa</t>
        </is>
      </c>
      <c r="D434" s="38" t="inlineStr">
        <is>
          <t>Sala 1</t>
        </is>
      </c>
      <c r="E434" s="37" t="inlineStr">
        <is>
          <t>Roberta Lima</t>
        </is>
      </c>
      <c r="F434" s="38" t="inlineStr">
        <is>
          <t>Particular</t>
        </is>
      </c>
      <c r="G434" s="38" t="inlineStr">
        <is>
          <t>Avaliação endócrina</t>
        </is>
      </c>
      <c r="H434" s="38" t="inlineStr">
        <is>
          <t>Realizado</t>
        </is>
      </c>
      <c r="I434" s="38" t="inlineStr">
        <is>
          <t>Cartão de crédito</t>
        </is>
      </c>
      <c r="J434" s="38" t="n"/>
      <c r="K434" s="37" t="n"/>
      <c r="L434" s="39" t="n">
        <v>40</v>
      </c>
      <c r="M434" s="40" t="n">
        <v>400</v>
      </c>
      <c r="N434" s="30">
        <f>IF(A434="","",MONTH(A434))</f>
        <v>7</v>
      </c>
      <c r="O434" s="30">
        <f>IF(A434="","",YEAR(A434))</f>
        <v>2026</v>
      </c>
      <c r="P434" s="30" t="str">
        <f>IF(A434="","",CHOOSE(WEEKDAY(A434,2),"Segunda","Terça","Quarta","Quinta","Sexta","Sábado","Domingo"))</f>
        <v>Terça</v>
      </c>
      <c r="Q434" s="30" t="str">
        <f>IF(B434="","",IF(B434&lt;TIME(12,0,0),"Manhã",IF(B434&lt;TIME(18,0,0),"Tarde","Noite")))</f>
        <v>Tarde</v>
      </c>
      <c r="R434" s="46">
        <f>IF(AND(H434="Realizado",L434&lt;&gt;"",A434&lt;=Config!$B$9),L434/60,0)</f>
        <v>0.666666666666667</v>
      </c>
      <c r="S434" s="45">
        <f>IF(G434="","",IFERROR(INDEX(Config!$K$5:$K$16,MATCH(G434,Config!$J$5:$J$16,0)),""))</f>
        <v>40</v>
      </c>
      <c r="T434" s="31">
        <f>IF(OR(G434="",F434=""),"",IFERROR(INDEX(Config!$M$5:$R$16,MATCH(G434,Config!$J$5:$J$16,0),MATCH(F434,Config!$H$5:$H$10,0)),""))</f>
        <v>400</v>
      </c>
      <c r="U434" s="47">
        <f>IF(AND(H434="Realizado",L434&lt;&gt;""),L434/60,0)</f>
        <v>0.666666666666667</v>
      </c>
      <c r="V434" s="47">
        <f>IF(AND(H434="Realizado",OR(L434="",M434="")),1,0)</f>
        <v>0</v>
      </c>
    </row>
    <row r="435">
      <c r="A435" s="43" t="n">
        <v>46217</v>
      </c>
      <c r="B435" s="44" t="n">
        <v>0.6944444444444444</v>
      </c>
      <c r="C435" s="38" t="inlineStr">
        <is>
          <t>Dra. Renata Sousa</t>
        </is>
      </c>
      <c r="D435" s="38" t="inlineStr">
        <is>
          <t>Sala 1</t>
        </is>
      </c>
      <c r="E435" s="37" t="inlineStr">
        <is>
          <t>Thiago Melo</t>
        </is>
      </c>
      <c r="F435" s="38" t="inlineStr">
        <is>
          <t>Particular</t>
        </is>
      </c>
      <c r="G435" s="38" t="inlineStr">
        <is>
          <t>Avaliação endócrina</t>
        </is>
      </c>
      <c r="H435" s="38" t="inlineStr">
        <is>
          <t>Realizado</t>
        </is>
      </c>
      <c r="I435" s="38" t="inlineStr">
        <is>
          <t>Cartão de crédito</t>
        </is>
      </c>
      <c r="J435" s="38" t="n">
        <v>2</v>
      </c>
      <c r="K435" s="37" t="n"/>
      <c r="L435" s="39" t="n">
        <v>40</v>
      </c>
      <c r="M435" s="40" t="n">
        <v>400</v>
      </c>
      <c r="N435" s="30">
        <f>IF(A435="","",MONTH(A435))</f>
        <v>7</v>
      </c>
      <c r="O435" s="30">
        <f>IF(A435="","",YEAR(A435))</f>
        <v>2026</v>
      </c>
      <c r="P435" s="30" t="str">
        <f>IF(A435="","",CHOOSE(WEEKDAY(A435,2),"Segunda","Terça","Quarta","Quinta","Sexta","Sábado","Domingo"))</f>
        <v>Terça</v>
      </c>
      <c r="Q435" s="30" t="str">
        <f>IF(B435="","",IF(B435&lt;TIME(12,0,0),"Manhã",IF(B435&lt;TIME(18,0,0),"Tarde","Noite")))</f>
        <v>Tarde</v>
      </c>
      <c r="R435" s="46">
        <f>IF(AND(H435="Realizado",L435&lt;&gt;"",A435&lt;=Config!$B$9),L435/60,0)</f>
        <v>0.666666666666667</v>
      </c>
      <c r="S435" s="45">
        <f>IF(G435="","",IFERROR(INDEX(Config!$K$5:$K$16,MATCH(G435,Config!$J$5:$J$16,0)),""))</f>
        <v>40</v>
      </c>
      <c r="T435" s="31">
        <f>IF(OR(G435="",F435=""),"",IFERROR(INDEX(Config!$M$5:$R$16,MATCH(G435,Config!$J$5:$J$16,0),MATCH(F435,Config!$H$5:$H$10,0)),""))</f>
        <v>400</v>
      </c>
      <c r="U435" s="47">
        <f>IF(AND(H435="Realizado",L435&lt;&gt;""),L435/60,0)</f>
        <v>0.666666666666667</v>
      </c>
      <c r="V435" s="47">
        <f>IF(AND(H435="Realizado",OR(L435="",M435="")),1,0)</f>
        <v>0</v>
      </c>
    </row>
    <row r="436">
      <c r="A436" s="43" t="n">
        <v>46217</v>
      </c>
      <c r="B436" s="44" t="n">
        <v>0.7152777777777778</v>
      </c>
      <c r="C436" s="38" t="inlineStr">
        <is>
          <t>Dr. Paulo Andrade</t>
        </is>
      </c>
      <c r="D436" s="38" t="inlineStr">
        <is>
          <t>Sala 2</t>
        </is>
      </c>
      <c r="E436" s="37" t="inlineStr">
        <is>
          <t>Rafael Barros</t>
        </is>
      </c>
      <c r="F436" s="38" t="inlineStr">
        <is>
          <t>Particular</t>
        </is>
      </c>
      <c r="G436" s="38" t="inlineStr">
        <is>
          <t>Consulta</t>
        </is>
      </c>
      <c r="H436" s="38" t="inlineStr">
        <is>
          <t>Realizado</t>
        </is>
      </c>
      <c r="I436" s="38" t="inlineStr">
        <is>
          <t>Pix</t>
        </is>
      </c>
      <c r="J436" s="38" t="n"/>
      <c r="K436" s="37" t="n"/>
      <c r="L436" s="39" t="n">
        <v>30</v>
      </c>
      <c r="M436" s="40" t="n">
        <v>380</v>
      </c>
      <c r="N436" s="30">
        <f>IF(A436="","",MONTH(A436))</f>
        <v>7</v>
      </c>
      <c r="O436" s="30">
        <f>IF(A436="","",YEAR(A436))</f>
        <v>2026</v>
      </c>
      <c r="P436" s="30" t="str">
        <f>IF(A436="","",CHOOSE(WEEKDAY(A436,2),"Segunda","Terça","Quarta","Quinta","Sexta","Sábado","Domingo"))</f>
        <v>Terça</v>
      </c>
      <c r="Q436" s="30" t="str">
        <f>IF(B436="","",IF(B436&lt;TIME(12,0,0),"Manhã",IF(B436&lt;TIME(18,0,0),"Tarde","Noite")))</f>
        <v>Tarde</v>
      </c>
      <c r="R436" s="46">
        <f>IF(AND(H436="Realizado",L436&lt;&gt;"",A436&lt;=Config!$B$9),L436/60,0)</f>
        <v>0.5</v>
      </c>
      <c r="S436" s="45">
        <f>IF(G436="","",IFERROR(INDEX(Config!$K$5:$K$16,MATCH(G436,Config!$J$5:$J$16,0)),""))</f>
        <v>30</v>
      </c>
      <c r="T436" s="31">
        <f>IF(OR(G436="",F436=""),"",IFERROR(INDEX(Config!$M$5:$R$16,MATCH(G436,Config!$J$5:$J$16,0),MATCH(F436,Config!$H$5:$H$10,0)),""))</f>
        <v>380</v>
      </c>
      <c r="U436" s="47">
        <f>IF(AND(H436="Realizado",L436&lt;&gt;""),L436/60,0)</f>
        <v>0.5</v>
      </c>
      <c r="V436" s="47">
        <f>IF(AND(H436="Realizado",OR(L436="",M436="")),1,0)</f>
        <v>0</v>
      </c>
    </row>
    <row r="437">
      <c r="A437" s="43" t="n">
        <v>46217</v>
      </c>
      <c r="B437" s="44" t="n">
        <v>0.7222222222222222</v>
      </c>
      <c r="C437" s="38" t="inlineStr">
        <is>
          <t>Dra. Renata Sousa</t>
        </is>
      </c>
      <c r="D437" s="38" t="inlineStr">
        <is>
          <t>Sala 1</t>
        </is>
      </c>
      <c r="E437" s="37" t="inlineStr">
        <is>
          <t>Mariana Reis</t>
        </is>
      </c>
      <c r="F437" s="38" t="inlineStr">
        <is>
          <t>Particular</t>
        </is>
      </c>
      <c r="G437" s="38" t="inlineStr">
        <is>
          <t>Avaliação endócrina</t>
        </is>
      </c>
      <c r="H437" s="38" t="inlineStr">
        <is>
          <t>Realizado</t>
        </is>
      </c>
      <c r="I437" s="38" t="inlineStr">
        <is>
          <t>Cartão de crédito</t>
        </is>
      </c>
      <c r="J437" s="38" t="n">
        <v>2</v>
      </c>
      <c r="K437" s="37" t="n"/>
      <c r="L437" s="39" t="n">
        <v>40</v>
      </c>
      <c r="M437" s="40" t="n">
        <v>400</v>
      </c>
      <c r="N437" s="30">
        <f>IF(A437="","",MONTH(A437))</f>
        <v>7</v>
      </c>
      <c r="O437" s="30">
        <f>IF(A437="","",YEAR(A437))</f>
        <v>2026</v>
      </c>
      <c r="P437" s="30" t="str">
        <f>IF(A437="","",CHOOSE(WEEKDAY(A437,2),"Segunda","Terça","Quarta","Quinta","Sexta","Sábado","Domingo"))</f>
        <v>Terça</v>
      </c>
      <c r="Q437" s="30" t="str">
        <f>IF(B437="","",IF(B437&lt;TIME(12,0,0),"Manhã",IF(B437&lt;TIME(18,0,0),"Tarde","Noite")))</f>
        <v>Tarde</v>
      </c>
      <c r="R437" s="46">
        <f>IF(AND(H437="Realizado",L437&lt;&gt;"",A437&lt;=Config!$B$9),L437/60,0)</f>
        <v>0.666666666666667</v>
      </c>
      <c r="S437" s="45">
        <f>IF(G437="","",IFERROR(INDEX(Config!$K$5:$K$16,MATCH(G437,Config!$J$5:$J$16,0)),""))</f>
        <v>40</v>
      </c>
      <c r="T437" s="31">
        <f>IF(OR(G437="",F437=""),"",IFERROR(INDEX(Config!$M$5:$R$16,MATCH(G437,Config!$J$5:$J$16,0),MATCH(F437,Config!$H$5:$H$10,0)),""))</f>
        <v>400</v>
      </c>
      <c r="U437" s="47">
        <f>IF(AND(H437="Realizado",L437&lt;&gt;""),L437/60,0)</f>
        <v>0.666666666666667</v>
      </c>
      <c r="V437" s="47">
        <f>IF(AND(H437="Realizado",OR(L437="",M437="")),1,0)</f>
        <v>0</v>
      </c>
    </row>
    <row r="438">
      <c r="A438" s="43" t="n">
        <v>46217</v>
      </c>
      <c r="B438" s="44" t="n">
        <v>0.7361111111111112</v>
      </c>
      <c r="C438" s="38" t="inlineStr">
        <is>
          <t>Dr. Paulo Andrade</t>
        </is>
      </c>
      <c r="D438" s="38" t="inlineStr">
        <is>
          <t>Sala 2</t>
        </is>
      </c>
      <c r="E438" s="37" t="inlineStr">
        <is>
          <t>Helena Moreira</t>
        </is>
      </c>
      <c r="F438" s="38" t="inlineStr">
        <is>
          <t>Particular</t>
        </is>
      </c>
      <c r="G438" s="38" t="inlineStr">
        <is>
          <t>MAPA</t>
        </is>
      </c>
      <c r="H438" s="38" t="inlineStr">
        <is>
          <t>Realizado</t>
        </is>
      </c>
      <c r="I438" s="38" t="inlineStr">
        <is>
          <t>Cartão de crédito</t>
        </is>
      </c>
      <c r="J438" s="38" t="n">
        <v>2</v>
      </c>
      <c r="K438" s="37" t="n"/>
      <c r="L438" s="39" t="n">
        <v>20</v>
      </c>
      <c r="M438" s="40" t="n">
        <v>300</v>
      </c>
      <c r="N438" s="30">
        <f>IF(A438="","",MONTH(A438))</f>
        <v>7</v>
      </c>
      <c r="O438" s="30">
        <f>IF(A438="","",YEAR(A438))</f>
        <v>2026</v>
      </c>
      <c r="P438" s="30" t="str">
        <f>IF(A438="","",CHOOSE(WEEKDAY(A438,2),"Segunda","Terça","Quarta","Quinta","Sexta","Sábado","Domingo"))</f>
        <v>Terça</v>
      </c>
      <c r="Q438" s="30" t="str">
        <f>IF(B438="","",IF(B438&lt;TIME(12,0,0),"Manhã",IF(B438&lt;TIME(18,0,0),"Tarde","Noite")))</f>
        <v>Tarde</v>
      </c>
      <c r="R438" s="46">
        <f>IF(AND(H438="Realizado",L438&lt;&gt;"",A438&lt;=Config!$B$9),L438/60,0)</f>
        <v>0.333333333333333</v>
      </c>
      <c r="S438" s="45">
        <f>IF(G438="","",IFERROR(INDEX(Config!$K$5:$K$16,MATCH(G438,Config!$J$5:$J$16,0)),""))</f>
        <v>20</v>
      </c>
      <c r="T438" s="31">
        <f>IF(OR(G438="",F438=""),"",IFERROR(INDEX(Config!$M$5:$R$16,MATCH(G438,Config!$J$5:$J$16,0),MATCH(F438,Config!$H$5:$H$10,0)),""))</f>
        <v>300</v>
      </c>
      <c r="U438" s="47">
        <f>IF(AND(H438="Realizado",L438&lt;&gt;""),L438/60,0)</f>
        <v>0.333333333333333</v>
      </c>
      <c r="V438" s="47">
        <f>IF(AND(H438="Realizado",OR(L438="",M438="")),1,0)</f>
        <v>0</v>
      </c>
    </row>
    <row r="439">
      <c r="A439" s="43" t="n">
        <v>46218</v>
      </c>
      <c r="B439" s="44" t="n">
        <v>0.5833333333333334</v>
      </c>
      <c r="C439" s="38" t="inlineStr">
        <is>
          <t>Dra. Carolina Mendes</t>
        </is>
      </c>
      <c r="D439" s="38" t="inlineStr">
        <is>
          <t>Sala 1</t>
        </is>
      </c>
      <c r="E439" s="37" t="inlineStr">
        <is>
          <t>Eduardo Nunes</t>
        </is>
      </c>
      <c r="F439" s="38" t="inlineStr">
        <is>
          <t>MediPlan</t>
        </is>
      </c>
      <c r="G439" s="38" t="inlineStr">
        <is>
          <t>Consulta</t>
        </is>
      </c>
      <c r="H439" s="38" t="inlineStr">
        <is>
          <t>Realizado</t>
        </is>
      </c>
      <c r="I439" s="38" t="inlineStr">
        <is>
          <t>Convênio</t>
        </is>
      </c>
      <c r="J439" s="38" t="n"/>
      <c r="K439" s="37" t="n"/>
      <c r="L439" s="39" t="n">
        <v>30</v>
      </c>
      <c r="M439" s="40" t="n">
        <v>100</v>
      </c>
      <c r="N439" s="30">
        <f>IF(A439="","",MONTH(A439))</f>
        <v>7</v>
      </c>
      <c r="O439" s="30">
        <f>IF(A439="","",YEAR(A439))</f>
        <v>2026</v>
      </c>
      <c r="P439" s="30" t="str">
        <f>IF(A439="","",CHOOSE(WEEKDAY(A439,2),"Segunda","Terça","Quarta","Quinta","Sexta","Sábado","Domingo"))</f>
        <v>Quarta</v>
      </c>
      <c r="Q439" s="30" t="str">
        <f>IF(B439="","",IF(B439&lt;TIME(12,0,0),"Manhã",IF(B439&lt;TIME(18,0,0),"Tarde","Noite")))</f>
        <v>Tarde</v>
      </c>
      <c r="R439" s="46">
        <f>IF(AND(H439="Realizado",L439&lt;&gt;"",A439&lt;=Config!$B$9),L439/60,0)</f>
        <v>0.5</v>
      </c>
      <c r="S439" s="45">
        <f>IF(G439="","",IFERROR(INDEX(Config!$K$5:$K$16,MATCH(G439,Config!$J$5:$J$16,0)),""))</f>
        <v>30</v>
      </c>
      <c r="T439" s="31">
        <f>IF(OR(G439="",F439=""),"",IFERROR(INDEX(Config!$M$5:$R$16,MATCH(G439,Config!$J$5:$J$16,0),MATCH(F439,Config!$H$5:$H$10,0)),""))</f>
        <v>100</v>
      </c>
      <c r="U439" s="47">
        <f>IF(AND(H439="Realizado",L439&lt;&gt;""),L439/60,0)</f>
        <v>0.5</v>
      </c>
      <c r="V439" s="47">
        <f>IF(AND(H439="Realizado",OR(L439="",M439="")),1,0)</f>
        <v>0</v>
      </c>
    </row>
    <row r="440">
      <c r="A440" s="43" t="n">
        <v>46218</v>
      </c>
      <c r="B440" s="44" t="n">
        <v>0.6041666666666666</v>
      </c>
      <c r="C440" s="38" t="inlineStr">
        <is>
          <t>Dra. Carolina Mendes</t>
        </is>
      </c>
      <c r="D440" s="38" t="inlineStr">
        <is>
          <t>Sala 1</t>
        </is>
      </c>
      <c r="E440" s="37" t="inlineStr">
        <is>
          <t>Marcelo Santos</t>
        </is>
      </c>
      <c r="F440" s="38" t="inlineStr">
        <is>
          <t>Particular</t>
        </is>
      </c>
      <c r="G440" s="38" t="inlineStr">
        <is>
          <t>Consulta</t>
        </is>
      </c>
      <c r="H440" s="38" t="inlineStr">
        <is>
          <t>Realizado</t>
        </is>
      </c>
      <c r="I440" s="38" t="inlineStr">
        <is>
          <t>Cartão de crédito</t>
        </is>
      </c>
      <c r="J440" s="38" t="n"/>
      <c r="K440" s="37" t="n"/>
      <c r="L440" s="39" t="n">
        <v>30</v>
      </c>
      <c r="M440" s="40" t="n">
        <v>380</v>
      </c>
      <c r="N440" s="30">
        <f>IF(A440="","",MONTH(A440))</f>
        <v>7</v>
      </c>
      <c r="O440" s="30">
        <f>IF(A440="","",YEAR(A440))</f>
        <v>2026</v>
      </c>
      <c r="P440" s="30" t="str">
        <f>IF(A440="","",CHOOSE(WEEKDAY(A440,2),"Segunda","Terça","Quarta","Quinta","Sexta","Sábado","Domingo"))</f>
        <v>Quarta</v>
      </c>
      <c r="Q440" s="30" t="str">
        <f>IF(B440="","",IF(B440&lt;TIME(12,0,0),"Manhã",IF(B440&lt;TIME(18,0,0),"Tarde","Noite")))</f>
        <v>Tarde</v>
      </c>
      <c r="R440" s="46">
        <f>IF(AND(H440="Realizado",L440&lt;&gt;"",A440&lt;=Config!$B$9),L440/60,0)</f>
        <v>0.5</v>
      </c>
      <c r="S440" s="45">
        <f>IF(G440="","",IFERROR(INDEX(Config!$K$5:$K$16,MATCH(G440,Config!$J$5:$J$16,0)),""))</f>
        <v>30</v>
      </c>
      <c r="T440" s="31">
        <f>IF(OR(G440="",F440=""),"",IFERROR(INDEX(Config!$M$5:$R$16,MATCH(G440,Config!$J$5:$J$16,0),MATCH(F440,Config!$H$5:$H$10,0)),""))</f>
        <v>380</v>
      </c>
      <c r="U440" s="47">
        <f>IF(AND(H440="Realizado",L440&lt;&gt;""),L440/60,0)</f>
        <v>0.5</v>
      </c>
      <c r="V440" s="47">
        <f>IF(AND(H440="Realizado",OR(L440="",M440="")),1,0)</f>
        <v>0</v>
      </c>
    </row>
    <row r="441">
      <c r="A441" s="43" t="n">
        <v>46218</v>
      </c>
      <c r="B441" s="44" t="n">
        <v>0.625</v>
      </c>
      <c r="C441" s="38" t="inlineStr">
        <is>
          <t>Dra. Carolina Mendes</t>
        </is>
      </c>
      <c r="D441" s="38" t="inlineStr">
        <is>
          <t>Sala 1</t>
        </is>
      </c>
      <c r="E441" s="37" t="inlineStr">
        <is>
          <t>Mariana Nascimento</t>
        </is>
      </c>
      <c r="F441" s="38" t="inlineStr">
        <is>
          <t>Particular</t>
        </is>
      </c>
      <c r="G441" s="38" t="inlineStr">
        <is>
          <t>Consulta</t>
        </is>
      </c>
      <c r="H441" s="38" t="inlineStr">
        <is>
          <t>Falta</t>
        </is>
      </c>
      <c r="I441" s="38" t="n"/>
      <c r="J441" s="38" t="n"/>
      <c r="K441" s="37" t="n"/>
      <c r="L441" s="39" t="n">
        <v>30</v>
      </c>
      <c r="M441" s="40" t="n">
        <v>380</v>
      </c>
      <c r="N441" s="30">
        <f>IF(A441="","",MONTH(A441))</f>
        <v>7</v>
      </c>
      <c r="O441" s="30">
        <f>IF(A441="","",YEAR(A441))</f>
        <v>2026</v>
      </c>
      <c r="P441" s="30" t="str">
        <f>IF(A441="","",CHOOSE(WEEKDAY(A441,2),"Segunda","Terça","Quarta","Quinta","Sexta","Sábado","Domingo"))</f>
        <v>Quarta</v>
      </c>
      <c r="Q441" s="30" t="str">
        <f>IF(B441="","",IF(B441&lt;TIME(12,0,0),"Manhã",IF(B441&lt;TIME(18,0,0),"Tarde","Noite")))</f>
        <v>Tarde</v>
      </c>
      <c r="R441" s="46">
        <f>IF(AND(H441="Realizado",L441&lt;&gt;"",A441&lt;=Config!$B$9),L441/60,0)</f>
        <v>0</v>
      </c>
      <c r="S441" s="45">
        <f>IF(G441="","",IFERROR(INDEX(Config!$K$5:$K$16,MATCH(G441,Config!$J$5:$J$16,0)),""))</f>
        <v>30</v>
      </c>
      <c r="T441" s="31">
        <f>IF(OR(G441="",F441=""),"",IFERROR(INDEX(Config!$M$5:$R$16,MATCH(G441,Config!$J$5:$J$16,0),MATCH(F441,Config!$H$5:$H$10,0)),""))</f>
        <v>380</v>
      </c>
      <c r="U441" s="47">
        <f>IF(AND(H441="Realizado",L441&lt;&gt;""),L441/60,0)</f>
        <v>0</v>
      </c>
      <c r="V441" s="47">
        <f>IF(AND(H441="Realizado",OR(L441="",M441="")),1,0)</f>
        <v>0</v>
      </c>
    </row>
    <row r="442">
      <c r="A442" s="43" t="n">
        <v>46218</v>
      </c>
      <c r="B442" s="44" t="n">
        <v>0.6458333333333334</v>
      </c>
      <c r="C442" s="38" t="inlineStr">
        <is>
          <t>Dra. Carolina Mendes</t>
        </is>
      </c>
      <c r="D442" s="38" t="inlineStr">
        <is>
          <t>Sala 1</t>
        </is>
      </c>
      <c r="E442" s="37" t="inlineStr">
        <is>
          <t>Tatiana Cunha</t>
        </is>
      </c>
      <c r="F442" s="38" t="inlineStr">
        <is>
          <t>Saúde Total</t>
        </is>
      </c>
      <c r="G442" s="38" t="inlineStr">
        <is>
          <t>Retorno</t>
        </is>
      </c>
      <c r="H442" s="38" t="inlineStr">
        <is>
          <t>Realizado</t>
        </is>
      </c>
      <c r="I442" s="38" t="inlineStr">
        <is>
          <t>Sem cobrança</t>
        </is>
      </c>
      <c r="J442" s="38" t="n"/>
      <c r="K442" s="37" t="n"/>
      <c r="L442" s="39" t="n">
        <v>20</v>
      </c>
      <c r="M442" s="40" t="n">
        <v>0</v>
      </c>
      <c r="N442" s="30">
        <f>IF(A442="","",MONTH(A442))</f>
        <v>7</v>
      </c>
      <c r="O442" s="30">
        <f>IF(A442="","",YEAR(A442))</f>
        <v>2026</v>
      </c>
      <c r="P442" s="30" t="str">
        <f>IF(A442="","",CHOOSE(WEEKDAY(A442,2),"Segunda","Terça","Quarta","Quinta","Sexta","Sábado","Domingo"))</f>
        <v>Quarta</v>
      </c>
      <c r="Q442" s="30" t="str">
        <f>IF(B442="","",IF(B442&lt;TIME(12,0,0),"Manhã",IF(B442&lt;TIME(18,0,0),"Tarde","Noite")))</f>
        <v>Tarde</v>
      </c>
      <c r="R442" s="46">
        <f>IF(AND(H442="Realizado",L442&lt;&gt;"",A442&lt;=Config!$B$9),L442/60,0)</f>
        <v>0.333333333333333</v>
      </c>
      <c r="S442" s="45">
        <f>IF(G442="","",IFERROR(INDEX(Config!$K$5:$K$16,MATCH(G442,Config!$J$5:$J$16,0)),""))</f>
        <v>20</v>
      </c>
      <c r="T442" s="31">
        <f>IF(OR(G442="",F442=""),"",IFERROR(INDEX(Config!$M$5:$R$16,MATCH(G442,Config!$J$5:$J$16,0),MATCH(F442,Config!$H$5:$H$10,0)),""))</f>
        <v>0</v>
      </c>
      <c r="U442" s="47">
        <f>IF(AND(H442="Realizado",L442&lt;&gt;""),L442/60,0)</f>
        <v>0.333333333333333</v>
      </c>
      <c r="V442" s="47">
        <f>IF(AND(H442="Realizado",OR(L442="",M442="")),1,0)</f>
        <v>0</v>
      </c>
    </row>
    <row r="443">
      <c r="A443" s="43" t="n">
        <v>46218</v>
      </c>
      <c r="B443" s="44" t="n">
        <v>0.6597222222222222</v>
      </c>
      <c r="C443" s="38" t="inlineStr">
        <is>
          <t>Dra. Carolina Mendes</t>
        </is>
      </c>
      <c r="D443" s="38" t="inlineStr">
        <is>
          <t>Sala 1</t>
        </is>
      </c>
      <c r="E443" s="37" t="inlineStr">
        <is>
          <t>Letícia Vieira</t>
        </is>
      </c>
      <c r="F443" s="38" t="inlineStr">
        <is>
          <t>Saúde Total</t>
        </is>
      </c>
      <c r="G443" s="38" t="inlineStr">
        <is>
          <t>Consulta</t>
        </is>
      </c>
      <c r="H443" s="38" t="inlineStr">
        <is>
          <t>Realizado</t>
        </is>
      </c>
      <c r="I443" s="38" t="inlineStr">
        <is>
          <t>Convênio</t>
        </is>
      </c>
      <c r="J443" s="38" t="n"/>
      <c r="K443" s="37" t="n"/>
      <c r="L443" s="39" t="n">
        <v>30</v>
      </c>
      <c r="M443" s="40" t="n">
        <v>120</v>
      </c>
      <c r="N443" s="30">
        <f>IF(A443="","",MONTH(A443))</f>
        <v>7</v>
      </c>
      <c r="O443" s="30">
        <f>IF(A443="","",YEAR(A443))</f>
        <v>2026</v>
      </c>
      <c r="P443" s="30" t="str">
        <f>IF(A443="","",CHOOSE(WEEKDAY(A443,2),"Segunda","Terça","Quarta","Quinta","Sexta","Sábado","Domingo"))</f>
        <v>Quarta</v>
      </c>
      <c r="Q443" s="30" t="str">
        <f>IF(B443="","",IF(B443&lt;TIME(12,0,0),"Manhã",IF(B443&lt;TIME(18,0,0),"Tarde","Noite")))</f>
        <v>Tarde</v>
      </c>
      <c r="R443" s="46">
        <f>IF(AND(H443="Realizado",L443&lt;&gt;"",A443&lt;=Config!$B$9),L443/60,0)</f>
        <v>0.5</v>
      </c>
      <c r="S443" s="45">
        <f>IF(G443="","",IFERROR(INDEX(Config!$K$5:$K$16,MATCH(G443,Config!$J$5:$J$16,0)),""))</f>
        <v>30</v>
      </c>
      <c r="T443" s="31">
        <f>IF(OR(G443="",F443=""),"",IFERROR(INDEX(Config!$M$5:$R$16,MATCH(G443,Config!$J$5:$J$16,0),MATCH(F443,Config!$H$5:$H$10,0)),""))</f>
        <v>120</v>
      </c>
      <c r="U443" s="47">
        <f>IF(AND(H443="Realizado",L443&lt;&gt;""),L443/60,0)</f>
        <v>0.5</v>
      </c>
      <c r="V443" s="47">
        <f>IF(AND(H443="Realizado",OR(L443="",M443="")),1,0)</f>
        <v>0</v>
      </c>
    </row>
    <row r="444">
      <c r="A444" s="43" t="n">
        <v>46218</v>
      </c>
      <c r="B444" s="44" t="n">
        <v>0.6805555555555556</v>
      </c>
      <c r="C444" s="38" t="inlineStr">
        <is>
          <t>Dra. Carolina Mendes</t>
        </is>
      </c>
      <c r="D444" s="38" t="inlineStr">
        <is>
          <t>Sala 1</t>
        </is>
      </c>
      <c r="E444" s="37" t="inlineStr">
        <is>
          <t>Mônica Martins</t>
        </is>
      </c>
      <c r="F444" s="38" t="inlineStr">
        <is>
          <t>Particular</t>
        </is>
      </c>
      <c r="G444" s="38" t="inlineStr">
        <is>
          <t>Retorno</t>
        </is>
      </c>
      <c r="H444" s="38" t="inlineStr">
        <is>
          <t>Realizado</t>
        </is>
      </c>
      <c r="I444" s="38" t="inlineStr">
        <is>
          <t>Sem cobrança</t>
        </is>
      </c>
      <c r="J444" s="38" t="n"/>
      <c r="K444" s="37" t="n"/>
      <c r="L444" s="39" t="n">
        <v>20</v>
      </c>
      <c r="M444" s="40" t="n">
        <v>0</v>
      </c>
      <c r="N444" s="30">
        <f>IF(A444="","",MONTH(A444))</f>
        <v>7</v>
      </c>
      <c r="O444" s="30">
        <f>IF(A444="","",YEAR(A444))</f>
        <v>2026</v>
      </c>
      <c r="P444" s="30" t="str">
        <f>IF(A444="","",CHOOSE(WEEKDAY(A444,2),"Segunda","Terça","Quarta","Quinta","Sexta","Sábado","Domingo"))</f>
        <v>Quarta</v>
      </c>
      <c r="Q444" s="30" t="str">
        <f>IF(B444="","",IF(B444&lt;TIME(12,0,0),"Manhã",IF(B444&lt;TIME(18,0,0),"Tarde","Noite")))</f>
        <v>Tarde</v>
      </c>
      <c r="R444" s="46">
        <f>IF(AND(H444="Realizado",L444&lt;&gt;"",A444&lt;=Config!$B$9),L444/60,0)</f>
        <v>0.333333333333333</v>
      </c>
      <c r="S444" s="45">
        <f>IF(G444="","",IFERROR(INDEX(Config!$K$5:$K$16,MATCH(G444,Config!$J$5:$J$16,0)),""))</f>
        <v>20</v>
      </c>
      <c r="T444" s="31">
        <f>IF(OR(G444="",F444=""),"",IFERROR(INDEX(Config!$M$5:$R$16,MATCH(G444,Config!$J$5:$J$16,0),MATCH(F444,Config!$H$5:$H$10,0)),""))</f>
        <v>0</v>
      </c>
      <c r="U444" s="47">
        <f>IF(AND(H444="Realizado",L444&lt;&gt;""),L444/60,0)</f>
        <v>0.333333333333333</v>
      </c>
      <c r="V444" s="47">
        <f>IF(AND(H444="Realizado",OR(L444="",M444="")),1,0)</f>
        <v>0</v>
      </c>
    </row>
    <row r="445">
      <c r="A445" s="43" t="n">
        <v>46218</v>
      </c>
      <c r="B445" s="44" t="n">
        <v>0.6944444444444444</v>
      </c>
      <c r="C445" s="38" t="inlineStr">
        <is>
          <t>Dra. Carolina Mendes</t>
        </is>
      </c>
      <c r="D445" s="38" t="inlineStr">
        <is>
          <t>Sala 1</t>
        </is>
      </c>
      <c r="E445" s="37" t="inlineStr">
        <is>
          <t>Gustavo Ferreira</t>
        </is>
      </c>
      <c r="F445" s="38" t="inlineStr">
        <is>
          <t>Particular</t>
        </is>
      </c>
      <c r="G445" s="38" t="inlineStr">
        <is>
          <t>Consulta</t>
        </is>
      </c>
      <c r="H445" s="38" t="inlineStr">
        <is>
          <t>Realizado</t>
        </is>
      </c>
      <c r="I445" s="38" t="inlineStr">
        <is>
          <t>Cartão de débito</t>
        </is>
      </c>
      <c r="J445" s="38" t="n"/>
      <c r="K445" s="37" t="n"/>
      <c r="L445" s="39" t="n">
        <v>30</v>
      </c>
      <c r="M445" s="40" t="n">
        <v>380</v>
      </c>
      <c r="N445" s="30">
        <f>IF(A445="","",MONTH(A445))</f>
        <v>7</v>
      </c>
      <c r="O445" s="30">
        <f>IF(A445="","",YEAR(A445))</f>
        <v>2026</v>
      </c>
      <c r="P445" s="30" t="str">
        <f>IF(A445="","",CHOOSE(WEEKDAY(A445,2),"Segunda","Terça","Quarta","Quinta","Sexta","Sábado","Domingo"))</f>
        <v>Quarta</v>
      </c>
      <c r="Q445" s="30" t="str">
        <f>IF(B445="","",IF(B445&lt;TIME(12,0,0),"Manhã",IF(B445&lt;TIME(18,0,0),"Tarde","Noite")))</f>
        <v>Tarde</v>
      </c>
      <c r="R445" s="46">
        <f>IF(AND(H445="Realizado",L445&lt;&gt;"",A445&lt;=Config!$B$9),L445/60,0)</f>
        <v>0.5</v>
      </c>
      <c r="S445" s="45">
        <f>IF(G445="","",IFERROR(INDEX(Config!$K$5:$K$16,MATCH(G445,Config!$J$5:$J$16,0)),""))</f>
        <v>30</v>
      </c>
      <c r="T445" s="31">
        <f>IF(OR(G445="",F445=""),"",IFERROR(INDEX(Config!$M$5:$R$16,MATCH(G445,Config!$J$5:$J$16,0),MATCH(F445,Config!$H$5:$H$10,0)),""))</f>
        <v>380</v>
      </c>
      <c r="U445" s="47">
        <f>IF(AND(H445="Realizado",L445&lt;&gt;""),L445/60,0)</f>
        <v>0.5</v>
      </c>
      <c r="V445" s="47">
        <f>IF(AND(H445="Realizado",OR(L445="",M445="")),1,0)</f>
        <v>0</v>
      </c>
    </row>
    <row r="446">
      <c r="A446" s="43" t="n">
        <v>46218</v>
      </c>
      <c r="B446" s="44" t="n">
        <v>0.7152777777777778</v>
      </c>
      <c r="C446" s="38" t="inlineStr">
        <is>
          <t>Dra. Carolina Mendes</t>
        </is>
      </c>
      <c r="D446" s="38" t="inlineStr">
        <is>
          <t>Sala 1</t>
        </is>
      </c>
      <c r="E446" s="37" t="inlineStr">
        <is>
          <t>Camila Batista</t>
        </is>
      </c>
      <c r="F446" s="38" t="inlineStr">
        <is>
          <t>MediPlan</t>
        </is>
      </c>
      <c r="G446" s="38" t="inlineStr">
        <is>
          <t>Retorno</t>
        </is>
      </c>
      <c r="H446" s="38" t="inlineStr">
        <is>
          <t>Realizado</t>
        </is>
      </c>
      <c r="I446" s="38" t="inlineStr">
        <is>
          <t>Sem cobrança</t>
        </is>
      </c>
      <c r="J446" s="38" t="n"/>
      <c r="K446" s="37" t="n"/>
      <c r="L446" s="39" t="n">
        <v>20</v>
      </c>
      <c r="M446" s="40" t="n">
        <v>0</v>
      </c>
      <c r="N446" s="30">
        <f>IF(A446="","",MONTH(A446))</f>
        <v>7</v>
      </c>
      <c r="O446" s="30">
        <f>IF(A446="","",YEAR(A446))</f>
        <v>2026</v>
      </c>
      <c r="P446" s="30" t="str">
        <f>IF(A446="","",CHOOSE(WEEKDAY(A446,2),"Segunda","Terça","Quarta","Quinta","Sexta","Sábado","Domingo"))</f>
        <v>Quarta</v>
      </c>
      <c r="Q446" s="30" t="str">
        <f>IF(B446="","",IF(B446&lt;TIME(12,0,0),"Manhã",IF(B446&lt;TIME(18,0,0),"Tarde","Noite")))</f>
        <v>Tarde</v>
      </c>
      <c r="R446" s="46">
        <f>IF(AND(H446="Realizado",L446&lt;&gt;"",A446&lt;=Config!$B$9),L446/60,0)</f>
        <v>0.333333333333333</v>
      </c>
      <c r="S446" s="45">
        <f>IF(G446="","",IFERROR(INDEX(Config!$K$5:$K$16,MATCH(G446,Config!$J$5:$J$16,0)),""))</f>
        <v>20</v>
      </c>
      <c r="T446" s="31">
        <f>IF(OR(G446="",F446=""),"",IFERROR(INDEX(Config!$M$5:$R$16,MATCH(G446,Config!$J$5:$J$16,0),MATCH(F446,Config!$H$5:$H$10,0)),""))</f>
        <v>0</v>
      </c>
      <c r="U446" s="47">
        <f>IF(AND(H446="Realizado",L446&lt;&gt;""),L446/60,0)</f>
        <v>0.333333333333333</v>
      </c>
      <c r="V446" s="47">
        <f>IF(AND(H446="Realizado",OR(L446="",M446="")),1,0)</f>
        <v>0</v>
      </c>
    </row>
    <row r="447">
      <c r="A447" s="43" t="n">
        <v>46218</v>
      </c>
      <c r="B447" s="44" t="n">
        <v>0.7291666666666666</v>
      </c>
      <c r="C447" s="38" t="inlineStr">
        <is>
          <t>Dra. Carolina Mendes</t>
        </is>
      </c>
      <c r="D447" s="38" t="inlineStr">
        <is>
          <t>Sala 1</t>
        </is>
      </c>
      <c r="E447" s="37" t="inlineStr">
        <is>
          <t>Mariana Nascimento</t>
        </is>
      </c>
      <c r="F447" s="38" t="inlineStr">
        <is>
          <t>Particular</t>
        </is>
      </c>
      <c r="G447" s="38" t="inlineStr">
        <is>
          <t>Consulta</t>
        </is>
      </c>
      <c r="H447" s="38" t="inlineStr">
        <is>
          <t>Falta</t>
        </is>
      </c>
      <c r="I447" s="38" t="n"/>
      <c r="J447" s="38" t="n"/>
      <c r="K447" s="37" t="n"/>
      <c r="L447" s="39" t="n">
        <v>30</v>
      </c>
      <c r="M447" s="40" t="n">
        <v>380</v>
      </c>
      <c r="N447" s="30">
        <f>IF(A447="","",MONTH(A447))</f>
        <v>7</v>
      </c>
      <c r="O447" s="30">
        <f>IF(A447="","",YEAR(A447))</f>
        <v>2026</v>
      </c>
      <c r="P447" s="30" t="str">
        <f>IF(A447="","",CHOOSE(WEEKDAY(A447,2),"Segunda","Terça","Quarta","Quinta","Sexta","Sábado","Domingo"))</f>
        <v>Quarta</v>
      </c>
      <c r="Q447" s="30" t="str">
        <f>IF(B447="","",IF(B447&lt;TIME(12,0,0),"Manhã",IF(B447&lt;TIME(18,0,0),"Tarde","Noite")))</f>
        <v>Tarde</v>
      </c>
      <c r="R447" s="46">
        <f>IF(AND(H447="Realizado",L447&lt;&gt;"",A447&lt;=Config!$B$9),L447/60,0)</f>
        <v>0</v>
      </c>
      <c r="S447" s="45">
        <f>IF(G447="","",IFERROR(INDEX(Config!$K$5:$K$16,MATCH(G447,Config!$J$5:$J$16,0)),""))</f>
        <v>30</v>
      </c>
      <c r="T447" s="31">
        <f>IF(OR(G447="",F447=""),"",IFERROR(INDEX(Config!$M$5:$R$16,MATCH(G447,Config!$J$5:$J$16,0),MATCH(F447,Config!$H$5:$H$10,0)),""))</f>
        <v>380</v>
      </c>
      <c r="U447" s="47">
        <f>IF(AND(H447="Realizado",L447&lt;&gt;""),L447/60,0)</f>
        <v>0</v>
      </c>
      <c r="V447" s="47">
        <f>IF(AND(H447="Realizado",OR(L447="",M447="")),1,0)</f>
        <v>0</v>
      </c>
    </row>
    <row r="448">
      <c r="A448" s="43" t="n">
        <v>46219</v>
      </c>
      <c r="B448" s="44" t="n">
        <v>0.3333333333333333</v>
      </c>
      <c r="C448" s="38" t="inlineStr">
        <is>
          <t>Dra. Carolina Mendes</t>
        </is>
      </c>
      <c r="D448" s="38" t="inlineStr">
        <is>
          <t>Sala 1</t>
        </is>
      </c>
      <c r="E448" s="37" t="inlineStr">
        <is>
          <t>Mariana Nascimento</t>
        </is>
      </c>
      <c r="F448" s="38" t="inlineStr">
        <is>
          <t>Particular</t>
        </is>
      </c>
      <c r="G448" s="38" t="inlineStr">
        <is>
          <t>Retorno</t>
        </is>
      </c>
      <c r="H448" s="38" t="inlineStr">
        <is>
          <t>Realizado</t>
        </is>
      </c>
      <c r="I448" s="38" t="inlineStr">
        <is>
          <t>Sem cobrança</t>
        </is>
      </c>
      <c r="J448" s="38" t="n"/>
      <c r="K448" s="37" t="n"/>
      <c r="L448" s="39" t="n">
        <v>20</v>
      </c>
      <c r="M448" s="40" t="n">
        <v>0</v>
      </c>
      <c r="N448" s="30">
        <f>IF(A448="","",MONTH(A448))</f>
        <v>7</v>
      </c>
      <c r="O448" s="30">
        <f>IF(A448="","",YEAR(A448))</f>
        <v>2026</v>
      </c>
      <c r="P448" s="30" t="str">
        <f>IF(A448="","",CHOOSE(WEEKDAY(A448,2),"Segunda","Terça","Quarta","Quinta","Sexta","Sábado","Domingo"))</f>
        <v>Quinta</v>
      </c>
      <c r="Q448" s="30" t="str">
        <f>IF(B448="","",IF(B448&lt;TIME(12,0,0),"Manhã",IF(B448&lt;TIME(18,0,0),"Tarde","Noite")))</f>
        <v>Manhã</v>
      </c>
      <c r="R448" s="46">
        <f>IF(AND(H448="Realizado",L448&lt;&gt;"",A448&lt;=Config!$B$9),L448/60,0)</f>
        <v>0.333333333333333</v>
      </c>
      <c r="S448" s="45">
        <f>IF(G448="","",IFERROR(INDEX(Config!$K$5:$K$16,MATCH(G448,Config!$J$5:$J$16,0)),""))</f>
        <v>20</v>
      </c>
      <c r="T448" s="31">
        <f>IF(OR(G448="",F448=""),"",IFERROR(INDEX(Config!$M$5:$R$16,MATCH(G448,Config!$J$5:$J$16,0),MATCH(F448,Config!$H$5:$H$10,0)),""))</f>
        <v>0</v>
      </c>
      <c r="U448" s="47">
        <f>IF(AND(H448="Realizado",L448&lt;&gt;""),L448/60,0)</f>
        <v>0.333333333333333</v>
      </c>
      <c r="V448" s="47">
        <f>IF(AND(H448="Realizado",OR(L448="",M448="")),1,0)</f>
        <v>0</v>
      </c>
    </row>
    <row r="449">
      <c r="A449" s="43" t="n">
        <v>46219</v>
      </c>
      <c r="B449" s="44" t="n">
        <v>0.3472222222222222</v>
      </c>
      <c r="C449" s="38" t="inlineStr">
        <is>
          <t>Dra. Carolina Mendes</t>
        </is>
      </c>
      <c r="D449" s="38" t="inlineStr">
        <is>
          <t>Sala 1</t>
        </is>
      </c>
      <c r="E449" s="37" t="inlineStr">
        <is>
          <t>Mônica Batista</t>
        </is>
      </c>
      <c r="F449" s="38" t="inlineStr">
        <is>
          <t>MediPlan</t>
        </is>
      </c>
      <c r="G449" s="38" t="inlineStr">
        <is>
          <t>Retorno</t>
        </is>
      </c>
      <c r="H449" s="38" t="inlineStr">
        <is>
          <t>Realizado</t>
        </is>
      </c>
      <c r="I449" s="38" t="inlineStr">
        <is>
          <t>Sem cobrança</t>
        </is>
      </c>
      <c r="J449" s="38" t="n"/>
      <c r="K449" s="37" t="n"/>
      <c r="L449" s="39" t="n">
        <v>20</v>
      </c>
      <c r="M449" s="40" t="n">
        <v>0</v>
      </c>
      <c r="N449" s="30">
        <f>IF(A449="","",MONTH(A449))</f>
        <v>7</v>
      </c>
      <c r="O449" s="30">
        <f>IF(A449="","",YEAR(A449))</f>
        <v>2026</v>
      </c>
      <c r="P449" s="30" t="str">
        <f>IF(A449="","",CHOOSE(WEEKDAY(A449,2),"Segunda","Terça","Quarta","Quinta","Sexta","Sábado","Domingo"))</f>
        <v>Quinta</v>
      </c>
      <c r="Q449" s="30" t="str">
        <f>IF(B449="","",IF(B449&lt;TIME(12,0,0),"Manhã",IF(B449&lt;TIME(18,0,0),"Tarde","Noite")))</f>
        <v>Manhã</v>
      </c>
      <c r="R449" s="46">
        <f>IF(AND(H449="Realizado",L449&lt;&gt;"",A449&lt;=Config!$B$9),L449/60,0)</f>
        <v>0.333333333333333</v>
      </c>
      <c r="S449" s="45">
        <f>IF(G449="","",IFERROR(INDEX(Config!$K$5:$K$16,MATCH(G449,Config!$J$5:$J$16,0)),""))</f>
        <v>20</v>
      </c>
      <c r="T449" s="31">
        <f>IF(OR(G449="",F449=""),"",IFERROR(INDEX(Config!$M$5:$R$16,MATCH(G449,Config!$J$5:$J$16,0),MATCH(F449,Config!$H$5:$H$10,0)),""))</f>
        <v>0</v>
      </c>
      <c r="U449" s="47">
        <f>IF(AND(H449="Realizado",L449&lt;&gt;""),L449/60,0)</f>
        <v>0.333333333333333</v>
      </c>
      <c r="V449" s="47">
        <f>IF(AND(H449="Realizado",OR(L449="",M449="")),1,0)</f>
        <v>0</v>
      </c>
    </row>
    <row r="450">
      <c r="A450" s="43" t="n">
        <v>46219</v>
      </c>
      <c r="B450" s="44" t="n">
        <v>0.3611111111111111</v>
      </c>
      <c r="C450" s="38" t="inlineStr">
        <is>
          <t>Dra. Carolina Mendes</t>
        </is>
      </c>
      <c r="D450" s="38" t="inlineStr">
        <is>
          <t>Sala 1</t>
        </is>
      </c>
      <c r="E450" s="37" t="inlineStr">
        <is>
          <t>Regina Castro</t>
        </is>
      </c>
      <c r="F450" s="38" t="inlineStr">
        <is>
          <t>Vida Care</t>
        </is>
      </c>
      <c r="G450" s="38" t="inlineStr">
        <is>
          <t>Consulta</t>
        </is>
      </c>
      <c r="H450" s="38" t="inlineStr">
        <is>
          <t>Realizado</t>
        </is>
      </c>
      <c r="I450" s="38" t="inlineStr">
        <is>
          <t>Convênio</t>
        </is>
      </c>
      <c r="J450" s="38" t="n"/>
      <c r="K450" s="37" t="n"/>
      <c r="L450" s="39" t="n">
        <v>30</v>
      </c>
      <c r="M450" s="40" t="n">
        <v>90</v>
      </c>
      <c r="N450" s="30">
        <f>IF(A450="","",MONTH(A450))</f>
        <v>7</v>
      </c>
      <c r="O450" s="30">
        <f>IF(A450="","",YEAR(A450))</f>
        <v>2026</v>
      </c>
      <c r="P450" s="30" t="str">
        <f>IF(A450="","",CHOOSE(WEEKDAY(A450,2),"Segunda","Terça","Quarta","Quinta","Sexta","Sábado","Domingo"))</f>
        <v>Quinta</v>
      </c>
      <c r="Q450" s="30" t="str">
        <f>IF(B450="","",IF(B450&lt;TIME(12,0,0),"Manhã",IF(B450&lt;TIME(18,0,0),"Tarde","Noite")))</f>
        <v>Manhã</v>
      </c>
      <c r="R450" s="46">
        <f>IF(AND(H450="Realizado",L450&lt;&gt;"",A450&lt;=Config!$B$9),L450/60,0)</f>
        <v>0.5</v>
      </c>
      <c r="S450" s="45">
        <f>IF(G450="","",IFERROR(INDEX(Config!$K$5:$K$16,MATCH(G450,Config!$J$5:$J$16,0)),""))</f>
        <v>30</v>
      </c>
      <c r="T450" s="31">
        <f>IF(OR(G450="",F450=""),"",IFERROR(INDEX(Config!$M$5:$R$16,MATCH(G450,Config!$J$5:$J$16,0),MATCH(F450,Config!$H$5:$H$10,0)),""))</f>
        <v>90</v>
      </c>
      <c r="U450" s="47">
        <f>IF(AND(H450="Realizado",L450&lt;&gt;""),L450/60,0)</f>
        <v>0.5</v>
      </c>
      <c r="V450" s="47">
        <f>IF(AND(H450="Realizado",OR(L450="",M450="")),1,0)</f>
        <v>0</v>
      </c>
    </row>
    <row r="451">
      <c r="A451" s="43" t="n">
        <v>46219</v>
      </c>
      <c r="B451" s="44" t="n">
        <v>0.3819444444444444</v>
      </c>
      <c r="C451" s="38" t="inlineStr">
        <is>
          <t>Dra. Carolina Mendes</t>
        </is>
      </c>
      <c r="D451" s="38" t="inlineStr">
        <is>
          <t>Sala 1</t>
        </is>
      </c>
      <c r="E451" s="37" t="inlineStr">
        <is>
          <t>Juliana Ribeiro</t>
        </is>
      </c>
      <c r="F451" s="38" t="inlineStr">
        <is>
          <t>Saúde Total</t>
        </is>
      </c>
      <c r="G451" s="38" t="inlineStr">
        <is>
          <t>Consulta</t>
        </is>
      </c>
      <c r="H451" s="38" t="inlineStr">
        <is>
          <t>Realizado</t>
        </is>
      </c>
      <c r="I451" s="38" t="inlineStr">
        <is>
          <t>Convênio</t>
        </is>
      </c>
      <c r="J451" s="38" t="n"/>
      <c r="K451" s="37" t="n"/>
      <c r="L451" s="39" t="n">
        <v>30</v>
      </c>
      <c r="M451" s="40" t="n">
        <v>120</v>
      </c>
      <c r="N451" s="30">
        <f>IF(A451="","",MONTH(A451))</f>
        <v>7</v>
      </c>
      <c r="O451" s="30">
        <f>IF(A451="","",YEAR(A451))</f>
        <v>2026</v>
      </c>
      <c r="P451" s="30" t="str">
        <f>IF(A451="","",CHOOSE(WEEKDAY(A451,2),"Segunda","Terça","Quarta","Quinta","Sexta","Sábado","Domingo"))</f>
        <v>Quinta</v>
      </c>
      <c r="Q451" s="30" t="str">
        <f>IF(B451="","",IF(B451&lt;TIME(12,0,0),"Manhã",IF(B451&lt;TIME(18,0,0),"Tarde","Noite")))</f>
        <v>Manhã</v>
      </c>
      <c r="R451" s="46">
        <f>IF(AND(H451="Realizado",L451&lt;&gt;"",A451&lt;=Config!$B$9),L451/60,0)</f>
        <v>0.5</v>
      </c>
      <c r="S451" s="45">
        <f>IF(G451="","",IFERROR(INDEX(Config!$K$5:$K$16,MATCH(G451,Config!$J$5:$J$16,0)),""))</f>
        <v>30</v>
      </c>
      <c r="T451" s="31">
        <f>IF(OR(G451="",F451=""),"",IFERROR(INDEX(Config!$M$5:$R$16,MATCH(G451,Config!$J$5:$J$16,0),MATCH(F451,Config!$H$5:$H$10,0)),""))</f>
        <v>120</v>
      </c>
      <c r="U451" s="47">
        <f>IF(AND(H451="Realizado",L451&lt;&gt;""),L451/60,0)</f>
        <v>0.5</v>
      </c>
      <c r="V451" s="47">
        <f>IF(AND(H451="Realizado",OR(L451="",M451="")),1,0)</f>
        <v>0</v>
      </c>
    </row>
    <row r="452">
      <c r="A452" s="43" t="n">
        <v>46219</v>
      </c>
      <c r="B452" s="44" t="n">
        <v>0.4027777777777778</v>
      </c>
      <c r="C452" s="38" t="inlineStr">
        <is>
          <t>Dra. Carolina Mendes</t>
        </is>
      </c>
      <c r="D452" s="38" t="inlineStr">
        <is>
          <t>Sala 1</t>
        </is>
      </c>
      <c r="E452" s="37" t="inlineStr">
        <is>
          <t>Otávio Cardoso</t>
        </is>
      </c>
      <c r="F452" s="38" t="inlineStr">
        <is>
          <t>Particular</t>
        </is>
      </c>
      <c r="G452" s="38" t="inlineStr">
        <is>
          <t>Consulta</t>
        </is>
      </c>
      <c r="H452" s="38" t="inlineStr">
        <is>
          <t>Realizado</t>
        </is>
      </c>
      <c r="I452" s="38" t="inlineStr">
        <is>
          <t>Cartão de crédito</t>
        </is>
      </c>
      <c r="J452" s="38" t="n"/>
      <c r="K452" s="37" t="n"/>
      <c r="L452" s="39" t="n">
        <v>30</v>
      </c>
      <c r="M452" s="40" t="n">
        <v>380</v>
      </c>
      <c r="N452" s="30">
        <f>IF(A452="","",MONTH(A452))</f>
        <v>7</v>
      </c>
      <c r="O452" s="30">
        <f>IF(A452="","",YEAR(A452))</f>
        <v>2026</v>
      </c>
      <c r="P452" s="30" t="str">
        <f>IF(A452="","",CHOOSE(WEEKDAY(A452,2),"Segunda","Terça","Quarta","Quinta","Sexta","Sábado","Domingo"))</f>
        <v>Quinta</v>
      </c>
      <c r="Q452" s="30" t="str">
        <f>IF(B452="","",IF(B452&lt;TIME(12,0,0),"Manhã",IF(B452&lt;TIME(18,0,0),"Tarde","Noite")))</f>
        <v>Manhã</v>
      </c>
      <c r="R452" s="46">
        <f>IF(AND(H452="Realizado",L452&lt;&gt;"",A452&lt;=Config!$B$9),L452/60,0)</f>
        <v>0.5</v>
      </c>
      <c r="S452" s="45">
        <f>IF(G452="","",IFERROR(INDEX(Config!$K$5:$K$16,MATCH(G452,Config!$J$5:$J$16,0)),""))</f>
        <v>30</v>
      </c>
      <c r="T452" s="31">
        <f>IF(OR(G452="",F452=""),"",IFERROR(INDEX(Config!$M$5:$R$16,MATCH(G452,Config!$J$5:$J$16,0),MATCH(F452,Config!$H$5:$H$10,0)),""))</f>
        <v>380</v>
      </c>
      <c r="U452" s="47">
        <f>IF(AND(H452="Realizado",L452&lt;&gt;""),L452/60,0)</f>
        <v>0.5</v>
      </c>
      <c r="V452" s="47">
        <f>IF(AND(H452="Realizado",OR(L452="",M452="")),1,0)</f>
        <v>0</v>
      </c>
    </row>
    <row r="453">
      <c r="A453" s="43" t="n">
        <v>46219</v>
      </c>
      <c r="B453" s="44" t="n">
        <v>0.4236111111111111</v>
      </c>
      <c r="C453" s="38" t="inlineStr">
        <is>
          <t>Dra. Carolina Mendes</t>
        </is>
      </c>
      <c r="D453" s="38" t="inlineStr">
        <is>
          <t>Sala 1</t>
        </is>
      </c>
      <c r="E453" s="37" t="inlineStr">
        <is>
          <t>Gisele Ribeiro</t>
        </is>
      </c>
      <c r="F453" s="38" t="inlineStr">
        <is>
          <t>Particular</t>
        </is>
      </c>
      <c r="G453" s="38" t="inlineStr">
        <is>
          <t>Consulta</t>
        </is>
      </c>
      <c r="H453" s="38" t="inlineStr">
        <is>
          <t>Realizado</t>
        </is>
      </c>
      <c r="I453" s="38" t="inlineStr">
        <is>
          <t>Cartão de débito</t>
        </is>
      </c>
      <c r="J453" s="38" t="n"/>
      <c r="K453" s="37" t="n"/>
      <c r="L453" s="39" t="n">
        <v>30</v>
      </c>
      <c r="M453" s="40" t="n">
        <v>380</v>
      </c>
      <c r="N453" s="30">
        <f>IF(A453="","",MONTH(A453))</f>
        <v>7</v>
      </c>
      <c r="O453" s="30">
        <f>IF(A453="","",YEAR(A453))</f>
        <v>2026</v>
      </c>
      <c r="P453" s="30" t="str">
        <f>IF(A453="","",CHOOSE(WEEKDAY(A453,2),"Segunda","Terça","Quarta","Quinta","Sexta","Sábado","Domingo"))</f>
        <v>Quinta</v>
      </c>
      <c r="Q453" s="30" t="str">
        <f>IF(B453="","",IF(B453&lt;TIME(12,0,0),"Manhã",IF(B453&lt;TIME(18,0,0),"Tarde","Noite")))</f>
        <v>Manhã</v>
      </c>
      <c r="R453" s="46">
        <f>IF(AND(H453="Realizado",L453&lt;&gt;"",A453&lt;=Config!$B$9),L453/60,0)</f>
        <v>0.5</v>
      </c>
      <c r="S453" s="45">
        <f>IF(G453="","",IFERROR(INDEX(Config!$K$5:$K$16,MATCH(G453,Config!$J$5:$J$16,0)),""))</f>
        <v>30</v>
      </c>
      <c r="T453" s="31">
        <f>IF(OR(G453="",F453=""),"",IFERROR(INDEX(Config!$M$5:$R$16,MATCH(G453,Config!$J$5:$J$16,0),MATCH(F453,Config!$H$5:$H$10,0)),""))</f>
        <v>380</v>
      </c>
      <c r="U453" s="47">
        <f>IF(AND(H453="Realizado",L453&lt;&gt;""),L453/60,0)</f>
        <v>0.5</v>
      </c>
      <c r="V453" s="47">
        <f>IF(AND(H453="Realizado",OR(L453="",M453="")),1,0)</f>
        <v>0</v>
      </c>
    </row>
    <row r="454">
      <c r="A454" s="43" t="n">
        <v>46219</v>
      </c>
      <c r="B454" s="44" t="n">
        <v>0.4444444444444444</v>
      </c>
      <c r="C454" s="38" t="inlineStr">
        <is>
          <t>Dra. Carolina Mendes</t>
        </is>
      </c>
      <c r="D454" s="38" t="inlineStr">
        <is>
          <t>Sala 1</t>
        </is>
      </c>
      <c r="E454" s="37" t="inlineStr">
        <is>
          <t>Priscila Castro</t>
        </is>
      </c>
      <c r="F454" s="38" t="inlineStr">
        <is>
          <t>Saúde Total</t>
        </is>
      </c>
      <c r="G454" s="38" t="inlineStr">
        <is>
          <t>Consulta</t>
        </is>
      </c>
      <c r="H454" s="38" t="inlineStr">
        <is>
          <t>Realizado</t>
        </is>
      </c>
      <c r="I454" s="38" t="inlineStr">
        <is>
          <t>Convênio</t>
        </is>
      </c>
      <c r="J454" s="38" t="n"/>
      <c r="K454" s="37" t="n"/>
      <c r="L454" s="39" t="n">
        <v>30</v>
      </c>
      <c r="M454" s="40" t="n">
        <v>120</v>
      </c>
      <c r="N454" s="30">
        <f>IF(A454="","",MONTH(A454))</f>
        <v>7</v>
      </c>
      <c r="O454" s="30">
        <f>IF(A454="","",YEAR(A454))</f>
        <v>2026</v>
      </c>
      <c r="P454" s="30" t="str">
        <f>IF(A454="","",CHOOSE(WEEKDAY(A454,2),"Segunda","Terça","Quarta","Quinta","Sexta","Sábado","Domingo"))</f>
        <v>Quinta</v>
      </c>
      <c r="Q454" s="30" t="str">
        <f>IF(B454="","",IF(B454&lt;TIME(12,0,0),"Manhã",IF(B454&lt;TIME(18,0,0),"Tarde","Noite")))</f>
        <v>Manhã</v>
      </c>
      <c r="R454" s="46">
        <f>IF(AND(H454="Realizado",L454&lt;&gt;"",A454&lt;=Config!$B$9),L454/60,0)</f>
        <v>0.5</v>
      </c>
      <c r="S454" s="45">
        <f>IF(G454="","",IFERROR(INDEX(Config!$K$5:$K$16,MATCH(G454,Config!$J$5:$J$16,0)),""))</f>
        <v>30</v>
      </c>
      <c r="T454" s="31">
        <f>IF(OR(G454="",F454=""),"",IFERROR(INDEX(Config!$M$5:$R$16,MATCH(G454,Config!$J$5:$J$16,0),MATCH(F454,Config!$H$5:$H$10,0)),""))</f>
        <v>120</v>
      </c>
      <c r="U454" s="47">
        <f>IF(AND(H454="Realizado",L454&lt;&gt;""),L454/60,0)</f>
        <v>0.5</v>
      </c>
      <c r="V454" s="47">
        <f>IF(AND(H454="Realizado",OR(L454="",M454="")),1,0)</f>
        <v>0</v>
      </c>
    </row>
    <row r="455">
      <c r="A455" s="43" t="n">
        <v>46219</v>
      </c>
      <c r="B455" s="44" t="n">
        <v>0.4652777777777778</v>
      </c>
      <c r="C455" s="38" t="inlineStr">
        <is>
          <t>Dra. Carolina Mendes</t>
        </is>
      </c>
      <c r="D455" s="38" t="inlineStr">
        <is>
          <t>Sala 1</t>
        </is>
      </c>
      <c r="E455" s="37" t="inlineStr">
        <is>
          <t>Wagner Santos</t>
        </is>
      </c>
      <c r="F455" s="38" t="inlineStr">
        <is>
          <t>Particular</t>
        </is>
      </c>
      <c r="G455" s="38" t="inlineStr">
        <is>
          <t>Consulta</t>
        </is>
      </c>
      <c r="H455" s="38" t="inlineStr">
        <is>
          <t>Realizado</t>
        </is>
      </c>
      <c r="I455" s="38" t="inlineStr">
        <is>
          <t>Pix</t>
        </is>
      </c>
      <c r="J455" s="38" t="n"/>
      <c r="K455" s="37" t="n"/>
      <c r="L455" s="39" t="n">
        <v>30</v>
      </c>
      <c r="M455" s="40" t="n">
        <v>380</v>
      </c>
      <c r="N455" s="30">
        <f>IF(A455="","",MONTH(A455))</f>
        <v>7</v>
      </c>
      <c r="O455" s="30">
        <f>IF(A455="","",YEAR(A455))</f>
        <v>2026</v>
      </c>
      <c r="P455" s="30" t="str">
        <f>IF(A455="","",CHOOSE(WEEKDAY(A455,2),"Segunda","Terça","Quarta","Quinta","Sexta","Sábado","Domingo"))</f>
        <v>Quinta</v>
      </c>
      <c r="Q455" s="30" t="str">
        <f>IF(B455="","",IF(B455&lt;TIME(12,0,0),"Manhã",IF(B455&lt;TIME(18,0,0),"Tarde","Noite")))</f>
        <v>Manhã</v>
      </c>
      <c r="R455" s="46">
        <f>IF(AND(H455="Realizado",L455&lt;&gt;"",A455&lt;=Config!$B$9),L455/60,0)</f>
        <v>0.5</v>
      </c>
      <c r="S455" s="45">
        <f>IF(G455="","",IFERROR(INDEX(Config!$K$5:$K$16,MATCH(G455,Config!$J$5:$J$16,0)),""))</f>
        <v>30</v>
      </c>
      <c r="T455" s="31">
        <f>IF(OR(G455="",F455=""),"",IFERROR(INDEX(Config!$M$5:$R$16,MATCH(G455,Config!$J$5:$J$16,0),MATCH(F455,Config!$H$5:$H$10,0)),""))</f>
        <v>380</v>
      </c>
      <c r="U455" s="47">
        <f>IF(AND(H455="Realizado",L455&lt;&gt;""),L455/60,0)</f>
        <v>0.5</v>
      </c>
      <c r="V455" s="47">
        <f>IF(AND(H455="Realizado",OR(L455="",M455="")),1,0)</f>
        <v>0</v>
      </c>
    </row>
    <row r="456">
      <c r="A456" s="43" t="n">
        <v>46219</v>
      </c>
      <c r="B456" s="44" t="n">
        <v>0.4861111111111111</v>
      </c>
      <c r="C456" s="38" t="inlineStr">
        <is>
          <t>Dra. Carolina Mendes</t>
        </is>
      </c>
      <c r="D456" s="38" t="inlineStr">
        <is>
          <t>Sala 1</t>
        </is>
      </c>
      <c r="E456" s="37" t="inlineStr">
        <is>
          <t>Elaine Cardoso</t>
        </is>
      </c>
      <c r="F456" s="38" t="inlineStr">
        <is>
          <t>Particular</t>
        </is>
      </c>
      <c r="G456" s="38" t="inlineStr">
        <is>
          <t>Consulta</t>
        </is>
      </c>
      <c r="H456" s="38" t="inlineStr">
        <is>
          <t>Realizado</t>
        </is>
      </c>
      <c r="I456" s="38" t="inlineStr">
        <is>
          <t>Cartão de crédito</t>
        </is>
      </c>
      <c r="J456" s="38" t="n"/>
      <c r="K456" s="37" t="n"/>
      <c r="L456" s="39" t="n">
        <v>30</v>
      </c>
      <c r="M456" s="40" t="n">
        <v>380</v>
      </c>
      <c r="N456" s="30">
        <f>IF(A456="","",MONTH(A456))</f>
        <v>7</v>
      </c>
      <c r="O456" s="30">
        <f>IF(A456="","",YEAR(A456))</f>
        <v>2026</v>
      </c>
      <c r="P456" s="30" t="str">
        <f>IF(A456="","",CHOOSE(WEEKDAY(A456,2),"Segunda","Terça","Quarta","Quinta","Sexta","Sábado","Domingo"))</f>
        <v>Quinta</v>
      </c>
      <c r="Q456" s="30" t="str">
        <f>IF(B456="","",IF(B456&lt;TIME(12,0,0),"Manhã",IF(B456&lt;TIME(18,0,0),"Tarde","Noite")))</f>
        <v>Manhã</v>
      </c>
      <c r="R456" s="46">
        <f>IF(AND(H456="Realizado",L456&lt;&gt;"",A456&lt;=Config!$B$9),L456/60,0)</f>
        <v>0.5</v>
      </c>
      <c r="S456" s="45">
        <f>IF(G456="","",IFERROR(INDEX(Config!$K$5:$K$16,MATCH(G456,Config!$J$5:$J$16,0)),""))</f>
        <v>30</v>
      </c>
      <c r="T456" s="31">
        <f>IF(OR(G456="",F456=""),"",IFERROR(INDEX(Config!$M$5:$R$16,MATCH(G456,Config!$J$5:$J$16,0),MATCH(F456,Config!$H$5:$H$10,0)),""))</f>
        <v>380</v>
      </c>
      <c r="U456" s="47">
        <f>IF(AND(H456="Realizado",L456&lt;&gt;""),L456/60,0)</f>
        <v>0.5</v>
      </c>
      <c r="V456" s="47">
        <f>IF(AND(H456="Realizado",OR(L456="",M456="")),1,0)</f>
        <v>0</v>
      </c>
    </row>
    <row r="457">
      <c r="A457" s="43" t="n">
        <v>46219</v>
      </c>
      <c r="B457" s="44" t="n">
        <v>0.6041666666666666</v>
      </c>
      <c r="C457" s="38" t="inlineStr">
        <is>
          <t>Dra. Renata Sousa</t>
        </is>
      </c>
      <c r="D457" s="38" t="inlineStr">
        <is>
          <t>Sala 1</t>
        </is>
      </c>
      <c r="E457" s="37" t="inlineStr">
        <is>
          <t>Fernanda Gonçalves</t>
        </is>
      </c>
      <c r="F457" s="38" t="inlineStr">
        <is>
          <t>Saúde Total</t>
        </is>
      </c>
      <c r="G457" s="38" t="inlineStr">
        <is>
          <t>Avaliação endócrina</t>
        </is>
      </c>
      <c r="H457" s="38" t="inlineStr">
        <is>
          <t>Realizado</t>
        </is>
      </c>
      <c r="I457" s="38" t="inlineStr">
        <is>
          <t>Convênio</t>
        </is>
      </c>
      <c r="J457" s="38" t="n"/>
      <c r="K457" s="37" t="n"/>
      <c r="L457" s="39" t="n">
        <v>40</v>
      </c>
      <c r="M457" s="40" t="n">
        <v>130</v>
      </c>
      <c r="N457" s="30">
        <f>IF(A457="","",MONTH(A457))</f>
        <v>7</v>
      </c>
      <c r="O457" s="30">
        <f>IF(A457="","",YEAR(A457))</f>
        <v>2026</v>
      </c>
      <c r="P457" s="30" t="str">
        <f>IF(A457="","",CHOOSE(WEEKDAY(A457,2),"Segunda","Terça","Quarta","Quinta","Sexta","Sábado","Domingo"))</f>
        <v>Quinta</v>
      </c>
      <c r="Q457" s="30" t="str">
        <f>IF(B457="","",IF(B457&lt;TIME(12,0,0),"Manhã",IF(B457&lt;TIME(18,0,0),"Tarde","Noite")))</f>
        <v>Tarde</v>
      </c>
      <c r="R457" s="46">
        <f>IF(AND(H457="Realizado",L457&lt;&gt;"",A457&lt;=Config!$B$9),L457/60,0)</f>
        <v>0.666666666666667</v>
      </c>
      <c r="S457" s="45">
        <f>IF(G457="","",IFERROR(INDEX(Config!$K$5:$K$16,MATCH(G457,Config!$J$5:$J$16,0)),""))</f>
        <v>40</v>
      </c>
      <c r="T457" s="31">
        <f>IF(OR(G457="",F457=""),"",IFERROR(INDEX(Config!$M$5:$R$16,MATCH(G457,Config!$J$5:$J$16,0),MATCH(F457,Config!$H$5:$H$10,0)),""))</f>
        <v>130</v>
      </c>
      <c r="U457" s="47">
        <f>IF(AND(H457="Realizado",L457&lt;&gt;""),L457/60,0)</f>
        <v>0.666666666666667</v>
      </c>
      <c r="V457" s="47">
        <f>IF(AND(H457="Realizado",OR(L457="",M457="")),1,0)</f>
        <v>0</v>
      </c>
    </row>
    <row r="458">
      <c r="A458" s="43" t="n">
        <v>46219</v>
      </c>
      <c r="B458" s="44" t="n">
        <v>0.6041666666666666</v>
      </c>
      <c r="C458" s="38" t="inlineStr">
        <is>
          <t>Dr. Paulo Andrade</t>
        </is>
      </c>
      <c r="D458" s="38" t="inlineStr">
        <is>
          <t>Sala 2</t>
        </is>
      </c>
      <c r="E458" s="37" t="inlineStr">
        <is>
          <t>Sérgio Martins</t>
        </is>
      </c>
      <c r="F458" s="38" t="inlineStr">
        <is>
          <t>Particular</t>
        </is>
      </c>
      <c r="G458" s="38" t="inlineStr">
        <is>
          <t>ECG</t>
        </is>
      </c>
      <c r="H458" s="38" t="inlineStr">
        <is>
          <t>Realizado</t>
        </is>
      </c>
      <c r="I458" s="38" t="inlineStr">
        <is>
          <t>Cartão de débito</t>
        </is>
      </c>
      <c r="J458" s="38" t="n"/>
      <c r="K458" s="37" t="n"/>
      <c r="L458" s="39" t="n">
        <v>20</v>
      </c>
      <c r="M458" s="40" t="n">
        <v>130</v>
      </c>
      <c r="N458" s="30">
        <f>IF(A458="","",MONTH(A458))</f>
        <v>7</v>
      </c>
      <c r="O458" s="30">
        <f>IF(A458="","",YEAR(A458))</f>
        <v>2026</v>
      </c>
      <c r="P458" s="30" t="str">
        <f>IF(A458="","",CHOOSE(WEEKDAY(A458,2),"Segunda","Terça","Quarta","Quinta","Sexta","Sábado","Domingo"))</f>
        <v>Quinta</v>
      </c>
      <c r="Q458" s="30" t="str">
        <f>IF(B458="","",IF(B458&lt;TIME(12,0,0),"Manhã",IF(B458&lt;TIME(18,0,0),"Tarde","Noite")))</f>
        <v>Tarde</v>
      </c>
      <c r="R458" s="46">
        <f>IF(AND(H458="Realizado",L458&lt;&gt;"",A458&lt;=Config!$B$9),L458/60,0)</f>
        <v>0.333333333333333</v>
      </c>
      <c r="S458" s="45">
        <f>IF(G458="","",IFERROR(INDEX(Config!$K$5:$K$16,MATCH(G458,Config!$J$5:$J$16,0)),""))</f>
        <v>20</v>
      </c>
      <c r="T458" s="31">
        <f>IF(OR(G458="",F458=""),"",IFERROR(INDEX(Config!$M$5:$R$16,MATCH(G458,Config!$J$5:$J$16,0),MATCH(F458,Config!$H$5:$H$10,0)),""))</f>
        <v>130</v>
      </c>
      <c r="U458" s="47">
        <f>IF(AND(H458="Realizado",L458&lt;&gt;""),L458/60,0)</f>
        <v>0.333333333333333</v>
      </c>
      <c r="V458" s="47">
        <f>IF(AND(H458="Realizado",OR(L458="",M458="")),1,0)</f>
        <v>0</v>
      </c>
    </row>
    <row r="459">
      <c r="A459" s="43" t="n">
        <v>46219</v>
      </c>
      <c r="B459" s="44" t="n">
        <v>0.6180555555555556</v>
      </c>
      <c r="C459" s="38" t="inlineStr">
        <is>
          <t>Dr. Paulo Andrade</t>
        </is>
      </c>
      <c r="D459" s="38" t="inlineStr">
        <is>
          <t>Sala 2</t>
        </is>
      </c>
      <c r="E459" s="37" t="inlineStr">
        <is>
          <t>Rafael Araújo</t>
        </is>
      </c>
      <c r="F459" s="38" t="inlineStr">
        <is>
          <t>MediPlan</t>
        </is>
      </c>
      <c r="G459" s="38" t="inlineStr">
        <is>
          <t>Consulta</t>
        </is>
      </c>
      <c r="H459" s="38" t="inlineStr">
        <is>
          <t>Remarcado</t>
        </is>
      </c>
      <c r="I459" s="38" t="n"/>
      <c r="J459" s="38" t="n"/>
      <c r="K459" s="37" t="inlineStr">
        <is>
          <t>Paciente pediu outra data</t>
        </is>
      </c>
      <c r="L459" s="39" t="n">
        <v>30</v>
      </c>
      <c r="M459" s="40" t="n">
        <v>100</v>
      </c>
      <c r="N459" s="30">
        <f>IF(A459="","",MONTH(A459))</f>
        <v>7</v>
      </c>
      <c r="O459" s="30">
        <f>IF(A459="","",YEAR(A459))</f>
        <v>2026</v>
      </c>
      <c r="P459" s="30" t="str">
        <f>IF(A459="","",CHOOSE(WEEKDAY(A459,2),"Segunda","Terça","Quarta","Quinta","Sexta","Sábado","Domingo"))</f>
        <v>Quinta</v>
      </c>
      <c r="Q459" s="30" t="str">
        <f>IF(B459="","",IF(B459&lt;TIME(12,0,0),"Manhã",IF(B459&lt;TIME(18,0,0),"Tarde","Noite")))</f>
        <v>Tarde</v>
      </c>
      <c r="R459" s="46">
        <f>IF(AND(H459="Realizado",L459&lt;&gt;"",A459&lt;=Config!$B$9),L459/60,0)</f>
        <v>0</v>
      </c>
      <c r="S459" s="45">
        <f>IF(G459="","",IFERROR(INDEX(Config!$K$5:$K$16,MATCH(G459,Config!$J$5:$J$16,0)),""))</f>
        <v>30</v>
      </c>
      <c r="T459" s="31">
        <f>IF(OR(G459="",F459=""),"",IFERROR(INDEX(Config!$M$5:$R$16,MATCH(G459,Config!$J$5:$J$16,0),MATCH(F459,Config!$H$5:$H$10,0)),""))</f>
        <v>100</v>
      </c>
      <c r="U459" s="47">
        <f>IF(AND(H459="Realizado",L459&lt;&gt;""),L459/60,0)</f>
        <v>0</v>
      </c>
      <c r="V459" s="47">
        <f>IF(AND(H459="Realizado",OR(L459="",M459="")),1,0)</f>
        <v>0</v>
      </c>
    </row>
    <row r="460">
      <c r="A460" s="43" t="n">
        <v>46219</v>
      </c>
      <c r="B460" s="44" t="n">
        <v>0.6319444444444444</v>
      </c>
      <c r="C460" s="38" t="inlineStr">
        <is>
          <t>Dra. Renata Sousa</t>
        </is>
      </c>
      <c r="D460" s="38" t="inlineStr">
        <is>
          <t>Sala 1</t>
        </is>
      </c>
      <c r="E460" s="37" t="inlineStr">
        <is>
          <t>Daniel Moreira</t>
        </is>
      </c>
      <c r="F460" s="38" t="inlineStr">
        <is>
          <t>Saúde Total</t>
        </is>
      </c>
      <c r="G460" s="38" t="inlineStr">
        <is>
          <t>Avaliação endócrina</t>
        </is>
      </c>
      <c r="H460" s="38" t="inlineStr">
        <is>
          <t>Realizado</t>
        </is>
      </c>
      <c r="I460" s="38" t="inlineStr">
        <is>
          <t>Convênio</t>
        </is>
      </c>
      <c r="J460" s="38" t="n"/>
      <c r="K460" s="37" t="n"/>
      <c r="L460" s="39" t="n">
        <v>40</v>
      </c>
      <c r="M460" s="40" t="n">
        <v>130</v>
      </c>
      <c r="N460" s="30">
        <f>IF(A460="","",MONTH(A460))</f>
        <v>7</v>
      </c>
      <c r="O460" s="30">
        <f>IF(A460="","",YEAR(A460))</f>
        <v>2026</v>
      </c>
      <c r="P460" s="30" t="str">
        <f>IF(A460="","",CHOOSE(WEEKDAY(A460,2),"Segunda","Terça","Quarta","Quinta","Sexta","Sábado","Domingo"))</f>
        <v>Quinta</v>
      </c>
      <c r="Q460" s="30" t="str">
        <f>IF(B460="","",IF(B460&lt;TIME(12,0,0),"Manhã",IF(B460&lt;TIME(18,0,0),"Tarde","Noite")))</f>
        <v>Tarde</v>
      </c>
      <c r="R460" s="46">
        <f>IF(AND(H460="Realizado",L460&lt;&gt;"",A460&lt;=Config!$B$9),L460/60,0)</f>
        <v>0.666666666666667</v>
      </c>
      <c r="S460" s="45">
        <f>IF(G460="","",IFERROR(INDEX(Config!$K$5:$K$16,MATCH(G460,Config!$J$5:$J$16,0)),""))</f>
        <v>40</v>
      </c>
      <c r="T460" s="31">
        <f>IF(OR(G460="",F460=""),"",IFERROR(INDEX(Config!$M$5:$R$16,MATCH(G460,Config!$J$5:$J$16,0),MATCH(F460,Config!$H$5:$H$10,0)),""))</f>
        <v>130</v>
      </c>
      <c r="U460" s="47">
        <f>IF(AND(H460="Realizado",L460&lt;&gt;""),L460/60,0)</f>
        <v>0.666666666666667</v>
      </c>
      <c r="V460" s="47">
        <f>IF(AND(H460="Realizado",OR(L460="",M460="")),1,0)</f>
        <v>0</v>
      </c>
    </row>
    <row r="461">
      <c r="A461" s="43" t="n">
        <v>46219</v>
      </c>
      <c r="B461" s="44" t="n">
        <v>0.6388888888888888</v>
      </c>
      <c r="C461" s="38" t="inlineStr">
        <is>
          <t>Dr. Paulo Andrade</t>
        </is>
      </c>
      <c r="D461" s="38" t="inlineStr">
        <is>
          <t>Sala 2</t>
        </is>
      </c>
      <c r="E461" s="37" t="inlineStr">
        <is>
          <t>Otávio Martins</t>
        </is>
      </c>
      <c r="F461" s="38" t="inlineStr">
        <is>
          <t>MediPlan</t>
        </is>
      </c>
      <c r="G461" s="38" t="inlineStr">
        <is>
          <t>Consulta</t>
        </is>
      </c>
      <c r="H461" s="38" t="inlineStr">
        <is>
          <t>Realizado</t>
        </is>
      </c>
      <c r="I461" s="38" t="inlineStr">
        <is>
          <t>Convênio</t>
        </is>
      </c>
      <c r="J461" s="38" t="n"/>
      <c r="K461" s="37" t="n"/>
      <c r="L461" s="39" t="n">
        <v>30</v>
      </c>
      <c r="M461" s="40" t="n">
        <v>100</v>
      </c>
      <c r="N461" s="30">
        <f>IF(A461="","",MONTH(A461))</f>
        <v>7</v>
      </c>
      <c r="O461" s="30">
        <f>IF(A461="","",YEAR(A461))</f>
        <v>2026</v>
      </c>
      <c r="P461" s="30" t="str">
        <f>IF(A461="","",CHOOSE(WEEKDAY(A461,2),"Segunda","Terça","Quarta","Quinta","Sexta","Sábado","Domingo"))</f>
        <v>Quinta</v>
      </c>
      <c r="Q461" s="30" t="str">
        <f>IF(B461="","",IF(B461&lt;TIME(12,0,0),"Manhã",IF(B461&lt;TIME(18,0,0),"Tarde","Noite")))</f>
        <v>Tarde</v>
      </c>
      <c r="R461" s="46">
        <f>IF(AND(H461="Realizado",L461&lt;&gt;"",A461&lt;=Config!$B$9),L461/60,0)</f>
        <v>0.5</v>
      </c>
      <c r="S461" s="45">
        <f>IF(G461="","",IFERROR(INDEX(Config!$K$5:$K$16,MATCH(G461,Config!$J$5:$J$16,0)),""))</f>
        <v>30</v>
      </c>
      <c r="T461" s="31">
        <f>IF(OR(G461="",F461=""),"",IFERROR(INDEX(Config!$M$5:$R$16,MATCH(G461,Config!$J$5:$J$16,0),MATCH(F461,Config!$H$5:$H$10,0)),""))</f>
        <v>100</v>
      </c>
      <c r="U461" s="47">
        <f>IF(AND(H461="Realizado",L461&lt;&gt;""),L461/60,0)</f>
        <v>0.5</v>
      </c>
      <c r="V461" s="47">
        <f>IF(AND(H461="Realizado",OR(L461="",M461="")),1,0)</f>
        <v>0</v>
      </c>
    </row>
    <row r="462">
      <c r="A462" s="43" t="n">
        <v>46219</v>
      </c>
      <c r="B462" s="44" t="n">
        <v>0.6597222222222222</v>
      </c>
      <c r="C462" s="38" t="inlineStr">
        <is>
          <t>Dr. Paulo Andrade</t>
        </is>
      </c>
      <c r="D462" s="38" t="inlineStr">
        <is>
          <t>Sala 2</t>
        </is>
      </c>
      <c r="E462" s="37" t="inlineStr">
        <is>
          <t>Wagner Carvalho</t>
        </is>
      </c>
      <c r="F462" s="38" t="inlineStr">
        <is>
          <t>Vida Care</t>
        </is>
      </c>
      <c r="G462" s="38" t="inlineStr">
        <is>
          <t>Consulta</t>
        </is>
      </c>
      <c r="H462" s="38" t="inlineStr">
        <is>
          <t>Realizado</t>
        </is>
      </c>
      <c r="I462" s="38" t="inlineStr">
        <is>
          <t>Convênio</t>
        </is>
      </c>
      <c r="J462" s="38" t="n"/>
      <c r="K462" s="37" t="n"/>
      <c r="L462" s="39" t="n">
        <v>30</v>
      </c>
      <c r="M462" s="40" t="n">
        <v>90</v>
      </c>
      <c r="N462" s="30">
        <f>IF(A462="","",MONTH(A462))</f>
        <v>7</v>
      </c>
      <c r="O462" s="30">
        <f>IF(A462="","",YEAR(A462))</f>
        <v>2026</v>
      </c>
      <c r="P462" s="30" t="str">
        <f>IF(A462="","",CHOOSE(WEEKDAY(A462,2),"Segunda","Terça","Quarta","Quinta","Sexta","Sábado","Domingo"))</f>
        <v>Quinta</v>
      </c>
      <c r="Q462" s="30" t="str">
        <f>IF(B462="","",IF(B462&lt;TIME(12,0,0),"Manhã",IF(B462&lt;TIME(18,0,0),"Tarde","Noite")))</f>
        <v>Tarde</v>
      </c>
      <c r="R462" s="46">
        <f>IF(AND(H462="Realizado",L462&lt;&gt;"",A462&lt;=Config!$B$9),L462/60,0)</f>
        <v>0.5</v>
      </c>
      <c r="S462" s="45">
        <f>IF(G462="","",IFERROR(INDEX(Config!$K$5:$K$16,MATCH(G462,Config!$J$5:$J$16,0)),""))</f>
        <v>30</v>
      </c>
      <c r="T462" s="31">
        <f>IF(OR(G462="",F462=""),"",IFERROR(INDEX(Config!$M$5:$R$16,MATCH(G462,Config!$J$5:$J$16,0),MATCH(F462,Config!$H$5:$H$10,0)),""))</f>
        <v>90</v>
      </c>
      <c r="U462" s="47">
        <f>IF(AND(H462="Realizado",L462&lt;&gt;""),L462/60,0)</f>
        <v>0.5</v>
      </c>
      <c r="V462" s="47">
        <f>IF(AND(H462="Realizado",OR(L462="",M462="")),1,0)</f>
        <v>0</v>
      </c>
    </row>
    <row r="463">
      <c r="A463" s="43" t="n">
        <v>46219</v>
      </c>
      <c r="B463" s="44" t="n">
        <v>0.6805555555555556</v>
      </c>
      <c r="C463" s="38" t="inlineStr">
        <is>
          <t>Dra. Renata Sousa</t>
        </is>
      </c>
      <c r="D463" s="38" t="inlineStr">
        <is>
          <t>Sala 1</t>
        </is>
      </c>
      <c r="E463" s="37" t="inlineStr">
        <is>
          <t>Carlos Gonçalves</t>
        </is>
      </c>
      <c r="F463" s="38" t="inlineStr">
        <is>
          <t>Saúde Total</t>
        </is>
      </c>
      <c r="G463" s="38" t="inlineStr">
        <is>
          <t>Avaliação endócrina</t>
        </is>
      </c>
      <c r="H463" s="38" t="inlineStr">
        <is>
          <t>Falta</t>
        </is>
      </c>
      <c r="I463" s="38" t="n"/>
      <c r="J463" s="38" t="n"/>
      <c r="K463" s="37" t="n"/>
      <c r="L463" s="39" t="n">
        <v>40</v>
      </c>
      <c r="M463" s="40" t="n">
        <v>130</v>
      </c>
      <c r="N463" s="30">
        <f>IF(A463="","",MONTH(A463))</f>
        <v>7</v>
      </c>
      <c r="O463" s="30">
        <f>IF(A463="","",YEAR(A463))</f>
        <v>2026</v>
      </c>
      <c r="P463" s="30" t="str">
        <f>IF(A463="","",CHOOSE(WEEKDAY(A463,2),"Segunda","Terça","Quarta","Quinta","Sexta","Sábado","Domingo"))</f>
        <v>Quinta</v>
      </c>
      <c r="Q463" s="30" t="str">
        <f>IF(B463="","",IF(B463&lt;TIME(12,0,0),"Manhã",IF(B463&lt;TIME(18,0,0),"Tarde","Noite")))</f>
        <v>Tarde</v>
      </c>
      <c r="R463" s="46">
        <f>IF(AND(H463="Realizado",L463&lt;&gt;"",A463&lt;=Config!$B$9),L463/60,0)</f>
        <v>0</v>
      </c>
      <c r="S463" s="45">
        <f>IF(G463="","",IFERROR(INDEX(Config!$K$5:$K$16,MATCH(G463,Config!$J$5:$J$16,0)),""))</f>
        <v>40</v>
      </c>
      <c r="T463" s="31">
        <f>IF(OR(G463="",F463=""),"",IFERROR(INDEX(Config!$M$5:$R$16,MATCH(G463,Config!$J$5:$J$16,0),MATCH(F463,Config!$H$5:$H$10,0)),""))</f>
        <v>130</v>
      </c>
      <c r="U463" s="47">
        <f>IF(AND(H463="Realizado",L463&lt;&gt;""),L463/60,0)</f>
        <v>0</v>
      </c>
      <c r="V463" s="47">
        <f>IF(AND(H463="Realizado",OR(L463="",M463="")),1,0)</f>
        <v>0</v>
      </c>
    </row>
    <row r="464">
      <c r="A464" s="43" t="n">
        <v>46219</v>
      </c>
      <c r="B464" s="44" t="n">
        <v>0.6805555555555556</v>
      </c>
      <c r="C464" s="38" t="inlineStr">
        <is>
          <t>Dr. Paulo Andrade</t>
        </is>
      </c>
      <c r="D464" s="38" t="inlineStr">
        <is>
          <t>Sala 2</t>
        </is>
      </c>
      <c r="E464" s="37" t="inlineStr">
        <is>
          <t>Sérgio Teixeira</t>
        </is>
      </c>
      <c r="F464" s="38" t="inlineStr">
        <is>
          <t>MediPlan</t>
        </is>
      </c>
      <c r="G464" s="38" t="inlineStr">
        <is>
          <t>Consulta</t>
        </is>
      </c>
      <c r="H464" s="38" t="inlineStr">
        <is>
          <t>Realizado</t>
        </is>
      </c>
      <c r="I464" s="38" t="inlineStr">
        <is>
          <t>Convênio</t>
        </is>
      </c>
      <c r="J464" s="38" t="n"/>
      <c r="K464" s="37" t="n"/>
      <c r="L464" s="39" t="n">
        <v>30</v>
      </c>
      <c r="M464" s="40" t="n">
        <v>100</v>
      </c>
      <c r="N464" s="30">
        <f>IF(A464="","",MONTH(A464))</f>
        <v>7</v>
      </c>
      <c r="O464" s="30">
        <f>IF(A464="","",YEAR(A464))</f>
        <v>2026</v>
      </c>
      <c r="P464" s="30" t="str">
        <f>IF(A464="","",CHOOSE(WEEKDAY(A464,2),"Segunda","Terça","Quarta","Quinta","Sexta","Sábado","Domingo"))</f>
        <v>Quinta</v>
      </c>
      <c r="Q464" s="30" t="str">
        <f>IF(B464="","",IF(B464&lt;TIME(12,0,0),"Manhã",IF(B464&lt;TIME(18,0,0),"Tarde","Noite")))</f>
        <v>Tarde</v>
      </c>
      <c r="R464" s="46">
        <f>IF(AND(H464="Realizado",L464&lt;&gt;"",A464&lt;=Config!$B$9),L464/60,0)</f>
        <v>0.5</v>
      </c>
      <c r="S464" s="45">
        <f>IF(G464="","",IFERROR(INDEX(Config!$K$5:$K$16,MATCH(G464,Config!$J$5:$J$16,0)),""))</f>
        <v>30</v>
      </c>
      <c r="T464" s="31">
        <f>IF(OR(G464="",F464=""),"",IFERROR(INDEX(Config!$M$5:$R$16,MATCH(G464,Config!$J$5:$J$16,0),MATCH(F464,Config!$H$5:$H$10,0)),""))</f>
        <v>100</v>
      </c>
      <c r="U464" s="47">
        <f>IF(AND(H464="Realizado",L464&lt;&gt;""),L464/60,0)</f>
        <v>0.5</v>
      </c>
      <c r="V464" s="47">
        <f>IF(AND(H464="Realizado",OR(L464="",M464="")),1,0)</f>
        <v>0</v>
      </c>
    </row>
    <row r="465">
      <c r="A465" s="43" t="n">
        <v>46219</v>
      </c>
      <c r="B465" s="44" t="n">
        <v>0.7013888888888888</v>
      </c>
      <c r="C465" s="38" t="inlineStr">
        <is>
          <t>Dr. Paulo Andrade</t>
        </is>
      </c>
      <c r="D465" s="38" t="inlineStr">
        <is>
          <t>Sala 2</t>
        </is>
      </c>
      <c r="E465" s="37" t="inlineStr">
        <is>
          <t>Regina Teixeira</t>
        </is>
      </c>
      <c r="F465" s="38" t="inlineStr">
        <is>
          <t>Particular</t>
        </is>
      </c>
      <c r="G465" s="38" t="inlineStr">
        <is>
          <t>ECG</t>
        </is>
      </c>
      <c r="H465" s="38" t="inlineStr">
        <is>
          <t>Remarcado</t>
        </is>
      </c>
      <c r="I465" s="38" t="n"/>
      <c r="J465" s="38" t="n"/>
      <c r="K465" s="37" t="inlineStr">
        <is>
          <t>Paciente pediu outra data</t>
        </is>
      </c>
      <c r="L465" s="39" t="n">
        <v>20</v>
      </c>
      <c r="M465" s="40" t="n">
        <v>130</v>
      </c>
      <c r="N465" s="30">
        <f>IF(A465="","",MONTH(A465))</f>
        <v>7</v>
      </c>
      <c r="O465" s="30">
        <f>IF(A465="","",YEAR(A465))</f>
        <v>2026</v>
      </c>
      <c r="P465" s="30" t="str">
        <f>IF(A465="","",CHOOSE(WEEKDAY(A465,2),"Segunda","Terça","Quarta","Quinta","Sexta","Sábado","Domingo"))</f>
        <v>Quinta</v>
      </c>
      <c r="Q465" s="30" t="str">
        <f>IF(B465="","",IF(B465&lt;TIME(12,0,0),"Manhã",IF(B465&lt;TIME(18,0,0),"Tarde","Noite")))</f>
        <v>Tarde</v>
      </c>
      <c r="R465" s="46">
        <f>IF(AND(H465="Realizado",L465&lt;&gt;"",A465&lt;=Config!$B$9),L465/60,0)</f>
        <v>0</v>
      </c>
      <c r="S465" s="45">
        <f>IF(G465="","",IFERROR(INDEX(Config!$K$5:$K$16,MATCH(G465,Config!$J$5:$J$16,0)),""))</f>
        <v>20</v>
      </c>
      <c r="T465" s="31">
        <f>IF(OR(G465="",F465=""),"",IFERROR(INDEX(Config!$M$5:$R$16,MATCH(G465,Config!$J$5:$J$16,0),MATCH(F465,Config!$H$5:$H$10,0)),""))</f>
        <v>130</v>
      </c>
      <c r="U465" s="47">
        <f>IF(AND(H465="Realizado",L465&lt;&gt;""),L465/60,0)</f>
        <v>0</v>
      </c>
      <c r="V465" s="47">
        <f>IF(AND(H465="Realizado",OR(L465="",M465="")),1,0)</f>
        <v>0</v>
      </c>
    </row>
    <row r="466">
      <c r="A466" s="43" t="n">
        <v>46219</v>
      </c>
      <c r="B466" s="44" t="n">
        <v>0.7083333333333334</v>
      </c>
      <c r="C466" s="38" t="inlineStr">
        <is>
          <t>Dra. Renata Sousa</t>
        </is>
      </c>
      <c r="D466" s="38" t="inlineStr">
        <is>
          <t>Sala 1</t>
        </is>
      </c>
      <c r="E466" s="37" t="inlineStr">
        <is>
          <t>Beatriz Monteiro</t>
        </is>
      </c>
      <c r="F466" s="38" t="inlineStr">
        <is>
          <t>Particular</t>
        </is>
      </c>
      <c r="G466" s="38" t="inlineStr">
        <is>
          <t>Retorno</t>
        </is>
      </c>
      <c r="H466" s="38" t="inlineStr">
        <is>
          <t>Realizado</t>
        </is>
      </c>
      <c r="I466" s="38" t="inlineStr">
        <is>
          <t>Sem cobrança</t>
        </is>
      </c>
      <c r="J466" s="38" t="n"/>
      <c r="K466" s="37" t="n"/>
      <c r="L466" s="39" t="n">
        <v>20</v>
      </c>
      <c r="M466" s="40" t="n">
        <v>0</v>
      </c>
      <c r="N466" s="30">
        <f>IF(A466="","",MONTH(A466))</f>
        <v>7</v>
      </c>
      <c r="O466" s="30">
        <f>IF(A466="","",YEAR(A466))</f>
        <v>2026</v>
      </c>
      <c r="P466" s="30" t="str">
        <f>IF(A466="","",CHOOSE(WEEKDAY(A466,2),"Segunda","Terça","Quarta","Quinta","Sexta","Sábado","Domingo"))</f>
        <v>Quinta</v>
      </c>
      <c r="Q466" s="30" t="str">
        <f>IF(B466="","",IF(B466&lt;TIME(12,0,0),"Manhã",IF(B466&lt;TIME(18,0,0),"Tarde","Noite")))</f>
        <v>Tarde</v>
      </c>
      <c r="R466" s="46">
        <f>IF(AND(H466="Realizado",L466&lt;&gt;"",A466&lt;=Config!$B$9),L466/60,0)</f>
        <v>0.333333333333333</v>
      </c>
      <c r="S466" s="45">
        <f>IF(G466="","",IFERROR(INDEX(Config!$K$5:$K$16,MATCH(G466,Config!$J$5:$J$16,0)),""))</f>
        <v>20</v>
      </c>
      <c r="T466" s="31">
        <f>IF(OR(G466="",F466=""),"",IFERROR(INDEX(Config!$M$5:$R$16,MATCH(G466,Config!$J$5:$J$16,0),MATCH(F466,Config!$H$5:$H$10,0)),""))</f>
        <v>0</v>
      </c>
      <c r="U466" s="47">
        <f>IF(AND(H466="Realizado",L466&lt;&gt;""),L466/60,0)</f>
        <v>0.333333333333333</v>
      </c>
      <c r="V466" s="47">
        <f>IF(AND(H466="Realizado",OR(L466="",M466="")),1,0)</f>
        <v>0</v>
      </c>
    </row>
    <row r="467">
      <c r="A467" s="43" t="n">
        <v>46219</v>
      </c>
      <c r="B467" s="44" t="n">
        <v>0.7152777777777778</v>
      </c>
      <c r="C467" s="38" t="inlineStr">
        <is>
          <t>Dr. Paulo Andrade</t>
        </is>
      </c>
      <c r="D467" s="38" t="inlineStr">
        <is>
          <t>Sala 2</t>
        </is>
      </c>
      <c r="E467" s="37" t="inlineStr">
        <is>
          <t>Gisele Xavier</t>
        </is>
      </c>
      <c r="F467" s="38" t="inlineStr">
        <is>
          <t>Particular</t>
        </is>
      </c>
      <c r="G467" s="38" t="inlineStr">
        <is>
          <t>ECG</t>
        </is>
      </c>
      <c r="H467" s="38" t="inlineStr">
        <is>
          <t>Realizado</t>
        </is>
      </c>
      <c r="I467" s="38" t="inlineStr">
        <is>
          <t>Pix</t>
        </is>
      </c>
      <c r="J467" s="38" t="n"/>
      <c r="K467" s="37" t="n"/>
      <c r="L467" s="39" t="n">
        <v>20</v>
      </c>
      <c r="M467" s="40" t="n">
        <v>130</v>
      </c>
      <c r="N467" s="30">
        <f>IF(A467="","",MONTH(A467))</f>
        <v>7</v>
      </c>
      <c r="O467" s="30">
        <f>IF(A467="","",YEAR(A467))</f>
        <v>2026</v>
      </c>
      <c r="P467" s="30" t="str">
        <f>IF(A467="","",CHOOSE(WEEKDAY(A467,2),"Segunda","Terça","Quarta","Quinta","Sexta","Sábado","Domingo"))</f>
        <v>Quinta</v>
      </c>
      <c r="Q467" s="30" t="str">
        <f>IF(B467="","",IF(B467&lt;TIME(12,0,0),"Manhã",IF(B467&lt;TIME(18,0,0),"Tarde","Noite")))</f>
        <v>Tarde</v>
      </c>
      <c r="R467" s="46">
        <f>IF(AND(H467="Realizado",L467&lt;&gt;"",A467&lt;=Config!$B$9),L467/60,0)</f>
        <v>0.333333333333333</v>
      </c>
      <c r="S467" s="45">
        <f>IF(G467="","",IFERROR(INDEX(Config!$K$5:$K$16,MATCH(G467,Config!$J$5:$J$16,0)),""))</f>
        <v>20</v>
      </c>
      <c r="T467" s="31">
        <f>IF(OR(G467="",F467=""),"",IFERROR(INDEX(Config!$M$5:$R$16,MATCH(G467,Config!$J$5:$J$16,0),MATCH(F467,Config!$H$5:$H$10,0)),""))</f>
        <v>130</v>
      </c>
      <c r="U467" s="47">
        <f>IF(AND(H467="Realizado",L467&lt;&gt;""),L467/60,0)</f>
        <v>0.333333333333333</v>
      </c>
      <c r="V467" s="47">
        <f>IF(AND(H467="Realizado",OR(L467="",M467="")),1,0)</f>
        <v>0</v>
      </c>
    </row>
    <row r="468">
      <c r="A468" s="43" t="n">
        <v>46219</v>
      </c>
      <c r="B468" s="44" t="n">
        <v>0.7222222222222222</v>
      </c>
      <c r="C468" s="38" t="inlineStr">
        <is>
          <t>Dra. Renata Sousa</t>
        </is>
      </c>
      <c r="D468" s="38" t="inlineStr">
        <is>
          <t>Sala 1</t>
        </is>
      </c>
      <c r="E468" s="37" t="inlineStr">
        <is>
          <t>Márcia Duarte</t>
        </is>
      </c>
      <c r="F468" s="38" t="inlineStr">
        <is>
          <t>Particular</t>
        </is>
      </c>
      <c r="G468" s="38" t="inlineStr">
        <is>
          <t>Avaliação endócrina</t>
        </is>
      </c>
      <c r="H468" s="38" t="inlineStr">
        <is>
          <t>Realizado</t>
        </is>
      </c>
      <c r="I468" s="38" t="inlineStr">
        <is>
          <t>Cartão de crédito</t>
        </is>
      </c>
      <c r="J468" s="38" t="n"/>
      <c r="K468" s="37" t="n"/>
      <c r="L468" s="39" t="n">
        <v>40</v>
      </c>
      <c r="M468" s="40" t="n">
        <v>400</v>
      </c>
      <c r="N468" s="30">
        <f>IF(A468="","",MONTH(A468))</f>
        <v>7</v>
      </c>
      <c r="O468" s="30">
        <f>IF(A468="","",YEAR(A468))</f>
        <v>2026</v>
      </c>
      <c r="P468" s="30" t="str">
        <f>IF(A468="","",CHOOSE(WEEKDAY(A468,2),"Segunda","Terça","Quarta","Quinta","Sexta","Sábado","Domingo"))</f>
        <v>Quinta</v>
      </c>
      <c r="Q468" s="30" t="str">
        <f>IF(B468="","",IF(B468&lt;TIME(12,0,0),"Manhã",IF(B468&lt;TIME(18,0,0),"Tarde","Noite")))</f>
        <v>Tarde</v>
      </c>
      <c r="R468" s="46">
        <f>IF(AND(H468="Realizado",L468&lt;&gt;"",A468&lt;=Config!$B$9),L468/60,0)</f>
        <v>0.666666666666667</v>
      </c>
      <c r="S468" s="45">
        <f>IF(G468="","",IFERROR(INDEX(Config!$K$5:$K$16,MATCH(G468,Config!$J$5:$J$16,0)),""))</f>
        <v>40</v>
      </c>
      <c r="T468" s="31">
        <f>IF(OR(G468="",F468=""),"",IFERROR(INDEX(Config!$M$5:$R$16,MATCH(G468,Config!$J$5:$J$16,0),MATCH(F468,Config!$H$5:$H$10,0)),""))</f>
        <v>400</v>
      </c>
      <c r="U468" s="47">
        <f>IF(AND(H468="Realizado",L468&lt;&gt;""),L468/60,0)</f>
        <v>0.666666666666667</v>
      </c>
      <c r="V468" s="47">
        <f>IF(AND(H468="Realizado",OR(L468="",M468="")),1,0)</f>
        <v>0</v>
      </c>
    </row>
    <row r="469">
      <c r="A469" s="43" t="n">
        <v>46219</v>
      </c>
      <c r="B469" s="44" t="n">
        <v>0.7291666666666666</v>
      </c>
      <c r="C469" s="38" t="inlineStr">
        <is>
          <t>Dr. Paulo Andrade</t>
        </is>
      </c>
      <c r="D469" s="38" t="inlineStr">
        <is>
          <t>Sala 2</t>
        </is>
      </c>
      <c r="E469" s="37" t="inlineStr">
        <is>
          <t>Isabela Nascimento</t>
        </is>
      </c>
      <c r="F469" s="38" t="inlineStr">
        <is>
          <t>Vida Care</t>
        </is>
      </c>
      <c r="G469" s="38" t="inlineStr">
        <is>
          <t>ECG</t>
        </is>
      </c>
      <c r="H469" s="38" t="inlineStr">
        <is>
          <t>Falta</t>
        </is>
      </c>
      <c r="I469" s="38" t="n"/>
      <c r="J469" s="38" t="n"/>
      <c r="K469" s="37" t="n"/>
      <c r="L469" s="39" t="n">
        <v>20</v>
      </c>
      <c r="M469" s="40" t="n">
        <v>32</v>
      </c>
      <c r="N469" s="30">
        <f>IF(A469="","",MONTH(A469))</f>
        <v>7</v>
      </c>
      <c r="O469" s="30">
        <f>IF(A469="","",YEAR(A469))</f>
        <v>2026</v>
      </c>
      <c r="P469" s="30" t="str">
        <f>IF(A469="","",CHOOSE(WEEKDAY(A469,2),"Segunda","Terça","Quarta","Quinta","Sexta","Sábado","Domingo"))</f>
        <v>Quinta</v>
      </c>
      <c r="Q469" s="30" t="str">
        <f>IF(B469="","",IF(B469&lt;TIME(12,0,0),"Manhã",IF(B469&lt;TIME(18,0,0),"Tarde","Noite")))</f>
        <v>Tarde</v>
      </c>
      <c r="R469" s="46">
        <f>IF(AND(H469="Realizado",L469&lt;&gt;"",A469&lt;=Config!$B$9),L469/60,0)</f>
        <v>0</v>
      </c>
      <c r="S469" s="45">
        <f>IF(G469="","",IFERROR(INDEX(Config!$K$5:$K$16,MATCH(G469,Config!$J$5:$J$16,0)),""))</f>
        <v>20</v>
      </c>
      <c r="T469" s="31">
        <f>IF(OR(G469="",F469=""),"",IFERROR(INDEX(Config!$M$5:$R$16,MATCH(G469,Config!$J$5:$J$16,0),MATCH(F469,Config!$H$5:$H$10,0)),""))</f>
        <v>32</v>
      </c>
      <c r="U469" s="47">
        <f>IF(AND(H469="Realizado",L469&lt;&gt;""),L469/60,0)</f>
        <v>0</v>
      </c>
      <c r="V469" s="47">
        <f>IF(AND(H469="Realizado",OR(L469="",M469="")),1,0)</f>
        <v>0</v>
      </c>
    </row>
    <row r="470">
      <c r="A470" s="43" t="n">
        <v>46220</v>
      </c>
      <c r="B470" s="44" t="n">
        <v>0.3541666666666667</v>
      </c>
      <c r="C470" s="38" t="inlineStr">
        <is>
          <t>Dr. Paulo Andrade</t>
        </is>
      </c>
      <c r="D470" s="38" t="inlineStr">
        <is>
          <t>Sala 2</t>
        </is>
      </c>
      <c r="E470" s="37" t="inlineStr">
        <is>
          <t>Renato Pereira</t>
        </is>
      </c>
      <c r="F470" s="38" t="inlineStr">
        <is>
          <t>MediPlan</t>
        </is>
      </c>
      <c r="G470" s="38" t="inlineStr">
        <is>
          <t>Consulta</t>
        </is>
      </c>
      <c r="H470" s="38" t="inlineStr">
        <is>
          <t>Realizado</t>
        </is>
      </c>
      <c r="I470" s="38" t="inlineStr">
        <is>
          <t>Convênio</t>
        </is>
      </c>
      <c r="J470" s="38" t="n"/>
      <c r="K470" s="37" t="n"/>
      <c r="L470" s="39" t="n">
        <v>30</v>
      </c>
      <c r="M470" s="40" t="n">
        <v>100</v>
      </c>
      <c r="N470" s="30">
        <f>IF(A470="","",MONTH(A470))</f>
        <v>7</v>
      </c>
      <c r="O470" s="30">
        <f>IF(A470="","",YEAR(A470))</f>
        <v>2026</v>
      </c>
      <c r="P470" s="30" t="str">
        <f>IF(A470="","",CHOOSE(WEEKDAY(A470,2),"Segunda","Terça","Quarta","Quinta","Sexta","Sábado","Domingo"))</f>
        <v>Sexta</v>
      </c>
      <c r="Q470" s="30" t="str">
        <f>IF(B470="","",IF(B470&lt;TIME(12,0,0),"Manhã",IF(B470&lt;TIME(18,0,0),"Tarde","Noite")))</f>
        <v>Manhã</v>
      </c>
      <c r="R470" s="46">
        <f>IF(AND(H470="Realizado",L470&lt;&gt;"",A470&lt;=Config!$B$9),L470/60,0)</f>
        <v>0.5</v>
      </c>
      <c r="S470" s="45">
        <f>IF(G470="","",IFERROR(INDEX(Config!$K$5:$K$16,MATCH(G470,Config!$J$5:$J$16,0)),""))</f>
        <v>30</v>
      </c>
      <c r="T470" s="31">
        <f>IF(OR(G470="",F470=""),"",IFERROR(INDEX(Config!$M$5:$R$16,MATCH(G470,Config!$J$5:$J$16,0),MATCH(F470,Config!$H$5:$H$10,0)),""))</f>
        <v>100</v>
      </c>
      <c r="U470" s="47">
        <f>IF(AND(H470="Realizado",L470&lt;&gt;""),L470/60,0)</f>
        <v>0.5</v>
      </c>
      <c r="V470" s="47">
        <f>IF(AND(H470="Realizado",OR(L470="",M470="")),1,0)</f>
        <v>0</v>
      </c>
    </row>
    <row r="471">
      <c r="A471" s="43" t="n">
        <v>46220</v>
      </c>
      <c r="B471" s="44" t="n">
        <v>0.375</v>
      </c>
      <c r="C471" s="38" t="inlineStr">
        <is>
          <t>Dr. Paulo Andrade</t>
        </is>
      </c>
      <c r="D471" s="38" t="inlineStr">
        <is>
          <t>Sala 2</t>
        </is>
      </c>
      <c r="E471" s="37" t="inlineStr">
        <is>
          <t>Mônica Teixeira</t>
        </is>
      </c>
      <c r="F471" s="38" t="inlineStr">
        <is>
          <t>Vida Care</t>
        </is>
      </c>
      <c r="G471" s="38" t="inlineStr">
        <is>
          <t>ECG</t>
        </is>
      </c>
      <c r="H471" s="38" t="inlineStr">
        <is>
          <t>Realizado</t>
        </is>
      </c>
      <c r="I471" s="38" t="inlineStr">
        <is>
          <t>Convênio</t>
        </is>
      </c>
      <c r="J471" s="38" t="n"/>
      <c r="K471" s="37" t="n"/>
      <c r="L471" s="39" t="n">
        <v>20</v>
      </c>
      <c r="M471" s="40" t="n">
        <v>32</v>
      </c>
      <c r="N471" s="30">
        <f>IF(A471="","",MONTH(A471))</f>
        <v>7</v>
      </c>
      <c r="O471" s="30">
        <f>IF(A471="","",YEAR(A471))</f>
        <v>2026</v>
      </c>
      <c r="P471" s="30" t="str">
        <f>IF(A471="","",CHOOSE(WEEKDAY(A471,2),"Segunda","Terça","Quarta","Quinta","Sexta","Sábado","Domingo"))</f>
        <v>Sexta</v>
      </c>
      <c r="Q471" s="30" t="str">
        <f>IF(B471="","",IF(B471&lt;TIME(12,0,0),"Manhã",IF(B471&lt;TIME(18,0,0),"Tarde","Noite")))</f>
        <v>Manhã</v>
      </c>
      <c r="R471" s="46">
        <f>IF(AND(H471="Realizado",L471&lt;&gt;"",A471&lt;=Config!$B$9),L471/60,0)</f>
        <v>0.333333333333333</v>
      </c>
      <c r="S471" s="45">
        <f>IF(G471="","",IFERROR(INDEX(Config!$K$5:$K$16,MATCH(G471,Config!$J$5:$J$16,0)),""))</f>
        <v>20</v>
      </c>
      <c r="T471" s="31">
        <f>IF(OR(G471="",F471=""),"",IFERROR(INDEX(Config!$M$5:$R$16,MATCH(G471,Config!$J$5:$J$16,0),MATCH(F471,Config!$H$5:$H$10,0)),""))</f>
        <v>32</v>
      </c>
      <c r="U471" s="47">
        <f>IF(AND(H471="Realizado",L471&lt;&gt;""),L471/60,0)</f>
        <v>0.333333333333333</v>
      </c>
      <c r="V471" s="47">
        <f>IF(AND(H471="Realizado",OR(L471="",M471="")),1,0)</f>
        <v>0</v>
      </c>
    </row>
    <row r="472">
      <c r="A472" s="43" t="n">
        <v>46220</v>
      </c>
      <c r="B472" s="44" t="n">
        <v>0.4305555555555556</v>
      </c>
      <c r="C472" s="38" t="inlineStr">
        <is>
          <t>Dr. Paulo Andrade</t>
        </is>
      </c>
      <c r="D472" s="38" t="inlineStr">
        <is>
          <t>Sala 2</t>
        </is>
      </c>
      <c r="E472" s="37" t="inlineStr">
        <is>
          <t>Wagner Costa</t>
        </is>
      </c>
      <c r="F472" s="38" t="inlineStr">
        <is>
          <t>Particular</t>
        </is>
      </c>
      <c r="G472" s="38" t="inlineStr">
        <is>
          <t>Consulta</t>
        </is>
      </c>
      <c r="H472" s="38" t="inlineStr">
        <is>
          <t>Falta</t>
        </is>
      </c>
      <c r="I472" s="38" t="n"/>
      <c r="J472" s="38" t="n"/>
      <c r="K472" s="37" t="n"/>
      <c r="L472" s="39" t="n">
        <v>30</v>
      </c>
      <c r="M472" s="40" t="n">
        <v>380</v>
      </c>
      <c r="N472" s="30">
        <f>IF(A472="","",MONTH(A472))</f>
        <v>7</v>
      </c>
      <c r="O472" s="30">
        <f>IF(A472="","",YEAR(A472))</f>
        <v>2026</v>
      </c>
      <c r="P472" s="30" t="str">
        <f>IF(A472="","",CHOOSE(WEEKDAY(A472,2),"Segunda","Terça","Quarta","Quinta","Sexta","Sábado","Domingo"))</f>
        <v>Sexta</v>
      </c>
      <c r="Q472" s="30" t="str">
        <f>IF(B472="","",IF(B472&lt;TIME(12,0,0),"Manhã",IF(B472&lt;TIME(18,0,0),"Tarde","Noite")))</f>
        <v>Manhã</v>
      </c>
      <c r="R472" s="46">
        <f>IF(AND(H472="Realizado",L472&lt;&gt;"",A472&lt;=Config!$B$9),L472/60,0)</f>
        <v>0</v>
      </c>
      <c r="S472" s="45">
        <f>IF(G472="","",IFERROR(INDEX(Config!$K$5:$K$16,MATCH(G472,Config!$J$5:$J$16,0)),""))</f>
        <v>30</v>
      </c>
      <c r="T472" s="31">
        <f>IF(OR(G472="",F472=""),"",IFERROR(INDEX(Config!$M$5:$R$16,MATCH(G472,Config!$J$5:$J$16,0),MATCH(F472,Config!$H$5:$H$10,0)),""))</f>
        <v>380</v>
      </c>
      <c r="U472" s="47">
        <f>IF(AND(H472="Realizado",L472&lt;&gt;""),L472/60,0)</f>
        <v>0</v>
      </c>
      <c r="V472" s="47">
        <f>IF(AND(H472="Realizado",OR(L472="",M472="")),1,0)</f>
        <v>0</v>
      </c>
    </row>
    <row r="473">
      <c r="A473" s="43" t="n">
        <v>46220</v>
      </c>
      <c r="B473" s="44" t="n">
        <v>0.4722222222222222</v>
      </c>
      <c r="C473" s="38" t="inlineStr">
        <is>
          <t>Dr. Paulo Andrade</t>
        </is>
      </c>
      <c r="D473" s="38" t="inlineStr">
        <is>
          <t>Sala 2</t>
        </is>
      </c>
      <c r="E473" s="37" t="inlineStr">
        <is>
          <t>Lucas Cardoso</t>
        </is>
      </c>
      <c r="F473" s="38" t="inlineStr">
        <is>
          <t>Particular</t>
        </is>
      </c>
      <c r="G473" s="38" t="inlineStr">
        <is>
          <t>Consulta</t>
        </is>
      </c>
      <c r="H473" s="38" t="inlineStr">
        <is>
          <t>Realizado</t>
        </is>
      </c>
      <c r="I473" s="38" t="inlineStr">
        <is>
          <t>Cartão de crédito</t>
        </is>
      </c>
      <c r="J473" s="38" t="n"/>
      <c r="K473" s="37" t="n"/>
      <c r="L473" s="39" t="n">
        <v>30</v>
      </c>
      <c r="M473" s="40" t="n">
        <v>380</v>
      </c>
      <c r="N473" s="30">
        <f>IF(A473="","",MONTH(A473))</f>
        <v>7</v>
      </c>
      <c r="O473" s="30">
        <f>IF(A473="","",YEAR(A473))</f>
        <v>2026</v>
      </c>
      <c r="P473" s="30" t="str">
        <f>IF(A473="","",CHOOSE(WEEKDAY(A473,2),"Segunda","Terça","Quarta","Quinta","Sexta","Sábado","Domingo"))</f>
        <v>Sexta</v>
      </c>
      <c r="Q473" s="30" t="str">
        <f>IF(B473="","",IF(B473&lt;TIME(12,0,0),"Manhã",IF(B473&lt;TIME(18,0,0),"Tarde","Noite")))</f>
        <v>Manhã</v>
      </c>
      <c r="R473" s="46">
        <f>IF(AND(H473="Realizado",L473&lt;&gt;"",A473&lt;=Config!$B$9),L473/60,0)</f>
        <v>0.5</v>
      </c>
      <c r="S473" s="45">
        <f>IF(G473="","",IFERROR(INDEX(Config!$K$5:$K$16,MATCH(G473,Config!$J$5:$J$16,0)),""))</f>
        <v>30</v>
      </c>
      <c r="T473" s="31">
        <f>IF(OR(G473="",F473=""),"",IFERROR(INDEX(Config!$M$5:$R$16,MATCH(G473,Config!$J$5:$J$16,0),MATCH(F473,Config!$H$5:$H$10,0)),""))</f>
        <v>380</v>
      </c>
      <c r="U473" s="47">
        <f>IF(AND(H473="Realizado",L473&lt;&gt;""),L473/60,0)</f>
        <v>0.5</v>
      </c>
      <c r="V473" s="47">
        <f>IF(AND(H473="Realizado",OR(L473="",M473="")),1,0)</f>
        <v>0</v>
      </c>
    </row>
    <row r="474">
      <c r="A474" s="43" t="n">
        <v>46223</v>
      </c>
      <c r="B474" s="44" t="n">
        <v>0.3333333333333333</v>
      </c>
      <c r="C474" s="38" t="inlineStr">
        <is>
          <t>Dra. Carolina Mendes</t>
        </is>
      </c>
      <c r="D474" s="38" t="inlineStr">
        <is>
          <t>Sala 1</t>
        </is>
      </c>
      <c r="E474" s="37" t="inlineStr">
        <is>
          <t>Marcelo Moreira</t>
        </is>
      </c>
      <c r="F474" s="38" t="inlineStr">
        <is>
          <t>Particular</t>
        </is>
      </c>
      <c r="G474" s="38" t="inlineStr">
        <is>
          <t>Consulta</t>
        </is>
      </c>
      <c r="H474" s="38" t="inlineStr">
        <is>
          <t>Realizado</t>
        </is>
      </c>
      <c r="I474" s="38" t="inlineStr">
        <is>
          <t>Cartão de débito</t>
        </is>
      </c>
      <c r="J474" s="38" t="n"/>
      <c r="K474" s="37" t="n"/>
      <c r="L474" s="39" t="n">
        <v>30</v>
      </c>
      <c r="M474" s="40" t="n">
        <v>380</v>
      </c>
      <c r="N474" s="30">
        <f>IF(A474="","",MONTH(A474))</f>
        <v>7</v>
      </c>
      <c r="O474" s="30">
        <f>IF(A474="","",YEAR(A474))</f>
        <v>2026</v>
      </c>
      <c r="P474" s="30" t="str">
        <f>IF(A474="","",CHOOSE(WEEKDAY(A474,2),"Segunda","Terça","Quarta","Quinta","Sexta","Sábado","Domingo"))</f>
        <v>Segunda</v>
      </c>
      <c r="Q474" s="30" t="str">
        <f>IF(B474="","",IF(B474&lt;TIME(12,0,0),"Manhã",IF(B474&lt;TIME(18,0,0),"Tarde","Noite")))</f>
        <v>Manhã</v>
      </c>
      <c r="R474" s="46">
        <f>IF(AND(H474="Realizado",L474&lt;&gt;"",A474&lt;=Config!$B$9),L474/60,0)</f>
        <v>0.5</v>
      </c>
      <c r="S474" s="45">
        <f>IF(G474="","",IFERROR(INDEX(Config!$K$5:$K$16,MATCH(G474,Config!$J$5:$J$16,0)),""))</f>
        <v>30</v>
      </c>
      <c r="T474" s="31">
        <f>IF(OR(G474="",F474=""),"",IFERROR(INDEX(Config!$M$5:$R$16,MATCH(G474,Config!$J$5:$J$16,0),MATCH(F474,Config!$H$5:$H$10,0)),""))</f>
        <v>380</v>
      </c>
      <c r="U474" s="47">
        <f>IF(AND(H474="Realizado",L474&lt;&gt;""),L474/60,0)</f>
        <v>0.5</v>
      </c>
      <c r="V474" s="47">
        <f>IF(AND(H474="Realizado",OR(L474="",M474="")),1,0)</f>
        <v>0</v>
      </c>
    </row>
    <row r="475">
      <c r="A475" s="43" t="n">
        <v>46223</v>
      </c>
      <c r="B475" s="44" t="n">
        <v>0.375</v>
      </c>
      <c r="C475" s="38" t="inlineStr">
        <is>
          <t>Dra. Carolina Mendes</t>
        </is>
      </c>
      <c r="D475" s="38" t="inlineStr">
        <is>
          <t>Sala 1</t>
        </is>
      </c>
      <c r="E475" s="37" t="inlineStr">
        <is>
          <t>Wagner Lima</t>
        </is>
      </c>
      <c r="F475" s="38" t="inlineStr">
        <is>
          <t>Particular</t>
        </is>
      </c>
      <c r="G475" s="38" t="inlineStr">
        <is>
          <t>Retorno</t>
        </is>
      </c>
      <c r="H475" s="38" t="inlineStr">
        <is>
          <t>Realizado</t>
        </is>
      </c>
      <c r="I475" s="38" t="inlineStr">
        <is>
          <t>Sem cobrança</t>
        </is>
      </c>
      <c r="J475" s="38" t="n"/>
      <c r="K475" s="37" t="n"/>
      <c r="L475" s="39" t="n">
        <v>20</v>
      </c>
      <c r="M475" s="40" t="n">
        <v>0</v>
      </c>
      <c r="N475" s="30">
        <f>IF(A475="","",MONTH(A475))</f>
        <v>7</v>
      </c>
      <c r="O475" s="30">
        <f>IF(A475="","",YEAR(A475))</f>
        <v>2026</v>
      </c>
      <c r="P475" s="30" t="str">
        <f>IF(A475="","",CHOOSE(WEEKDAY(A475,2),"Segunda","Terça","Quarta","Quinta","Sexta","Sábado","Domingo"))</f>
        <v>Segunda</v>
      </c>
      <c r="Q475" s="30" t="str">
        <f>IF(B475="","",IF(B475&lt;TIME(12,0,0),"Manhã",IF(B475&lt;TIME(18,0,0),"Tarde","Noite")))</f>
        <v>Manhã</v>
      </c>
      <c r="R475" s="46">
        <f>IF(AND(H475="Realizado",L475&lt;&gt;"",A475&lt;=Config!$B$9),L475/60,0)</f>
        <v>0.333333333333333</v>
      </c>
      <c r="S475" s="45">
        <f>IF(G475="","",IFERROR(INDEX(Config!$K$5:$K$16,MATCH(G475,Config!$J$5:$J$16,0)),""))</f>
        <v>20</v>
      </c>
      <c r="T475" s="31">
        <f>IF(OR(G475="",F475=""),"",IFERROR(INDEX(Config!$M$5:$R$16,MATCH(G475,Config!$J$5:$J$16,0),MATCH(F475,Config!$H$5:$H$10,0)),""))</f>
        <v>0</v>
      </c>
      <c r="U475" s="47">
        <f>IF(AND(H475="Realizado",L475&lt;&gt;""),L475/60,0)</f>
        <v>0.333333333333333</v>
      </c>
      <c r="V475" s="47">
        <f>IF(AND(H475="Realizado",OR(L475="",M475="")),1,0)</f>
        <v>0</v>
      </c>
    </row>
    <row r="476">
      <c r="A476" s="43" t="n">
        <v>46223</v>
      </c>
      <c r="B476" s="44" t="n">
        <v>0.3888888888888889</v>
      </c>
      <c r="C476" s="38" t="inlineStr">
        <is>
          <t>Dra. Carolina Mendes</t>
        </is>
      </c>
      <c r="D476" s="38" t="inlineStr">
        <is>
          <t>Sala 1</t>
        </is>
      </c>
      <c r="E476" s="37" t="inlineStr">
        <is>
          <t>Eduardo Lima</t>
        </is>
      </c>
      <c r="F476" s="38" t="inlineStr">
        <is>
          <t>Particular</t>
        </is>
      </c>
      <c r="G476" s="38" t="inlineStr">
        <is>
          <t>Consulta</t>
        </is>
      </c>
      <c r="H476" s="38" t="inlineStr">
        <is>
          <t>Realizado</t>
        </is>
      </c>
      <c r="I476" s="38" t="inlineStr">
        <is>
          <t>Cartão de crédito</t>
        </is>
      </c>
      <c r="J476" s="38" t="n"/>
      <c r="K476" s="37" t="n"/>
      <c r="L476" s="39" t="n">
        <v>30</v>
      </c>
      <c r="M476" s="40" t="n">
        <v>380</v>
      </c>
      <c r="N476" s="30">
        <f>IF(A476="","",MONTH(A476))</f>
        <v>7</v>
      </c>
      <c r="O476" s="30">
        <f>IF(A476="","",YEAR(A476))</f>
        <v>2026</v>
      </c>
      <c r="P476" s="30" t="str">
        <f>IF(A476="","",CHOOSE(WEEKDAY(A476,2),"Segunda","Terça","Quarta","Quinta","Sexta","Sábado","Domingo"))</f>
        <v>Segunda</v>
      </c>
      <c r="Q476" s="30" t="str">
        <f>IF(B476="","",IF(B476&lt;TIME(12,0,0),"Manhã",IF(B476&lt;TIME(18,0,0),"Tarde","Noite")))</f>
        <v>Manhã</v>
      </c>
      <c r="R476" s="46">
        <f>IF(AND(H476="Realizado",L476&lt;&gt;"",A476&lt;=Config!$B$9),L476/60,0)</f>
        <v>0.5</v>
      </c>
      <c r="S476" s="45">
        <f>IF(G476="","",IFERROR(INDEX(Config!$K$5:$K$16,MATCH(G476,Config!$J$5:$J$16,0)),""))</f>
        <v>30</v>
      </c>
      <c r="T476" s="31">
        <f>IF(OR(G476="",F476=""),"",IFERROR(INDEX(Config!$M$5:$R$16,MATCH(G476,Config!$J$5:$J$16,0),MATCH(F476,Config!$H$5:$H$10,0)),""))</f>
        <v>380</v>
      </c>
      <c r="U476" s="47">
        <f>IF(AND(H476="Realizado",L476&lt;&gt;""),L476/60,0)</f>
        <v>0.5</v>
      </c>
      <c r="V476" s="47">
        <f>IF(AND(H476="Realizado",OR(L476="",M476="")),1,0)</f>
        <v>0</v>
      </c>
    </row>
    <row r="477">
      <c r="A477" s="43" t="n">
        <v>46223</v>
      </c>
      <c r="B477" s="44" t="n">
        <v>0.4097222222222222</v>
      </c>
      <c r="C477" s="38" t="inlineStr">
        <is>
          <t>Dra. Carolina Mendes</t>
        </is>
      </c>
      <c r="D477" s="38" t="inlineStr">
        <is>
          <t>Sala 1</t>
        </is>
      </c>
      <c r="E477" s="37" t="inlineStr">
        <is>
          <t>Gustavo Barbosa</t>
        </is>
      </c>
      <c r="F477" s="38" t="inlineStr">
        <is>
          <t>Saúde Total</t>
        </is>
      </c>
      <c r="G477" s="38" t="inlineStr">
        <is>
          <t>Consulta</t>
        </is>
      </c>
      <c r="H477" s="38" t="inlineStr">
        <is>
          <t>Realizado</t>
        </is>
      </c>
      <c r="I477" s="38" t="inlineStr">
        <is>
          <t>Convênio</t>
        </is>
      </c>
      <c r="J477" s="38" t="n"/>
      <c r="K477" s="37" t="n"/>
      <c r="L477" s="39" t="n">
        <v>30</v>
      </c>
      <c r="M477" s="40" t="n">
        <v>120</v>
      </c>
      <c r="N477" s="30">
        <f>IF(A477="","",MONTH(A477))</f>
        <v>7</v>
      </c>
      <c r="O477" s="30">
        <f>IF(A477="","",YEAR(A477))</f>
        <v>2026</v>
      </c>
      <c r="P477" s="30" t="str">
        <f>IF(A477="","",CHOOSE(WEEKDAY(A477,2),"Segunda","Terça","Quarta","Quinta","Sexta","Sábado","Domingo"))</f>
        <v>Segunda</v>
      </c>
      <c r="Q477" s="30" t="str">
        <f>IF(B477="","",IF(B477&lt;TIME(12,0,0),"Manhã",IF(B477&lt;TIME(18,0,0),"Tarde","Noite")))</f>
        <v>Manhã</v>
      </c>
      <c r="R477" s="46">
        <f>IF(AND(H477="Realizado",L477&lt;&gt;"",A477&lt;=Config!$B$9),L477/60,0)</f>
        <v>0.5</v>
      </c>
      <c r="S477" s="45">
        <f>IF(G477="","",IFERROR(INDEX(Config!$K$5:$K$16,MATCH(G477,Config!$J$5:$J$16,0)),""))</f>
        <v>30</v>
      </c>
      <c r="T477" s="31">
        <f>IF(OR(G477="",F477=""),"",IFERROR(INDEX(Config!$M$5:$R$16,MATCH(G477,Config!$J$5:$J$16,0),MATCH(F477,Config!$H$5:$H$10,0)),""))</f>
        <v>120</v>
      </c>
      <c r="U477" s="47">
        <f>IF(AND(H477="Realizado",L477&lt;&gt;""),L477/60,0)</f>
        <v>0.5</v>
      </c>
      <c r="V477" s="47">
        <f>IF(AND(H477="Realizado",OR(L477="",M477="")),1,0)</f>
        <v>0</v>
      </c>
    </row>
    <row r="478">
      <c r="A478" s="43" t="n">
        <v>46223</v>
      </c>
      <c r="B478" s="44" t="n">
        <v>0.4305555555555556</v>
      </c>
      <c r="C478" s="38" t="inlineStr">
        <is>
          <t>Dra. Carolina Mendes</t>
        </is>
      </c>
      <c r="D478" s="38" t="inlineStr">
        <is>
          <t>Sala 1</t>
        </is>
      </c>
      <c r="E478" s="37" t="inlineStr">
        <is>
          <t>Rafael Dias</t>
        </is>
      </c>
      <c r="F478" s="38" t="inlineStr">
        <is>
          <t>Particular</t>
        </is>
      </c>
      <c r="G478" s="38" t="inlineStr">
        <is>
          <t>Consulta</t>
        </is>
      </c>
      <c r="H478" s="38" t="inlineStr">
        <is>
          <t>Realizado</t>
        </is>
      </c>
      <c r="I478" s="38" t="inlineStr">
        <is>
          <t>Pix</t>
        </is>
      </c>
      <c r="J478" s="38" t="n"/>
      <c r="K478" s="37" t="n"/>
      <c r="L478" s="39" t="n">
        <v>30</v>
      </c>
      <c r="M478" s="40" t="n">
        <v>380</v>
      </c>
      <c r="N478" s="30">
        <f>IF(A478="","",MONTH(A478))</f>
        <v>7</v>
      </c>
      <c r="O478" s="30">
        <f>IF(A478="","",YEAR(A478))</f>
        <v>2026</v>
      </c>
      <c r="P478" s="30" t="str">
        <f>IF(A478="","",CHOOSE(WEEKDAY(A478,2),"Segunda","Terça","Quarta","Quinta","Sexta","Sábado","Domingo"))</f>
        <v>Segunda</v>
      </c>
      <c r="Q478" s="30" t="str">
        <f>IF(B478="","",IF(B478&lt;TIME(12,0,0),"Manhã",IF(B478&lt;TIME(18,0,0),"Tarde","Noite")))</f>
        <v>Manhã</v>
      </c>
      <c r="R478" s="46">
        <f>IF(AND(H478="Realizado",L478&lt;&gt;"",A478&lt;=Config!$B$9),L478/60,0)</f>
        <v>0.5</v>
      </c>
      <c r="S478" s="45">
        <f>IF(G478="","",IFERROR(INDEX(Config!$K$5:$K$16,MATCH(G478,Config!$J$5:$J$16,0)),""))</f>
        <v>30</v>
      </c>
      <c r="T478" s="31">
        <f>IF(OR(G478="",F478=""),"",IFERROR(INDEX(Config!$M$5:$R$16,MATCH(G478,Config!$J$5:$J$16,0),MATCH(F478,Config!$H$5:$H$10,0)),""))</f>
        <v>380</v>
      </c>
      <c r="U478" s="47">
        <f>IF(AND(H478="Realizado",L478&lt;&gt;""),L478/60,0)</f>
        <v>0.5</v>
      </c>
      <c r="V478" s="47">
        <f>IF(AND(H478="Realizado",OR(L478="",M478="")),1,0)</f>
        <v>0</v>
      </c>
    </row>
    <row r="479">
      <c r="A479" s="43" t="n">
        <v>46223</v>
      </c>
      <c r="B479" s="44" t="n">
        <v>0.4513888888888889</v>
      </c>
      <c r="C479" s="38" t="inlineStr">
        <is>
          <t>Dra. Carolina Mendes</t>
        </is>
      </c>
      <c r="D479" s="38" t="inlineStr">
        <is>
          <t>Sala 1</t>
        </is>
      </c>
      <c r="E479" s="37" t="inlineStr">
        <is>
          <t>Isabela Pinto</t>
        </is>
      </c>
      <c r="F479" s="38" t="inlineStr">
        <is>
          <t>Saúde Total</t>
        </is>
      </c>
      <c r="G479" s="38" t="inlineStr">
        <is>
          <t>Consulta</t>
        </is>
      </c>
      <c r="H479" s="38" t="inlineStr">
        <is>
          <t>Realizado</t>
        </is>
      </c>
      <c r="I479" s="38" t="inlineStr">
        <is>
          <t>Convênio</t>
        </is>
      </c>
      <c r="J479" s="38" t="n"/>
      <c r="K479" s="37" t="n"/>
      <c r="L479" s="39" t="n">
        <v>30</v>
      </c>
      <c r="M479" s="40" t="n">
        <v>120</v>
      </c>
      <c r="N479" s="30">
        <f>IF(A479="","",MONTH(A479))</f>
        <v>7</v>
      </c>
      <c r="O479" s="30">
        <f>IF(A479="","",YEAR(A479))</f>
        <v>2026</v>
      </c>
      <c r="P479" s="30" t="str">
        <f>IF(A479="","",CHOOSE(WEEKDAY(A479,2),"Segunda","Terça","Quarta","Quinta","Sexta","Sábado","Domingo"))</f>
        <v>Segunda</v>
      </c>
      <c r="Q479" s="30" t="str">
        <f>IF(B479="","",IF(B479&lt;TIME(12,0,0),"Manhã",IF(B479&lt;TIME(18,0,0),"Tarde","Noite")))</f>
        <v>Manhã</v>
      </c>
      <c r="R479" s="46">
        <f>IF(AND(H479="Realizado",L479&lt;&gt;"",A479&lt;=Config!$B$9),L479/60,0)</f>
        <v>0.5</v>
      </c>
      <c r="S479" s="45">
        <f>IF(G479="","",IFERROR(INDEX(Config!$K$5:$K$16,MATCH(G479,Config!$J$5:$J$16,0)),""))</f>
        <v>30</v>
      </c>
      <c r="T479" s="31">
        <f>IF(OR(G479="",F479=""),"",IFERROR(INDEX(Config!$M$5:$R$16,MATCH(G479,Config!$J$5:$J$16,0),MATCH(F479,Config!$H$5:$H$10,0)),""))</f>
        <v>120</v>
      </c>
      <c r="U479" s="47">
        <f>IF(AND(H479="Realizado",L479&lt;&gt;""),L479/60,0)</f>
        <v>0.5</v>
      </c>
      <c r="V479" s="47">
        <f>IF(AND(H479="Realizado",OR(L479="",M479="")),1,0)</f>
        <v>0</v>
      </c>
    </row>
    <row r="480">
      <c r="A480" s="43" t="n">
        <v>46223</v>
      </c>
      <c r="B480" s="44" t="n">
        <v>0.4722222222222222</v>
      </c>
      <c r="C480" s="38" t="inlineStr">
        <is>
          <t>Dra. Carolina Mendes</t>
        </is>
      </c>
      <c r="D480" s="38" t="inlineStr">
        <is>
          <t>Sala 1</t>
        </is>
      </c>
      <c r="E480" s="37" t="inlineStr">
        <is>
          <t>Cláudia Santos</t>
        </is>
      </c>
      <c r="F480" s="38" t="inlineStr">
        <is>
          <t>Particular</t>
        </is>
      </c>
      <c r="G480" s="38" t="inlineStr">
        <is>
          <t>Consulta</t>
        </is>
      </c>
      <c r="H480" s="38" t="inlineStr">
        <is>
          <t>Realizado</t>
        </is>
      </c>
      <c r="I480" s="38" t="inlineStr">
        <is>
          <t>A prazo</t>
        </is>
      </c>
      <c r="J480" s="38" t="n"/>
      <c r="K480" s="37" t="n"/>
      <c r="L480" s="39" t="n">
        <v>30</v>
      </c>
      <c r="M480" s="40" t="n">
        <v>380</v>
      </c>
      <c r="N480" s="30">
        <f>IF(A480="","",MONTH(A480))</f>
        <v>7</v>
      </c>
      <c r="O480" s="30">
        <f>IF(A480="","",YEAR(A480))</f>
        <v>2026</v>
      </c>
      <c r="P480" s="30" t="str">
        <f>IF(A480="","",CHOOSE(WEEKDAY(A480,2),"Segunda","Terça","Quarta","Quinta","Sexta","Sábado","Domingo"))</f>
        <v>Segunda</v>
      </c>
      <c r="Q480" s="30" t="str">
        <f>IF(B480="","",IF(B480&lt;TIME(12,0,0),"Manhã",IF(B480&lt;TIME(18,0,0),"Tarde","Noite")))</f>
        <v>Manhã</v>
      </c>
      <c r="R480" s="46">
        <f>IF(AND(H480="Realizado",L480&lt;&gt;"",A480&lt;=Config!$B$9),L480/60,0)</f>
        <v>0.5</v>
      </c>
      <c r="S480" s="45">
        <f>IF(G480="","",IFERROR(INDEX(Config!$K$5:$K$16,MATCH(G480,Config!$J$5:$J$16,0)),""))</f>
        <v>30</v>
      </c>
      <c r="T480" s="31">
        <f>IF(OR(G480="",F480=""),"",IFERROR(INDEX(Config!$M$5:$R$16,MATCH(G480,Config!$J$5:$J$16,0),MATCH(F480,Config!$H$5:$H$10,0)),""))</f>
        <v>380</v>
      </c>
      <c r="U480" s="47">
        <f>IF(AND(H480="Realizado",L480&lt;&gt;""),L480/60,0)</f>
        <v>0.5</v>
      </c>
      <c r="V480" s="47">
        <f>IF(AND(H480="Realizado",OR(L480="",M480="")),1,0)</f>
        <v>0</v>
      </c>
    </row>
    <row r="481">
      <c r="A481" s="43" t="n">
        <v>46223</v>
      </c>
      <c r="B481" s="44" t="n">
        <v>0.5833333333333334</v>
      </c>
      <c r="C481" s="38" t="inlineStr">
        <is>
          <t>Dr. Paulo Andrade</t>
        </is>
      </c>
      <c r="D481" s="38" t="inlineStr">
        <is>
          <t>Sala 2</t>
        </is>
      </c>
      <c r="E481" s="37" t="inlineStr">
        <is>
          <t>Henrique Santos</t>
        </is>
      </c>
      <c r="F481" s="38" t="inlineStr">
        <is>
          <t>Vida Care</t>
        </is>
      </c>
      <c r="G481" s="38" t="inlineStr">
        <is>
          <t>Consulta</t>
        </is>
      </c>
      <c r="H481" s="38" t="inlineStr">
        <is>
          <t>Realizado</t>
        </is>
      </c>
      <c r="I481" s="38" t="inlineStr">
        <is>
          <t>Convênio</t>
        </is>
      </c>
      <c r="J481" s="38" t="n"/>
      <c r="K481" s="37" t="n"/>
      <c r="L481" s="39" t="n">
        <v>30</v>
      </c>
      <c r="M481" s="40" t="n">
        <v>90</v>
      </c>
      <c r="N481" s="30">
        <f>IF(A481="","",MONTH(A481))</f>
        <v>7</v>
      </c>
      <c r="O481" s="30">
        <f>IF(A481="","",YEAR(A481))</f>
        <v>2026</v>
      </c>
      <c r="P481" s="30" t="str">
        <f>IF(A481="","",CHOOSE(WEEKDAY(A481,2),"Segunda","Terça","Quarta","Quinta","Sexta","Sábado","Domingo"))</f>
        <v>Segunda</v>
      </c>
      <c r="Q481" s="30" t="str">
        <f>IF(B481="","",IF(B481&lt;TIME(12,0,0),"Manhã",IF(B481&lt;TIME(18,0,0),"Tarde","Noite")))</f>
        <v>Tarde</v>
      </c>
      <c r="R481" s="46">
        <f>IF(AND(H481="Realizado",L481&lt;&gt;"",A481&lt;=Config!$B$9),L481/60,0)</f>
        <v>0.5</v>
      </c>
      <c r="S481" s="45">
        <f>IF(G481="","",IFERROR(INDEX(Config!$K$5:$K$16,MATCH(G481,Config!$J$5:$J$16,0)),""))</f>
        <v>30</v>
      </c>
      <c r="T481" s="31">
        <f>IF(OR(G481="",F481=""),"",IFERROR(INDEX(Config!$M$5:$R$16,MATCH(G481,Config!$J$5:$J$16,0),MATCH(F481,Config!$H$5:$H$10,0)),""))</f>
        <v>90</v>
      </c>
      <c r="U481" s="47">
        <f>IF(AND(H481="Realizado",L481&lt;&gt;""),L481/60,0)</f>
        <v>0.5</v>
      </c>
      <c r="V481" s="47">
        <f>IF(AND(H481="Realizado",OR(L481="",M481="")),1,0)</f>
        <v>0</v>
      </c>
    </row>
    <row r="482">
      <c r="A482" s="43" t="n">
        <v>46223</v>
      </c>
      <c r="B482" s="44" t="n">
        <v>0.6041666666666666</v>
      </c>
      <c r="C482" s="38" t="inlineStr">
        <is>
          <t>Dr. Paulo Andrade</t>
        </is>
      </c>
      <c r="D482" s="38" t="inlineStr">
        <is>
          <t>Sala 2</t>
        </is>
      </c>
      <c r="E482" s="37" t="inlineStr">
        <is>
          <t>Leandro Cardoso</t>
        </is>
      </c>
      <c r="F482" s="38" t="inlineStr">
        <is>
          <t>MediPlan</t>
        </is>
      </c>
      <c r="G482" s="38" t="inlineStr">
        <is>
          <t>Retorno</t>
        </is>
      </c>
      <c r="H482" s="38" t="inlineStr">
        <is>
          <t>Realizado</t>
        </is>
      </c>
      <c r="I482" s="38" t="inlineStr">
        <is>
          <t>Sem cobrança</t>
        </is>
      </c>
      <c r="J482" s="38" t="n"/>
      <c r="K482" s="37" t="n"/>
      <c r="L482" s="39" t="n">
        <v>20</v>
      </c>
      <c r="M482" s="40" t="n">
        <v>0</v>
      </c>
      <c r="N482" s="30">
        <f>IF(A482="","",MONTH(A482))</f>
        <v>7</v>
      </c>
      <c r="O482" s="30">
        <f>IF(A482="","",YEAR(A482))</f>
        <v>2026</v>
      </c>
      <c r="P482" s="30" t="str">
        <f>IF(A482="","",CHOOSE(WEEKDAY(A482,2),"Segunda","Terça","Quarta","Quinta","Sexta","Sábado","Domingo"))</f>
        <v>Segunda</v>
      </c>
      <c r="Q482" s="30" t="str">
        <f>IF(B482="","",IF(B482&lt;TIME(12,0,0),"Manhã",IF(B482&lt;TIME(18,0,0),"Tarde","Noite")))</f>
        <v>Tarde</v>
      </c>
      <c r="R482" s="46">
        <f>IF(AND(H482="Realizado",L482&lt;&gt;"",A482&lt;=Config!$B$9),L482/60,0)</f>
        <v>0.333333333333333</v>
      </c>
      <c r="S482" s="45">
        <f>IF(G482="","",IFERROR(INDEX(Config!$K$5:$K$16,MATCH(G482,Config!$J$5:$J$16,0)),""))</f>
        <v>20</v>
      </c>
      <c r="T482" s="31">
        <f>IF(OR(G482="",F482=""),"",IFERROR(INDEX(Config!$M$5:$R$16,MATCH(G482,Config!$J$5:$J$16,0),MATCH(F482,Config!$H$5:$H$10,0)),""))</f>
        <v>0</v>
      </c>
      <c r="U482" s="47">
        <f>IF(AND(H482="Realizado",L482&lt;&gt;""),L482/60,0)</f>
        <v>0.333333333333333</v>
      </c>
      <c r="V482" s="47">
        <f>IF(AND(H482="Realizado",OR(L482="",M482="")),1,0)</f>
        <v>0</v>
      </c>
    </row>
    <row r="483">
      <c r="A483" s="43" t="n">
        <v>46223</v>
      </c>
      <c r="B483" s="44" t="n">
        <v>0.6180555555555556</v>
      </c>
      <c r="C483" s="38" t="inlineStr">
        <is>
          <t>Dr. Paulo Andrade</t>
        </is>
      </c>
      <c r="D483" s="38" t="inlineStr">
        <is>
          <t>Sala 2</t>
        </is>
      </c>
      <c r="E483" s="37" t="inlineStr">
        <is>
          <t>Rafael Araújo</t>
        </is>
      </c>
      <c r="F483" s="38" t="inlineStr">
        <is>
          <t>MediPlan</t>
        </is>
      </c>
      <c r="G483" s="38" t="inlineStr">
        <is>
          <t>Retorno</t>
        </is>
      </c>
      <c r="H483" s="38" t="inlineStr">
        <is>
          <t>Realizado</t>
        </is>
      </c>
      <c r="I483" s="38" t="inlineStr">
        <is>
          <t>Sem cobrança</t>
        </is>
      </c>
      <c r="J483" s="38" t="n"/>
      <c r="K483" s="37" t="n"/>
      <c r="L483" s="39" t="n">
        <v>20</v>
      </c>
      <c r="M483" s="40" t="n">
        <v>0</v>
      </c>
      <c r="N483" s="30">
        <f>IF(A483="","",MONTH(A483))</f>
        <v>7</v>
      </c>
      <c r="O483" s="30">
        <f>IF(A483="","",YEAR(A483))</f>
        <v>2026</v>
      </c>
      <c r="P483" s="30" t="str">
        <f>IF(A483="","",CHOOSE(WEEKDAY(A483,2),"Segunda","Terça","Quarta","Quinta","Sexta","Sábado","Domingo"))</f>
        <v>Segunda</v>
      </c>
      <c r="Q483" s="30" t="str">
        <f>IF(B483="","",IF(B483&lt;TIME(12,0,0),"Manhã",IF(B483&lt;TIME(18,0,0),"Tarde","Noite")))</f>
        <v>Tarde</v>
      </c>
      <c r="R483" s="46">
        <f>IF(AND(H483="Realizado",L483&lt;&gt;"",A483&lt;=Config!$B$9),L483/60,0)</f>
        <v>0.333333333333333</v>
      </c>
      <c r="S483" s="45">
        <f>IF(G483="","",IFERROR(INDEX(Config!$K$5:$K$16,MATCH(G483,Config!$J$5:$J$16,0)),""))</f>
        <v>20</v>
      </c>
      <c r="T483" s="31">
        <f>IF(OR(G483="",F483=""),"",IFERROR(INDEX(Config!$M$5:$R$16,MATCH(G483,Config!$J$5:$J$16,0),MATCH(F483,Config!$H$5:$H$10,0)),""))</f>
        <v>0</v>
      </c>
      <c r="U483" s="47">
        <f>IF(AND(H483="Realizado",L483&lt;&gt;""),L483/60,0)</f>
        <v>0.333333333333333</v>
      </c>
      <c r="V483" s="47">
        <f>IF(AND(H483="Realizado",OR(L483="",M483="")),1,0)</f>
        <v>0</v>
      </c>
    </row>
    <row r="484">
      <c r="A484" s="43" t="n">
        <v>46223</v>
      </c>
      <c r="B484" s="44" t="n">
        <v>0.6527777777777778</v>
      </c>
      <c r="C484" s="38" t="inlineStr">
        <is>
          <t>Dr. Paulo Andrade</t>
        </is>
      </c>
      <c r="D484" s="38" t="inlineStr">
        <is>
          <t>Sala 2</t>
        </is>
      </c>
      <c r="E484" s="37" t="inlineStr">
        <is>
          <t>Gisele Lima</t>
        </is>
      </c>
      <c r="F484" s="38" t="inlineStr">
        <is>
          <t>Saúde Total</t>
        </is>
      </c>
      <c r="G484" s="38" t="inlineStr">
        <is>
          <t>Retorno</t>
        </is>
      </c>
      <c r="H484" s="38" t="inlineStr">
        <is>
          <t>Realizado</t>
        </is>
      </c>
      <c r="I484" s="38" t="inlineStr">
        <is>
          <t>Sem cobrança</t>
        </is>
      </c>
      <c r="J484" s="38" t="n"/>
      <c r="K484" s="37" t="n"/>
      <c r="L484" s="39" t="n">
        <v>20</v>
      </c>
      <c r="M484" s="40" t="n">
        <v>0</v>
      </c>
      <c r="N484" s="30">
        <f>IF(A484="","",MONTH(A484))</f>
        <v>7</v>
      </c>
      <c r="O484" s="30">
        <f>IF(A484="","",YEAR(A484))</f>
        <v>2026</v>
      </c>
      <c r="P484" s="30" t="str">
        <f>IF(A484="","",CHOOSE(WEEKDAY(A484,2),"Segunda","Terça","Quarta","Quinta","Sexta","Sábado","Domingo"))</f>
        <v>Segunda</v>
      </c>
      <c r="Q484" s="30" t="str">
        <f>IF(B484="","",IF(B484&lt;TIME(12,0,0),"Manhã",IF(B484&lt;TIME(18,0,0),"Tarde","Noite")))</f>
        <v>Tarde</v>
      </c>
      <c r="R484" s="46">
        <f>IF(AND(H484="Realizado",L484&lt;&gt;"",A484&lt;=Config!$B$9),L484/60,0)</f>
        <v>0.333333333333333</v>
      </c>
      <c r="S484" s="45">
        <f>IF(G484="","",IFERROR(INDEX(Config!$K$5:$K$16,MATCH(G484,Config!$J$5:$J$16,0)),""))</f>
        <v>20</v>
      </c>
      <c r="T484" s="31">
        <f>IF(OR(G484="",F484=""),"",IFERROR(INDEX(Config!$M$5:$R$16,MATCH(G484,Config!$J$5:$J$16,0),MATCH(F484,Config!$H$5:$H$10,0)),""))</f>
        <v>0</v>
      </c>
      <c r="U484" s="47">
        <f>IF(AND(H484="Realizado",L484&lt;&gt;""),L484/60,0)</f>
        <v>0.333333333333333</v>
      </c>
      <c r="V484" s="47">
        <f>IF(AND(H484="Realizado",OR(L484="",M484="")),1,0)</f>
        <v>0</v>
      </c>
    </row>
    <row r="485">
      <c r="A485" s="43" t="n">
        <v>46223</v>
      </c>
      <c r="B485" s="44" t="n">
        <v>0.6666666666666666</v>
      </c>
      <c r="C485" s="38" t="inlineStr">
        <is>
          <t>Dr. Paulo Andrade</t>
        </is>
      </c>
      <c r="D485" s="38" t="inlineStr">
        <is>
          <t>Sala 2</t>
        </is>
      </c>
      <c r="E485" s="37" t="inlineStr">
        <is>
          <t>Débora Ramos</t>
        </is>
      </c>
      <c r="F485" s="38" t="inlineStr">
        <is>
          <t>Particular</t>
        </is>
      </c>
      <c r="G485" s="38" t="inlineStr">
        <is>
          <t>Teste ergométrico</t>
        </is>
      </c>
      <c r="H485" s="38" t="inlineStr">
        <is>
          <t>Realizado</t>
        </is>
      </c>
      <c r="I485" s="38" t="inlineStr">
        <is>
          <t>Pix</t>
        </is>
      </c>
      <c r="J485" s="38" t="n"/>
      <c r="K485" s="37" t="n"/>
      <c r="L485" s="39" t="n">
        <v>40</v>
      </c>
      <c r="M485" s="40" t="n">
        <v>450</v>
      </c>
      <c r="N485" s="30">
        <f>IF(A485="","",MONTH(A485))</f>
        <v>7</v>
      </c>
      <c r="O485" s="30">
        <f>IF(A485="","",YEAR(A485))</f>
        <v>2026</v>
      </c>
      <c r="P485" s="30" t="str">
        <f>IF(A485="","",CHOOSE(WEEKDAY(A485,2),"Segunda","Terça","Quarta","Quinta","Sexta","Sábado","Domingo"))</f>
        <v>Segunda</v>
      </c>
      <c r="Q485" s="30" t="str">
        <f>IF(B485="","",IF(B485&lt;TIME(12,0,0),"Manhã",IF(B485&lt;TIME(18,0,0),"Tarde","Noite")))</f>
        <v>Tarde</v>
      </c>
      <c r="R485" s="46">
        <f>IF(AND(H485="Realizado",L485&lt;&gt;"",A485&lt;=Config!$B$9),L485/60,0)</f>
        <v>0.666666666666667</v>
      </c>
      <c r="S485" s="45">
        <f>IF(G485="","",IFERROR(INDEX(Config!$K$5:$K$16,MATCH(G485,Config!$J$5:$J$16,0)),""))</f>
        <v>40</v>
      </c>
      <c r="T485" s="31">
        <f>IF(OR(G485="",F485=""),"",IFERROR(INDEX(Config!$M$5:$R$16,MATCH(G485,Config!$J$5:$J$16,0),MATCH(F485,Config!$H$5:$H$10,0)),""))</f>
        <v>450</v>
      </c>
      <c r="U485" s="47">
        <f>IF(AND(H485="Realizado",L485&lt;&gt;""),L485/60,0)</f>
        <v>0.666666666666667</v>
      </c>
      <c r="V485" s="47">
        <f>IF(AND(H485="Realizado",OR(L485="",M485="")),1,0)</f>
        <v>0</v>
      </c>
    </row>
    <row r="486">
      <c r="A486" s="43" t="n">
        <v>46223</v>
      </c>
      <c r="B486" s="44" t="n">
        <v>0.6944444444444444</v>
      </c>
      <c r="C486" s="38" t="inlineStr">
        <is>
          <t>Dr. Paulo Andrade</t>
        </is>
      </c>
      <c r="D486" s="38" t="inlineStr">
        <is>
          <t>Sala 2</t>
        </is>
      </c>
      <c r="E486" s="37" t="inlineStr">
        <is>
          <t>Fábio Martins</t>
        </is>
      </c>
      <c r="F486" s="38" t="inlineStr">
        <is>
          <t>MediPlan</t>
        </is>
      </c>
      <c r="G486" s="38" t="inlineStr">
        <is>
          <t>Retorno</t>
        </is>
      </c>
      <c r="H486" s="38" t="inlineStr">
        <is>
          <t>Realizado</t>
        </is>
      </c>
      <c r="I486" s="38" t="inlineStr">
        <is>
          <t>Sem cobrança</t>
        </is>
      </c>
      <c r="J486" s="38" t="n"/>
      <c r="K486" s="37" t="n"/>
      <c r="L486" s="39" t="n">
        <v>20</v>
      </c>
      <c r="M486" s="40" t="n">
        <v>0</v>
      </c>
      <c r="N486" s="30">
        <f>IF(A486="","",MONTH(A486))</f>
        <v>7</v>
      </c>
      <c r="O486" s="30">
        <f>IF(A486="","",YEAR(A486))</f>
        <v>2026</v>
      </c>
      <c r="P486" s="30" t="str">
        <f>IF(A486="","",CHOOSE(WEEKDAY(A486,2),"Segunda","Terça","Quarta","Quinta","Sexta","Sábado","Domingo"))</f>
        <v>Segunda</v>
      </c>
      <c r="Q486" s="30" t="str">
        <f>IF(B486="","",IF(B486&lt;TIME(12,0,0),"Manhã",IF(B486&lt;TIME(18,0,0),"Tarde","Noite")))</f>
        <v>Tarde</v>
      </c>
      <c r="R486" s="46">
        <f>IF(AND(H486="Realizado",L486&lt;&gt;"",A486&lt;=Config!$B$9),L486/60,0)</f>
        <v>0.333333333333333</v>
      </c>
      <c r="S486" s="45">
        <f>IF(G486="","",IFERROR(INDEX(Config!$K$5:$K$16,MATCH(G486,Config!$J$5:$J$16,0)),""))</f>
        <v>20</v>
      </c>
      <c r="T486" s="31">
        <f>IF(OR(G486="",F486=""),"",IFERROR(INDEX(Config!$M$5:$R$16,MATCH(G486,Config!$J$5:$J$16,0),MATCH(F486,Config!$H$5:$H$10,0)),""))</f>
        <v>0</v>
      </c>
      <c r="U486" s="47">
        <f>IF(AND(H486="Realizado",L486&lt;&gt;""),L486/60,0)</f>
        <v>0.333333333333333</v>
      </c>
      <c r="V486" s="47">
        <f>IF(AND(H486="Realizado",OR(L486="",M486="")),1,0)</f>
        <v>0</v>
      </c>
    </row>
    <row r="487">
      <c r="A487" s="43" t="n">
        <v>46223</v>
      </c>
      <c r="B487" s="44" t="n">
        <v>0.7083333333333334</v>
      </c>
      <c r="C487" s="38" t="inlineStr">
        <is>
          <t>Dr. Paulo Andrade</t>
        </is>
      </c>
      <c r="D487" s="38" t="inlineStr">
        <is>
          <t>Sala 2</t>
        </is>
      </c>
      <c r="E487" s="37" t="inlineStr">
        <is>
          <t>Fábio Correia</t>
        </is>
      </c>
      <c r="F487" s="38" t="inlineStr">
        <is>
          <t>Particular</t>
        </is>
      </c>
      <c r="G487" s="38" t="inlineStr">
        <is>
          <t>Consulta</t>
        </is>
      </c>
      <c r="H487" s="38" t="inlineStr">
        <is>
          <t>Realizado</t>
        </is>
      </c>
      <c r="I487" s="38" t="inlineStr">
        <is>
          <t>Cartão de crédito</t>
        </is>
      </c>
      <c r="J487" s="38" t="n"/>
      <c r="K487" s="37" t="n"/>
      <c r="L487" s="39" t="n">
        <v>30</v>
      </c>
      <c r="M487" s="40" t="n">
        <v>380</v>
      </c>
      <c r="N487" s="30">
        <f>IF(A487="","",MONTH(A487))</f>
        <v>7</v>
      </c>
      <c r="O487" s="30">
        <f>IF(A487="","",YEAR(A487))</f>
        <v>2026</v>
      </c>
      <c r="P487" s="30" t="str">
        <f>IF(A487="","",CHOOSE(WEEKDAY(A487,2),"Segunda","Terça","Quarta","Quinta","Sexta","Sábado","Domingo"))</f>
        <v>Segunda</v>
      </c>
      <c r="Q487" s="30" t="str">
        <f>IF(B487="","",IF(B487&lt;TIME(12,0,0),"Manhã",IF(B487&lt;TIME(18,0,0),"Tarde","Noite")))</f>
        <v>Tarde</v>
      </c>
      <c r="R487" s="46">
        <f>IF(AND(H487="Realizado",L487&lt;&gt;"",A487&lt;=Config!$B$9),L487/60,0)</f>
        <v>0.5</v>
      </c>
      <c r="S487" s="45">
        <f>IF(G487="","",IFERROR(INDEX(Config!$K$5:$K$16,MATCH(G487,Config!$J$5:$J$16,0)),""))</f>
        <v>30</v>
      </c>
      <c r="T487" s="31">
        <f>IF(OR(G487="",F487=""),"",IFERROR(INDEX(Config!$M$5:$R$16,MATCH(G487,Config!$J$5:$J$16,0),MATCH(F487,Config!$H$5:$H$10,0)),""))</f>
        <v>380</v>
      </c>
      <c r="U487" s="47">
        <f>IF(AND(H487="Realizado",L487&lt;&gt;""),L487/60,0)</f>
        <v>0.5</v>
      </c>
      <c r="V487" s="47">
        <f>IF(AND(H487="Realizado",OR(L487="",M487="")),1,0)</f>
        <v>0</v>
      </c>
    </row>
    <row r="488">
      <c r="A488" s="43" t="n">
        <v>46223</v>
      </c>
      <c r="B488" s="44" t="n">
        <v>0.7291666666666666</v>
      </c>
      <c r="C488" s="38" t="inlineStr">
        <is>
          <t>Dr. Paulo Andrade</t>
        </is>
      </c>
      <c r="D488" s="38" t="inlineStr">
        <is>
          <t>Sala 2</t>
        </is>
      </c>
      <c r="E488" s="37" t="inlineStr">
        <is>
          <t>Natália Xavier</t>
        </is>
      </c>
      <c r="F488" s="38" t="inlineStr">
        <is>
          <t>MediPlan</t>
        </is>
      </c>
      <c r="G488" s="38" t="inlineStr">
        <is>
          <t>Consulta</t>
        </is>
      </c>
      <c r="H488" s="38" t="inlineStr">
        <is>
          <t>Realizado</t>
        </is>
      </c>
      <c r="I488" s="38" t="inlineStr">
        <is>
          <t>Convênio</t>
        </is>
      </c>
      <c r="J488" s="38" t="n"/>
      <c r="K488" s="37" t="n"/>
      <c r="L488" s="39" t="n">
        <v>30</v>
      </c>
      <c r="M488" s="40" t="n">
        <v>100</v>
      </c>
      <c r="N488" s="30">
        <f>IF(A488="","",MONTH(A488))</f>
        <v>7</v>
      </c>
      <c r="O488" s="30">
        <f>IF(A488="","",YEAR(A488))</f>
        <v>2026</v>
      </c>
      <c r="P488" s="30" t="str">
        <f>IF(A488="","",CHOOSE(WEEKDAY(A488,2),"Segunda","Terça","Quarta","Quinta","Sexta","Sábado","Domingo"))</f>
        <v>Segunda</v>
      </c>
      <c r="Q488" s="30" t="str">
        <f>IF(B488="","",IF(B488&lt;TIME(12,0,0),"Manhã",IF(B488&lt;TIME(18,0,0),"Tarde","Noite")))</f>
        <v>Tarde</v>
      </c>
      <c r="R488" s="46">
        <f>IF(AND(H488="Realizado",L488&lt;&gt;"",A488&lt;=Config!$B$9),L488/60,0)</f>
        <v>0.5</v>
      </c>
      <c r="S488" s="45">
        <f>IF(G488="","",IFERROR(INDEX(Config!$K$5:$K$16,MATCH(G488,Config!$J$5:$J$16,0)),""))</f>
        <v>30</v>
      </c>
      <c r="T488" s="31">
        <f>IF(OR(G488="",F488=""),"",IFERROR(INDEX(Config!$M$5:$R$16,MATCH(G488,Config!$J$5:$J$16,0),MATCH(F488,Config!$H$5:$H$10,0)),""))</f>
        <v>100</v>
      </c>
      <c r="U488" s="47">
        <f>IF(AND(H488="Realizado",L488&lt;&gt;""),L488/60,0)</f>
        <v>0.5</v>
      </c>
      <c r="V488" s="47">
        <f>IF(AND(H488="Realizado",OR(L488="",M488="")),1,0)</f>
        <v>0</v>
      </c>
    </row>
    <row r="489">
      <c r="A489" s="43" t="n">
        <v>46224</v>
      </c>
      <c r="B489" s="44" t="n">
        <v>0.3333333333333333</v>
      </c>
      <c r="C489" s="38" t="inlineStr">
        <is>
          <t>Dra. Carolina Mendes</t>
        </is>
      </c>
      <c r="D489" s="38" t="inlineStr">
        <is>
          <t>Sala 1</t>
        </is>
      </c>
      <c r="E489" s="37" t="inlineStr">
        <is>
          <t>Daniel Melo</t>
        </is>
      </c>
      <c r="F489" s="38" t="inlineStr">
        <is>
          <t>Saúde Total</t>
        </is>
      </c>
      <c r="G489" s="38" t="inlineStr">
        <is>
          <t>Retorno</t>
        </is>
      </c>
      <c r="H489" s="38" t="inlineStr">
        <is>
          <t>Realizado</t>
        </is>
      </c>
      <c r="I489" s="38" t="inlineStr">
        <is>
          <t>Sem cobrança</t>
        </is>
      </c>
      <c r="J489" s="38" t="n"/>
      <c r="K489" s="37" t="n"/>
      <c r="L489" s="39" t="n">
        <v>20</v>
      </c>
      <c r="M489" s="40" t="n">
        <v>0</v>
      </c>
      <c r="N489" s="30">
        <f>IF(A489="","",MONTH(A489))</f>
        <v>7</v>
      </c>
      <c r="O489" s="30">
        <f>IF(A489="","",YEAR(A489))</f>
        <v>2026</v>
      </c>
      <c r="P489" s="30" t="str">
        <f>IF(A489="","",CHOOSE(WEEKDAY(A489,2),"Segunda","Terça","Quarta","Quinta","Sexta","Sábado","Domingo"))</f>
        <v>Terça</v>
      </c>
      <c r="Q489" s="30" t="str">
        <f>IF(B489="","",IF(B489&lt;TIME(12,0,0),"Manhã",IF(B489&lt;TIME(18,0,0),"Tarde","Noite")))</f>
        <v>Manhã</v>
      </c>
      <c r="R489" s="46">
        <f>IF(AND(H489="Realizado",L489&lt;&gt;"",A489&lt;=Config!$B$9),L489/60,0)</f>
        <v>0.333333333333333</v>
      </c>
      <c r="S489" s="45">
        <f>IF(G489="","",IFERROR(INDEX(Config!$K$5:$K$16,MATCH(G489,Config!$J$5:$J$16,0)),""))</f>
        <v>20</v>
      </c>
      <c r="T489" s="31">
        <f>IF(OR(G489="",F489=""),"",IFERROR(INDEX(Config!$M$5:$R$16,MATCH(G489,Config!$J$5:$J$16,0),MATCH(F489,Config!$H$5:$H$10,0)),""))</f>
        <v>0</v>
      </c>
      <c r="U489" s="47">
        <f>IF(AND(H489="Realizado",L489&lt;&gt;""),L489/60,0)</f>
        <v>0.333333333333333</v>
      </c>
      <c r="V489" s="47">
        <f>IF(AND(H489="Realizado",OR(L489="",M489="")),1,0)</f>
        <v>0</v>
      </c>
    </row>
    <row r="490">
      <c r="A490" s="43" t="n">
        <v>46224</v>
      </c>
      <c r="B490" s="44" t="n">
        <v>0.3472222222222222</v>
      </c>
      <c r="C490" s="38" t="inlineStr">
        <is>
          <t>Dra. Carolina Mendes</t>
        </is>
      </c>
      <c r="D490" s="38" t="inlineStr">
        <is>
          <t>Sala 1</t>
        </is>
      </c>
      <c r="E490" s="37" t="inlineStr">
        <is>
          <t>Regina Teixeira</t>
        </is>
      </c>
      <c r="F490" s="38" t="inlineStr">
        <is>
          <t>Particular</t>
        </is>
      </c>
      <c r="G490" s="38" t="inlineStr">
        <is>
          <t>Consulta</t>
        </is>
      </c>
      <c r="H490" s="38" t="inlineStr">
        <is>
          <t>Realizado</t>
        </is>
      </c>
      <c r="I490" s="38" t="inlineStr">
        <is>
          <t>Cartão de crédito</t>
        </is>
      </c>
      <c r="J490" s="38" t="n">
        <v>2</v>
      </c>
      <c r="K490" s="37" t="n"/>
      <c r="L490" s="39" t="n">
        <v>30</v>
      </c>
      <c r="M490" s="40" t="n">
        <v>380</v>
      </c>
      <c r="N490" s="30">
        <f>IF(A490="","",MONTH(A490))</f>
        <v>7</v>
      </c>
      <c r="O490" s="30">
        <f>IF(A490="","",YEAR(A490))</f>
        <v>2026</v>
      </c>
      <c r="P490" s="30" t="str">
        <f>IF(A490="","",CHOOSE(WEEKDAY(A490,2),"Segunda","Terça","Quarta","Quinta","Sexta","Sábado","Domingo"))</f>
        <v>Terça</v>
      </c>
      <c r="Q490" s="30" t="str">
        <f>IF(B490="","",IF(B490&lt;TIME(12,0,0),"Manhã",IF(B490&lt;TIME(18,0,0),"Tarde","Noite")))</f>
        <v>Manhã</v>
      </c>
      <c r="R490" s="46">
        <f>IF(AND(H490="Realizado",L490&lt;&gt;"",A490&lt;=Config!$B$9),L490/60,0)</f>
        <v>0.5</v>
      </c>
      <c r="S490" s="45">
        <f>IF(G490="","",IFERROR(INDEX(Config!$K$5:$K$16,MATCH(G490,Config!$J$5:$J$16,0)),""))</f>
        <v>30</v>
      </c>
      <c r="T490" s="31">
        <f>IF(OR(G490="",F490=""),"",IFERROR(INDEX(Config!$M$5:$R$16,MATCH(G490,Config!$J$5:$J$16,0),MATCH(F490,Config!$H$5:$H$10,0)),""))</f>
        <v>380</v>
      </c>
      <c r="U490" s="47">
        <f>IF(AND(H490="Realizado",L490&lt;&gt;""),L490/60,0)</f>
        <v>0.5</v>
      </c>
      <c r="V490" s="47">
        <f>IF(AND(H490="Realizado",OR(L490="",M490="")),1,0)</f>
        <v>0</v>
      </c>
    </row>
    <row r="491">
      <c r="A491" s="43" t="n">
        <v>46224</v>
      </c>
      <c r="B491" s="44" t="n">
        <v>0.3680555555555556</v>
      </c>
      <c r="C491" s="38" t="inlineStr">
        <is>
          <t>Dra. Carolina Mendes</t>
        </is>
      </c>
      <c r="D491" s="38" t="inlineStr">
        <is>
          <t>Sala 1</t>
        </is>
      </c>
      <c r="E491" s="37" t="inlineStr">
        <is>
          <t>Helena Moreira</t>
        </is>
      </c>
      <c r="F491" s="38" t="inlineStr">
        <is>
          <t>Particular</t>
        </is>
      </c>
      <c r="G491" s="38" t="inlineStr">
        <is>
          <t>Consulta</t>
        </is>
      </c>
      <c r="H491" s="38" t="inlineStr">
        <is>
          <t>Falta</t>
        </is>
      </c>
      <c r="I491" s="38" t="n"/>
      <c r="J491" s="38" t="n"/>
      <c r="K491" s="37" t="n"/>
      <c r="L491" s="39" t="n">
        <v>30</v>
      </c>
      <c r="M491" s="40" t="n">
        <v>380</v>
      </c>
      <c r="N491" s="30">
        <f>IF(A491="","",MONTH(A491))</f>
        <v>7</v>
      </c>
      <c r="O491" s="30">
        <f>IF(A491="","",YEAR(A491))</f>
        <v>2026</v>
      </c>
      <c r="P491" s="30" t="str">
        <f>IF(A491="","",CHOOSE(WEEKDAY(A491,2),"Segunda","Terça","Quarta","Quinta","Sexta","Sábado","Domingo"))</f>
        <v>Terça</v>
      </c>
      <c r="Q491" s="30" t="str">
        <f>IF(B491="","",IF(B491&lt;TIME(12,0,0),"Manhã",IF(B491&lt;TIME(18,0,0),"Tarde","Noite")))</f>
        <v>Manhã</v>
      </c>
      <c r="R491" s="46">
        <f>IF(AND(H491="Realizado",L491&lt;&gt;"",A491&lt;=Config!$B$9),L491/60,0)</f>
        <v>0</v>
      </c>
      <c r="S491" s="45">
        <f>IF(G491="","",IFERROR(INDEX(Config!$K$5:$K$16,MATCH(G491,Config!$J$5:$J$16,0)),""))</f>
        <v>30</v>
      </c>
      <c r="T491" s="31">
        <f>IF(OR(G491="",F491=""),"",IFERROR(INDEX(Config!$M$5:$R$16,MATCH(G491,Config!$J$5:$J$16,0),MATCH(F491,Config!$H$5:$H$10,0)),""))</f>
        <v>380</v>
      </c>
      <c r="U491" s="47">
        <f>IF(AND(H491="Realizado",L491&lt;&gt;""),L491/60,0)</f>
        <v>0</v>
      </c>
      <c r="V491" s="47">
        <f>IF(AND(H491="Realizado",OR(L491="",M491="")),1,0)</f>
        <v>0</v>
      </c>
    </row>
    <row r="492">
      <c r="A492" s="43" t="n">
        <v>46224</v>
      </c>
      <c r="B492" s="44" t="n">
        <v>0.3888888888888889</v>
      </c>
      <c r="C492" s="38" t="inlineStr">
        <is>
          <t>Dra. Carolina Mendes</t>
        </is>
      </c>
      <c r="D492" s="38" t="inlineStr">
        <is>
          <t>Sala 1</t>
        </is>
      </c>
      <c r="E492" s="37" t="inlineStr">
        <is>
          <t>Lucas Lopes</t>
        </is>
      </c>
      <c r="F492" s="38" t="inlineStr">
        <is>
          <t>Particular</t>
        </is>
      </c>
      <c r="G492" s="38" t="inlineStr">
        <is>
          <t>Consulta</t>
        </is>
      </c>
      <c r="H492" s="38" t="inlineStr">
        <is>
          <t>Realizado</t>
        </is>
      </c>
      <c r="I492" s="38" t="inlineStr">
        <is>
          <t>Pix</t>
        </is>
      </c>
      <c r="J492" s="38" t="n"/>
      <c r="K492" s="37" t="n"/>
      <c r="L492" s="39" t="n">
        <v>30</v>
      </c>
      <c r="M492" s="40" t="n">
        <v>380</v>
      </c>
      <c r="N492" s="30">
        <f>IF(A492="","",MONTH(A492))</f>
        <v>7</v>
      </c>
      <c r="O492" s="30">
        <f>IF(A492="","",YEAR(A492))</f>
        <v>2026</v>
      </c>
      <c r="P492" s="30" t="str">
        <f>IF(A492="","",CHOOSE(WEEKDAY(A492,2),"Segunda","Terça","Quarta","Quinta","Sexta","Sábado","Domingo"))</f>
        <v>Terça</v>
      </c>
      <c r="Q492" s="30" t="str">
        <f>IF(B492="","",IF(B492&lt;TIME(12,0,0),"Manhã",IF(B492&lt;TIME(18,0,0),"Tarde","Noite")))</f>
        <v>Manhã</v>
      </c>
      <c r="R492" s="46">
        <f>IF(AND(H492="Realizado",L492&lt;&gt;"",A492&lt;=Config!$B$9),L492/60,0)</f>
        <v>0.5</v>
      </c>
      <c r="S492" s="45">
        <f>IF(G492="","",IFERROR(INDEX(Config!$K$5:$K$16,MATCH(G492,Config!$J$5:$J$16,0)),""))</f>
        <v>30</v>
      </c>
      <c r="T492" s="31">
        <f>IF(OR(G492="",F492=""),"",IFERROR(INDEX(Config!$M$5:$R$16,MATCH(G492,Config!$J$5:$J$16,0),MATCH(F492,Config!$H$5:$H$10,0)),""))</f>
        <v>380</v>
      </c>
      <c r="U492" s="47">
        <f>IF(AND(H492="Realizado",L492&lt;&gt;""),L492/60,0)</f>
        <v>0.5</v>
      </c>
      <c r="V492" s="47">
        <f>IF(AND(H492="Realizado",OR(L492="",M492="")),1,0)</f>
        <v>0</v>
      </c>
    </row>
    <row r="493">
      <c r="A493" s="43" t="n">
        <v>46224</v>
      </c>
      <c r="B493" s="44" t="n">
        <v>0.4305555555555556</v>
      </c>
      <c r="C493" s="38" t="inlineStr">
        <is>
          <t>Dra. Carolina Mendes</t>
        </is>
      </c>
      <c r="D493" s="38" t="inlineStr">
        <is>
          <t>Sala 1</t>
        </is>
      </c>
      <c r="E493" s="37" t="inlineStr">
        <is>
          <t>Otávio Nascimento</t>
        </is>
      </c>
      <c r="F493" s="38" t="inlineStr">
        <is>
          <t>Particular</t>
        </is>
      </c>
      <c r="G493" s="38" t="inlineStr">
        <is>
          <t>Consulta</t>
        </is>
      </c>
      <c r="H493" s="38" t="inlineStr">
        <is>
          <t>Falta</t>
        </is>
      </c>
      <c r="I493" s="38" t="n"/>
      <c r="J493" s="38" t="n"/>
      <c r="K493" s="37" t="n"/>
      <c r="L493" s="39" t="n">
        <v>30</v>
      </c>
      <c r="M493" s="40" t="n">
        <v>380</v>
      </c>
      <c r="N493" s="30">
        <f>IF(A493="","",MONTH(A493))</f>
        <v>7</v>
      </c>
      <c r="O493" s="30">
        <f>IF(A493="","",YEAR(A493))</f>
        <v>2026</v>
      </c>
      <c r="P493" s="30" t="str">
        <f>IF(A493="","",CHOOSE(WEEKDAY(A493,2),"Segunda","Terça","Quarta","Quinta","Sexta","Sábado","Domingo"))</f>
        <v>Terça</v>
      </c>
      <c r="Q493" s="30" t="str">
        <f>IF(B493="","",IF(B493&lt;TIME(12,0,0),"Manhã",IF(B493&lt;TIME(18,0,0),"Tarde","Noite")))</f>
        <v>Manhã</v>
      </c>
      <c r="R493" s="46">
        <f>IF(AND(H493="Realizado",L493&lt;&gt;"",A493&lt;=Config!$B$9),L493/60,0)</f>
        <v>0</v>
      </c>
      <c r="S493" s="45">
        <f>IF(G493="","",IFERROR(INDEX(Config!$K$5:$K$16,MATCH(G493,Config!$J$5:$J$16,0)),""))</f>
        <v>30</v>
      </c>
      <c r="T493" s="31">
        <f>IF(OR(G493="",F493=""),"",IFERROR(INDEX(Config!$M$5:$R$16,MATCH(G493,Config!$J$5:$J$16,0),MATCH(F493,Config!$H$5:$H$10,0)),""))</f>
        <v>380</v>
      </c>
      <c r="U493" s="47">
        <f>IF(AND(H493="Realizado",L493&lt;&gt;""),L493/60,0)</f>
        <v>0</v>
      </c>
      <c r="V493" s="47">
        <f>IF(AND(H493="Realizado",OR(L493="",M493="")),1,0)</f>
        <v>0</v>
      </c>
    </row>
    <row r="494">
      <c r="A494" s="43" t="n">
        <v>46224</v>
      </c>
      <c r="B494" s="44" t="n">
        <v>0.4513888888888889</v>
      </c>
      <c r="C494" s="38" t="inlineStr">
        <is>
          <t>Dra. Carolina Mendes</t>
        </is>
      </c>
      <c r="D494" s="38" t="inlineStr">
        <is>
          <t>Sala 1</t>
        </is>
      </c>
      <c r="E494" s="37" t="inlineStr">
        <is>
          <t>Helena Moreira</t>
        </is>
      </c>
      <c r="F494" s="38" t="inlineStr">
        <is>
          <t>Particular</t>
        </is>
      </c>
      <c r="G494" s="38" t="inlineStr">
        <is>
          <t>Consulta</t>
        </is>
      </c>
      <c r="H494" s="38" t="inlineStr">
        <is>
          <t>Cancelado</t>
        </is>
      </c>
      <c r="I494" s="38" t="n"/>
      <c r="J494" s="38" t="n"/>
      <c r="K494" s="37" t="n"/>
      <c r="L494" s="39" t="n">
        <v>30</v>
      </c>
      <c r="M494" s="40" t="n">
        <v>380</v>
      </c>
      <c r="N494" s="30">
        <f>IF(A494="","",MONTH(A494))</f>
        <v>7</v>
      </c>
      <c r="O494" s="30">
        <f>IF(A494="","",YEAR(A494))</f>
        <v>2026</v>
      </c>
      <c r="P494" s="30" t="str">
        <f>IF(A494="","",CHOOSE(WEEKDAY(A494,2),"Segunda","Terça","Quarta","Quinta","Sexta","Sábado","Domingo"))</f>
        <v>Terça</v>
      </c>
      <c r="Q494" s="30" t="str">
        <f>IF(B494="","",IF(B494&lt;TIME(12,0,0),"Manhã",IF(B494&lt;TIME(18,0,0),"Tarde","Noite")))</f>
        <v>Manhã</v>
      </c>
      <c r="R494" s="46">
        <f>IF(AND(H494="Realizado",L494&lt;&gt;"",A494&lt;=Config!$B$9),L494/60,0)</f>
        <v>0</v>
      </c>
      <c r="S494" s="45">
        <f>IF(G494="","",IFERROR(INDEX(Config!$K$5:$K$16,MATCH(G494,Config!$J$5:$J$16,0)),""))</f>
        <v>30</v>
      </c>
      <c r="T494" s="31">
        <f>IF(OR(G494="",F494=""),"",IFERROR(INDEX(Config!$M$5:$R$16,MATCH(G494,Config!$J$5:$J$16,0),MATCH(F494,Config!$H$5:$H$10,0)),""))</f>
        <v>380</v>
      </c>
      <c r="U494" s="47">
        <f>IF(AND(H494="Realizado",L494&lt;&gt;""),L494/60,0)</f>
        <v>0</v>
      </c>
      <c r="V494" s="47">
        <f>IF(AND(H494="Realizado",OR(L494="",M494="")),1,0)</f>
        <v>0</v>
      </c>
    </row>
    <row r="495">
      <c r="A495" s="43" t="n">
        <v>46224</v>
      </c>
      <c r="B495" s="44" t="n">
        <v>0.4722222222222222</v>
      </c>
      <c r="C495" s="38" t="inlineStr">
        <is>
          <t>Dra. Carolina Mendes</t>
        </is>
      </c>
      <c r="D495" s="38" t="inlineStr">
        <is>
          <t>Sala 1</t>
        </is>
      </c>
      <c r="E495" s="37" t="inlineStr">
        <is>
          <t>Otávio Nascimento</t>
        </is>
      </c>
      <c r="F495" s="38" t="inlineStr">
        <is>
          <t>Particular</t>
        </is>
      </c>
      <c r="G495" s="38" t="inlineStr">
        <is>
          <t>Consulta</t>
        </is>
      </c>
      <c r="H495" s="38" t="inlineStr">
        <is>
          <t>Realizado</t>
        </is>
      </c>
      <c r="I495" s="38" t="inlineStr">
        <is>
          <t>Cartão de crédito</t>
        </is>
      </c>
      <c r="J495" s="38" t="n"/>
      <c r="K495" s="37" t="n"/>
      <c r="L495" s="39" t="n">
        <v>30</v>
      </c>
      <c r="M495" s="40" t="n">
        <v>380</v>
      </c>
      <c r="N495" s="30">
        <f>IF(A495="","",MONTH(A495))</f>
        <v>7</v>
      </c>
      <c r="O495" s="30">
        <f>IF(A495="","",YEAR(A495))</f>
        <v>2026</v>
      </c>
      <c r="P495" s="30" t="str">
        <f>IF(A495="","",CHOOSE(WEEKDAY(A495,2),"Segunda","Terça","Quarta","Quinta","Sexta","Sábado","Domingo"))</f>
        <v>Terça</v>
      </c>
      <c r="Q495" s="30" t="str">
        <f>IF(B495="","",IF(B495&lt;TIME(12,0,0),"Manhã",IF(B495&lt;TIME(18,0,0),"Tarde","Noite")))</f>
        <v>Manhã</v>
      </c>
      <c r="R495" s="46">
        <f>IF(AND(H495="Realizado",L495&lt;&gt;"",A495&lt;=Config!$B$9),L495/60,0)</f>
        <v>0.5</v>
      </c>
      <c r="S495" s="45">
        <f>IF(G495="","",IFERROR(INDEX(Config!$K$5:$K$16,MATCH(G495,Config!$J$5:$J$16,0)),""))</f>
        <v>30</v>
      </c>
      <c r="T495" s="31">
        <f>IF(OR(G495="",F495=""),"",IFERROR(INDEX(Config!$M$5:$R$16,MATCH(G495,Config!$J$5:$J$16,0),MATCH(F495,Config!$H$5:$H$10,0)),""))</f>
        <v>380</v>
      </c>
      <c r="U495" s="47">
        <f>IF(AND(H495="Realizado",L495&lt;&gt;""),L495/60,0)</f>
        <v>0.5</v>
      </c>
      <c r="V495" s="47">
        <f>IF(AND(H495="Realizado",OR(L495="",M495="")),1,0)</f>
        <v>0</v>
      </c>
    </row>
    <row r="496">
      <c r="A496" s="43" t="n">
        <v>46224</v>
      </c>
      <c r="B496" s="44" t="n">
        <v>0.5833333333333334</v>
      </c>
      <c r="C496" s="38" t="inlineStr">
        <is>
          <t>Dra. Renata Sousa</t>
        </is>
      </c>
      <c r="D496" s="38" t="inlineStr">
        <is>
          <t>Sala 1</t>
        </is>
      </c>
      <c r="E496" s="37" t="inlineStr">
        <is>
          <t>Cláudia Vieira</t>
        </is>
      </c>
      <c r="F496" s="38" t="inlineStr">
        <is>
          <t>Saúde Total</t>
        </is>
      </c>
      <c r="G496" s="38" t="inlineStr">
        <is>
          <t>Avaliação endócrina</t>
        </is>
      </c>
      <c r="H496" s="38" t="inlineStr">
        <is>
          <t>Falta</t>
        </is>
      </c>
      <c r="I496" s="38" t="n"/>
      <c r="J496" s="38" t="n"/>
      <c r="K496" s="37" t="n"/>
      <c r="L496" s="39" t="n">
        <v>40</v>
      </c>
      <c r="M496" s="40" t="n">
        <v>130</v>
      </c>
      <c r="N496" s="30">
        <f>IF(A496="","",MONTH(A496))</f>
        <v>7</v>
      </c>
      <c r="O496" s="30">
        <f>IF(A496="","",YEAR(A496))</f>
        <v>2026</v>
      </c>
      <c r="P496" s="30" t="str">
        <f>IF(A496="","",CHOOSE(WEEKDAY(A496,2),"Segunda","Terça","Quarta","Quinta","Sexta","Sábado","Domingo"))</f>
        <v>Terça</v>
      </c>
      <c r="Q496" s="30" t="str">
        <f>IF(B496="","",IF(B496&lt;TIME(12,0,0),"Manhã",IF(B496&lt;TIME(18,0,0),"Tarde","Noite")))</f>
        <v>Tarde</v>
      </c>
      <c r="R496" s="46">
        <f>IF(AND(H496="Realizado",L496&lt;&gt;"",A496&lt;=Config!$B$9),L496/60,0)</f>
        <v>0</v>
      </c>
      <c r="S496" s="45">
        <f>IF(G496="","",IFERROR(INDEX(Config!$K$5:$K$16,MATCH(G496,Config!$J$5:$J$16,0)),""))</f>
        <v>40</v>
      </c>
      <c r="T496" s="31">
        <f>IF(OR(G496="",F496=""),"",IFERROR(INDEX(Config!$M$5:$R$16,MATCH(G496,Config!$J$5:$J$16,0),MATCH(F496,Config!$H$5:$H$10,0)),""))</f>
        <v>130</v>
      </c>
      <c r="U496" s="47">
        <f>IF(AND(H496="Realizado",L496&lt;&gt;""),L496/60,0)</f>
        <v>0</v>
      </c>
      <c r="V496" s="47">
        <f>IF(AND(H496="Realizado",OR(L496="",M496="")),1,0)</f>
        <v>0</v>
      </c>
    </row>
    <row r="497">
      <c r="A497" s="43" t="n">
        <v>46224</v>
      </c>
      <c r="B497" s="44" t="n">
        <v>0.5833333333333334</v>
      </c>
      <c r="C497" s="38" t="inlineStr">
        <is>
          <t>Dr. Paulo Andrade</t>
        </is>
      </c>
      <c r="D497" s="38" t="inlineStr">
        <is>
          <t>Sala 2</t>
        </is>
      </c>
      <c r="E497" s="37" t="inlineStr">
        <is>
          <t>Sandra Martins</t>
        </is>
      </c>
      <c r="F497" s="38" t="inlineStr">
        <is>
          <t>MediPlan</t>
        </is>
      </c>
      <c r="G497" s="38" t="inlineStr">
        <is>
          <t>Consulta</t>
        </is>
      </c>
      <c r="H497" s="38" t="inlineStr">
        <is>
          <t>Realizado</t>
        </is>
      </c>
      <c r="I497" s="38" t="inlineStr">
        <is>
          <t>Convênio</t>
        </is>
      </c>
      <c r="J497" s="38" t="n"/>
      <c r="K497" s="37" t="n"/>
      <c r="L497" s="39" t="n">
        <v>30</v>
      </c>
      <c r="M497" s="40" t="n">
        <v>100</v>
      </c>
      <c r="N497" s="30">
        <f>IF(A497="","",MONTH(A497))</f>
        <v>7</v>
      </c>
      <c r="O497" s="30">
        <f>IF(A497="","",YEAR(A497))</f>
        <v>2026</v>
      </c>
      <c r="P497" s="30" t="str">
        <f>IF(A497="","",CHOOSE(WEEKDAY(A497,2),"Segunda","Terça","Quarta","Quinta","Sexta","Sábado","Domingo"))</f>
        <v>Terça</v>
      </c>
      <c r="Q497" s="30" t="str">
        <f>IF(B497="","",IF(B497&lt;TIME(12,0,0),"Manhã",IF(B497&lt;TIME(18,0,0),"Tarde","Noite")))</f>
        <v>Tarde</v>
      </c>
      <c r="R497" s="46">
        <f>IF(AND(H497="Realizado",L497&lt;&gt;"",A497&lt;=Config!$B$9),L497/60,0)</f>
        <v>0.5</v>
      </c>
      <c r="S497" s="45">
        <f>IF(G497="","",IFERROR(INDEX(Config!$K$5:$K$16,MATCH(G497,Config!$J$5:$J$16,0)),""))</f>
        <v>30</v>
      </c>
      <c r="T497" s="31">
        <f>IF(OR(G497="",F497=""),"",IFERROR(INDEX(Config!$M$5:$R$16,MATCH(G497,Config!$J$5:$J$16,0),MATCH(F497,Config!$H$5:$H$10,0)),""))</f>
        <v>100</v>
      </c>
      <c r="U497" s="47">
        <f>IF(AND(H497="Realizado",L497&lt;&gt;""),L497/60,0)</f>
        <v>0.5</v>
      </c>
      <c r="V497" s="47">
        <f>IF(AND(H497="Realizado",OR(L497="",M497="")),1,0)</f>
        <v>0</v>
      </c>
    </row>
    <row r="498">
      <c r="A498" s="43" t="n">
        <v>46224</v>
      </c>
      <c r="B498" s="44" t="n">
        <v>0.6041666666666666</v>
      </c>
      <c r="C498" s="38" t="inlineStr">
        <is>
          <t>Dr. Paulo Andrade</t>
        </is>
      </c>
      <c r="D498" s="38" t="inlineStr">
        <is>
          <t>Sala 2</t>
        </is>
      </c>
      <c r="E498" s="37" t="inlineStr">
        <is>
          <t>Paulo Ribeiro</t>
        </is>
      </c>
      <c r="F498" s="38" t="inlineStr">
        <is>
          <t>Saúde Total</t>
        </is>
      </c>
      <c r="G498" s="38" t="inlineStr">
        <is>
          <t>Consulta</t>
        </is>
      </c>
      <c r="H498" s="38" t="inlineStr">
        <is>
          <t>Realizado</t>
        </is>
      </c>
      <c r="I498" s="38" t="inlineStr">
        <is>
          <t>Convênio</t>
        </is>
      </c>
      <c r="J498" s="38" t="n"/>
      <c r="K498" s="37" t="n"/>
      <c r="L498" s="39" t="n">
        <v>30</v>
      </c>
      <c r="M498" s="40" t="n">
        <v>120</v>
      </c>
      <c r="N498" s="30">
        <f>IF(A498="","",MONTH(A498))</f>
        <v>7</v>
      </c>
      <c r="O498" s="30">
        <f>IF(A498="","",YEAR(A498))</f>
        <v>2026</v>
      </c>
      <c r="P498" s="30" t="str">
        <f>IF(A498="","",CHOOSE(WEEKDAY(A498,2),"Segunda","Terça","Quarta","Quinta","Sexta","Sábado","Domingo"))</f>
        <v>Terça</v>
      </c>
      <c r="Q498" s="30" t="str">
        <f>IF(B498="","",IF(B498&lt;TIME(12,0,0),"Manhã",IF(B498&lt;TIME(18,0,0),"Tarde","Noite")))</f>
        <v>Tarde</v>
      </c>
      <c r="R498" s="46">
        <f>IF(AND(H498="Realizado",L498&lt;&gt;"",A498&lt;=Config!$B$9),L498/60,0)</f>
        <v>0.5</v>
      </c>
      <c r="S498" s="45">
        <f>IF(G498="","",IFERROR(INDEX(Config!$K$5:$K$16,MATCH(G498,Config!$J$5:$J$16,0)),""))</f>
        <v>30</v>
      </c>
      <c r="T498" s="31">
        <f>IF(OR(G498="",F498=""),"",IFERROR(INDEX(Config!$M$5:$R$16,MATCH(G498,Config!$J$5:$J$16,0),MATCH(F498,Config!$H$5:$H$10,0)),""))</f>
        <v>120</v>
      </c>
      <c r="U498" s="47">
        <f>IF(AND(H498="Realizado",L498&lt;&gt;""),L498/60,0)</f>
        <v>0.5</v>
      </c>
      <c r="V498" s="47">
        <f>IF(AND(H498="Realizado",OR(L498="",M498="")),1,0)</f>
        <v>0</v>
      </c>
    </row>
    <row r="499">
      <c r="A499" s="43" t="n">
        <v>46224</v>
      </c>
      <c r="B499" s="44" t="n">
        <v>0.6111111111111112</v>
      </c>
      <c r="C499" s="38" t="inlineStr">
        <is>
          <t>Dra. Renata Sousa</t>
        </is>
      </c>
      <c r="D499" s="38" t="inlineStr">
        <is>
          <t>Sala 1</t>
        </is>
      </c>
      <c r="E499" s="37" t="inlineStr">
        <is>
          <t>Beatriz Reis</t>
        </is>
      </c>
      <c r="F499" s="38" t="inlineStr">
        <is>
          <t>Particular</t>
        </is>
      </c>
      <c r="G499" s="38" t="inlineStr">
        <is>
          <t>Retorno</t>
        </is>
      </c>
      <c r="H499" s="38" t="inlineStr">
        <is>
          <t>Realizado</t>
        </is>
      </c>
      <c r="I499" s="38" t="inlineStr">
        <is>
          <t>Sem cobrança</t>
        </is>
      </c>
      <c r="J499" s="38" t="n"/>
      <c r="K499" s="37" t="n"/>
      <c r="L499" s="39" t="n">
        <v>20</v>
      </c>
      <c r="M499" s="40" t="n">
        <v>0</v>
      </c>
      <c r="N499" s="30">
        <f>IF(A499="","",MONTH(A499))</f>
        <v>7</v>
      </c>
      <c r="O499" s="30">
        <f>IF(A499="","",YEAR(A499))</f>
        <v>2026</v>
      </c>
      <c r="P499" s="30" t="str">
        <f>IF(A499="","",CHOOSE(WEEKDAY(A499,2),"Segunda","Terça","Quarta","Quinta","Sexta","Sábado","Domingo"))</f>
        <v>Terça</v>
      </c>
      <c r="Q499" s="30" t="str">
        <f>IF(B499="","",IF(B499&lt;TIME(12,0,0),"Manhã",IF(B499&lt;TIME(18,0,0),"Tarde","Noite")))</f>
        <v>Tarde</v>
      </c>
      <c r="R499" s="46">
        <f>IF(AND(H499="Realizado",L499&lt;&gt;"",A499&lt;=Config!$B$9),L499/60,0)</f>
        <v>0.333333333333333</v>
      </c>
      <c r="S499" s="45">
        <f>IF(G499="","",IFERROR(INDEX(Config!$K$5:$K$16,MATCH(G499,Config!$J$5:$J$16,0)),""))</f>
        <v>20</v>
      </c>
      <c r="T499" s="31">
        <f>IF(OR(G499="",F499=""),"",IFERROR(INDEX(Config!$M$5:$R$16,MATCH(G499,Config!$J$5:$J$16,0),MATCH(F499,Config!$H$5:$H$10,0)),""))</f>
        <v>0</v>
      </c>
      <c r="U499" s="47">
        <f>IF(AND(H499="Realizado",L499&lt;&gt;""),L499/60,0)</f>
        <v>0.333333333333333</v>
      </c>
      <c r="V499" s="47">
        <f>IF(AND(H499="Realizado",OR(L499="",M499="")),1,0)</f>
        <v>0</v>
      </c>
    </row>
    <row r="500">
      <c r="A500" s="43" t="n">
        <v>46224</v>
      </c>
      <c r="B500" s="44" t="n">
        <v>0.625</v>
      </c>
      <c r="C500" s="38" t="inlineStr">
        <is>
          <t>Dra. Renata Sousa</t>
        </is>
      </c>
      <c r="D500" s="38" t="inlineStr">
        <is>
          <t>Sala 1</t>
        </is>
      </c>
      <c r="E500" s="37" t="inlineStr">
        <is>
          <t>Cláudia Vieira</t>
        </is>
      </c>
      <c r="F500" s="38" t="inlineStr">
        <is>
          <t>Saúde Total</t>
        </is>
      </c>
      <c r="G500" s="38" t="inlineStr">
        <is>
          <t>Avaliação endócrina</t>
        </is>
      </c>
      <c r="H500" s="38" t="inlineStr">
        <is>
          <t>Realizado</t>
        </is>
      </c>
      <c r="I500" s="38" t="inlineStr">
        <is>
          <t>Convênio</t>
        </is>
      </c>
      <c r="J500" s="38" t="n"/>
      <c r="K500" s="37" t="n"/>
      <c r="L500" s="39" t="n">
        <v>40</v>
      </c>
      <c r="M500" s="40" t="n">
        <v>130</v>
      </c>
      <c r="N500" s="30">
        <f>IF(A500="","",MONTH(A500))</f>
        <v>7</v>
      </c>
      <c r="O500" s="30">
        <f>IF(A500="","",YEAR(A500))</f>
        <v>2026</v>
      </c>
      <c r="P500" s="30" t="str">
        <f>IF(A500="","",CHOOSE(WEEKDAY(A500,2),"Segunda","Terça","Quarta","Quinta","Sexta","Sábado","Domingo"))</f>
        <v>Terça</v>
      </c>
      <c r="Q500" s="30" t="str">
        <f>IF(B500="","",IF(B500&lt;TIME(12,0,0),"Manhã",IF(B500&lt;TIME(18,0,0),"Tarde","Noite")))</f>
        <v>Tarde</v>
      </c>
      <c r="R500" s="46">
        <f>IF(AND(H500="Realizado",L500&lt;&gt;"",A500&lt;=Config!$B$9),L500/60,0)</f>
        <v>0.666666666666667</v>
      </c>
      <c r="S500" s="45">
        <f>IF(G500="","",IFERROR(INDEX(Config!$K$5:$K$16,MATCH(G500,Config!$J$5:$J$16,0)),""))</f>
        <v>40</v>
      </c>
      <c r="T500" s="31">
        <f>IF(OR(G500="",F500=""),"",IFERROR(INDEX(Config!$M$5:$R$16,MATCH(G500,Config!$J$5:$J$16,0),MATCH(F500,Config!$H$5:$H$10,0)),""))</f>
        <v>130</v>
      </c>
      <c r="U500" s="47">
        <f>IF(AND(H500="Realizado",L500&lt;&gt;""),L500/60,0)</f>
        <v>0.666666666666667</v>
      </c>
      <c r="V500" s="47">
        <f>IF(AND(H500="Realizado",OR(L500="",M500="")),1,0)</f>
        <v>0</v>
      </c>
    </row>
    <row r="501">
      <c r="A501" s="43" t="n">
        <v>46224</v>
      </c>
      <c r="B501" s="44" t="n">
        <v>0.6527777777777778</v>
      </c>
      <c r="C501" s="38" t="inlineStr">
        <is>
          <t>Dra. Renata Sousa</t>
        </is>
      </c>
      <c r="D501" s="38" t="inlineStr">
        <is>
          <t>Sala 1</t>
        </is>
      </c>
      <c r="E501" s="37" t="inlineStr">
        <is>
          <t>Carlos Freitas</t>
        </is>
      </c>
      <c r="F501" s="38" t="inlineStr">
        <is>
          <t>Particular</t>
        </is>
      </c>
      <c r="G501" s="38" t="inlineStr">
        <is>
          <t>Avaliação endócrina</t>
        </is>
      </c>
      <c r="H501" s="38" t="inlineStr">
        <is>
          <t>Realizado</t>
        </is>
      </c>
      <c r="I501" s="38" t="inlineStr">
        <is>
          <t>Pix</t>
        </is>
      </c>
      <c r="J501" s="38" t="n"/>
      <c r="K501" s="37" t="n"/>
      <c r="L501" s="39" t="n">
        <v>40</v>
      </c>
      <c r="M501" s="40" t="n">
        <v>400</v>
      </c>
      <c r="N501" s="30">
        <f>IF(A501="","",MONTH(A501))</f>
        <v>7</v>
      </c>
      <c r="O501" s="30">
        <f>IF(A501="","",YEAR(A501))</f>
        <v>2026</v>
      </c>
      <c r="P501" s="30" t="str">
        <f>IF(A501="","",CHOOSE(WEEKDAY(A501,2),"Segunda","Terça","Quarta","Quinta","Sexta","Sábado","Domingo"))</f>
        <v>Terça</v>
      </c>
      <c r="Q501" s="30" t="str">
        <f>IF(B501="","",IF(B501&lt;TIME(12,0,0),"Manhã",IF(B501&lt;TIME(18,0,0),"Tarde","Noite")))</f>
        <v>Tarde</v>
      </c>
      <c r="R501" s="46">
        <f>IF(AND(H501="Realizado",L501&lt;&gt;"",A501&lt;=Config!$B$9),L501/60,0)</f>
        <v>0.666666666666667</v>
      </c>
      <c r="S501" s="45">
        <f>IF(G501="","",IFERROR(INDEX(Config!$K$5:$K$16,MATCH(G501,Config!$J$5:$J$16,0)),""))</f>
        <v>40</v>
      </c>
      <c r="T501" s="31">
        <f>IF(OR(G501="",F501=""),"",IFERROR(INDEX(Config!$M$5:$R$16,MATCH(G501,Config!$J$5:$J$16,0),MATCH(F501,Config!$H$5:$H$10,0)),""))</f>
        <v>400</v>
      </c>
      <c r="U501" s="47">
        <f>IF(AND(H501="Realizado",L501&lt;&gt;""),L501/60,0)</f>
        <v>0.666666666666667</v>
      </c>
      <c r="V501" s="47">
        <f>IF(AND(H501="Realizado",OR(L501="",M501="")),1,0)</f>
        <v>0</v>
      </c>
    </row>
    <row r="502">
      <c r="A502" s="43" t="n">
        <v>46224</v>
      </c>
      <c r="B502" s="44" t="n">
        <v>0.6666666666666666</v>
      </c>
      <c r="C502" s="38" t="inlineStr">
        <is>
          <t>Dr. Paulo Andrade</t>
        </is>
      </c>
      <c r="D502" s="38" t="inlineStr">
        <is>
          <t>Sala 2</t>
        </is>
      </c>
      <c r="E502" s="37" t="inlineStr">
        <is>
          <t>Vanessa Moreira</t>
        </is>
      </c>
      <c r="F502" s="38" t="inlineStr">
        <is>
          <t>Saúde Total</t>
        </is>
      </c>
      <c r="G502" s="38" t="inlineStr">
        <is>
          <t>Consulta</t>
        </is>
      </c>
      <c r="H502" s="38" t="inlineStr">
        <is>
          <t>Realizado</t>
        </is>
      </c>
      <c r="I502" s="38" t="inlineStr">
        <is>
          <t>Convênio</t>
        </is>
      </c>
      <c r="J502" s="38" t="n"/>
      <c r="K502" s="37" t="n"/>
      <c r="L502" s="39" t="n">
        <v>30</v>
      </c>
      <c r="M502" s="40" t="n">
        <v>120</v>
      </c>
      <c r="N502" s="30">
        <f>IF(A502="","",MONTH(A502))</f>
        <v>7</v>
      </c>
      <c r="O502" s="30">
        <f>IF(A502="","",YEAR(A502))</f>
        <v>2026</v>
      </c>
      <c r="P502" s="30" t="str">
        <f>IF(A502="","",CHOOSE(WEEKDAY(A502,2),"Segunda","Terça","Quarta","Quinta","Sexta","Sábado","Domingo"))</f>
        <v>Terça</v>
      </c>
      <c r="Q502" s="30" t="str">
        <f>IF(B502="","",IF(B502&lt;TIME(12,0,0),"Manhã",IF(B502&lt;TIME(18,0,0),"Tarde","Noite")))</f>
        <v>Tarde</v>
      </c>
      <c r="R502" s="46">
        <f>IF(AND(H502="Realizado",L502&lt;&gt;"",A502&lt;=Config!$B$9),L502/60,0)</f>
        <v>0.5</v>
      </c>
      <c r="S502" s="45">
        <f>IF(G502="","",IFERROR(INDEX(Config!$K$5:$K$16,MATCH(G502,Config!$J$5:$J$16,0)),""))</f>
        <v>30</v>
      </c>
      <c r="T502" s="31">
        <f>IF(OR(G502="",F502=""),"",IFERROR(INDEX(Config!$M$5:$R$16,MATCH(G502,Config!$J$5:$J$16,0),MATCH(F502,Config!$H$5:$H$10,0)),""))</f>
        <v>120</v>
      </c>
      <c r="U502" s="47">
        <f>IF(AND(H502="Realizado",L502&lt;&gt;""),L502/60,0)</f>
        <v>0.5</v>
      </c>
      <c r="V502" s="47">
        <f>IF(AND(H502="Realizado",OR(L502="",M502="")),1,0)</f>
        <v>0</v>
      </c>
    </row>
    <row r="503">
      <c r="A503" s="43" t="n">
        <v>46224</v>
      </c>
      <c r="B503" s="44" t="n">
        <v>0.6805555555555556</v>
      </c>
      <c r="C503" s="38" t="inlineStr">
        <is>
          <t>Dra. Renata Sousa</t>
        </is>
      </c>
      <c r="D503" s="38" t="inlineStr">
        <is>
          <t>Sala 1</t>
        </is>
      </c>
      <c r="E503" s="37" t="inlineStr">
        <is>
          <t>Gisele Lopes</t>
        </is>
      </c>
      <c r="F503" s="38" t="inlineStr">
        <is>
          <t>Saúde Total</t>
        </is>
      </c>
      <c r="G503" s="38" t="inlineStr">
        <is>
          <t>Retorno</t>
        </is>
      </c>
      <c r="H503" s="38" t="inlineStr">
        <is>
          <t>Realizado</t>
        </is>
      </c>
      <c r="I503" s="38" t="inlineStr">
        <is>
          <t>Sem cobrança</t>
        </is>
      </c>
      <c r="J503" s="38" t="n"/>
      <c r="K503" s="37" t="n"/>
      <c r="L503" s="39" t="n">
        <v>20</v>
      </c>
      <c r="M503" s="40" t="n">
        <v>0</v>
      </c>
      <c r="N503" s="30">
        <f>IF(A503="","",MONTH(A503))</f>
        <v>7</v>
      </c>
      <c r="O503" s="30">
        <f>IF(A503="","",YEAR(A503))</f>
        <v>2026</v>
      </c>
      <c r="P503" s="30" t="str">
        <f>IF(A503="","",CHOOSE(WEEKDAY(A503,2),"Segunda","Terça","Quarta","Quinta","Sexta","Sábado","Domingo"))</f>
        <v>Terça</v>
      </c>
      <c r="Q503" s="30" t="str">
        <f>IF(B503="","",IF(B503&lt;TIME(12,0,0),"Manhã",IF(B503&lt;TIME(18,0,0),"Tarde","Noite")))</f>
        <v>Tarde</v>
      </c>
      <c r="R503" s="46">
        <f>IF(AND(H503="Realizado",L503&lt;&gt;"",A503&lt;=Config!$B$9),L503/60,0)</f>
        <v>0.333333333333333</v>
      </c>
      <c r="S503" s="45">
        <f>IF(G503="","",IFERROR(INDEX(Config!$K$5:$K$16,MATCH(G503,Config!$J$5:$J$16,0)),""))</f>
        <v>20</v>
      </c>
      <c r="T503" s="31">
        <f>IF(OR(G503="",F503=""),"",IFERROR(INDEX(Config!$M$5:$R$16,MATCH(G503,Config!$J$5:$J$16,0),MATCH(F503,Config!$H$5:$H$10,0)),""))</f>
        <v>0</v>
      </c>
      <c r="U503" s="47">
        <f>IF(AND(H503="Realizado",L503&lt;&gt;""),L503/60,0)</f>
        <v>0.333333333333333</v>
      </c>
      <c r="V503" s="47">
        <f>IF(AND(H503="Realizado",OR(L503="",M503="")),1,0)</f>
        <v>0</v>
      </c>
    </row>
    <row r="504">
      <c r="A504" s="43" t="n">
        <v>46224</v>
      </c>
      <c r="B504" s="44" t="n">
        <v>0.6875</v>
      </c>
      <c r="C504" s="38" t="inlineStr">
        <is>
          <t>Dr. Paulo Andrade</t>
        </is>
      </c>
      <c r="D504" s="38" t="inlineStr">
        <is>
          <t>Sala 2</t>
        </is>
      </c>
      <c r="E504" s="37" t="inlineStr">
        <is>
          <t>Sandra Cardoso</t>
        </is>
      </c>
      <c r="F504" s="38" t="inlineStr">
        <is>
          <t>Saúde Total</t>
        </is>
      </c>
      <c r="G504" s="38" t="inlineStr">
        <is>
          <t>Consulta</t>
        </is>
      </c>
      <c r="H504" s="38" t="inlineStr">
        <is>
          <t>Realizado</t>
        </is>
      </c>
      <c r="I504" s="38" t="inlineStr">
        <is>
          <t>Convênio</t>
        </is>
      </c>
      <c r="J504" s="38" t="n"/>
      <c r="K504" s="37" t="n"/>
      <c r="L504" s="39" t="n">
        <v>30</v>
      </c>
      <c r="M504" s="40" t="n">
        <v>120</v>
      </c>
      <c r="N504" s="30">
        <f>IF(A504="","",MONTH(A504))</f>
        <v>7</v>
      </c>
      <c r="O504" s="30">
        <f>IF(A504="","",YEAR(A504))</f>
        <v>2026</v>
      </c>
      <c r="P504" s="30" t="str">
        <f>IF(A504="","",CHOOSE(WEEKDAY(A504,2),"Segunda","Terça","Quarta","Quinta","Sexta","Sábado","Domingo"))</f>
        <v>Terça</v>
      </c>
      <c r="Q504" s="30" t="str">
        <f>IF(B504="","",IF(B504&lt;TIME(12,0,0),"Manhã",IF(B504&lt;TIME(18,0,0),"Tarde","Noite")))</f>
        <v>Tarde</v>
      </c>
      <c r="R504" s="46">
        <f>IF(AND(H504="Realizado",L504&lt;&gt;"",A504&lt;=Config!$B$9),L504/60,0)</f>
        <v>0.5</v>
      </c>
      <c r="S504" s="45">
        <f>IF(G504="","",IFERROR(INDEX(Config!$K$5:$K$16,MATCH(G504,Config!$J$5:$J$16,0)),""))</f>
        <v>30</v>
      </c>
      <c r="T504" s="31">
        <f>IF(OR(G504="",F504=""),"",IFERROR(INDEX(Config!$M$5:$R$16,MATCH(G504,Config!$J$5:$J$16,0),MATCH(F504,Config!$H$5:$H$10,0)),""))</f>
        <v>120</v>
      </c>
      <c r="U504" s="47">
        <f>IF(AND(H504="Realizado",L504&lt;&gt;""),L504/60,0)</f>
        <v>0.5</v>
      </c>
      <c r="V504" s="47">
        <f>IF(AND(H504="Realizado",OR(L504="",M504="")),1,0)</f>
        <v>0</v>
      </c>
    </row>
    <row r="505">
      <c r="A505" s="43" t="n">
        <v>46224</v>
      </c>
      <c r="B505" s="44" t="n">
        <v>0.6944444444444444</v>
      </c>
      <c r="C505" s="38" t="inlineStr">
        <is>
          <t>Dra. Renata Sousa</t>
        </is>
      </c>
      <c r="D505" s="38" t="inlineStr">
        <is>
          <t>Sala 1</t>
        </is>
      </c>
      <c r="E505" s="37" t="inlineStr">
        <is>
          <t>Isabela Xavier</t>
        </is>
      </c>
      <c r="F505" s="38" t="inlineStr">
        <is>
          <t>Particular</t>
        </is>
      </c>
      <c r="G505" s="38" t="inlineStr">
        <is>
          <t>Avaliação endócrina</t>
        </is>
      </c>
      <c r="H505" s="38" t="inlineStr">
        <is>
          <t>Realizado</t>
        </is>
      </c>
      <c r="I505" s="38" t="inlineStr">
        <is>
          <t>Cartão de crédito</t>
        </is>
      </c>
      <c r="J505" s="38" t="n"/>
      <c r="K505" s="37" t="n"/>
      <c r="L505" s="39" t="n">
        <v>40</v>
      </c>
      <c r="M505" s="40" t="n">
        <v>400</v>
      </c>
      <c r="N505" s="30">
        <f>IF(A505="","",MONTH(A505))</f>
        <v>7</v>
      </c>
      <c r="O505" s="30">
        <f>IF(A505="","",YEAR(A505))</f>
        <v>2026</v>
      </c>
      <c r="P505" s="30" t="str">
        <f>IF(A505="","",CHOOSE(WEEKDAY(A505,2),"Segunda","Terça","Quarta","Quinta","Sexta","Sábado","Domingo"))</f>
        <v>Terça</v>
      </c>
      <c r="Q505" s="30" t="str">
        <f>IF(B505="","",IF(B505&lt;TIME(12,0,0),"Manhã",IF(B505&lt;TIME(18,0,0),"Tarde","Noite")))</f>
        <v>Tarde</v>
      </c>
      <c r="R505" s="46">
        <f>IF(AND(H505="Realizado",L505&lt;&gt;"",A505&lt;=Config!$B$9),L505/60,0)</f>
        <v>0.666666666666667</v>
      </c>
      <c r="S505" s="45">
        <f>IF(G505="","",IFERROR(INDEX(Config!$K$5:$K$16,MATCH(G505,Config!$J$5:$J$16,0)),""))</f>
        <v>40</v>
      </c>
      <c r="T505" s="31">
        <f>IF(OR(G505="",F505=""),"",IFERROR(INDEX(Config!$M$5:$R$16,MATCH(G505,Config!$J$5:$J$16,0),MATCH(F505,Config!$H$5:$H$10,0)),""))</f>
        <v>400</v>
      </c>
      <c r="U505" s="47">
        <f>IF(AND(H505="Realizado",L505&lt;&gt;""),L505/60,0)</f>
        <v>0.666666666666667</v>
      </c>
      <c r="V505" s="47">
        <f>IF(AND(H505="Realizado",OR(L505="",M505="")),1,0)</f>
        <v>0</v>
      </c>
    </row>
    <row r="506">
      <c r="A506" s="43" t="n">
        <v>46224</v>
      </c>
      <c r="B506" s="44" t="n">
        <v>0.7083333333333334</v>
      </c>
      <c r="C506" s="38" t="inlineStr">
        <is>
          <t>Dr. Paulo Andrade</t>
        </is>
      </c>
      <c r="D506" s="38" t="inlineStr">
        <is>
          <t>Sala 2</t>
        </is>
      </c>
      <c r="E506" s="37" t="inlineStr">
        <is>
          <t>Regina Macedo</t>
        </is>
      </c>
      <c r="F506" s="38" t="inlineStr">
        <is>
          <t>Particular</t>
        </is>
      </c>
      <c r="G506" s="38" t="inlineStr">
        <is>
          <t>ECG</t>
        </is>
      </c>
      <c r="H506" s="38" t="inlineStr">
        <is>
          <t>Realizado</t>
        </is>
      </c>
      <c r="I506" s="38" t="inlineStr">
        <is>
          <t>Pix</t>
        </is>
      </c>
      <c r="J506" s="38" t="n"/>
      <c r="K506" s="37" t="n"/>
      <c r="L506" s="39" t="n">
        <v>20</v>
      </c>
      <c r="M506" s="40" t="n">
        <v>130</v>
      </c>
      <c r="N506" s="30">
        <f>IF(A506="","",MONTH(A506))</f>
        <v>7</v>
      </c>
      <c r="O506" s="30">
        <f>IF(A506="","",YEAR(A506))</f>
        <v>2026</v>
      </c>
      <c r="P506" s="30" t="str">
        <f>IF(A506="","",CHOOSE(WEEKDAY(A506,2),"Segunda","Terça","Quarta","Quinta","Sexta","Sábado","Domingo"))</f>
        <v>Terça</v>
      </c>
      <c r="Q506" s="30" t="str">
        <f>IF(B506="","",IF(B506&lt;TIME(12,0,0),"Manhã",IF(B506&lt;TIME(18,0,0),"Tarde","Noite")))</f>
        <v>Tarde</v>
      </c>
      <c r="R506" s="46">
        <f>IF(AND(H506="Realizado",L506&lt;&gt;"",A506&lt;=Config!$B$9),L506/60,0)</f>
        <v>0.333333333333333</v>
      </c>
      <c r="S506" s="45">
        <f>IF(G506="","",IFERROR(INDEX(Config!$K$5:$K$16,MATCH(G506,Config!$J$5:$J$16,0)),""))</f>
        <v>20</v>
      </c>
      <c r="T506" s="31">
        <f>IF(OR(G506="",F506=""),"",IFERROR(INDEX(Config!$M$5:$R$16,MATCH(G506,Config!$J$5:$J$16,0),MATCH(F506,Config!$H$5:$H$10,0)),""))</f>
        <v>130</v>
      </c>
      <c r="U506" s="47">
        <f>IF(AND(H506="Realizado",L506&lt;&gt;""),L506/60,0)</f>
        <v>0.333333333333333</v>
      </c>
      <c r="V506" s="47">
        <f>IF(AND(H506="Realizado",OR(L506="",M506="")),1,0)</f>
        <v>0</v>
      </c>
    </row>
    <row r="507">
      <c r="A507" s="43" t="n">
        <v>46224</v>
      </c>
      <c r="B507" s="44" t="n">
        <v>0.7222222222222222</v>
      </c>
      <c r="C507" s="38" t="inlineStr">
        <is>
          <t>Dra. Renata Sousa</t>
        </is>
      </c>
      <c r="D507" s="38" t="inlineStr">
        <is>
          <t>Sala 1</t>
        </is>
      </c>
      <c r="E507" s="37" t="inlineStr">
        <is>
          <t>Carlos Gonçalves</t>
        </is>
      </c>
      <c r="F507" s="38" t="inlineStr">
        <is>
          <t>Saúde Total</t>
        </is>
      </c>
      <c r="G507" s="38" t="inlineStr">
        <is>
          <t>Avaliação endócrina</t>
        </is>
      </c>
      <c r="H507" s="38" t="inlineStr">
        <is>
          <t>Realizado</t>
        </is>
      </c>
      <c r="I507" s="38" t="inlineStr">
        <is>
          <t>Convênio</t>
        </is>
      </c>
      <c r="J507" s="38" t="n"/>
      <c r="K507" s="37" t="n"/>
      <c r="L507" s="39" t="n">
        <v>40</v>
      </c>
      <c r="M507" s="40" t="n">
        <v>130</v>
      </c>
      <c r="N507" s="30">
        <f>IF(A507="","",MONTH(A507))</f>
        <v>7</v>
      </c>
      <c r="O507" s="30">
        <f>IF(A507="","",YEAR(A507))</f>
        <v>2026</v>
      </c>
      <c r="P507" s="30" t="str">
        <f>IF(A507="","",CHOOSE(WEEKDAY(A507,2),"Segunda","Terça","Quarta","Quinta","Sexta","Sábado","Domingo"))</f>
        <v>Terça</v>
      </c>
      <c r="Q507" s="30" t="str">
        <f>IF(B507="","",IF(B507&lt;TIME(12,0,0),"Manhã",IF(B507&lt;TIME(18,0,0),"Tarde","Noite")))</f>
        <v>Tarde</v>
      </c>
      <c r="R507" s="46">
        <f>IF(AND(H507="Realizado",L507&lt;&gt;"",A507&lt;=Config!$B$9),L507/60,0)</f>
        <v>0.666666666666667</v>
      </c>
      <c r="S507" s="45">
        <f>IF(G507="","",IFERROR(INDEX(Config!$K$5:$K$16,MATCH(G507,Config!$J$5:$J$16,0)),""))</f>
        <v>40</v>
      </c>
      <c r="T507" s="31">
        <f>IF(OR(G507="",F507=""),"",IFERROR(INDEX(Config!$M$5:$R$16,MATCH(G507,Config!$J$5:$J$16,0),MATCH(F507,Config!$H$5:$H$10,0)),""))</f>
        <v>130</v>
      </c>
      <c r="U507" s="47">
        <f>IF(AND(H507="Realizado",L507&lt;&gt;""),L507/60,0)</f>
        <v>0.666666666666667</v>
      </c>
      <c r="V507" s="47">
        <f>IF(AND(H507="Realizado",OR(L507="",M507="")),1,0)</f>
        <v>0</v>
      </c>
    </row>
    <row r="508">
      <c r="A508" s="43" t="n">
        <v>46224</v>
      </c>
      <c r="B508" s="44" t="n">
        <v>0.7222222222222222</v>
      </c>
      <c r="C508" s="38" t="inlineStr">
        <is>
          <t>Dr. Paulo Andrade</t>
        </is>
      </c>
      <c r="D508" s="38" t="inlineStr">
        <is>
          <t>Sala 2</t>
        </is>
      </c>
      <c r="E508" s="37" t="inlineStr">
        <is>
          <t>Mateus Dias</t>
        </is>
      </c>
      <c r="F508" s="38" t="inlineStr">
        <is>
          <t>Saúde Total</t>
        </is>
      </c>
      <c r="G508" s="38" t="inlineStr">
        <is>
          <t>Consulta</t>
        </is>
      </c>
      <c r="H508" s="38" t="inlineStr">
        <is>
          <t>Realizado</t>
        </is>
      </c>
      <c r="I508" s="38" t="inlineStr">
        <is>
          <t>Convênio</t>
        </is>
      </c>
      <c r="J508" s="38" t="n"/>
      <c r="K508" s="37" t="n"/>
      <c r="L508" s="39" t="n">
        <v>30</v>
      </c>
      <c r="M508" s="40" t="n">
        <v>120</v>
      </c>
      <c r="N508" s="30">
        <f>IF(A508="","",MONTH(A508))</f>
        <v>7</v>
      </c>
      <c r="O508" s="30">
        <f>IF(A508="","",YEAR(A508))</f>
        <v>2026</v>
      </c>
      <c r="P508" s="30" t="str">
        <f>IF(A508="","",CHOOSE(WEEKDAY(A508,2),"Segunda","Terça","Quarta","Quinta","Sexta","Sábado","Domingo"))</f>
        <v>Terça</v>
      </c>
      <c r="Q508" s="30" t="str">
        <f>IF(B508="","",IF(B508&lt;TIME(12,0,0),"Manhã",IF(B508&lt;TIME(18,0,0),"Tarde","Noite")))</f>
        <v>Tarde</v>
      </c>
      <c r="R508" s="46">
        <f>IF(AND(H508="Realizado",L508&lt;&gt;"",A508&lt;=Config!$B$9),L508/60,0)</f>
        <v>0.5</v>
      </c>
      <c r="S508" s="45">
        <f>IF(G508="","",IFERROR(INDEX(Config!$K$5:$K$16,MATCH(G508,Config!$J$5:$J$16,0)),""))</f>
        <v>30</v>
      </c>
      <c r="T508" s="31">
        <f>IF(OR(G508="",F508=""),"",IFERROR(INDEX(Config!$M$5:$R$16,MATCH(G508,Config!$J$5:$J$16,0),MATCH(F508,Config!$H$5:$H$10,0)),""))</f>
        <v>120</v>
      </c>
      <c r="U508" s="47">
        <f>IF(AND(H508="Realizado",L508&lt;&gt;""),L508/60,0)</f>
        <v>0.5</v>
      </c>
      <c r="V508" s="47">
        <f>IF(AND(H508="Realizado",OR(L508="",M508="")),1,0)</f>
        <v>0</v>
      </c>
    </row>
    <row r="509">
      <c r="A509" s="43" t="n">
        <v>46225</v>
      </c>
      <c r="B509" s="44" t="n">
        <v>0.5833333333333334</v>
      </c>
      <c r="C509" s="38" t="inlineStr">
        <is>
          <t>Dra. Carolina Mendes</t>
        </is>
      </c>
      <c r="D509" s="38" t="inlineStr">
        <is>
          <t>Sala 1</t>
        </is>
      </c>
      <c r="E509" s="37" t="inlineStr">
        <is>
          <t>Ana Costa</t>
        </is>
      </c>
      <c r="F509" s="38" t="inlineStr">
        <is>
          <t>Particular</t>
        </is>
      </c>
      <c r="G509" s="38" t="inlineStr">
        <is>
          <t>Consulta</t>
        </is>
      </c>
      <c r="H509" s="38" t="inlineStr">
        <is>
          <t>Realizado</t>
        </is>
      </c>
      <c r="I509" s="38" t="inlineStr">
        <is>
          <t>Pix</t>
        </is>
      </c>
      <c r="J509" s="38" t="n"/>
      <c r="K509" s="37" t="n"/>
      <c r="L509" s="39" t="n">
        <v>30</v>
      </c>
      <c r="M509" s="40" t="n">
        <v>380</v>
      </c>
      <c r="N509" s="30">
        <f>IF(A509="","",MONTH(A509))</f>
        <v>7</v>
      </c>
      <c r="O509" s="30">
        <f>IF(A509="","",YEAR(A509))</f>
        <v>2026</v>
      </c>
      <c r="P509" s="30" t="str">
        <f>IF(A509="","",CHOOSE(WEEKDAY(A509,2),"Segunda","Terça","Quarta","Quinta","Sexta","Sábado","Domingo"))</f>
        <v>Quarta</v>
      </c>
      <c r="Q509" s="30" t="str">
        <f>IF(B509="","",IF(B509&lt;TIME(12,0,0),"Manhã",IF(B509&lt;TIME(18,0,0),"Tarde","Noite")))</f>
        <v>Tarde</v>
      </c>
      <c r="R509" s="46">
        <f>IF(AND(H509="Realizado",L509&lt;&gt;"",A509&lt;=Config!$B$9),L509/60,0)</f>
        <v>0.5</v>
      </c>
      <c r="S509" s="45">
        <f>IF(G509="","",IFERROR(INDEX(Config!$K$5:$K$16,MATCH(G509,Config!$J$5:$J$16,0)),""))</f>
        <v>30</v>
      </c>
      <c r="T509" s="31">
        <f>IF(OR(G509="",F509=""),"",IFERROR(INDEX(Config!$M$5:$R$16,MATCH(G509,Config!$J$5:$J$16,0),MATCH(F509,Config!$H$5:$H$10,0)),""))</f>
        <v>380</v>
      </c>
      <c r="U509" s="47">
        <f>IF(AND(H509="Realizado",L509&lt;&gt;""),L509/60,0)</f>
        <v>0.5</v>
      </c>
      <c r="V509" s="47">
        <f>IF(AND(H509="Realizado",OR(L509="",M509="")),1,0)</f>
        <v>0</v>
      </c>
    </row>
    <row r="510">
      <c r="A510" s="43" t="n">
        <v>46225</v>
      </c>
      <c r="B510" s="44" t="n">
        <v>0.6041666666666666</v>
      </c>
      <c r="C510" s="38" t="inlineStr">
        <is>
          <t>Dra. Carolina Mendes</t>
        </is>
      </c>
      <c r="D510" s="38" t="inlineStr">
        <is>
          <t>Sala 1</t>
        </is>
      </c>
      <c r="E510" s="37" t="inlineStr">
        <is>
          <t>Rodrigo Moreira</t>
        </is>
      </c>
      <c r="F510" s="38" t="inlineStr">
        <is>
          <t>Particular</t>
        </is>
      </c>
      <c r="G510" s="38" t="inlineStr">
        <is>
          <t>Consulta</t>
        </is>
      </c>
      <c r="H510" s="38" t="inlineStr">
        <is>
          <t>Realizado</t>
        </is>
      </c>
      <c r="I510" s="38" t="inlineStr">
        <is>
          <t>Pix</t>
        </is>
      </c>
      <c r="J510" s="38" t="n"/>
      <c r="K510" s="37" t="n"/>
      <c r="L510" s="39" t="n">
        <v>30</v>
      </c>
      <c r="M510" s="40" t="n">
        <v>380</v>
      </c>
      <c r="N510" s="30">
        <f>IF(A510="","",MONTH(A510))</f>
        <v>7</v>
      </c>
      <c r="O510" s="30">
        <f>IF(A510="","",YEAR(A510))</f>
        <v>2026</v>
      </c>
      <c r="P510" s="30" t="str">
        <f>IF(A510="","",CHOOSE(WEEKDAY(A510,2),"Segunda","Terça","Quarta","Quinta","Sexta","Sábado","Domingo"))</f>
        <v>Quarta</v>
      </c>
      <c r="Q510" s="30" t="str">
        <f>IF(B510="","",IF(B510&lt;TIME(12,0,0),"Manhã",IF(B510&lt;TIME(18,0,0),"Tarde","Noite")))</f>
        <v>Tarde</v>
      </c>
      <c r="R510" s="46">
        <f>IF(AND(H510="Realizado",L510&lt;&gt;"",A510&lt;=Config!$B$9),L510/60,0)</f>
        <v>0.5</v>
      </c>
      <c r="S510" s="45">
        <f>IF(G510="","",IFERROR(INDEX(Config!$K$5:$K$16,MATCH(G510,Config!$J$5:$J$16,0)),""))</f>
        <v>30</v>
      </c>
      <c r="T510" s="31">
        <f>IF(OR(G510="",F510=""),"",IFERROR(INDEX(Config!$M$5:$R$16,MATCH(G510,Config!$J$5:$J$16,0),MATCH(F510,Config!$H$5:$H$10,0)),""))</f>
        <v>380</v>
      </c>
      <c r="U510" s="47">
        <f>IF(AND(H510="Realizado",L510&lt;&gt;""),L510/60,0)</f>
        <v>0.5</v>
      </c>
      <c r="V510" s="47">
        <f>IF(AND(H510="Realizado",OR(L510="",M510="")),1,0)</f>
        <v>0</v>
      </c>
    </row>
    <row r="511">
      <c r="A511" s="43" t="n">
        <v>46225</v>
      </c>
      <c r="B511" s="44" t="n">
        <v>0.625</v>
      </c>
      <c r="C511" s="38" t="inlineStr">
        <is>
          <t>Dra. Carolina Mendes</t>
        </is>
      </c>
      <c r="D511" s="38" t="inlineStr">
        <is>
          <t>Sala 1</t>
        </is>
      </c>
      <c r="E511" s="37" t="inlineStr">
        <is>
          <t>Roberta Araújo</t>
        </is>
      </c>
      <c r="F511" s="38" t="inlineStr">
        <is>
          <t>Particular</t>
        </is>
      </c>
      <c r="G511" s="38" t="inlineStr">
        <is>
          <t>Consulta</t>
        </is>
      </c>
      <c r="H511" s="38" t="inlineStr">
        <is>
          <t>Realizado</t>
        </is>
      </c>
      <c r="I511" s="38" t="inlineStr">
        <is>
          <t>Pix</t>
        </is>
      </c>
      <c r="J511" s="38" t="n"/>
      <c r="K511" s="37" t="n"/>
      <c r="L511" s="39" t="n">
        <v>30</v>
      </c>
      <c r="M511" s="40" t="n">
        <v>380</v>
      </c>
      <c r="N511" s="30">
        <f>IF(A511="","",MONTH(A511))</f>
        <v>7</v>
      </c>
      <c r="O511" s="30">
        <f>IF(A511="","",YEAR(A511))</f>
        <v>2026</v>
      </c>
      <c r="P511" s="30" t="str">
        <f>IF(A511="","",CHOOSE(WEEKDAY(A511,2),"Segunda","Terça","Quarta","Quinta","Sexta","Sábado","Domingo"))</f>
        <v>Quarta</v>
      </c>
      <c r="Q511" s="30" t="str">
        <f>IF(B511="","",IF(B511&lt;TIME(12,0,0),"Manhã",IF(B511&lt;TIME(18,0,0),"Tarde","Noite")))</f>
        <v>Tarde</v>
      </c>
      <c r="R511" s="46">
        <f>IF(AND(H511="Realizado",L511&lt;&gt;"",A511&lt;=Config!$B$9),L511/60,0)</f>
        <v>0.5</v>
      </c>
      <c r="S511" s="45">
        <f>IF(G511="","",IFERROR(INDEX(Config!$K$5:$K$16,MATCH(G511,Config!$J$5:$J$16,0)),""))</f>
        <v>30</v>
      </c>
      <c r="T511" s="31">
        <f>IF(OR(G511="",F511=""),"",IFERROR(INDEX(Config!$M$5:$R$16,MATCH(G511,Config!$J$5:$J$16,0),MATCH(F511,Config!$H$5:$H$10,0)),""))</f>
        <v>380</v>
      </c>
      <c r="U511" s="47">
        <f>IF(AND(H511="Realizado",L511&lt;&gt;""),L511/60,0)</f>
        <v>0.5</v>
      </c>
      <c r="V511" s="47">
        <f>IF(AND(H511="Realizado",OR(L511="",M511="")),1,0)</f>
        <v>0</v>
      </c>
    </row>
    <row r="512">
      <c r="A512" s="43" t="n">
        <v>46225</v>
      </c>
      <c r="B512" s="44" t="n">
        <v>0.6458333333333334</v>
      </c>
      <c r="C512" s="38" t="inlineStr">
        <is>
          <t>Dra. Carolina Mendes</t>
        </is>
      </c>
      <c r="D512" s="38" t="inlineStr">
        <is>
          <t>Sala 1</t>
        </is>
      </c>
      <c r="E512" s="37" t="inlineStr">
        <is>
          <t>Marcelo Santos</t>
        </is>
      </c>
      <c r="F512" s="38" t="inlineStr">
        <is>
          <t>Particular</t>
        </is>
      </c>
      <c r="G512" s="38" t="inlineStr">
        <is>
          <t>Consulta</t>
        </is>
      </c>
      <c r="H512" s="38" t="inlineStr">
        <is>
          <t>Realizado</t>
        </is>
      </c>
      <c r="I512" s="38" t="inlineStr">
        <is>
          <t>Cartão de crédito</t>
        </is>
      </c>
      <c r="J512" s="38" t="n"/>
      <c r="K512" s="37" t="n"/>
      <c r="L512" s="39" t="n">
        <v>30</v>
      </c>
      <c r="M512" s="40" t="n">
        <v>380</v>
      </c>
      <c r="N512" s="30">
        <f>IF(A512="","",MONTH(A512))</f>
        <v>7</v>
      </c>
      <c r="O512" s="30">
        <f>IF(A512="","",YEAR(A512))</f>
        <v>2026</v>
      </c>
      <c r="P512" s="30" t="str">
        <f>IF(A512="","",CHOOSE(WEEKDAY(A512,2),"Segunda","Terça","Quarta","Quinta","Sexta","Sábado","Domingo"))</f>
        <v>Quarta</v>
      </c>
      <c r="Q512" s="30" t="str">
        <f>IF(B512="","",IF(B512&lt;TIME(12,0,0),"Manhã",IF(B512&lt;TIME(18,0,0),"Tarde","Noite")))</f>
        <v>Tarde</v>
      </c>
      <c r="R512" s="46">
        <f>IF(AND(H512="Realizado",L512&lt;&gt;"",A512&lt;=Config!$B$9),L512/60,0)</f>
        <v>0.5</v>
      </c>
      <c r="S512" s="45">
        <f>IF(G512="","",IFERROR(INDEX(Config!$K$5:$K$16,MATCH(G512,Config!$J$5:$J$16,0)),""))</f>
        <v>30</v>
      </c>
      <c r="T512" s="31">
        <f>IF(OR(G512="",F512=""),"",IFERROR(INDEX(Config!$M$5:$R$16,MATCH(G512,Config!$J$5:$J$16,0),MATCH(F512,Config!$H$5:$H$10,0)),""))</f>
        <v>380</v>
      </c>
      <c r="U512" s="47">
        <f>IF(AND(H512="Realizado",L512&lt;&gt;""),L512/60,0)</f>
        <v>0.5</v>
      </c>
      <c r="V512" s="47">
        <f>IF(AND(H512="Realizado",OR(L512="",M512="")),1,0)</f>
        <v>0</v>
      </c>
    </row>
    <row r="513">
      <c r="A513" s="43" t="n">
        <v>46225</v>
      </c>
      <c r="B513" s="44" t="n">
        <v>0.6666666666666666</v>
      </c>
      <c r="C513" s="38" t="inlineStr">
        <is>
          <t>Dra. Carolina Mendes</t>
        </is>
      </c>
      <c r="D513" s="38" t="inlineStr">
        <is>
          <t>Sala 1</t>
        </is>
      </c>
      <c r="E513" s="37" t="inlineStr">
        <is>
          <t>Eduardo Nunes</t>
        </is>
      </c>
      <c r="F513" s="38" t="inlineStr">
        <is>
          <t>MediPlan</t>
        </is>
      </c>
      <c r="G513" s="38" t="inlineStr">
        <is>
          <t>Consulta</t>
        </is>
      </c>
      <c r="H513" s="38" t="inlineStr">
        <is>
          <t>Realizado</t>
        </is>
      </c>
      <c r="I513" s="38" t="inlineStr">
        <is>
          <t>Convênio</t>
        </is>
      </c>
      <c r="J513" s="38" t="n"/>
      <c r="K513" s="37" t="n"/>
      <c r="L513" s="39" t="n">
        <v>30</v>
      </c>
      <c r="M513" s="40" t="n">
        <v>100</v>
      </c>
      <c r="N513" s="30">
        <f>IF(A513="","",MONTH(A513))</f>
        <v>7</v>
      </c>
      <c r="O513" s="30">
        <f>IF(A513="","",YEAR(A513))</f>
        <v>2026</v>
      </c>
      <c r="P513" s="30" t="str">
        <f>IF(A513="","",CHOOSE(WEEKDAY(A513,2),"Segunda","Terça","Quarta","Quinta","Sexta","Sábado","Domingo"))</f>
        <v>Quarta</v>
      </c>
      <c r="Q513" s="30" t="str">
        <f>IF(B513="","",IF(B513&lt;TIME(12,0,0),"Manhã",IF(B513&lt;TIME(18,0,0),"Tarde","Noite")))</f>
        <v>Tarde</v>
      </c>
      <c r="R513" s="46">
        <f>IF(AND(H513="Realizado",L513&lt;&gt;"",A513&lt;=Config!$B$9),L513/60,0)</f>
        <v>0.5</v>
      </c>
      <c r="S513" s="45">
        <f>IF(G513="","",IFERROR(INDEX(Config!$K$5:$K$16,MATCH(G513,Config!$J$5:$J$16,0)),""))</f>
        <v>30</v>
      </c>
      <c r="T513" s="31">
        <f>IF(OR(G513="",F513=""),"",IFERROR(INDEX(Config!$M$5:$R$16,MATCH(G513,Config!$J$5:$J$16,0),MATCH(F513,Config!$H$5:$H$10,0)),""))</f>
        <v>100</v>
      </c>
      <c r="U513" s="47">
        <f>IF(AND(H513="Realizado",L513&lt;&gt;""),L513/60,0)</f>
        <v>0.5</v>
      </c>
      <c r="V513" s="47">
        <f>IF(AND(H513="Realizado",OR(L513="",M513="")),1,0)</f>
        <v>0</v>
      </c>
    </row>
    <row r="514">
      <c r="A514" s="43" t="n">
        <v>46225</v>
      </c>
      <c r="B514" s="44" t="n">
        <v>0.6875</v>
      </c>
      <c r="C514" s="38" t="inlineStr">
        <is>
          <t>Dra. Carolina Mendes</t>
        </is>
      </c>
      <c r="D514" s="38" t="inlineStr">
        <is>
          <t>Sala 1</t>
        </is>
      </c>
      <c r="E514" s="37" t="inlineStr">
        <is>
          <t>Mônica Martins</t>
        </is>
      </c>
      <c r="F514" s="38" t="inlineStr">
        <is>
          <t>Particular</t>
        </is>
      </c>
      <c r="G514" s="38" t="inlineStr">
        <is>
          <t>Consulta</t>
        </is>
      </c>
      <c r="H514" s="38" t="inlineStr">
        <is>
          <t>Realizado</t>
        </is>
      </c>
      <c r="I514" s="38" t="inlineStr">
        <is>
          <t>Cartão de crédito</t>
        </is>
      </c>
      <c r="J514" s="38" t="n"/>
      <c r="K514" s="37" t="n"/>
      <c r="L514" s="39" t="n">
        <v>30</v>
      </c>
      <c r="M514" s="40" t="n">
        <v>380</v>
      </c>
      <c r="N514" s="30">
        <f>IF(A514="","",MONTH(A514))</f>
        <v>7</v>
      </c>
      <c r="O514" s="30">
        <f>IF(A514="","",YEAR(A514))</f>
        <v>2026</v>
      </c>
      <c r="P514" s="30" t="str">
        <f>IF(A514="","",CHOOSE(WEEKDAY(A514,2),"Segunda","Terça","Quarta","Quinta","Sexta","Sábado","Domingo"))</f>
        <v>Quarta</v>
      </c>
      <c r="Q514" s="30" t="str">
        <f>IF(B514="","",IF(B514&lt;TIME(12,0,0),"Manhã",IF(B514&lt;TIME(18,0,0),"Tarde","Noite")))</f>
        <v>Tarde</v>
      </c>
      <c r="R514" s="46">
        <f>IF(AND(H514="Realizado",L514&lt;&gt;"",A514&lt;=Config!$B$9),L514/60,0)</f>
        <v>0.5</v>
      </c>
      <c r="S514" s="45">
        <f>IF(G514="","",IFERROR(INDEX(Config!$K$5:$K$16,MATCH(G514,Config!$J$5:$J$16,0)),""))</f>
        <v>30</v>
      </c>
      <c r="T514" s="31">
        <f>IF(OR(G514="",F514=""),"",IFERROR(INDEX(Config!$M$5:$R$16,MATCH(G514,Config!$J$5:$J$16,0),MATCH(F514,Config!$H$5:$H$10,0)),""))</f>
        <v>380</v>
      </c>
      <c r="U514" s="47">
        <f>IF(AND(H514="Realizado",L514&lt;&gt;""),L514/60,0)</f>
        <v>0.5</v>
      </c>
      <c r="V514" s="47">
        <f>IF(AND(H514="Realizado",OR(L514="",M514="")),1,0)</f>
        <v>0</v>
      </c>
    </row>
    <row r="515">
      <c r="A515" s="43" t="n">
        <v>46225</v>
      </c>
      <c r="B515" s="44" t="n">
        <v>0.7083333333333334</v>
      </c>
      <c r="C515" s="38" t="inlineStr">
        <is>
          <t>Dra. Carolina Mendes</t>
        </is>
      </c>
      <c r="D515" s="38" t="inlineStr">
        <is>
          <t>Sala 1</t>
        </is>
      </c>
      <c r="E515" s="37" t="inlineStr">
        <is>
          <t>Débora Ramos</t>
        </is>
      </c>
      <c r="F515" s="38" t="inlineStr">
        <is>
          <t>Particular</t>
        </is>
      </c>
      <c r="G515" s="38" t="inlineStr">
        <is>
          <t>Consulta</t>
        </is>
      </c>
      <c r="H515" s="38" t="inlineStr">
        <is>
          <t>Realizado</t>
        </is>
      </c>
      <c r="I515" s="38" t="inlineStr">
        <is>
          <t>Pix</t>
        </is>
      </c>
      <c r="J515" s="38" t="n"/>
      <c r="K515" s="37" t="n"/>
      <c r="L515" s="39" t="n">
        <v>30</v>
      </c>
      <c r="M515" s="40" t="n">
        <v>380</v>
      </c>
      <c r="N515" s="30">
        <f>IF(A515="","",MONTH(A515))</f>
        <v>7</v>
      </c>
      <c r="O515" s="30">
        <f>IF(A515="","",YEAR(A515))</f>
        <v>2026</v>
      </c>
      <c r="P515" s="30" t="str">
        <f>IF(A515="","",CHOOSE(WEEKDAY(A515,2),"Segunda","Terça","Quarta","Quinta","Sexta","Sábado","Domingo"))</f>
        <v>Quarta</v>
      </c>
      <c r="Q515" s="30" t="str">
        <f>IF(B515="","",IF(B515&lt;TIME(12,0,0),"Manhã",IF(B515&lt;TIME(18,0,0),"Tarde","Noite")))</f>
        <v>Tarde</v>
      </c>
      <c r="R515" s="46">
        <f>IF(AND(H515="Realizado",L515&lt;&gt;"",A515&lt;=Config!$B$9),L515/60,0)</f>
        <v>0.5</v>
      </c>
      <c r="S515" s="45">
        <f>IF(G515="","",IFERROR(INDEX(Config!$K$5:$K$16,MATCH(G515,Config!$J$5:$J$16,0)),""))</f>
        <v>30</v>
      </c>
      <c r="T515" s="31">
        <f>IF(OR(G515="",F515=""),"",IFERROR(INDEX(Config!$M$5:$R$16,MATCH(G515,Config!$J$5:$J$16,0),MATCH(F515,Config!$H$5:$H$10,0)),""))</f>
        <v>380</v>
      </c>
      <c r="U515" s="47">
        <f>IF(AND(H515="Realizado",L515&lt;&gt;""),L515/60,0)</f>
        <v>0.5</v>
      </c>
      <c r="V515" s="47">
        <f>IF(AND(H515="Realizado",OR(L515="",M515="")),1,0)</f>
        <v>0</v>
      </c>
    </row>
    <row r="516">
      <c r="A516" s="43" t="n">
        <v>46225</v>
      </c>
      <c r="B516" s="44" t="n">
        <v>0.7291666666666666</v>
      </c>
      <c r="C516" s="38" t="inlineStr">
        <is>
          <t>Dra. Carolina Mendes</t>
        </is>
      </c>
      <c r="D516" s="38" t="inlineStr">
        <is>
          <t>Sala 1</t>
        </is>
      </c>
      <c r="E516" s="37" t="inlineStr">
        <is>
          <t>Gustavo Ferreira</t>
        </is>
      </c>
      <c r="F516" s="38" t="inlineStr">
        <is>
          <t>Particular</t>
        </is>
      </c>
      <c r="G516" s="38" t="inlineStr">
        <is>
          <t>Consulta</t>
        </is>
      </c>
      <c r="H516" s="38" t="inlineStr">
        <is>
          <t>Realizado</t>
        </is>
      </c>
      <c r="I516" s="38" t="inlineStr">
        <is>
          <t>A prazo</t>
        </is>
      </c>
      <c r="J516" s="38" t="n"/>
      <c r="K516" s="37" t="n"/>
      <c r="L516" s="39" t="n">
        <v>30</v>
      </c>
      <c r="M516" s="40" t="n">
        <v>380</v>
      </c>
      <c r="N516" s="30">
        <f>IF(A516="","",MONTH(A516))</f>
        <v>7</v>
      </c>
      <c r="O516" s="30">
        <f>IF(A516="","",YEAR(A516))</f>
        <v>2026</v>
      </c>
      <c r="P516" s="30" t="str">
        <f>IF(A516="","",CHOOSE(WEEKDAY(A516,2),"Segunda","Terça","Quarta","Quinta","Sexta","Sábado","Domingo"))</f>
        <v>Quarta</v>
      </c>
      <c r="Q516" s="30" t="str">
        <f>IF(B516="","",IF(B516&lt;TIME(12,0,0),"Manhã",IF(B516&lt;TIME(18,0,0),"Tarde","Noite")))</f>
        <v>Tarde</v>
      </c>
      <c r="R516" s="46">
        <f>IF(AND(H516="Realizado",L516&lt;&gt;"",A516&lt;=Config!$B$9),L516/60,0)</f>
        <v>0.5</v>
      </c>
      <c r="S516" s="45">
        <f>IF(G516="","",IFERROR(INDEX(Config!$K$5:$K$16,MATCH(G516,Config!$J$5:$J$16,0)),""))</f>
        <v>30</v>
      </c>
      <c r="T516" s="31">
        <f>IF(OR(G516="",F516=""),"",IFERROR(INDEX(Config!$M$5:$R$16,MATCH(G516,Config!$J$5:$J$16,0),MATCH(F516,Config!$H$5:$H$10,0)),""))</f>
        <v>380</v>
      </c>
      <c r="U516" s="47">
        <f>IF(AND(H516="Realizado",L516&lt;&gt;""),L516/60,0)</f>
        <v>0.5</v>
      </c>
      <c r="V516" s="47">
        <f>IF(AND(H516="Realizado",OR(L516="",M516="")),1,0)</f>
        <v>0</v>
      </c>
    </row>
    <row r="517">
      <c r="A517" s="43" t="n">
        <v>46226</v>
      </c>
      <c r="B517" s="44" t="n">
        <v>0.3333333333333333</v>
      </c>
      <c r="C517" s="38" t="inlineStr">
        <is>
          <t>Dra. Carolina Mendes</t>
        </is>
      </c>
      <c r="D517" s="38" t="inlineStr">
        <is>
          <t>Sala 1</t>
        </is>
      </c>
      <c r="E517" s="37" t="inlineStr">
        <is>
          <t>Mariana Nascimento</t>
        </is>
      </c>
      <c r="F517" s="38" t="inlineStr">
        <is>
          <t>Particular</t>
        </is>
      </c>
      <c r="G517" s="38" t="inlineStr">
        <is>
          <t>Consulta</t>
        </is>
      </c>
      <c r="H517" s="38" t="inlineStr">
        <is>
          <t>Realizado</t>
        </is>
      </c>
      <c r="I517" s="38" t="inlineStr">
        <is>
          <t>Cartão de débito</t>
        </is>
      </c>
      <c r="J517" s="38" t="n"/>
      <c r="K517" s="37" t="n"/>
      <c r="L517" s="39" t="n">
        <v>30</v>
      </c>
      <c r="M517" s="40" t="n">
        <v>380</v>
      </c>
      <c r="N517" s="30">
        <f>IF(A517="","",MONTH(A517))</f>
        <v>7</v>
      </c>
      <c r="O517" s="30">
        <f>IF(A517="","",YEAR(A517))</f>
        <v>2026</v>
      </c>
      <c r="P517" s="30" t="str">
        <f>IF(A517="","",CHOOSE(WEEKDAY(A517,2),"Segunda","Terça","Quarta","Quinta","Sexta","Sábado","Domingo"))</f>
        <v>Quinta</v>
      </c>
      <c r="Q517" s="30" t="str">
        <f>IF(B517="","",IF(B517&lt;TIME(12,0,0),"Manhã",IF(B517&lt;TIME(18,0,0),"Tarde","Noite")))</f>
        <v>Manhã</v>
      </c>
      <c r="R517" s="46">
        <f>IF(AND(H517="Realizado",L517&lt;&gt;"",A517&lt;=Config!$B$9),L517/60,0)</f>
        <v>0.5</v>
      </c>
      <c r="S517" s="45">
        <f>IF(G517="","",IFERROR(INDEX(Config!$K$5:$K$16,MATCH(G517,Config!$J$5:$J$16,0)),""))</f>
        <v>30</v>
      </c>
      <c r="T517" s="31">
        <f>IF(OR(G517="",F517=""),"",IFERROR(INDEX(Config!$M$5:$R$16,MATCH(G517,Config!$J$5:$J$16,0),MATCH(F517,Config!$H$5:$H$10,0)),""))</f>
        <v>380</v>
      </c>
      <c r="U517" s="47">
        <f>IF(AND(H517="Realizado",L517&lt;&gt;""),L517/60,0)</f>
        <v>0.5</v>
      </c>
      <c r="V517" s="47">
        <f>IF(AND(H517="Realizado",OR(L517="",M517="")),1,0)</f>
        <v>0</v>
      </c>
    </row>
    <row r="518">
      <c r="A518" s="43" t="n">
        <v>46226</v>
      </c>
      <c r="B518" s="44" t="n">
        <v>0.3541666666666667</v>
      </c>
      <c r="C518" s="38" t="inlineStr">
        <is>
          <t>Dra. Carolina Mendes</t>
        </is>
      </c>
      <c r="D518" s="38" t="inlineStr">
        <is>
          <t>Sala 1</t>
        </is>
      </c>
      <c r="E518" s="37" t="inlineStr">
        <is>
          <t>Eduardo Reis</t>
        </is>
      </c>
      <c r="F518" s="38" t="inlineStr">
        <is>
          <t>Vida Care</t>
        </is>
      </c>
      <c r="G518" s="38" t="inlineStr">
        <is>
          <t>Consulta</t>
        </is>
      </c>
      <c r="H518" s="38" t="inlineStr">
        <is>
          <t>Realizado</t>
        </is>
      </c>
      <c r="I518" s="38" t="inlineStr">
        <is>
          <t>Convênio</t>
        </is>
      </c>
      <c r="J518" s="38" t="n"/>
      <c r="K518" s="37" t="n"/>
      <c r="L518" s="39" t="n">
        <v>30</v>
      </c>
      <c r="M518" s="40" t="n">
        <v>90</v>
      </c>
      <c r="N518" s="30">
        <f>IF(A518="","",MONTH(A518))</f>
        <v>7</v>
      </c>
      <c r="O518" s="30">
        <f>IF(A518="","",YEAR(A518))</f>
        <v>2026</v>
      </c>
      <c r="P518" s="30" t="str">
        <f>IF(A518="","",CHOOSE(WEEKDAY(A518,2),"Segunda","Terça","Quarta","Quinta","Sexta","Sábado","Domingo"))</f>
        <v>Quinta</v>
      </c>
      <c r="Q518" s="30" t="str">
        <f>IF(B518="","",IF(B518&lt;TIME(12,0,0),"Manhã",IF(B518&lt;TIME(18,0,0),"Tarde","Noite")))</f>
        <v>Manhã</v>
      </c>
      <c r="R518" s="46">
        <f>IF(AND(H518="Realizado",L518&lt;&gt;"",A518&lt;=Config!$B$9),L518/60,0)</f>
        <v>0.5</v>
      </c>
      <c r="S518" s="45">
        <f>IF(G518="","",IFERROR(INDEX(Config!$K$5:$K$16,MATCH(G518,Config!$J$5:$J$16,0)),""))</f>
        <v>30</v>
      </c>
      <c r="T518" s="31">
        <f>IF(OR(G518="",F518=""),"",IFERROR(INDEX(Config!$M$5:$R$16,MATCH(G518,Config!$J$5:$J$16,0),MATCH(F518,Config!$H$5:$H$10,0)),""))</f>
        <v>90</v>
      </c>
      <c r="U518" s="47">
        <f>IF(AND(H518="Realizado",L518&lt;&gt;""),L518/60,0)</f>
        <v>0.5</v>
      </c>
      <c r="V518" s="47">
        <f>IF(AND(H518="Realizado",OR(L518="",M518="")),1,0)</f>
        <v>0</v>
      </c>
    </row>
    <row r="519">
      <c r="A519" s="43" t="n">
        <v>46226</v>
      </c>
      <c r="B519" s="44" t="n">
        <v>0.375</v>
      </c>
      <c r="C519" s="38" t="inlineStr">
        <is>
          <t>Dra. Carolina Mendes</t>
        </is>
      </c>
      <c r="D519" s="38" t="inlineStr">
        <is>
          <t>Sala 1</t>
        </is>
      </c>
      <c r="E519" s="37" t="inlineStr">
        <is>
          <t>Letícia Vieira</t>
        </is>
      </c>
      <c r="F519" s="38" t="inlineStr">
        <is>
          <t>Saúde Total</t>
        </is>
      </c>
      <c r="G519" s="38" t="inlineStr">
        <is>
          <t>Consulta</t>
        </is>
      </c>
      <c r="H519" s="38" t="inlineStr">
        <is>
          <t>Realizado</t>
        </is>
      </c>
      <c r="I519" s="38" t="inlineStr">
        <is>
          <t>Convênio</t>
        </is>
      </c>
      <c r="J519" s="38" t="n"/>
      <c r="K519" s="37" t="n"/>
      <c r="L519" s="39" t="n">
        <v>30</v>
      </c>
      <c r="M519" s="40" t="n">
        <v>120</v>
      </c>
      <c r="N519" s="30">
        <f>IF(A519="","",MONTH(A519))</f>
        <v>7</v>
      </c>
      <c r="O519" s="30">
        <f>IF(A519="","",YEAR(A519))</f>
        <v>2026</v>
      </c>
      <c r="P519" s="30" t="str">
        <f>IF(A519="","",CHOOSE(WEEKDAY(A519,2),"Segunda","Terça","Quarta","Quinta","Sexta","Sábado","Domingo"))</f>
        <v>Quinta</v>
      </c>
      <c r="Q519" s="30" t="str">
        <f>IF(B519="","",IF(B519&lt;TIME(12,0,0),"Manhã",IF(B519&lt;TIME(18,0,0),"Tarde","Noite")))</f>
        <v>Manhã</v>
      </c>
      <c r="R519" s="46">
        <f>IF(AND(H519="Realizado",L519&lt;&gt;"",A519&lt;=Config!$B$9),L519/60,0)</f>
        <v>0.5</v>
      </c>
      <c r="S519" s="45">
        <f>IF(G519="","",IFERROR(INDEX(Config!$K$5:$K$16,MATCH(G519,Config!$J$5:$J$16,0)),""))</f>
        <v>30</v>
      </c>
      <c r="T519" s="31">
        <f>IF(OR(G519="",F519=""),"",IFERROR(INDEX(Config!$M$5:$R$16,MATCH(G519,Config!$J$5:$J$16,0),MATCH(F519,Config!$H$5:$H$10,0)),""))</f>
        <v>120</v>
      </c>
      <c r="U519" s="47">
        <f>IF(AND(H519="Realizado",L519&lt;&gt;""),L519/60,0)</f>
        <v>0.5</v>
      </c>
      <c r="V519" s="47">
        <f>IF(AND(H519="Realizado",OR(L519="",M519="")),1,0)</f>
        <v>0</v>
      </c>
    </row>
    <row r="520">
      <c r="A520" s="43" t="n">
        <v>46226</v>
      </c>
      <c r="B520" s="44" t="n">
        <v>0.3958333333333333</v>
      </c>
      <c r="C520" s="38" t="inlineStr">
        <is>
          <t>Dra. Carolina Mendes</t>
        </is>
      </c>
      <c r="D520" s="38" t="inlineStr">
        <is>
          <t>Sala 1</t>
        </is>
      </c>
      <c r="E520" s="37" t="inlineStr">
        <is>
          <t>Elaine Cardoso</t>
        </is>
      </c>
      <c r="F520" s="38" t="inlineStr">
        <is>
          <t>Particular</t>
        </is>
      </c>
      <c r="G520" s="38" t="inlineStr">
        <is>
          <t>Consulta</t>
        </is>
      </c>
      <c r="H520" s="38" t="inlineStr">
        <is>
          <t>Realizado</t>
        </is>
      </c>
      <c r="I520" s="38" t="inlineStr">
        <is>
          <t>Pix</t>
        </is>
      </c>
      <c r="J520" s="38" t="n"/>
      <c r="K520" s="37" t="n"/>
      <c r="L520" s="39" t="n">
        <v>30</v>
      </c>
      <c r="M520" s="40" t="n">
        <v>380</v>
      </c>
      <c r="N520" s="30">
        <f>IF(A520="","",MONTH(A520))</f>
        <v>7</v>
      </c>
      <c r="O520" s="30">
        <f>IF(A520="","",YEAR(A520))</f>
        <v>2026</v>
      </c>
      <c r="P520" s="30" t="str">
        <f>IF(A520="","",CHOOSE(WEEKDAY(A520,2),"Segunda","Terça","Quarta","Quinta","Sexta","Sábado","Domingo"))</f>
        <v>Quinta</v>
      </c>
      <c r="Q520" s="30" t="str">
        <f>IF(B520="","",IF(B520&lt;TIME(12,0,0),"Manhã",IF(B520&lt;TIME(18,0,0),"Tarde","Noite")))</f>
        <v>Manhã</v>
      </c>
      <c r="R520" s="46">
        <f>IF(AND(H520="Realizado",L520&lt;&gt;"",A520&lt;=Config!$B$9),L520/60,0)</f>
        <v>0.5</v>
      </c>
      <c r="S520" s="45">
        <f>IF(G520="","",IFERROR(INDEX(Config!$K$5:$K$16,MATCH(G520,Config!$J$5:$J$16,0)),""))</f>
        <v>30</v>
      </c>
      <c r="T520" s="31">
        <f>IF(OR(G520="",F520=""),"",IFERROR(INDEX(Config!$M$5:$R$16,MATCH(G520,Config!$J$5:$J$16,0),MATCH(F520,Config!$H$5:$H$10,0)),""))</f>
        <v>380</v>
      </c>
      <c r="U520" s="47">
        <f>IF(AND(H520="Realizado",L520&lt;&gt;""),L520/60,0)</f>
        <v>0.5</v>
      </c>
      <c r="V520" s="47">
        <f>IF(AND(H520="Realizado",OR(L520="",M520="")),1,0)</f>
        <v>0</v>
      </c>
    </row>
    <row r="521">
      <c r="A521" s="43" t="n">
        <v>46226</v>
      </c>
      <c r="B521" s="44" t="n">
        <v>0.4375</v>
      </c>
      <c r="C521" s="38" t="inlineStr">
        <is>
          <t>Dra. Carolina Mendes</t>
        </is>
      </c>
      <c r="D521" s="38" t="inlineStr">
        <is>
          <t>Sala 1</t>
        </is>
      </c>
      <c r="E521" s="37" t="inlineStr">
        <is>
          <t>Priscila Castro</t>
        </is>
      </c>
      <c r="F521" s="38" t="inlineStr">
        <is>
          <t>Saúde Total</t>
        </is>
      </c>
      <c r="G521" s="38" t="inlineStr">
        <is>
          <t>Consulta</t>
        </is>
      </c>
      <c r="H521" s="38" t="inlineStr">
        <is>
          <t>Falta</t>
        </is>
      </c>
      <c r="I521" s="38" t="n"/>
      <c r="J521" s="38" t="n"/>
      <c r="K521" s="37" t="n"/>
      <c r="L521" s="39" t="n">
        <v>30</v>
      </c>
      <c r="M521" s="40" t="n">
        <v>120</v>
      </c>
      <c r="N521" s="30">
        <f>IF(A521="","",MONTH(A521))</f>
        <v>7</v>
      </c>
      <c r="O521" s="30">
        <f>IF(A521="","",YEAR(A521))</f>
        <v>2026</v>
      </c>
      <c r="P521" s="30" t="str">
        <f>IF(A521="","",CHOOSE(WEEKDAY(A521,2),"Segunda","Terça","Quarta","Quinta","Sexta","Sábado","Domingo"))</f>
        <v>Quinta</v>
      </c>
      <c r="Q521" s="30" t="str">
        <f>IF(B521="","",IF(B521&lt;TIME(12,0,0),"Manhã",IF(B521&lt;TIME(18,0,0),"Tarde","Noite")))</f>
        <v>Manhã</v>
      </c>
      <c r="R521" s="46">
        <f>IF(AND(H521="Realizado",L521&lt;&gt;"",A521&lt;=Config!$B$9),L521/60,0)</f>
        <v>0</v>
      </c>
      <c r="S521" s="45">
        <f>IF(G521="","",IFERROR(INDEX(Config!$K$5:$K$16,MATCH(G521,Config!$J$5:$J$16,0)),""))</f>
        <v>30</v>
      </c>
      <c r="T521" s="31">
        <f>IF(OR(G521="",F521=""),"",IFERROR(INDEX(Config!$M$5:$R$16,MATCH(G521,Config!$J$5:$J$16,0),MATCH(F521,Config!$H$5:$H$10,0)),""))</f>
        <v>120</v>
      </c>
      <c r="U521" s="47">
        <f>IF(AND(H521="Realizado",L521&lt;&gt;""),L521/60,0)</f>
        <v>0</v>
      </c>
      <c r="V521" s="47">
        <f>IF(AND(H521="Realizado",OR(L521="",M521="")),1,0)</f>
        <v>0</v>
      </c>
    </row>
    <row r="522">
      <c r="A522" s="43" t="n">
        <v>46226</v>
      </c>
      <c r="B522" s="44" t="n">
        <v>0.4583333333333333</v>
      </c>
      <c r="C522" s="38" t="inlineStr">
        <is>
          <t>Dra. Carolina Mendes</t>
        </is>
      </c>
      <c r="D522" s="38" t="inlineStr">
        <is>
          <t>Sala 1</t>
        </is>
      </c>
      <c r="E522" s="37" t="inlineStr">
        <is>
          <t>Otávio Cardoso</t>
        </is>
      </c>
      <c r="F522" s="38" t="inlineStr">
        <is>
          <t>Particular</t>
        </is>
      </c>
      <c r="G522" s="38" t="inlineStr">
        <is>
          <t>Consulta</t>
        </is>
      </c>
      <c r="H522" s="38" t="inlineStr">
        <is>
          <t>Realizado</t>
        </is>
      </c>
      <c r="I522" s="38" t="inlineStr">
        <is>
          <t>Cartão de crédito</t>
        </is>
      </c>
      <c r="J522" s="38" t="n">
        <v>2</v>
      </c>
      <c r="K522" s="37" t="n"/>
      <c r="L522" s="39" t="n">
        <v>30</v>
      </c>
      <c r="M522" s="40" t="n">
        <v>380</v>
      </c>
      <c r="N522" s="30">
        <f>IF(A522="","",MONTH(A522))</f>
        <v>7</v>
      </c>
      <c r="O522" s="30">
        <f>IF(A522="","",YEAR(A522))</f>
        <v>2026</v>
      </c>
      <c r="P522" s="30" t="str">
        <f>IF(A522="","",CHOOSE(WEEKDAY(A522,2),"Segunda","Terça","Quarta","Quinta","Sexta","Sábado","Domingo"))</f>
        <v>Quinta</v>
      </c>
      <c r="Q522" s="30" t="str">
        <f>IF(B522="","",IF(B522&lt;TIME(12,0,0),"Manhã",IF(B522&lt;TIME(18,0,0),"Tarde","Noite")))</f>
        <v>Manhã</v>
      </c>
      <c r="R522" s="46">
        <f>IF(AND(H522="Realizado",L522&lt;&gt;"",A522&lt;=Config!$B$9),L522/60,0)</f>
        <v>0.5</v>
      </c>
      <c r="S522" s="45">
        <f>IF(G522="","",IFERROR(INDEX(Config!$K$5:$K$16,MATCH(G522,Config!$J$5:$J$16,0)),""))</f>
        <v>30</v>
      </c>
      <c r="T522" s="31">
        <f>IF(OR(G522="",F522=""),"",IFERROR(INDEX(Config!$M$5:$R$16,MATCH(G522,Config!$J$5:$J$16,0),MATCH(F522,Config!$H$5:$H$10,0)),""))</f>
        <v>380</v>
      </c>
      <c r="U522" s="47">
        <f>IF(AND(H522="Realizado",L522&lt;&gt;""),L522/60,0)</f>
        <v>0.5</v>
      </c>
      <c r="V522" s="47">
        <f>IF(AND(H522="Realizado",OR(L522="",M522="")),1,0)</f>
        <v>0</v>
      </c>
    </row>
    <row r="523">
      <c r="A523" s="43" t="n">
        <v>46226</v>
      </c>
      <c r="B523" s="44" t="n">
        <v>0.4791666666666667</v>
      </c>
      <c r="C523" s="38" t="inlineStr">
        <is>
          <t>Dra. Carolina Mendes</t>
        </is>
      </c>
      <c r="D523" s="38" t="inlineStr">
        <is>
          <t>Sala 1</t>
        </is>
      </c>
      <c r="E523" s="37" t="inlineStr">
        <is>
          <t>Helena Moreira</t>
        </is>
      </c>
      <c r="F523" s="38" t="inlineStr">
        <is>
          <t>Particular</t>
        </is>
      </c>
      <c r="G523" s="38" t="inlineStr">
        <is>
          <t>Consulta</t>
        </is>
      </c>
      <c r="H523" s="38" t="inlineStr">
        <is>
          <t>Realizado</t>
        </is>
      </c>
      <c r="I523" s="38" t="inlineStr">
        <is>
          <t>Cartão de crédito</t>
        </is>
      </c>
      <c r="J523" s="38" t="n"/>
      <c r="K523" s="37" t="n"/>
      <c r="L523" s="39" t="n">
        <v>30</v>
      </c>
      <c r="M523" s="40" t="n">
        <v>380</v>
      </c>
      <c r="N523" s="30">
        <f>IF(A523="","",MONTH(A523))</f>
        <v>7</v>
      </c>
      <c r="O523" s="30">
        <f>IF(A523="","",YEAR(A523))</f>
        <v>2026</v>
      </c>
      <c r="P523" s="30" t="str">
        <f>IF(A523="","",CHOOSE(WEEKDAY(A523,2),"Segunda","Terça","Quarta","Quinta","Sexta","Sábado","Domingo"))</f>
        <v>Quinta</v>
      </c>
      <c r="Q523" s="30" t="str">
        <f>IF(B523="","",IF(B523&lt;TIME(12,0,0),"Manhã",IF(B523&lt;TIME(18,0,0),"Tarde","Noite")))</f>
        <v>Manhã</v>
      </c>
      <c r="R523" s="46">
        <f>IF(AND(H523="Realizado",L523&lt;&gt;"",A523&lt;=Config!$B$9),L523/60,0)</f>
        <v>0.5</v>
      </c>
      <c r="S523" s="45">
        <f>IF(G523="","",IFERROR(INDEX(Config!$K$5:$K$16,MATCH(G523,Config!$J$5:$J$16,0)),""))</f>
        <v>30</v>
      </c>
      <c r="T523" s="31">
        <f>IF(OR(G523="",F523=""),"",IFERROR(INDEX(Config!$M$5:$R$16,MATCH(G523,Config!$J$5:$J$16,0),MATCH(F523,Config!$H$5:$H$10,0)),""))</f>
        <v>380</v>
      </c>
      <c r="U523" s="47">
        <f>IF(AND(H523="Realizado",L523&lt;&gt;""),L523/60,0)</f>
        <v>0.5</v>
      </c>
      <c r="V523" s="47">
        <f>IF(AND(H523="Realizado",OR(L523="",M523="")),1,0)</f>
        <v>0</v>
      </c>
    </row>
    <row r="524">
      <c r="A524" s="43" t="n">
        <v>46226</v>
      </c>
      <c r="B524" s="44" t="n">
        <v>0.5833333333333334</v>
      </c>
      <c r="C524" s="38" t="inlineStr">
        <is>
          <t>Dra. Renata Sousa</t>
        </is>
      </c>
      <c r="D524" s="38" t="inlineStr">
        <is>
          <t>Sala 1</t>
        </is>
      </c>
      <c r="E524" s="37" t="inlineStr">
        <is>
          <t>Mariana Reis</t>
        </is>
      </c>
      <c r="F524" s="38" t="inlineStr">
        <is>
          <t>Particular</t>
        </is>
      </c>
      <c r="G524" s="38" t="inlineStr">
        <is>
          <t>Avaliação endócrina</t>
        </is>
      </c>
      <c r="H524" s="38" t="inlineStr">
        <is>
          <t>Realizado</t>
        </is>
      </c>
      <c r="I524" s="38" t="inlineStr">
        <is>
          <t>Pix</t>
        </is>
      </c>
      <c r="J524" s="38" t="n"/>
      <c r="K524" s="37" t="n"/>
      <c r="L524" s="39" t="n">
        <v>40</v>
      </c>
      <c r="M524" s="40" t="n">
        <v>400</v>
      </c>
      <c r="N524" s="30">
        <f>IF(A524="","",MONTH(A524))</f>
        <v>7</v>
      </c>
      <c r="O524" s="30">
        <f>IF(A524="","",YEAR(A524))</f>
        <v>2026</v>
      </c>
      <c r="P524" s="30" t="str">
        <f>IF(A524="","",CHOOSE(WEEKDAY(A524,2),"Segunda","Terça","Quarta","Quinta","Sexta","Sábado","Domingo"))</f>
        <v>Quinta</v>
      </c>
      <c r="Q524" s="30" t="str">
        <f>IF(B524="","",IF(B524&lt;TIME(12,0,0),"Manhã",IF(B524&lt;TIME(18,0,0),"Tarde","Noite")))</f>
        <v>Tarde</v>
      </c>
      <c r="R524" s="46">
        <f>IF(AND(H524="Realizado",L524&lt;&gt;"",A524&lt;=Config!$B$9),L524/60,0)</f>
        <v>0.666666666666667</v>
      </c>
      <c r="S524" s="45">
        <f>IF(G524="","",IFERROR(INDEX(Config!$K$5:$K$16,MATCH(G524,Config!$J$5:$J$16,0)),""))</f>
        <v>40</v>
      </c>
      <c r="T524" s="31">
        <f>IF(OR(G524="",F524=""),"",IFERROR(INDEX(Config!$M$5:$R$16,MATCH(G524,Config!$J$5:$J$16,0),MATCH(F524,Config!$H$5:$H$10,0)),""))</f>
        <v>400</v>
      </c>
      <c r="U524" s="47">
        <f>IF(AND(H524="Realizado",L524&lt;&gt;""),L524/60,0)</f>
        <v>0.666666666666667</v>
      </c>
      <c r="V524" s="47">
        <f>IF(AND(H524="Realizado",OR(L524="",M524="")),1,0)</f>
        <v>0</v>
      </c>
    </row>
    <row r="525">
      <c r="A525" s="43" t="n">
        <v>46226</v>
      </c>
      <c r="B525" s="44" t="n">
        <v>0.5833333333333334</v>
      </c>
      <c r="C525" s="38" t="inlineStr">
        <is>
          <t>Dr. Paulo Andrade</t>
        </is>
      </c>
      <c r="D525" s="38" t="inlineStr">
        <is>
          <t>Sala 2</t>
        </is>
      </c>
      <c r="E525" s="37" t="inlineStr">
        <is>
          <t>Paulo Reis</t>
        </is>
      </c>
      <c r="F525" s="38" t="inlineStr">
        <is>
          <t>Particular</t>
        </is>
      </c>
      <c r="G525" s="38" t="inlineStr">
        <is>
          <t>Consulta</t>
        </is>
      </c>
      <c r="H525" s="38" t="inlineStr">
        <is>
          <t>Realizado</t>
        </is>
      </c>
      <c r="I525" s="38" t="inlineStr">
        <is>
          <t>Cartão de crédito</t>
        </is>
      </c>
      <c r="J525" s="38" t="n"/>
      <c r="K525" s="37" t="n"/>
      <c r="L525" s="39" t="n">
        <v>30</v>
      </c>
      <c r="M525" s="40" t="n">
        <v>380</v>
      </c>
      <c r="N525" s="30">
        <f>IF(A525="","",MONTH(A525))</f>
        <v>7</v>
      </c>
      <c r="O525" s="30">
        <f>IF(A525="","",YEAR(A525))</f>
        <v>2026</v>
      </c>
      <c r="P525" s="30" t="str">
        <f>IF(A525="","",CHOOSE(WEEKDAY(A525,2),"Segunda","Terça","Quarta","Quinta","Sexta","Sábado","Domingo"))</f>
        <v>Quinta</v>
      </c>
      <c r="Q525" s="30" t="str">
        <f>IF(B525="","",IF(B525&lt;TIME(12,0,0),"Manhã",IF(B525&lt;TIME(18,0,0),"Tarde","Noite")))</f>
        <v>Tarde</v>
      </c>
      <c r="R525" s="46">
        <f>IF(AND(H525="Realizado",L525&lt;&gt;"",A525&lt;=Config!$B$9),L525/60,0)</f>
        <v>0.5</v>
      </c>
      <c r="S525" s="45">
        <f>IF(G525="","",IFERROR(INDEX(Config!$K$5:$K$16,MATCH(G525,Config!$J$5:$J$16,0)),""))</f>
        <v>30</v>
      </c>
      <c r="T525" s="31">
        <f>IF(OR(G525="",F525=""),"",IFERROR(INDEX(Config!$M$5:$R$16,MATCH(G525,Config!$J$5:$J$16,0),MATCH(F525,Config!$H$5:$H$10,0)),""))</f>
        <v>380</v>
      </c>
      <c r="U525" s="47">
        <f>IF(AND(H525="Realizado",L525&lt;&gt;""),L525/60,0)</f>
        <v>0.5</v>
      </c>
      <c r="V525" s="47">
        <f>IF(AND(H525="Realizado",OR(L525="",M525="")),1,0)</f>
        <v>0</v>
      </c>
    </row>
    <row r="526">
      <c r="A526" s="43" t="n">
        <v>46226</v>
      </c>
      <c r="B526" s="44" t="n">
        <v>0.6041666666666666</v>
      </c>
      <c r="C526" s="38" t="inlineStr">
        <is>
          <t>Dr. Paulo Andrade</t>
        </is>
      </c>
      <c r="D526" s="38" t="inlineStr">
        <is>
          <t>Sala 2</t>
        </is>
      </c>
      <c r="E526" s="37" t="inlineStr">
        <is>
          <t>Paulo Nascimento</t>
        </is>
      </c>
      <c r="F526" s="38" t="inlineStr">
        <is>
          <t>MediPlan</t>
        </is>
      </c>
      <c r="G526" s="38" t="inlineStr">
        <is>
          <t>Consulta</t>
        </is>
      </c>
      <c r="H526" s="38" t="inlineStr">
        <is>
          <t>Falta</t>
        </is>
      </c>
      <c r="I526" s="38" t="n"/>
      <c r="J526" s="38" t="n"/>
      <c r="K526" s="37" t="n"/>
      <c r="L526" s="39" t="n">
        <v>30</v>
      </c>
      <c r="M526" s="40" t="n">
        <v>100</v>
      </c>
      <c r="N526" s="30">
        <f>IF(A526="","",MONTH(A526))</f>
        <v>7</v>
      </c>
      <c r="O526" s="30">
        <f>IF(A526="","",YEAR(A526))</f>
        <v>2026</v>
      </c>
      <c r="P526" s="30" t="str">
        <f>IF(A526="","",CHOOSE(WEEKDAY(A526,2),"Segunda","Terça","Quarta","Quinta","Sexta","Sábado","Domingo"))</f>
        <v>Quinta</v>
      </c>
      <c r="Q526" s="30" t="str">
        <f>IF(B526="","",IF(B526&lt;TIME(12,0,0),"Manhã",IF(B526&lt;TIME(18,0,0),"Tarde","Noite")))</f>
        <v>Tarde</v>
      </c>
      <c r="R526" s="46">
        <f>IF(AND(H526="Realizado",L526&lt;&gt;"",A526&lt;=Config!$B$9),L526/60,0)</f>
        <v>0</v>
      </c>
      <c r="S526" s="45">
        <f>IF(G526="","",IFERROR(INDEX(Config!$K$5:$K$16,MATCH(G526,Config!$J$5:$J$16,0)),""))</f>
        <v>30</v>
      </c>
      <c r="T526" s="31">
        <f>IF(OR(G526="",F526=""),"",IFERROR(INDEX(Config!$M$5:$R$16,MATCH(G526,Config!$J$5:$J$16,0),MATCH(F526,Config!$H$5:$H$10,0)),""))</f>
        <v>100</v>
      </c>
      <c r="U526" s="47">
        <f>IF(AND(H526="Realizado",L526&lt;&gt;""),L526/60,0)</f>
        <v>0</v>
      </c>
      <c r="V526" s="47">
        <f>IF(AND(H526="Realizado",OR(L526="",M526="")),1,0)</f>
        <v>0</v>
      </c>
    </row>
    <row r="527">
      <c r="A527" s="43" t="n">
        <v>46226</v>
      </c>
      <c r="B527" s="44" t="n">
        <v>0.6111111111111112</v>
      </c>
      <c r="C527" s="38" t="inlineStr">
        <is>
          <t>Dra. Renata Sousa</t>
        </is>
      </c>
      <c r="D527" s="38" t="inlineStr">
        <is>
          <t>Sala 1</t>
        </is>
      </c>
      <c r="E527" s="37" t="inlineStr">
        <is>
          <t>Fábio Gomes</t>
        </is>
      </c>
      <c r="F527" s="38" t="inlineStr">
        <is>
          <t>Particular</t>
        </is>
      </c>
      <c r="G527" s="38" t="inlineStr">
        <is>
          <t>Retorno</t>
        </is>
      </c>
      <c r="H527" s="38" t="inlineStr">
        <is>
          <t>Realizado</t>
        </is>
      </c>
      <c r="I527" s="38" t="inlineStr">
        <is>
          <t>Sem cobrança</t>
        </is>
      </c>
      <c r="J527" s="38" t="n"/>
      <c r="K527" s="37" t="n"/>
      <c r="L527" s="39" t="n">
        <v>20</v>
      </c>
      <c r="M527" s="40" t="n">
        <v>0</v>
      </c>
      <c r="N527" s="30">
        <f>IF(A527="","",MONTH(A527))</f>
        <v>7</v>
      </c>
      <c r="O527" s="30">
        <f>IF(A527="","",YEAR(A527))</f>
        <v>2026</v>
      </c>
      <c r="P527" s="30" t="str">
        <f>IF(A527="","",CHOOSE(WEEKDAY(A527,2),"Segunda","Terça","Quarta","Quinta","Sexta","Sábado","Domingo"))</f>
        <v>Quinta</v>
      </c>
      <c r="Q527" s="30" t="str">
        <f>IF(B527="","",IF(B527&lt;TIME(12,0,0),"Manhã",IF(B527&lt;TIME(18,0,0),"Tarde","Noite")))</f>
        <v>Tarde</v>
      </c>
      <c r="R527" s="46">
        <f>IF(AND(H527="Realizado",L527&lt;&gt;"",A527&lt;=Config!$B$9),L527/60,0)</f>
        <v>0.333333333333333</v>
      </c>
      <c r="S527" s="45">
        <f>IF(G527="","",IFERROR(INDEX(Config!$K$5:$K$16,MATCH(G527,Config!$J$5:$J$16,0)),""))</f>
        <v>20</v>
      </c>
      <c r="T527" s="31">
        <f>IF(OR(G527="",F527=""),"",IFERROR(INDEX(Config!$M$5:$R$16,MATCH(G527,Config!$J$5:$J$16,0),MATCH(F527,Config!$H$5:$H$10,0)),""))</f>
        <v>0</v>
      </c>
      <c r="U527" s="47">
        <f>IF(AND(H527="Realizado",L527&lt;&gt;""),L527/60,0)</f>
        <v>0.333333333333333</v>
      </c>
      <c r="V527" s="47">
        <f>IF(AND(H527="Realizado",OR(L527="",M527="")),1,0)</f>
        <v>0</v>
      </c>
    </row>
    <row r="528">
      <c r="A528" s="43" t="n">
        <v>46226</v>
      </c>
      <c r="B528" s="44" t="n">
        <v>0.625</v>
      </c>
      <c r="C528" s="38" t="inlineStr">
        <is>
          <t>Dra. Renata Sousa</t>
        </is>
      </c>
      <c r="D528" s="38" t="inlineStr">
        <is>
          <t>Sala 1</t>
        </is>
      </c>
      <c r="E528" s="37" t="inlineStr">
        <is>
          <t>Márcia Duarte</t>
        </is>
      </c>
      <c r="F528" s="38" t="inlineStr">
        <is>
          <t>Particular</t>
        </is>
      </c>
      <c r="G528" s="38" t="inlineStr">
        <is>
          <t>Avaliação endócrina</t>
        </is>
      </c>
      <c r="H528" s="38" t="inlineStr">
        <is>
          <t>Realizado</t>
        </is>
      </c>
      <c r="I528" s="38" t="inlineStr">
        <is>
          <t>Pix</t>
        </is>
      </c>
      <c r="J528" s="38" t="n"/>
      <c r="K528" s="37" t="n"/>
      <c r="L528" s="39" t="n">
        <v>40</v>
      </c>
      <c r="M528" s="40" t="n">
        <v>400</v>
      </c>
      <c r="N528" s="30">
        <f>IF(A528="","",MONTH(A528))</f>
        <v>7</v>
      </c>
      <c r="O528" s="30">
        <f>IF(A528="","",YEAR(A528))</f>
        <v>2026</v>
      </c>
      <c r="P528" s="30" t="str">
        <f>IF(A528="","",CHOOSE(WEEKDAY(A528,2),"Segunda","Terça","Quarta","Quinta","Sexta","Sábado","Domingo"))</f>
        <v>Quinta</v>
      </c>
      <c r="Q528" s="30" t="str">
        <f>IF(B528="","",IF(B528&lt;TIME(12,0,0),"Manhã",IF(B528&lt;TIME(18,0,0),"Tarde","Noite")))</f>
        <v>Tarde</v>
      </c>
      <c r="R528" s="46">
        <f>IF(AND(H528="Realizado",L528&lt;&gt;"",A528&lt;=Config!$B$9),L528/60,0)</f>
        <v>0.666666666666667</v>
      </c>
      <c r="S528" s="45">
        <f>IF(G528="","",IFERROR(INDEX(Config!$K$5:$K$16,MATCH(G528,Config!$J$5:$J$16,0)),""))</f>
        <v>40</v>
      </c>
      <c r="T528" s="31">
        <f>IF(OR(G528="",F528=""),"",IFERROR(INDEX(Config!$M$5:$R$16,MATCH(G528,Config!$J$5:$J$16,0),MATCH(F528,Config!$H$5:$H$10,0)),""))</f>
        <v>400</v>
      </c>
      <c r="U528" s="47">
        <f>IF(AND(H528="Realizado",L528&lt;&gt;""),L528/60,0)</f>
        <v>0.666666666666667</v>
      </c>
      <c r="V528" s="47">
        <f>IF(AND(H528="Realizado",OR(L528="",M528="")),1,0)</f>
        <v>0</v>
      </c>
    </row>
    <row r="529">
      <c r="A529" s="43" t="n">
        <v>46226</v>
      </c>
      <c r="B529" s="44" t="n">
        <v>0.625</v>
      </c>
      <c r="C529" s="38" t="inlineStr">
        <is>
          <t>Dr. Paulo Andrade</t>
        </is>
      </c>
      <c r="D529" s="38" t="inlineStr">
        <is>
          <t>Sala 2</t>
        </is>
      </c>
      <c r="E529" s="37" t="inlineStr">
        <is>
          <t>Camila Batista</t>
        </is>
      </c>
      <c r="F529" s="38" t="inlineStr">
        <is>
          <t>MediPlan</t>
        </is>
      </c>
      <c r="G529" s="38" t="inlineStr">
        <is>
          <t>MAPA</t>
        </is>
      </c>
      <c r="H529" s="38" t="inlineStr">
        <is>
          <t>Realizado</t>
        </is>
      </c>
      <c r="I529" s="38" t="inlineStr">
        <is>
          <t>Convênio</t>
        </is>
      </c>
      <c r="J529" s="38" t="n"/>
      <c r="K529" s="37" t="n"/>
      <c r="L529" s="39" t="n">
        <v>20</v>
      </c>
      <c r="M529" s="40" t="n">
        <v>85</v>
      </c>
      <c r="N529" s="30">
        <f>IF(A529="","",MONTH(A529))</f>
        <v>7</v>
      </c>
      <c r="O529" s="30">
        <f>IF(A529="","",YEAR(A529))</f>
        <v>2026</v>
      </c>
      <c r="P529" s="30" t="str">
        <f>IF(A529="","",CHOOSE(WEEKDAY(A529,2),"Segunda","Terça","Quarta","Quinta","Sexta","Sábado","Domingo"))</f>
        <v>Quinta</v>
      </c>
      <c r="Q529" s="30" t="str">
        <f>IF(B529="","",IF(B529&lt;TIME(12,0,0),"Manhã",IF(B529&lt;TIME(18,0,0),"Tarde","Noite")))</f>
        <v>Tarde</v>
      </c>
      <c r="R529" s="46">
        <f>IF(AND(H529="Realizado",L529&lt;&gt;"",A529&lt;=Config!$B$9),L529/60,0)</f>
        <v>0.333333333333333</v>
      </c>
      <c r="S529" s="45">
        <f>IF(G529="","",IFERROR(INDEX(Config!$K$5:$K$16,MATCH(G529,Config!$J$5:$J$16,0)),""))</f>
        <v>20</v>
      </c>
      <c r="T529" s="31">
        <f>IF(OR(G529="",F529=""),"",IFERROR(INDEX(Config!$M$5:$R$16,MATCH(G529,Config!$J$5:$J$16,0),MATCH(F529,Config!$H$5:$H$10,0)),""))</f>
        <v>85</v>
      </c>
      <c r="U529" s="47">
        <f>IF(AND(H529="Realizado",L529&lt;&gt;""),L529/60,0)</f>
        <v>0.333333333333333</v>
      </c>
      <c r="V529" s="47">
        <f>IF(AND(H529="Realizado",OR(L529="",M529="")),1,0)</f>
        <v>0</v>
      </c>
    </row>
    <row r="530">
      <c r="A530" s="43" t="n">
        <v>46226</v>
      </c>
      <c r="B530" s="44" t="n">
        <v>0.6388888888888888</v>
      </c>
      <c r="C530" s="38" t="inlineStr">
        <is>
          <t>Dr. Paulo Andrade</t>
        </is>
      </c>
      <c r="D530" s="38" t="inlineStr">
        <is>
          <t>Sala 2</t>
        </is>
      </c>
      <c r="E530" s="37" t="inlineStr">
        <is>
          <t>Vanessa Moreira</t>
        </is>
      </c>
      <c r="F530" s="38" t="inlineStr">
        <is>
          <t>Saúde Total</t>
        </is>
      </c>
      <c r="G530" s="38" t="inlineStr">
        <is>
          <t>Retorno</t>
        </is>
      </c>
      <c r="H530" s="38" t="inlineStr">
        <is>
          <t>Realizado</t>
        </is>
      </c>
      <c r="I530" s="38" t="inlineStr">
        <is>
          <t>Sem cobrança</t>
        </is>
      </c>
      <c r="J530" s="38" t="n"/>
      <c r="K530" s="37" t="n"/>
      <c r="L530" s="39" t="n">
        <v>20</v>
      </c>
      <c r="M530" s="40" t="n">
        <v>0</v>
      </c>
      <c r="N530" s="30">
        <f>IF(A530="","",MONTH(A530))</f>
        <v>7</v>
      </c>
      <c r="O530" s="30">
        <f>IF(A530="","",YEAR(A530))</f>
        <v>2026</v>
      </c>
      <c r="P530" s="30" t="str">
        <f>IF(A530="","",CHOOSE(WEEKDAY(A530,2),"Segunda","Terça","Quarta","Quinta","Sexta","Sábado","Domingo"))</f>
        <v>Quinta</v>
      </c>
      <c r="Q530" s="30" t="str">
        <f>IF(B530="","",IF(B530&lt;TIME(12,0,0),"Manhã",IF(B530&lt;TIME(18,0,0),"Tarde","Noite")))</f>
        <v>Tarde</v>
      </c>
      <c r="R530" s="46">
        <f>IF(AND(H530="Realizado",L530&lt;&gt;"",A530&lt;=Config!$B$9),L530/60,0)</f>
        <v>0.333333333333333</v>
      </c>
      <c r="S530" s="45">
        <f>IF(G530="","",IFERROR(INDEX(Config!$K$5:$K$16,MATCH(G530,Config!$J$5:$J$16,0)),""))</f>
        <v>20</v>
      </c>
      <c r="T530" s="31">
        <f>IF(OR(G530="",F530=""),"",IFERROR(INDEX(Config!$M$5:$R$16,MATCH(G530,Config!$J$5:$J$16,0),MATCH(F530,Config!$H$5:$H$10,0)),""))</f>
        <v>0</v>
      </c>
      <c r="U530" s="47">
        <f>IF(AND(H530="Realizado",L530&lt;&gt;""),L530/60,0)</f>
        <v>0.333333333333333</v>
      </c>
      <c r="V530" s="47">
        <f>IF(AND(H530="Realizado",OR(L530="",M530="")),1,0)</f>
        <v>0</v>
      </c>
    </row>
    <row r="531">
      <c r="A531" s="43" t="n">
        <v>46226</v>
      </c>
      <c r="B531" s="44" t="n">
        <v>0.6527777777777778</v>
      </c>
      <c r="C531" s="38" t="inlineStr">
        <is>
          <t>Dra. Renata Sousa</t>
        </is>
      </c>
      <c r="D531" s="38" t="inlineStr">
        <is>
          <t>Sala 1</t>
        </is>
      </c>
      <c r="E531" s="37" t="inlineStr">
        <is>
          <t>Isabela Barbosa</t>
        </is>
      </c>
      <c r="F531" s="38" t="inlineStr">
        <is>
          <t>Saúde Total</t>
        </is>
      </c>
      <c r="G531" s="38" t="inlineStr">
        <is>
          <t>Retorno</t>
        </is>
      </c>
      <c r="H531" s="38" t="inlineStr">
        <is>
          <t>Realizado</t>
        </is>
      </c>
      <c r="I531" s="38" t="inlineStr">
        <is>
          <t>Sem cobrança</t>
        </is>
      </c>
      <c r="J531" s="38" t="n"/>
      <c r="K531" s="37" t="n"/>
      <c r="L531" s="39" t="n">
        <v>20</v>
      </c>
      <c r="M531" s="40" t="n">
        <v>0</v>
      </c>
      <c r="N531" s="30">
        <f>IF(A531="","",MONTH(A531))</f>
        <v>7</v>
      </c>
      <c r="O531" s="30">
        <f>IF(A531="","",YEAR(A531))</f>
        <v>2026</v>
      </c>
      <c r="P531" s="30" t="str">
        <f>IF(A531="","",CHOOSE(WEEKDAY(A531,2),"Segunda","Terça","Quarta","Quinta","Sexta","Sábado","Domingo"))</f>
        <v>Quinta</v>
      </c>
      <c r="Q531" s="30" t="str">
        <f>IF(B531="","",IF(B531&lt;TIME(12,0,0),"Manhã",IF(B531&lt;TIME(18,0,0),"Tarde","Noite")))</f>
        <v>Tarde</v>
      </c>
      <c r="R531" s="46">
        <f>IF(AND(H531="Realizado",L531&lt;&gt;"",A531&lt;=Config!$B$9),L531/60,0)</f>
        <v>0.333333333333333</v>
      </c>
      <c r="S531" s="45">
        <f>IF(G531="","",IFERROR(INDEX(Config!$K$5:$K$16,MATCH(G531,Config!$J$5:$J$16,0)),""))</f>
        <v>20</v>
      </c>
      <c r="T531" s="31">
        <f>IF(OR(G531="",F531=""),"",IFERROR(INDEX(Config!$M$5:$R$16,MATCH(G531,Config!$J$5:$J$16,0),MATCH(F531,Config!$H$5:$H$10,0)),""))</f>
        <v>0</v>
      </c>
      <c r="U531" s="47">
        <f>IF(AND(H531="Realizado",L531&lt;&gt;""),L531/60,0)</f>
        <v>0.333333333333333</v>
      </c>
      <c r="V531" s="47">
        <f>IF(AND(H531="Realizado",OR(L531="",M531="")),1,0)</f>
        <v>0</v>
      </c>
    </row>
    <row r="532">
      <c r="A532" s="43" t="n">
        <v>46226</v>
      </c>
      <c r="B532" s="44" t="n">
        <v>0.6527777777777778</v>
      </c>
      <c r="C532" s="38" t="inlineStr">
        <is>
          <t>Dr. Paulo Andrade</t>
        </is>
      </c>
      <c r="D532" s="38" t="inlineStr">
        <is>
          <t>Sala 2</t>
        </is>
      </c>
      <c r="E532" s="37" t="inlineStr">
        <is>
          <t>Priscila Nunes</t>
        </is>
      </c>
      <c r="F532" s="38" t="inlineStr">
        <is>
          <t>MediPlan</t>
        </is>
      </c>
      <c r="G532" s="38" t="inlineStr">
        <is>
          <t>ECG</t>
        </is>
      </c>
      <c r="H532" s="38" t="inlineStr">
        <is>
          <t>Realizado</t>
        </is>
      </c>
      <c r="I532" s="38" t="inlineStr">
        <is>
          <t>Convênio</t>
        </is>
      </c>
      <c r="J532" s="38" t="n"/>
      <c r="K532" s="37" t="n"/>
      <c r="L532" s="39" t="n">
        <v>20</v>
      </c>
      <c r="M532" s="40" t="n">
        <v>35</v>
      </c>
      <c r="N532" s="30">
        <f>IF(A532="","",MONTH(A532))</f>
        <v>7</v>
      </c>
      <c r="O532" s="30">
        <f>IF(A532="","",YEAR(A532))</f>
        <v>2026</v>
      </c>
      <c r="P532" s="30" t="str">
        <f>IF(A532="","",CHOOSE(WEEKDAY(A532,2),"Segunda","Terça","Quarta","Quinta","Sexta","Sábado","Domingo"))</f>
        <v>Quinta</v>
      </c>
      <c r="Q532" s="30" t="str">
        <f>IF(B532="","",IF(B532&lt;TIME(12,0,0),"Manhã",IF(B532&lt;TIME(18,0,0),"Tarde","Noite")))</f>
        <v>Tarde</v>
      </c>
      <c r="R532" s="46">
        <f>IF(AND(H532="Realizado",L532&lt;&gt;"",A532&lt;=Config!$B$9),L532/60,0)</f>
        <v>0.333333333333333</v>
      </c>
      <c r="S532" s="45">
        <f>IF(G532="","",IFERROR(INDEX(Config!$K$5:$K$16,MATCH(G532,Config!$J$5:$J$16,0)),""))</f>
        <v>20</v>
      </c>
      <c r="T532" s="31">
        <f>IF(OR(G532="",F532=""),"",IFERROR(INDEX(Config!$M$5:$R$16,MATCH(G532,Config!$J$5:$J$16,0),MATCH(F532,Config!$H$5:$H$10,0)),""))</f>
        <v>35</v>
      </c>
      <c r="U532" s="47">
        <f>IF(AND(H532="Realizado",L532&lt;&gt;""),L532/60,0)</f>
        <v>0.333333333333333</v>
      </c>
      <c r="V532" s="47">
        <f>IF(AND(H532="Realizado",OR(L532="",M532="")),1,0)</f>
        <v>0</v>
      </c>
    </row>
    <row r="533">
      <c r="A533" s="43" t="n">
        <v>46226</v>
      </c>
      <c r="B533" s="44" t="n">
        <v>0.6666666666666666</v>
      </c>
      <c r="C533" s="38" t="inlineStr">
        <is>
          <t>Dr. Paulo Andrade</t>
        </is>
      </c>
      <c r="D533" s="38" t="inlineStr">
        <is>
          <t>Sala 2</t>
        </is>
      </c>
      <c r="E533" s="37" t="inlineStr">
        <is>
          <t>Rafael Barros</t>
        </is>
      </c>
      <c r="F533" s="38" t="inlineStr">
        <is>
          <t>Particular</t>
        </is>
      </c>
      <c r="G533" s="38" t="inlineStr">
        <is>
          <t>Consulta</t>
        </is>
      </c>
      <c r="H533" s="38" t="inlineStr">
        <is>
          <t>Realizado</t>
        </is>
      </c>
      <c r="I533" s="38" t="inlineStr">
        <is>
          <t>A prazo</t>
        </is>
      </c>
      <c r="J533" s="38" t="n"/>
      <c r="K533" s="37" t="n"/>
      <c r="L533" s="39" t="n">
        <v>30</v>
      </c>
      <c r="M533" s="40" t="n">
        <v>380</v>
      </c>
      <c r="N533" s="30">
        <f>IF(A533="","",MONTH(A533))</f>
        <v>7</v>
      </c>
      <c r="O533" s="30">
        <f>IF(A533="","",YEAR(A533))</f>
        <v>2026</v>
      </c>
      <c r="P533" s="30" t="str">
        <f>IF(A533="","",CHOOSE(WEEKDAY(A533,2),"Segunda","Terça","Quarta","Quinta","Sexta","Sábado","Domingo"))</f>
        <v>Quinta</v>
      </c>
      <c r="Q533" s="30" t="str">
        <f>IF(B533="","",IF(B533&lt;TIME(12,0,0),"Manhã",IF(B533&lt;TIME(18,0,0),"Tarde","Noite")))</f>
        <v>Tarde</v>
      </c>
      <c r="R533" s="46">
        <f>IF(AND(H533="Realizado",L533&lt;&gt;"",A533&lt;=Config!$B$9),L533/60,0)</f>
        <v>0.5</v>
      </c>
      <c r="S533" s="45">
        <f>IF(G533="","",IFERROR(INDEX(Config!$K$5:$K$16,MATCH(G533,Config!$J$5:$J$16,0)),""))</f>
        <v>30</v>
      </c>
      <c r="T533" s="31">
        <f>IF(OR(G533="",F533=""),"",IFERROR(INDEX(Config!$M$5:$R$16,MATCH(G533,Config!$J$5:$J$16,0),MATCH(F533,Config!$H$5:$H$10,0)),""))</f>
        <v>380</v>
      </c>
      <c r="U533" s="47">
        <f>IF(AND(H533="Realizado",L533&lt;&gt;""),L533/60,0)</f>
        <v>0.5</v>
      </c>
      <c r="V533" s="47">
        <f>IF(AND(H533="Realizado",OR(L533="",M533="")),1,0)</f>
        <v>0</v>
      </c>
    </row>
    <row r="534">
      <c r="A534" s="43" t="n">
        <v>46226</v>
      </c>
      <c r="B534" s="44" t="n">
        <v>0.6875</v>
      </c>
      <c r="C534" s="38" t="inlineStr">
        <is>
          <t>Dra. Renata Sousa</t>
        </is>
      </c>
      <c r="D534" s="38" t="inlineStr">
        <is>
          <t>Sala 1</t>
        </is>
      </c>
      <c r="E534" s="37" t="inlineStr">
        <is>
          <t>Priscila Reis</t>
        </is>
      </c>
      <c r="F534" s="38" t="inlineStr">
        <is>
          <t>Particular</t>
        </is>
      </c>
      <c r="G534" s="38" t="inlineStr">
        <is>
          <t>Avaliação endócrina</t>
        </is>
      </c>
      <c r="H534" s="38" t="inlineStr">
        <is>
          <t>Realizado</t>
        </is>
      </c>
      <c r="I534" s="38" t="inlineStr">
        <is>
          <t>Cartão de crédito</t>
        </is>
      </c>
      <c r="J534" s="38" t="n">
        <v>2</v>
      </c>
      <c r="K534" s="37" t="n"/>
      <c r="L534" s="39" t="n">
        <v>40</v>
      </c>
      <c r="M534" s="40" t="n">
        <v>400</v>
      </c>
      <c r="N534" s="30">
        <f>IF(A534="","",MONTH(A534))</f>
        <v>7</v>
      </c>
      <c r="O534" s="30">
        <f>IF(A534="","",YEAR(A534))</f>
        <v>2026</v>
      </c>
      <c r="P534" s="30" t="str">
        <f>IF(A534="","",CHOOSE(WEEKDAY(A534,2),"Segunda","Terça","Quarta","Quinta","Sexta","Sábado","Domingo"))</f>
        <v>Quinta</v>
      </c>
      <c r="Q534" s="30" t="str">
        <f>IF(B534="","",IF(B534&lt;TIME(12,0,0),"Manhã",IF(B534&lt;TIME(18,0,0),"Tarde","Noite")))</f>
        <v>Tarde</v>
      </c>
      <c r="R534" s="46">
        <f>IF(AND(H534="Realizado",L534&lt;&gt;"",A534&lt;=Config!$B$9),L534/60,0)</f>
        <v>0.666666666666667</v>
      </c>
      <c r="S534" s="45">
        <f>IF(G534="","",IFERROR(INDEX(Config!$K$5:$K$16,MATCH(G534,Config!$J$5:$J$16,0)),""))</f>
        <v>40</v>
      </c>
      <c r="T534" s="31">
        <f>IF(OR(G534="",F534=""),"",IFERROR(INDEX(Config!$M$5:$R$16,MATCH(G534,Config!$J$5:$J$16,0),MATCH(F534,Config!$H$5:$H$10,0)),""))</f>
        <v>400</v>
      </c>
      <c r="U534" s="47">
        <f>IF(AND(H534="Realizado",L534&lt;&gt;""),L534/60,0)</f>
        <v>0.666666666666667</v>
      </c>
      <c r="V534" s="47">
        <f>IF(AND(H534="Realizado",OR(L534="",M534="")),1,0)</f>
        <v>0</v>
      </c>
    </row>
    <row r="535">
      <c r="A535" s="43" t="n">
        <v>46226</v>
      </c>
      <c r="B535" s="44" t="n">
        <v>0.6875</v>
      </c>
      <c r="C535" s="38" t="inlineStr">
        <is>
          <t>Dr. Paulo Andrade</t>
        </is>
      </c>
      <c r="D535" s="38" t="inlineStr">
        <is>
          <t>Sala 2</t>
        </is>
      </c>
      <c r="E535" s="37" t="inlineStr">
        <is>
          <t>Regina Castro</t>
        </is>
      </c>
      <c r="F535" s="38" t="inlineStr">
        <is>
          <t>Vida Care</t>
        </is>
      </c>
      <c r="G535" s="38" t="inlineStr">
        <is>
          <t>ECG</t>
        </is>
      </c>
      <c r="H535" s="38" t="inlineStr">
        <is>
          <t>Realizado</t>
        </is>
      </c>
      <c r="I535" s="38" t="inlineStr">
        <is>
          <t>Convênio</t>
        </is>
      </c>
      <c r="J535" s="38" t="n"/>
      <c r="K535" s="37" t="n"/>
      <c r="L535" s="39" t="n">
        <v>20</v>
      </c>
      <c r="M535" s="40" t="n">
        <v>32</v>
      </c>
      <c r="N535" s="30">
        <f>IF(A535="","",MONTH(A535))</f>
        <v>7</v>
      </c>
      <c r="O535" s="30">
        <f>IF(A535="","",YEAR(A535))</f>
        <v>2026</v>
      </c>
      <c r="P535" s="30" t="str">
        <f>IF(A535="","",CHOOSE(WEEKDAY(A535,2),"Segunda","Terça","Quarta","Quinta","Sexta","Sábado","Domingo"))</f>
        <v>Quinta</v>
      </c>
      <c r="Q535" s="30" t="str">
        <f>IF(B535="","",IF(B535&lt;TIME(12,0,0),"Manhã",IF(B535&lt;TIME(18,0,0),"Tarde","Noite")))</f>
        <v>Tarde</v>
      </c>
      <c r="R535" s="46">
        <f>IF(AND(H535="Realizado",L535&lt;&gt;"",A535&lt;=Config!$B$9),L535/60,0)</f>
        <v>0.333333333333333</v>
      </c>
      <c r="S535" s="45">
        <f>IF(G535="","",IFERROR(INDEX(Config!$K$5:$K$16,MATCH(G535,Config!$J$5:$J$16,0)),""))</f>
        <v>20</v>
      </c>
      <c r="T535" s="31">
        <f>IF(OR(G535="",F535=""),"",IFERROR(INDEX(Config!$M$5:$R$16,MATCH(G535,Config!$J$5:$J$16,0),MATCH(F535,Config!$H$5:$H$10,0)),""))</f>
        <v>32</v>
      </c>
      <c r="U535" s="47">
        <f>IF(AND(H535="Realizado",L535&lt;&gt;""),L535/60,0)</f>
        <v>0.333333333333333</v>
      </c>
      <c r="V535" s="47">
        <f>IF(AND(H535="Realizado",OR(L535="",M535="")),1,0)</f>
        <v>0</v>
      </c>
    </row>
    <row r="536">
      <c r="A536" s="43" t="n">
        <v>46226</v>
      </c>
      <c r="B536" s="44" t="n">
        <v>0.7013888888888888</v>
      </c>
      <c r="C536" s="38" t="inlineStr">
        <is>
          <t>Dr. Paulo Andrade</t>
        </is>
      </c>
      <c r="D536" s="38" t="inlineStr">
        <is>
          <t>Sala 2</t>
        </is>
      </c>
      <c r="E536" s="37" t="inlineStr">
        <is>
          <t>Camila Martins</t>
        </is>
      </c>
      <c r="F536" s="38" t="inlineStr">
        <is>
          <t>Vida Care</t>
        </is>
      </c>
      <c r="G536" s="38" t="inlineStr">
        <is>
          <t>Consulta</t>
        </is>
      </c>
      <c r="H536" s="38" t="inlineStr">
        <is>
          <t>Realizado</t>
        </is>
      </c>
      <c r="I536" s="38" t="inlineStr">
        <is>
          <t>Convênio</t>
        </is>
      </c>
      <c r="J536" s="38" t="n"/>
      <c r="K536" s="37" t="n"/>
      <c r="L536" s="39" t="n">
        <v>30</v>
      </c>
      <c r="M536" s="40" t="n">
        <v>90</v>
      </c>
      <c r="N536" s="30">
        <f>IF(A536="","",MONTH(A536))</f>
        <v>7</v>
      </c>
      <c r="O536" s="30">
        <f>IF(A536="","",YEAR(A536))</f>
        <v>2026</v>
      </c>
      <c r="P536" s="30" t="str">
        <f>IF(A536="","",CHOOSE(WEEKDAY(A536,2),"Segunda","Terça","Quarta","Quinta","Sexta","Sábado","Domingo"))</f>
        <v>Quinta</v>
      </c>
      <c r="Q536" s="30" t="str">
        <f>IF(B536="","",IF(B536&lt;TIME(12,0,0),"Manhã",IF(B536&lt;TIME(18,0,0),"Tarde","Noite")))</f>
        <v>Tarde</v>
      </c>
      <c r="R536" s="46">
        <f>IF(AND(H536="Realizado",L536&lt;&gt;"",A536&lt;=Config!$B$9),L536/60,0)</f>
        <v>0.5</v>
      </c>
      <c r="S536" s="45">
        <f>IF(G536="","",IFERROR(INDEX(Config!$K$5:$K$16,MATCH(G536,Config!$J$5:$J$16,0)),""))</f>
        <v>30</v>
      </c>
      <c r="T536" s="31">
        <f>IF(OR(G536="",F536=""),"",IFERROR(INDEX(Config!$M$5:$R$16,MATCH(G536,Config!$J$5:$J$16,0),MATCH(F536,Config!$H$5:$H$10,0)),""))</f>
        <v>90</v>
      </c>
      <c r="U536" s="47">
        <f>IF(AND(H536="Realizado",L536&lt;&gt;""),L536/60,0)</f>
        <v>0.5</v>
      </c>
      <c r="V536" s="47">
        <f>IF(AND(H536="Realizado",OR(L536="",M536="")),1,0)</f>
        <v>0</v>
      </c>
    </row>
    <row r="537">
      <c r="A537" s="43" t="n">
        <v>46226</v>
      </c>
      <c r="B537" s="44" t="n">
        <v>0.7152777777777778</v>
      </c>
      <c r="C537" s="38" t="inlineStr">
        <is>
          <t>Dra. Renata Sousa</t>
        </is>
      </c>
      <c r="D537" s="38" t="inlineStr">
        <is>
          <t>Sala 1</t>
        </is>
      </c>
      <c r="E537" s="37" t="inlineStr">
        <is>
          <t>Daniel Moreira</t>
        </is>
      </c>
      <c r="F537" s="38" t="inlineStr">
        <is>
          <t>Saúde Total</t>
        </is>
      </c>
      <c r="G537" s="38" t="inlineStr">
        <is>
          <t>Avaliação endócrina</t>
        </is>
      </c>
      <c r="H537" s="38" t="inlineStr">
        <is>
          <t>Cancelado</t>
        </is>
      </c>
      <c r="I537" s="38" t="n"/>
      <c r="J537" s="38" t="n"/>
      <c r="K537" s="37" t="n"/>
      <c r="L537" s="39" t="n">
        <v>40</v>
      </c>
      <c r="M537" s="40" t="n">
        <v>130</v>
      </c>
      <c r="N537" s="30">
        <f>IF(A537="","",MONTH(A537))</f>
        <v>7</v>
      </c>
      <c r="O537" s="30">
        <f>IF(A537="","",YEAR(A537))</f>
        <v>2026</v>
      </c>
      <c r="P537" s="30" t="str">
        <f>IF(A537="","",CHOOSE(WEEKDAY(A537,2),"Segunda","Terça","Quarta","Quinta","Sexta","Sábado","Domingo"))</f>
        <v>Quinta</v>
      </c>
      <c r="Q537" s="30" t="str">
        <f>IF(B537="","",IF(B537&lt;TIME(12,0,0),"Manhã",IF(B537&lt;TIME(18,0,0),"Tarde","Noite")))</f>
        <v>Tarde</v>
      </c>
      <c r="R537" s="46">
        <f>IF(AND(H537="Realizado",L537&lt;&gt;"",A537&lt;=Config!$B$9),L537/60,0)</f>
        <v>0</v>
      </c>
      <c r="S537" s="45">
        <f>IF(G537="","",IFERROR(INDEX(Config!$K$5:$K$16,MATCH(G537,Config!$J$5:$J$16,0)),""))</f>
        <v>40</v>
      </c>
      <c r="T537" s="31">
        <f>IF(OR(G537="",F537=""),"",IFERROR(INDEX(Config!$M$5:$R$16,MATCH(G537,Config!$J$5:$J$16,0),MATCH(F537,Config!$H$5:$H$10,0)),""))</f>
        <v>130</v>
      </c>
      <c r="U537" s="47">
        <f>IF(AND(H537="Realizado",L537&lt;&gt;""),L537/60,0)</f>
        <v>0</v>
      </c>
      <c r="V537" s="47">
        <f>IF(AND(H537="Realizado",OR(L537="",M537="")),1,0)</f>
        <v>0</v>
      </c>
    </row>
    <row r="538">
      <c r="A538" s="43" t="n">
        <v>46226</v>
      </c>
      <c r="B538" s="44" t="n">
        <v>0.7222222222222222</v>
      </c>
      <c r="C538" s="38" t="inlineStr">
        <is>
          <t>Dr. Paulo Andrade</t>
        </is>
      </c>
      <c r="D538" s="38" t="inlineStr">
        <is>
          <t>Sala 2</t>
        </is>
      </c>
      <c r="E538" s="37" t="inlineStr">
        <is>
          <t>Rodrigo Gomes</t>
        </is>
      </c>
      <c r="F538" s="38" t="inlineStr">
        <is>
          <t>Vida Care</t>
        </is>
      </c>
      <c r="G538" s="38" t="inlineStr">
        <is>
          <t>ECG</t>
        </is>
      </c>
      <c r="H538" s="38" t="inlineStr">
        <is>
          <t>Realizado</t>
        </is>
      </c>
      <c r="I538" s="38" t="inlineStr">
        <is>
          <t>Convênio</t>
        </is>
      </c>
      <c r="J538" s="38" t="n"/>
      <c r="K538" s="37" t="n"/>
      <c r="L538" s="39" t="n">
        <v>20</v>
      </c>
      <c r="M538" s="40" t="n">
        <v>32</v>
      </c>
      <c r="N538" s="30">
        <f>IF(A538="","",MONTH(A538))</f>
        <v>7</v>
      </c>
      <c r="O538" s="30">
        <f>IF(A538="","",YEAR(A538))</f>
        <v>2026</v>
      </c>
      <c r="P538" s="30" t="str">
        <f>IF(A538="","",CHOOSE(WEEKDAY(A538,2),"Segunda","Terça","Quarta","Quinta","Sexta","Sábado","Domingo"))</f>
        <v>Quinta</v>
      </c>
      <c r="Q538" s="30" t="str">
        <f>IF(B538="","",IF(B538&lt;TIME(12,0,0),"Manhã",IF(B538&lt;TIME(18,0,0),"Tarde","Noite")))</f>
        <v>Tarde</v>
      </c>
      <c r="R538" s="46">
        <f>IF(AND(H538="Realizado",L538&lt;&gt;"",A538&lt;=Config!$B$9),L538/60,0)</f>
        <v>0.333333333333333</v>
      </c>
      <c r="S538" s="45">
        <f>IF(G538="","",IFERROR(INDEX(Config!$K$5:$K$16,MATCH(G538,Config!$J$5:$J$16,0)),""))</f>
        <v>20</v>
      </c>
      <c r="T538" s="31">
        <f>IF(OR(G538="",F538=""),"",IFERROR(INDEX(Config!$M$5:$R$16,MATCH(G538,Config!$J$5:$J$16,0),MATCH(F538,Config!$H$5:$H$10,0)),""))</f>
        <v>32</v>
      </c>
      <c r="U538" s="47">
        <f>IF(AND(H538="Realizado",L538&lt;&gt;""),L538/60,0)</f>
        <v>0.333333333333333</v>
      </c>
      <c r="V538" s="47">
        <f>IF(AND(H538="Realizado",OR(L538="",M538="")),1,0)</f>
        <v>0</v>
      </c>
    </row>
    <row r="539">
      <c r="A539" s="43" t="n">
        <v>46226</v>
      </c>
      <c r="B539" s="44" t="n">
        <v>0.7361111111111112</v>
      </c>
      <c r="C539" s="38" t="inlineStr">
        <is>
          <t>Dr. Paulo Andrade</t>
        </is>
      </c>
      <c r="D539" s="38" t="inlineStr">
        <is>
          <t>Sala 2</t>
        </is>
      </c>
      <c r="E539" s="37" t="inlineStr">
        <is>
          <t>Gabriel Vieira</t>
        </is>
      </c>
      <c r="F539" s="38" t="inlineStr">
        <is>
          <t>Vida Care</t>
        </is>
      </c>
      <c r="G539" s="38" t="inlineStr">
        <is>
          <t>Retorno</t>
        </is>
      </c>
      <c r="H539" s="38" t="inlineStr">
        <is>
          <t>Realizado</t>
        </is>
      </c>
      <c r="I539" s="38" t="inlineStr">
        <is>
          <t>Sem cobrança</t>
        </is>
      </c>
      <c r="J539" s="38" t="n"/>
      <c r="K539" s="37" t="n"/>
      <c r="L539" s="39" t="n">
        <v>20</v>
      </c>
      <c r="M539" s="40" t="n">
        <v>0</v>
      </c>
      <c r="N539" s="30">
        <f>IF(A539="","",MONTH(A539))</f>
        <v>7</v>
      </c>
      <c r="O539" s="30">
        <f>IF(A539="","",YEAR(A539))</f>
        <v>2026</v>
      </c>
      <c r="P539" s="30" t="str">
        <f>IF(A539="","",CHOOSE(WEEKDAY(A539,2),"Segunda","Terça","Quarta","Quinta","Sexta","Sábado","Domingo"))</f>
        <v>Quinta</v>
      </c>
      <c r="Q539" s="30" t="str">
        <f>IF(B539="","",IF(B539&lt;TIME(12,0,0),"Manhã",IF(B539&lt;TIME(18,0,0),"Tarde","Noite")))</f>
        <v>Tarde</v>
      </c>
      <c r="R539" s="46">
        <f>IF(AND(H539="Realizado",L539&lt;&gt;"",A539&lt;=Config!$B$9),L539/60,0)</f>
        <v>0.333333333333333</v>
      </c>
      <c r="S539" s="45">
        <f>IF(G539="","",IFERROR(INDEX(Config!$K$5:$K$16,MATCH(G539,Config!$J$5:$J$16,0)),""))</f>
        <v>20</v>
      </c>
      <c r="T539" s="31">
        <f>IF(OR(G539="",F539=""),"",IFERROR(INDEX(Config!$M$5:$R$16,MATCH(G539,Config!$J$5:$J$16,0),MATCH(F539,Config!$H$5:$H$10,0)),""))</f>
        <v>0</v>
      </c>
      <c r="U539" s="47">
        <f>IF(AND(H539="Realizado",L539&lt;&gt;""),L539/60,0)</f>
        <v>0.333333333333333</v>
      </c>
      <c r="V539" s="47">
        <f>IF(AND(H539="Realizado",OR(L539="",M539="")),1,0)</f>
        <v>0</v>
      </c>
    </row>
    <row r="540">
      <c r="A540" s="43" t="n">
        <v>46227</v>
      </c>
      <c r="B540" s="44" t="n">
        <v>0.3333333333333333</v>
      </c>
      <c r="C540" s="38" t="inlineStr">
        <is>
          <t>Dr. Paulo Andrade</t>
        </is>
      </c>
      <c r="D540" s="38" t="inlineStr">
        <is>
          <t>Sala 2</t>
        </is>
      </c>
      <c r="E540" s="37" t="inlineStr">
        <is>
          <t>Lucas Lopes</t>
        </is>
      </c>
      <c r="F540" s="38" t="inlineStr">
        <is>
          <t>Particular</t>
        </is>
      </c>
      <c r="G540" s="38" t="inlineStr">
        <is>
          <t>Teste ergométrico</t>
        </is>
      </c>
      <c r="H540" s="38" t="inlineStr">
        <is>
          <t>Realizado</t>
        </is>
      </c>
      <c r="I540" s="38" t="inlineStr">
        <is>
          <t>Dinheiro</t>
        </is>
      </c>
      <c r="J540" s="38" t="n"/>
      <c r="K540" s="37" t="n"/>
      <c r="L540" s="39" t="n">
        <v>40</v>
      </c>
      <c r="M540" s="40" t="n">
        <v>450</v>
      </c>
      <c r="N540" s="30">
        <f>IF(A540="","",MONTH(A540))</f>
        <v>7</v>
      </c>
      <c r="O540" s="30">
        <f>IF(A540="","",YEAR(A540))</f>
        <v>2026</v>
      </c>
      <c r="P540" s="30" t="str">
        <f>IF(A540="","",CHOOSE(WEEKDAY(A540,2),"Segunda","Terça","Quarta","Quinta","Sexta","Sábado","Domingo"))</f>
        <v>Sexta</v>
      </c>
      <c r="Q540" s="30" t="str">
        <f>IF(B540="","",IF(B540&lt;TIME(12,0,0),"Manhã",IF(B540&lt;TIME(18,0,0),"Tarde","Noite")))</f>
        <v>Manhã</v>
      </c>
      <c r="R540" s="46">
        <f>IF(AND(H540="Realizado",L540&lt;&gt;"",A540&lt;=Config!$B$9),L540/60,0)</f>
        <v>0.666666666666667</v>
      </c>
      <c r="S540" s="45">
        <f>IF(G540="","",IFERROR(INDEX(Config!$K$5:$K$16,MATCH(G540,Config!$J$5:$J$16,0)),""))</f>
        <v>40</v>
      </c>
      <c r="T540" s="31">
        <f>IF(OR(G540="",F540=""),"",IFERROR(INDEX(Config!$M$5:$R$16,MATCH(G540,Config!$J$5:$J$16,0),MATCH(F540,Config!$H$5:$H$10,0)),""))</f>
        <v>450</v>
      </c>
      <c r="U540" s="47">
        <f>IF(AND(H540="Realizado",L540&lt;&gt;""),L540/60,0)</f>
        <v>0.666666666666667</v>
      </c>
      <c r="V540" s="47">
        <f>IF(AND(H540="Realizado",OR(L540="",M540="")),1,0)</f>
        <v>0</v>
      </c>
    </row>
    <row r="541">
      <c r="A541" s="43" t="n">
        <v>46227</v>
      </c>
      <c r="B541" s="44" t="n">
        <v>0.3819444444444444</v>
      </c>
      <c r="C541" s="38" t="inlineStr">
        <is>
          <t>Dr. Paulo Andrade</t>
        </is>
      </c>
      <c r="D541" s="38" t="inlineStr">
        <is>
          <t>Sala 2</t>
        </is>
      </c>
      <c r="E541" s="37" t="inlineStr">
        <is>
          <t>Mateus Lima</t>
        </is>
      </c>
      <c r="F541" s="38" t="inlineStr">
        <is>
          <t>MediPlan</t>
        </is>
      </c>
      <c r="G541" s="38" t="inlineStr">
        <is>
          <t>MAPA</t>
        </is>
      </c>
      <c r="H541" s="38" t="inlineStr">
        <is>
          <t>Realizado</t>
        </is>
      </c>
      <c r="I541" s="38" t="inlineStr">
        <is>
          <t>Convênio</t>
        </is>
      </c>
      <c r="J541" s="38" t="n"/>
      <c r="K541" s="37" t="n"/>
      <c r="L541" s="39" t="n">
        <v>20</v>
      </c>
      <c r="M541" s="40" t="n">
        <v>85</v>
      </c>
      <c r="N541" s="30">
        <f>IF(A541="","",MONTH(A541))</f>
        <v>7</v>
      </c>
      <c r="O541" s="30">
        <f>IF(A541="","",YEAR(A541))</f>
        <v>2026</v>
      </c>
      <c r="P541" s="30" t="str">
        <f>IF(A541="","",CHOOSE(WEEKDAY(A541,2),"Segunda","Terça","Quarta","Quinta","Sexta","Sábado","Domingo"))</f>
        <v>Sexta</v>
      </c>
      <c r="Q541" s="30" t="str">
        <f>IF(B541="","",IF(B541&lt;TIME(12,0,0),"Manhã",IF(B541&lt;TIME(18,0,0),"Tarde","Noite")))</f>
        <v>Manhã</v>
      </c>
      <c r="R541" s="46">
        <f>IF(AND(H541="Realizado",L541&lt;&gt;"",A541&lt;=Config!$B$9),L541/60,0)</f>
        <v>0.333333333333333</v>
      </c>
      <c r="S541" s="45">
        <f>IF(G541="","",IFERROR(INDEX(Config!$K$5:$K$16,MATCH(G541,Config!$J$5:$J$16,0)),""))</f>
        <v>20</v>
      </c>
      <c r="T541" s="31">
        <f>IF(OR(G541="",F541=""),"",IFERROR(INDEX(Config!$M$5:$R$16,MATCH(G541,Config!$J$5:$J$16,0),MATCH(F541,Config!$H$5:$H$10,0)),""))</f>
        <v>85</v>
      </c>
      <c r="U541" s="47">
        <f>IF(AND(H541="Realizado",L541&lt;&gt;""),L541/60,0)</f>
        <v>0.333333333333333</v>
      </c>
      <c r="V541" s="47">
        <f>IF(AND(H541="Realizado",OR(L541="",M541="")),1,0)</f>
        <v>0</v>
      </c>
    </row>
    <row r="542">
      <c r="A542" s="43" t="n">
        <v>46227</v>
      </c>
      <c r="B542" s="44" t="n">
        <v>0.3958333333333333</v>
      </c>
      <c r="C542" s="38" t="inlineStr">
        <is>
          <t>Dr. Paulo Andrade</t>
        </is>
      </c>
      <c r="D542" s="38" t="inlineStr">
        <is>
          <t>Sala 2</t>
        </is>
      </c>
      <c r="E542" s="37" t="inlineStr">
        <is>
          <t>Gisele Pinto</t>
        </is>
      </c>
      <c r="F542" s="38" t="inlineStr">
        <is>
          <t>Saúde Total</t>
        </is>
      </c>
      <c r="G542" s="38" t="inlineStr">
        <is>
          <t>Consulta</t>
        </is>
      </c>
      <c r="H542" s="38" t="inlineStr">
        <is>
          <t>Realizado</t>
        </is>
      </c>
      <c r="I542" s="38" t="inlineStr">
        <is>
          <t>Convênio</t>
        </is>
      </c>
      <c r="J542" s="38" t="n"/>
      <c r="K542" s="37" t="n"/>
      <c r="L542" s="39" t="n">
        <v>30</v>
      </c>
      <c r="M542" s="40" t="n">
        <v>120</v>
      </c>
      <c r="N542" s="30">
        <f>IF(A542="","",MONTH(A542))</f>
        <v>7</v>
      </c>
      <c r="O542" s="30">
        <f>IF(A542="","",YEAR(A542))</f>
        <v>2026</v>
      </c>
      <c r="P542" s="30" t="str">
        <f>IF(A542="","",CHOOSE(WEEKDAY(A542,2),"Segunda","Terça","Quarta","Quinta","Sexta","Sábado","Domingo"))</f>
        <v>Sexta</v>
      </c>
      <c r="Q542" s="30" t="str">
        <f>IF(B542="","",IF(B542&lt;TIME(12,0,0),"Manhã",IF(B542&lt;TIME(18,0,0),"Tarde","Noite")))</f>
        <v>Manhã</v>
      </c>
      <c r="R542" s="46">
        <f>IF(AND(H542="Realizado",L542&lt;&gt;"",A542&lt;=Config!$B$9),L542/60,0)</f>
        <v>0.5</v>
      </c>
      <c r="S542" s="45">
        <f>IF(G542="","",IFERROR(INDEX(Config!$K$5:$K$16,MATCH(G542,Config!$J$5:$J$16,0)),""))</f>
        <v>30</v>
      </c>
      <c r="T542" s="31">
        <f>IF(OR(G542="",F542=""),"",IFERROR(INDEX(Config!$M$5:$R$16,MATCH(G542,Config!$J$5:$J$16,0),MATCH(F542,Config!$H$5:$H$10,0)),""))</f>
        <v>120</v>
      </c>
      <c r="U542" s="47">
        <f>IF(AND(H542="Realizado",L542&lt;&gt;""),L542/60,0)</f>
        <v>0.5</v>
      </c>
      <c r="V542" s="47">
        <f>IF(AND(H542="Realizado",OR(L542="",M542="")),1,0)</f>
        <v>0</v>
      </c>
    </row>
    <row r="543">
      <c r="A543" s="43" t="n">
        <v>46227</v>
      </c>
      <c r="B543" s="44" t="n">
        <v>0.4166666666666667</v>
      </c>
      <c r="C543" s="38" t="inlineStr">
        <is>
          <t>Dr. Paulo Andrade</t>
        </is>
      </c>
      <c r="D543" s="38" t="inlineStr">
        <is>
          <t>Sala 2</t>
        </is>
      </c>
      <c r="E543" s="37" t="inlineStr">
        <is>
          <t>Helena Ribeiro</t>
        </is>
      </c>
      <c r="F543" s="38" t="inlineStr">
        <is>
          <t>MediPlan</t>
        </is>
      </c>
      <c r="G543" s="38" t="inlineStr">
        <is>
          <t>Retorno</t>
        </is>
      </c>
      <c r="H543" s="38" t="inlineStr">
        <is>
          <t>Realizado</t>
        </is>
      </c>
      <c r="I543" s="38" t="inlineStr">
        <is>
          <t>Sem cobrança</t>
        </is>
      </c>
      <c r="J543" s="38" t="n"/>
      <c r="K543" s="37" t="n"/>
      <c r="L543" s="39" t="n">
        <v>20</v>
      </c>
      <c r="M543" s="40" t="n">
        <v>0</v>
      </c>
      <c r="N543" s="30">
        <f>IF(A543="","",MONTH(A543))</f>
        <v>7</v>
      </c>
      <c r="O543" s="30">
        <f>IF(A543="","",YEAR(A543))</f>
        <v>2026</v>
      </c>
      <c r="P543" s="30" t="str">
        <f>IF(A543="","",CHOOSE(WEEKDAY(A543,2),"Segunda","Terça","Quarta","Quinta","Sexta","Sábado","Domingo"))</f>
        <v>Sexta</v>
      </c>
      <c r="Q543" s="30" t="str">
        <f>IF(B543="","",IF(B543&lt;TIME(12,0,0),"Manhã",IF(B543&lt;TIME(18,0,0),"Tarde","Noite")))</f>
        <v>Manhã</v>
      </c>
      <c r="R543" s="46">
        <f>IF(AND(H543="Realizado",L543&lt;&gt;"",A543&lt;=Config!$B$9),L543/60,0)</f>
        <v>0.333333333333333</v>
      </c>
      <c r="S543" s="45">
        <f>IF(G543="","",IFERROR(INDEX(Config!$K$5:$K$16,MATCH(G543,Config!$J$5:$J$16,0)),""))</f>
        <v>20</v>
      </c>
      <c r="T543" s="31">
        <f>IF(OR(G543="",F543=""),"",IFERROR(INDEX(Config!$M$5:$R$16,MATCH(G543,Config!$J$5:$J$16,0),MATCH(F543,Config!$H$5:$H$10,0)),""))</f>
        <v>0</v>
      </c>
      <c r="U543" s="47">
        <f>IF(AND(H543="Realizado",L543&lt;&gt;""),L543/60,0)</f>
        <v>0.333333333333333</v>
      </c>
      <c r="V543" s="47">
        <f>IF(AND(H543="Realizado",OR(L543="",M543="")),1,0)</f>
        <v>0</v>
      </c>
    </row>
    <row r="544">
      <c r="A544" s="43" t="n">
        <v>46227</v>
      </c>
      <c r="B544" s="44" t="n">
        <v>0.4305555555555556</v>
      </c>
      <c r="C544" s="38" t="inlineStr">
        <is>
          <t>Dr. Paulo Andrade</t>
        </is>
      </c>
      <c r="D544" s="38" t="inlineStr">
        <is>
          <t>Sala 2</t>
        </is>
      </c>
      <c r="E544" s="37" t="inlineStr">
        <is>
          <t>Ana Costa</t>
        </is>
      </c>
      <c r="F544" s="38" t="inlineStr">
        <is>
          <t>Particular</t>
        </is>
      </c>
      <c r="G544" s="38" t="inlineStr">
        <is>
          <t>ECG</t>
        </is>
      </c>
      <c r="H544" s="38" t="inlineStr">
        <is>
          <t>Realizado</t>
        </is>
      </c>
      <c r="I544" s="38" t="inlineStr">
        <is>
          <t>Pix</t>
        </is>
      </c>
      <c r="J544" s="38" t="n"/>
      <c r="K544" s="37" t="n"/>
      <c r="L544" s="39" t="n">
        <v>20</v>
      </c>
      <c r="M544" s="40" t="n">
        <v>130</v>
      </c>
      <c r="N544" s="30">
        <f>IF(A544="","",MONTH(A544))</f>
        <v>7</v>
      </c>
      <c r="O544" s="30">
        <f>IF(A544="","",YEAR(A544))</f>
        <v>2026</v>
      </c>
      <c r="P544" s="30" t="str">
        <f>IF(A544="","",CHOOSE(WEEKDAY(A544,2),"Segunda","Terça","Quarta","Quinta","Sexta","Sábado","Domingo"))</f>
        <v>Sexta</v>
      </c>
      <c r="Q544" s="30" t="str">
        <f>IF(B544="","",IF(B544&lt;TIME(12,0,0),"Manhã",IF(B544&lt;TIME(18,0,0),"Tarde","Noite")))</f>
        <v>Manhã</v>
      </c>
      <c r="R544" s="46">
        <f>IF(AND(H544="Realizado",L544&lt;&gt;"",A544&lt;=Config!$B$9),L544/60,0)</f>
        <v>0.333333333333333</v>
      </c>
      <c r="S544" s="45">
        <f>IF(G544="","",IFERROR(INDEX(Config!$K$5:$K$16,MATCH(G544,Config!$J$5:$J$16,0)),""))</f>
        <v>20</v>
      </c>
      <c r="T544" s="31">
        <f>IF(OR(G544="",F544=""),"",IFERROR(INDEX(Config!$M$5:$R$16,MATCH(G544,Config!$J$5:$J$16,0),MATCH(F544,Config!$H$5:$H$10,0)),""))</f>
        <v>130</v>
      </c>
      <c r="U544" s="47">
        <f>IF(AND(H544="Realizado",L544&lt;&gt;""),L544/60,0)</f>
        <v>0.333333333333333</v>
      </c>
      <c r="V544" s="47">
        <f>IF(AND(H544="Realizado",OR(L544="",M544="")),1,0)</f>
        <v>0</v>
      </c>
    </row>
    <row r="545">
      <c r="A545" s="43" t="n">
        <v>46227</v>
      </c>
      <c r="B545" s="44" t="n">
        <v>0.4444444444444444</v>
      </c>
      <c r="C545" s="38" t="inlineStr">
        <is>
          <t>Dr. Paulo Andrade</t>
        </is>
      </c>
      <c r="D545" s="38" t="inlineStr">
        <is>
          <t>Sala 2</t>
        </is>
      </c>
      <c r="E545" s="37" t="inlineStr">
        <is>
          <t>Wagner Costa</t>
        </is>
      </c>
      <c r="F545" s="38" t="inlineStr">
        <is>
          <t>Particular</t>
        </is>
      </c>
      <c r="G545" s="38" t="inlineStr">
        <is>
          <t>Retorno</t>
        </is>
      </c>
      <c r="H545" s="38" t="inlineStr">
        <is>
          <t>Realizado</t>
        </is>
      </c>
      <c r="I545" s="38" t="inlineStr">
        <is>
          <t>Sem cobrança</t>
        </is>
      </c>
      <c r="J545" s="38" t="n"/>
      <c r="K545" s="37" t="n"/>
      <c r="L545" s="39" t="n">
        <v>20</v>
      </c>
      <c r="M545" s="40" t="n">
        <v>0</v>
      </c>
      <c r="N545" s="30">
        <f>IF(A545="","",MONTH(A545))</f>
        <v>7</v>
      </c>
      <c r="O545" s="30">
        <f>IF(A545="","",YEAR(A545))</f>
        <v>2026</v>
      </c>
      <c r="P545" s="30" t="str">
        <f>IF(A545="","",CHOOSE(WEEKDAY(A545,2),"Segunda","Terça","Quarta","Quinta","Sexta","Sábado","Domingo"))</f>
        <v>Sexta</v>
      </c>
      <c r="Q545" s="30" t="str">
        <f>IF(B545="","",IF(B545&lt;TIME(12,0,0),"Manhã",IF(B545&lt;TIME(18,0,0),"Tarde","Noite")))</f>
        <v>Manhã</v>
      </c>
      <c r="R545" s="46">
        <f>IF(AND(H545="Realizado",L545&lt;&gt;"",A545&lt;=Config!$B$9),L545/60,0)</f>
        <v>0.333333333333333</v>
      </c>
      <c r="S545" s="45">
        <f>IF(G545="","",IFERROR(INDEX(Config!$K$5:$K$16,MATCH(G545,Config!$J$5:$J$16,0)),""))</f>
        <v>20</v>
      </c>
      <c r="T545" s="31">
        <f>IF(OR(G545="",F545=""),"",IFERROR(INDEX(Config!$M$5:$R$16,MATCH(G545,Config!$J$5:$J$16,0),MATCH(F545,Config!$H$5:$H$10,0)),""))</f>
        <v>0</v>
      </c>
      <c r="U545" s="47">
        <f>IF(AND(H545="Realizado",L545&lt;&gt;""),L545/60,0)</f>
        <v>0.333333333333333</v>
      </c>
      <c r="V545" s="47">
        <f>IF(AND(H545="Realizado",OR(L545="",M545="")),1,0)</f>
        <v>0</v>
      </c>
    </row>
    <row r="546">
      <c r="A546" s="43" t="n">
        <v>46227</v>
      </c>
      <c r="B546" s="44" t="n">
        <v>0.4583333333333333</v>
      </c>
      <c r="C546" s="38" t="inlineStr">
        <is>
          <t>Dr. Paulo Andrade</t>
        </is>
      </c>
      <c r="D546" s="38" t="inlineStr">
        <is>
          <t>Sala 2</t>
        </is>
      </c>
      <c r="E546" s="37" t="inlineStr">
        <is>
          <t>Eduardo Lima</t>
        </is>
      </c>
      <c r="F546" s="38" t="inlineStr">
        <is>
          <t>Particular</t>
        </is>
      </c>
      <c r="G546" s="38" t="inlineStr">
        <is>
          <t>Teste ergométrico</t>
        </is>
      </c>
      <c r="H546" s="38" t="inlineStr">
        <is>
          <t>Realizado</t>
        </is>
      </c>
      <c r="I546" s="38" t="inlineStr">
        <is>
          <t>A prazo</t>
        </is>
      </c>
      <c r="J546" s="38" t="n"/>
      <c r="K546" s="37" t="n"/>
      <c r="L546" s="39" t="n">
        <v>40</v>
      </c>
      <c r="M546" s="40" t="n">
        <v>450</v>
      </c>
      <c r="N546" s="30">
        <f>IF(A546="","",MONTH(A546))</f>
        <v>7</v>
      </c>
      <c r="O546" s="30">
        <f>IF(A546="","",YEAR(A546))</f>
        <v>2026</v>
      </c>
      <c r="P546" s="30" t="str">
        <f>IF(A546="","",CHOOSE(WEEKDAY(A546,2),"Segunda","Terça","Quarta","Quinta","Sexta","Sábado","Domingo"))</f>
        <v>Sexta</v>
      </c>
      <c r="Q546" s="30" t="str">
        <f>IF(B546="","",IF(B546&lt;TIME(12,0,0),"Manhã",IF(B546&lt;TIME(18,0,0),"Tarde","Noite")))</f>
        <v>Manhã</v>
      </c>
      <c r="R546" s="46">
        <f>IF(AND(H546="Realizado",L546&lt;&gt;"",A546&lt;=Config!$B$9),L546/60,0)</f>
        <v>0.666666666666667</v>
      </c>
      <c r="S546" s="45">
        <f>IF(G546="","",IFERROR(INDEX(Config!$K$5:$K$16,MATCH(G546,Config!$J$5:$J$16,0)),""))</f>
        <v>40</v>
      </c>
      <c r="T546" s="31">
        <f>IF(OR(G546="",F546=""),"",IFERROR(INDEX(Config!$M$5:$R$16,MATCH(G546,Config!$J$5:$J$16,0),MATCH(F546,Config!$H$5:$H$10,0)),""))</f>
        <v>450</v>
      </c>
      <c r="U546" s="47">
        <f>IF(AND(H546="Realizado",L546&lt;&gt;""),L546/60,0)</f>
        <v>0.666666666666667</v>
      </c>
      <c r="V546" s="47">
        <f>IF(AND(H546="Realizado",OR(L546="",M546="")),1,0)</f>
        <v>0</v>
      </c>
    </row>
    <row r="547">
      <c r="A547" s="43" t="n">
        <v>46230</v>
      </c>
      <c r="B547" s="44" t="n">
        <v>0.3333333333333333</v>
      </c>
      <c r="C547" s="38" t="inlineStr">
        <is>
          <t>Dra. Carolina Mendes</t>
        </is>
      </c>
      <c r="D547" s="38" t="inlineStr">
        <is>
          <t>Sala 1</t>
        </is>
      </c>
      <c r="E547" s="37" t="inlineStr">
        <is>
          <t>Regina Duarte</t>
        </is>
      </c>
      <c r="F547" s="38" t="inlineStr">
        <is>
          <t>Particular</t>
        </is>
      </c>
      <c r="G547" s="38" t="inlineStr">
        <is>
          <t>Consulta</t>
        </is>
      </c>
      <c r="H547" s="38" t="inlineStr">
        <is>
          <t>Realizado</t>
        </is>
      </c>
      <c r="I547" s="38" t="inlineStr">
        <is>
          <t>A prazo</t>
        </is>
      </c>
      <c r="J547" s="38" t="n"/>
      <c r="K547" s="37" t="n"/>
      <c r="L547" s="39" t="n">
        <v>30</v>
      </c>
      <c r="M547" s="40" t="n">
        <v>380</v>
      </c>
      <c r="N547" s="30">
        <f>IF(A547="","",MONTH(A547))</f>
        <v>7</v>
      </c>
      <c r="O547" s="30">
        <f>IF(A547="","",YEAR(A547))</f>
        <v>2026</v>
      </c>
      <c r="P547" s="30" t="str">
        <f>IF(A547="","",CHOOSE(WEEKDAY(A547,2),"Segunda","Terça","Quarta","Quinta","Sexta","Sábado","Domingo"))</f>
        <v>Segunda</v>
      </c>
      <c r="Q547" s="30" t="str">
        <f>IF(B547="","",IF(B547&lt;TIME(12,0,0),"Manhã",IF(B547&lt;TIME(18,0,0),"Tarde","Noite")))</f>
        <v>Manhã</v>
      </c>
      <c r="R547" s="46">
        <f>IF(AND(H547="Realizado",L547&lt;&gt;"",A547&lt;=Config!$B$9),L547/60,0)</f>
        <v>0.5</v>
      </c>
      <c r="S547" s="45">
        <f>IF(G547="","",IFERROR(INDEX(Config!$K$5:$K$16,MATCH(G547,Config!$J$5:$J$16,0)),""))</f>
        <v>30</v>
      </c>
      <c r="T547" s="31">
        <f>IF(OR(G547="",F547=""),"",IFERROR(INDEX(Config!$M$5:$R$16,MATCH(G547,Config!$J$5:$J$16,0),MATCH(F547,Config!$H$5:$H$10,0)),""))</f>
        <v>380</v>
      </c>
      <c r="U547" s="47">
        <f>IF(AND(H547="Realizado",L547&lt;&gt;""),L547/60,0)</f>
        <v>0.5</v>
      </c>
      <c r="V547" s="47">
        <f>IF(AND(H547="Realizado",OR(L547="",M547="")),1,0)</f>
        <v>0</v>
      </c>
    </row>
    <row r="548">
      <c r="A548" s="43" t="n">
        <v>46230</v>
      </c>
      <c r="B548" s="44" t="n">
        <v>0.375</v>
      </c>
      <c r="C548" s="38" t="inlineStr">
        <is>
          <t>Dra. Carolina Mendes</t>
        </is>
      </c>
      <c r="D548" s="38" t="inlineStr">
        <is>
          <t>Sala 1</t>
        </is>
      </c>
      <c r="E548" s="37" t="inlineStr">
        <is>
          <t>Priscila Nunes</t>
        </is>
      </c>
      <c r="F548" s="38" t="inlineStr">
        <is>
          <t>MediPlan</t>
        </is>
      </c>
      <c r="G548" s="38" t="inlineStr">
        <is>
          <t>Consulta</t>
        </is>
      </c>
      <c r="H548" s="38" t="inlineStr">
        <is>
          <t>Realizado</t>
        </is>
      </c>
      <c r="I548" s="38" t="inlineStr">
        <is>
          <t>Convênio</t>
        </is>
      </c>
      <c r="J548" s="38" t="n"/>
      <c r="K548" s="37" t="n"/>
      <c r="L548" s="39" t="n">
        <v>30</v>
      </c>
      <c r="M548" s="40" t="n">
        <v>100</v>
      </c>
      <c r="N548" s="30">
        <f>IF(A548="","",MONTH(A548))</f>
        <v>7</v>
      </c>
      <c r="O548" s="30">
        <f>IF(A548="","",YEAR(A548))</f>
        <v>2026</v>
      </c>
      <c r="P548" s="30" t="str">
        <f>IF(A548="","",CHOOSE(WEEKDAY(A548,2),"Segunda","Terça","Quarta","Quinta","Sexta","Sábado","Domingo"))</f>
        <v>Segunda</v>
      </c>
      <c r="Q548" s="30" t="str">
        <f>IF(B548="","",IF(B548&lt;TIME(12,0,0),"Manhã",IF(B548&lt;TIME(18,0,0),"Tarde","Noite")))</f>
        <v>Manhã</v>
      </c>
      <c r="R548" s="46">
        <f>IF(AND(H548="Realizado",L548&lt;&gt;"",A548&lt;=Config!$B$9),L548/60,0)</f>
        <v>0.5</v>
      </c>
      <c r="S548" s="45">
        <f>IF(G548="","",IFERROR(INDEX(Config!$K$5:$K$16,MATCH(G548,Config!$J$5:$J$16,0)),""))</f>
        <v>30</v>
      </c>
      <c r="T548" s="31">
        <f>IF(OR(G548="",F548=""),"",IFERROR(INDEX(Config!$M$5:$R$16,MATCH(G548,Config!$J$5:$J$16,0),MATCH(F548,Config!$H$5:$H$10,0)),""))</f>
        <v>100</v>
      </c>
      <c r="U548" s="47">
        <f>IF(AND(H548="Realizado",L548&lt;&gt;""),L548/60,0)</f>
        <v>0.5</v>
      </c>
      <c r="V548" s="47">
        <f>IF(AND(H548="Realizado",OR(L548="",M548="")),1,0)</f>
        <v>0</v>
      </c>
    </row>
    <row r="549">
      <c r="A549" s="43" t="n">
        <v>46230</v>
      </c>
      <c r="B549" s="44" t="n">
        <v>0.3958333333333333</v>
      </c>
      <c r="C549" s="38" t="inlineStr">
        <is>
          <t>Dra. Carolina Mendes</t>
        </is>
      </c>
      <c r="D549" s="38" t="inlineStr">
        <is>
          <t>Sala 1</t>
        </is>
      </c>
      <c r="E549" s="37" t="inlineStr">
        <is>
          <t>Isabela Pinto</t>
        </is>
      </c>
      <c r="F549" s="38" t="inlineStr">
        <is>
          <t>Saúde Total</t>
        </is>
      </c>
      <c r="G549" s="38" t="inlineStr">
        <is>
          <t>Consulta</t>
        </is>
      </c>
      <c r="H549" s="38" t="inlineStr">
        <is>
          <t>Realizado</t>
        </is>
      </c>
      <c r="I549" s="38" t="inlineStr">
        <is>
          <t>Convênio</t>
        </is>
      </c>
      <c r="J549" s="38" t="n"/>
      <c r="K549" s="37" t="n"/>
      <c r="L549" s="39" t="n">
        <v>30</v>
      </c>
      <c r="M549" s="40" t="n">
        <v>120</v>
      </c>
      <c r="N549" s="30">
        <f>IF(A549="","",MONTH(A549))</f>
        <v>7</v>
      </c>
      <c r="O549" s="30">
        <f>IF(A549="","",YEAR(A549))</f>
        <v>2026</v>
      </c>
      <c r="P549" s="30" t="str">
        <f>IF(A549="","",CHOOSE(WEEKDAY(A549,2),"Segunda","Terça","Quarta","Quinta","Sexta","Sábado","Domingo"))</f>
        <v>Segunda</v>
      </c>
      <c r="Q549" s="30" t="str">
        <f>IF(B549="","",IF(B549&lt;TIME(12,0,0),"Manhã",IF(B549&lt;TIME(18,0,0),"Tarde","Noite")))</f>
        <v>Manhã</v>
      </c>
      <c r="R549" s="46">
        <f>IF(AND(H549="Realizado",L549&lt;&gt;"",A549&lt;=Config!$B$9),L549/60,0)</f>
        <v>0.5</v>
      </c>
      <c r="S549" s="45">
        <f>IF(G549="","",IFERROR(INDEX(Config!$K$5:$K$16,MATCH(G549,Config!$J$5:$J$16,0)),""))</f>
        <v>30</v>
      </c>
      <c r="T549" s="31">
        <f>IF(OR(G549="",F549=""),"",IFERROR(INDEX(Config!$M$5:$R$16,MATCH(G549,Config!$J$5:$J$16,0),MATCH(F549,Config!$H$5:$H$10,0)),""))</f>
        <v>120</v>
      </c>
      <c r="U549" s="47">
        <f>IF(AND(H549="Realizado",L549&lt;&gt;""),L549/60,0)</f>
        <v>0.5</v>
      </c>
      <c r="V549" s="47">
        <f>IF(AND(H549="Realizado",OR(L549="",M549="")),1,0)</f>
        <v>0</v>
      </c>
    </row>
    <row r="550">
      <c r="A550" s="43" t="n">
        <v>46230</v>
      </c>
      <c r="B550" s="44" t="n">
        <v>0.4375</v>
      </c>
      <c r="C550" s="38" t="inlineStr">
        <is>
          <t>Dra. Carolina Mendes</t>
        </is>
      </c>
      <c r="D550" s="38" t="inlineStr">
        <is>
          <t>Sala 1</t>
        </is>
      </c>
      <c r="E550" s="37" t="inlineStr">
        <is>
          <t>Eduardo Lima</t>
        </is>
      </c>
      <c r="F550" s="38" t="inlineStr">
        <is>
          <t>Particular</t>
        </is>
      </c>
      <c r="G550" s="38" t="inlineStr">
        <is>
          <t>Consulta</t>
        </is>
      </c>
      <c r="H550" s="38" t="inlineStr">
        <is>
          <t>Realizado</t>
        </is>
      </c>
      <c r="I550" s="38" t="inlineStr">
        <is>
          <t>Cartão de crédito</t>
        </is>
      </c>
      <c r="J550" s="38" t="n"/>
      <c r="K550" s="37" t="n"/>
      <c r="L550" s="39" t="n">
        <v>30</v>
      </c>
      <c r="M550" s="40" t="n">
        <v>380</v>
      </c>
      <c r="N550" s="30">
        <f>IF(A550="","",MONTH(A550))</f>
        <v>7</v>
      </c>
      <c r="O550" s="30">
        <f>IF(A550="","",YEAR(A550))</f>
        <v>2026</v>
      </c>
      <c r="P550" s="30" t="str">
        <f>IF(A550="","",CHOOSE(WEEKDAY(A550,2),"Segunda","Terça","Quarta","Quinta","Sexta","Sábado","Domingo"))</f>
        <v>Segunda</v>
      </c>
      <c r="Q550" s="30" t="str">
        <f>IF(B550="","",IF(B550&lt;TIME(12,0,0),"Manhã",IF(B550&lt;TIME(18,0,0),"Tarde","Noite")))</f>
        <v>Manhã</v>
      </c>
      <c r="R550" s="46">
        <f>IF(AND(H550="Realizado",L550&lt;&gt;"",A550&lt;=Config!$B$9),L550/60,0)</f>
        <v>0.5</v>
      </c>
      <c r="S550" s="45">
        <f>IF(G550="","",IFERROR(INDEX(Config!$K$5:$K$16,MATCH(G550,Config!$J$5:$J$16,0)),""))</f>
        <v>30</v>
      </c>
      <c r="T550" s="31">
        <f>IF(OR(G550="",F550=""),"",IFERROR(INDEX(Config!$M$5:$R$16,MATCH(G550,Config!$J$5:$J$16,0),MATCH(F550,Config!$H$5:$H$10,0)),""))</f>
        <v>380</v>
      </c>
      <c r="U550" s="47">
        <f>IF(AND(H550="Realizado",L550&lt;&gt;""),L550/60,0)</f>
        <v>0.5</v>
      </c>
      <c r="V550" s="47">
        <f>IF(AND(H550="Realizado",OR(L550="",M550="")),1,0)</f>
        <v>0</v>
      </c>
    </row>
    <row r="551">
      <c r="A551" s="43" t="n">
        <v>46230</v>
      </c>
      <c r="B551" s="44" t="n">
        <v>0.4583333333333333</v>
      </c>
      <c r="C551" s="38" t="inlineStr">
        <is>
          <t>Dra. Carolina Mendes</t>
        </is>
      </c>
      <c r="D551" s="38" t="inlineStr">
        <is>
          <t>Sala 1</t>
        </is>
      </c>
      <c r="E551" s="37" t="inlineStr">
        <is>
          <t>Sérgio Martins</t>
        </is>
      </c>
      <c r="F551" s="38" t="inlineStr">
        <is>
          <t>Particular</t>
        </is>
      </c>
      <c r="G551" s="38" t="inlineStr">
        <is>
          <t>Consulta</t>
        </is>
      </c>
      <c r="H551" s="38" t="inlineStr">
        <is>
          <t>Realizado</t>
        </is>
      </c>
      <c r="I551" s="38" t="inlineStr">
        <is>
          <t>Dinheiro</t>
        </is>
      </c>
      <c r="J551" s="38" t="n"/>
      <c r="K551" s="37" t="n"/>
      <c r="L551" s="39" t="n">
        <v>30</v>
      </c>
      <c r="M551" s="40" t="n">
        <v>380</v>
      </c>
      <c r="N551" s="30">
        <f>IF(A551="","",MONTH(A551))</f>
        <v>7</v>
      </c>
      <c r="O551" s="30">
        <f>IF(A551="","",YEAR(A551))</f>
        <v>2026</v>
      </c>
      <c r="P551" s="30" t="str">
        <f>IF(A551="","",CHOOSE(WEEKDAY(A551,2),"Segunda","Terça","Quarta","Quinta","Sexta","Sábado","Domingo"))</f>
        <v>Segunda</v>
      </c>
      <c r="Q551" s="30" t="str">
        <f>IF(B551="","",IF(B551&lt;TIME(12,0,0),"Manhã",IF(B551&lt;TIME(18,0,0),"Tarde","Noite")))</f>
        <v>Manhã</v>
      </c>
      <c r="R551" s="46">
        <f>IF(AND(H551="Realizado",L551&lt;&gt;"",A551&lt;=Config!$B$9),L551/60,0)</f>
        <v>0.5</v>
      </c>
      <c r="S551" s="45">
        <f>IF(G551="","",IFERROR(INDEX(Config!$K$5:$K$16,MATCH(G551,Config!$J$5:$J$16,0)),""))</f>
        <v>30</v>
      </c>
      <c r="T551" s="31">
        <f>IF(OR(G551="",F551=""),"",IFERROR(INDEX(Config!$M$5:$R$16,MATCH(G551,Config!$J$5:$J$16,0),MATCH(F551,Config!$H$5:$H$10,0)),""))</f>
        <v>380</v>
      </c>
      <c r="U551" s="47">
        <f>IF(AND(H551="Realizado",L551&lt;&gt;""),L551/60,0)</f>
        <v>0.5</v>
      </c>
      <c r="V551" s="47">
        <f>IF(AND(H551="Realizado",OR(L551="",M551="")),1,0)</f>
        <v>0</v>
      </c>
    </row>
    <row r="552">
      <c r="A552" s="43" t="n">
        <v>46230</v>
      </c>
      <c r="B552" s="44" t="n">
        <v>0.4791666666666667</v>
      </c>
      <c r="C552" s="38" t="inlineStr">
        <is>
          <t>Dra. Carolina Mendes</t>
        </is>
      </c>
      <c r="D552" s="38" t="inlineStr">
        <is>
          <t>Sala 1</t>
        </is>
      </c>
      <c r="E552" s="37" t="inlineStr">
        <is>
          <t>Débora Ramos</t>
        </is>
      </c>
      <c r="F552" s="38" t="inlineStr">
        <is>
          <t>Particular</t>
        </is>
      </c>
      <c r="G552" s="38" t="inlineStr">
        <is>
          <t>Retorno</t>
        </is>
      </c>
      <c r="H552" s="38" t="inlineStr">
        <is>
          <t>Realizado</t>
        </is>
      </c>
      <c r="I552" s="38" t="inlineStr">
        <is>
          <t>Sem cobrança</t>
        </is>
      </c>
      <c r="J552" s="38" t="n"/>
      <c r="K552" s="37" t="n"/>
      <c r="L552" s="39" t="n">
        <v>20</v>
      </c>
      <c r="M552" s="40" t="n">
        <v>0</v>
      </c>
      <c r="N552" s="30">
        <f>IF(A552="","",MONTH(A552))</f>
        <v>7</v>
      </c>
      <c r="O552" s="30">
        <f>IF(A552="","",YEAR(A552))</f>
        <v>2026</v>
      </c>
      <c r="P552" s="30" t="str">
        <f>IF(A552="","",CHOOSE(WEEKDAY(A552,2),"Segunda","Terça","Quarta","Quinta","Sexta","Sábado","Domingo"))</f>
        <v>Segunda</v>
      </c>
      <c r="Q552" s="30" t="str">
        <f>IF(B552="","",IF(B552&lt;TIME(12,0,0),"Manhã",IF(B552&lt;TIME(18,0,0),"Tarde","Noite")))</f>
        <v>Manhã</v>
      </c>
      <c r="R552" s="46">
        <f>IF(AND(H552="Realizado",L552&lt;&gt;"",A552&lt;=Config!$B$9),L552/60,0)</f>
        <v>0.333333333333333</v>
      </c>
      <c r="S552" s="45">
        <f>IF(G552="","",IFERROR(INDEX(Config!$K$5:$K$16,MATCH(G552,Config!$J$5:$J$16,0)),""))</f>
        <v>20</v>
      </c>
      <c r="T552" s="31">
        <f>IF(OR(G552="",F552=""),"",IFERROR(INDEX(Config!$M$5:$R$16,MATCH(G552,Config!$J$5:$J$16,0),MATCH(F552,Config!$H$5:$H$10,0)),""))</f>
        <v>0</v>
      </c>
      <c r="U552" s="47">
        <f>IF(AND(H552="Realizado",L552&lt;&gt;""),L552/60,0)</f>
        <v>0.333333333333333</v>
      </c>
      <c r="V552" s="47">
        <f>IF(AND(H552="Realizado",OR(L552="",M552="")),1,0)</f>
        <v>0</v>
      </c>
    </row>
    <row r="553">
      <c r="A553" s="43" t="n">
        <v>46230</v>
      </c>
      <c r="B553" s="44" t="n">
        <v>0.5833333333333334</v>
      </c>
      <c r="C553" s="38" t="inlineStr">
        <is>
          <t>Dr. Paulo Andrade</t>
        </is>
      </c>
      <c r="D553" s="38" t="inlineStr">
        <is>
          <t>Sala 2</t>
        </is>
      </c>
      <c r="E553" s="37" t="inlineStr">
        <is>
          <t>Débora Moreira</t>
        </is>
      </c>
      <c r="F553" s="38" t="inlineStr">
        <is>
          <t>Particular</t>
        </is>
      </c>
      <c r="G553" s="38" t="inlineStr">
        <is>
          <t>Consulta</t>
        </is>
      </c>
      <c r="H553" s="38" t="inlineStr">
        <is>
          <t>Realizado</t>
        </is>
      </c>
      <c r="I553" s="38" t="inlineStr">
        <is>
          <t>Pix</t>
        </is>
      </c>
      <c r="J553" s="38" t="n"/>
      <c r="K553" s="37" t="n"/>
      <c r="L553" s="39" t="n">
        <v>30</v>
      </c>
      <c r="M553" s="40" t="n">
        <v>380</v>
      </c>
      <c r="N553" s="30">
        <f>IF(A553="","",MONTH(A553))</f>
        <v>7</v>
      </c>
      <c r="O553" s="30">
        <f>IF(A553="","",YEAR(A553))</f>
        <v>2026</v>
      </c>
      <c r="P553" s="30" t="str">
        <f>IF(A553="","",CHOOSE(WEEKDAY(A553,2),"Segunda","Terça","Quarta","Quinta","Sexta","Sábado","Domingo"))</f>
        <v>Segunda</v>
      </c>
      <c r="Q553" s="30" t="str">
        <f>IF(B553="","",IF(B553&lt;TIME(12,0,0),"Manhã",IF(B553&lt;TIME(18,0,0),"Tarde","Noite")))</f>
        <v>Tarde</v>
      </c>
      <c r="R553" s="46">
        <f>IF(AND(H553="Realizado",L553&lt;&gt;"",A553&lt;=Config!$B$9),L553/60,0)</f>
        <v>0.5</v>
      </c>
      <c r="S553" s="45">
        <f>IF(G553="","",IFERROR(INDEX(Config!$K$5:$K$16,MATCH(G553,Config!$J$5:$J$16,0)),""))</f>
        <v>30</v>
      </c>
      <c r="T553" s="31">
        <f>IF(OR(G553="",F553=""),"",IFERROR(INDEX(Config!$M$5:$R$16,MATCH(G553,Config!$J$5:$J$16,0),MATCH(F553,Config!$H$5:$H$10,0)),""))</f>
        <v>380</v>
      </c>
      <c r="U553" s="47">
        <f>IF(AND(H553="Realizado",L553&lt;&gt;""),L553/60,0)</f>
        <v>0.5</v>
      </c>
      <c r="V553" s="47">
        <f>IF(AND(H553="Realizado",OR(L553="",M553="")),1,0)</f>
        <v>0</v>
      </c>
    </row>
    <row r="554">
      <c r="A554" s="43" t="n">
        <v>46230</v>
      </c>
      <c r="B554" s="44" t="n">
        <v>0.6041666666666666</v>
      </c>
      <c r="C554" s="38" t="inlineStr">
        <is>
          <t>Dr. Paulo Andrade</t>
        </is>
      </c>
      <c r="D554" s="38" t="inlineStr">
        <is>
          <t>Sala 2</t>
        </is>
      </c>
      <c r="E554" s="37" t="inlineStr">
        <is>
          <t>Gabriel Oliveira</t>
        </is>
      </c>
      <c r="F554" s="38" t="inlineStr">
        <is>
          <t>Particular</t>
        </is>
      </c>
      <c r="G554" s="38" t="inlineStr">
        <is>
          <t>Consulta</t>
        </is>
      </c>
      <c r="H554" s="38" t="inlineStr">
        <is>
          <t>Falta</t>
        </is>
      </c>
      <c r="I554" s="38" t="n"/>
      <c r="J554" s="38" t="n"/>
      <c r="K554" s="37" t="n"/>
      <c r="L554" s="39" t="n">
        <v>30</v>
      </c>
      <c r="M554" s="40" t="n">
        <v>380</v>
      </c>
      <c r="N554" s="30">
        <f>IF(A554="","",MONTH(A554))</f>
        <v>7</v>
      </c>
      <c r="O554" s="30">
        <f>IF(A554="","",YEAR(A554))</f>
        <v>2026</v>
      </c>
      <c r="P554" s="30" t="str">
        <f>IF(A554="","",CHOOSE(WEEKDAY(A554,2),"Segunda","Terça","Quarta","Quinta","Sexta","Sábado","Domingo"))</f>
        <v>Segunda</v>
      </c>
      <c r="Q554" s="30" t="str">
        <f>IF(B554="","",IF(B554&lt;TIME(12,0,0),"Manhã",IF(B554&lt;TIME(18,0,0),"Tarde","Noite")))</f>
        <v>Tarde</v>
      </c>
      <c r="R554" s="46">
        <f>IF(AND(H554="Realizado",L554&lt;&gt;"",A554&lt;=Config!$B$9),L554/60,0)</f>
        <v>0</v>
      </c>
      <c r="S554" s="45">
        <f>IF(G554="","",IFERROR(INDEX(Config!$K$5:$K$16,MATCH(G554,Config!$J$5:$J$16,0)),""))</f>
        <v>30</v>
      </c>
      <c r="T554" s="31">
        <f>IF(OR(G554="",F554=""),"",IFERROR(INDEX(Config!$M$5:$R$16,MATCH(G554,Config!$J$5:$J$16,0),MATCH(F554,Config!$H$5:$H$10,0)),""))</f>
        <v>380</v>
      </c>
      <c r="U554" s="47">
        <f>IF(AND(H554="Realizado",L554&lt;&gt;""),L554/60,0)</f>
        <v>0</v>
      </c>
      <c r="V554" s="47">
        <f>IF(AND(H554="Realizado",OR(L554="",M554="")),1,0)</f>
        <v>0</v>
      </c>
    </row>
    <row r="555">
      <c r="A555" s="43" t="n">
        <v>46230</v>
      </c>
      <c r="B555" s="44" t="n">
        <v>0.6458333333333334</v>
      </c>
      <c r="C555" s="38" t="inlineStr">
        <is>
          <t>Dr. Paulo Andrade</t>
        </is>
      </c>
      <c r="D555" s="38" t="inlineStr">
        <is>
          <t>Sala 2</t>
        </is>
      </c>
      <c r="E555" s="37" t="inlineStr">
        <is>
          <t>Paulo Nascimento</t>
        </is>
      </c>
      <c r="F555" s="38" t="inlineStr">
        <is>
          <t>MediPlan</t>
        </is>
      </c>
      <c r="G555" s="38" t="inlineStr">
        <is>
          <t>Retorno</t>
        </is>
      </c>
      <c r="H555" s="38" t="inlineStr">
        <is>
          <t>Realizado</t>
        </is>
      </c>
      <c r="I555" s="38" t="inlineStr">
        <is>
          <t>Sem cobrança</t>
        </is>
      </c>
      <c r="J555" s="38" t="n"/>
      <c r="K555" s="37" t="n"/>
      <c r="L555" s="39" t="n">
        <v>20</v>
      </c>
      <c r="M555" s="40" t="n">
        <v>0</v>
      </c>
      <c r="N555" s="30">
        <f>IF(A555="","",MONTH(A555))</f>
        <v>7</v>
      </c>
      <c r="O555" s="30">
        <f>IF(A555="","",YEAR(A555))</f>
        <v>2026</v>
      </c>
      <c r="P555" s="30" t="str">
        <f>IF(A555="","",CHOOSE(WEEKDAY(A555,2),"Segunda","Terça","Quarta","Quinta","Sexta","Sábado","Domingo"))</f>
        <v>Segunda</v>
      </c>
      <c r="Q555" s="30" t="str">
        <f>IF(B555="","",IF(B555&lt;TIME(12,0,0),"Manhã",IF(B555&lt;TIME(18,0,0),"Tarde","Noite")))</f>
        <v>Tarde</v>
      </c>
      <c r="R555" s="46">
        <f>IF(AND(H555="Realizado",L555&lt;&gt;"",A555&lt;=Config!$B$9),L555/60,0)</f>
        <v>0.333333333333333</v>
      </c>
      <c r="S555" s="45">
        <f>IF(G555="","",IFERROR(INDEX(Config!$K$5:$K$16,MATCH(G555,Config!$J$5:$J$16,0)),""))</f>
        <v>20</v>
      </c>
      <c r="T555" s="31">
        <f>IF(OR(G555="",F555=""),"",IFERROR(INDEX(Config!$M$5:$R$16,MATCH(G555,Config!$J$5:$J$16,0),MATCH(F555,Config!$H$5:$H$10,0)),""))</f>
        <v>0</v>
      </c>
      <c r="U555" s="47">
        <f>IF(AND(H555="Realizado",L555&lt;&gt;""),L555/60,0)</f>
        <v>0.333333333333333</v>
      </c>
      <c r="V555" s="47">
        <f>IF(AND(H555="Realizado",OR(L555="",M555="")),1,0)</f>
        <v>0</v>
      </c>
    </row>
    <row r="556">
      <c r="A556" s="43" t="n">
        <v>46230</v>
      </c>
      <c r="B556" s="44" t="n">
        <v>0.6597222222222222</v>
      </c>
      <c r="C556" s="38" t="inlineStr">
        <is>
          <t>Dr. Paulo Andrade</t>
        </is>
      </c>
      <c r="D556" s="38" t="inlineStr">
        <is>
          <t>Sala 2</t>
        </is>
      </c>
      <c r="E556" s="37" t="inlineStr">
        <is>
          <t>Rodrigo Moreira</t>
        </is>
      </c>
      <c r="F556" s="38" t="inlineStr">
        <is>
          <t>Particular</t>
        </is>
      </c>
      <c r="G556" s="38" t="inlineStr">
        <is>
          <t>Teste ergométrico</t>
        </is>
      </c>
      <c r="H556" s="38" t="inlineStr">
        <is>
          <t>Realizado</t>
        </is>
      </c>
      <c r="I556" s="38" t="inlineStr">
        <is>
          <t>A prazo</t>
        </is>
      </c>
      <c r="J556" s="38" t="n"/>
      <c r="K556" s="37" t="n"/>
      <c r="L556" s="39" t="n">
        <v>40</v>
      </c>
      <c r="M556" s="40" t="n">
        <v>450</v>
      </c>
      <c r="N556" s="30">
        <f>IF(A556="","",MONTH(A556))</f>
        <v>7</v>
      </c>
      <c r="O556" s="30">
        <f>IF(A556="","",YEAR(A556))</f>
        <v>2026</v>
      </c>
      <c r="P556" s="30" t="str">
        <f>IF(A556="","",CHOOSE(WEEKDAY(A556,2),"Segunda","Terça","Quarta","Quinta","Sexta","Sábado","Domingo"))</f>
        <v>Segunda</v>
      </c>
      <c r="Q556" s="30" t="str">
        <f>IF(B556="","",IF(B556&lt;TIME(12,0,0),"Manhã",IF(B556&lt;TIME(18,0,0),"Tarde","Noite")))</f>
        <v>Tarde</v>
      </c>
      <c r="R556" s="46">
        <f>IF(AND(H556="Realizado",L556&lt;&gt;"",A556&lt;=Config!$B$9),L556/60,0)</f>
        <v>0.666666666666667</v>
      </c>
      <c r="S556" s="45">
        <f>IF(G556="","",IFERROR(INDEX(Config!$K$5:$K$16,MATCH(G556,Config!$J$5:$J$16,0)),""))</f>
        <v>40</v>
      </c>
      <c r="T556" s="31">
        <f>IF(OR(G556="",F556=""),"",IFERROR(INDEX(Config!$M$5:$R$16,MATCH(G556,Config!$J$5:$J$16,0),MATCH(F556,Config!$H$5:$H$10,0)),""))</f>
        <v>450</v>
      </c>
      <c r="U556" s="47">
        <f>IF(AND(H556="Realizado",L556&lt;&gt;""),L556/60,0)</f>
        <v>0.666666666666667</v>
      </c>
      <c r="V556" s="47">
        <f>IF(AND(H556="Realizado",OR(L556="",M556="")),1,0)</f>
        <v>0</v>
      </c>
    </row>
    <row r="557">
      <c r="A557" s="43" t="n">
        <v>46230</v>
      </c>
      <c r="B557" s="44" t="n">
        <v>0.6875</v>
      </c>
      <c r="C557" s="38" t="inlineStr">
        <is>
          <t>Dr. Paulo Andrade</t>
        </is>
      </c>
      <c r="D557" s="38" t="inlineStr">
        <is>
          <t>Sala 2</t>
        </is>
      </c>
      <c r="E557" s="37" t="inlineStr">
        <is>
          <t>Roberta Almeida</t>
        </is>
      </c>
      <c r="F557" s="38" t="inlineStr">
        <is>
          <t>Saúde Total</t>
        </is>
      </c>
      <c r="G557" s="38" t="inlineStr">
        <is>
          <t>Consulta</t>
        </is>
      </c>
      <c r="H557" s="38" t="inlineStr">
        <is>
          <t>Realizado</t>
        </is>
      </c>
      <c r="I557" s="38" t="inlineStr">
        <is>
          <t>Convênio</t>
        </is>
      </c>
      <c r="J557" s="38" t="n"/>
      <c r="K557" s="37" t="n"/>
      <c r="L557" s="39" t="n">
        <v>30</v>
      </c>
      <c r="M557" s="40" t="n">
        <v>120</v>
      </c>
      <c r="N557" s="30">
        <f>IF(A557="","",MONTH(A557))</f>
        <v>7</v>
      </c>
      <c r="O557" s="30">
        <f>IF(A557="","",YEAR(A557))</f>
        <v>2026</v>
      </c>
      <c r="P557" s="30" t="str">
        <f>IF(A557="","",CHOOSE(WEEKDAY(A557,2),"Segunda","Terça","Quarta","Quinta","Sexta","Sábado","Domingo"))</f>
        <v>Segunda</v>
      </c>
      <c r="Q557" s="30" t="str">
        <f>IF(B557="","",IF(B557&lt;TIME(12,0,0),"Manhã",IF(B557&lt;TIME(18,0,0),"Tarde","Noite")))</f>
        <v>Tarde</v>
      </c>
      <c r="R557" s="46">
        <f>IF(AND(H557="Realizado",L557&lt;&gt;"",A557&lt;=Config!$B$9),L557/60,0)</f>
        <v>0.5</v>
      </c>
      <c r="S557" s="45">
        <f>IF(G557="","",IFERROR(INDEX(Config!$K$5:$K$16,MATCH(G557,Config!$J$5:$J$16,0)),""))</f>
        <v>30</v>
      </c>
      <c r="T557" s="31">
        <f>IF(OR(G557="",F557=""),"",IFERROR(INDEX(Config!$M$5:$R$16,MATCH(G557,Config!$J$5:$J$16,0),MATCH(F557,Config!$H$5:$H$10,0)),""))</f>
        <v>120</v>
      </c>
      <c r="U557" s="47">
        <f>IF(AND(H557="Realizado",L557&lt;&gt;""),L557/60,0)</f>
        <v>0.5</v>
      </c>
      <c r="V557" s="47">
        <f>IF(AND(H557="Realizado",OR(L557="",M557="")),1,0)</f>
        <v>0</v>
      </c>
    </row>
    <row r="558">
      <c r="A558" s="43" t="n">
        <v>46230</v>
      </c>
      <c r="B558" s="44" t="n">
        <v>0.7083333333333334</v>
      </c>
      <c r="C558" s="38" t="inlineStr">
        <is>
          <t>Dr. Paulo Andrade</t>
        </is>
      </c>
      <c r="D558" s="38" t="inlineStr">
        <is>
          <t>Sala 2</t>
        </is>
      </c>
      <c r="E558" s="37" t="inlineStr">
        <is>
          <t>Gabriel Oliveira</t>
        </is>
      </c>
      <c r="F558" s="38" t="inlineStr">
        <is>
          <t>Particular</t>
        </is>
      </c>
      <c r="G558" s="38" t="inlineStr">
        <is>
          <t>Retorno</t>
        </is>
      </c>
      <c r="H558" s="38" t="inlineStr">
        <is>
          <t>Realizado</t>
        </is>
      </c>
      <c r="I558" s="38" t="inlineStr">
        <is>
          <t>Sem cobrança</t>
        </is>
      </c>
      <c r="J558" s="38" t="n"/>
      <c r="K558" s="37" t="n"/>
      <c r="L558" s="39" t="n">
        <v>20</v>
      </c>
      <c r="M558" s="40" t="n">
        <v>0</v>
      </c>
      <c r="N558" s="30">
        <f>IF(A558="","",MONTH(A558))</f>
        <v>7</v>
      </c>
      <c r="O558" s="30">
        <f>IF(A558="","",YEAR(A558))</f>
        <v>2026</v>
      </c>
      <c r="P558" s="30" t="str">
        <f>IF(A558="","",CHOOSE(WEEKDAY(A558,2),"Segunda","Terça","Quarta","Quinta","Sexta","Sábado","Domingo"))</f>
        <v>Segunda</v>
      </c>
      <c r="Q558" s="30" t="str">
        <f>IF(B558="","",IF(B558&lt;TIME(12,0,0),"Manhã",IF(B558&lt;TIME(18,0,0),"Tarde","Noite")))</f>
        <v>Tarde</v>
      </c>
      <c r="R558" s="46">
        <f>IF(AND(H558="Realizado",L558&lt;&gt;"",A558&lt;=Config!$B$9),L558/60,0)</f>
        <v>0.333333333333333</v>
      </c>
      <c r="S558" s="45">
        <f>IF(G558="","",IFERROR(INDEX(Config!$K$5:$K$16,MATCH(G558,Config!$J$5:$J$16,0)),""))</f>
        <v>20</v>
      </c>
      <c r="T558" s="31">
        <f>IF(OR(G558="",F558=""),"",IFERROR(INDEX(Config!$M$5:$R$16,MATCH(G558,Config!$J$5:$J$16,0),MATCH(F558,Config!$H$5:$H$10,0)),""))</f>
        <v>0</v>
      </c>
      <c r="U558" s="47">
        <f>IF(AND(H558="Realizado",L558&lt;&gt;""),L558/60,0)</f>
        <v>0.333333333333333</v>
      </c>
      <c r="V558" s="47">
        <f>IF(AND(H558="Realizado",OR(L558="",M558="")),1,0)</f>
        <v>0</v>
      </c>
    </row>
    <row r="559">
      <c r="A559" s="43" t="n">
        <v>46230</v>
      </c>
      <c r="B559" s="44" t="n">
        <v>0.7222222222222222</v>
      </c>
      <c r="C559" s="38" t="inlineStr">
        <is>
          <t>Dr. Paulo Andrade</t>
        </is>
      </c>
      <c r="D559" s="38" t="inlineStr">
        <is>
          <t>Sala 2</t>
        </is>
      </c>
      <c r="E559" s="37" t="inlineStr">
        <is>
          <t>Natália Xavier</t>
        </is>
      </c>
      <c r="F559" s="38" t="inlineStr">
        <is>
          <t>MediPlan</t>
        </is>
      </c>
      <c r="G559" s="38" t="inlineStr">
        <is>
          <t>Consulta</t>
        </is>
      </c>
      <c r="H559" s="38" t="inlineStr">
        <is>
          <t>Realizado</t>
        </is>
      </c>
      <c r="I559" s="38" t="inlineStr">
        <is>
          <t>Convênio</t>
        </is>
      </c>
      <c r="J559" s="38" t="n"/>
      <c r="K559" s="37" t="n"/>
      <c r="L559" s="39" t="n">
        <v>30</v>
      </c>
      <c r="M559" s="40" t="n">
        <v>100</v>
      </c>
      <c r="N559" s="30">
        <f>IF(A559="","",MONTH(A559))</f>
        <v>7</v>
      </c>
      <c r="O559" s="30">
        <f>IF(A559="","",YEAR(A559))</f>
        <v>2026</v>
      </c>
      <c r="P559" s="30" t="str">
        <f>IF(A559="","",CHOOSE(WEEKDAY(A559,2),"Segunda","Terça","Quarta","Quinta","Sexta","Sábado","Domingo"))</f>
        <v>Segunda</v>
      </c>
      <c r="Q559" s="30" t="str">
        <f>IF(B559="","",IF(B559&lt;TIME(12,0,0),"Manhã",IF(B559&lt;TIME(18,0,0),"Tarde","Noite")))</f>
        <v>Tarde</v>
      </c>
      <c r="R559" s="46">
        <f>IF(AND(H559="Realizado",L559&lt;&gt;"",A559&lt;=Config!$B$9),L559/60,0)</f>
        <v>0.5</v>
      </c>
      <c r="S559" s="45">
        <f>IF(G559="","",IFERROR(INDEX(Config!$K$5:$K$16,MATCH(G559,Config!$J$5:$J$16,0)),""))</f>
        <v>30</v>
      </c>
      <c r="T559" s="31">
        <f>IF(OR(G559="",F559=""),"",IFERROR(INDEX(Config!$M$5:$R$16,MATCH(G559,Config!$J$5:$J$16,0),MATCH(F559,Config!$H$5:$H$10,0)),""))</f>
        <v>100</v>
      </c>
      <c r="U559" s="47">
        <f>IF(AND(H559="Realizado",L559&lt;&gt;""),L559/60,0)</f>
        <v>0.5</v>
      </c>
      <c r="V559" s="47">
        <f>IF(AND(H559="Realizado",OR(L559="",M559="")),1,0)</f>
        <v>0</v>
      </c>
    </row>
    <row r="560">
      <c r="A560" s="43" t="n">
        <v>46231</v>
      </c>
      <c r="B560" s="44" t="n">
        <v>0.3333333333333333</v>
      </c>
      <c r="C560" s="38" t="inlineStr">
        <is>
          <t>Dra. Carolina Mendes</t>
        </is>
      </c>
      <c r="D560" s="38" t="inlineStr">
        <is>
          <t>Sala 1</t>
        </is>
      </c>
      <c r="E560" s="37" t="inlineStr">
        <is>
          <t>Lucas Lopes</t>
        </is>
      </c>
      <c r="F560" s="38" t="inlineStr">
        <is>
          <t>Particular</t>
        </is>
      </c>
      <c r="G560" s="38" t="inlineStr">
        <is>
          <t>Retorno</t>
        </is>
      </c>
      <c r="H560" s="38" t="inlineStr">
        <is>
          <t>Realizado</t>
        </is>
      </c>
      <c r="I560" s="38" t="inlineStr">
        <is>
          <t>Sem cobrança</t>
        </is>
      </c>
      <c r="J560" s="38" t="n"/>
      <c r="K560" s="37" t="n"/>
      <c r="L560" s="39" t="n">
        <v>20</v>
      </c>
      <c r="M560" s="40" t="n">
        <v>0</v>
      </c>
      <c r="N560" s="30">
        <f>IF(A560="","",MONTH(A560))</f>
        <v>7</v>
      </c>
      <c r="O560" s="30">
        <f>IF(A560="","",YEAR(A560))</f>
        <v>2026</v>
      </c>
      <c r="P560" s="30" t="str">
        <f>IF(A560="","",CHOOSE(WEEKDAY(A560,2),"Segunda","Terça","Quarta","Quinta","Sexta","Sábado","Domingo"))</f>
        <v>Terça</v>
      </c>
      <c r="Q560" s="30" t="str">
        <f>IF(B560="","",IF(B560&lt;TIME(12,0,0),"Manhã",IF(B560&lt;TIME(18,0,0),"Tarde","Noite")))</f>
        <v>Manhã</v>
      </c>
      <c r="R560" s="46">
        <f>IF(AND(H560="Realizado",L560&lt;&gt;"",A560&lt;=Config!$B$9),L560/60,0)</f>
        <v>0.333333333333333</v>
      </c>
      <c r="S560" s="45">
        <f>IF(G560="","",IFERROR(INDEX(Config!$K$5:$K$16,MATCH(G560,Config!$J$5:$J$16,0)),""))</f>
        <v>20</v>
      </c>
      <c r="T560" s="31">
        <f>IF(OR(G560="",F560=""),"",IFERROR(INDEX(Config!$M$5:$R$16,MATCH(G560,Config!$J$5:$J$16,0),MATCH(F560,Config!$H$5:$H$10,0)),""))</f>
        <v>0</v>
      </c>
      <c r="U560" s="47">
        <f>IF(AND(H560="Realizado",L560&lt;&gt;""),L560/60,0)</f>
        <v>0.333333333333333</v>
      </c>
      <c r="V560" s="47">
        <f>IF(AND(H560="Realizado",OR(L560="",M560="")),1,0)</f>
        <v>0</v>
      </c>
    </row>
    <row r="561">
      <c r="A561" s="43" t="n">
        <v>46231</v>
      </c>
      <c r="B561" s="44" t="n">
        <v>0.3472222222222222</v>
      </c>
      <c r="C561" s="38" t="inlineStr">
        <is>
          <t>Dra. Carolina Mendes</t>
        </is>
      </c>
      <c r="D561" s="38" t="inlineStr">
        <is>
          <t>Sala 1</t>
        </is>
      </c>
      <c r="E561" s="37" t="inlineStr">
        <is>
          <t>Mônica Pinto</t>
        </is>
      </c>
      <c r="F561" s="38" t="inlineStr">
        <is>
          <t>Saúde Total</t>
        </is>
      </c>
      <c r="G561" s="38" t="inlineStr">
        <is>
          <t>Consulta</t>
        </is>
      </c>
      <c r="H561" s="38" t="inlineStr">
        <is>
          <t>Realizado</t>
        </is>
      </c>
      <c r="I561" s="38" t="inlineStr">
        <is>
          <t>Convênio</t>
        </is>
      </c>
      <c r="J561" s="38" t="n"/>
      <c r="K561" s="37" t="n"/>
      <c r="L561" s="39" t="n">
        <v>30</v>
      </c>
      <c r="M561" s="40" t="n">
        <v>120</v>
      </c>
      <c r="N561" s="30">
        <f>IF(A561="","",MONTH(A561))</f>
        <v>7</v>
      </c>
      <c r="O561" s="30">
        <f>IF(A561="","",YEAR(A561))</f>
        <v>2026</v>
      </c>
      <c r="P561" s="30" t="str">
        <f>IF(A561="","",CHOOSE(WEEKDAY(A561,2),"Segunda","Terça","Quarta","Quinta","Sexta","Sábado","Domingo"))</f>
        <v>Terça</v>
      </c>
      <c r="Q561" s="30" t="str">
        <f>IF(B561="","",IF(B561&lt;TIME(12,0,0),"Manhã",IF(B561&lt;TIME(18,0,0),"Tarde","Noite")))</f>
        <v>Manhã</v>
      </c>
      <c r="R561" s="46">
        <f>IF(AND(H561="Realizado",L561&lt;&gt;"",A561&lt;=Config!$B$9),L561/60,0)</f>
        <v>0.5</v>
      </c>
      <c r="S561" s="45">
        <f>IF(G561="","",IFERROR(INDEX(Config!$K$5:$K$16,MATCH(G561,Config!$J$5:$J$16,0)),""))</f>
        <v>30</v>
      </c>
      <c r="T561" s="31">
        <f>IF(OR(G561="",F561=""),"",IFERROR(INDEX(Config!$M$5:$R$16,MATCH(G561,Config!$J$5:$J$16,0),MATCH(F561,Config!$H$5:$H$10,0)),""))</f>
        <v>120</v>
      </c>
      <c r="U561" s="47">
        <f>IF(AND(H561="Realizado",L561&lt;&gt;""),L561/60,0)</f>
        <v>0.5</v>
      </c>
      <c r="V561" s="47">
        <f>IF(AND(H561="Realizado",OR(L561="",M561="")),1,0)</f>
        <v>0</v>
      </c>
    </row>
    <row r="562">
      <c r="A562" s="43" t="n">
        <v>46231</v>
      </c>
      <c r="B562" s="44" t="n">
        <v>0.3680555555555556</v>
      </c>
      <c r="C562" s="38" t="inlineStr">
        <is>
          <t>Dra. Carolina Mendes</t>
        </is>
      </c>
      <c r="D562" s="38" t="inlineStr">
        <is>
          <t>Sala 1</t>
        </is>
      </c>
      <c r="E562" s="37" t="inlineStr">
        <is>
          <t>Gisele Ribeiro</t>
        </is>
      </c>
      <c r="F562" s="38" t="inlineStr">
        <is>
          <t>Particular</t>
        </is>
      </c>
      <c r="G562" s="38" t="inlineStr">
        <is>
          <t>Consulta</t>
        </is>
      </c>
      <c r="H562" s="38" t="inlineStr">
        <is>
          <t>Realizado</t>
        </is>
      </c>
      <c r="I562" s="38" t="inlineStr">
        <is>
          <t>Cartão de débito</t>
        </is>
      </c>
      <c r="J562" s="38" t="n"/>
      <c r="K562" s="37" t="n"/>
      <c r="L562" s="39" t="n">
        <v>30</v>
      </c>
      <c r="M562" s="40" t="n">
        <v>380</v>
      </c>
      <c r="N562" s="30">
        <f>IF(A562="","",MONTH(A562))</f>
        <v>7</v>
      </c>
      <c r="O562" s="30">
        <f>IF(A562="","",YEAR(A562))</f>
        <v>2026</v>
      </c>
      <c r="P562" s="30" t="str">
        <f>IF(A562="","",CHOOSE(WEEKDAY(A562,2),"Segunda","Terça","Quarta","Quinta","Sexta","Sábado","Domingo"))</f>
        <v>Terça</v>
      </c>
      <c r="Q562" s="30" t="str">
        <f>IF(B562="","",IF(B562&lt;TIME(12,0,0),"Manhã",IF(B562&lt;TIME(18,0,0),"Tarde","Noite")))</f>
        <v>Manhã</v>
      </c>
      <c r="R562" s="46">
        <f>IF(AND(H562="Realizado",L562&lt;&gt;"",A562&lt;=Config!$B$9),L562/60,0)</f>
        <v>0.5</v>
      </c>
      <c r="S562" s="45">
        <f>IF(G562="","",IFERROR(INDEX(Config!$K$5:$K$16,MATCH(G562,Config!$J$5:$J$16,0)),""))</f>
        <v>30</v>
      </c>
      <c r="T562" s="31">
        <f>IF(OR(G562="",F562=""),"",IFERROR(INDEX(Config!$M$5:$R$16,MATCH(G562,Config!$J$5:$J$16,0),MATCH(F562,Config!$H$5:$H$10,0)),""))</f>
        <v>380</v>
      </c>
      <c r="U562" s="47">
        <f>IF(AND(H562="Realizado",L562&lt;&gt;""),L562/60,0)</f>
        <v>0.5</v>
      </c>
      <c r="V562" s="47">
        <f>IF(AND(H562="Realizado",OR(L562="",M562="")),1,0)</f>
        <v>0</v>
      </c>
    </row>
    <row r="563">
      <c r="A563" s="43" t="n">
        <v>46231</v>
      </c>
      <c r="B563" s="44" t="n">
        <v>0.3888888888888889</v>
      </c>
      <c r="C563" s="38" t="inlineStr">
        <is>
          <t>Dra. Carolina Mendes</t>
        </is>
      </c>
      <c r="D563" s="38" t="inlineStr">
        <is>
          <t>Sala 1</t>
        </is>
      </c>
      <c r="E563" s="37" t="inlineStr">
        <is>
          <t>Wagner Santos</t>
        </is>
      </c>
      <c r="F563" s="38" t="inlineStr">
        <is>
          <t>Particular</t>
        </is>
      </c>
      <c r="G563" s="38" t="inlineStr">
        <is>
          <t>Consulta</t>
        </is>
      </c>
      <c r="H563" s="38" t="inlineStr">
        <is>
          <t>Realizado</t>
        </is>
      </c>
      <c r="I563" s="38" t="inlineStr">
        <is>
          <t>Cartão de crédito</t>
        </is>
      </c>
      <c r="J563" s="38" t="n"/>
      <c r="K563" s="37" t="n"/>
      <c r="L563" s="39" t="n">
        <v>30</v>
      </c>
      <c r="M563" s="40" t="n">
        <v>380</v>
      </c>
      <c r="N563" s="30">
        <f>IF(A563="","",MONTH(A563))</f>
        <v>7</v>
      </c>
      <c r="O563" s="30">
        <f>IF(A563="","",YEAR(A563))</f>
        <v>2026</v>
      </c>
      <c r="P563" s="30" t="str">
        <f>IF(A563="","",CHOOSE(WEEKDAY(A563,2),"Segunda","Terça","Quarta","Quinta","Sexta","Sábado","Domingo"))</f>
        <v>Terça</v>
      </c>
      <c r="Q563" s="30" t="str">
        <f>IF(B563="","",IF(B563&lt;TIME(12,0,0),"Manhã",IF(B563&lt;TIME(18,0,0),"Tarde","Noite")))</f>
        <v>Manhã</v>
      </c>
      <c r="R563" s="46">
        <f>IF(AND(H563="Realizado",L563&lt;&gt;"",A563&lt;=Config!$B$9),L563/60,0)</f>
        <v>0.5</v>
      </c>
      <c r="S563" s="45">
        <f>IF(G563="","",IFERROR(INDEX(Config!$K$5:$K$16,MATCH(G563,Config!$J$5:$J$16,0)),""))</f>
        <v>30</v>
      </c>
      <c r="T563" s="31">
        <f>IF(OR(G563="",F563=""),"",IFERROR(INDEX(Config!$M$5:$R$16,MATCH(G563,Config!$J$5:$J$16,0),MATCH(F563,Config!$H$5:$H$10,0)),""))</f>
        <v>380</v>
      </c>
      <c r="U563" s="47">
        <f>IF(AND(H563="Realizado",L563&lt;&gt;""),L563/60,0)</f>
        <v>0.5</v>
      </c>
      <c r="V563" s="47">
        <f>IF(AND(H563="Realizado",OR(L563="",M563="")),1,0)</f>
        <v>0</v>
      </c>
    </row>
    <row r="564">
      <c r="A564" s="43" t="n">
        <v>46231</v>
      </c>
      <c r="B564" s="44" t="n">
        <v>0.4097222222222222</v>
      </c>
      <c r="C564" s="38" t="inlineStr">
        <is>
          <t>Dra. Carolina Mendes</t>
        </is>
      </c>
      <c r="D564" s="38" t="inlineStr">
        <is>
          <t>Sala 1</t>
        </is>
      </c>
      <c r="E564" s="37" t="inlineStr">
        <is>
          <t>Daniel Almeida</t>
        </is>
      </c>
      <c r="F564" s="38" t="inlineStr">
        <is>
          <t>Saúde Total</t>
        </is>
      </c>
      <c r="G564" s="38" t="inlineStr">
        <is>
          <t>Retorno</t>
        </is>
      </c>
      <c r="H564" s="38" t="inlineStr">
        <is>
          <t>Realizado</t>
        </is>
      </c>
      <c r="I564" s="38" t="inlineStr">
        <is>
          <t>Sem cobrança</t>
        </is>
      </c>
      <c r="J564" s="38" t="n"/>
      <c r="K564" s="37" t="n"/>
      <c r="L564" s="39" t="n">
        <v>20</v>
      </c>
      <c r="M564" s="40" t="n">
        <v>0</v>
      </c>
      <c r="N564" s="30">
        <f>IF(A564="","",MONTH(A564))</f>
        <v>7</v>
      </c>
      <c r="O564" s="30">
        <f>IF(A564="","",YEAR(A564))</f>
        <v>2026</v>
      </c>
      <c r="P564" s="30" t="str">
        <f>IF(A564="","",CHOOSE(WEEKDAY(A564,2),"Segunda","Terça","Quarta","Quinta","Sexta","Sábado","Domingo"))</f>
        <v>Terça</v>
      </c>
      <c r="Q564" s="30" t="str">
        <f>IF(B564="","",IF(B564&lt;TIME(12,0,0),"Manhã",IF(B564&lt;TIME(18,0,0),"Tarde","Noite")))</f>
        <v>Manhã</v>
      </c>
      <c r="R564" s="46">
        <f>IF(AND(H564="Realizado",L564&lt;&gt;"",A564&lt;=Config!$B$9),L564/60,0)</f>
        <v>0.333333333333333</v>
      </c>
      <c r="S564" s="45">
        <f>IF(G564="","",IFERROR(INDEX(Config!$K$5:$K$16,MATCH(G564,Config!$J$5:$J$16,0)),""))</f>
        <v>20</v>
      </c>
      <c r="T564" s="31">
        <f>IF(OR(G564="",F564=""),"",IFERROR(INDEX(Config!$M$5:$R$16,MATCH(G564,Config!$J$5:$J$16,0),MATCH(F564,Config!$H$5:$H$10,0)),""))</f>
        <v>0</v>
      </c>
      <c r="U564" s="47">
        <f>IF(AND(H564="Realizado",L564&lt;&gt;""),L564/60,0)</f>
        <v>0.333333333333333</v>
      </c>
      <c r="V564" s="47">
        <f>IF(AND(H564="Realizado",OR(L564="",M564="")),1,0)</f>
        <v>0</v>
      </c>
    </row>
    <row r="565">
      <c r="A565" s="43" t="n">
        <v>46231</v>
      </c>
      <c r="B565" s="44" t="n">
        <v>0.4444444444444444</v>
      </c>
      <c r="C565" s="38" t="inlineStr">
        <is>
          <t>Dra. Carolina Mendes</t>
        </is>
      </c>
      <c r="D565" s="38" t="inlineStr">
        <is>
          <t>Sala 1</t>
        </is>
      </c>
      <c r="E565" s="37" t="inlineStr">
        <is>
          <t>Eduardo Reis</t>
        </is>
      </c>
      <c r="F565" s="38" t="inlineStr">
        <is>
          <t>Vida Care</t>
        </is>
      </c>
      <c r="G565" s="38" t="inlineStr">
        <is>
          <t>Retorno</t>
        </is>
      </c>
      <c r="H565" s="38" t="inlineStr">
        <is>
          <t>Realizado</t>
        </is>
      </c>
      <c r="I565" s="38" t="inlineStr">
        <is>
          <t>Sem cobrança</t>
        </is>
      </c>
      <c r="J565" s="38" t="n"/>
      <c r="K565" s="37" t="n"/>
      <c r="L565" s="39" t="n">
        <v>20</v>
      </c>
      <c r="M565" s="40" t="n">
        <v>0</v>
      </c>
      <c r="N565" s="30">
        <f>IF(A565="","",MONTH(A565))</f>
        <v>7</v>
      </c>
      <c r="O565" s="30">
        <f>IF(A565="","",YEAR(A565))</f>
        <v>2026</v>
      </c>
      <c r="P565" s="30" t="str">
        <f>IF(A565="","",CHOOSE(WEEKDAY(A565,2),"Segunda","Terça","Quarta","Quinta","Sexta","Sábado","Domingo"))</f>
        <v>Terça</v>
      </c>
      <c r="Q565" s="30" t="str">
        <f>IF(B565="","",IF(B565&lt;TIME(12,0,0),"Manhã",IF(B565&lt;TIME(18,0,0),"Tarde","Noite")))</f>
        <v>Manhã</v>
      </c>
      <c r="R565" s="46">
        <f>IF(AND(H565="Realizado",L565&lt;&gt;"",A565&lt;=Config!$B$9),L565/60,0)</f>
        <v>0.333333333333333</v>
      </c>
      <c r="S565" s="45">
        <f>IF(G565="","",IFERROR(INDEX(Config!$K$5:$K$16,MATCH(G565,Config!$J$5:$J$16,0)),""))</f>
        <v>20</v>
      </c>
      <c r="T565" s="31">
        <f>IF(OR(G565="",F565=""),"",IFERROR(INDEX(Config!$M$5:$R$16,MATCH(G565,Config!$J$5:$J$16,0),MATCH(F565,Config!$H$5:$H$10,0)),""))</f>
        <v>0</v>
      </c>
      <c r="U565" s="47">
        <f>IF(AND(H565="Realizado",L565&lt;&gt;""),L565/60,0)</f>
        <v>0.333333333333333</v>
      </c>
      <c r="V565" s="47">
        <f>IF(AND(H565="Realizado",OR(L565="",M565="")),1,0)</f>
        <v>0</v>
      </c>
    </row>
    <row r="566">
      <c r="A566" s="43" t="n">
        <v>46231</v>
      </c>
      <c r="B566" s="44" t="n">
        <v>0.4583333333333333</v>
      </c>
      <c r="C566" s="38" t="inlineStr">
        <is>
          <t>Dra. Carolina Mendes</t>
        </is>
      </c>
      <c r="D566" s="38" t="inlineStr">
        <is>
          <t>Sala 1</t>
        </is>
      </c>
      <c r="E566" s="37" t="inlineStr">
        <is>
          <t>Cláudia Santos</t>
        </is>
      </c>
      <c r="F566" s="38" t="inlineStr">
        <is>
          <t>Particular</t>
        </is>
      </c>
      <c r="G566" s="38" t="inlineStr">
        <is>
          <t>Consulta</t>
        </is>
      </c>
      <c r="H566" s="38" t="inlineStr">
        <is>
          <t>Falta</t>
        </is>
      </c>
      <c r="I566" s="38" t="n"/>
      <c r="J566" s="38" t="n"/>
      <c r="K566" s="37" t="n"/>
      <c r="L566" s="39" t="n">
        <v>30</v>
      </c>
      <c r="M566" s="40" t="n">
        <v>380</v>
      </c>
      <c r="N566" s="30">
        <f>IF(A566="","",MONTH(A566))</f>
        <v>7</v>
      </c>
      <c r="O566" s="30">
        <f>IF(A566="","",YEAR(A566))</f>
        <v>2026</v>
      </c>
      <c r="P566" s="30" t="str">
        <f>IF(A566="","",CHOOSE(WEEKDAY(A566,2),"Segunda","Terça","Quarta","Quinta","Sexta","Sábado","Domingo"))</f>
        <v>Terça</v>
      </c>
      <c r="Q566" s="30" t="str">
        <f>IF(B566="","",IF(B566&lt;TIME(12,0,0),"Manhã",IF(B566&lt;TIME(18,0,0),"Tarde","Noite")))</f>
        <v>Manhã</v>
      </c>
      <c r="R566" s="46">
        <f>IF(AND(H566="Realizado",L566&lt;&gt;"",A566&lt;=Config!$B$9),L566/60,0)</f>
        <v>0</v>
      </c>
      <c r="S566" s="45">
        <f>IF(G566="","",IFERROR(INDEX(Config!$K$5:$K$16,MATCH(G566,Config!$J$5:$J$16,0)),""))</f>
        <v>30</v>
      </c>
      <c r="T566" s="31">
        <f>IF(OR(G566="",F566=""),"",IFERROR(INDEX(Config!$M$5:$R$16,MATCH(G566,Config!$J$5:$J$16,0),MATCH(F566,Config!$H$5:$H$10,0)),""))</f>
        <v>380</v>
      </c>
      <c r="U566" s="47">
        <f>IF(AND(H566="Realizado",L566&lt;&gt;""),L566/60,0)</f>
        <v>0</v>
      </c>
      <c r="V566" s="47">
        <f>IF(AND(H566="Realizado",OR(L566="",M566="")),1,0)</f>
        <v>0</v>
      </c>
    </row>
    <row r="567">
      <c r="A567" s="43" t="n">
        <v>46231</v>
      </c>
      <c r="B567" s="44" t="n">
        <v>0.4791666666666667</v>
      </c>
      <c r="C567" s="38" t="inlineStr">
        <is>
          <t>Dra. Carolina Mendes</t>
        </is>
      </c>
      <c r="D567" s="38" t="inlineStr">
        <is>
          <t>Sala 1</t>
        </is>
      </c>
      <c r="E567" s="37" t="inlineStr">
        <is>
          <t>Regina Teixeira</t>
        </is>
      </c>
      <c r="F567" s="38" t="inlineStr">
        <is>
          <t>Particular</t>
        </is>
      </c>
      <c r="G567" s="38" t="inlineStr">
        <is>
          <t>Retorno</t>
        </is>
      </c>
      <c r="H567" s="38" t="inlineStr">
        <is>
          <t>Realizado</t>
        </is>
      </c>
      <c r="I567" s="38" t="inlineStr">
        <is>
          <t>Sem cobrança</t>
        </is>
      </c>
      <c r="J567" s="38" t="n"/>
      <c r="K567" s="37" t="n"/>
      <c r="L567" s="39" t="n">
        <v>20</v>
      </c>
      <c r="M567" s="40" t="n">
        <v>0</v>
      </c>
      <c r="N567" s="30">
        <f>IF(A567="","",MONTH(A567))</f>
        <v>7</v>
      </c>
      <c r="O567" s="30">
        <f>IF(A567="","",YEAR(A567))</f>
        <v>2026</v>
      </c>
      <c r="P567" s="30" t="str">
        <f>IF(A567="","",CHOOSE(WEEKDAY(A567,2),"Segunda","Terça","Quarta","Quinta","Sexta","Sábado","Domingo"))</f>
        <v>Terça</v>
      </c>
      <c r="Q567" s="30" t="str">
        <f>IF(B567="","",IF(B567&lt;TIME(12,0,0),"Manhã",IF(B567&lt;TIME(18,0,0),"Tarde","Noite")))</f>
        <v>Manhã</v>
      </c>
      <c r="R567" s="46">
        <f>IF(AND(H567="Realizado",L567&lt;&gt;"",A567&lt;=Config!$B$9),L567/60,0)</f>
        <v>0.333333333333333</v>
      </c>
      <c r="S567" s="45">
        <f>IF(G567="","",IFERROR(INDEX(Config!$K$5:$K$16,MATCH(G567,Config!$J$5:$J$16,0)),""))</f>
        <v>20</v>
      </c>
      <c r="T567" s="31">
        <f>IF(OR(G567="",F567=""),"",IFERROR(INDEX(Config!$M$5:$R$16,MATCH(G567,Config!$J$5:$J$16,0),MATCH(F567,Config!$H$5:$H$10,0)),""))</f>
        <v>0</v>
      </c>
      <c r="U567" s="47">
        <f>IF(AND(H567="Realizado",L567&lt;&gt;""),L567/60,0)</f>
        <v>0.333333333333333</v>
      </c>
      <c r="V567" s="47">
        <f>IF(AND(H567="Realizado",OR(L567="",M567="")),1,0)</f>
        <v>0</v>
      </c>
    </row>
    <row r="568">
      <c r="A568" s="43" t="n">
        <v>46231</v>
      </c>
      <c r="B568" s="44" t="n">
        <v>0.5833333333333334</v>
      </c>
      <c r="C568" s="38" t="inlineStr">
        <is>
          <t>Dr. Paulo Andrade</t>
        </is>
      </c>
      <c r="D568" s="38" t="inlineStr">
        <is>
          <t>Sala 2</t>
        </is>
      </c>
      <c r="E568" s="37" t="inlineStr">
        <is>
          <t>Henrique Santos</t>
        </is>
      </c>
      <c r="F568" s="38" t="inlineStr">
        <is>
          <t>Vida Care</t>
        </is>
      </c>
      <c r="G568" s="38" t="inlineStr">
        <is>
          <t>Consulta</t>
        </is>
      </c>
      <c r="H568" s="38" t="inlineStr">
        <is>
          <t>Falta</t>
        </is>
      </c>
      <c r="I568" s="38" t="n"/>
      <c r="J568" s="38" t="n"/>
      <c r="K568" s="37" t="n"/>
      <c r="L568" s="39" t="n">
        <v>30</v>
      </c>
      <c r="M568" s="40" t="n">
        <v>90</v>
      </c>
      <c r="N568" s="30">
        <f>IF(A568="","",MONTH(A568))</f>
        <v>7</v>
      </c>
      <c r="O568" s="30">
        <f>IF(A568="","",YEAR(A568))</f>
        <v>2026</v>
      </c>
      <c r="P568" s="30" t="str">
        <f>IF(A568="","",CHOOSE(WEEKDAY(A568,2),"Segunda","Terça","Quarta","Quinta","Sexta","Sábado","Domingo"))</f>
        <v>Terça</v>
      </c>
      <c r="Q568" s="30" t="str">
        <f>IF(B568="","",IF(B568&lt;TIME(12,0,0),"Manhã",IF(B568&lt;TIME(18,0,0),"Tarde","Noite")))</f>
        <v>Tarde</v>
      </c>
      <c r="R568" s="46">
        <f>IF(AND(H568="Realizado",L568&lt;&gt;"",A568&lt;=Config!$B$9),L568/60,0)</f>
        <v>0</v>
      </c>
      <c r="S568" s="45">
        <f>IF(G568="","",IFERROR(INDEX(Config!$K$5:$K$16,MATCH(G568,Config!$J$5:$J$16,0)),""))</f>
        <v>30</v>
      </c>
      <c r="T568" s="31">
        <f>IF(OR(G568="",F568=""),"",IFERROR(INDEX(Config!$M$5:$R$16,MATCH(G568,Config!$J$5:$J$16,0),MATCH(F568,Config!$H$5:$H$10,0)),""))</f>
        <v>90</v>
      </c>
      <c r="U568" s="47">
        <f>IF(AND(H568="Realizado",L568&lt;&gt;""),L568/60,0)</f>
        <v>0</v>
      </c>
      <c r="V568" s="47">
        <f>IF(AND(H568="Realizado",OR(L568="",M568="")),1,0)</f>
        <v>0</v>
      </c>
    </row>
    <row r="569">
      <c r="A569" s="43" t="n">
        <v>46231</v>
      </c>
      <c r="B569" s="44" t="n">
        <v>0.6041666666666666</v>
      </c>
      <c r="C569" s="38" t="inlineStr">
        <is>
          <t>Dra. Renata Sousa</t>
        </is>
      </c>
      <c r="D569" s="38" t="inlineStr">
        <is>
          <t>Sala 1</t>
        </is>
      </c>
      <c r="E569" s="37" t="inlineStr">
        <is>
          <t>Thiago Melo</t>
        </is>
      </c>
      <c r="F569" s="38" t="inlineStr">
        <is>
          <t>Particular</t>
        </is>
      </c>
      <c r="G569" s="38" t="inlineStr">
        <is>
          <t>Retorno</t>
        </is>
      </c>
      <c r="H569" s="38" t="inlineStr">
        <is>
          <t>Realizado</t>
        </is>
      </c>
      <c r="I569" s="38" t="inlineStr">
        <is>
          <t>Sem cobrança</t>
        </is>
      </c>
      <c r="J569" s="38" t="n"/>
      <c r="K569" s="37" t="n"/>
      <c r="L569" s="39" t="n">
        <v>20</v>
      </c>
      <c r="M569" s="40" t="n">
        <v>0</v>
      </c>
      <c r="N569" s="30">
        <f>IF(A569="","",MONTH(A569))</f>
        <v>7</v>
      </c>
      <c r="O569" s="30">
        <f>IF(A569="","",YEAR(A569))</f>
        <v>2026</v>
      </c>
      <c r="P569" s="30" t="str">
        <f>IF(A569="","",CHOOSE(WEEKDAY(A569,2),"Segunda","Terça","Quarta","Quinta","Sexta","Sábado","Domingo"))</f>
        <v>Terça</v>
      </c>
      <c r="Q569" s="30" t="str">
        <f>IF(B569="","",IF(B569&lt;TIME(12,0,0),"Manhã",IF(B569&lt;TIME(18,0,0),"Tarde","Noite")))</f>
        <v>Tarde</v>
      </c>
      <c r="R569" s="46">
        <f>IF(AND(H569="Realizado",L569&lt;&gt;"",A569&lt;=Config!$B$9),L569/60,0)</f>
        <v>0.333333333333333</v>
      </c>
      <c r="S569" s="45">
        <f>IF(G569="","",IFERROR(INDEX(Config!$K$5:$K$16,MATCH(G569,Config!$J$5:$J$16,0)),""))</f>
        <v>20</v>
      </c>
      <c r="T569" s="31">
        <f>IF(OR(G569="",F569=""),"",IFERROR(INDEX(Config!$M$5:$R$16,MATCH(G569,Config!$J$5:$J$16,0),MATCH(F569,Config!$H$5:$H$10,0)),""))</f>
        <v>0</v>
      </c>
      <c r="U569" s="47">
        <f>IF(AND(H569="Realizado",L569&lt;&gt;""),L569/60,0)</f>
        <v>0.333333333333333</v>
      </c>
      <c r="V569" s="47">
        <f>IF(AND(H569="Realizado",OR(L569="",M569="")),1,0)</f>
        <v>0</v>
      </c>
    </row>
    <row r="570">
      <c r="A570" s="43" t="n">
        <v>46231</v>
      </c>
      <c r="B570" s="44" t="n">
        <v>0.6041666666666666</v>
      </c>
      <c r="C570" s="38" t="inlineStr">
        <is>
          <t>Dr. Paulo Andrade</t>
        </is>
      </c>
      <c r="D570" s="38" t="inlineStr">
        <is>
          <t>Sala 2</t>
        </is>
      </c>
      <c r="E570" s="37" t="inlineStr">
        <is>
          <t>Otávio Nascimento</t>
        </is>
      </c>
      <c r="F570" s="38" t="inlineStr">
        <is>
          <t>Particular</t>
        </is>
      </c>
      <c r="G570" s="38" t="inlineStr">
        <is>
          <t>Holter</t>
        </is>
      </c>
      <c r="H570" s="38" t="inlineStr">
        <is>
          <t>Realizado</t>
        </is>
      </c>
      <c r="I570" s="38" t="inlineStr">
        <is>
          <t>A prazo</t>
        </is>
      </c>
      <c r="J570" s="38" t="n"/>
      <c r="K570" s="37" t="n"/>
      <c r="L570" s="39" t="n">
        <v>20</v>
      </c>
      <c r="M570" s="40" t="n">
        <v>350</v>
      </c>
      <c r="N570" s="30">
        <f>IF(A570="","",MONTH(A570))</f>
        <v>7</v>
      </c>
      <c r="O570" s="30">
        <f>IF(A570="","",YEAR(A570))</f>
        <v>2026</v>
      </c>
      <c r="P570" s="30" t="str">
        <f>IF(A570="","",CHOOSE(WEEKDAY(A570,2),"Segunda","Terça","Quarta","Quinta","Sexta","Sábado","Domingo"))</f>
        <v>Terça</v>
      </c>
      <c r="Q570" s="30" t="str">
        <f>IF(B570="","",IF(B570&lt;TIME(12,0,0),"Manhã",IF(B570&lt;TIME(18,0,0),"Tarde","Noite")))</f>
        <v>Tarde</v>
      </c>
      <c r="R570" s="46">
        <f>IF(AND(H570="Realizado",L570&lt;&gt;"",A570&lt;=Config!$B$9),L570/60,0)</f>
        <v>0.333333333333333</v>
      </c>
      <c r="S570" s="45">
        <f>IF(G570="","",IFERROR(INDEX(Config!$K$5:$K$16,MATCH(G570,Config!$J$5:$J$16,0)),""))</f>
        <v>20</v>
      </c>
      <c r="T570" s="31">
        <f>IF(OR(G570="",F570=""),"",IFERROR(INDEX(Config!$M$5:$R$16,MATCH(G570,Config!$J$5:$J$16,0),MATCH(F570,Config!$H$5:$H$10,0)),""))</f>
        <v>350</v>
      </c>
      <c r="U570" s="47">
        <f>IF(AND(H570="Realizado",L570&lt;&gt;""),L570/60,0)</f>
        <v>0.333333333333333</v>
      </c>
      <c r="V570" s="47">
        <f>IF(AND(H570="Realizado",OR(L570="",M570="")),1,0)</f>
        <v>0</v>
      </c>
    </row>
    <row r="571">
      <c r="A571" s="43" t="n">
        <v>46231</v>
      </c>
      <c r="B571" s="44" t="n">
        <v>0.6180555555555556</v>
      </c>
      <c r="C571" s="38" t="inlineStr">
        <is>
          <t>Dra. Renata Sousa</t>
        </is>
      </c>
      <c r="D571" s="38" t="inlineStr">
        <is>
          <t>Sala 1</t>
        </is>
      </c>
      <c r="E571" s="37" t="inlineStr">
        <is>
          <t>Carlos Freitas</t>
        </is>
      </c>
      <c r="F571" s="38" t="inlineStr">
        <is>
          <t>Particular</t>
        </is>
      </c>
      <c r="G571" s="38" t="inlineStr">
        <is>
          <t>Avaliação endócrina</t>
        </is>
      </c>
      <c r="H571" s="38" t="inlineStr">
        <is>
          <t>Realizado</t>
        </is>
      </c>
      <c r="I571" s="38" t="inlineStr">
        <is>
          <t>Cartão de crédito</t>
        </is>
      </c>
      <c r="J571" s="38" t="n">
        <v>2</v>
      </c>
      <c r="K571" s="37" t="n"/>
      <c r="L571" s="39" t="n">
        <v>40</v>
      </c>
      <c r="M571" s="40" t="n">
        <v>400</v>
      </c>
      <c r="N571" s="30">
        <f>IF(A571="","",MONTH(A571))</f>
        <v>7</v>
      </c>
      <c r="O571" s="30">
        <f>IF(A571="","",YEAR(A571))</f>
        <v>2026</v>
      </c>
      <c r="P571" s="30" t="str">
        <f>IF(A571="","",CHOOSE(WEEKDAY(A571,2),"Segunda","Terça","Quarta","Quinta","Sexta","Sábado","Domingo"))</f>
        <v>Terça</v>
      </c>
      <c r="Q571" s="30" t="str">
        <f>IF(B571="","",IF(B571&lt;TIME(12,0,0),"Manhã",IF(B571&lt;TIME(18,0,0),"Tarde","Noite")))</f>
        <v>Tarde</v>
      </c>
      <c r="R571" s="46">
        <f>IF(AND(H571="Realizado",L571&lt;&gt;"",A571&lt;=Config!$B$9),L571/60,0)</f>
        <v>0.666666666666667</v>
      </c>
      <c r="S571" s="45">
        <f>IF(G571="","",IFERROR(INDEX(Config!$K$5:$K$16,MATCH(G571,Config!$J$5:$J$16,0)),""))</f>
        <v>40</v>
      </c>
      <c r="T571" s="31">
        <f>IF(OR(G571="",F571=""),"",IFERROR(INDEX(Config!$M$5:$R$16,MATCH(G571,Config!$J$5:$J$16,0),MATCH(F571,Config!$H$5:$H$10,0)),""))</f>
        <v>400</v>
      </c>
      <c r="U571" s="47">
        <f>IF(AND(H571="Realizado",L571&lt;&gt;""),L571/60,0)</f>
        <v>0.666666666666667</v>
      </c>
      <c r="V571" s="47">
        <f>IF(AND(H571="Realizado",OR(L571="",M571="")),1,0)</f>
        <v>0</v>
      </c>
    </row>
    <row r="572">
      <c r="A572" s="43" t="n">
        <v>46231</v>
      </c>
      <c r="B572" s="44" t="n">
        <v>0.6458333333333334</v>
      </c>
      <c r="C572" s="38" t="inlineStr">
        <is>
          <t>Dra. Renata Sousa</t>
        </is>
      </c>
      <c r="D572" s="38" t="inlineStr">
        <is>
          <t>Sala 1</t>
        </is>
      </c>
      <c r="E572" s="37" t="inlineStr">
        <is>
          <t>Cláudia Melo</t>
        </is>
      </c>
      <c r="F572" s="38" t="inlineStr">
        <is>
          <t>Particular</t>
        </is>
      </c>
      <c r="G572" s="38" t="inlineStr">
        <is>
          <t>Avaliação endócrina</t>
        </is>
      </c>
      <c r="H572" s="38" t="inlineStr">
        <is>
          <t>Realizado</t>
        </is>
      </c>
      <c r="I572" s="38" t="inlineStr">
        <is>
          <t>Pix</t>
        </is>
      </c>
      <c r="J572" s="38" t="n"/>
      <c r="K572" s="37" t="n"/>
      <c r="L572" s="39" t="n">
        <v>40</v>
      </c>
      <c r="M572" s="40" t="n">
        <v>400</v>
      </c>
      <c r="N572" s="30">
        <f>IF(A572="","",MONTH(A572))</f>
        <v>7</v>
      </c>
      <c r="O572" s="30">
        <f>IF(A572="","",YEAR(A572))</f>
        <v>2026</v>
      </c>
      <c r="P572" s="30" t="str">
        <f>IF(A572="","",CHOOSE(WEEKDAY(A572,2),"Segunda","Terça","Quarta","Quinta","Sexta","Sábado","Domingo"))</f>
        <v>Terça</v>
      </c>
      <c r="Q572" s="30" t="str">
        <f>IF(B572="","",IF(B572&lt;TIME(12,0,0),"Manhã",IF(B572&lt;TIME(18,0,0),"Tarde","Noite")))</f>
        <v>Tarde</v>
      </c>
      <c r="R572" s="46">
        <f>IF(AND(H572="Realizado",L572&lt;&gt;"",A572&lt;=Config!$B$9),L572/60,0)</f>
        <v>0.666666666666667</v>
      </c>
      <c r="S572" s="45">
        <f>IF(G572="","",IFERROR(INDEX(Config!$K$5:$K$16,MATCH(G572,Config!$J$5:$J$16,0)),""))</f>
        <v>40</v>
      </c>
      <c r="T572" s="31">
        <f>IF(OR(G572="",F572=""),"",IFERROR(INDEX(Config!$M$5:$R$16,MATCH(G572,Config!$J$5:$J$16,0),MATCH(F572,Config!$H$5:$H$10,0)),""))</f>
        <v>400</v>
      </c>
      <c r="U572" s="47">
        <f>IF(AND(H572="Realizado",L572&lt;&gt;""),L572/60,0)</f>
        <v>0.666666666666667</v>
      </c>
      <c r="V572" s="47">
        <f>IF(AND(H572="Realizado",OR(L572="",M572="")),1,0)</f>
        <v>0</v>
      </c>
    </row>
    <row r="573">
      <c r="A573" s="43" t="n">
        <v>46231</v>
      </c>
      <c r="B573" s="44" t="n">
        <v>0.6597222222222222</v>
      </c>
      <c r="C573" s="38" t="inlineStr">
        <is>
          <t>Dr. Paulo Andrade</t>
        </is>
      </c>
      <c r="D573" s="38" t="inlineStr">
        <is>
          <t>Sala 2</t>
        </is>
      </c>
      <c r="E573" s="37" t="inlineStr">
        <is>
          <t>Marcelo Ferreira</t>
        </is>
      </c>
      <c r="F573" s="38" t="inlineStr">
        <is>
          <t>Particular</t>
        </is>
      </c>
      <c r="G573" s="38" t="inlineStr">
        <is>
          <t>Consulta</t>
        </is>
      </c>
      <c r="H573" s="38" t="inlineStr">
        <is>
          <t>Realizado</t>
        </is>
      </c>
      <c r="I573" s="38" t="inlineStr">
        <is>
          <t>Cartão de débito</t>
        </is>
      </c>
      <c r="J573" s="38" t="n"/>
      <c r="K573" s="37" t="n"/>
      <c r="L573" s="39" t="n">
        <v>30</v>
      </c>
      <c r="M573" s="40" t="n">
        <v>380</v>
      </c>
      <c r="N573" s="30">
        <f>IF(A573="","",MONTH(A573))</f>
        <v>7</v>
      </c>
      <c r="O573" s="30">
        <f>IF(A573="","",YEAR(A573))</f>
        <v>2026</v>
      </c>
      <c r="P573" s="30" t="str">
        <f>IF(A573="","",CHOOSE(WEEKDAY(A573,2),"Segunda","Terça","Quarta","Quinta","Sexta","Sábado","Domingo"))</f>
        <v>Terça</v>
      </c>
      <c r="Q573" s="30" t="str">
        <f>IF(B573="","",IF(B573&lt;TIME(12,0,0),"Manhã",IF(B573&lt;TIME(18,0,0),"Tarde","Noite")))</f>
        <v>Tarde</v>
      </c>
      <c r="R573" s="46">
        <f>IF(AND(H573="Realizado",L573&lt;&gt;"",A573&lt;=Config!$B$9),L573/60,0)</f>
        <v>0.5</v>
      </c>
      <c r="S573" s="45">
        <f>IF(G573="","",IFERROR(INDEX(Config!$K$5:$K$16,MATCH(G573,Config!$J$5:$J$16,0)),""))</f>
        <v>30</v>
      </c>
      <c r="T573" s="31">
        <f>IF(OR(G573="",F573=""),"",IFERROR(INDEX(Config!$M$5:$R$16,MATCH(G573,Config!$J$5:$J$16,0),MATCH(F573,Config!$H$5:$H$10,0)),""))</f>
        <v>380</v>
      </c>
      <c r="U573" s="47">
        <f>IF(AND(H573="Realizado",L573&lt;&gt;""),L573/60,0)</f>
        <v>0.5</v>
      </c>
      <c r="V573" s="47">
        <f>IF(AND(H573="Realizado",OR(L573="",M573="")),1,0)</f>
        <v>0</v>
      </c>
    </row>
    <row r="574">
      <c r="A574" s="43" t="n">
        <v>46231</v>
      </c>
      <c r="B574" s="44" t="n">
        <v>0.6736111111111112</v>
      </c>
      <c r="C574" s="38" t="inlineStr">
        <is>
          <t>Dra. Renata Sousa</t>
        </is>
      </c>
      <c r="D574" s="38" t="inlineStr">
        <is>
          <t>Sala 1</t>
        </is>
      </c>
      <c r="E574" s="37" t="inlineStr">
        <is>
          <t>Rafael Pereira</t>
        </is>
      </c>
      <c r="F574" s="38" t="inlineStr">
        <is>
          <t>Particular</t>
        </is>
      </c>
      <c r="G574" s="38" t="inlineStr">
        <is>
          <t>Avaliação endócrina</t>
        </is>
      </c>
      <c r="H574" s="38" t="inlineStr">
        <is>
          <t>Realizado</t>
        </is>
      </c>
      <c r="I574" s="38" t="inlineStr">
        <is>
          <t>A prazo</t>
        </is>
      </c>
      <c r="J574" s="38" t="n"/>
      <c r="K574" s="37" t="n"/>
      <c r="L574" s="39" t="n">
        <v>40</v>
      </c>
      <c r="M574" s="40" t="n">
        <v>400</v>
      </c>
      <c r="N574" s="30">
        <f>IF(A574="","",MONTH(A574))</f>
        <v>7</v>
      </c>
      <c r="O574" s="30">
        <f>IF(A574="","",YEAR(A574))</f>
        <v>2026</v>
      </c>
      <c r="P574" s="30" t="str">
        <f>IF(A574="","",CHOOSE(WEEKDAY(A574,2),"Segunda","Terça","Quarta","Quinta","Sexta","Sábado","Domingo"))</f>
        <v>Terça</v>
      </c>
      <c r="Q574" s="30" t="str">
        <f>IF(B574="","",IF(B574&lt;TIME(12,0,0),"Manhã",IF(B574&lt;TIME(18,0,0),"Tarde","Noite")))</f>
        <v>Tarde</v>
      </c>
      <c r="R574" s="46">
        <f>IF(AND(H574="Realizado",L574&lt;&gt;"",A574&lt;=Config!$B$9),L574/60,0)</f>
        <v>0.666666666666667</v>
      </c>
      <c r="S574" s="45">
        <f>IF(G574="","",IFERROR(INDEX(Config!$K$5:$K$16,MATCH(G574,Config!$J$5:$J$16,0)),""))</f>
        <v>40</v>
      </c>
      <c r="T574" s="31">
        <f>IF(OR(G574="",F574=""),"",IFERROR(INDEX(Config!$M$5:$R$16,MATCH(G574,Config!$J$5:$J$16,0),MATCH(F574,Config!$H$5:$H$10,0)),""))</f>
        <v>400</v>
      </c>
      <c r="U574" s="47">
        <f>IF(AND(H574="Realizado",L574&lt;&gt;""),L574/60,0)</f>
        <v>0.666666666666667</v>
      </c>
      <c r="V574" s="47">
        <f>IF(AND(H574="Realizado",OR(L574="",M574="")),1,0)</f>
        <v>0</v>
      </c>
    </row>
    <row r="575">
      <c r="A575" s="43" t="n">
        <v>46231</v>
      </c>
      <c r="B575" s="44" t="n">
        <v>0.6805555555555556</v>
      </c>
      <c r="C575" s="38" t="inlineStr">
        <is>
          <t>Dr. Paulo Andrade</t>
        </is>
      </c>
      <c r="D575" s="38" t="inlineStr">
        <is>
          <t>Sala 2</t>
        </is>
      </c>
      <c r="E575" s="37" t="inlineStr">
        <is>
          <t>Patrícia Vieira</t>
        </is>
      </c>
      <c r="F575" s="38" t="inlineStr">
        <is>
          <t>Saúde Total</t>
        </is>
      </c>
      <c r="G575" s="38" t="inlineStr">
        <is>
          <t>Consulta</t>
        </is>
      </c>
      <c r="H575" s="38" t="inlineStr">
        <is>
          <t>Realizado</t>
        </is>
      </c>
      <c r="I575" s="38" t="inlineStr">
        <is>
          <t>Convênio</t>
        </is>
      </c>
      <c r="J575" s="38" t="n"/>
      <c r="K575" s="37" t="n"/>
      <c r="L575" s="39" t="n">
        <v>30</v>
      </c>
      <c r="M575" s="40" t="n">
        <v>120</v>
      </c>
      <c r="N575" s="30">
        <f>IF(A575="","",MONTH(A575))</f>
        <v>7</v>
      </c>
      <c r="O575" s="30">
        <f>IF(A575="","",YEAR(A575))</f>
        <v>2026</v>
      </c>
      <c r="P575" s="30" t="str">
        <f>IF(A575="","",CHOOSE(WEEKDAY(A575,2),"Segunda","Terça","Quarta","Quinta","Sexta","Sábado","Domingo"))</f>
        <v>Terça</v>
      </c>
      <c r="Q575" s="30" t="str">
        <f>IF(B575="","",IF(B575&lt;TIME(12,0,0),"Manhã",IF(B575&lt;TIME(18,0,0),"Tarde","Noite")))</f>
        <v>Tarde</v>
      </c>
      <c r="R575" s="46">
        <f>IF(AND(H575="Realizado",L575&lt;&gt;"",A575&lt;=Config!$B$9),L575/60,0)</f>
        <v>0.5</v>
      </c>
      <c r="S575" s="45">
        <f>IF(G575="","",IFERROR(INDEX(Config!$K$5:$K$16,MATCH(G575,Config!$J$5:$J$16,0)),""))</f>
        <v>30</v>
      </c>
      <c r="T575" s="31">
        <f>IF(OR(G575="",F575=""),"",IFERROR(INDEX(Config!$M$5:$R$16,MATCH(G575,Config!$J$5:$J$16,0),MATCH(F575,Config!$H$5:$H$10,0)),""))</f>
        <v>120</v>
      </c>
      <c r="U575" s="47">
        <f>IF(AND(H575="Realizado",L575&lt;&gt;""),L575/60,0)</f>
        <v>0.5</v>
      </c>
      <c r="V575" s="47">
        <f>IF(AND(H575="Realizado",OR(L575="",M575="")),1,0)</f>
        <v>0</v>
      </c>
    </row>
    <row r="576">
      <c r="A576" s="43" t="n">
        <v>46231</v>
      </c>
      <c r="B576" s="44" t="n">
        <v>0.7013888888888888</v>
      </c>
      <c r="C576" s="38" t="inlineStr">
        <is>
          <t>Dra. Renata Sousa</t>
        </is>
      </c>
      <c r="D576" s="38" t="inlineStr">
        <is>
          <t>Sala 1</t>
        </is>
      </c>
      <c r="E576" s="37" t="inlineStr">
        <is>
          <t>Roberta Lima</t>
        </is>
      </c>
      <c r="F576" s="38" t="inlineStr">
        <is>
          <t>Particular</t>
        </is>
      </c>
      <c r="G576" s="38" t="inlineStr">
        <is>
          <t>Retorno</t>
        </is>
      </c>
      <c r="H576" s="38" t="inlineStr">
        <is>
          <t>Realizado</t>
        </is>
      </c>
      <c r="I576" s="38" t="inlineStr">
        <is>
          <t>Sem cobrança</t>
        </is>
      </c>
      <c r="J576" s="38" t="n"/>
      <c r="K576" s="37" t="n"/>
      <c r="L576" s="39" t="n">
        <v>20</v>
      </c>
      <c r="M576" s="40" t="n">
        <v>0</v>
      </c>
      <c r="N576" s="30">
        <f>IF(A576="","",MONTH(A576))</f>
        <v>7</v>
      </c>
      <c r="O576" s="30">
        <f>IF(A576="","",YEAR(A576))</f>
        <v>2026</v>
      </c>
      <c r="P576" s="30" t="str">
        <f>IF(A576="","",CHOOSE(WEEKDAY(A576,2),"Segunda","Terça","Quarta","Quinta","Sexta","Sábado","Domingo"))</f>
        <v>Terça</v>
      </c>
      <c r="Q576" s="30" t="str">
        <f>IF(B576="","",IF(B576&lt;TIME(12,0,0),"Manhã",IF(B576&lt;TIME(18,0,0),"Tarde","Noite")))</f>
        <v>Tarde</v>
      </c>
      <c r="R576" s="46">
        <f>IF(AND(H576="Realizado",L576&lt;&gt;"",A576&lt;=Config!$B$9),L576/60,0)</f>
        <v>0.333333333333333</v>
      </c>
      <c r="S576" s="45">
        <f>IF(G576="","",IFERROR(INDEX(Config!$K$5:$K$16,MATCH(G576,Config!$J$5:$J$16,0)),""))</f>
        <v>20</v>
      </c>
      <c r="T576" s="31">
        <f>IF(OR(G576="",F576=""),"",IFERROR(INDEX(Config!$M$5:$R$16,MATCH(G576,Config!$J$5:$J$16,0),MATCH(F576,Config!$H$5:$H$10,0)),""))</f>
        <v>0</v>
      </c>
      <c r="U576" s="47">
        <f>IF(AND(H576="Realizado",L576&lt;&gt;""),L576/60,0)</f>
        <v>0.333333333333333</v>
      </c>
      <c r="V576" s="47">
        <f>IF(AND(H576="Realizado",OR(L576="",M576="")),1,0)</f>
        <v>0</v>
      </c>
    </row>
    <row r="577">
      <c r="A577" s="43" t="n">
        <v>46231</v>
      </c>
      <c r="B577" s="44" t="n">
        <v>0.7013888888888888</v>
      </c>
      <c r="C577" s="38" t="inlineStr">
        <is>
          <t>Dr. Paulo Andrade</t>
        </is>
      </c>
      <c r="D577" s="38" t="inlineStr">
        <is>
          <t>Sala 2</t>
        </is>
      </c>
      <c r="E577" s="37" t="inlineStr">
        <is>
          <t>Fernanda Freitas</t>
        </is>
      </c>
      <c r="F577" s="38" t="inlineStr">
        <is>
          <t>Particular</t>
        </is>
      </c>
      <c r="G577" s="38" t="inlineStr">
        <is>
          <t>Teste ergométrico</t>
        </is>
      </c>
      <c r="H577" s="38" t="inlineStr">
        <is>
          <t>Realizado</t>
        </is>
      </c>
      <c r="I577" s="38" t="inlineStr">
        <is>
          <t>Cartão de crédito</t>
        </is>
      </c>
      <c r="J577" s="38" t="n"/>
      <c r="K577" s="37" t="n"/>
      <c r="L577" s="39" t="n">
        <v>40</v>
      </c>
      <c r="M577" s="40" t="n">
        <v>450</v>
      </c>
      <c r="N577" s="30">
        <f>IF(A577="","",MONTH(A577))</f>
        <v>7</v>
      </c>
      <c r="O577" s="30">
        <f>IF(A577="","",YEAR(A577))</f>
        <v>2026</v>
      </c>
      <c r="P577" s="30" t="str">
        <f>IF(A577="","",CHOOSE(WEEKDAY(A577,2),"Segunda","Terça","Quarta","Quinta","Sexta","Sábado","Domingo"))</f>
        <v>Terça</v>
      </c>
      <c r="Q577" s="30" t="str">
        <f>IF(B577="","",IF(B577&lt;TIME(12,0,0),"Manhã",IF(B577&lt;TIME(18,0,0),"Tarde","Noite")))</f>
        <v>Tarde</v>
      </c>
      <c r="R577" s="46">
        <f>IF(AND(H577="Realizado",L577&lt;&gt;"",A577&lt;=Config!$B$9),L577/60,0)</f>
        <v>0.666666666666667</v>
      </c>
      <c r="S577" s="45">
        <f>IF(G577="","",IFERROR(INDEX(Config!$K$5:$K$16,MATCH(G577,Config!$J$5:$J$16,0)),""))</f>
        <v>40</v>
      </c>
      <c r="T577" s="31">
        <f>IF(OR(G577="",F577=""),"",IFERROR(INDEX(Config!$M$5:$R$16,MATCH(G577,Config!$J$5:$J$16,0),MATCH(F577,Config!$H$5:$H$10,0)),""))</f>
        <v>450</v>
      </c>
      <c r="U577" s="47">
        <f>IF(AND(H577="Realizado",L577&lt;&gt;""),L577/60,0)</f>
        <v>0.666666666666667</v>
      </c>
      <c r="V577" s="47">
        <f>IF(AND(H577="Realizado",OR(L577="",M577="")),1,0)</f>
        <v>0</v>
      </c>
    </row>
    <row r="578">
      <c r="A578" s="43" t="n">
        <v>46231</v>
      </c>
      <c r="B578" s="44" t="n">
        <v>0.7152777777777778</v>
      </c>
      <c r="C578" s="38" t="inlineStr">
        <is>
          <t>Dra. Renata Sousa</t>
        </is>
      </c>
      <c r="D578" s="38" t="inlineStr">
        <is>
          <t>Sala 1</t>
        </is>
      </c>
      <c r="E578" s="37" t="inlineStr">
        <is>
          <t>Fábio Ferreira</t>
        </is>
      </c>
      <c r="F578" s="38" t="inlineStr">
        <is>
          <t>Particular</t>
        </is>
      </c>
      <c r="G578" s="38" t="inlineStr">
        <is>
          <t>Avaliação endócrina</t>
        </is>
      </c>
      <c r="H578" s="38" t="inlineStr">
        <is>
          <t>Cancelado</t>
        </is>
      </c>
      <c r="I578" s="38" t="n"/>
      <c r="J578" s="38" t="n"/>
      <c r="K578" s="37" t="n"/>
      <c r="L578" s="39" t="n">
        <v>40</v>
      </c>
      <c r="M578" s="40" t="n">
        <v>400</v>
      </c>
      <c r="N578" s="30">
        <f>IF(A578="","",MONTH(A578))</f>
        <v>7</v>
      </c>
      <c r="O578" s="30">
        <f>IF(A578="","",YEAR(A578))</f>
        <v>2026</v>
      </c>
      <c r="P578" s="30" t="str">
        <f>IF(A578="","",CHOOSE(WEEKDAY(A578,2),"Segunda","Terça","Quarta","Quinta","Sexta","Sábado","Domingo"))</f>
        <v>Terça</v>
      </c>
      <c r="Q578" s="30" t="str">
        <f>IF(B578="","",IF(B578&lt;TIME(12,0,0),"Manhã",IF(B578&lt;TIME(18,0,0),"Tarde","Noite")))</f>
        <v>Tarde</v>
      </c>
      <c r="R578" s="46">
        <f>IF(AND(H578="Realizado",L578&lt;&gt;"",A578&lt;=Config!$B$9),L578/60,0)</f>
        <v>0</v>
      </c>
      <c r="S578" s="45">
        <f>IF(G578="","",IFERROR(INDEX(Config!$K$5:$K$16,MATCH(G578,Config!$J$5:$J$16,0)),""))</f>
        <v>40</v>
      </c>
      <c r="T578" s="31">
        <f>IF(OR(G578="",F578=""),"",IFERROR(INDEX(Config!$M$5:$R$16,MATCH(G578,Config!$J$5:$J$16,0),MATCH(F578,Config!$H$5:$H$10,0)),""))</f>
        <v>400</v>
      </c>
      <c r="U578" s="47">
        <f>IF(AND(H578="Realizado",L578&lt;&gt;""),L578/60,0)</f>
        <v>0</v>
      </c>
      <c r="V578" s="47">
        <f>IF(AND(H578="Realizado",OR(L578="",M578="")),1,0)</f>
        <v>0</v>
      </c>
    </row>
    <row r="579">
      <c r="A579" s="43" t="n">
        <v>46231</v>
      </c>
      <c r="B579" s="44" t="n">
        <v>0.7291666666666666</v>
      </c>
      <c r="C579" s="38" t="inlineStr">
        <is>
          <t>Dr. Paulo Andrade</t>
        </is>
      </c>
      <c r="D579" s="38" t="inlineStr">
        <is>
          <t>Sala 2</t>
        </is>
      </c>
      <c r="E579" s="37" t="inlineStr">
        <is>
          <t>Priscila Rocha</t>
        </is>
      </c>
      <c r="F579" s="38" t="inlineStr">
        <is>
          <t>MediPlan</t>
        </is>
      </c>
      <c r="G579" s="38" t="inlineStr">
        <is>
          <t>Retorno</t>
        </is>
      </c>
      <c r="H579" s="38" t="inlineStr">
        <is>
          <t>Realizado</t>
        </is>
      </c>
      <c r="I579" s="38" t="inlineStr">
        <is>
          <t>Sem cobrança</t>
        </is>
      </c>
      <c r="J579" s="38" t="n"/>
      <c r="K579" s="37" t="n"/>
      <c r="L579" s="39" t="n">
        <v>20</v>
      </c>
      <c r="M579" s="40" t="n">
        <v>0</v>
      </c>
      <c r="N579" s="30">
        <f>IF(A579="","",MONTH(A579))</f>
        <v>7</v>
      </c>
      <c r="O579" s="30">
        <f>IF(A579="","",YEAR(A579))</f>
        <v>2026</v>
      </c>
      <c r="P579" s="30" t="str">
        <f>IF(A579="","",CHOOSE(WEEKDAY(A579,2),"Segunda","Terça","Quarta","Quinta","Sexta","Sábado","Domingo"))</f>
        <v>Terça</v>
      </c>
      <c r="Q579" s="30" t="str">
        <f>IF(B579="","",IF(B579&lt;TIME(12,0,0),"Manhã",IF(B579&lt;TIME(18,0,0),"Tarde","Noite")))</f>
        <v>Tarde</v>
      </c>
      <c r="R579" s="46">
        <f>IF(AND(H579="Realizado",L579&lt;&gt;"",A579&lt;=Config!$B$9),L579/60,0)</f>
        <v>0.333333333333333</v>
      </c>
      <c r="S579" s="45">
        <f>IF(G579="","",IFERROR(INDEX(Config!$K$5:$K$16,MATCH(G579,Config!$J$5:$J$16,0)),""))</f>
        <v>20</v>
      </c>
      <c r="T579" s="31">
        <f>IF(OR(G579="",F579=""),"",IFERROR(INDEX(Config!$M$5:$R$16,MATCH(G579,Config!$J$5:$J$16,0),MATCH(F579,Config!$H$5:$H$10,0)),""))</f>
        <v>0</v>
      </c>
      <c r="U579" s="47">
        <f>IF(AND(H579="Realizado",L579&lt;&gt;""),L579/60,0)</f>
        <v>0.333333333333333</v>
      </c>
      <c r="V579" s="47">
        <f>IF(AND(H579="Realizado",OR(L579="",M579="")),1,0)</f>
        <v>0</v>
      </c>
    </row>
    <row r="580">
      <c r="A580" s="43" t="n">
        <v>46232</v>
      </c>
      <c r="B580" s="44" t="n">
        <v>0.5833333333333334</v>
      </c>
      <c r="C580" s="38" t="inlineStr">
        <is>
          <t>Dra. Carolina Mendes</t>
        </is>
      </c>
      <c r="D580" s="38" t="inlineStr">
        <is>
          <t>Sala 1</t>
        </is>
      </c>
      <c r="E580" s="37" t="inlineStr">
        <is>
          <t>Priscila Carvalho</t>
        </is>
      </c>
      <c r="F580" s="38" t="inlineStr">
        <is>
          <t>Vida Care</t>
        </is>
      </c>
      <c r="G580" s="38" t="inlineStr">
        <is>
          <t>Retorno</t>
        </is>
      </c>
      <c r="H580" s="38" t="inlineStr">
        <is>
          <t>Realizado</t>
        </is>
      </c>
      <c r="I580" s="38" t="inlineStr">
        <is>
          <t>Sem cobrança</t>
        </is>
      </c>
      <c r="J580" s="38" t="n"/>
      <c r="K580" s="37" t="n"/>
      <c r="L580" s="39" t="n">
        <v>20</v>
      </c>
      <c r="M580" s="40" t="n">
        <v>0</v>
      </c>
      <c r="N580" s="30">
        <f>IF(A580="","",MONTH(A580))</f>
        <v>7</v>
      </c>
      <c r="O580" s="30">
        <f>IF(A580="","",YEAR(A580))</f>
        <v>2026</v>
      </c>
      <c r="P580" s="30" t="str">
        <f>IF(A580="","",CHOOSE(WEEKDAY(A580,2),"Segunda","Terça","Quarta","Quinta","Sexta","Sábado","Domingo"))</f>
        <v>Quarta</v>
      </c>
      <c r="Q580" s="30" t="str">
        <f>IF(B580="","",IF(B580&lt;TIME(12,0,0),"Manhã",IF(B580&lt;TIME(18,0,0),"Tarde","Noite")))</f>
        <v>Tarde</v>
      </c>
      <c r="R580" s="46">
        <f>IF(AND(H580="Realizado",L580&lt;&gt;"",A580&lt;=Config!$B$9),L580/60,0)</f>
        <v>0.333333333333333</v>
      </c>
      <c r="S580" s="45">
        <f>IF(G580="","",IFERROR(INDEX(Config!$K$5:$K$16,MATCH(G580,Config!$J$5:$J$16,0)),""))</f>
        <v>20</v>
      </c>
      <c r="T580" s="31">
        <f>IF(OR(G580="",F580=""),"",IFERROR(INDEX(Config!$M$5:$R$16,MATCH(G580,Config!$J$5:$J$16,0),MATCH(F580,Config!$H$5:$H$10,0)),""))</f>
        <v>0</v>
      </c>
      <c r="U580" s="47">
        <f>IF(AND(H580="Realizado",L580&lt;&gt;""),L580/60,0)</f>
        <v>0.333333333333333</v>
      </c>
      <c r="V580" s="47">
        <f>IF(AND(H580="Realizado",OR(L580="",M580="")),1,0)</f>
        <v>0</v>
      </c>
    </row>
    <row r="581">
      <c r="A581" s="43" t="n">
        <v>46232</v>
      </c>
      <c r="B581" s="44" t="n">
        <v>0.5972222222222222</v>
      </c>
      <c r="C581" s="38" t="inlineStr">
        <is>
          <t>Dra. Carolina Mendes</t>
        </is>
      </c>
      <c r="D581" s="38" t="inlineStr">
        <is>
          <t>Sala 1</t>
        </is>
      </c>
      <c r="E581" s="37" t="inlineStr">
        <is>
          <t>Marcelo Santos</t>
        </is>
      </c>
      <c r="F581" s="38" t="inlineStr">
        <is>
          <t>Particular</t>
        </is>
      </c>
      <c r="G581" s="38" t="inlineStr">
        <is>
          <t>Consulta</t>
        </is>
      </c>
      <c r="H581" s="38" t="inlineStr">
        <is>
          <t>Falta</t>
        </is>
      </c>
      <c r="I581" s="38" t="n"/>
      <c r="J581" s="38" t="n"/>
      <c r="K581" s="37" t="n"/>
      <c r="L581" s="39" t="n">
        <v>30</v>
      </c>
      <c r="M581" s="40" t="n">
        <v>380</v>
      </c>
      <c r="N581" s="30">
        <f>IF(A581="","",MONTH(A581))</f>
        <v>7</v>
      </c>
      <c r="O581" s="30">
        <f>IF(A581="","",YEAR(A581))</f>
        <v>2026</v>
      </c>
      <c r="P581" s="30" t="str">
        <f>IF(A581="","",CHOOSE(WEEKDAY(A581,2),"Segunda","Terça","Quarta","Quinta","Sexta","Sábado","Domingo"))</f>
        <v>Quarta</v>
      </c>
      <c r="Q581" s="30" t="str">
        <f>IF(B581="","",IF(B581&lt;TIME(12,0,0),"Manhã",IF(B581&lt;TIME(18,0,0),"Tarde","Noite")))</f>
        <v>Tarde</v>
      </c>
      <c r="R581" s="46">
        <f>IF(AND(H581="Realizado",L581&lt;&gt;"",A581&lt;=Config!$B$9),L581/60,0)</f>
        <v>0</v>
      </c>
      <c r="S581" s="45">
        <f>IF(G581="","",IFERROR(INDEX(Config!$K$5:$K$16,MATCH(G581,Config!$J$5:$J$16,0)),""))</f>
        <v>30</v>
      </c>
      <c r="T581" s="31">
        <f>IF(OR(G581="",F581=""),"",IFERROR(INDEX(Config!$M$5:$R$16,MATCH(G581,Config!$J$5:$J$16,0),MATCH(F581,Config!$H$5:$H$10,0)),""))</f>
        <v>380</v>
      </c>
      <c r="U581" s="47">
        <f>IF(AND(H581="Realizado",L581&lt;&gt;""),L581/60,0)</f>
        <v>0</v>
      </c>
      <c r="V581" s="47">
        <f>IF(AND(H581="Realizado",OR(L581="",M581="")),1,0)</f>
        <v>0</v>
      </c>
    </row>
    <row r="582">
      <c r="A582" s="43" t="n">
        <v>46232</v>
      </c>
      <c r="B582" s="44" t="n">
        <v>0.6180555555555556</v>
      </c>
      <c r="C582" s="38" t="inlineStr">
        <is>
          <t>Dra. Carolina Mendes</t>
        </is>
      </c>
      <c r="D582" s="38" t="inlineStr">
        <is>
          <t>Sala 1</t>
        </is>
      </c>
      <c r="E582" s="37" t="inlineStr">
        <is>
          <t>Gisele Xavier</t>
        </is>
      </c>
      <c r="F582" s="38" t="inlineStr">
        <is>
          <t>Particular</t>
        </is>
      </c>
      <c r="G582" s="38" t="inlineStr">
        <is>
          <t>Consulta</t>
        </is>
      </c>
      <c r="H582" s="38" t="inlineStr">
        <is>
          <t>Realizado</t>
        </is>
      </c>
      <c r="I582" s="38" t="inlineStr">
        <is>
          <t>Pix</t>
        </is>
      </c>
      <c r="J582" s="38" t="n"/>
      <c r="K582" s="37" t="n"/>
      <c r="L582" s="39" t="n">
        <v>30</v>
      </c>
      <c r="M582" s="40" t="n">
        <v>380</v>
      </c>
      <c r="N582" s="30">
        <f>IF(A582="","",MONTH(A582))</f>
        <v>7</v>
      </c>
      <c r="O582" s="30">
        <f>IF(A582="","",YEAR(A582))</f>
        <v>2026</v>
      </c>
      <c r="P582" s="30" t="str">
        <f>IF(A582="","",CHOOSE(WEEKDAY(A582,2),"Segunda","Terça","Quarta","Quinta","Sexta","Sábado","Domingo"))</f>
        <v>Quarta</v>
      </c>
      <c r="Q582" s="30" t="str">
        <f>IF(B582="","",IF(B582&lt;TIME(12,0,0),"Manhã",IF(B582&lt;TIME(18,0,0),"Tarde","Noite")))</f>
        <v>Tarde</v>
      </c>
      <c r="R582" s="46">
        <f>IF(AND(H582="Realizado",L582&lt;&gt;"",A582&lt;=Config!$B$9),L582/60,0)</f>
        <v>0.5</v>
      </c>
      <c r="S582" s="45">
        <f>IF(G582="","",IFERROR(INDEX(Config!$K$5:$K$16,MATCH(G582,Config!$J$5:$J$16,0)),""))</f>
        <v>30</v>
      </c>
      <c r="T582" s="31">
        <f>IF(OR(G582="",F582=""),"",IFERROR(INDEX(Config!$M$5:$R$16,MATCH(G582,Config!$J$5:$J$16,0),MATCH(F582,Config!$H$5:$H$10,0)),""))</f>
        <v>380</v>
      </c>
      <c r="U582" s="47">
        <f>IF(AND(H582="Realizado",L582&lt;&gt;""),L582/60,0)</f>
        <v>0.5</v>
      </c>
      <c r="V582" s="47">
        <f>IF(AND(H582="Realizado",OR(L582="",M582="")),1,0)</f>
        <v>0</v>
      </c>
    </row>
    <row r="583">
      <c r="A583" s="43" t="n">
        <v>46232</v>
      </c>
      <c r="B583" s="44" t="n">
        <v>0.6388888888888888</v>
      </c>
      <c r="C583" s="38" t="inlineStr">
        <is>
          <t>Dra. Carolina Mendes</t>
        </is>
      </c>
      <c r="D583" s="38" t="inlineStr">
        <is>
          <t>Sala 1</t>
        </is>
      </c>
      <c r="E583" s="37" t="inlineStr">
        <is>
          <t>Cláudia Santos</t>
        </is>
      </c>
      <c r="F583" s="38" t="inlineStr">
        <is>
          <t>Particular</t>
        </is>
      </c>
      <c r="G583" s="38" t="inlineStr">
        <is>
          <t>Consulta</t>
        </is>
      </c>
      <c r="H583" s="38" t="inlineStr">
        <is>
          <t>Realizado</t>
        </is>
      </c>
      <c r="I583" s="38" t="inlineStr">
        <is>
          <t>Pix</t>
        </is>
      </c>
      <c r="J583" s="38" t="n"/>
      <c r="K583" s="37" t="n"/>
      <c r="L583" s="39" t="n">
        <v>30</v>
      </c>
      <c r="M583" s="40" t="n">
        <v>380</v>
      </c>
      <c r="N583" s="30">
        <f>IF(A583="","",MONTH(A583))</f>
        <v>7</v>
      </c>
      <c r="O583" s="30">
        <f>IF(A583="","",YEAR(A583))</f>
        <v>2026</v>
      </c>
      <c r="P583" s="30" t="str">
        <f>IF(A583="","",CHOOSE(WEEKDAY(A583,2),"Segunda","Terça","Quarta","Quinta","Sexta","Sábado","Domingo"))</f>
        <v>Quarta</v>
      </c>
      <c r="Q583" s="30" t="str">
        <f>IF(B583="","",IF(B583&lt;TIME(12,0,0),"Manhã",IF(B583&lt;TIME(18,0,0),"Tarde","Noite")))</f>
        <v>Tarde</v>
      </c>
      <c r="R583" s="46">
        <f>IF(AND(H583="Realizado",L583&lt;&gt;"",A583&lt;=Config!$B$9),L583/60,0)</f>
        <v>0.5</v>
      </c>
      <c r="S583" s="45">
        <f>IF(G583="","",IFERROR(INDEX(Config!$K$5:$K$16,MATCH(G583,Config!$J$5:$J$16,0)),""))</f>
        <v>30</v>
      </c>
      <c r="T583" s="31">
        <f>IF(OR(G583="",F583=""),"",IFERROR(INDEX(Config!$M$5:$R$16,MATCH(G583,Config!$J$5:$J$16,0),MATCH(F583,Config!$H$5:$H$10,0)),""))</f>
        <v>380</v>
      </c>
      <c r="U583" s="47">
        <f>IF(AND(H583="Realizado",L583&lt;&gt;""),L583/60,0)</f>
        <v>0.5</v>
      </c>
      <c r="V583" s="47">
        <f>IF(AND(H583="Realizado",OR(L583="",M583="")),1,0)</f>
        <v>0</v>
      </c>
    </row>
    <row r="584">
      <c r="A584" s="43" t="n">
        <v>46232</v>
      </c>
      <c r="B584" s="44" t="n">
        <v>0.6597222222222222</v>
      </c>
      <c r="C584" s="38" t="inlineStr">
        <is>
          <t>Dra. Carolina Mendes</t>
        </is>
      </c>
      <c r="D584" s="38" t="inlineStr">
        <is>
          <t>Sala 1</t>
        </is>
      </c>
      <c r="E584" s="37" t="inlineStr">
        <is>
          <t>Regina Castro</t>
        </is>
      </c>
      <c r="F584" s="38" t="inlineStr">
        <is>
          <t>Vida Care</t>
        </is>
      </c>
      <c r="G584" s="38" t="inlineStr">
        <is>
          <t>Consulta</t>
        </is>
      </c>
      <c r="H584" s="38" t="inlineStr">
        <is>
          <t>Realizado</t>
        </is>
      </c>
      <c r="I584" s="38" t="inlineStr">
        <is>
          <t>Convênio</t>
        </is>
      </c>
      <c r="J584" s="38" t="n"/>
      <c r="K584" s="37" t="n"/>
      <c r="L584" s="39" t="n">
        <v>30</v>
      </c>
      <c r="M584" s="40" t="n">
        <v>90</v>
      </c>
      <c r="N584" s="30">
        <f>IF(A584="","",MONTH(A584))</f>
        <v>7</v>
      </c>
      <c r="O584" s="30">
        <f>IF(A584="","",YEAR(A584))</f>
        <v>2026</v>
      </c>
      <c r="P584" s="30" t="str">
        <f>IF(A584="","",CHOOSE(WEEKDAY(A584,2),"Segunda","Terça","Quarta","Quinta","Sexta","Sábado","Domingo"))</f>
        <v>Quarta</v>
      </c>
      <c r="Q584" s="30" t="str">
        <f>IF(B584="","",IF(B584&lt;TIME(12,0,0),"Manhã",IF(B584&lt;TIME(18,0,0),"Tarde","Noite")))</f>
        <v>Tarde</v>
      </c>
      <c r="R584" s="46">
        <f>IF(AND(H584="Realizado",L584&lt;&gt;"",A584&lt;=Config!$B$9),L584/60,0)</f>
        <v>0.5</v>
      </c>
      <c r="S584" s="45">
        <f>IF(G584="","",IFERROR(INDEX(Config!$K$5:$K$16,MATCH(G584,Config!$J$5:$J$16,0)),""))</f>
        <v>30</v>
      </c>
      <c r="T584" s="31">
        <f>IF(OR(G584="",F584=""),"",IFERROR(INDEX(Config!$M$5:$R$16,MATCH(G584,Config!$J$5:$J$16,0),MATCH(F584,Config!$H$5:$H$10,0)),""))</f>
        <v>90</v>
      </c>
      <c r="U584" s="47">
        <f>IF(AND(H584="Realizado",L584&lt;&gt;""),L584/60,0)</f>
        <v>0.5</v>
      </c>
      <c r="V584" s="47">
        <f>IF(AND(H584="Realizado",OR(L584="",M584="")),1,0)</f>
        <v>0</v>
      </c>
    </row>
    <row r="585">
      <c r="A585" s="43" t="n">
        <v>46232</v>
      </c>
      <c r="B585" s="44" t="n">
        <v>0.6805555555555556</v>
      </c>
      <c r="C585" s="38" t="inlineStr">
        <is>
          <t>Dra. Carolina Mendes</t>
        </is>
      </c>
      <c r="D585" s="38" t="inlineStr">
        <is>
          <t>Sala 1</t>
        </is>
      </c>
      <c r="E585" s="37" t="inlineStr">
        <is>
          <t>Gustavo Ferreira</t>
        </is>
      </c>
      <c r="F585" s="38" t="inlineStr">
        <is>
          <t>Particular</t>
        </is>
      </c>
      <c r="G585" s="38" t="inlineStr">
        <is>
          <t>Consulta</t>
        </is>
      </c>
      <c r="H585" s="38" t="inlineStr">
        <is>
          <t>Remarcado</t>
        </is>
      </c>
      <c r="I585" s="38" t="n"/>
      <c r="J585" s="38" t="n"/>
      <c r="K585" s="37" t="inlineStr">
        <is>
          <t>Paciente pediu outra data</t>
        </is>
      </c>
      <c r="L585" s="39" t="n">
        <v>30</v>
      </c>
      <c r="M585" s="40" t="n">
        <v>380</v>
      </c>
      <c r="N585" s="30">
        <f>IF(A585="","",MONTH(A585))</f>
        <v>7</v>
      </c>
      <c r="O585" s="30">
        <f>IF(A585="","",YEAR(A585))</f>
        <v>2026</v>
      </c>
      <c r="P585" s="30" t="str">
        <f>IF(A585="","",CHOOSE(WEEKDAY(A585,2),"Segunda","Terça","Quarta","Quinta","Sexta","Sábado","Domingo"))</f>
        <v>Quarta</v>
      </c>
      <c r="Q585" s="30" t="str">
        <f>IF(B585="","",IF(B585&lt;TIME(12,0,0),"Manhã",IF(B585&lt;TIME(18,0,0),"Tarde","Noite")))</f>
        <v>Tarde</v>
      </c>
      <c r="R585" s="46">
        <f>IF(AND(H585="Realizado",L585&lt;&gt;"",A585&lt;=Config!$B$9),L585/60,0)</f>
        <v>0</v>
      </c>
      <c r="S585" s="45">
        <f>IF(G585="","",IFERROR(INDEX(Config!$K$5:$K$16,MATCH(G585,Config!$J$5:$J$16,0)),""))</f>
        <v>30</v>
      </c>
      <c r="T585" s="31">
        <f>IF(OR(G585="",F585=""),"",IFERROR(INDEX(Config!$M$5:$R$16,MATCH(G585,Config!$J$5:$J$16,0),MATCH(F585,Config!$H$5:$H$10,0)),""))</f>
        <v>380</v>
      </c>
      <c r="U585" s="47">
        <f>IF(AND(H585="Realizado",L585&lt;&gt;""),L585/60,0)</f>
        <v>0</v>
      </c>
      <c r="V585" s="47">
        <f>IF(AND(H585="Realizado",OR(L585="",M585="")),1,0)</f>
        <v>0</v>
      </c>
    </row>
    <row r="586">
      <c r="A586" s="43" t="n">
        <v>46232</v>
      </c>
      <c r="B586" s="44" t="n">
        <v>0.7013888888888888</v>
      </c>
      <c r="C586" s="38" t="inlineStr">
        <is>
          <t>Dra. Carolina Mendes</t>
        </is>
      </c>
      <c r="D586" s="38" t="inlineStr">
        <is>
          <t>Sala 1</t>
        </is>
      </c>
      <c r="E586" s="37" t="inlineStr">
        <is>
          <t>Gustavo Ferreira</t>
        </is>
      </c>
      <c r="F586" s="38" t="inlineStr">
        <is>
          <t>Particular</t>
        </is>
      </c>
      <c r="G586" s="38" t="inlineStr">
        <is>
          <t>Consulta</t>
        </is>
      </c>
      <c r="H586" s="38" t="inlineStr">
        <is>
          <t>Realizado</t>
        </is>
      </c>
      <c r="I586" s="38" t="inlineStr">
        <is>
          <t>Cartão de débito</t>
        </is>
      </c>
      <c r="J586" s="38" t="n"/>
      <c r="K586" s="37" t="n"/>
      <c r="L586" s="39" t="n">
        <v>30</v>
      </c>
      <c r="M586" s="40" t="n">
        <v>380</v>
      </c>
      <c r="N586" s="30">
        <f>IF(A586="","",MONTH(A586))</f>
        <v>7</v>
      </c>
      <c r="O586" s="30">
        <f>IF(A586="","",YEAR(A586))</f>
        <v>2026</v>
      </c>
      <c r="P586" s="30" t="str">
        <f>IF(A586="","",CHOOSE(WEEKDAY(A586,2),"Segunda","Terça","Quarta","Quinta","Sexta","Sábado","Domingo"))</f>
        <v>Quarta</v>
      </c>
      <c r="Q586" s="30" t="str">
        <f>IF(B586="","",IF(B586&lt;TIME(12,0,0),"Manhã",IF(B586&lt;TIME(18,0,0),"Tarde","Noite")))</f>
        <v>Tarde</v>
      </c>
      <c r="R586" s="46">
        <f>IF(AND(H586="Realizado",L586&lt;&gt;"",A586&lt;=Config!$B$9),L586/60,0)</f>
        <v>0.5</v>
      </c>
      <c r="S586" s="45">
        <f>IF(G586="","",IFERROR(INDEX(Config!$K$5:$K$16,MATCH(G586,Config!$J$5:$J$16,0)),""))</f>
        <v>30</v>
      </c>
      <c r="T586" s="31">
        <f>IF(OR(G586="",F586=""),"",IFERROR(INDEX(Config!$M$5:$R$16,MATCH(G586,Config!$J$5:$J$16,0),MATCH(F586,Config!$H$5:$H$10,0)),""))</f>
        <v>380</v>
      </c>
      <c r="U586" s="47">
        <f>IF(AND(H586="Realizado",L586&lt;&gt;""),L586/60,0)</f>
        <v>0.5</v>
      </c>
      <c r="V586" s="47">
        <f>IF(AND(H586="Realizado",OR(L586="",M586="")),1,0)</f>
        <v>0</v>
      </c>
    </row>
    <row r="587">
      <c r="A587" s="43" t="n">
        <v>46232</v>
      </c>
      <c r="B587" s="44" t="n">
        <v>0.7222222222222222</v>
      </c>
      <c r="C587" s="38" t="inlineStr">
        <is>
          <t>Dra. Carolina Mendes</t>
        </is>
      </c>
      <c r="D587" s="38" t="inlineStr">
        <is>
          <t>Sala 1</t>
        </is>
      </c>
      <c r="E587" s="37" t="inlineStr">
        <is>
          <t>Rafael Dias</t>
        </is>
      </c>
      <c r="F587" s="38" t="inlineStr">
        <is>
          <t>Particular</t>
        </is>
      </c>
      <c r="G587" s="38" t="inlineStr">
        <is>
          <t>Consulta</t>
        </is>
      </c>
      <c r="H587" s="38" t="inlineStr">
        <is>
          <t>Realizado</t>
        </is>
      </c>
      <c r="I587" s="38" t="inlineStr">
        <is>
          <t>Cartão de débito</t>
        </is>
      </c>
      <c r="J587" s="38" t="n"/>
      <c r="K587" s="37" t="n"/>
      <c r="L587" s="39" t="n">
        <v>30</v>
      </c>
      <c r="M587" s="40" t="n">
        <v>380</v>
      </c>
      <c r="N587" s="30">
        <f>IF(A587="","",MONTH(A587))</f>
        <v>7</v>
      </c>
      <c r="O587" s="30">
        <f>IF(A587="","",YEAR(A587))</f>
        <v>2026</v>
      </c>
      <c r="P587" s="30" t="str">
        <f>IF(A587="","",CHOOSE(WEEKDAY(A587,2),"Segunda","Terça","Quarta","Quinta","Sexta","Sábado","Domingo"))</f>
        <v>Quarta</v>
      </c>
      <c r="Q587" s="30" t="str">
        <f>IF(B587="","",IF(B587&lt;TIME(12,0,0),"Manhã",IF(B587&lt;TIME(18,0,0),"Tarde","Noite")))</f>
        <v>Tarde</v>
      </c>
      <c r="R587" s="46">
        <f>IF(AND(H587="Realizado",L587&lt;&gt;"",A587&lt;=Config!$B$9),L587/60,0)</f>
        <v>0.5</v>
      </c>
      <c r="S587" s="45">
        <f>IF(G587="","",IFERROR(INDEX(Config!$K$5:$K$16,MATCH(G587,Config!$J$5:$J$16,0)),""))</f>
        <v>30</v>
      </c>
      <c r="T587" s="31">
        <f>IF(OR(G587="",F587=""),"",IFERROR(INDEX(Config!$M$5:$R$16,MATCH(G587,Config!$J$5:$J$16,0),MATCH(F587,Config!$H$5:$H$10,0)),""))</f>
        <v>380</v>
      </c>
      <c r="U587" s="47">
        <f>IF(AND(H587="Realizado",L587&lt;&gt;""),L587/60,0)</f>
        <v>0.5</v>
      </c>
      <c r="V587" s="47">
        <f>IF(AND(H587="Realizado",OR(L587="",M587="")),1,0)</f>
        <v>0</v>
      </c>
    </row>
    <row r="588">
      <c r="A588" s="43" t="n">
        <v>46233</v>
      </c>
      <c r="B588" s="44" t="n">
        <v>0.3333333333333333</v>
      </c>
      <c r="C588" s="38" t="inlineStr">
        <is>
          <t>Dra. Carolina Mendes</t>
        </is>
      </c>
      <c r="D588" s="38" t="inlineStr">
        <is>
          <t>Sala 1</t>
        </is>
      </c>
      <c r="E588" s="37" t="inlineStr">
        <is>
          <t>Priscila Castro</t>
        </is>
      </c>
      <c r="F588" s="38" t="inlineStr">
        <is>
          <t>Saúde Total</t>
        </is>
      </c>
      <c r="G588" s="38" t="inlineStr">
        <is>
          <t>Retorno</t>
        </is>
      </c>
      <c r="H588" s="38" t="inlineStr">
        <is>
          <t>Realizado</t>
        </is>
      </c>
      <c r="I588" s="38" t="inlineStr">
        <is>
          <t>Sem cobrança</t>
        </is>
      </c>
      <c r="J588" s="38" t="n"/>
      <c r="K588" s="37" t="n"/>
      <c r="L588" s="39" t="n">
        <v>20</v>
      </c>
      <c r="M588" s="40" t="n">
        <v>0</v>
      </c>
      <c r="N588" s="30">
        <f>IF(A588="","",MONTH(A588))</f>
        <v>7</v>
      </c>
      <c r="O588" s="30">
        <f>IF(A588="","",YEAR(A588))</f>
        <v>2026</v>
      </c>
      <c r="P588" s="30" t="str">
        <f>IF(A588="","",CHOOSE(WEEKDAY(A588,2),"Segunda","Terça","Quarta","Quinta","Sexta","Sábado","Domingo"))</f>
        <v>Quinta</v>
      </c>
      <c r="Q588" s="30" t="str">
        <f>IF(B588="","",IF(B588&lt;TIME(12,0,0),"Manhã",IF(B588&lt;TIME(18,0,0),"Tarde","Noite")))</f>
        <v>Manhã</v>
      </c>
      <c r="R588" s="46">
        <f>IF(AND(H588="Realizado",L588&lt;&gt;"",A588&lt;=Config!$B$9),L588/60,0)</f>
        <v>0.333333333333333</v>
      </c>
      <c r="S588" s="45">
        <f>IF(G588="","",IFERROR(INDEX(Config!$K$5:$K$16,MATCH(G588,Config!$J$5:$J$16,0)),""))</f>
        <v>20</v>
      </c>
      <c r="T588" s="31">
        <f>IF(OR(G588="",F588=""),"",IFERROR(INDEX(Config!$M$5:$R$16,MATCH(G588,Config!$J$5:$J$16,0),MATCH(F588,Config!$H$5:$H$10,0)),""))</f>
        <v>0</v>
      </c>
      <c r="U588" s="47">
        <f>IF(AND(H588="Realizado",L588&lt;&gt;""),L588/60,0)</f>
        <v>0.333333333333333</v>
      </c>
      <c r="V588" s="47">
        <f>IF(AND(H588="Realizado",OR(L588="",M588="")),1,0)</f>
        <v>0</v>
      </c>
    </row>
    <row r="589">
      <c r="A589" s="43" t="n">
        <v>46233</v>
      </c>
      <c r="B589" s="44" t="n">
        <v>0.3472222222222222</v>
      </c>
      <c r="C589" s="38" t="inlineStr">
        <is>
          <t>Dra. Carolina Mendes</t>
        </is>
      </c>
      <c r="D589" s="38" t="inlineStr">
        <is>
          <t>Sala 1</t>
        </is>
      </c>
      <c r="E589" s="37" t="inlineStr">
        <is>
          <t>Regina Macedo</t>
        </is>
      </c>
      <c r="F589" s="38" t="inlineStr">
        <is>
          <t>Particular</t>
        </is>
      </c>
      <c r="G589" s="38" t="inlineStr">
        <is>
          <t>Consulta</t>
        </is>
      </c>
      <c r="H589" s="38" t="inlineStr">
        <is>
          <t>Realizado</t>
        </is>
      </c>
      <c r="I589" s="38" t="inlineStr">
        <is>
          <t>Pix</t>
        </is>
      </c>
      <c r="J589" s="38" t="n"/>
      <c r="K589" s="37" t="n"/>
      <c r="L589" s="39" t="n">
        <v>30</v>
      </c>
      <c r="M589" s="40" t="n">
        <v>380</v>
      </c>
      <c r="N589" s="30">
        <f>IF(A589="","",MONTH(A589))</f>
        <v>7</v>
      </c>
      <c r="O589" s="30">
        <f>IF(A589="","",YEAR(A589))</f>
        <v>2026</v>
      </c>
      <c r="P589" s="30" t="str">
        <f>IF(A589="","",CHOOSE(WEEKDAY(A589,2),"Segunda","Terça","Quarta","Quinta","Sexta","Sábado","Domingo"))</f>
        <v>Quinta</v>
      </c>
      <c r="Q589" s="30" t="str">
        <f>IF(B589="","",IF(B589&lt;TIME(12,0,0),"Manhã",IF(B589&lt;TIME(18,0,0),"Tarde","Noite")))</f>
        <v>Manhã</v>
      </c>
      <c r="R589" s="46">
        <f>IF(AND(H589="Realizado",L589&lt;&gt;"",A589&lt;=Config!$B$9),L589/60,0)</f>
        <v>0.5</v>
      </c>
      <c r="S589" s="45">
        <f>IF(G589="","",IFERROR(INDEX(Config!$K$5:$K$16,MATCH(G589,Config!$J$5:$J$16,0)),""))</f>
        <v>30</v>
      </c>
      <c r="T589" s="31">
        <f>IF(OR(G589="",F589=""),"",IFERROR(INDEX(Config!$M$5:$R$16,MATCH(G589,Config!$J$5:$J$16,0),MATCH(F589,Config!$H$5:$H$10,0)),""))</f>
        <v>380</v>
      </c>
      <c r="U589" s="47">
        <f>IF(AND(H589="Realizado",L589&lt;&gt;""),L589/60,0)</f>
        <v>0.5</v>
      </c>
      <c r="V589" s="47">
        <f>IF(AND(H589="Realizado",OR(L589="",M589="")),1,0)</f>
        <v>0</v>
      </c>
    </row>
    <row r="590">
      <c r="A590" s="43" t="n">
        <v>46233</v>
      </c>
      <c r="B590" s="44" t="n">
        <v>0.3680555555555556</v>
      </c>
      <c r="C590" s="38" t="inlineStr">
        <is>
          <t>Dra. Carolina Mendes</t>
        </is>
      </c>
      <c r="D590" s="38" t="inlineStr">
        <is>
          <t>Sala 1</t>
        </is>
      </c>
      <c r="E590" s="37" t="inlineStr">
        <is>
          <t>Gustavo Barbosa</t>
        </is>
      </c>
      <c r="F590" s="38" t="inlineStr">
        <is>
          <t>Saúde Total</t>
        </is>
      </c>
      <c r="G590" s="38" t="inlineStr">
        <is>
          <t>Consulta</t>
        </is>
      </c>
      <c r="H590" s="38" t="inlineStr">
        <is>
          <t>Realizado</t>
        </is>
      </c>
      <c r="I590" s="38" t="inlineStr">
        <is>
          <t>Convênio</t>
        </is>
      </c>
      <c r="J590" s="38" t="n"/>
      <c r="K590" s="37" t="n"/>
      <c r="L590" s="39" t="n">
        <v>30</v>
      </c>
      <c r="M590" s="40" t="n">
        <v>120</v>
      </c>
      <c r="N590" s="30">
        <f>IF(A590="","",MONTH(A590))</f>
        <v>7</v>
      </c>
      <c r="O590" s="30">
        <f>IF(A590="","",YEAR(A590))</f>
        <v>2026</v>
      </c>
      <c r="P590" s="30" t="str">
        <f>IF(A590="","",CHOOSE(WEEKDAY(A590,2),"Segunda","Terça","Quarta","Quinta","Sexta","Sábado","Domingo"))</f>
        <v>Quinta</v>
      </c>
      <c r="Q590" s="30" t="str">
        <f>IF(B590="","",IF(B590&lt;TIME(12,0,0),"Manhã",IF(B590&lt;TIME(18,0,0),"Tarde","Noite")))</f>
        <v>Manhã</v>
      </c>
      <c r="R590" s="46">
        <f>IF(AND(H590="Realizado",L590&lt;&gt;"",A590&lt;=Config!$B$9),L590/60,0)</f>
        <v>0.5</v>
      </c>
      <c r="S590" s="45">
        <f>IF(G590="","",IFERROR(INDEX(Config!$K$5:$K$16,MATCH(G590,Config!$J$5:$J$16,0)),""))</f>
        <v>30</v>
      </c>
      <c r="T590" s="31">
        <f>IF(OR(G590="",F590=""),"",IFERROR(INDEX(Config!$M$5:$R$16,MATCH(G590,Config!$J$5:$J$16,0),MATCH(F590,Config!$H$5:$H$10,0)),""))</f>
        <v>120</v>
      </c>
      <c r="U590" s="47">
        <f>IF(AND(H590="Realizado",L590&lt;&gt;""),L590/60,0)</f>
        <v>0.5</v>
      </c>
      <c r="V590" s="47">
        <f>IF(AND(H590="Realizado",OR(L590="",M590="")),1,0)</f>
        <v>0</v>
      </c>
    </row>
    <row r="591">
      <c r="A591" s="43" t="n">
        <v>46233</v>
      </c>
      <c r="B591" s="44" t="n">
        <v>0.4097222222222222</v>
      </c>
      <c r="C591" s="38" t="inlineStr">
        <is>
          <t>Dra. Carolina Mendes</t>
        </is>
      </c>
      <c r="D591" s="38" t="inlineStr">
        <is>
          <t>Sala 1</t>
        </is>
      </c>
      <c r="E591" s="37" t="inlineStr">
        <is>
          <t>Mônica Batista</t>
        </is>
      </c>
      <c r="F591" s="38" t="inlineStr">
        <is>
          <t>MediPlan</t>
        </is>
      </c>
      <c r="G591" s="38" t="inlineStr">
        <is>
          <t>Consulta</t>
        </is>
      </c>
      <c r="H591" s="38" t="inlineStr">
        <is>
          <t>Realizado</t>
        </is>
      </c>
      <c r="I591" s="38" t="inlineStr">
        <is>
          <t>Convênio</t>
        </is>
      </c>
      <c r="J591" s="38" t="n"/>
      <c r="K591" s="37" t="n"/>
      <c r="L591" s="39" t="n">
        <v>30</v>
      </c>
      <c r="M591" s="40" t="n">
        <v>100</v>
      </c>
      <c r="N591" s="30">
        <f>IF(A591="","",MONTH(A591))</f>
        <v>7</v>
      </c>
      <c r="O591" s="30">
        <f>IF(A591="","",YEAR(A591))</f>
        <v>2026</v>
      </c>
      <c r="P591" s="30" t="str">
        <f>IF(A591="","",CHOOSE(WEEKDAY(A591,2),"Segunda","Terça","Quarta","Quinta","Sexta","Sábado","Domingo"))</f>
        <v>Quinta</v>
      </c>
      <c r="Q591" s="30" t="str">
        <f>IF(B591="","",IF(B591&lt;TIME(12,0,0),"Manhã",IF(B591&lt;TIME(18,0,0),"Tarde","Noite")))</f>
        <v>Manhã</v>
      </c>
      <c r="R591" s="46">
        <f>IF(AND(H591="Realizado",L591&lt;&gt;"",A591&lt;=Config!$B$9),L591/60,0)</f>
        <v>0.5</v>
      </c>
      <c r="S591" s="45">
        <f>IF(G591="","",IFERROR(INDEX(Config!$K$5:$K$16,MATCH(G591,Config!$J$5:$J$16,0)),""))</f>
        <v>30</v>
      </c>
      <c r="T591" s="31">
        <f>IF(OR(G591="",F591=""),"",IFERROR(INDEX(Config!$M$5:$R$16,MATCH(G591,Config!$J$5:$J$16,0),MATCH(F591,Config!$H$5:$H$10,0)),""))</f>
        <v>100</v>
      </c>
      <c r="U591" s="47">
        <f>IF(AND(H591="Realizado",L591&lt;&gt;""),L591/60,0)</f>
        <v>0.5</v>
      </c>
      <c r="V591" s="47">
        <f>IF(AND(H591="Realizado",OR(L591="",M591="")),1,0)</f>
        <v>0</v>
      </c>
    </row>
    <row r="592">
      <c r="A592" s="43" t="n">
        <v>46233</v>
      </c>
      <c r="B592" s="44" t="n">
        <v>0.4305555555555556</v>
      </c>
      <c r="C592" s="38" t="inlineStr">
        <is>
          <t>Dra. Carolina Mendes</t>
        </is>
      </c>
      <c r="D592" s="38" t="inlineStr">
        <is>
          <t>Sala 1</t>
        </is>
      </c>
      <c r="E592" s="37" t="inlineStr">
        <is>
          <t>Roberta Araújo</t>
        </is>
      </c>
      <c r="F592" s="38" t="inlineStr">
        <is>
          <t>Particular</t>
        </is>
      </c>
      <c r="G592" s="38" t="inlineStr">
        <is>
          <t>Consulta</t>
        </is>
      </c>
      <c r="H592" s="38" t="inlineStr">
        <is>
          <t>Realizado</t>
        </is>
      </c>
      <c r="I592" s="38" t="inlineStr">
        <is>
          <t>Pix</t>
        </is>
      </c>
      <c r="J592" s="38" t="n"/>
      <c r="K592" s="37" t="n"/>
      <c r="L592" s="39" t="n">
        <v>30</v>
      </c>
      <c r="M592" s="40" t="n">
        <v>380</v>
      </c>
      <c r="N592" s="30">
        <f>IF(A592="","",MONTH(A592))</f>
        <v>7</v>
      </c>
      <c r="O592" s="30">
        <f>IF(A592="","",YEAR(A592))</f>
        <v>2026</v>
      </c>
      <c r="P592" s="30" t="str">
        <f>IF(A592="","",CHOOSE(WEEKDAY(A592,2),"Segunda","Terça","Quarta","Quinta","Sexta","Sábado","Domingo"))</f>
        <v>Quinta</v>
      </c>
      <c r="Q592" s="30" t="str">
        <f>IF(B592="","",IF(B592&lt;TIME(12,0,0),"Manhã",IF(B592&lt;TIME(18,0,0),"Tarde","Noite")))</f>
        <v>Manhã</v>
      </c>
      <c r="R592" s="46">
        <f>IF(AND(H592="Realizado",L592&lt;&gt;"",A592&lt;=Config!$B$9),L592/60,0)</f>
        <v>0.5</v>
      </c>
      <c r="S592" s="45">
        <f>IF(G592="","",IFERROR(INDEX(Config!$K$5:$K$16,MATCH(G592,Config!$J$5:$J$16,0)),""))</f>
        <v>30</v>
      </c>
      <c r="T592" s="31">
        <f>IF(OR(G592="",F592=""),"",IFERROR(INDEX(Config!$M$5:$R$16,MATCH(G592,Config!$J$5:$J$16,0),MATCH(F592,Config!$H$5:$H$10,0)),""))</f>
        <v>380</v>
      </c>
      <c r="U592" s="47">
        <f>IF(AND(H592="Realizado",L592&lt;&gt;""),L592/60,0)</f>
        <v>0.5</v>
      </c>
      <c r="V592" s="47">
        <f>IF(AND(H592="Realizado",OR(L592="",M592="")),1,0)</f>
        <v>0</v>
      </c>
    </row>
    <row r="593">
      <c r="A593" s="43" t="n">
        <v>46233</v>
      </c>
      <c r="B593" s="44" t="n">
        <v>0.4513888888888889</v>
      </c>
      <c r="C593" s="38" t="inlineStr">
        <is>
          <t>Dra. Carolina Mendes</t>
        </is>
      </c>
      <c r="D593" s="38" t="inlineStr">
        <is>
          <t>Sala 1</t>
        </is>
      </c>
      <c r="E593" s="37" t="inlineStr">
        <is>
          <t>Otávio Nascimento</t>
        </is>
      </c>
      <c r="F593" s="38" t="inlineStr">
        <is>
          <t>Particular</t>
        </is>
      </c>
      <c r="G593" s="38" t="inlineStr">
        <is>
          <t>Consulta</t>
        </is>
      </c>
      <c r="H593" s="38" t="inlineStr">
        <is>
          <t>Realizado</t>
        </is>
      </c>
      <c r="I593" s="38" t="inlineStr">
        <is>
          <t>Dinheiro</t>
        </is>
      </c>
      <c r="J593" s="38" t="n"/>
      <c r="K593" s="37" t="n"/>
      <c r="L593" s="39" t="n">
        <v>30</v>
      </c>
      <c r="M593" s="40" t="n">
        <v>380</v>
      </c>
      <c r="N593" s="30">
        <f>IF(A593="","",MONTH(A593))</f>
        <v>7</v>
      </c>
      <c r="O593" s="30">
        <f>IF(A593="","",YEAR(A593))</f>
        <v>2026</v>
      </c>
      <c r="P593" s="30" t="str">
        <f>IF(A593="","",CHOOSE(WEEKDAY(A593,2),"Segunda","Terça","Quarta","Quinta","Sexta","Sábado","Domingo"))</f>
        <v>Quinta</v>
      </c>
      <c r="Q593" s="30" t="str">
        <f>IF(B593="","",IF(B593&lt;TIME(12,0,0),"Manhã",IF(B593&lt;TIME(18,0,0),"Tarde","Noite")))</f>
        <v>Manhã</v>
      </c>
      <c r="R593" s="46">
        <f>IF(AND(H593="Realizado",L593&lt;&gt;"",A593&lt;=Config!$B$9),L593/60,0)</f>
        <v>0.5</v>
      </c>
      <c r="S593" s="45">
        <f>IF(G593="","",IFERROR(INDEX(Config!$K$5:$K$16,MATCH(G593,Config!$J$5:$J$16,0)),""))</f>
        <v>30</v>
      </c>
      <c r="T593" s="31">
        <f>IF(OR(G593="",F593=""),"",IFERROR(INDEX(Config!$M$5:$R$16,MATCH(G593,Config!$J$5:$J$16,0),MATCH(F593,Config!$H$5:$H$10,0)),""))</f>
        <v>380</v>
      </c>
      <c r="U593" s="47">
        <f>IF(AND(H593="Realizado",L593&lt;&gt;""),L593/60,0)</f>
        <v>0.5</v>
      </c>
      <c r="V593" s="47">
        <f>IF(AND(H593="Realizado",OR(L593="",M593="")),1,0)</f>
        <v>0</v>
      </c>
    </row>
    <row r="594">
      <c r="A594" s="43" t="n">
        <v>46233</v>
      </c>
      <c r="B594" s="44" t="n">
        <v>0.4722222222222222</v>
      </c>
      <c r="C594" s="38" t="inlineStr">
        <is>
          <t>Dra. Carolina Mendes</t>
        </is>
      </c>
      <c r="D594" s="38" t="inlineStr">
        <is>
          <t>Sala 1</t>
        </is>
      </c>
      <c r="E594" s="37" t="inlineStr">
        <is>
          <t>Camila Batista</t>
        </is>
      </c>
      <c r="F594" s="38" t="inlineStr">
        <is>
          <t>MediPlan</t>
        </is>
      </c>
      <c r="G594" s="38" t="inlineStr">
        <is>
          <t>Consulta</t>
        </is>
      </c>
      <c r="H594" s="38" t="inlineStr">
        <is>
          <t>Realizado</t>
        </is>
      </c>
      <c r="I594" s="38" t="inlineStr">
        <is>
          <t>Convênio</t>
        </is>
      </c>
      <c r="J594" s="38" t="n"/>
      <c r="K594" s="37" t="n"/>
      <c r="L594" s="39" t="n">
        <v>30</v>
      </c>
      <c r="M594" s="40" t="n">
        <v>100</v>
      </c>
      <c r="N594" s="30">
        <f>IF(A594="","",MONTH(A594))</f>
        <v>7</v>
      </c>
      <c r="O594" s="30">
        <f>IF(A594="","",YEAR(A594))</f>
        <v>2026</v>
      </c>
      <c r="P594" s="30" t="str">
        <f>IF(A594="","",CHOOSE(WEEKDAY(A594,2),"Segunda","Terça","Quarta","Quinta","Sexta","Sábado","Domingo"))</f>
        <v>Quinta</v>
      </c>
      <c r="Q594" s="30" t="str">
        <f>IF(B594="","",IF(B594&lt;TIME(12,0,0),"Manhã",IF(B594&lt;TIME(18,0,0),"Tarde","Noite")))</f>
        <v>Manhã</v>
      </c>
      <c r="R594" s="46">
        <f>IF(AND(H594="Realizado",L594&lt;&gt;"",A594&lt;=Config!$B$9),L594/60,0)</f>
        <v>0.5</v>
      </c>
      <c r="S594" s="45">
        <f>IF(G594="","",IFERROR(INDEX(Config!$K$5:$K$16,MATCH(G594,Config!$J$5:$J$16,0)),""))</f>
        <v>30</v>
      </c>
      <c r="T594" s="31">
        <f>IF(OR(G594="",F594=""),"",IFERROR(INDEX(Config!$M$5:$R$16,MATCH(G594,Config!$J$5:$J$16,0),MATCH(F594,Config!$H$5:$H$10,0)),""))</f>
        <v>100</v>
      </c>
      <c r="U594" s="47">
        <f>IF(AND(H594="Realizado",L594&lt;&gt;""),L594/60,0)</f>
        <v>0.5</v>
      </c>
      <c r="V594" s="47">
        <f>IF(AND(H594="Realizado",OR(L594="",M594="")),1,0)</f>
        <v>0</v>
      </c>
    </row>
    <row r="595">
      <c r="A595" s="43" t="n">
        <v>46233</v>
      </c>
      <c r="B595" s="44" t="n">
        <v>0.5833333333333334</v>
      </c>
      <c r="C595" s="38" t="inlineStr">
        <is>
          <t>Dra. Renata Sousa</t>
        </is>
      </c>
      <c r="D595" s="38" t="inlineStr">
        <is>
          <t>Sala 1</t>
        </is>
      </c>
      <c r="E595" s="37" t="inlineStr">
        <is>
          <t>Rodrigo Cardoso</t>
        </is>
      </c>
      <c r="F595" s="38" t="inlineStr">
        <is>
          <t>Saúde Total</t>
        </is>
      </c>
      <c r="G595" s="38" t="inlineStr">
        <is>
          <t>Avaliação endócrina</t>
        </is>
      </c>
      <c r="H595" s="38" t="inlineStr">
        <is>
          <t>Realizado</t>
        </is>
      </c>
      <c r="I595" s="38" t="inlineStr">
        <is>
          <t>Convênio</t>
        </is>
      </c>
      <c r="J595" s="38" t="n"/>
      <c r="K595" s="37" t="n"/>
      <c r="L595" s="39" t="n">
        <v>40</v>
      </c>
      <c r="M595" s="40" t="n">
        <v>130</v>
      </c>
      <c r="N595" s="30">
        <f>IF(A595="","",MONTH(A595))</f>
        <v>7</v>
      </c>
      <c r="O595" s="30">
        <f>IF(A595="","",YEAR(A595))</f>
        <v>2026</v>
      </c>
      <c r="P595" s="30" t="str">
        <f>IF(A595="","",CHOOSE(WEEKDAY(A595,2),"Segunda","Terça","Quarta","Quinta","Sexta","Sábado","Domingo"))</f>
        <v>Quinta</v>
      </c>
      <c r="Q595" s="30" t="str">
        <f>IF(B595="","",IF(B595&lt;TIME(12,0,0),"Manhã",IF(B595&lt;TIME(18,0,0),"Tarde","Noite")))</f>
        <v>Tarde</v>
      </c>
      <c r="R595" s="46">
        <f>IF(AND(H595="Realizado",L595&lt;&gt;"",A595&lt;=Config!$B$9),L595/60,0)</f>
        <v>0.666666666666667</v>
      </c>
      <c r="S595" s="45">
        <f>IF(G595="","",IFERROR(INDEX(Config!$K$5:$K$16,MATCH(G595,Config!$J$5:$J$16,0)),""))</f>
        <v>40</v>
      </c>
      <c r="T595" s="31">
        <f>IF(OR(G595="",F595=""),"",IFERROR(INDEX(Config!$M$5:$R$16,MATCH(G595,Config!$J$5:$J$16,0),MATCH(F595,Config!$H$5:$H$10,0)),""))</f>
        <v>130</v>
      </c>
      <c r="U595" s="47">
        <f>IF(AND(H595="Realizado",L595&lt;&gt;""),L595/60,0)</f>
        <v>0.666666666666667</v>
      </c>
      <c r="V595" s="47">
        <f>IF(AND(H595="Realizado",OR(L595="",M595="")),1,0)</f>
        <v>0</v>
      </c>
    </row>
    <row r="596">
      <c r="A596" s="43" t="n">
        <v>46233</v>
      </c>
      <c r="B596" s="44" t="n">
        <v>0.5833333333333334</v>
      </c>
      <c r="C596" s="38" t="inlineStr">
        <is>
          <t>Dr. Paulo Andrade</t>
        </is>
      </c>
      <c r="D596" s="38" t="inlineStr">
        <is>
          <t>Sala 2</t>
        </is>
      </c>
      <c r="E596" s="37" t="inlineStr">
        <is>
          <t>Rodrigo Teixeira</t>
        </is>
      </c>
      <c r="F596" s="38" t="inlineStr">
        <is>
          <t>Vida Care</t>
        </is>
      </c>
      <c r="G596" s="38" t="inlineStr">
        <is>
          <t>MAPA</t>
        </is>
      </c>
      <c r="H596" s="38" t="inlineStr">
        <is>
          <t>Falta</t>
        </is>
      </c>
      <c r="I596" s="38" t="n"/>
      <c r="J596" s="38" t="n"/>
      <c r="K596" s="37" t="n"/>
      <c r="L596" s="39" t="n">
        <v>20</v>
      </c>
      <c r="M596" s="40" t="n">
        <v>75</v>
      </c>
      <c r="N596" s="30">
        <f>IF(A596="","",MONTH(A596))</f>
        <v>7</v>
      </c>
      <c r="O596" s="30">
        <f>IF(A596="","",YEAR(A596))</f>
        <v>2026</v>
      </c>
      <c r="P596" s="30" t="str">
        <f>IF(A596="","",CHOOSE(WEEKDAY(A596,2),"Segunda","Terça","Quarta","Quinta","Sexta","Sábado","Domingo"))</f>
        <v>Quinta</v>
      </c>
      <c r="Q596" s="30" t="str">
        <f>IF(B596="","",IF(B596&lt;TIME(12,0,0),"Manhã",IF(B596&lt;TIME(18,0,0),"Tarde","Noite")))</f>
        <v>Tarde</v>
      </c>
      <c r="R596" s="46">
        <f>IF(AND(H596="Realizado",L596&lt;&gt;"",A596&lt;=Config!$B$9),L596/60,0)</f>
        <v>0</v>
      </c>
      <c r="S596" s="45">
        <f>IF(G596="","",IFERROR(INDEX(Config!$K$5:$K$16,MATCH(G596,Config!$J$5:$J$16,0)),""))</f>
        <v>20</v>
      </c>
      <c r="T596" s="31">
        <f>IF(OR(G596="",F596=""),"",IFERROR(INDEX(Config!$M$5:$R$16,MATCH(G596,Config!$J$5:$J$16,0),MATCH(F596,Config!$H$5:$H$10,0)),""))</f>
        <v>75</v>
      </c>
      <c r="U596" s="47">
        <f>IF(AND(H596="Realizado",L596&lt;&gt;""),L596/60,0)</f>
        <v>0</v>
      </c>
      <c r="V596" s="47">
        <f>IF(AND(H596="Realizado",OR(L596="",M596="")),1,0)</f>
        <v>0</v>
      </c>
    </row>
    <row r="597">
      <c r="A597" s="43" t="n">
        <v>46233</v>
      </c>
      <c r="B597" s="44" t="n">
        <v>0.6111111111111112</v>
      </c>
      <c r="C597" s="38" t="inlineStr">
        <is>
          <t>Dra. Renata Sousa</t>
        </is>
      </c>
      <c r="D597" s="38" t="inlineStr">
        <is>
          <t>Sala 1</t>
        </is>
      </c>
      <c r="E597" s="37" t="inlineStr">
        <is>
          <t>Márcia Duarte</t>
        </is>
      </c>
      <c r="F597" s="38" t="inlineStr">
        <is>
          <t>Particular</t>
        </is>
      </c>
      <c r="G597" s="38" t="inlineStr">
        <is>
          <t>Retorno</t>
        </is>
      </c>
      <c r="H597" s="38" t="inlineStr">
        <is>
          <t>Realizado</t>
        </is>
      </c>
      <c r="I597" s="38" t="inlineStr">
        <is>
          <t>Sem cobrança</t>
        </is>
      </c>
      <c r="J597" s="38" t="n"/>
      <c r="K597" s="37" t="n"/>
      <c r="L597" s="39" t="n">
        <v>20</v>
      </c>
      <c r="M597" s="40" t="n">
        <v>0</v>
      </c>
      <c r="N597" s="30">
        <f>IF(A597="","",MONTH(A597))</f>
        <v>7</v>
      </c>
      <c r="O597" s="30">
        <f>IF(A597="","",YEAR(A597))</f>
        <v>2026</v>
      </c>
      <c r="P597" s="30" t="str">
        <f>IF(A597="","",CHOOSE(WEEKDAY(A597,2),"Segunda","Terça","Quarta","Quinta","Sexta","Sábado","Domingo"))</f>
        <v>Quinta</v>
      </c>
      <c r="Q597" s="30" t="str">
        <f>IF(B597="","",IF(B597&lt;TIME(12,0,0),"Manhã",IF(B597&lt;TIME(18,0,0),"Tarde","Noite")))</f>
        <v>Tarde</v>
      </c>
      <c r="R597" s="46">
        <f>IF(AND(H597="Realizado",L597&lt;&gt;"",A597&lt;=Config!$B$9),L597/60,0)</f>
        <v>0.333333333333333</v>
      </c>
      <c r="S597" s="45">
        <f>IF(G597="","",IFERROR(INDEX(Config!$K$5:$K$16,MATCH(G597,Config!$J$5:$J$16,0)),""))</f>
        <v>20</v>
      </c>
      <c r="T597" s="31">
        <f>IF(OR(G597="",F597=""),"",IFERROR(INDEX(Config!$M$5:$R$16,MATCH(G597,Config!$J$5:$J$16,0),MATCH(F597,Config!$H$5:$H$10,0)),""))</f>
        <v>0</v>
      </c>
      <c r="U597" s="47">
        <f>IF(AND(H597="Realizado",L597&lt;&gt;""),L597/60,0)</f>
        <v>0.333333333333333</v>
      </c>
      <c r="V597" s="47">
        <f>IF(AND(H597="Realizado",OR(L597="",M597="")),1,0)</f>
        <v>0</v>
      </c>
    </row>
    <row r="598">
      <c r="A598" s="43" t="n">
        <v>46233</v>
      </c>
      <c r="B598" s="44" t="n">
        <v>0.625</v>
      </c>
      <c r="C598" s="38" t="inlineStr">
        <is>
          <t>Dra. Renata Sousa</t>
        </is>
      </c>
      <c r="D598" s="38" t="inlineStr">
        <is>
          <t>Sala 1</t>
        </is>
      </c>
      <c r="E598" s="37" t="inlineStr">
        <is>
          <t>Patrícia Dias</t>
        </is>
      </c>
      <c r="F598" s="38" t="inlineStr">
        <is>
          <t>Particular</t>
        </is>
      </c>
      <c r="G598" s="38" t="inlineStr">
        <is>
          <t>Avaliação endócrina</t>
        </is>
      </c>
      <c r="H598" s="38" t="inlineStr">
        <is>
          <t>Realizado</t>
        </is>
      </c>
      <c r="I598" s="38" t="inlineStr">
        <is>
          <t>Cartão de crédito</t>
        </is>
      </c>
      <c r="J598" s="38" t="n"/>
      <c r="K598" s="37" t="n"/>
      <c r="L598" s="39" t="n">
        <v>40</v>
      </c>
      <c r="M598" s="40" t="n">
        <v>400</v>
      </c>
      <c r="N598" s="30">
        <f>IF(A598="","",MONTH(A598))</f>
        <v>7</v>
      </c>
      <c r="O598" s="30">
        <f>IF(A598="","",YEAR(A598))</f>
        <v>2026</v>
      </c>
      <c r="P598" s="30" t="str">
        <f>IF(A598="","",CHOOSE(WEEKDAY(A598,2),"Segunda","Terça","Quarta","Quinta","Sexta","Sábado","Domingo"))</f>
        <v>Quinta</v>
      </c>
      <c r="Q598" s="30" t="str">
        <f>IF(B598="","",IF(B598&lt;TIME(12,0,0),"Manhã",IF(B598&lt;TIME(18,0,0),"Tarde","Noite")))</f>
        <v>Tarde</v>
      </c>
      <c r="R598" s="46">
        <f>IF(AND(H598="Realizado",L598&lt;&gt;"",A598&lt;=Config!$B$9),L598/60,0)</f>
        <v>0.666666666666667</v>
      </c>
      <c r="S598" s="45">
        <f>IF(G598="","",IFERROR(INDEX(Config!$K$5:$K$16,MATCH(G598,Config!$J$5:$J$16,0)),""))</f>
        <v>40</v>
      </c>
      <c r="T598" s="31">
        <f>IF(OR(G598="",F598=""),"",IFERROR(INDEX(Config!$M$5:$R$16,MATCH(G598,Config!$J$5:$J$16,0),MATCH(F598,Config!$H$5:$H$10,0)),""))</f>
        <v>400</v>
      </c>
      <c r="U598" s="47">
        <f>IF(AND(H598="Realizado",L598&lt;&gt;""),L598/60,0)</f>
        <v>0.666666666666667</v>
      </c>
      <c r="V598" s="47">
        <f>IF(AND(H598="Realizado",OR(L598="",M598="")),1,0)</f>
        <v>0</v>
      </c>
    </row>
    <row r="599">
      <c r="A599" s="43" t="n">
        <v>46233</v>
      </c>
      <c r="B599" s="44" t="n">
        <v>0.6388888888888888</v>
      </c>
      <c r="C599" s="38" t="inlineStr">
        <is>
          <t>Dr. Paulo Andrade</t>
        </is>
      </c>
      <c r="D599" s="38" t="inlineStr">
        <is>
          <t>Sala 2</t>
        </is>
      </c>
      <c r="E599" s="37" t="inlineStr">
        <is>
          <t>Eduardo Reis</t>
        </is>
      </c>
      <c r="F599" s="38" t="inlineStr">
        <is>
          <t>Vida Care</t>
        </is>
      </c>
      <c r="G599" s="38" t="inlineStr">
        <is>
          <t>ECG</t>
        </is>
      </c>
      <c r="H599" s="38" t="inlineStr">
        <is>
          <t>Realizado</t>
        </is>
      </c>
      <c r="I599" s="38" t="inlineStr">
        <is>
          <t>Convênio</t>
        </is>
      </c>
      <c r="J599" s="38" t="n"/>
      <c r="K599" s="37" t="n"/>
      <c r="L599" s="39" t="n">
        <v>20</v>
      </c>
      <c r="M599" s="40" t="n">
        <v>32</v>
      </c>
      <c r="N599" s="30">
        <f>IF(A599="","",MONTH(A599))</f>
        <v>7</v>
      </c>
      <c r="O599" s="30">
        <f>IF(A599="","",YEAR(A599))</f>
        <v>2026</v>
      </c>
      <c r="P599" s="30" t="str">
        <f>IF(A599="","",CHOOSE(WEEKDAY(A599,2),"Segunda","Terça","Quarta","Quinta","Sexta","Sábado","Domingo"))</f>
        <v>Quinta</v>
      </c>
      <c r="Q599" s="30" t="str">
        <f>IF(B599="","",IF(B599&lt;TIME(12,0,0),"Manhã",IF(B599&lt;TIME(18,0,0),"Tarde","Noite")))</f>
        <v>Tarde</v>
      </c>
      <c r="R599" s="46">
        <f>IF(AND(H599="Realizado",L599&lt;&gt;"",A599&lt;=Config!$B$9),L599/60,0)</f>
        <v>0.333333333333333</v>
      </c>
      <c r="S599" s="45">
        <f>IF(G599="","",IFERROR(INDEX(Config!$K$5:$K$16,MATCH(G599,Config!$J$5:$J$16,0)),""))</f>
        <v>20</v>
      </c>
      <c r="T599" s="31">
        <f>IF(OR(G599="",F599=""),"",IFERROR(INDEX(Config!$M$5:$R$16,MATCH(G599,Config!$J$5:$J$16,0),MATCH(F599,Config!$H$5:$H$10,0)),""))</f>
        <v>32</v>
      </c>
      <c r="U599" s="47">
        <f>IF(AND(H599="Realizado",L599&lt;&gt;""),L599/60,0)</f>
        <v>0.333333333333333</v>
      </c>
      <c r="V599" s="47">
        <f>IF(AND(H599="Realizado",OR(L599="",M599="")),1,0)</f>
        <v>0</v>
      </c>
    </row>
    <row r="600">
      <c r="A600" s="43" t="n">
        <v>46233</v>
      </c>
      <c r="B600" s="44" t="n">
        <v>0.6527777777777778</v>
      </c>
      <c r="C600" s="38" t="inlineStr">
        <is>
          <t>Dra. Renata Sousa</t>
        </is>
      </c>
      <c r="D600" s="38" t="inlineStr">
        <is>
          <t>Sala 1</t>
        </is>
      </c>
      <c r="E600" s="37" t="inlineStr">
        <is>
          <t>Carlos Gonçalves</t>
        </is>
      </c>
      <c r="F600" s="38" t="inlineStr">
        <is>
          <t>Saúde Total</t>
        </is>
      </c>
      <c r="G600" s="38" t="inlineStr">
        <is>
          <t>Avaliação endócrina</t>
        </is>
      </c>
      <c r="H600" s="38" t="inlineStr">
        <is>
          <t>Realizado</t>
        </is>
      </c>
      <c r="I600" s="38" t="inlineStr">
        <is>
          <t>Convênio</t>
        </is>
      </c>
      <c r="J600" s="38" t="n"/>
      <c r="K600" s="37" t="n"/>
      <c r="L600" s="39" t="n">
        <v>40</v>
      </c>
      <c r="M600" s="40" t="n">
        <v>130</v>
      </c>
      <c r="N600" s="30">
        <f>IF(A600="","",MONTH(A600))</f>
        <v>7</v>
      </c>
      <c r="O600" s="30">
        <f>IF(A600="","",YEAR(A600))</f>
        <v>2026</v>
      </c>
      <c r="P600" s="30" t="str">
        <f>IF(A600="","",CHOOSE(WEEKDAY(A600,2),"Segunda","Terça","Quarta","Quinta","Sexta","Sábado","Domingo"))</f>
        <v>Quinta</v>
      </c>
      <c r="Q600" s="30" t="str">
        <f>IF(B600="","",IF(B600&lt;TIME(12,0,0),"Manhã",IF(B600&lt;TIME(18,0,0),"Tarde","Noite")))</f>
        <v>Tarde</v>
      </c>
      <c r="R600" s="46">
        <f>IF(AND(H600="Realizado",L600&lt;&gt;"",A600&lt;=Config!$B$9),L600/60,0)</f>
        <v>0.666666666666667</v>
      </c>
      <c r="S600" s="45">
        <f>IF(G600="","",IFERROR(INDEX(Config!$K$5:$K$16,MATCH(G600,Config!$J$5:$J$16,0)),""))</f>
        <v>40</v>
      </c>
      <c r="T600" s="31">
        <f>IF(OR(G600="",F600=""),"",IFERROR(INDEX(Config!$M$5:$R$16,MATCH(G600,Config!$J$5:$J$16,0),MATCH(F600,Config!$H$5:$H$10,0)),""))</f>
        <v>130</v>
      </c>
      <c r="U600" s="47">
        <f>IF(AND(H600="Realizado",L600&lt;&gt;""),L600/60,0)</f>
        <v>0.666666666666667</v>
      </c>
      <c r="V600" s="47">
        <f>IF(AND(H600="Realizado",OR(L600="",M600="")),1,0)</f>
        <v>0</v>
      </c>
    </row>
    <row r="601">
      <c r="A601" s="43" t="n">
        <v>46233</v>
      </c>
      <c r="B601" s="44" t="n">
        <v>0.6736111111111112</v>
      </c>
      <c r="C601" s="38" t="inlineStr">
        <is>
          <t>Dr. Paulo Andrade</t>
        </is>
      </c>
      <c r="D601" s="38" t="inlineStr">
        <is>
          <t>Sala 2</t>
        </is>
      </c>
      <c r="E601" s="37" t="inlineStr">
        <is>
          <t>Viviane Duarte</t>
        </is>
      </c>
      <c r="F601" s="38" t="inlineStr">
        <is>
          <t>MediPlan</t>
        </is>
      </c>
      <c r="G601" s="38" t="inlineStr">
        <is>
          <t>Consulta</t>
        </is>
      </c>
      <c r="H601" s="38" t="inlineStr">
        <is>
          <t>Realizado</t>
        </is>
      </c>
      <c r="I601" s="38" t="inlineStr">
        <is>
          <t>Convênio</t>
        </is>
      </c>
      <c r="J601" s="38" t="n"/>
      <c r="K601" s="37" t="n"/>
      <c r="L601" s="39" t="n">
        <v>30</v>
      </c>
      <c r="M601" s="40" t="n">
        <v>100</v>
      </c>
      <c r="N601" s="30">
        <f>IF(A601="","",MONTH(A601))</f>
        <v>7</v>
      </c>
      <c r="O601" s="30">
        <f>IF(A601="","",YEAR(A601))</f>
        <v>2026</v>
      </c>
      <c r="P601" s="30" t="str">
        <f>IF(A601="","",CHOOSE(WEEKDAY(A601,2),"Segunda","Terça","Quarta","Quinta","Sexta","Sábado","Domingo"))</f>
        <v>Quinta</v>
      </c>
      <c r="Q601" s="30" t="str">
        <f>IF(B601="","",IF(B601&lt;TIME(12,0,0),"Manhã",IF(B601&lt;TIME(18,0,0),"Tarde","Noite")))</f>
        <v>Tarde</v>
      </c>
      <c r="R601" s="46">
        <f>IF(AND(H601="Realizado",L601&lt;&gt;"",A601&lt;=Config!$B$9),L601/60,0)</f>
        <v>0.5</v>
      </c>
      <c r="S601" s="45">
        <f>IF(G601="","",IFERROR(INDEX(Config!$K$5:$K$16,MATCH(G601,Config!$J$5:$J$16,0)),""))</f>
        <v>30</v>
      </c>
      <c r="T601" s="31">
        <f>IF(OR(G601="",F601=""),"",IFERROR(INDEX(Config!$M$5:$R$16,MATCH(G601,Config!$J$5:$J$16,0),MATCH(F601,Config!$H$5:$H$10,0)),""))</f>
        <v>100</v>
      </c>
      <c r="U601" s="47">
        <f>IF(AND(H601="Realizado",L601&lt;&gt;""),L601/60,0)</f>
        <v>0.5</v>
      </c>
      <c r="V601" s="47">
        <f>IF(AND(H601="Realizado",OR(L601="",M601="")),1,0)</f>
        <v>0</v>
      </c>
    </row>
    <row r="602">
      <c r="A602" s="43" t="n">
        <v>46233</v>
      </c>
      <c r="B602" s="44" t="n">
        <v>0.6805555555555556</v>
      </c>
      <c r="C602" s="38" t="inlineStr">
        <is>
          <t>Dra. Renata Sousa</t>
        </is>
      </c>
      <c r="D602" s="38" t="inlineStr">
        <is>
          <t>Sala 1</t>
        </is>
      </c>
      <c r="E602" s="37" t="inlineStr">
        <is>
          <t>Fernanda Gonçalves</t>
        </is>
      </c>
      <c r="F602" s="38" t="inlineStr">
        <is>
          <t>Saúde Total</t>
        </is>
      </c>
      <c r="G602" s="38" t="inlineStr">
        <is>
          <t>Retorno</t>
        </is>
      </c>
      <c r="H602" s="38" t="inlineStr">
        <is>
          <t>Realizado</t>
        </is>
      </c>
      <c r="I602" s="38" t="inlineStr">
        <is>
          <t>Sem cobrança</t>
        </is>
      </c>
      <c r="J602" s="38" t="n"/>
      <c r="K602" s="37" t="n"/>
      <c r="L602" s="39" t="n">
        <v>20</v>
      </c>
      <c r="M602" s="40" t="n">
        <v>0</v>
      </c>
      <c r="N602" s="30">
        <f>IF(A602="","",MONTH(A602))</f>
        <v>7</v>
      </c>
      <c r="O602" s="30">
        <f>IF(A602="","",YEAR(A602))</f>
        <v>2026</v>
      </c>
      <c r="P602" s="30" t="str">
        <f>IF(A602="","",CHOOSE(WEEKDAY(A602,2),"Segunda","Terça","Quarta","Quinta","Sexta","Sábado","Domingo"))</f>
        <v>Quinta</v>
      </c>
      <c r="Q602" s="30" t="str">
        <f>IF(B602="","",IF(B602&lt;TIME(12,0,0),"Manhã",IF(B602&lt;TIME(18,0,0),"Tarde","Noite")))</f>
        <v>Tarde</v>
      </c>
      <c r="R602" s="46">
        <f>IF(AND(H602="Realizado",L602&lt;&gt;"",A602&lt;=Config!$B$9),L602/60,0)</f>
        <v>0.333333333333333</v>
      </c>
      <c r="S602" s="45">
        <f>IF(G602="","",IFERROR(INDEX(Config!$K$5:$K$16,MATCH(G602,Config!$J$5:$J$16,0)),""))</f>
        <v>20</v>
      </c>
      <c r="T602" s="31">
        <f>IF(OR(G602="",F602=""),"",IFERROR(INDEX(Config!$M$5:$R$16,MATCH(G602,Config!$J$5:$J$16,0),MATCH(F602,Config!$H$5:$H$10,0)),""))</f>
        <v>0</v>
      </c>
      <c r="U602" s="47">
        <f>IF(AND(H602="Realizado",L602&lt;&gt;""),L602/60,0)</f>
        <v>0.333333333333333</v>
      </c>
      <c r="V602" s="47">
        <f>IF(AND(H602="Realizado",OR(L602="",M602="")),1,0)</f>
        <v>0</v>
      </c>
    </row>
    <row r="603">
      <c r="A603" s="43" t="n">
        <v>46233</v>
      </c>
      <c r="B603" s="44" t="n">
        <v>0.6944444444444444</v>
      </c>
      <c r="C603" s="38" t="inlineStr">
        <is>
          <t>Dr. Paulo Andrade</t>
        </is>
      </c>
      <c r="D603" s="38" t="inlineStr">
        <is>
          <t>Sala 2</t>
        </is>
      </c>
      <c r="E603" s="37" t="inlineStr">
        <is>
          <t>Wagner Carvalho</t>
        </is>
      </c>
      <c r="F603" s="38" t="inlineStr">
        <is>
          <t>Vida Care</t>
        </is>
      </c>
      <c r="G603" s="38" t="inlineStr">
        <is>
          <t>Retorno</t>
        </is>
      </c>
      <c r="H603" s="38" t="inlineStr">
        <is>
          <t>Falta</t>
        </is>
      </c>
      <c r="I603" s="38" t="n"/>
      <c r="J603" s="38" t="n"/>
      <c r="K603" s="37" t="n"/>
      <c r="L603" s="39" t="n">
        <v>20</v>
      </c>
      <c r="M603" s="40" t="n">
        <v>0</v>
      </c>
      <c r="N603" s="30">
        <f>IF(A603="","",MONTH(A603))</f>
        <v>7</v>
      </c>
      <c r="O603" s="30">
        <f>IF(A603="","",YEAR(A603))</f>
        <v>2026</v>
      </c>
      <c r="P603" s="30" t="str">
        <f>IF(A603="","",CHOOSE(WEEKDAY(A603,2),"Segunda","Terça","Quarta","Quinta","Sexta","Sábado","Domingo"))</f>
        <v>Quinta</v>
      </c>
      <c r="Q603" s="30" t="str">
        <f>IF(B603="","",IF(B603&lt;TIME(12,0,0),"Manhã",IF(B603&lt;TIME(18,0,0),"Tarde","Noite")))</f>
        <v>Tarde</v>
      </c>
      <c r="R603" s="46">
        <f>IF(AND(H603="Realizado",L603&lt;&gt;"",A603&lt;=Config!$B$9),L603/60,0)</f>
        <v>0</v>
      </c>
      <c r="S603" s="45">
        <f>IF(G603="","",IFERROR(INDEX(Config!$K$5:$K$16,MATCH(G603,Config!$J$5:$J$16,0)),""))</f>
        <v>20</v>
      </c>
      <c r="T603" s="31">
        <f>IF(OR(G603="",F603=""),"",IFERROR(INDEX(Config!$M$5:$R$16,MATCH(G603,Config!$J$5:$J$16,0),MATCH(F603,Config!$H$5:$H$10,0)),""))</f>
        <v>0</v>
      </c>
      <c r="U603" s="47">
        <f>IF(AND(H603="Realizado",L603&lt;&gt;""),L603/60,0)</f>
        <v>0</v>
      </c>
      <c r="V603" s="47">
        <f>IF(AND(H603="Realizado",OR(L603="",M603="")),1,0)</f>
        <v>0</v>
      </c>
    </row>
    <row r="604">
      <c r="A604" s="43" t="n">
        <v>46233</v>
      </c>
      <c r="B604" s="44" t="n">
        <v>0.7083333333333334</v>
      </c>
      <c r="C604" s="38" t="inlineStr">
        <is>
          <t>Dr. Paulo Andrade</t>
        </is>
      </c>
      <c r="D604" s="38" t="inlineStr">
        <is>
          <t>Sala 2</t>
        </is>
      </c>
      <c r="E604" s="37" t="inlineStr">
        <is>
          <t>Otávio Martins</t>
        </is>
      </c>
      <c r="F604" s="38" t="inlineStr">
        <is>
          <t>MediPlan</t>
        </is>
      </c>
      <c r="G604" s="38" t="inlineStr">
        <is>
          <t>Consulta</t>
        </is>
      </c>
      <c r="H604" s="38" t="inlineStr">
        <is>
          <t>Falta</t>
        </is>
      </c>
      <c r="I604" s="38" t="n"/>
      <c r="J604" s="38" t="n"/>
      <c r="K604" s="37" t="n"/>
      <c r="L604" s="39" t="n">
        <v>30</v>
      </c>
      <c r="M604" s="40" t="n">
        <v>100</v>
      </c>
      <c r="N604" s="30">
        <f>IF(A604="","",MONTH(A604))</f>
        <v>7</v>
      </c>
      <c r="O604" s="30">
        <f>IF(A604="","",YEAR(A604))</f>
        <v>2026</v>
      </c>
      <c r="P604" s="30" t="str">
        <f>IF(A604="","",CHOOSE(WEEKDAY(A604,2),"Segunda","Terça","Quarta","Quinta","Sexta","Sábado","Domingo"))</f>
        <v>Quinta</v>
      </c>
      <c r="Q604" s="30" t="str">
        <f>IF(B604="","",IF(B604&lt;TIME(12,0,0),"Manhã",IF(B604&lt;TIME(18,0,0),"Tarde","Noite")))</f>
        <v>Tarde</v>
      </c>
      <c r="R604" s="46">
        <f>IF(AND(H604="Realizado",L604&lt;&gt;"",A604&lt;=Config!$B$9),L604/60,0)</f>
        <v>0</v>
      </c>
      <c r="S604" s="45">
        <f>IF(G604="","",IFERROR(INDEX(Config!$K$5:$K$16,MATCH(G604,Config!$J$5:$J$16,0)),""))</f>
        <v>30</v>
      </c>
      <c r="T604" s="31">
        <f>IF(OR(G604="",F604=""),"",IFERROR(INDEX(Config!$M$5:$R$16,MATCH(G604,Config!$J$5:$J$16,0),MATCH(F604,Config!$H$5:$H$10,0)),""))</f>
        <v>100</v>
      </c>
      <c r="U604" s="47">
        <f>IF(AND(H604="Realizado",L604&lt;&gt;""),L604/60,0)</f>
        <v>0</v>
      </c>
      <c r="V604" s="47">
        <f>IF(AND(H604="Realizado",OR(L604="",M604="")),1,0)</f>
        <v>0</v>
      </c>
    </row>
    <row r="605">
      <c r="A605" s="43" t="n">
        <v>46233</v>
      </c>
      <c r="B605" s="44" t="n">
        <v>0.7152777777777778</v>
      </c>
      <c r="C605" s="38" t="inlineStr">
        <is>
          <t>Dra. Renata Sousa</t>
        </is>
      </c>
      <c r="D605" s="38" t="inlineStr">
        <is>
          <t>Sala 1</t>
        </is>
      </c>
      <c r="E605" s="37" t="inlineStr">
        <is>
          <t>Paulo Freitas</t>
        </is>
      </c>
      <c r="F605" s="38" t="inlineStr">
        <is>
          <t>Saúde Total</t>
        </is>
      </c>
      <c r="G605" s="38" t="inlineStr">
        <is>
          <t>Avaliação endócrina</t>
        </is>
      </c>
      <c r="H605" s="38" t="inlineStr">
        <is>
          <t>Realizado</t>
        </is>
      </c>
      <c r="I605" s="38" t="inlineStr">
        <is>
          <t>Convênio</t>
        </is>
      </c>
      <c r="J605" s="38" t="n"/>
      <c r="K605" s="37" t="n"/>
      <c r="L605" s="39" t="n">
        <v>40</v>
      </c>
      <c r="M605" s="40" t="n">
        <v>130</v>
      </c>
      <c r="N605" s="30">
        <f>IF(A605="","",MONTH(A605))</f>
        <v>7</v>
      </c>
      <c r="O605" s="30">
        <f>IF(A605="","",YEAR(A605))</f>
        <v>2026</v>
      </c>
      <c r="P605" s="30" t="str">
        <f>IF(A605="","",CHOOSE(WEEKDAY(A605,2),"Segunda","Terça","Quarta","Quinta","Sexta","Sábado","Domingo"))</f>
        <v>Quinta</v>
      </c>
      <c r="Q605" s="30" t="str">
        <f>IF(B605="","",IF(B605&lt;TIME(12,0,0),"Manhã",IF(B605&lt;TIME(18,0,0),"Tarde","Noite")))</f>
        <v>Tarde</v>
      </c>
      <c r="R605" s="46">
        <f>IF(AND(H605="Realizado",L605&lt;&gt;"",A605&lt;=Config!$B$9),L605/60,0)</f>
        <v>0.666666666666667</v>
      </c>
      <c r="S605" s="45">
        <f>IF(G605="","",IFERROR(INDEX(Config!$K$5:$K$16,MATCH(G605,Config!$J$5:$J$16,0)),""))</f>
        <v>40</v>
      </c>
      <c r="T605" s="31">
        <f>IF(OR(G605="",F605=""),"",IFERROR(INDEX(Config!$M$5:$R$16,MATCH(G605,Config!$J$5:$J$16,0),MATCH(F605,Config!$H$5:$H$10,0)),""))</f>
        <v>130</v>
      </c>
      <c r="U605" s="47">
        <f>IF(AND(H605="Realizado",L605&lt;&gt;""),L605/60,0)</f>
        <v>0.666666666666667</v>
      </c>
      <c r="V605" s="47">
        <f>IF(AND(H605="Realizado",OR(L605="",M605="")),1,0)</f>
        <v>0</v>
      </c>
    </row>
    <row r="606">
      <c r="A606" s="43" t="n">
        <v>46234</v>
      </c>
      <c r="B606" s="44" t="n">
        <v>0.3333333333333333</v>
      </c>
      <c r="C606" s="38" t="inlineStr">
        <is>
          <t>Dr. Paulo Andrade</t>
        </is>
      </c>
      <c r="D606" s="38" t="inlineStr">
        <is>
          <t>Sala 2</t>
        </is>
      </c>
      <c r="E606" s="37" t="inlineStr">
        <is>
          <t>Fábio Machado</t>
        </is>
      </c>
      <c r="F606" s="38" t="inlineStr">
        <is>
          <t>Particular</t>
        </is>
      </c>
      <c r="G606" s="38" t="inlineStr">
        <is>
          <t>Consulta</t>
        </is>
      </c>
      <c r="H606" s="38" t="inlineStr">
        <is>
          <t>Realizado</t>
        </is>
      </c>
      <c r="I606" s="38" t="inlineStr">
        <is>
          <t>Cartão de crédito</t>
        </is>
      </c>
      <c r="J606" s="38" t="n"/>
      <c r="K606" s="37" t="inlineStr">
        <is>
          <t>Check-up cardiológico (consulta + ECG + teste ergométrico)</t>
        </is>
      </c>
      <c r="L606" s="39" t="n">
        <v>30</v>
      </c>
      <c r="M606" s="40" t="n">
        <v>380</v>
      </c>
      <c r="N606" s="30">
        <f>IF(A606="","",MONTH(A606))</f>
        <v>7</v>
      </c>
      <c r="O606" s="30">
        <f>IF(A606="","",YEAR(A606))</f>
        <v>2026</v>
      </c>
      <c r="P606" s="30" t="str">
        <f>IF(A606="","",CHOOSE(WEEKDAY(A606,2),"Segunda","Terça","Quarta","Quinta","Sexta","Sábado","Domingo"))</f>
        <v>Sexta</v>
      </c>
      <c r="Q606" s="30" t="str">
        <f>IF(B606="","",IF(B606&lt;TIME(12,0,0),"Manhã",IF(B606&lt;TIME(18,0,0),"Tarde","Noite")))</f>
        <v>Manhã</v>
      </c>
      <c r="R606" s="46">
        <f>IF(AND(H606="Realizado",L606&lt;&gt;"",A606&lt;=Config!$B$9),L606/60,0)</f>
        <v>0.5</v>
      </c>
      <c r="S606" s="45">
        <f>IF(G606="","",IFERROR(INDEX(Config!$K$5:$K$16,MATCH(G606,Config!$J$5:$J$16,0)),""))</f>
        <v>30</v>
      </c>
      <c r="T606" s="31">
        <f>IF(OR(G606="",F606=""),"",IFERROR(INDEX(Config!$M$5:$R$16,MATCH(G606,Config!$J$5:$J$16,0),MATCH(F606,Config!$H$5:$H$10,0)),""))</f>
        <v>380</v>
      </c>
      <c r="U606" s="47">
        <f>IF(AND(H606="Realizado",L606&lt;&gt;""),L606/60,0)</f>
        <v>0.5</v>
      </c>
      <c r="V606" s="47">
        <f>IF(AND(H606="Realizado",OR(L606="",M606="")),1,0)</f>
        <v>0</v>
      </c>
    </row>
    <row r="607">
      <c r="A607" s="43" t="n">
        <v>46234</v>
      </c>
      <c r="B607" s="44" t="n">
        <v>0.3541666666666667</v>
      </c>
      <c r="C607" s="38" t="inlineStr">
        <is>
          <t>Dr. Paulo Andrade</t>
        </is>
      </c>
      <c r="D607" s="38" t="inlineStr">
        <is>
          <t>Sala 2</t>
        </is>
      </c>
      <c r="E607" s="37" t="inlineStr">
        <is>
          <t>Fábio Machado</t>
        </is>
      </c>
      <c r="F607" s="38" t="inlineStr">
        <is>
          <t>Particular</t>
        </is>
      </c>
      <c r="G607" s="38" t="inlineStr">
        <is>
          <t>ECG</t>
        </is>
      </c>
      <c r="H607" s="38" t="inlineStr">
        <is>
          <t>Realizado</t>
        </is>
      </c>
      <c r="I607" s="38" t="inlineStr">
        <is>
          <t>Cartão de crédito</t>
        </is>
      </c>
      <c r="J607" s="38" t="n"/>
      <c r="K607" s="37" t="inlineStr">
        <is>
          <t>Check-up cardiológico (consulta + ECG + teste ergométrico)</t>
        </is>
      </c>
      <c r="L607" s="39" t="n">
        <v>20</v>
      </c>
      <c r="M607" s="40" t="n">
        <v>130</v>
      </c>
      <c r="N607" s="30">
        <f>IF(A607="","",MONTH(A607))</f>
        <v>7</v>
      </c>
      <c r="O607" s="30">
        <f>IF(A607="","",YEAR(A607))</f>
        <v>2026</v>
      </c>
      <c r="P607" s="30" t="str">
        <f>IF(A607="","",CHOOSE(WEEKDAY(A607,2),"Segunda","Terça","Quarta","Quinta","Sexta","Sábado","Domingo"))</f>
        <v>Sexta</v>
      </c>
      <c r="Q607" s="30" t="str">
        <f>IF(B607="","",IF(B607&lt;TIME(12,0,0),"Manhã",IF(B607&lt;TIME(18,0,0),"Tarde","Noite")))</f>
        <v>Manhã</v>
      </c>
      <c r="R607" s="46">
        <f>IF(AND(H607="Realizado",L607&lt;&gt;"",A607&lt;=Config!$B$9),L607/60,0)</f>
        <v>0.333333333333333</v>
      </c>
      <c r="S607" s="45">
        <f>IF(G607="","",IFERROR(INDEX(Config!$K$5:$K$16,MATCH(G607,Config!$J$5:$J$16,0)),""))</f>
        <v>20</v>
      </c>
      <c r="T607" s="31">
        <f>IF(OR(G607="",F607=""),"",IFERROR(INDEX(Config!$M$5:$R$16,MATCH(G607,Config!$J$5:$J$16,0),MATCH(F607,Config!$H$5:$H$10,0)),""))</f>
        <v>130</v>
      </c>
      <c r="U607" s="47">
        <f>IF(AND(H607="Realizado",L607&lt;&gt;""),L607/60,0)</f>
        <v>0.333333333333333</v>
      </c>
      <c r="V607" s="47">
        <f>IF(AND(H607="Realizado",OR(L607="",M607="")),1,0)</f>
        <v>0</v>
      </c>
    </row>
    <row r="608">
      <c r="A608" s="43" t="n">
        <v>46234</v>
      </c>
      <c r="B608" s="44" t="n">
        <v>0.3680555555555556</v>
      </c>
      <c r="C608" s="38" t="inlineStr">
        <is>
          <t>Dr. Paulo Andrade</t>
        </is>
      </c>
      <c r="D608" s="38" t="inlineStr">
        <is>
          <t>Sala 2</t>
        </is>
      </c>
      <c r="E608" s="37" t="inlineStr">
        <is>
          <t>Fábio Machado</t>
        </is>
      </c>
      <c r="F608" s="38" t="inlineStr">
        <is>
          <t>Particular</t>
        </is>
      </c>
      <c r="G608" s="38" t="inlineStr">
        <is>
          <t>Teste ergométrico</t>
        </is>
      </c>
      <c r="H608" s="38" t="inlineStr">
        <is>
          <t>Realizado</t>
        </is>
      </c>
      <c r="I608" s="38" t="inlineStr">
        <is>
          <t>Cartão de crédito</t>
        </is>
      </c>
      <c r="J608" s="38" t="n"/>
      <c r="K608" s="37" t="inlineStr">
        <is>
          <t>Check-up cardiológico (consulta + ECG + teste ergométrico)</t>
        </is>
      </c>
      <c r="L608" s="39" t="n">
        <v>40</v>
      </c>
      <c r="M608" s="40" t="n">
        <v>450</v>
      </c>
      <c r="N608" s="30">
        <f>IF(A608="","",MONTH(A608))</f>
        <v>7</v>
      </c>
      <c r="O608" s="30">
        <f>IF(A608="","",YEAR(A608))</f>
        <v>2026</v>
      </c>
      <c r="P608" s="30" t="str">
        <f>IF(A608="","",CHOOSE(WEEKDAY(A608,2),"Segunda","Terça","Quarta","Quinta","Sexta","Sábado","Domingo"))</f>
        <v>Sexta</v>
      </c>
      <c r="Q608" s="30" t="str">
        <f>IF(B608="","",IF(B608&lt;TIME(12,0,0),"Manhã",IF(B608&lt;TIME(18,0,0),"Tarde","Noite")))</f>
        <v>Manhã</v>
      </c>
      <c r="R608" s="46">
        <f>IF(AND(H608="Realizado",L608&lt;&gt;"",A608&lt;=Config!$B$9),L608/60,0)</f>
        <v>0.666666666666667</v>
      </c>
      <c r="S608" s="45">
        <f>IF(G608="","",IFERROR(INDEX(Config!$K$5:$K$16,MATCH(G608,Config!$J$5:$J$16,0)),""))</f>
        <v>40</v>
      </c>
      <c r="T608" s="31">
        <f>IF(OR(G608="",F608=""),"",IFERROR(INDEX(Config!$M$5:$R$16,MATCH(G608,Config!$J$5:$J$16,0),MATCH(F608,Config!$H$5:$H$10,0)),""))</f>
        <v>450</v>
      </c>
      <c r="U608" s="47">
        <f>IF(AND(H608="Realizado",L608&lt;&gt;""),L608/60,0)</f>
        <v>0.666666666666667</v>
      </c>
      <c r="V608" s="47">
        <f>IF(AND(H608="Realizado",OR(L608="",M608="")),1,0)</f>
        <v>0</v>
      </c>
    </row>
    <row r="609">
      <c r="A609" s="43" t="n">
        <v>46234</v>
      </c>
      <c r="B609" s="44" t="n">
        <v>0.3958333333333333</v>
      </c>
      <c r="C609" s="38" t="inlineStr">
        <is>
          <t>Dr. Paulo Andrade</t>
        </is>
      </c>
      <c r="D609" s="38" t="inlineStr">
        <is>
          <t>Sala 2</t>
        </is>
      </c>
      <c r="E609" s="37" t="inlineStr">
        <is>
          <t>Rafael Araújo</t>
        </is>
      </c>
      <c r="F609" s="38" t="inlineStr">
        <is>
          <t>MediPlan</t>
        </is>
      </c>
      <c r="G609" s="38" t="inlineStr">
        <is>
          <t>Consulta</t>
        </is>
      </c>
      <c r="H609" s="38" t="inlineStr">
        <is>
          <t>Realizado</t>
        </is>
      </c>
      <c r="I609" s="38" t="inlineStr">
        <is>
          <t>Convênio</t>
        </is>
      </c>
      <c r="J609" s="38" t="n"/>
      <c r="K609" s="37" t="n"/>
      <c r="L609" s="39" t="n">
        <v>30</v>
      </c>
      <c r="M609" s="40" t="n">
        <v>100</v>
      </c>
      <c r="N609" s="30">
        <f>IF(A609="","",MONTH(A609))</f>
        <v>7</v>
      </c>
      <c r="O609" s="30">
        <f>IF(A609="","",YEAR(A609))</f>
        <v>2026</v>
      </c>
      <c r="P609" s="30" t="str">
        <f>IF(A609="","",CHOOSE(WEEKDAY(A609,2),"Segunda","Terça","Quarta","Quinta","Sexta","Sábado","Domingo"))</f>
        <v>Sexta</v>
      </c>
      <c r="Q609" s="30" t="str">
        <f>IF(B609="","",IF(B609&lt;TIME(12,0,0),"Manhã",IF(B609&lt;TIME(18,0,0),"Tarde","Noite")))</f>
        <v>Manhã</v>
      </c>
      <c r="R609" s="46">
        <f>IF(AND(H609="Realizado",L609&lt;&gt;"",A609&lt;=Config!$B$9),L609/60,0)</f>
        <v>0.5</v>
      </c>
      <c r="S609" s="45">
        <f>IF(G609="","",IFERROR(INDEX(Config!$K$5:$K$16,MATCH(G609,Config!$J$5:$J$16,0)),""))</f>
        <v>30</v>
      </c>
      <c r="T609" s="31">
        <f>IF(OR(G609="",F609=""),"",IFERROR(INDEX(Config!$M$5:$R$16,MATCH(G609,Config!$J$5:$J$16,0),MATCH(F609,Config!$H$5:$H$10,0)),""))</f>
        <v>100</v>
      </c>
      <c r="U609" s="47">
        <f>IF(AND(H609="Realizado",L609&lt;&gt;""),L609/60,0)</f>
        <v>0.5</v>
      </c>
      <c r="V609" s="47">
        <f>IF(AND(H609="Realizado",OR(L609="",M609="")),1,0)</f>
        <v>0</v>
      </c>
    </row>
    <row r="610">
      <c r="A610" s="43" t="n">
        <v>46234</v>
      </c>
      <c r="B610" s="44" t="n">
        <v>0.4166666666666667</v>
      </c>
      <c r="C610" s="38" t="inlineStr">
        <is>
          <t>Dr. Paulo Andrade</t>
        </is>
      </c>
      <c r="D610" s="38" t="inlineStr">
        <is>
          <t>Sala 2</t>
        </is>
      </c>
      <c r="E610" s="37" t="inlineStr">
        <is>
          <t>Otávio Martins</t>
        </is>
      </c>
      <c r="F610" s="38" t="inlineStr">
        <is>
          <t>MediPlan</t>
        </is>
      </c>
      <c r="G610" s="38" t="inlineStr">
        <is>
          <t>Retorno</t>
        </is>
      </c>
      <c r="H610" s="38" t="inlineStr">
        <is>
          <t>Realizado</t>
        </is>
      </c>
      <c r="I610" s="38" t="inlineStr">
        <is>
          <t>Sem cobrança</t>
        </is>
      </c>
      <c r="J610" s="38" t="n"/>
      <c r="K610" s="37" t="n"/>
      <c r="L610" s="39" t="n">
        <v>20</v>
      </c>
      <c r="M610" s="40" t="n">
        <v>0</v>
      </c>
      <c r="N610" s="30">
        <f>IF(A610="","",MONTH(A610))</f>
        <v>7</v>
      </c>
      <c r="O610" s="30">
        <f>IF(A610="","",YEAR(A610))</f>
        <v>2026</v>
      </c>
      <c r="P610" s="30" t="str">
        <f>IF(A610="","",CHOOSE(WEEKDAY(A610,2),"Segunda","Terça","Quarta","Quinta","Sexta","Sábado","Domingo"))</f>
        <v>Sexta</v>
      </c>
      <c r="Q610" s="30" t="str">
        <f>IF(B610="","",IF(B610&lt;TIME(12,0,0),"Manhã",IF(B610&lt;TIME(18,0,0),"Tarde","Noite")))</f>
        <v>Manhã</v>
      </c>
      <c r="R610" s="46">
        <f>IF(AND(H610="Realizado",L610&lt;&gt;"",A610&lt;=Config!$B$9),L610/60,0)</f>
        <v>0.333333333333333</v>
      </c>
      <c r="S610" s="45">
        <f>IF(G610="","",IFERROR(INDEX(Config!$K$5:$K$16,MATCH(G610,Config!$J$5:$J$16,0)),""))</f>
        <v>20</v>
      </c>
      <c r="T610" s="31">
        <f>IF(OR(G610="",F610=""),"",IFERROR(INDEX(Config!$M$5:$R$16,MATCH(G610,Config!$J$5:$J$16,0),MATCH(F610,Config!$H$5:$H$10,0)),""))</f>
        <v>0</v>
      </c>
      <c r="U610" s="47">
        <f>IF(AND(H610="Realizado",L610&lt;&gt;""),L610/60,0)</f>
        <v>0.333333333333333</v>
      </c>
      <c r="V610" s="47">
        <f>IF(AND(H610="Realizado",OR(L610="",M610="")),1,0)</f>
        <v>0</v>
      </c>
    </row>
    <row r="611">
      <c r="A611" s="43" t="n">
        <v>46234</v>
      </c>
      <c r="B611" s="44" t="n">
        <v>0.4305555555555556</v>
      </c>
      <c r="C611" s="38" t="inlineStr">
        <is>
          <t>Dr. Paulo Andrade</t>
        </is>
      </c>
      <c r="D611" s="38" t="inlineStr">
        <is>
          <t>Sala 2</t>
        </is>
      </c>
      <c r="E611" s="37" t="inlineStr">
        <is>
          <t>Lucas Cardoso</t>
        </is>
      </c>
      <c r="F611" s="38" t="inlineStr">
        <is>
          <t>Particular</t>
        </is>
      </c>
      <c r="G611" s="38" t="inlineStr">
        <is>
          <t>Retorno</t>
        </is>
      </c>
      <c r="H611" s="38" t="inlineStr">
        <is>
          <t>Realizado</t>
        </is>
      </c>
      <c r="I611" s="38" t="inlineStr">
        <is>
          <t>Sem cobrança</t>
        </is>
      </c>
      <c r="J611" s="38" t="n"/>
      <c r="K611" s="37" t="n"/>
      <c r="L611" s="39" t="n">
        <v>20</v>
      </c>
      <c r="M611" s="40" t="n">
        <v>0</v>
      </c>
      <c r="N611" s="30">
        <f>IF(A611="","",MONTH(A611))</f>
        <v>7</v>
      </c>
      <c r="O611" s="30">
        <f>IF(A611="","",YEAR(A611))</f>
        <v>2026</v>
      </c>
      <c r="P611" s="30" t="str">
        <f>IF(A611="","",CHOOSE(WEEKDAY(A611,2),"Segunda","Terça","Quarta","Quinta","Sexta","Sábado","Domingo"))</f>
        <v>Sexta</v>
      </c>
      <c r="Q611" s="30" t="str">
        <f>IF(B611="","",IF(B611&lt;TIME(12,0,0),"Manhã",IF(B611&lt;TIME(18,0,0),"Tarde","Noite")))</f>
        <v>Manhã</v>
      </c>
      <c r="R611" s="46">
        <f>IF(AND(H611="Realizado",L611&lt;&gt;"",A611&lt;=Config!$B$9),L611/60,0)</f>
        <v>0.333333333333333</v>
      </c>
      <c r="S611" s="45">
        <f>IF(G611="","",IFERROR(INDEX(Config!$K$5:$K$16,MATCH(G611,Config!$J$5:$J$16,0)),""))</f>
        <v>20</v>
      </c>
      <c r="T611" s="31">
        <f>IF(OR(G611="",F611=""),"",IFERROR(INDEX(Config!$M$5:$R$16,MATCH(G611,Config!$J$5:$J$16,0),MATCH(F611,Config!$H$5:$H$10,0)),""))</f>
        <v>0</v>
      </c>
      <c r="U611" s="47">
        <f>IF(AND(H611="Realizado",L611&lt;&gt;""),L611/60,0)</f>
        <v>0.333333333333333</v>
      </c>
      <c r="V611" s="47">
        <f>IF(AND(H611="Realizado",OR(L611="",M611="")),1,0)</f>
        <v>0</v>
      </c>
    </row>
    <row r="612">
      <c r="A612" s="43" t="n">
        <v>46234</v>
      </c>
      <c r="B612" s="44" t="n">
        <v>0.4444444444444444</v>
      </c>
      <c r="C612" s="38" t="inlineStr">
        <is>
          <t>Dr. Paulo Andrade</t>
        </is>
      </c>
      <c r="D612" s="38" t="inlineStr">
        <is>
          <t>Sala 2</t>
        </is>
      </c>
      <c r="E612" s="37" t="inlineStr">
        <is>
          <t>Renato Pereira</t>
        </is>
      </c>
      <c r="F612" s="38" t="inlineStr">
        <is>
          <t>MediPlan</t>
        </is>
      </c>
      <c r="G612" s="38" t="inlineStr">
        <is>
          <t>Consulta</t>
        </is>
      </c>
      <c r="H612" s="38" t="inlineStr">
        <is>
          <t>Cancelado</t>
        </is>
      </c>
      <c r="I612" s="38" t="n"/>
      <c r="J612" s="38" t="n"/>
      <c r="K612" s="37" t="n"/>
      <c r="L612" s="39" t="n">
        <v>30</v>
      </c>
      <c r="M612" s="40" t="n">
        <v>100</v>
      </c>
      <c r="N612" s="30">
        <f>IF(A612="","",MONTH(A612))</f>
        <v>7</v>
      </c>
      <c r="O612" s="30">
        <f>IF(A612="","",YEAR(A612))</f>
        <v>2026</v>
      </c>
      <c r="P612" s="30" t="str">
        <f>IF(A612="","",CHOOSE(WEEKDAY(A612,2),"Segunda","Terça","Quarta","Quinta","Sexta","Sábado","Domingo"))</f>
        <v>Sexta</v>
      </c>
      <c r="Q612" s="30" t="str">
        <f>IF(B612="","",IF(B612&lt;TIME(12,0,0),"Manhã",IF(B612&lt;TIME(18,0,0),"Tarde","Noite")))</f>
        <v>Manhã</v>
      </c>
      <c r="R612" s="46">
        <f>IF(AND(H612="Realizado",L612&lt;&gt;"",A612&lt;=Config!$B$9),L612/60,0)</f>
        <v>0</v>
      </c>
      <c r="S612" s="45">
        <f>IF(G612="","",IFERROR(INDEX(Config!$K$5:$K$16,MATCH(G612,Config!$J$5:$J$16,0)),""))</f>
        <v>30</v>
      </c>
      <c r="T612" s="31">
        <f>IF(OR(G612="",F612=""),"",IFERROR(INDEX(Config!$M$5:$R$16,MATCH(G612,Config!$J$5:$J$16,0),MATCH(F612,Config!$H$5:$H$10,0)),""))</f>
        <v>100</v>
      </c>
      <c r="U612" s="47">
        <f>IF(AND(H612="Realizado",L612&lt;&gt;""),L612/60,0)</f>
        <v>0</v>
      </c>
      <c r="V612" s="47">
        <f>IF(AND(H612="Realizado",OR(L612="",M612="")),1,0)</f>
        <v>0</v>
      </c>
    </row>
    <row r="613">
      <c r="A613" s="43" t="n">
        <v>46234</v>
      </c>
      <c r="B613" s="44" t="n">
        <v>0.4652777777777778</v>
      </c>
      <c r="C613" s="38" t="inlineStr">
        <is>
          <t>Dr. Paulo Andrade</t>
        </is>
      </c>
      <c r="D613" s="38" t="inlineStr">
        <is>
          <t>Sala 2</t>
        </is>
      </c>
      <c r="E613" s="37" t="inlineStr">
        <is>
          <t>Henrique Ribeiro</t>
        </is>
      </c>
      <c r="F613" s="38" t="inlineStr">
        <is>
          <t>Particular</t>
        </is>
      </c>
      <c r="G613" s="38" t="inlineStr">
        <is>
          <t>Consulta</t>
        </is>
      </c>
      <c r="H613" s="38" t="inlineStr">
        <is>
          <t>Realizado</t>
        </is>
      </c>
      <c r="I613" s="38" t="inlineStr">
        <is>
          <t>Cartão de débito</t>
        </is>
      </c>
      <c r="J613" s="38" t="n"/>
      <c r="K613" s="37" t="n"/>
      <c r="L613" s="39" t="n">
        <v>30</v>
      </c>
      <c r="M613" s="40" t="n">
        <v>380</v>
      </c>
      <c r="N613" s="30">
        <f>IF(A613="","",MONTH(A613))</f>
        <v>7</v>
      </c>
      <c r="O613" s="30">
        <f>IF(A613="","",YEAR(A613))</f>
        <v>2026</v>
      </c>
      <c r="P613" s="30" t="str">
        <f>IF(A613="","",CHOOSE(WEEKDAY(A613,2),"Segunda","Terça","Quarta","Quinta","Sexta","Sábado","Domingo"))</f>
        <v>Sexta</v>
      </c>
      <c r="Q613" s="30" t="str">
        <f>IF(B613="","",IF(B613&lt;TIME(12,0,0),"Manhã",IF(B613&lt;TIME(18,0,0),"Tarde","Noite")))</f>
        <v>Manhã</v>
      </c>
      <c r="R613" s="46">
        <f>IF(AND(H613="Realizado",L613&lt;&gt;"",A613&lt;=Config!$B$9),L613/60,0)</f>
        <v>0.5</v>
      </c>
      <c r="S613" s="45">
        <f>IF(G613="","",IFERROR(INDEX(Config!$K$5:$K$16,MATCH(G613,Config!$J$5:$J$16,0)),""))</f>
        <v>30</v>
      </c>
      <c r="T613" s="31">
        <f>IF(OR(G613="",F613=""),"",IFERROR(INDEX(Config!$M$5:$R$16,MATCH(G613,Config!$J$5:$J$16,0),MATCH(F613,Config!$H$5:$H$10,0)),""))</f>
        <v>380</v>
      </c>
      <c r="U613" s="47">
        <f>IF(AND(H613="Realizado",L613&lt;&gt;""),L613/60,0)</f>
        <v>0.5</v>
      </c>
      <c r="V613" s="47">
        <f>IF(AND(H613="Realizado",OR(L613="",M613="")),1,0)</f>
        <v>0</v>
      </c>
    </row>
    <row r="614">
      <c r="A614" s="43" t="n">
        <v>46237</v>
      </c>
      <c r="B614" s="44" t="n">
        <v>0.3333333333333333</v>
      </c>
      <c r="C614" s="38" t="inlineStr">
        <is>
          <t>Dra. Carolina Mendes</t>
        </is>
      </c>
      <c r="D614" s="38" t="inlineStr">
        <is>
          <t>Sala 1</t>
        </is>
      </c>
      <c r="E614" s="37" t="inlineStr">
        <is>
          <t>Mariana Nascimento</t>
        </is>
      </c>
      <c r="F614" s="38" t="inlineStr">
        <is>
          <t>Particular</t>
        </is>
      </c>
      <c r="G614" s="38" t="inlineStr">
        <is>
          <t>Consulta</t>
        </is>
      </c>
      <c r="H614" s="38" t="inlineStr">
        <is>
          <t>Cancelado</t>
        </is>
      </c>
      <c r="I614" s="38" t="n"/>
      <c r="J614" s="38" t="n"/>
      <c r="K614" s="37" t="n"/>
      <c r="L614" s="39" t="n">
        <v>30</v>
      </c>
      <c r="M614" s="40" t="n">
        <v>380</v>
      </c>
      <c r="N614" s="30">
        <f>IF(A614="","",MONTH(A614))</f>
        <v>8</v>
      </c>
      <c r="O614" s="30">
        <f>IF(A614="","",YEAR(A614))</f>
        <v>2026</v>
      </c>
      <c r="P614" s="30" t="str">
        <f>IF(A614="","",CHOOSE(WEEKDAY(A614,2),"Segunda","Terça","Quarta","Quinta","Sexta","Sábado","Domingo"))</f>
        <v>Segunda</v>
      </c>
      <c r="Q614" s="30" t="str">
        <f>IF(B614="","",IF(B614&lt;TIME(12,0,0),"Manhã",IF(B614&lt;TIME(18,0,0),"Tarde","Noite")))</f>
        <v>Manhã</v>
      </c>
      <c r="R614" s="46">
        <f>IF(AND(H614="Realizado",L614&lt;&gt;"",A614&lt;=Config!$B$9),L614/60,0)</f>
        <v>0</v>
      </c>
      <c r="S614" s="45">
        <f>IF(G614="","",IFERROR(INDEX(Config!$K$5:$K$16,MATCH(G614,Config!$J$5:$J$16,0)),""))</f>
        <v>30</v>
      </c>
      <c r="T614" s="31">
        <f>IF(OR(G614="",F614=""),"",IFERROR(INDEX(Config!$M$5:$R$16,MATCH(G614,Config!$J$5:$J$16,0),MATCH(F614,Config!$H$5:$H$10,0)),""))</f>
        <v>380</v>
      </c>
      <c r="U614" s="47">
        <f>IF(AND(H614="Realizado",L614&lt;&gt;""),L614/60,0)</f>
        <v>0</v>
      </c>
      <c r="V614" s="47">
        <f>IF(AND(H614="Realizado",OR(L614="",M614="")),1,0)</f>
        <v>0</v>
      </c>
    </row>
    <row r="615">
      <c r="A615" s="43" t="n">
        <v>46237</v>
      </c>
      <c r="B615" s="44" t="n">
        <v>0.3541666666666667</v>
      </c>
      <c r="C615" s="38" t="inlineStr">
        <is>
          <t>Dra. Carolina Mendes</t>
        </is>
      </c>
      <c r="D615" s="38" t="inlineStr">
        <is>
          <t>Sala 1</t>
        </is>
      </c>
      <c r="E615" s="37" t="inlineStr">
        <is>
          <t>Tatiana Rocha</t>
        </is>
      </c>
      <c r="F615" s="38" t="inlineStr">
        <is>
          <t>Vida Care</t>
        </is>
      </c>
      <c r="G615" s="38" t="inlineStr">
        <is>
          <t>Consulta</t>
        </is>
      </c>
      <c r="H615" s="38" t="inlineStr">
        <is>
          <t>Realizado</t>
        </is>
      </c>
      <c r="I615" s="38" t="inlineStr">
        <is>
          <t>Convênio</t>
        </is>
      </c>
      <c r="J615" s="38" t="n"/>
      <c r="K615" s="37" t="n"/>
      <c r="L615" s="39" t="n">
        <v>30</v>
      </c>
      <c r="M615" s="40" t="n">
        <v>90</v>
      </c>
      <c r="N615" s="30">
        <f>IF(A615="","",MONTH(A615))</f>
        <v>8</v>
      </c>
      <c r="O615" s="30">
        <f>IF(A615="","",YEAR(A615))</f>
        <v>2026</v>
      </c>
      <c r="P615" s="30" t="str">
        <f>IF(A615="","",CHOOSE(WEEKDAY(A615,2),"Segunda","Terça","Quarta","Quinta","Sexta","Sábado","Domingo"))</f>
        <v>Segunda</v>
      </c>
      <c r="Q615" s="30" t="str">
        <f>IF(B615="","",IF(B615&lt;TIME(12,0,0),"Manhã",IF(B615&lt;TIME(18,0,0),"Tarde","Noite")))</f>
        <v>Manhã</v>
      </c>
      <c r="R615" s="46">
        <f>IF(AND(H615="Realizado",L615&lt;&gt;"",A615&lt;=Config!$B$9),L615/60,0)</f>
        <v>0.5</v>
      </c>
      <c r="S615" s="45">
        <f>IF(G615="","",IFERROR(INDEX(Config!$K$5:$K$16,MATCH(G615,Config!$J$5:$J$16,0)),""))</f>
        <v>30</v>
      </c>
      <c r="T615" s="31">
        <f>IF(OR(G615="",F615=""),"",IFERROR(INDEX(Config!$M$5:$R$16,MATCH(G615,Config!$J$5:$J$16,0),MATCH(F615,Config!$H$5:$H$10,0)),""))</f>
        <v>90</v>
      </c>
      <c r="U615" s="47">
        <f>IF(AND(H615="Realizado",L615&lt;&gt;""),L615/60,0)</f>
        <v>0.5</v>
      </c>
      <c r="V615" s="47">
        <f>IF(AND(H615="Realizado",OR(L615="",M615="")),1,0)</f>
        <v>0</v>
      </c>
    </row>
    <row r="616">
      <c r="A616" s="43" t="n">
        <v>46237</v>
      </c>
      <c r="B616" s="44" t="n">
        <v>0.375</v>
      </c>
      <c r="C616" s="38" t="inlineStr">
        <is>
          <t>Dra. Carolina Mendes</t>
        </is>
      </c>
      <c r="D616" s="38" t="inlineStr">
        <is>
          <t>Sala 1</t>
        </is>
      </c>
      <c r="E616" s="37" t="inlineStr">
        <is>
          <t>Mateus Lima</t>
        </is>
      </c>
      <c r="F616" s="38" t="inlineStr">
        <is>
          <t>MediPlan</t>
        </is>
      </c>
      <c r="G616" s="38" t="inlineStr">
        <is>
          <t>Consulta</t>
        </is>
      </c>
      <c r="H616" s="38" t="inlineStr">
        <is>
          <t>Falta</t>
        </is>
      </c>
      <c r="I616" s="38" t="n"/>
      <c r="J616" s="38" t="n"/>
      <c r="K616" s="37" t="n"/>
      <c r="L616" s="39" t="n">
        <v>30</v>
      </c>
      <c r="M616" s="40" t="n">
        <v>100</v>
      </c>
      <c r="N616" s="30">
        <f>IF(A616="","",MONTH(A616))</f>
        <v>8</v>
      </c>
      <c r="O616" s="30">
        <f>IF(A616="","",YEAR(A616))</f>
        <v>2026</v>
      </c>
      <c r="P616" s="30" t="str">
        <f>IF(A616="","",CHOOSE(WEEKDAY(A616,2),"Segunda","Terça","Quarta","Quinta","Sexta","Sábado","Domingo"))</f>
        <v>Segunda</v>
      </c>
      <c r="Q616" s="30" t="str">
        <f>IF(B616="","",IF(B616&lt;TIME(12,0,0),"Manhã",IF(B616&lt;TIME(18,0,0),"Tarde","Noite")))</f>
        <v>Manhã</v>
      </c>
      <c r="R616" s="46">
        <f>IF(AND(H616="Realizado",L616&lt;&gt;"",A616&lt;=Config!$B$9),L616/60,0)</f>
        <v>0</v>
      </c>
      <c r="S616" s="45">
        <f>IF(G616="","",IFERROR(INDEX(Config!$K$5:$K$16,MATCH(G616,Config!$J$5:$J$16,0)),""))</f>
        <v>30</v>
      </c>
      <c r="T616" s="31">
        <f>IF(OR(G616="",F616=""),"",IFERROR(INDEX(Config!$M$5:$R$16,MATCH(G616,Config!$J$5:$J$16,0),MATCH(F616,Config!$H$5:$H$10,0)),""))</f>
        <v>100</v>
      </c>
      <c r="U616" s="47">
        <f>IF(AND(H616="Realizado",L616&lt;&gt;""),L616/60,0)</f>
        <v>0</v>
      </c>
      <c r="V616" s="47">
        <f>IF(AND(H616="Realizado",OR(L616="",M616="")),1,0)</f>
        <v>0</v>
      </c>
    </row>
    <row r="617">
      <c r="A617" s="43" t="n">
        <v>46237</v>
      </c>
      <c r="B617" s="44" t="n">
        <v>0.3958333333333333</v>
      </c>
      <c r="C617" s="38" t="inlineStr">
        <is>
          <t>Dra. Carolina Mendes</t>
        </is>
      </c>
      <c r="D617" s="38" t="inlineStr">
        <is>
          <t>Sala 1</t>
        </is>
      </c>
      <c r="E617" s="37" t="inlineStr">
        <is>
          <t>Mateus Lima</t>
        </is>
      </c>
      <c r="F617" s="38" t="inlineStr">
        <is>
          <t>MediPlan</t>
        </is>
      </c>
      <c r="G617" s="38" t="inlineStr">
        <is>
          <t>Consulta</t>
        </is>
      </c>
      <c r="H617" s="38" t="inlineStr">
        <is>
          <t>Realizado</t>
        </is>
      </c>
      <c r="I617" s="38" t="inlineStr">
        <is>
          <t>Convênio</t>
        </is>
      </c>
      <c r="J617" s="38" t="n"/>
      <c r="K617" s="37" t="n"/>
      <c r="L617" s="39" t="n">
        <v>30</v>
      </c>
      <c r="M617" s="40" t="n">
        <v>100</v>
      </c>
      <c r="N617" s="30">
        <f>IF(A617="","",MONTH(A617))</f>
        <v>8</v>
      </c>
      <c r="O617" s="30">
        <f>IF(A617="","",YEAR(A617))</f>
        <v>2026</v>
      </c>
      <c r="P617" s="30" t="str">
        <f>IF(A617="","",CHOOSE(WEEKDAY(A617,2),"Segunda","Terça","Quarta","Quinta","Sexta","Sábado","Domingo"))</f>
        <v>Segunda</v>
      </c>
      <c r="Q617" s="30" t="str">
        <f>IF(B617="","",IF(B617&lt;TIME(12,0,0),"Manhã",IF(B617&lt;TIME(18,0,0),"Tarde","Noite")))</f>
        <v>Manhã</v>
      </c>
      <c r="R617" s="46">
        <f>IF(AND(H617="Realizado",L617&lt;&gt;"",A617&lt;=Config!$B$9),L617/60,0)</f>
        <v>0.5</v>
      </c>
      <c r="S617" s="45">
        <f>IF(G617="","",IFERROR(INDEX(Config!$K$5:$K$16,MATCH(G617,Config!$J$5:$J$16,0)),""))</f>
        <v>30</v>
      </c>
      <c r="T617" s="31">
        <f>IF(OR(G617="",F617=""),"",IFERROR(INDEX(Config!$M$5:$R$16,MATCH(G617,Config!$J$5:$J$16,0),MATCH(F617,Config!$H$5:$H$10,0)),""))</f>
        <v>100</v>
      </c>
      <c r="U617" s="47">
        <f>IF(AND(H617="Realizado",L617&lt;&gt;""),L617/60,0)</f>
        <v>0.5</v>
      </c>
      <c r="V617" s="47">
        <f>IF(AND(H617="Realizado",OR(L617="",M617="")),1,0)</f>
        <v>0</v>
      </c>
    </row>
    <row r="618">
      <c r="A618" s="43" t="n">
        <v>46237</v>
      </c>
      <c r="B618" s="44" t="n">
        <v>0.4166666666666667</v>
      </c>
      <c r="C618" s="38" t="inlineStr">
        <is>
          <t>Dra. Carolina Mendes</t>
        </is>
      </c>
      <c r="D618" s="38" t="inlineStr">
        <is>
          <t>Sala 1</t>
        </is>
      </c>
      <c r="E618" s="37" t="inlineStr">
        <is>
          <t>Mônica Martins</t>
        </is>
      </c>
      <c r="F618" s="38" t="inlineStr">
        <is>
          <t>Particular</t>
        </is>
      </c>
      <c r="G618" s="38" t="inlineStr">
        <is>
          <t>Consulta</t>
        </is>
      </c>
      <c r="H618" s="38" t="inlineStr">
        <is>
          <t>Realizado</t>
        </is>
      </c>
      <c r="I618" s="38" t="inlineStr">
        <is>
          <t>Cartão de crédito</t>
        </is>
      </c>
      <c r="J618" s="38" t="n"/>
      <c r="K618" s="37" t="n"/>
      <c r="L618" s="39" t="n">
        <v>30</v>
      </c>
      <c r="M618" s="40" t="n">
        <v>380</v>
      </c>
      <c r="N618" s="30">
        <f>IF(A618="","",MONTH(A618))</f>
        <v>8</v>
      </c>
      <c r="O618" s="30">
        <f>IF(A618="","",YEAR(A618))</f>
        <v>2026</v>
      </c>
      <c r="P618" s="30" t="str">
        <f>IF(A618="","",CHOOSE(WEEKDAY(A618,2),"Segunda","Terça","Quarta","Quinta","Sexta","Sábado","Domingo"))</f>
        <v>Segunda</v>
      </c>
      <c r="Q618" s="30" t="str">
        <f>IF(B618="","",IF(B618&lt;TIME(12,0,0),"Manhã",IF(B618&lt;TIME(18,0,0),"Tarde","Noite")))</f>
        <v>Manhã</v>
      </c>
      <c r="R618" s="46">
        <f>IF(AND(H618="Realizado",L618&lt;&gt;"",A618&lt;=Config!$B$9),L618/60,0)</f>
        <v>0.5</v>
      </c>
      <c r="S618" s="45">
        <f>IF(G618="","",IFERROR(INDEX(Config!$K$5:$K$16,MATCH(G618,Config!$J$5:$J$16,0)),""))</f>
        <v>30</v>
      </c>
      <c r="T618" s="31">
        <f>IF(OR(G618="",F618=""),"",IFERROR(INDEX(Config!$M$5:$R$16,MATCH(G618,Config!$J$5:$J$16,0),MATCH(F618,Config!$H$5:$H$10,0)),""))</f>
        <v>380</v>
      </c>
      <c r="U618" s="47">
        <f>IF(AND(H618="Realizado",L618&lt;&gt;""),L618/60,0)</f>
        <v>0.5</v>
      </c>
      <c r="V618" s="47">
        <f>IF(AND(H618="Realizado",OR(L618="",M618="")),1,0)</f>
        <v>0</v>
      </c>
    </row>
    <row r="619">
      <c r="A619" s="43" t="n">
        <v>46237</v>
      </c>
      <c r="B619" s="44" t="n">
        <v>0.4375</v>
      </c>
      <c r="C619" s="38" t="inlineStr">
        <is>
          <t>Dra. Carolina Mendes</t>
        </is>
      </c>
      <c r="D619" s="38" t="inlineStr">
        <is>
          <t>Sala 1</t>
        </is>
      </c>
      <c r="E619" s="37" t="inlineStr">
        <is>
          <t>Larissa Costa</t>
        </is>
      </c>
      <c r="F619" s="38" t="inlineStr">
        <is>
          <t>Particular</t>
        </is>
      </c>
      <c r="G619" s="38" t="inlineStr">
        <is>
          <t>Consulta</t>
        </is>
      </c>
      <c r="H619" s="38" t="inlineStr">
        <is>
          <t>Realizado</t>
        </is>
      </c>
      <c r="I619" s="38" t="inlineStr">
        <is>
          <t>A prazo</t>
        </is>
      </c>
      <c r="J619" s="38" t="n"/>
      <c r="K619" s="37" t="n"/>
      <c r="L619" s="39" t="n">
        <v>30</v>
      </c>
      <c r="M619" s="40" t="n">
        <v>380</v>
      </c>
      <c r="N619" s="30">
        <f>IF(A619="","",MONTH(A619))</f>
        <v>8</v>
      </c>
      <c r="O619" s="30">
        <f>IF(A619="","",YEAR(A619))</f>
        <v>2026</v>
      </c>
      <c r="P619" s="30" t="str">
        <f>IF(A619="","",CHOOSE(WEEKDAY(A619,2),"Segunda","Terça","Quarta","Quinta","Sexta","Sábado","Domingo"))</f>
        <v>Segunda</v>
      </c>
      <c r="Q619" s="30" t="str">
        <f>IF(B619="","",IF(B619&lt;TIME(12,0,0),"Manhã",IF(B619&lt;TIME(18,0,0),"Tarde","Noite")))</f>
        <v>Manhã</v>
      </c>
      <c r="R619" s="46">
        <f>IF(AND(H619="Realizado",L619&lt;&gt;"",A619&lt;=Config!$B$9),L619/60,0)</f>
        <v>0.5</v>
      </c>
      <c r="S619" s="45">
        <f>IF(G619="","",IFERROR(INDEX(Config!$K$5:$K$16,MATCH(G619,Config!$J$5:$J$16,0)),""))</f>
        <v>30</v>
      </c>
      <c r="T619" s="31">
        <f>IF(OR(G619="",F619=""),"",IFERROR(INDEX(Config!$M$5:$R$16,MATCH(G619,Config!$J$5:$J$16,0),MATCH(F619,Config!$H$5:$H$10,0)),""))</f>
        <v>380</v>
      </c>
      <c r="U619" s="47">
        <f>IF(AND(H619="Realizado",L619&lt;&gt;""),L619/60,0)</f>
        <v>0.5</v>
      </c>
      <c r="V619" s="47">
        <f>IF(AND(H619="Realizado",OR(L619="",M619="")),1,0)</f>
        <v>0</v>
      </c>
    </row>
    <row r="620">
      <c r="A620" s="43" t="n">
        <v>46237</v>
      </c>
      <c r="B620" s="44" t="n">
        <v>0.4583333333333333</v>
      </c>
      <c r="C620" s="38" t="inlineStr">
        <is>
          <t>Dra. Carolina Mendes</t>
        </is>
      </c>
      <c r="D620" s="38" t="inlineStr">
        <is>
          <t>Sala 1</t>
        </is>
      </c>
      <c r="E620" s="37" t="inlineStr">
        <is>
          <t>Letícia Vieira</t>
        </is>
      </c>
      <c r="F620" s="38" t="inlineStr">
        <is>
          <t>Saúde Total</t>
        </is>
      </c>
      <c r="G620" s="38" t="inlineStr">
        <is>
          <t>Consulta</t>
        </is>
      </c>
      <c r="H620" s="38" t="inlineStr">
        <is>
          <t>Realizado</t>
        </is>
      </c>
      <c r="I620" s="38" t="inlineStr">
        <is>
          <t>Convênio</t>
        </is>
      </c>
      <c r="J620" s="38" t="n"/>
      <c r="K620" s="37" t="n"/>
      <c r="L620" s="39" t="n">
        <v>30</v>
      </c>
      <c r="M620" s="40" t="n">
        <v>120</v>
      </c>
      <c r="N620" s="30">
        <f>IF(A620="","",MONTH(A620))</f>
        <v>8</v>
      </c>
      <c r="O620" s="30">
        <f>IF(A620="","",YEAR(A620))</f>
        <v>2026</v>
      </c>
      <c r="P620" s="30" t="str">
        <f>IF(A620="","",CHOOSE(WEEKDAY(A620,2),"Segunda","Terça","Quarta","Quinta","Sexta","Sábado","Domingo"))</f>
        <v>Segunda</v>
      </c>
      <c r="Q620" s="30" t="str">
        <f>IF(B620="","",IF(B620&lt;TIME(12,0,0),"Manhã",IF(B620&lt;TIME(18,0,0),"Tarde","Noite")))</f>
        <v>Manhã</v>
      </c>
      <c r="R620" s="46">
        <f>IF(AND(H620="Realizado",L620&lt;&gt;"",A620&lt;=Config!$B$9),L620/60,0)</f>
        <v>0.5</v>
      </c>
      <c r="S620" s="45">
        <f>IF(G620="","",IFERROR(INDEX(Config!$K$5:$K$16,MATCH(G620,Config!$J$5:$J$16,0)),""))</f>
        <v>30</v>
      </c>
      <c r="T620" s="31">
        <f>IF(OR(G620="",F620=""),"",IFERROR(INDEX(Config!$M$5:$R$16,MATCH(G620,Config!$J$5:$J$16,0),MATCH(F620,Config!$H$5:$H$10,0)),""))</f>
        <v>120</v>
      </c>
      <c r="U620" s="47">
        <f>IF(AND(H620="Realizado",L620&lt;&gt;""),L620/60,0)</f>
        <v>0.5</v>
      </c>
      <c r="V620" s="47">
        <f>IF(AND(H620="Realizado",OR(L620="",M620="")),1,0)</f>
        <v>0</v>
      </c>
    </row>
    <row r="621">
      <c r="A621" s="43" t="n">
        <v>46237</v>
      </c>
      <c r="B621" s="44" t="n">
        <v>0.4791666666666667</v>
      </c>
      <c r="C621" s="38" t="inlineStr">
        <is>
          <t>Dra. Carolina Mendes</t>
        </is>
      </c>
      <c r="D621" s="38" t="inlineStr">
        <is>
          <t>Sala 1</t>
        </is>
      </c>
      <c r="E621" s="37" t="inlineStr">
        <is>
          <t>Rafael Batista</t>
        </is>
      </c>
      <c r="F621" s="38" t="inlineStr">
        <is>
          <t>Saúde Total</t>
        </is>
      </c>
      <c r="G621" s="38" t="inlineStr">
        <is>
          <t>Consulta</t>
        </is>
      </c>
      <c r="H621" s="38" t="inlineStr">
        <is>
          <t>Realizado</t>
        </is>
      </c>
      <c r="I621" s="38" t="inlineStr">
        <is>
          <t>Convênio</t>
        </is>
      </c>
      <c r="J621" s="38" t="n"/>
      <c r="K621" s="37" t="n"/>
      <c r="L621" s="39" t="n">
        <v>30</v>
      </c>
      <c r="M621" s="40" t="n">
        <v>120</v>
      </c>
      <c r="N621" s="30">
        <f>IF(A621="","",MONTH(A621))</f>
        <v>8</v>
      </c>
      <c r="O621" s="30">
        <f>IF(A621="","",YEAR(A621))</f>
        <v>2026</v>
      </c>
      <c r="P621" s="30" t="str">
        <f>IF(A621="","",CHOOSE(WEEKDAY(A621,2),"Segunda","Terça","Quarta","Quinta","Sexta","Sábado","Domingo"))</f>
        <v>Segunda</v>
      </c>
      <c r="Q621" s="30" t="str">
        <f>IF(B621="","",IF(B621&lt;TIME(12,0,0),"Manhã",IF(B621&lt;TIME(18,0,0),"Tarde","Noite")))</f>
        <v>Manhã</v>
      </c>
      <c r="R621" s="46">
        <f>IF(AND(H621="Realizado",L621&lt;&gt;"",A621&lt;=Config!$B$9),L621/60,0)</f>
        <v>0.5</v>
      </c>
      <c r="S621" s="45">
        <f>IF(G621="","",IFERROR(INDEX(Config!$K$5:$K$16,MATCH(G621,Config!$J$5:$J$16,0)),""))</f>
        <v>30</v>
      </c>
      <c r="T621" s="31">
        <f>IF(OR(G621="",F621=""),"",IFERROR(INDEX(Config!$M$5:$R$16,MATCH(G621,Config!$J$5:$J$16,0),MATCH(F621,Config!$H$5:$H$10,0)),""))</f>
        <v>120</v>
      </c>
      <c r="U621" s="47">
        <f>IF(AND(H621="Realizado",L621&lt;&gt;""),L621/60,0)</f>
        <v>0.5</v>
      </c>
      <c r="V621" s="47">
        <f>IF(AND(H621="Realizado",OR(L621="",M621="")),1,0)</f>
        <v>0</v>
      </c>
    </row>
    <row r="622">
      <c r="A622" s="43" t="n">
        <v>46237</v>
      </c>
      <c r="B622" s="44" t="n">
        <v>0.5833333333333334</v>
      </c>
      <c r="C622" s="38" t="inlineStr">
        <is>
          <t>Dr. Paulo Andrade</t>
        </is>
      </c>
      <c r="D622" s="38" t="inlineStr">
        <is>
          <t>Sala 2</t>
        </is>
      </c>
      <c r="E622" s="37" t="inlineStr">
        <is>
          <t>Elaine Xavier</t>
        </is>
      </c>
      <c r="F622" s="38" t="inlineStr">
        <is>
          <t>MediPlan</t>
        </is>
      </c>
      <c r="G622" s="38" t="inlineStr">
        <is>
          <t>Consulta</t>
        </is>
      </c>
      <c r="H622" s="38" t="inlineStr">
        <is>
          <t>Realizado</t>
        </is>
      </c>
      <c r="I622" s="38" t="inlineStr">
        <is>
          <t>Convênio</t>
        </is>
      </c>
      <c r="J622" s="38" t="n"/>
      <c r="K622" s="37" t="n"/>
      <c r="L622" s="39" t="n">
        <v>30</v>
      </c>
      <c r="M622" s="40" t="n">
        <v>100</v>
      </c>
      <c r="N622" s="30">
        <f>IF(A622="","",MONTH(A622))</f>
        <v>8</v>
      </c>
      <c r="O622" s="30">
        <f>IF(A622="","",YEAR(A622))</f>
        <v>2026</v>
      </c>
      <c r="P622" s="30" t="str">
        <f>IF(A622="","",CHOOSE(WEEKDAY(A622,2),"Segunda","Terça","Quarta","Quinta","Sexta","Sábado","Domingo"))</f>
        <v>Segunda</v>
      </c>
      <c r="Q622" s="30" t="str">
        <f>IF(B622="","",IF(B622&lt;TIME(12,0,0),"Manhã",IF(B622&lt;TIME(18,0,0),"Tarde","Noite")))</f>
        <v>Tarde</v>
      </c>
      <c r="R622" s="46">
        <f>IF(AND(H622="Realizado",L622&lt;&gt;"",A622&lt;=Config!$B$9),L622/60,0)</f>
        <v>0.5</v>
      </c>
      <c r="S622" s="45">
        <f>IF(G622="","",IFERROR(INDEX(Config!$K$5:$K$16,MATCH(G622,Config!$J$5:$J$16,0)),""))</f>
        <v>30</v>
      </c>
      <c r="T622" s="31">
        <f>IF(OR(G622="",F622=""),"",IFERROR(INDEX(Config!$M$5:$R$16,MATCH(G622,Config!$J$5:$J$16,0),MATCH(F622,Config!$H$5:$H$10,0)),""))</f>
        <v>100</v>
      </c>
      <c r="U622" s="47">
        <f>IF(AND(H622="Realizado",L622&lt;&gt;""),L622/60,0)</f>
        <v>0.5</v>
      </c>
      <c r="V622" s="47">
        <f>IF(AND(H622="Realizado",OR(L622="",M622="")),1,0)</f>
        <v>0</v>
      </c>
    </row>
    <row r="623">
      <c r="A623" s="43" t="n">
        <v>46237</v>
      </c>
      <c r="B623" s="44" t="n">
        <v>0.6041666666666666</v>
      </c>
      <c r="C623" s="38" t="inlineStr">
        <is>
          <t>Dr. Paulo Andrade</t>
        </is>
      </c>
      <c r="D623" s="38" t="inlineStr">
        <is>
          <t>Sala 2</t>
        </is>
      </c>
      <c r="E623" s="37" t="inlineStr">
        <is>
          <t>Lucas Xavier</t>
        </is>
      </c>
      <c r="F623" s="38" t="inlineStr">
        <is>
          <t>Saúde Total</t>
        </is>
      </c>
      <c r="G623" s="38" t="inlineStr">
        <is>
          <t>Holter</t>
        </is>
      </c>
      <c r="H623" s="38" t="inlineStr">
        <is>
          <t>Realizado</t>
        </is>
      </c>
      <c r="I623" s="38" t="inlineStr">
        <is>
          <t>Convênio</t>
        </is>
      </c>
      <c r="J623" s="38" t="n"/>
      <c r="K623" s="37" t="n"/>
      <c r="L623" s="39" t="n">
        <v>20</v>
      </c>
      <c r="M623" s="40" t="n">
        <v>105</v>
      </c>
      <c r="N623" s="30">
        <f>IF(A623="","",MONTH(A623))</f>
        <v>8</v>
      </c>
      <c r="O623" s="30">
        <f>IF(A623="","",YEAR(A623))</f>
        <v>2026</v>
      </c>
      <c r="P623" s="30" t="str">
        <f>IF(A623="","",CHOOSE(WEEKDAY(A623,2),"Segunda","Terça","Quarta","Quinta","Sexta","Sábado","Domingo"))</f>
        <v>Segunda</v>
      </c>
      <c r="Q623" s="30" t="str">
        <f>IF(B623="","",IF(B623&lt;TIME(12,0,0),"Manhã",IF(B623&lt;TIME(18,0,0),"Tarde","Noite")))</f>
        <v>Tarde</v>
      </c>
      <c r="R623" s="46">
        <f>IF(AND(H623="Realizado",L623&lt;&gt;"",A623&lt;=Config!$B$9),L623/60,0)</f>
        <v>0.333333333333333</v>
      </c>
      <c r="S623" s="45">
        <f>IF(G623="","",IFERROR(INDEX(Config!$K$5:$K$16,MATCH(G623,Config!$J$5:$J$16,0)),""))</f>
        <v>20</v>
      </c>
      <c r="T623" s="31">
        <f>IF(OR(G623="",F623=""),"",IFERROR(INDEX(Config!$M$5:$R$16,MATCH(G623,Config!$J$5:$J$16,0),MATCH(F623,Config!$H$5:$H$10,0)),""))</f>
        <v>105</v>
      </c>
      <c r="U623" s="47">
        <f>IF(AND(H623="Realizado",L623&lt;&gt;""),L623/60,0)</f>
        <v>0.333333333333333</v>
      </c>
      <c r="V623" s="47">
        <f>IF(AND(H623="Realizado",OR(L623="",M623="")),1,0)</f>
        <v>0</v>
      </c>
    </row>
    <row r="624">
      <c r="A624" s="43" t="n">
        <v>46237</v>
      </c>
      <c r="B624" s="44" t="n">
        <v>0.6388888888888888</v>
      </c>
      <c r="C624" s="38" t="inlineStr">
        <is>
          <t>Dr. Paulo Andrade</t>
        </is>
      </c>
      <c r="D624" s="38" t="inlineStr">
        <is>
          <t>Sala 2</t>
        </is>
      </c>
      <c r="E624" s="37" t="inlineStr">
        <is>
          <t>Paulo Nascimento</t>
        </is>
      </c>
      <c r="F624" s="38" t="inlineStr">
        <is>
          <t>MediPlan</t>
        </is>
      </c>
      <c r="G624" s="38" t="inlineStr">
        <is>
          <t>Consulta</t>
        </is>
      </c>
      <c r="H624" s="38" t="inlineStr">
        <is>
          <t>Realizado</t>
        </is>
      </c>
      <c r="I624" s="38" t="inlineStr">
        <is>
          <t>Convênio</t>
        </is>
      </c>
      <c r="J624" s="38" t="n"/>
      <c r="K624" s="37" t="n"/>
      <c r="L624" s="39" t="n">
        <v>30</v>
      </c>
      <c r="M624" s="40" t="n">
        <v>100</v>
      </c>
      <c r="N624" s="30">
        <f>IF(A624="","",MONTH(A624))</f>
        <v>8</v>
      </c>
      <c r="O624" s="30">
        <f>IF(A624="","",YEAR(A624))</f>
        <v>2026</v>
      </c>
      <c r="P624" s="30" t="str">
        <f>IF(A624="","",CHOOSE(WEEKDAY(A624,2),"Segunda","Terça","Quarta","Quinta","Sexta","Sábado","Domingo"))</f>
        <v>Segunda</v>
      </c>
      <c r="Q624" s="30" t="str">
        <f>IF(B624="","",IF(B624&lt;TIME(12,0,0),"Manhã",IF(B624&lt;TIME(18,0,0),"Tarde","Noite")))</f>
        <v>Tarde</v>
      </c>
      <c r="R624" s="46">
        <f>IF(AND(H624="Realizado",L624&lt;&gt;"",A624&lt;=Config!$B$9),L624/60,0)</f>
        <v>0.5</v>
      </c>
      <c r="S624" s="45">
        <f>IF(G624="","",IFERROR(INDEX(Config!$K$5:$K$16,MATCH(G624,Config!$J$5:$J$16,0)),""))</f>
        <v>30</v>
      </c>
      <c r="T624" s="31">
        <f>IF(OR(G624="",F624=""),"",IFERROR(INDEX(Config!$M$5:$R$16,MATCH(G624,Config!$J$5:$J$16,0),MATCH(F624,Config!$H$5:$H$10,0)),""))</f>
        <v>100</v>
      </c>
      <c r="U624" s="47">
        <f>IF(AND(H624="Realizado",L624&lt;&gt;""),L624/60,0)</f>
        <v>0.5</v>
      </c>
      <c r="V624" s="47">
        <f>IF(AND(H624="Realizado",OR(L624="",M624="")),1,0)</f>
        <v>0</v>
      </c>
    </row>
    <row r="625">
      <c r="A625" s="43" t="n">
        <v>46237</v>
      </c>
      <c r="B625" s="44" t="n">
        <v>0.6597222222222222</v>
      </c>
      <c r="C625" s="38" t="inlineStr">
        <is>
          <t>Dr. Paulo Andrade</t>
        </is>
      </c>
      <c r="D625" s="38" t="inlineStr">
        <is>
          <t>Sala 2</t>
        </is>
      </c>
      <c r="E625" s="37" t="inlineStr">
        <is>
          <t>Renato Pereira</t>
        </is>
      </c>
      <c r="F625" s="38" t="inlineStr">
        <is>
          <t>MediPlan</t>
        </is>
      </c>
      <c r="G625" s="38" t="inlineStr">
        <is>
          <t>Retorno</t>
        </is>
      </c>
      <c r="H625" s="38" t="inlineStr">
        <is>
          <t>Realizado</t>
        </is>
      </c>
      <c r="I625" s="38" t="inlineStr">
        <is>
          <t>Sem cobrança</t>
        </is>
      </c>
      <c r="J625" s="38" t="n"/>
      <c r="K625" s="37" t="n"/>
      <c r="L625" s="39" t="n">
        <v>20</v>
      </c>
      <c r="M625" s="40" t="n">
        <v>0</v>
      </c>
      <c r="N625" s="30">
        <f>IF(A625="","",MONTH(A625))</f>
        <v>8</v>
      </c>
      <c r="O625" s="30">
        <f>IF(A625="","",YEAR(A625))</f>
        <v>2026</v>
      </c>
      <c r="P625" s="30" t="str">
        <f>IF(A625="","",CHOOSE(WEEKDAY(A625,2),"Segunda","Terça","Quarta","Quinta","Sexta","Sábado","Domingo"))</f>
        <v>Segunda</v>
      </c>
      <c r="Q625" s="30" t="str">
        <f>IF(B625="","",IF(B625&lt;TIME(12,0,0),"Manhã",IF(B625&lt;TIME(18,0,0),"Tarde","Noite")))</f>
        <v>Tarde</v>
      </c>
      <c r="R625" s="46">
        <f>IF(AND(H625="Realizado",L625&lt;&gt;"",A625&lt;=Config!$B$9),L625/60,0)</f>
        <v>0.333333333333333</v>
      </c>
      <c r="S625" s="45">
        <f>IF(G625="","",IFERROR(INDEX(Config!$K$5:$K$16,MATCH(G625,Config!$J$5:$J$16,0)),""))</f>
        <v>20</v>
      </c>
      <c r="T625" s="31">
        <f>IF(OR(G625="",F625=""),"",IFERROR(INDEX(Config!$M$5:$R$16,MATCH(G625,Config!$J$5:$J$16,0),MATCH(F625,Config!$H$5:$H$10,0)),""))</f>
        <v>0</v>
      </c>
      <c r="U625" s="47">
        <f>IF(AND(H625="Realizado",L625&lt;&gt;""),L625/60,0)</f>
        <v>0.333333333333333</v>
      </c>
      <c r="V625" s="47">
        <f>IF(AND(H625="Realizado",OR(L625="",M625="")),1,0)</f>
        <v>0</v>
      </c>
    </row>
    <row r="626">
      <c r="A626" s="43" t="n">
        <v>46237</v>
      </c>
      <c r="B626" s="44" t="n">
        <v>0.6944444444444444</v>
      </c>
      <c r="C626" s="38" t="inlineStr">
        <is>
          <t>Dr. Paulo Andrade</t>
        </is>
      </c>
      <c r="D626" s="38" t="inlineStr">
        <is>
          <t>Sala 2</t>
        </is>
      </c>
      <c r="E626" s="37" t="inlineStr">
        <is>
          <t>Wagner Santos</t>
        </is>
      </c>
      <c r="F626" s="38" t="inlineStr">
        <is>
          <t>Particular</t>
        </is>
      </c>
      <c r="G626" s="38" t="inlineStr">
        <is>
          <t>MAPA</t>
        </is>
      </c>
      <c r="H626" s="38" t="inlineStr">
        <is>
          <t>Realizado</t>
        </is>
      </c>
      <c r="I626" s="38" t="inlineStr">
        <is>
          <t>Cartão de débito</t>
        </is>
      </c>
      <c r="J626" s="38" t="n"/>
      <c r="K626" s="37" t="n"/>
      <c r="L626" s="39" t="n">
        <v>20</v>
      </c>
      <c r="M626" s="40" t="n">
        <v>300</v>
      </c>
      <c r="N626" s="30">
        <f>IF(A626="","",MONTH(A626))</f>
        <v>8</v>
      </c>
      <c r="O626" s="30">
        <f>IF(A626="","",YEAR(A626))</f>
        <v>2026</v>
      </c>
      <c r="P626" s="30" t="str">
        <f>IF(A626="","",CHOOSE(WEEKDAY(A626,2),"Segunda","Terça","Quarta","Quinta","Sexta","Sábado","Domingo"))</f>
        <v>Segunda</v>
      </c>
      <c r="Q626" s="30" t="str">
        <f>IF(B626="","",IF(B626&lt;TIME(12,0,0),"Manhã",IF(B626&lt;TIME(18,0,0),"Tarde","Noite")))</f>
        <v>Tarde</v>
      </c>
      <c r="R626" s="46">
        <f>IF(AND(H626="Realizado",L626&lt;&gt;"",A626&lt;=Config!$B$9),L626/60,0)</f>
        <v>0.333333333333333</v>
      </c>
      <c r="S626" s="45">
        <f>IF(G626="","",IFERROR(INDEX(Config!$K$5:$K$16,MATCH(G626,Config!$J$5:$J$16,0)),""))</f>
        <v>20</v>
      </c>
      <c r="T626" s="31">
        <f>IF(OR(G626="",F626=""),"",IFERROR(INDEX(Config!$M$5:$R$16,MATCH(G626,Config!$J$5:$J$16,0),MATCH(F626,Config!$H$5:$H$10,0)),""))</f>
        <v>300</v>
      </c>
      <c r="U626" s="47">
        <f>IF(AND(H626="Realizado",L626&lt;&gt;""),L626/60,0)</f>
        <v>0.333333333333333</v>
      </c>
      <c r="V626" s="47">
        <f>IF(AND(H626="Realizado",OR(L626="",M626="")),1,0)</f>
        <v>0</v>
      </c>
    </row>
    <row r="627">
      <c r="A627" s="43" t="n">
        <v>46237</v>
      </c>
      <c r="B627" s="44" t="n">
        <v>0.7291666666666666</v>
      </c>
      <c r="C627" s="38" t="inlineStr">
        <is>
          <t>Dr. Paulo Andrade</t>
        </is>
      </c>
      <c r="D627" s="38" t="inlineStr">
        <is>
          <t>Sala 2</t>
        </is>
      </c>
      <c r="E627" s="37" t="inlineStr">
        <is>
          <t>Fábio Correia</t>
        </is>
      </c>
      <c r="F627" s="38" t="inlineStr">
        <is>
          <t>Particular</t>
        </is>
      </c>
      <c r="G627" s="38" t="inlineStr">
        <is>
          <t>Retorno</t>
        </is>
      </c>
      <c r="H627" s="38" t="inlineStr">
        <is>
          <t>Realizado</t>
        </is>
      </c>
      <c r="I627" s="38" t="inlineStr">
        <is>
          <t>Sem cobrança</t>
        </is>
      </c>
      <c r="J627" s="38" t="n"/>
      <c r="K627" s="37" t="n"/>
      <c r="L627" s="39" t="n">
        <v>20</v>
      </c>
      <c r="M627" s="40" t="n">
        <v>0</v>
      </c>
      <c r="N627" s="30">
        <f>IF(A627="","",MONTH(A627))</f>
        <v>8</v>
      </c>
      <c r="O627" s="30">
        <f>IF(A627="","",YEAR(A627))</f>
        <v>2026</v>
      </c>
      <c r="P627" s="30" t="str">
        <f>IF(A627="","",CHOOSE(WEEKDAY(A627,2),"Segunda","Terça","Quarta","Quinta","Sexta","Sábado","Domingo"))</f>
        <v>Segunda</v>
      </c>
      <c r="Q627" s="30" t="str">
        <f>IF(B627="","",IF(B627&lt;TIME(12,0,0),"Manhã",IF(B627&lt;TIME(18,0,0),"Tarde","Noite")))</f>
        <v>Tarde</v>
      </c>
      <c r="R627" s="46">
        <f>IF(AND(H627="Realizado",L627&lt;&gt;"",A627&lt;=Config!$B$9),L627/60,0)</f>
        <v>0.333333333333333</v>
      </c>
      <c r="S627" s="45">
        <f>IF(G627="","",IFERROR(INDEX(Config!$K$5:$K$16,MATCH(G627,Config!$J$5:$J$16,0)),""))</f>
        <v>20</v>
      </c>
      <c r="T627" s="31">
        <f>IF(OR(G627="",F627=""),"",IFERROR(INDEX(Config!$M$5:$R$16,MATCH(G627,Config!$J$5:$J$16,0),MATCH(F627,Config!$H$5:$H$10,0)),""))</f>
        <v>0</v>
      </c>
      <c r="U627" s="47">
        <f>IF(AND(H627="Realizado",L627&lt;&gt;""),L627/60,0)</f>
        <v>0.333333333333333</v>
      </c>
      <c r="V627" s="47">
        <f>IF(AND(H627="Realizado",OR(L627="",M627="")),1,0)</f>
        <v>0</v>
      </c>
    </row>
    <row r="628">
      <c r="A628" s="43" t="n">
        <v>46238</v>
      </c>
      <c r="B628" s="44" t="n">
        <v>0.3333333333333333</v>
      </c>
      <c r="C628" s="38" t="inlineStr">
        <is>
          <t>Dra. Carolina Mendes</t>
        </is>
      </c>
      <c r="D628" s="38" t="inlineStr">
        <is>
          <t>Sala 1</t>
        </is>
      </c>
      <c r="E628" s="37" t="inlineStr">
        <is>
          <t>Fernanda Freitas</t>
        </is>
      </c>
      <c r="F628" s="38" t="inlineStr">
        <is>
          <t>Particular</t>
        </is>
      </c>
      <c r="G628" s="38" t="inlineStr">
        <is>
          <t>Consulta</t>
        </is>
      </c>
      <c r="H628" s="38" t="inlineStr">
        <is>
          <t>Cancelado</t>
        </is>
      </c>
      <c r="I628" s="38" t="n"/>
      <c r="J628" s="38" t="n"/>
      <c r="K628" s="37" t="n"/>
      <c r="L628" s="39" t="n">
        <v>30</v>
      </c>
      <c r="M628" s="40" t="n">
        <v>380</v>
      </c>
      <c r="N628" s="30">
        <f>IF(A628="","",MONTH(A628))</f>
        <v>8</v>
      </c>
      <c r="O628" s="30">
        <f>IF(A628="","",YEAR(A628))</f>
        <v>2026</v>
      </c>
      <c r="P628" s="30" t="str">
        <f>IF(A628="","",CHOOSE(WEEKDAY(A628,2),"Segunda","Terça","Quarta","Quinta","Sexta","Sábado","Domingo"))</f>
        <v>Terça</v>
      </c>
      <c r="Q628" s="30" t="str">
        <f>IF(B628="","",IF(B628&lt;TIME(12,0,0),"Manhã",IF(B628&lt;TIME(18,0,0),"Tarde","Noite")))</f>
        <v>Manhã</v>
      </c>
      <c r="R628" s="46">
        <f>IF(AND(H628="Realizado",L628&lt;&gt;"",A628&lt;=Config!$B$9),L628/60,0)</f>
        <v>0</v>
      </c>
      <c r="S628" s="45">
        <f>IF(G628="","",IFERROR(INDEX(Config!$K$5:$K$16,MATCH(G628,Config!$J$5:$J$16,0)),""))</f>
        <v>30</v>
      </c>
      <c r="T628" s="31">
        <f>IF(OR(G628="",F628=""),"",IFERROR(INDEX(Config!$M$5:$R$16,MATCH(G628,Config!$J$5:$J$16,0),MATCH(F628,Config!$H$5:$H$10,0)),""))</f>
        <v>380</v>
      </c>
      <c r="U628" s="47">
        <f>IF(AND(H628="Realizado",L628&lt;&gt;""),L628/60,0)</f>
        <v>0</v>
      </c>
      <c r="V628" s="47">
        <f>IF(AND(H628="Realizado",OR(L628="",M628="")),1,0)</f>
        <v>0</v>
      </c>
    </row>
    <row r="629">
      <c r="A629" s="43" t="n">
        <v>46238</v>
      </c>
      <c r="B629" s="44" t="n">
        <v>0.3541666666666667</v>
      </c>
      <c r="C629" s="38" t="inlineStr">
        <is>
          <t>Dra. Carolina Mendes</t>
        </is>
      </c>
      <c r="D629" s="38" t="inlineStr">
        <is>
          <t>Sala 1</t>
        </is>
      </c>
      <c r="E629" s="37" t="inlineStr">
        <is>
          <t>Helena Moreira</t>
        </is>
      </c>
      <c r="F629" s="38" t="inlineStr">
        <is>
          <t>Particular</t>
        </is>
      </c>
      <c r="G629" s="38" t="inlineStr">
        <is>
          <t>Consulta</t>
        </is>
      </c>
      <c r="H629" s="38" t="inlineStr">
        <is>
          <t>Realizado</t>
        </is>
      </c>
      <c r="I629" s="38" t="inlineStr">
        <is>
          <t>Cartão de crédito</t>
        </is>
      </c>
      <c r="J629" s="38" t="n"/>
      <c r="K629" s="37" t="n"/>
      <c r="L629" s="39" t="n">
        <v>30</v>
      </c>
      <c r="M629" s="40" t="n">
        <v>380</v>
      </c>
      <c r="N629" s="30">
        <f>IF(A629="","",MONTH(A629))</f>
        <v>8</v>
      </c>
      <c r="O629" s="30">
        <f>IF(A629="","",YEAR(A629))</f>
        <v>2026</v>
      </c>
      <c r="P629" s="30" t="str">
        <f>IF(A629="","",CHOOSE(WEEKDAY(A629,2),"Segunda","Terça","Quarta","Quinta","Sexta","Sábado","Domingo"))</f>
        <v>Terça</v>
      </c>
      <c r="Q629" s="30" t="str">
        <f>IF(B629="","",IF(B629&lt;TIME(12,0,0),"Manhã",IF(B629&lt;TIME(18,0,0),"Tarde","Noite")))</f>
        <v>Manhã</v>
      </c>
      <c r="R629" s="46">
        <f>IF(AND(H629="Realizado",L629&lt;&gt;"",A629&lt;=Config!$B$9),L629/60,0)</f>
        <v>0.5</v>
      </c>
      <c r="S629" s="45">
        <f>IF(G629="","",IFERROR(INDEX(Config!$K$5:$K$16,MATCH(G629,Config!$J$5:$J$16,0)),""))</f>
        <v>30</v>
      </c>
      <c r="T629" s="31">
        <f>IF(OR(G629="",F629=""),"",IFERROR(INDEX(Config!$M$5:$R$16,MATCH(G629,Config!$J$5:$J$16,0),MATCH(F629,Config!$H$5:$H$10,0)),""))</f>
        <v>380</v>
      </c>
      <c r="U629" s="47">
        <f>IF(AND(H629="Realizado",L629&lt;&gt;""),L629/60,0)</f>
        <v>0.5</v>
      </c>
      <c r="V629" s="47">
        <f>IF(AND(H629="Realizado",OR(L629="",M629="")),1,0)</f>
        <v>0</v>
      </c>
    </row>
    <row r="630">
      <c r="A630" s="43" t="n">
        <v>46238</v>
      </c>
      <c r="B630" s="44" t="n">
        <v>0.375</v>
      </c>
      <c r="C630" s="38" t="inlineStr">
        <is>
          <t>Dra. Carolina Mendes</t>
        </is>
      </c>
      <c r="D630" s="38" t="inlineStr">
        <is>
          <t>Sala 1</t>
        </is>
      </c>
      <c r="E630" s="37" t="inlineStr">
        <is>
          <t>Fernanda Freitas</t>
        </is>
      </c>
      <c r="F630" s="38" t="inlineStr">
        <is>
          <t>Particular</t>
        </is>
      </c>
      <c r="G630" s="38" t="inlineStr">
        <is>
          <t>Consulta</t>
        </is>
      </c>
      <c r="H630" s="38" t="inlineStr">
        <is>
          <t>Realizado</t>
        </is>
      </c>
      <c r="I630" s="38" t="inlineStr">
        <is>
          <t>Cartão de débito</t>
        </is>
      </c>
      <c r="J630" s="38" t="n"/>
      <c r="K630" s="37" t="n"/>
      <c r="L630" s="39" t="n">
        <v>30</v>
      </c>
      <c r="M630" s="40" t="n">
        <v>380</v>
      </c>
      <c r="N630" s="30">
        <f>IF(A630="","",MONTH(A630))</f>
        <v>8</v>
      </c>
      <c r="O630" s="30">
        <f>IF(A630="","",YEAR(A630))</f>
        <v>2026</v>
      </c>
      <c r="P630" s="30" t="str">
        <f>IF(A630="","",CHOOSE(WEEKDAY(A630,2),"Segunda","Terça","Quarta","Quinta","Sexta","Sábado","Domingo"))</f>
        <v>Terça</v>
      </c>
      <c r="Q630" s="30" t="str">
        <f>IF(B630="","",IF(B630&lt;TIME(12,0,0),"Manhã",IF(B630&lt;TIME(18,0,0),"Tarde","Noite")))</f>
        <v>Manhã</v>
      </c>
      <c r="R630" s="46">
        <f>IF(AND(H630="Realizado",L630&lt;&gt;"",A630&lt;=Config!$B$9),L630/60,0)</f>
        <v>0.5</v>
      </c>
      <c r="S630" s="45">
        <f>IF(G630="","",IFERROR(INDEX(Config!$K$5:$K$16,MATCH(G630,Config!$J$5:$J$16,0)),""))</f>
        <v>30</v>
      </c>
      <c r="T630" s="31">
        <f>IF(OR(G630="",F630=""),"",IFERROR(INDEX(Config!$M$5:$R$16,MATCH(G630,Config!$J$5:$J$16,0),MATCH(F630,Config!$H$5:$H$10,0)),""))</f>
        <v>380</v>
      </c>
      <c r="U630" s="47">
        <f>IF(AND(H630="Realizado",L630&lt;&gt;""),L630/60,0)</f>
        <v>0.5</v>
      </c>
      <c r="V630" s="47">
        <f>IF(AND(H630="Realizado",OR(L630="",M630="")),1,0)</f>
        <v>0</v>
      </c>
    </row>
    <row r="631">
      <c r="A631" s="43" t="n">
        <v>46238</v>
      </c>
      <c r="B631" s="44" t="n">
        <v>0.3958333333333333</v>
      </c>
      <c r="C631" s="38" t="inlineStr">
        <is>
          <t>Dra. Carolina Mendes</t>
        </is>
      </c>
      <c r="D631" s="38" t="inlineStr">
        <is>
          <t>Sala 1</t>
        </is>
      </c>
      <c r="E631" s="37" t="inlineStr">
        <is>
          <t>Ana Costa</t>
        </is>
      </c>
      <c r="F631" s="38" t="inlineStr">
        <is>
          <t>Particular</t>
        </is>
      </c>
      <c r="G631" s="38" t="inlineStr">
        <is>
          <t>Consulta</t>
        </is>
      </c>
      <c r="H631" s="38" t="inlineStr">
        <is>
          <t>Realizado</t>
        </is>
      </c>
      <c r="I631" s="38" t="inlineStr">
        <is>
          <t>Pix</t>
        </is>
      </c>
      <c r="J631" s="38" t="n"/>
      <c r="K631" s="37" t="n"/>
      <c r="L631" s="39" t="n">
        <v>30</v>
      </c>
      <c r="M631" s="40" t="n">
        <v>380</v>
      </c>
      <c r="N631" s="30">
        <f>IF(A631="","",MONTH(A631))</f>
        <v>8</v>
      </c>
      <c r="O631" s="30">
        <f>IF(A631="","",YEAR(A631))</f>
        <v>2026</v>
      </c>
      <c r="P631" s="30" t="str">
        <f>IF(A631="","",CHOOSE(WEEKDAY(A631,2),"Segunda","Terça","Quarta","Quinta","Sexta","Sábado","Domingo"))</f>
        <v>Terça</v>
      </c>
      <c r="Q631" s="30" t="str">
        <f>IF(B631="","",IF(B631&lt;TIME(12,0,0),"Manhã",IF(B631&lt;TIME(18,0,0),"Tarde","Noite")))</f>
        <v>Manhã</v>
      </c>
      <c r="R631" s="46">
        <f>IF(AND(H631="Realizado",L631&lt;&gt;"",A631&lt;=Config!$B$9),L631/60,0)</f>
        <v>0.5</v>
      </c>
      <c r="S631" s="45">
        <f>IF(G631="","",IFERROR(INDEX(Config!$K$5:$K$16,MATCH(G631,Config!$J$5:$J$16,0)),""))</f>
        <v>30</v>
      </c>
      <c r="T631" s="31">
        <f>IF(OR(G631="",F631=""),"",IFERROR(INDEX(Config!$M$5:$R$16,MATCH(G631,Config!$J$5:$J$16,0),MATCH(F631,Config!$H$5:$H$10,0)),""))</f>
        <v>380</v>
      </c>
      <c r="U631" s="47">
        <f>IF(AND(H631="Realizado",L631&lt;&gt;""),L631/60,0)</f>
        <v>0.5</v>
      </c>
      <c r="V631" s="47">
        <f>IF(AND(H631="Realizado",OR(L631="",M631="")),1,0)</f>
        <v>0</v>
      </c>
    </row>
    <row r="632">
      <c r="A632" s="43" t="n">
        <v>46238</v>
      </c>
      <c r="B632" s="44" t="n">
        <v>0.4166666666666667</v>
      </c>
      <c r="C632" s="38" t="inlineStr">
        <is>
          <t>Dra. Carolina Mendes</t>
        </is>
      </c>
      <c r="D632" s="38" t="inlineStr">
        <is>
          <t>Sala 1</t>
        </is>
      </c>
      <c r="E632" s="37" t="inlineStr">
        <is>
          <t>Eduardo Lima</t>
        </is>
      </c>
      <c r="F632" s="38" t="inlineStr">
        <is>
          <t>Particular</t>
        </is>
      </c>
      <c r="G632" s="38" t="inlineStr">
        <is>
          <t>Consulta</t>
        </is>
      </c>
      <c r="H632" s="38" t="inlineStr">
        <is>
          <t>Realizado</t>
        </is>
      </c>
      <c r="I632" s="38" t="inlineStr">
        <is>
          <t>Pix</t>
        </is>
      </c>
      <c r="J632" s="38" t="n"/>
      <c r="K632" s="37" t="n"/>
      <c r="L632" s="39" t="n">
        <v>30</v>
      </c>
      <c r="M632" s="40" t="n">
        <v>380</v>
      </c>
      <c r="N632" s="30">
        <f>IF(A632="","",MONTH(A632))</f>
        <v>8</v>
      </c>
      <c r="O632" s="30">
        <f>IF(A632="","",YEAR(A632))</f>
        <v>2026</v>
      </c>
      <c r="P632" s="30" t="str">
        <f>IF(A632="","",CHOOSE(WEEKDAY(A632,2),"Segunda","Terça","Quarta","Quinta","Sexta","Sábado","Domingo"))</f>
        <v>Terça</v>
      </c>
      <c r="Q632" s="30" t="str">
        <f>IF(B632="","",IF(B632&lt;TIME(12,0,0),"Manhã",IF(B632&lt;TIME(18,0,0),"Tarde","Noite")))</f>
        <v>Manhã</v>
      </c>
      <c r="R632" s="46">
        <f>IF(AND(H632="Realizado",L632&lt;&gt;"",A632&lt;=Config!$B$9),L632/60,0)</f>
        <v>0.5</v>
      </c>
      <c r="S632" s="45">
        <f>IF(G632="","",IFERROR(INDEX(Config!$K$5:$K$16,MATCH(G632,Config!$J$5:$J$16,0)),""))</f>
        <v>30</v>
      </c>
      <c r="T632" s="31">
        <f>IF(OR(G632="",F632=""),"",IFERROR(INDEX(Config!$M$5:$R$16,MATCH(G632,Config!$J$5:$J$16,0),MATCH(F632,Config!$H$5:$H$10,0)),""))</f>
        <v>380</v>
      </c>
      <c r="U632" s="47">
        <f>IF(AND(H632="Realizado",L632&lt;&gt;""),L632/60,0)</f>
        <v>0.5</v>
      </c>
      <c r="V632" s="47">
        <f>IF(AND(H632="Realizado",OR(L632="",M632="")),1,0)</f>
        <v>0</v>
      </c>
    </row>
    <row r="633">
      <c r="A633" s="43" t="n">
        <v>46238</v>
      </c>
      <c r="B633" s="44" t="n">
        <v>0.4375</v>
      </c>
      <c r="C633" s="38" t="inlineStr">
        <is>
          <t>Dra. Carolina Mendes</t>
        </is>
      </c>
      <c r="D633" s="38" t="inlineStr">
        <is>
          <t>Sala 1</t>
        </is>
      </c>
      <c r="E633" s="37" t="inlineStr">
        <is>
          <t>Daniel Melo</t>
        </is>
      </c>
      <c r="F633" s="38" t="inlineStr">
        <is>
          <t>Saúde Total</t>
        </is>
      </c>
      <c r="G633" s="38" t="inlineStr">
        <is>
          <t>Consulta</t>
        </is>
      </c>
      <c r="H633" s="38" t="inlineStr">
        <is>
          <t>Realizado</t>
        </is>
      </c>
      <c r="I633" s="38" t="inlineStr">
        <is>
          <t>Convênio</t>
        </is>
      </c>
      <c r="J633" s="38" t="n"/>
      <c r="K633" s="37" t="n"/>
      <c r="L633" s="39" t="n">
        <v>30</v>
      </c>
      <c r="M633" s="40" t="n">
        <v>120</v>
      </c>
      <c r="N633" s="30">
        <f>IF(A633="","",MONTH(A633))</f>
        <v>8</v>
      </c>
      <c r="O633" s="30">
        <f>IF(A633="","",YEAR(A633))</f>
        <v>2026</v>
      </c>
      <c r="P633" s="30" t="str">
        <f>IF(A633="","",CHOOSE(WEEKDAY(A633,2),"Segunda","Terça","Quarta","Quinta","Sexta","Sábado","Domingo"))</f>
        <v>Terça</v>
      </c>
      <c r="Q633" s="30" t="str">
        <f>IF(B633="","",IF(B633&lt;TIME(12,0,0),"Manhã",IF(B633&lt;TIME(18,0,0),"Tarde","Noite")))</f>
        <v>Manhã</v>
      </c>
      <c r="R633" s="46">
        <f>IF(AND(H633="Realizado",L633&lt;&gt;"",A633&lt;=Config!$B$9),L633/60,0)</f>
        <v>0.5</v>
      </c>
      <c r="S633" s="45">
        <f>IF(G633="","",IFERROR(INDEX(Config!$K$5:$K$16,MATCH(G633,Config!$J$5:$J$16,0)),""))</f>
        <v>30</v>
      </c>
      <c r="T633" s="31">
        <f>IF(OR(G633="",F633=""),"",IFERROR(INDEX(Config!$M$5:$R$16,MATCH(G633,Config!$J$5:$J$16,0),MATCH(F633,Config!$H$5:$H$10,0)),""))</f>
        <v>120</v>
      </c>
      <c r="U633" s="47">
        <f>IF(AND(H633="Realizado",L633&lt;&gt;""),L633/60,0)</f>
        <v>0.5</v>
      </c>
      <c r="V633" s="47">
        <f>IF(AND(H633="Realizado",OR(L633="",M633="")),1,0)</f>
        <v>0</v>
      </c>
    </row>
    <row r="634">
      <c r="A634" s="43" t="n">
        <v>46238</v>
      </c>
      <c r="B634" s="44" t="n">
        <v>0.4583333333333333</v>
      </c>
      <c r="C634" s="38" t="inlineStr">
        <is>
          <t>Dra. Carolina Mendes</t>
        </is>
      </c>
      <c r="D634" s="38" t="inlineStr">
        <is>
          <t>Sala 1</t>
        </is>
      </c>
      <c r="E634" s="37" t="inlineStr">
        <is>
          <t>Mariana Nascimento</t>
        </is>
      </c>
      <c r="F634" s="38" t="inlineStr">
        <is>
          <t>Particular</t>
        </is>
      </c>
      <c r="G634" s="38" t="inlineStr">
        <is>
          <t>Consulta</t>
        </is>
      </c>
      <c r="H634" s="38" t="inlineStr">
        <is>
          <t>Falta</t>
        </is>
      </c>
      <c r="I634" s="38" t="n"/>
      <c r="J634" s="38" t="n"/>
      <c r="K634" s="37" t="n"/>
      <c r="L634" s="39" t="n">
        <v>30</v>
      </c>
      <c r="M634" s="40" t="n">
        <v>380</v>
      </c>
      <c r="N634" s="30">
        <f>IF(A634="","",MONTH(A634))</f>
        <v>8</v>
      </c>
      <c r="O634" s="30">
        <f>IF(A634="","",YEAR(A634))</f>
        <v>2026</v>
      </c>
      <c r="P634" s="30" t="str">
        <f>IF(A634="","",CHOOSE(WEEKDAY(A634,2),"Segunda","Terça","Quarta","Quinta","Sexta","Sábado","Domingo"))</f>
        <v>Terça</v>
      </c>
      <c r="Q634" s="30" t="str">
        <f>IF(B634="","",IF(B634&lt;TIME(12,0,0),"Manhã",IF(B634&lt;TIME(18,0,0),"Tarde","Noite")))</f>
        <v>Manhã</v>
      </c>
      <c r="R634" s="46">
        <f>IF(AND(H634="Realizado",L634&lt;&gt;"",A634&lt;=Config!$B$9),L634/60,0)</f>
        <v>0</v>
      </c>
      <c r="S634" s="45">
        <f>IF(G634="","",IFERROR(INDEX(Config!$K$5:$K$16,MATCH(G634,Config!$J$5:$J$16,0)),""))</f>
        <v>30</v>
      </c>
      <c r="T634" s="31">
        <f>IF(OR(G634="",F634=""),"",IFERROR(INDEX(Config!$M$5:$R$16,MATCH(G634,Config!$J$5:$J$16,0),MATCH(F634,Config!$H$5:$H$10,0)),""))</f>
        <v>380</v>
      </c>
      <c r="U634" s="47">
        <f>IF(AND(H634="Realizado",L634&lt;&gt;""),L634/60,0)</f>
        <v>0</v>
      </c>
      <c r="V634" s="47">
        <f>IF(AND(H634="Realizado",OR(L634="",M634="")),1,0)</f>
        <v>0</v>
      </c>
    </row>
    <row r="635">
      <c r="A635" s="43" t="n">
        <v>46238</v>
      </c>
      <c r="B635" s="44" t="n">
        <v>0.4791666666666667</v>
      </c>
      <c r="C635" s="38" t="inlineStr">
        <is>
          <t>Dra. Carolina Mendes</t>
        </is>
      </c>
      <c r="D635" s="38" t="inlineStr">
        <is>
          <t>Sala 1</t>
        </is>
      </c>
      <c r="E635" s="37" t="inlineStr">
        <is>
          <t>Wagner Lima</t>
        </is>
      </c>
      <c r="F635" s="38" t="inlineStr">
        <is>
          <t>Particular</t>
        </is>
      </c>
      <c r="G635" s="38" t="inlineStr">
        <is>
          <t>Consulta</t>
        </is>
      </c>
      <c r="H635" s="38" t="inlineStr">
        <is>
          <t>Realizado</t>
        </is>
      </c>
      <c r="I635" s="38" t="inlineStr">
        <is>
          <t>Cartão de débito</t>
        </is>
      </c>
      <c r="J635" s="38" t="n"/>
      <c r="K635" s="37" t="n"/>
      <c r="L635" s="39" t="n">
        <v>30</v>
      </c>
      <c r="M635" s="40" t="n">
        <v>380</v>
      </c>
      <c r="N635" s="30">
        <f>IF(A635="","",MONTH(A635))</f>
        <v>8</v>
      </c>
      <c r="O635" s="30">
        <f>IF(A635="","",YEAR(A635))</f>
        <v>2026</v>
      </c>
      <c r="P635" s="30" t="str">
        <f>IF(A635="","",CHOOSE(WEEKDAY(A635,2),"Segunda","Terça","Quarta","Quinta","Sexta","Sábado","Domingo"))</f>
        <v>Terça</v>
      </c>
      <c r="Q635" s="30" t="str">
        <f>IF(B635="","",IF(B635&lt;TIME(12,0,0),"Manhã",IF(B635&lt;TIME(18,0,0),"Tarde","Noite")))</f>
        <v>Manhã</v>
      </c>
      <c r="R635" s="46">
        <f>IF(AND(H635="Realizado",L635&lt;&gt;"",A635&lt;=Config!$B$9),L635/60,0)</f>
        <v>0.5</v>
      </c>
      <c r="S635" s="45">
        <f>IF(G635="","",IFERROR(INDEX(Config!$K$5:$K$16,MATCH(G635,Config!$J$5:$J$16,0)),""))</f>
        <v>30</v>
      </c>
      <c r="T635" s="31">
        <f>IF(OR(G635="",F635=""),"",IFERROR(INDEX(Config!$M$5:$R$16,MATCH(G635,Config!$J$5:$J$16,0),MATCH(F635,Config!$H$5:$H$10,0)),""))</f>
        <v>380</v>
      </c>
      <c r="U635" s="47">
        <f>IF(AND(H635="Realizado",L635&lt;&gt;""),L635/60,0)</f>
        <v>0.5</v>
      </c>
      <c r="V635" s="47">
        <f>IF(AND(H635="Realizado",OR(L635="",M635="")),1,0)</f>
        <v>0</v>
      </c>
    </row>
    <row r="636">
      <c r="A636" s="43" t="n">
        <v>46238</v>
      </c>
      <c r="B636" s="44" t="n">
        <v>0.5833333333333334</v>
      </c>
      <c r="C636" s="38" t="inlineStr">
        <is>
          <t>Dra. Renata Sousa</t>
        </is>
      </c>
      <c r="D636" s="38" t="inlineStr">
        <is>
          <t>Sala 1</t>
        </is>
      </c>
      <c r="E636" s="37" t="inlineStr">
        <is>
          <t>Gabriel Lopes</t>
        </is>
      </c>
      <c r="F636" s="38" t="inlineStr">
        <is>
          <t>Saúde Total</t>
        </is>
      </c>
      <c r="G636" s="38" t="inlineStr">
        <is>
          <t>Avaliação endócrina</t>
        </is>
      </c>
      <c r="H636" s="38" t="inlineStr">
        <is>
          <t>Realizado</t>
        </is>
      </c>
      <c r="I636" s="38" t="inlineStr">
        <is>
          <t>Convênio</t>
        </is>
      </c>
      <c r="J636" s="38" t="n"/>
      <c r="K636" s="37" t="n"/>
      <c r="L636" s="39" t="n">
        <v>40</v>
      </c>
      <c r="M636" s="40" t="n">
        <v>130</v>
      </c>
      <c r="N636" s="30">
        <f>IF(A636="","",MONTH(A636))</f>
        <v>8</v>
      </c>
      <c r="O636" s="30">
        <f>IF(A636="","",YEAR(A636))</f>
        <v>2026</v>
      </c>
      <c r="P636" s="30" t="str">
        <f>IF(A636="","",CHOOSE(WEEKDAY(A636,2),"Segunda","Terça","Quarta","Quinta","Sexta","Sábado","Domingo"))</f>
        <v>Terça</v>
      </c>
      <c r="Q636" s="30" t="str">
        <f>IF(B636="","",IF(B636&lt;TIME(12,0,0),"Manhã",IF(B636&lt;TIME(18,0,0),"Tarde","Noite")))</f>
        <v>Tarde</v>
      </c>
      <c r="R636" s="46">
        <f>IF(AND(H636="Realizado",L636&lt;&gt;"",A636&lt;=Config!$B$9),L636/60,0)</f>
        <v>0.666666666666667</v>
      </c>
      <c r="S636" s="45">
        <f>IF(G636="","",IFERROR(INDEX(Config!$K$5:$K$16,MATCH(G636,Config!$J$5:$J$16,0)),""))</f>
        <v>40</v>
      </c>
      <c r="T636" s="31">
        <f>IF(OR(G636="",F636=""),"",IFERROR(INDEX(Config!$M$5:$R$16,MATCH(G636,Config!$J$5:$J$16,0),MATCH(F636,Config!$H$5:$H$10,0)),""))</f>
        <v>130</v>
      </c>
      <c r="U636" s="47">
        <f>IF(AND(H636="Realizado",L636&lt;&gt;""),L636/60,0)</f>
        <v>0.666666666666667</v>
      </c>
      <c r="V636" s="47">
        <f>IF(AND(H636="Realizado",OR(L636="",M636="")),1,0)</f>
        <v>0</v>
      </c>
    </row>
    <row r="637">
      <c r="A637" s="43" t="n">
        <v>46238</v>
      </c>
      <c r="B637" s="44" t="n">
        <v>0.5833333333333334</v>
      </c>
      <c r="C637" s="38" t="inlineStr">
        <is>
          <t>Dr. Paulo Andrade</t>
        </is>
      </c>
      <c r="D637" s="38" t="inlineStr">
        <is>
          <t>Sala 2</t>
        </is>
      </c>
      <c r="E637" s="37" t="inlineStr">
        <is>
          <t>Paulo Ribeiro</t>
        </is>
      </c>
      <c r="F637" s="38" t="inlineStr">
        <is>
          <t>Saúde Total</t>
        </is>
      </c>
      <c r="G637" s="38" t="inlineStr">
        <is>
          <t>Retorno</t>
        </is>
      </c>
      <c r="H637" s="38" t="inlineStr">
        <is>
          <t>Realizado</t>
        </is>
      </c>
      <c r="I637" s="38" t="inlineStr">
        <is>
          <t>Sem cobrança</t>
        </is>
      </c>
      <c r="J637" s="38" t="n"/>
      <c r="K637" s="37" t="n"/>
      <c r="L637" s="39" t="n">
        <v>20</v>
      </c>
      <c r="M637" s="40" t="n">
        <v>0</v>
      </c>
      <c r="N637" s="30">
        <f>IF(A637="","",MONTH(A637))</f>
        <v>8</v>
      </c>
      <c r="O637" s="30">
        <f>IF(A637="","",YEAR(A637))</f>
        <v>2026</v>
      </c>
      <c r="P637" s="30" t="str">
        <f>IF(A637="","",CHOOSE(WEEKDAY(A637,2),"Segunda","Terça","Quarta","Quinta","Sexta","Sábado","Domingo"))</f>
        <v>Terça</v>
      </c>
      <c r="Q637" s="30" t="str">
        <f>IF(B637="","",IF(B637&lt;TIME(12,0,0),"Manhã",IF(B637&lt;TIME(18,0,0),"Tarde","Noite")))</f>
        <v>Tarde</v>
      </c>
      <c r="R637" s="46">
        <f>IF(AND(H637="Realizado",L637&lt;&gt;"",A637&lt;=Config!$B$9),L637/60,0)</f>
        <v>0.333333333333333</v>
      </c>
      <c r="S637" s="45">
        <f>IF(G637="","",IFERROR(INDEX(Config!$K$5:$K$16,MATCH(G637,Config!$J$5:$J$16,0)),""))</f>
        <v>20</v>
      </c>
      <c r="T637" s="31">
        <f>IF(OR(G637="",F637=""),"",IFERROR(INDEX(Config!$M$5:$R$16,MATCH(G637,Config!$J$5:$J$16,0),MATCH(F637,Config!$H$5:$H$10,0)),""))</f>
        <v>0</v>
      </c>
      <c r="U637" s="47">
        <f>IF(AND(H637="Realizado",L637&lt;&gt;""),L637/60,0)</f>
        <v>0.333333333333333</v>
      </c>
      <c r="V637" s="47">
        <f>IF(AND(H637="Realizado",OR(L637="",M637="")),1,0)</f>
        <v>0</v>
      </c>
    </row>
    <row r="638">
      <c r="A638" s="43" t="n">
        <v>46238</v>
      </c>
      <c r="B638" s="44" t="n">
        <v>0.5972222222222222</v>
      </c>
      <c r="C638" s="38" t="inlineStr">
        <is>
          <t>Dr. Paulo Andrade</t>
        </is>
      </c>
      <c r="D638" s="38" t="inlineStr">
        <is>
          <t>Sala 2</t>
        </is>
      </c>
      <c r="E638" s="37" t="inlineStr">
        <is>
          <t>Henrique Santos</t>
        </is>
      </c>
      <c r="F638" s="38" t="inlineStr">
        <is>
          <t>Vida Care</t>
        </is>
      </c>
      <c r="G638" s="38" t="inlineStr">
        <is>
          <t>Retorno</t>
        </is>
      </c>
      <c r="H638" s="38" t="inlineStr">
        <is>
          <t>Realizado</t>
        </is>
      </c>
      <c r="I638" s="38" t="inlineStr">
        <is>
          <t>Sem cobrança</t>
        </is>
      </c>
      <c r="J638" s="38" t="n"/>
      <c r="K638" s="37" t="n"/>
      <c r="L638" s="39" t="n">
        <v>20</v>
      </c>
      <c r="M638" s="40" t="n">
        <v>0</v>
      </c>
      <c r="N638" s="30">
        <f>IF(A638="","",MONTH(A638))</f>
        <v>8</v>
      </c>
      <c r="O638" s="30">
        <f>IF(A638="","",YEAR(A638))</f>
        <v>2026</v>
      </c>
      <c r="P638" s="30" t="str">
        <f>IF(A638="","",CHOOSE(WEEKDAY(A638,2),"Segunda","Terça","Quarta","Quinta","Sexta","Sábado","Domingo"))</f>
        <v>Terça</v>
      </c>
      <c r="Q638" s="30" t="str">
        <f>IF(B638="","",IF(B638&lt;TIME(12,0,0),"Manhã",IF(B638&lt;TIME(18,0,0),"Tarde","Noite")))</f>
        <v>Tarde</v>
      </c>
      <c r="R638" s="46">
        <f>IF(AND(H638="Realizado",L638&lt;&gt;"",A638&lt;=Config!$B$9),L638/60,0)</f>
        <v>0.333333333333333</v>
      </c>
      <c r="S638" s="45">
        <f>IF(G638="","",IFERROR(INDEX(Config!$K$5:$K$16,MATCH(G638,Config!$J$5:$J$16,0)),""))</f>
        <v>20</v>
      </c>
      <c r="T638" s="31">
        <f>IF(OR(G638="",F638=""),"",IFERROR(INDEX(Config!$M$5:$R$16,MATCH(G638,Config!$J$5:$J$16,0),MATCH(F638,Config!$H$5:$H$10,0)),""))</f>
        <v>0</v>
      </c>
      <c r="U638" s="47">
        <f>IF(AND(H638="Realizado",L638&lt;&gt;""),L638/60,0)</f>
        <v>0.333333333333333</v>
      </c>
      <c r="V638" s="47">
        <f>IF(AND(H638="Realizado",OR(L638="",M638="")),1,0)</f>
        <v>0</v>
      </c>
    </row>
    <row r="639">
      <c r="A639" s="43" t="n">
        <v>46238</v>
      </c>
      <c r="B639" s="44" t="n">
        <v>0.6111111111111112</v>
      </c>
      <c r="C639" s="38" t="inlineStr">
        <is>
          <t>Dra. Renata Sousa</t>
        </is>
      </c>
      <c r="D639" s="38" t="inlineStr">
        <is>
          <t>Sala 1</t>
        </is>
      </c>
      <c r="E639" s="37" t="inlineStr">
        <is>
          <t>Gustavo Carvalho</t>
        </is>
      </c>
      <c r="F639" s="38" t="inlineStr">
        <is>
          <t>Particular</t>
        </is>
      </c>
      <c r="G639" s="38" t="inlineStr">
        <is>
          <t>Avaliação endócrina</t>
        </is>
      </c>
      <c r="H639" s="38" t="inlineStr">
        <is>
          <t>Realizado</t>
        </is>
      </c>
      <c r="I639" s="38" t="inlineStr">
        <is>
          <t>Dinheiro</t>
        </is>
      </c>
      <c r="J639" s="38" t="n"/>
      <c r="K639" s="37" t="n"/>
      <c r="L639" s="39" t="n">
        <v>40</v>
      </c>
      <c r="M639" s="40" t="n">
        <v>400</v>
      </c>
      <c r="N639" s="30">
        <f>IF(A639="","",MONTH(A639))</f>
        <v>8</v>
      </c>
      <c r="O639" s="30">
        <f>IF(A639="","",YEAR(A639))</f>
        <v>2026</v>
      </c>
      <c r="P639" s="30" t="str">
        <f>IF(A639="","",CHOOSE(WEEKDAY(A639,2),"Segunda","Terça","Quarta","Quinta","Sexta","Sábado","Domingo"))</f>
        <v>Terça</v>
      </c>
      <c r="Q639" s="30" t="str">
        <f>IF(B639="","",IF(B639&lt;TIME(12,0,0),"Manhã",IF(B639&lt;TIME(18,0,0),"Tarde","Noite")))</f>
        <v>Tarde</v>
      </c>
      <c r="R639" s="46">
        <f>IF(AND(H639="Realizado",L639&lt;&gt;"",A639&lt;=Config!$B$9),L639/60,0)</f>
        <v>0.666666666666667</v>
      </c>
      <c r="S639" s="45">
        <f>IF(G639="","",IFERROR(INDEX(Config!$K$5:$K$16,MATCH(G639,Config!$J$5:$J$16,0)),""))</f>
        <v>40</v>
      </c>
      <c r="T639" s="31">
        <f>IF(OR(G639="",F639=""),"",IFERROR(INDEX(Config!$M$5:$R$16,MATCH(G639,Config!$J$5:$J$16,0),MATCH(F639,Config!$H$5:$H$10,0)),""))</f>
        <v>400</v>
      </c>
      <c r="U639" s="47">
        <f>IF(AND(H639="Realizado",L639&lt;&gt;""),L639/60,0)</f>
        <v>0.666666666666667</v>
      </c>
      <c r="V639" s="47">
        <f>IF(AND(H639="Realizado",OR(L639="",M639="")),1,0)</f>
        <v>0</v>
      </c>
    </row>
    <row r="640">
      <c r="A640" s="43" t="n">
        <v>46238</v>
      </c>
      <c r="B640" s="44" t="n">
        <v>0.6111111111111112</v>
      </c>
      <c r="C640" s="38" t="inlineStr">
        <is>
          <t>Dr. Paulo Andrade</t>
        </is>
      </c>
      <c r="D640" s="38" t="inlineStr">
        <is>
          <t>Sala 2</t>
        </is>
      </c>
      <c r="E640" s="37" t="inlineStr">
        <is>
          <t>Sandra Cardoso</t>
        </is>
      </c>
      <c r="F640" s="38" t="inlineStr">
        <is>
          <t>Saúde Total</t>
        </is>
      </c>
      <c r="G640" s="38" t="inlineStr">
        <is>
          <t>Retorno</t>
        </is>
      </c>
      <c r="H640" s="38" t="inlineStr">
        <is>
          <t>Realizado</t>
        </is>
      </c>
      <c r="I640" s="38" t="inlineStr">
        <is>
          <t>Sem cobrança</t>
        </is>
      </c>
      <c r="J640" s="38" t="n"/>
      <c r="K640" s="37" t="n"/>
      <c r="L640" s="39" t="n">
        <v>20</v>
      </c>
      <c r="M640" s="40" t="n">
        <v>0</v>
      </c>
      <c r="N640" s="30">
        <f>IF(A640="","",MONTH(A640))</f>
        <v>8</v>
      </c>
      <c r="O640" s="30">
        <f>IF(A640="","",YEAR(A640))</f>
        <v>2026</v>
      </c>
      <c r="P640" s="30" t="str">
        <f>IF(A640="","",CHOOSE(WEEKDAY(A640,2),"Segunda","Terça","Quarta","Quinta","Sexta","Sábado","Domingo"))</f>
        <v>Terça</v>
      </c>
      <c r="Q640" s="30" t="str">
        <f>IF(B640="","",IF(B640&lt;TIME(12,0,0),"Manhã",IF(B640&lt;TIME(18,0,0),"Tarde","Noite")))</f>
        <v>Tarde</v>
      </c>
      <c r="R640" s="46">
        <f>IF(AND(H640="Realizado",L640&lt;&gt;"",A640&lt;=Config!$B$9),L640/60,0)</f>
        <v>0.333333333333333</v>
      </c>
      <c r="S640" s="45">
        <f>IF(G640="","",IFERROR(INDEX(Config!$K$5:$K$16,MATCH(G640,Config!$J$5:$J$16,0)),""))</f>
        <v>20</v>
      </c>
      <c r="T640" s="31">
        <f>IF(OR(G640="",F640=""),"",IFERROR(INDEX(Config!$M$5:$R$16,MATCH(G640,Config!$J$5:$J$16,0),MATCH(F640,Config!$H$5:$H$10,0)),""))</f>
        <v>0</v>
      </c>
      <c r="U640" s="47">
        <f>IF(AND(H640="Realizado",L640&lt;&gt;""),L640/60,0)</f>
        <v>0.333333333333333</v>
      </c>
      <c r="V640" s="47">
        <f>IF(AND(H640="Realizado",OR(L640="",M640="")),1,0)</f>
        <v>0</v>
      </c>
    </row>
    <row r="641">
      <c r="A641" s="43" t="n">
        <v>46238</v>
      </c>
      <c r="B641" s="44" t="n">
        <v>0.625</v>
      </c>
      <c r="C641" s="38" t="inlineStr">
        <is>
          <t>Dr. Paulo Andrade</t>
        </is>
      </c>
      <c r="D641" s="38" t="inlineStr">
        <is>
          <t>Sala 2</t>
        </is>
      </c>
      <c r="E641" s="37" t="inlineStr">
        <is>
          <t>Viviane Teixeira</t>
        </is>
      </c>
      <c r="F641" s="38" t="inlineStr">
        <is>
          <t>Particular</t>
        </is>
      </c>
      <c r="G641" s="38" t="inlineStr">
        <is>
          <t>Consulta</t>
        </is>
      </c>
      <c r="H641" s="38" t="inlineStr">
        <is>
          <t>Falta</t>
        </is>
      </c>
      <c r="I641" s="38" t="n"/>
      <c r="J641" s="38" t="n"/>
      <c r="K641" s="37" t="n"/>
      <c r="L641" s="39" t="n">
        <v>30</v>
      </c>
      <c r="M641" s="40" t="n">
        <v>380</v>
      </c>
      <c r="N641" s="30">
        <f>IF(A641="","",MONTH(A641))</f>
        <v>8</v>
      </c>
      <c r="O641" s="30">
        <f>IF(A641="","",YEAR(A641))</f>
        <v>2026</v>
      </c>
      <c r="P641" s="30" t="str">
        <f>IF(A641="","",CHOOSE(WEEKDAY(A641,2),"Segunda","Terça","Quarta","Quinta","Sexta","Sábado","Domingo"))</f>
        <v>Terça</v>
      </c>
      <c r="Q641" s="30" t="str">
        <f>IF(B641="","",IF(B641&lt;TIME(12,0,0),"Manhã",IF(B641&lt;TIME(18,0,0),"Tarde","Noite")))</f>
        <v>Tarde</v>
      </c>
      <c r="R641" s="46">
        <f>IF(AND(H641="Realizado",L641&lt;&gt;"",A641&lt;=Config!$B$9),L641/60,0)</f>
        <v>0</v>
      </c>
      <c r="S641" s="45">
        <f>IF(G641="","",IFERROR(INDEX(Config!$K$5:$K$16,MATCH(G641,Config!$J$5:$J$16,0)),""))</f>
        <v>30</v>
      </c>
      <c r="T641" s="31">
        <f>IF(OR(G641="",F641=""),"",IFERROR(INDEX(Config!$M$5:$R$16,MATCH(G641,Config!$J$5:$J$16,0),MATCH(F641,Config!$H$5:$H$10,0)),""))</f>
        <v>380</v>
      </c>
      <c r="U641" s="47">
        <f>IF(AND(H641="Realizado",L641&lt;&gt;""),L641/60,0)</f>
        <v>0</v>
      </c>
      <c r="V641" s="47">
        <f>IF(AND(H641="Realizado",OR(L641="",M641="")),1,0)</f>
        <v>0</v>
      </c>
    </row>
    <row r="642">
      <c r="A642" s="43" t="n">
        <v>46238</v>
      </c>
      <c r="B642" s="44" t="n">
        <v>0.6388888888888888</v>
      </c>
      <c r="C642" s="38" t="inlineStr">
        <is>
          <t>Dra. Renata Sousa</t>
        </is>
      </c>
      <c r="D642" s="38" t="inlineStr">
        <is>
          <t>Sala 1</t>
        </is>
      </c>
      <c r="E642" s="37" t="inlineStr">
        <is>
          <t>Isabela Xavier</t>
        </is>
      </c>
      <c r="F642" s="38" t="inlineStr">
        <is>
          <t>Particular</t>
        </is>
      </c>
      <c r="G642" s="38" t="inlineStr">
        <is>
          <t>Avaliação endócrina</t>
        </is>
      </c>
      <c r="H642" s="38" t="inlineStr">
        <is>
          <t>Realizado</t>
        </is>
      </c>
      <c r="I642" s="38" t="inlineStr">
        <is>
          <t>A prazo</t>
        </is>
      </c>
      <c r="J642" s="38" t="n"/>
      <c r="K642" s="37" t="n"/>
      <c r="L642" s="39" t="n">
        <v>40</v>
      </c>
      <c r="M642" s="40" t="n">
        <v>400</v>
      </c>
      <c r="N642" s="30">
        <f>IF(A642="","",MONTH(A642))</f>
        <v>8</v>
      </c>
      <c r="O642" s="30">
        <f>IF(A642="","",YEAR(A642))</f>
        <v>2026</v>
      </c>
      <c r="P642" s="30" t="str">
        <f>IF(A642="","",CHOOSE(WEEKDAY(A642,2),"Segunda","Terça","Quarta","Quinta","Sexta","Sábado","Domingo"))</f>
        <v>Terça</v>
      </c>
      <c r="Q642" s="30" t="str">
        <f>IF(B642="","",IF(B642&lt;TIME(12,0,0),"Manhã",IF(B642&lt;TIME(18,0,0),"Tarde","Noite")))</f>
        <v>Tarde</v>
      </c>
      <c r="R642" s="46">
        <f>IF(AND(H642="Realizado",L642&lt;&gt;"",A642&lt;=Config!$B$9),L642/60,0)</f>
        <v>0.666666666666667</v>
      </c>
      <c r="S642" s="45">
        <f>IF(G642="","",IFERROR(INDEX(Config!$K$5:$K$16,MATCH(G642,Config!$J$5:$J$16,0)),""))</f>
        <v>40</v>
      </c>
      <c r="T642" s="31">
        <f>IF(OR(G642="",F642=""),"",IFERROR(INDEX(Config!$M$5:$R$16,MATCH(G642,Config!$J$5:$J$16,0),MATCH(F642,Config!$H$5:$H$10,0)),""))</f>
        <v>400</v>
      </c>
      <c r="U642" s="47">
        <f>IF(AND(H642="Realizado",L642&lt;&gt;""),L642/60,0)</f>
        <v>0.666666666666667</v>
      </c>
      <c r="V642" s="47">
        <f>IF(AND(H642="Realizado",OR(L642="",M642="")),1,0)</f>
        <v>0</v>
      </c>
    </row>
    <row r="643">
      <c r="A643" s="43" t="n">
        <v>46238</v>
      </c>
      <c r="B643" s="44" t="n">
        <v>0.6458333333333334</v>
      </c>
      <c r="C643" s="38" t="inlineStr">
        <is>
          <t>Dr. Paulo Andrade</t>
        </is>
      </c>
      <c r="D643" s="38" t="inlineStr">
        <is>
          <t>Sala 2</t>
        </is>
      </c>
      <c r="E643" s="37" t="inlineStr">
        <is>
          <t>Gustavo Pinto</t>
        </is>
      </c>
      <c r="F643" s="38" t="inlineStr">
        <is>
          <t>Particular</t>
        </is>
      </c>
      <c r="G643" s="38" t="inlineStr">
        <is>
          <t>Consulta</t>
        </is>
      </c>
      <c r="H643" s="38" t="inlineStr">
        <is>
          <t>Realizado</t>
        </is>
      </c>
      <c r="I643" s="38" t="inlineStr">
        <is>
          <t>Cartão de crédito</t>
        </is>
      </c>
      <c r="J643" s="38" t="n"/>
      <c r="K643" s="37" t="n"/>
      <c r="L643" s="39" t="n">
        <v>30</v>
      </c>
      <c r="M643" s="40" t="n">
        <v>380</v>
      </c>
      <c r="N643" s="30">
        <f>IF(A643="","",MONTH(A643))</f>
        <v>8</v>
      </c>
      <c r="O643" s="30">
        <f>IF(A643="","",YEAR(A643))</f>
        <v>2026</v>
      </c>
      <c r="P643" s="30" t="str">
        <f>IF(A643="","",CHOOSE(WEEKDAY(A643,2),"Segunda","Terça","Quarta","Quinta","Sexta","Sábado","Domingo"))</f>
        <v>Terça</v>
      </c>
      <c r="Q643" s="30" t="str">
        <f>IF(B643="","",IF(B643&lt;TIME(12,0,0),"Manhã",IF(B643&lt;TIME(18,0,0),"Tarde","Noite")))</f>
        <v>Tarde</v>
      </c>
      <c r="R643" s="46">
        <f>IF(AND(H643="Realizado",L643&lt;&gt;"",A643&lt;=Config!$B$9),L643/60,0)</f>
        <v>0.5</v>
      </c>
      <c r="S643" s="45">
        <f>IF(G643="","",IFERROR(INDEX(Config!$K$5:$K$16,MATCH(G643,Config!$J$5:$J$16,0)),""))</f>
        <v>30</v>
      </c>
      <c r="T643" s="31">
        <f>IF(OR(G643="",F643=""),"",IFERROR(INDEX(Config!$M$5:$R$16,MATCH(G643,Config!$J$5:$J$16,0),MATCH(F643,Config!$H$5:$H$10,0)),""))</f>
        <v>380</v>
      </c>
      <c r="U643" s="47">
        <f>IF(AND(H643="Realizado",L643&lt;&gt;""),L643/60,0)</f>
        <v>0.5</v>
      </c>
      <c r="V643" s="47">
        <f>IF(AND(H643="Realizado",OR(L643="",M643="")),1,0)</f>
        <v>0</v>
      </c>
    </row>
    <row r="644">
      <c r="A644" s="43" t="n">
        <v>46238</v>
      </c>
      <c r="B644" s="44" t="n">
        <v>0.6666666666666666</v>
      </c>
      <c r="C644" s="38" t="inlineStr">
        <is>
          <t>Dra. Renata Sousa</t>
        </is>
      </c>
      <c r="D644" s="38" t="inlineStr">
        <is>
          <t>Sala 1</t>
        </is>
      </c>
      <c r="E644" s="37" t="inlineStr">
        <is>
          <t>Rafael Pereira</t>
        </is>
      </c>
      <c r="F644" s="38" t="inlineStr">
        <is>
          <t>Particular</t>
        </is>
      </c>
      <c r="G644" s="38" t="inlineStr">
        <is>
          <t>Avaliação endócrina</t>
        </is>
      </c>
      <c r="H644" s="38" t="inlineStr">
        <is>
          <t>Realizado</t>
        </is>
      </c>
      <c r="I644" s="38" t="inlineStr">
        <is>
          <t>Cartão de débito</t>
        </is>
      </c>
      <c r="J644" s="38" t="n"/>
      <c r="K644" s="37" t="n"/>
      <c r="L644" s="39" t="n">
        <v>40</v>
      </c>
      <c r="M644" s="40" t="n">
        <v>400</v>
      </c>
      <c r="N644" s="30">
        <f>IF(A644="","",MONTH(A644))</f>
        <v>8</v>
      </c>
      <c r="O644" s="30">
        <f>IF(A644="","",YEAR(A644))</f>
        <v>2026</v>
      </c>
      <c r="P644" s="30" t="str">
        <f>IF(A644="","",CHOOSE(WEEKDAY(A644,2),"Segunda","Terça","Quarta","Quinta","Sexta","Sábado","Domingo"))</f>
        <v>Terça</v>
      </c>
      <c r="Q644" s="30" t="str">
        <f>IF(B644="","",IF(B644&lt;TIME(12,0,0),"Manhã",IF(B644&lt;TIME(18,0,0),"Tarde","Noite")))</f>
        <v>Tarde</v>
      </c>
      <c r="R644" s="46">
        <f>IF(AND(H644="Realizado",L644&lt;&gt;"",A644&lt;=Config!$B$9),L644/60,0)</f>
        <v>0.666666666666667</v>
      </c>
      <c r="S644" s="45">
        <f>IF(G644="","",IFERROR(INDEX(Config!$K$5:$K$16,MATCH(G644,Config!$J$5:$J$16,0)),""))</f>
        <v>40</v>
      </c>
      <c r="T644" s="31">
        <f>IF(OR(G644="",F644=""),"",IFERROR(INDEX(Config!$M$5:$R$16,MATCH(G644,Config!$J$5:$J$16,0),MATCH(F644,Config!$H$5:$H$10,0)),""))</f>
        <v>400</v>
      </c>
      <c r="U644" s="47">
        <f>IF(AND(H644="Realizado",L644&lt;&gt;""),L644/60,0)</f>
        <v>0.666666666666667</v>
      </c>
      <c r="V644" s="47">
        <f>IF(AND(H644="Realizado",OR(L644="",M644="")),1,0)</f>
        <v>0</v>
      </c>
    </row>
    <row r="645">
      <c r="A645" s="43" t="n">
        <v>46238</v>
      </c>
      <c r="B645" s="44" t="n">
        <v>0.6666666666666666</v>
      </c>
      <c r="C645" s="38" t="inlineStr">
        <is>
          <t>Dr. Paulo Andrade</t>
        </is>
      </c>
      <c r="D645" s="38" t="inlineStr">
        <is>
          <t>Sala 2</t>
        </is>
      </c>
      <c r="E645" s="37" t="inlineStr">
        <is>
          <t>Gabriel Vieira</t>
        </is>
      </c>
      <c r="F645" s="38" t="inlineStr">
        <is>
          <t>Vida Care</t>
        </is>
      </c>
      <c r="G645" s="38" t="inlineStr">
        <is>
          <t>Consulta</t>
        </is>
      </c>
      <c r="H645" s="38" t="inlineStr">
        <is>
          <t>Cancelado</t>
        </is>
      </c>
      <c r="I645" s="38" t="n"/>
      <c r="J645" s="38" t="n"/>
      <c r="K645" s="37" t="n"/>
      <c r="L645" s="39" t="n">
        <v>30</v>
      </c>
      <c r="M645" s="40" t="n">
        <v>90</v>
      </c>
      <c r="N645" s="30">
        <f>IF(A645="","",MONTH(A645))</f>
        <v>8</v>
      </c>
      <c r="O645" s="30">
        <f>IF(A645="","",YEAR(A645))</f>
        <v>2026</v>
      </c>
      <c r="P645" s="30" t="str">
        <f>IF(A645="","",CHOOSE(WEEKDAY(A645,2),"Segunda","Terça","Quarta","Quinta","Sexta","Sábado","Domingo"))</f>
        <v>Terça</v>
      </c>
      <c r="Q645" s="30" t="str">
        <f>IF(B645="","",IF(B645&lt;TIME(12,0,0),"Manhã",IF(B645&lt;TIME(18,0,0),"Tarde","Noite")))</f>
        <v>Tarde</v>
      </c>
      <c r="R645" s="46">
        <f>IF(AND(H645="Realizado",L645&lt;&gt;"",A645&lt;=Config!$B$9),L645/60,0)</f>
        <v>0</v>
      </c>
      <c r="S645" s="45">
        <f>IF(G645="","",IFERROR(INDEX(Config!$K$5:$K$16,MATCH(G645,Config!$J$5:$J$16,0)),""))</f>
        <v>30</v>
      </c>
      <c r="T645" s="31">
        <f>IF(OR(G645="",F645=""),"",IFERROR(INDEX(Config!$M$5:$R$16,MATCH(G645,Config!$J$5:$J$16,0),MATCH(F645,Config!$H$5:$H$10,0)),""))</f>
        <v>90</v>
      </c>
      <c r="U645" s="47">
        <f>IF(AND(H645="Realizado",L645&lt;&gt;""),L645/60,0)</f>
        <v>0</v>
      </c>
      <c r="V645" s="47">
        <f>IF(AND(H645="Realizado",OR(L645="",M645="")),1,0)</f>
        <v>0</v>
      </c>
    </row>
    <row r="646">
      <c r="A646" s="43" t="n">
        <v>46238</v>
      </c>
      <c r="B646" s="44" t="n">
        <v>0.6875</v>
      </c>
      <c r="C646" s="38" t="inlineStr">
        <is>
          <t>Dr. Paulo Andrade</t>
        </is>
      </c>
      <c r="D646" s="38" t="inlineStr">
        <is>
          <t>Sala 2</t>
        </is>
      </c>
      <c r="E646" s="37" t="inlineStr">
        <is>
          <t>Tatiana Rocha</t>
        </is>
      </c>
      <c r="F646" s="38" t="inlineStr">
        <is>
          <t>Vida Care</t>
        </is>
      </c>
      <c r="G646" s="38" t="inlineStr">
        <is>
          <t>ECG</t>
        </is>
      </c>
      <c r="H646" s="38" t="inlineStr">
        <is>
          <t>Realizado</t>
        </is>
      </c>
      <c r="I646" s="38" t="inlineStr">
        <is>
          <t>Convênio</t>
        </is>
      </c>
      <c r="J646" s="38" t="n"/>
      <c r="K646" s="37" t="n"/>
      <c r="L646" s="39" t="n">
        <v>20</v>
      </c>
      <c r="M646" s="40" t="n">
        <v>32</v>
      </c>
      <c r="N646" s="30">
        <f>IF(A646="","",MONTH(A646))</f>
        <v>8</v>
      </c>
      <c r="O646" s="30">
        <f>IF(A646="","",YEAR(A646))</f>
        <v>2026</v>
      </c>
      <c r="P646" s="30" t="str">
        <f>IF(A646="","",CHOOSE(WEEKDAY(A646,2),"Segunda","Terça","Quarta","Quinta","Sexta","Sábado","Domingo"))</f>
        <v>Terça</v>
      </c>
      <c r="Q646" s="30" t="str">
        <f>IF(B646="","",IF(B646&lt;TIME(12,0,0),"Manhã",IF(B646&lt;TIME(18,0,0),"Tarde","Noite")))</f>
        <v>Tarde</v>
      </c>
      <c r="R646" s="46">
        <f>IF(AND(H646="Realizado",L646&lt;&gt;"",A646&lt;=Config!$B$9),L646/60,0)</f>
        <v>0.333333333333333</v>
      </c>
      <c r="S646" s="45">
        <f>IF(G646="","",IFERROR(INDEX(Config!$K$5:$K$16,MATCH(G646,Config!$J$5:$J$16,0)),""))</f>
        <v>20</v>
      </c>
      <c r="T646" s="31">
        <f>IF(OR(G646="",F646=""),"",IFERROR(INDEX(Config!$M$5:$R$16,MATCH(G646,Config!$J$5:$J$16,0),MATCH(F646,Config!$H$5:$H$10,0)),""))</f>
        <v>32</v>
      </c>
      <c r="U646" s="47">
        <f>IF(AND(H646="Realizado",L646&lt;&gt;""),L646/60,0)</f>
        <v>0.333333333333333</v>
      </c>
      <c r="V646" s="47">
        <f>IF(AND(H646="Realizado",OR(L646="",M646="")),1,0)</f>
        <v>0</v>
      </c>
    </row>
    <row r="647">
      <c r="A647" s="43" t="n">
        <v>46238</v>
      </c>
      <c r="B647" s="44" t="n">
        <v>0.7013888888888888</v>
      </c>
      <c r="C647" s="38" t="inlineStr">
        <is>
          <t>Dr. Paulo Andrade</t>
        </is>
      </c>
      <c r="D647" s="38" t="inlineStr">
        <is>
          <t>Sala 2</t>
        </is>
      </c>
      <c r="E647" s="37" t="inlineStr">
        <is>
          <t>Viviane Teixeira</t>
        </is>
      </c>
      <c r="F647" s="38" t="inlineStr">
        <is>
          <t>Particular</t>
        </is>
      </c>
      <c r="G647" s="38" t="inlineStr">
        <is>
          <t>Consulta</t>
        </is>
      </c>
      <c r="H647" s="38" t="inlineStr">
        <is>
          <t>Realizado</t>
        </is>
      </c>
      <c r="I647" s="38" t="inlineStr">
        <is>
          <t>Cartão de débito</t>
        </is>
      </c>
      <c r="J647" s="38" t="n"/>
      <c r="K647" s="37" t="n"/>
      <c r="L647" s="39" t="n">
        <v>30</v>
      </c>
      <c r="M647" s="40" t="n">
        <v>380</v>
      </c>
      <c r="N647" s="30">
        <f>IF(A647="","",MONTH(A647))</f>
        <v>8</v>
      </c>
      <c r="O647" s="30">
        <f>IF(A647="","",YEAR(A647))</f>
        <v>2026</v>
      </c>
      <c r="P647" s="30" t="str">
        <f>IF(A647="","",CHOOSE(WEEKDAY(A647,2),"Segunda","Terça","Quarta","Quinta","Sexta","Sábado","Domingo"))</f>
        <v>Terça</v>
      </c>
      <c r="Q647" s="30" t="str">
        <f>IF(B647="","",IF(B647&lt;TIME(12,0,0),"Manhã",IF(B647&lt;TIME(18,0,0),"Tarde","Noite")))</f>
        <v>Tarde</v>
      </c>
      <c r="R647" s="46">
        <f>IF(AND(H647="Realizado",L647&lt;&gt;"",A647&lt;=Config!$B$9),L647/60,0)</f>
        <v>0.5</v>
      </c>
      <c r="S647" s="45">
        <f>IF(G647="","",IFERROR(INDEX(Config!$K$5:$K$16,MATCH(G647,Config!$J$5:$J$16,0)),""))</f>
        <v>30</v>
      </c>
      <c r="T647" s="31">
        <f>IF(OR(G647="",F647=""),"",IFERROR(INDEX(Config!$M$5:$R$16,MATCH(G647,Config!$J$5:$J$16,0),MATCH(F647,Config!$H$5:$H$10,0)),""))</f>
        <v>380</v>
      </c>
      <c r="U647" s="47">
        <f>IF(AND(H647="Realizado",L647&lt;&gt;""),L647/60,0)</f>
        <v>0.5</v>
      </c>
      <c r="V647" s="47">
        <f>IF(AND(H647="Realizado",OR(L647="",M647="")),1,0)</f>
        <v>0</v>
      </c>
    </row>
    <row r="648">
      <c r="A648" s="43" t="n">
        <v>46238</v>
      </c>
      <c r="B648" s="44" t="n">
        <v>0.7152777777777778</v>
      </c>
      <c r="C648" s="38" t="inlineStr">
        <is>
          <t>Dra. Renata Sousa</t>
        </is>
      </c>
      <c r="D648" s="38" t="inlineStr">
        <is>
          <t>Sala 1</t>
        </is>
      </c>
      <c r="E648" s="37" t="inlineStr">
        <is>
          <t>Daniel Moreira</t>
        </is>
      </c>
      <c r="F648" s="38" t="inlineStr">
        <is>
          <t>Saúde Total</t>
        </is>
      </c>
      <c r="G648" s="38" t="inlineStr">
        <is>
          <t>Retorno</t>
        </is>
      </c>
      <c r="H648" s="38" t="inlineStr">
        <is>
          <t>Realizado</t>
        </is>
      </c>
      <c r="I648" s="38" t="inlineStr">
        <is>
          <t>Sem cobrança</t>
        </is>
      </c>
      <c r="J648" s="38" t="n"/>
      <c r="K648" s="37" t="n"/>
      <c r="L648" s="39" t="n">
        <v>20</v>
      </c>
      <c r="M648" s="40" t="n">
        <v>0</v>
      </c>
      <c r="N648" s="30">
        <f>IF(A648="","",MONTH(A648))</f>
        <v>8</v>
      </c>
      <c r="O648" s="30">
        <f>IF(A648="","",YEAR(A648))</f>
        <v>2026</v>
      </c>
      <c r="P648" s="30" t="str">
        <f>IF(A648="","",CHOOSE(WEEKDAY(A648,2),"Segunda","Terça","Quarta","Quinta","Sexta","Sábado","Domingo"))</f>
        <v>Terça</v>
      </c>
      <c r="Q648" s="30" t="str">
        <f>IF(B648="","",IF(B648&lt;TIME(12,0,0),"Manhã",IF(B648&lt;TIME(18,0,0),"Tarde","Noite")))</f>
        <v>Tarde</v>
      </c>
      <c r="R648" s="46">
        <f>IF(AND(H648="Realizado",L648&lt;&gt;"",A648&lt;=Config!$B$9),L648/60,0)</f>
        <v>0.333333333333333</v>
      </c>
      <c r="S648" s="45">
        <f>IF(G648="","",IFERROR(INDEX(Config!$K$5:$K$16,MATCH(G648,Config!$J$5:$J$16,0)),""))</f>
        <v>20</v>
      </c>
      <c r="T648" s="31">
        <f>IF(OR(G648="",F648=""),"",IFERROR(INDEX(Config!$M$5:$R$16,MATCH(G648,Config!$J$5:$J$16,0),MATCH(F648,Config!$H$5:$H$10,0)),""))</f>
        <v>0</v>
      </c>
      <c r="U648" s="47">
        <f>IF(AND(H648="Realizado",L648&lt;&gt;""),L648/60,0)</f>
        <v>0.333333333333333</v>
      </c>
      <c r="V648" s="47">
        <f>IF(AND(H648="Realizado",OR(L648="",M648="")),1,0)</f>
        <v>0</v>
      </c>
    </row>
    <row r="649">
      <c r="A649" s="43" t="n">
        <v>46238</v>
      </c>
      <c r="B649" s="44" t="n">
        <v>0.7222222222222222</v>
      </c>
      <c r="C649" s="38" t="inlineStr">
        <is>
          <t>Dr. Paulo Andrade</t>
        </is>
      </c>
      <c r="D649" s="38" t="inlineStr">
        <is>
          <t>Sala 2</t>
        </is>
      </c>
      <c r="E649" s="37" t="inlineStr">
        <is>
          <t>Marcelo Ferreira</t>
        </is>
      </c>
      <c r="F649" s="38" t="inlineStr">
        <is>
          <t>Particular</t>
        </is>
      </c>
      <c r="G649" s="38" t="inlineStr">
        <is>
          <t>Consulta</t>
        </is>
      </c>
      <c r="H649" s="38" t="inlineStr">
        <is>
          <t>Cancelado</t>
        </is>
      </c>
      <c r="I649" s="38" t="n"/>
      <c r="J649" s="38" t="n"/>
      <c r="K649" s="37" t="n"/>
      <c r="L649" s="39" t="n">
        <v>30</v>
      </c>
      <c r="M649" s="40" t="n">
        <v>380</v>
      </c>
      <c r="N649" s="30">
        <f>IF(A649="","",MONTH(A649))</f>
        <v>8</v>
      </c>
      <c r="O649" s="30">
        <f>IF(A649="","",YEAR(A649))</f>
        <v>2026</v>
      </c>
      <c r="P649" s="30" t="str">
        <f>IF(A649="","",CHOOSE(WEEKDAY(A649,2),"Segunda","Terça","Quarta","Quinta","Sexta","Sábado","Domingo"))</f>
        <v>Terça</v>
      </c>
      <c r="Q649" s="30" t="str">
        <f>IF(B649="","",IF(B649&lt;TIME(12,0,0),"Manhã",IF(B649&lt;TIME(18,0,0),"Tarde","Noite")))</f>
        <v>Tarde</v>
      </c>
      <c r="R649" s="46">
        <f>IF(AND(H649="Realizado",L649&lt;&gt;"",A649&lt;=Config!$B$9),L649/60,0)</f>
        <v>0</v>
      </c>
      <c r="S649" s="45">
        <f>IF(G649="","",IFERROR(INDEX(Config!$K$5:$K$16,MATCH(G649,Config!$J$5:$J$16,0)),""))</f>
        <v>30</v>
      </c>
      <c r="T649" s="31">
        <f>IF(OR(G649="",F649=""),"",IFERROR(INDEX(Config!$M$5:$R$16,MATCH(G649,Config!$J$5:$J$16,0),MATCH(F649,Config!$H$5:$H$10,0)),""))</f>
        <v>380</v>
      </c>
      <c r="U649" s="47">
        <f>IF(AND(H649="Realizado",L649&lt;&gt;""),L649/60,0)</f>
        <v>0</v>
      </c>
      <c r="V649" s="47">
        <f>IF(AND(H649="Realizado",OR(L649="",M649="")),1,0)</f>
        <v>0</v>
      </c>
    </row>
    <row r="650">
      <c r="A650" s="43" t="n">
        <v>46238</v>
      </c>
      <c r="B650" s="44" t="n">
        <v>0.7291666666666666</v>
      </c>
      <c r="C650" s="38" t="inlineStr">
        <is>
          <t>Dra. Renata Sousa</t>
        </is>
      </c>
      <c r="D650" s="38" t="inlineStr">
        <is>
          <t>Sala 1</t>
        </is>
      </c>
      <c r="E650" s="37" t="inlineStr">
        <is>
          <t>Cláudia Vieira</t>
        </is>
      </c>
      <c r="F650" s="38" t="inlineStr">
        <is>
          <t>Saúde Total</t>
        </is>
      </c>
      <c r="G650" s="38" t="inlineStr">
        <is>
          <t>Retorno</t>
        </is>
      </c>
      <c r="H650" s="38" t="inlineStr">
        <is>
          <t>Realizado</t>
        </is>
      </c>
      <c r="I650" s="38" t="inlineStr">
        <is>
          <t>Sem cobrança</t>
        </is>
      </c>
      <c r="J650" s="38" t="n"/>
      <c r="K650" s="37" t="n"/>
      <c r="L650" s="39" t="n">
        <v>20</v>
      </c>
      <c r="M650" s="40" t="n">
        <v>0</v>
      </c>
      <c r="N650" s="30">
        <f>IF(A650="","",MONTH(A650))</f>
        <v>8</v>
      </c>
      <c r="O650" s="30">
        <f>IF(A650="","",YEAR(A650))</f>
        <v>2026</v>
      </c>
      <c r="P650" s="30" t="str">
        <f>IF(A650="","",CHOOSE(WEEKDAY(A650,2),"Segunda","Terça","Quarta","Quinta","Sexta","Sábado","Domingo"))</f>
        <v>Terça</v>
      </c>
      <c r="Q650" s="30" t="str">
        <f>IF(B650="","",IF(B650&lt;TIME(12,0,0),"Manhã",IF(B650&lt;TIME(18,0,0),"Tarde","Noite")))</f>
        <v>Tarde</v>
      </c>
      <c r="R650" s="46">
        <f>IF(AND(H650="Realizado",L650&lt;&gt;"",A650&lt;=Config!$B$9),L650/60,0)</f>
        <v>0.333333333333333</v>
      </c>
      <c r="S650" s="45">
        <f>IF(G650="","",IFERROR(INDEX(Config!$K$5:$K$16,MATCH(G650,Config!$J$5:$J$16,0)),""))</f>
        <v>20</v>
      </c>
      <c r="T650" s="31">
        <f>IF(OR(G650="",F650=""),"",IFERROR(INDEX(Config!$M$5:$R$16,MATCH(G650,Config!$J$5:$J$16,0),MATCH(F650,Config!$H$5:$H$10,0)),""))</f>
        <v>0</v>
      </c>
      <c r="U650" s="47">
        <f>IF(AND(H650="Realizado",L650&lt;&gt;""),L650/60,0)</f>
        <v>0.333333333333333</v>
      </c>
      <c r="V650" s="47">
        <f>IF(AND(H650="Realizado",OR(L650="",M650="")),1,0)</f>
        <v>0</v>
      </c>
    </row>
    <row r="651">
      <c r="A651" s="43" t="n">
        <v>46239</v>
      </c>
      <c r="B651" s="44" t="n">
        <v>0.5833333333333334</v>
      </c>
      <c r="C651" s="38" t="inlineStr">
        <is>
          <t>Dra. Carolina Mendes</t>
        </is>
      </c>
      <c r="D651" s="38" t="inlineStr">
        <is>
          <t>Sala 1</t>
        </is>
      </c>
      <c r="E651" s="37" t="inlineStr">
        <is>
          <t>Regina Duarte</t>
        </is>
      </c>
      <c r="F651" s="38" t="inlineStr">
        <is>
          <t>Particular</t>
        </is>
      </c>
      <c r="G651" s="38" t="inlineStr">
        <is>
          <t>Consulta</t>
        </is>
      </c>
      <c r="H651" s="38" t="inlineStr">
        <is>
          <t>Realizado</t>
        </is>
      </c>
      <c r="I651" s="38" t="inlineStr">
        <is>
          <t>Cartão de crédito</t>
        </is>
      </c>
      <c r="J651" s="38" t="n">
        <v>2</v>
      </c>
      <c r="K651" s="37" t="n"/>
      <c r="L651" s="39" t="n">
        <v>30</v>
      </c>
      <c r="M651" s="40" t="n">
        <v>380</v>
      </c>
      <c r="N651" s="30">
        <f>IF(A651="","",MONTH(A651))</f>
        <v>8</v>
      </c>
      <c r="O651" s="30">
        <f>IF(A651="","",YEAR(A651))</f>
        <v>2026</v>
      </c>
      <c r="P651" s="30" t="str">
        <f>IF(A651="","",CHOOSE(WEEKDAY(A651,2),"Segunda","Terça","Quarta","Quinta","Sexta","Sábado","Domingo"))</f>
        <v>Quarta</v>
      </c>
      <c r="Q651" s="30" t="str">
        <f>IF(B651="","",IF(B651&lt;TIME(12,0,0),"Manhã",IF(B651&lt;TIME(18,0,0),"Tarde","Noite")))</f>
        <v>Tarde</v>
      </c>
      <c r="R651" s="46">
        <f>IF(AND(H651="Realizado",L651&lt;&gt;"",A651&lt;=Config!$B$9),L651/60,0)</f>
        <v>0.5</v>
      </c>
      <c r="S651" s="45">
        <f>IF(G651="","",IFERROR(INDEX(Config!$K$5:$K$16,MATCH(G651,Config!$J$5:$J$16,0)),""))</f>
        <v>30</v>
      </c>
      <c r="T651" s="31">
        <f>IF(OR(G651="",F651=""),"",IFERROR(INDEX(Config!$M$5:$R$16,MATCH(G651,Config!$J$5:$J$16,0),MATCH(F651,Config!$H$5:$H$10,0)),""))</f>
        <v>380</v>
      </c>
      <c r="U651" s="47">
        <f>IF(AND(H651="Realizado",L651&lt;&gt;""),L651/60,0)</f>
        <v>0.5</v>
      </c>
      <c r="V651" s="47">
        <f>IF(AND(H651="Realizado",OR(L651="",M651="")),1,0)</f>
        <v>0</v>
      </c>
    </row>
    <row r="652">
      <c r="A652" s="43" t="n">
        <v>46239</v>
      </c>
      <c r="B652" s="44" t="n">
        <v>0.6458333333333334</v>
      </c>
      <c r="C652" s="38" t="inlineStr">
        <is>
          <t>Dra. Carolina Mendes</t>
        </is>
      </c>
      <c r="D652" s="38" t="inlineStr">
        <is>
          <t>Sala 1</t>
        </is>
      </c>
      <c r="E652" s="37" t="inlineStr">
        <is>
          <t>Marcelo Santos</t>
        </is>
      </c>
      <c r="F652" s="38" t="inlineStr">
        <is>
          <t>Particular</t>
        </is>
      </c>
      <c r="G652" s="38" t="inlineStr">
        <is>
          <t>Consulta</t>
        </is>
      </c>
      <c r="H652" s="38" t="inlineStr">
        <is>
          <t>Realizado</t>
        </is>
      </c>
      <c r="I652" s="38" t="inlineStr">
        <is>
          <t>Pix</t>
        </is>
      </c>
      <c r="J652" s="38" t="n"/>
      <c r="K652" s="37" t="n"/>
      <c r="L652" s="39" t="n">
        <v>30</v>
      </c>
      <c r="M652" s="40" t="n">
        <v>380</v>
      </c>
      <c r="N652" s="30">
        <f>IF(A652="","",MONTH(A652))</f>
        <v>8</v>
      </c>
      <c r="O652" s="30">
        <f>IF(A652="","",YEAR(A652))</f>
        <v>2026</v>
      </c>
      <c r="P652" s="30" t="str">
        <f>IF(A652="","",CHOOSE(WEEKDAY(A652,2),"Segunda","Terça","Quarta","Quinta","Sexta","Sábado","Domingo"))</f>
        <v>Quarta</v>
      </c>
      <c r="Q652" s="30" t="str">
        <f>IF(B652="","",IF(B652&lt;TIME(12,0,0),"Manhã",IF(B652&lt;TIME(18,0,0),"Tarde","Noite")))</f>
        <v>Tarde</v>
      </c>
      <c r="R652" s="46">
        <f>IF(AND(H652="Realizado",L652&lt;&gt;"",A652&lt;=Config!$B$9),L652/60,0)</f>
        <v>0.5</v>
      </c>
      <c r="S652" s="45">
        <f>IF(G652="","",IFERROR(INDEX(Config!$K$5:$K$16,MATCH(G652,Config!$J$5:$J$16,0)),""))</f>
        <v>30</v>
      </c>
      <c r="T652" s="31">
        <f>IF(OR(G652="",F652=""),"",IFERROR(INDEX(Config!$M$5:$R$16,MATCH(G652,Config!$J$5:$J$16,0),MATCH(F652,Config!$H$5:$H$10,0)),""))</f>
        <v>380</v>
      </c>
      <c r="U652" s="47">
        <f>IF(AND(H652="Realizado",L652&lt;&gt;""),L652/60,0)</f>
        <v>0.5</v>
      </c>
      <c r="V652" s="47">
        <f>IF(AND(H652="Realizado",OR(L652="",M652="")),1,0)</f>
        <v>0</v>
      </c>
    </row>
    <row r="653">
      <c r="A653" s="43" t="n">
        <v>46239</v>
      </c>
      <c r="B653" s="44" t="n">
        <v>0.6666666666666666</v>
      </c>
      <c r="C653" s="38" t="inlineStr">
        <is>
          <t>Dra. Carolina Mendes</t>
        </is>
      </c>
      <c r="D653" s="38" t="inlineStr">
        <is>
          <t>Sala 1</t>
        </is>
      </c>
      <c r="E653" s="37" t="inlineStr">
        <is>
          <t>Eduardo Nunes</t>
        </is>
      </c>
      <c r="F653" s="38" t="inlineStr">
        <is>
          <t>MediPlan</t>
        </is>
      </c>
      <c r="G653" s="38" t="inlineStr">
        <is>
          <t>Consulta</t>
        </is>
      </c>
      <c r="H653" s="38" t="inlineStr">
        <is>
          <t>Realizado</t>
        </is>
      </c>
      <c r="I653" s="38" t="inlineStr">
        <is>
          <t>Convênio</t>
        </is>
      </c>
      <c r="J653" s="38" t="n"/>
      <c r="K653" s="37" t="n"/>
      <c r="L653" s="39" t="n">
        <v>30</v>
      </c>
      <c r="M653" s="40" t="n">
        <v>100</v>
      </c>
      <c r="N653" s="30">
        <f>IF(A653="","",MONTH(A653))</f>
        <v>8</v>
      </c>
      <c r="O653" s="30">
        <f>IF(A653="","",YEAR(A653))</f>
        <v>2026</v>
      </c>
      <c r="P653" s="30" t="str">
        <f>IF(A653="","",CHOOSE(WEEKDAY(A653,2),"Segunda","Terça","Quarta","Quinta","Sexta","Sábado","Domingo"))</f>
        <v>Quarta</v>
      </c>
      <c r="Q653" s="30" t="str">
        <f>IF(B653="","",IF(B653&lt;TIME(12,0,0),"Manhã",IF(B653&lt;TIME(18,0,0),"Tarde","Noite")))</f>
        <v>Tarde</v>
      </c>
      <c r="R653" s="46">
        <f>IF(AND(H653="Realizado",L653&lt;&gt;"",A653&lt;=Config!$B$9),L653/60,0)</f>
        <v>0.5</v>
      </c>
      <c r="S653" s="45">
        <f>IF(G653="","",IFERROR(INDEX(Config!$K$5:$K$16,MATCH(G653,Config!$J$5:$J$16,0)),""))</f>
        <v>30</v>
      </c>
      <c r="T653" s="31">
        <f>IF(OR(G653="",F653=""),"",IFERROR(INDEX(Config!$M$5:$R$16,MATCH(G653,Config!$J$5:$J$16,0),MATCH(F653,Config!$H$5:$H$10,0)),""))</f>
        <v>100</v>
      </c>
      <c r="U653" s="47">
        <f>IF(AND(H653="Realizado",L653&lt;&gt;""),L653/60,0)</f>
        <v>0.5</v>
      </c>
      <c r="V653" s="47">
        <f>IF(AND(H653="Realizado",OR(L653="",M653="")),1,0)</f>
        <v>0</v>
      </c>
    </row>
    <row r="654">
      <c r="A654" s="43" t="n">
        <v>46239</v>
      </c>
      <c r="B654" s="44" t="n">
        <v>0.7083333333333334</v>
      </c>
      <c r="C654" s="38" t="inlineStr">
        <is>
          <t>Dra. Carolina Mendes</t>
        </is>
      </c>
      <c r="D654" s="38" t="inlineStr">
        <is>
          <t>Sala 1</t>
        </is>
      </c>
      <c r="E654" s="37" t="inlineStr">
        <is>
          <t>Mônica Martins</t>
        </is>
      </c>
      <c r="F654" s="38" t="inlineStr">
        <is>
          <t>Particular</t>
        </is>
      </c>
      <c r="G654" s="38" t="inlineStr">
        <is>
          <t>Retorno</t>
        </is>
      </c>
      <c r="H654" s="38" t="inlineStr">
        <is>
          <t>Realizado</t>
        </is>
      </c>
      <c r="I654" s="38" t="inlineStr">
        <is>
          <t>Sem cobrança</t>
        </is>
      </c>
      <c r="J654" s="38" t="n"/>
      <c r="K654" s="37" t="n"/>
      <c r="L654" s="39" t="n">
        <v>20</v>
      </c>
      <c r="M654" s="40" t="n">
        <v>0</v>
      </c>
      <c r="N654" s="30">
        <f>IF(A654="","",MONTH(A654))</f>
        <v>8</v>
      </c>
      <c r="O654" s="30">
        <f>IF(A654="","",YEAR(A654))</f>
        <v>2026</v>
      </c>
      <c r="P654" s="30" t="str">
        <f>IF(A654="","",CHOOSE(WEEKDAY(A654,2),"Segunda","Terça","Quarta","Quinta","Sexta","Sábado","Domingo"))</f>
        <v>Quarta</v>
      </c>
      <c r="Q654" s="30" t="str">
        <f>IF(B654="","",IF(B654&lt;TIME(12,0,0),"Manhã",IF(B654&lt;TIME(18,0,0),"Tarde","Noite")))</f>
        <v>Tarde</v>
      </c>
      <c r="R654" s="46">
        <f>IF(AND(H654="Realizado",L654&lt;&gt;"",A654&lt;=Config!$B$9),L654/60,0)</f>
        <v>0.333333333333333</v>
      </c>
      <c r="S654" s="45">
        <f>IF(G654="","",IFERROR(INDEX(Config!$K$5:$K$16,MATCH(G654,Config!$J$5:$J$16,0)),""))</f>
        <v>20</v>
      </c>
      <c r="T654" s="31">
        <f>IF(OR(G654="",F654=""),"",IFERROR(INDEX(Config!$M$5:$R$16,MATCH(G654,Config!$J$5:$J$16,0),MATCH(F654,Config!$H$5:$H$10,0)),""))</f>
        <v>0</v>
      </c>
      <c r="U654" s="47">
        <f>IF(AND(H654="Realizado",L654&lt;&gt;""),L654/60,0)</f>
        <v>0.333333333333333</v>
      </c>
      <c r="V654" s="47">
        <f>IF(AND(H654="Realizado",OR(L654="",M654="")),1,0)</f>
        <v>0</v>
      </c>
    </row>
    <row r="655">
      <c r="A655" s="43" t="n">
        <v>46239</v>
      </c>
      <c r="B655" s="44" t="n">
        <v>0.7222222222222222</v>
      </c>
      <c r="C655" s="38" t="inlineStr">
        <is>
          <t>Dra. Carolina Mendes</t>
        </is>
      </c>
      <c r="D655" s="38" t="inlineStr">
        <is>
          <t>Sala 1</t>
        </is>
      </c>
      <c r="E655" s="37" t="inlineStr">
        <is>
          <t>Rodrigo Moreira</t>
        </is>
      </c>
      <c r="F655" s="38" t="inlineStr">
        <is>
          <t>Particular</t>
        </is>
      </c>
      <c r="G655" s="38" t="inlineStr">
        <is>
          <t>Consulta</t>
        </is>
      </c>
      <c r="H655" s="38" t="inlineStr">
        <is>
          <t>Realizado</t>
        </is>
      </c>
      <c r="I655" s="38" t="inlineStr">
        <is>
          <t>Cartão de débito</t>
        </is>
      </c>
      <c r="J655" s="38" t="n"/>
      <c r="K655" s="37" t="n"/>
      <c r="L655" s="39" t="n">
        <v>30</v>
      </c>
      <c r="M655" s="40" t="n">
        <v>380</v>
      </c>
      <c r="N655" s="30">
        <f>IF(A655="","",MONTH(A655))</f>
        <v>8</v>
      </c>
      <c r="O655" s="30">
        <f>IF(A655="","",YEAR(A655))</f>
        <v>2026</v>
      </c>
      <c r="P655" s="30" t="str">
        <f>IF(A655="","",CHOOSE(WEEKDAY(A655,2),"Segunda","Terça","Quarta","Quinta","Sexta","Sábado","Domingo"))</f>
        <v>Quarta</v>
      </c>
      <c r="Q655" s="30" t="str">
        <f>IF(B655="","",IF(B655&lt;TIME(12,0,0),"Manhã",IF(B655&lt;TIME(18,0,0),"Tarde","Noite")))</f>
        <v>Tarde</v>
      </c>
      <c r="R655" s="46">
        <f>IF(AND(H655="Realizado",L655&lt;&gt;"",A655&lt;=Config!$B$9),L655/60,0)</f>
        <v>0.5</v>
      </c>
      <c r="S655" s="45">
        <f>IF(G655="","",IFERROR(INDEX(Config!$K$5:$K$16,MATCH(G655,Config!$J$5:$J$16,0)),""))</f>
        <v>30</v>
      </c>
      <c r="T655" s="31">
        <f>IF(OR(G655="",F655=""),"",IFERROR(INDEX(Config!$M$5:$R$16,MATCH(G655,Config!$J$5:$J$16,0),MATCH(F655,Config!$H$5:$H$10,0)),""))</f>
        <v>380</v>
      </c>
      <c r="U655" s="47">
        <f>IF(AND(H655="Realizado",L655&lt;&gt;""),L655/60,0)</f>
        <v>0.5</v>
      </c>
      <c r="V655" s="47">
        <f>IF(AND(H655="Realizado",OR(L655="",M655="")),1,0)</f>
        <v>0</v>
      </c>
    </row>
    <row r="656">
      <c r="A656" s="43" t="n">
        <v>46240</v>
      </c>
      <c r="B656" s="44" t="n">
        <v>0.3333333333333333</v>
      </c>
      <c r="C656" s="38" t="inlineStr">
        <is>
          <t>Dra. Carolina Mendes</t>
        </is>
      </c>
      <c r="D656" s="38" t="inlineStr">
        <is>
          <t>Sala 1</t>
        </is>
      </c>
      <c r="E656" s="37" t="inlineStr">
        <is>
          <t>Camila Batista</t>
        </is>
      </c>
      <c r="F656" s="38" t="inlineStr">
        <is>
          <t>MediPlan</t>
        </is>
      </c>
      <c r="G656" s="38" t="inlineStr">
        <is>
          <t>Consulta</t>
        </is>
      </c>
      <c r="H656" s="38" t="inlineStr">
        <is>
          <t>Realizado</t>
        </is>
      </c>
      <c r="I656" s="38" t="inlineStr">
        <is>
          <t>Convênio</t>
        </is>
      </c>
      <c r="J656" s="38" t="n"/>
      <c r="K656" s="37" t="n"/>
      <c r="L656" s="39" t="n">
        <v>30</v>
      </c>
      <c r="M656" s="40" t="n">
        <v>100</v>
      </c>
      <c r="N656" s="30">
        <f>IF(A656="","",MONTH(A656))</f>
        <v>8</v>
      </c>
      <c r="O656" s="30">
        <f>IF(A656="","",YEAR(A656))</f>
        <v>2026</v>
      </c>
      <c r="P656" s="30" t="str">
        <f>IF(A656="","",CHOOSE(WEEKDAY(A656,2),"Segunda","Terça","Quarta","Quinta","Sexta","Sábado","Domingo"))</f>
        <v>Quinta</v>
      </c>
      <c r="Q656" s="30" t="str">
        <f>IF(B656="","",IF(B656&lt;TIME(12,0,0),"Manhã",IF(B656&lt;TIME(18,0,0),"Tarde","Noite")))</f>
        <v>Manhã</v>
      </c>
      <c r="R656" s="46">
        <f>IF(AND(H656="Realizado",L656&lt;&gt;"",A656&lt;=Config!$B$9),L656/60,0)</f>
        <v>0.5</v>
      </c>
      <c r="S656" s="45">
        <f>IF(G656="","",IFERROR(INDEX(Config!$K$5:$K$16,MATCH(G656,Config!$J$5:$J$16,0)),""))</f>
        <v>30</v>
      </c>
      <c r="T656" s="31">
        <f>IF(OR(G656="",F656=""),"",IFERROR(INDEX(Config!$M$5:$R$16,MATCH(G656,Config!$J$5:$J$16,0),MATCH(F656,Config!$H$5:$H$10,0)),""))</f>
        <v>100</v>
      </c>
      <c r="U656" s="47">
        <f>IF(AND(H656="Realizado",L656&lt;&gt;""),L656/60,0)</f>
        <v>0.5</v>
      </c>
      <c r="V656" s="47">
        <f>IF(AND(H656="Realizado",OR(L656="",M656="")),1,0)</f>
        <v>0</v>
      </c>
    </row>
    <row r="657">
      <c r="A657" s="43" t="n">
        <v>46240</v>
      </c>
      <c r="B657" s="44" t="n">
        <v>0.375</v>
      </c>
      <c r="C657" s="38" t="inlineStr">
        <is>
          <t>Dra. Carolina Mendes</t>
        </is>
      </c>
      <c r="D657" s="38" t="inlineStr">
        <is>
          <t>Sala 1</t>
        </is>
      </c>
      <c r="E657" s="37" t="inlineStr">
        <is>
          <t>Elaine Cardoso</t>
        </is>
      </c>
      <c r="F657" s="38" t="inlineStr">
        <is>
          <t>Particular</t>
        </is>
      </c>
      <c r="G657" s="38" t="inlineStr">
        <is>
          <t>Consulta</t>
        </is>
      </c>
      <c r="H657" s="38" t="inlineStr">
        <is>
          <t>Realizado</t>
        </is>
      </c>
      <c r="I657" s="38" t="inlineStr">
        <is>
          <t>Cartão de crédito</t>
        </is>
      </c>
      <c r="J657" s="38" t="n">
        <v>2</v>
      </c>
      <c r="K657" s="37" t="n"/>
      <c r="L657" s="39" t="n">
        <v>30</v>
      </c>
      <c r="M657" s="40" t="n">
        <v>380</v>
      </c>
      <c r="N657" s="30">
        <f>IF(A657="","",MONTH(A657))</f>
        <v>8</v>
      </c>
      <c r="O657" s="30">
        <f>IF(A657="","",YEAR(A657))</f>
        <v>2026</v>
      </c>
      <c r="P657" s="30" t="str">
        <f>IF(A657="","",CHOOSE(WEEKDAY(A657,2),"Segunda","Terça","Quarta","Quinta","Sexta","Sábado","Domingo"))</f>
        <v>Quinta</v>
      </c>
      <c r="Q657" s="30" t="str">
        <f>IF(B657="","",IF(B657&lt;TIME(12,0,0),"Manhã",IF(B657&lt;TIME(18,0,0),"Tarde","Noite")))</f>
        <v>Manhã</v>
      </c>
      <c r="R657" s="46">
        <f>IF(AND(H657="Realizado",L657&lt;&gt;"",A657&lt;=Config!$B$9),L657/60,0)</f>
        <v>0.5</v>
      </c>
      <c r="S657" s="45">
        <f>IF(G657="","",IFERROR(INDEX(Config!$K$5:$K$16,MATCH(G657,Config!$J$5:$J$16,0)),""))</f>
        <v>30</v>
      </c>
      <c r="T657" s="31">
        <f>IF(OR(G657="",F657=""),"",IFERROR(INDEX(Config!$M$5:$R$16,MATCH(G657,Config!$J$5:$J$16,0),MATCH(F657,Config!$H$5:$H$10,0)),""))</f>
        <v>380</v>
      </c>
      <c r="U657" s="47">
        <f>IF(AND(H657="Realizado",L657&lt;&gt;""),L657/60,0)</f>
        <v>0.5</v>
      </c>
      <c r="V657" s="47">
        <f>IF(AND(H657="Realizado",OR(L657="",M657="")),1,0)</f>
        <v>0</v>
      </c>
    </row>
    <row r="658">
      <c r="A658" s="43" t="n">
        <v>46240</v>
      </c>
      <c r="B658" s="44" t="n">
        <v>0.3958333333333333</v>
      </c>
      <c r="C658" s="38" t="inlineStr">
        <is>
          <t>Dra. Carolina Mendes</t>
        </is>
      </c>
      <c r="D658" s="38" t="inlineStr">
        <is>
          <t>Sala 1</t>
        </is>
      </c>
      <c r="E658" s="37" t="inlineStr">
        <is>
          <t>Isabela Pinto</t>
        </is>
      </c>
      <c r="F658" s="38" t="inlineStr">
        <is>
          <t>Saúde Total</t>
        </is>
      </c>
      <c r="G658" s="38" t="inlineStr">
        <is>
          <t>Consulta</t>
        </is>
      </c>
      <c r="H658" s="38" t="inlineStr">
        <is>
          <t>Realizado</t>
        </is>
      </c>
      <c r="I658" s="38" t="inlineStr">
        <is>
          <t>Convênio</t>
        </is>
      </c>
      <c r="J658" s="38" t="n"/>
      <c r="K658" s="37" t="n"/>
      <c r="L658" s="39" t="n">
        <v>30</v>
      </c>
      <c r="M658" s="40" t="n">
        <v>120</v>
      </c>
      <c r="N658" s="30">
        <f>IF(A658="","",MONTH(A658))</f>
        <v>8</v>
      </c>
      <c r="O658" s="30">
        <f>IF(A658="","",YEAR(A658))</f>
        <v>2026</v>
      </c>
      <c r="P658" s="30" t="str">
        <f>IF(A658="","",CHOOSE(WEEKDAY(A658,2),"Segunda","Terça","Quarta","Quinta","Sexta","Sábado","Domingo"))</f>
        <v>Quinta</v>
      </c>
      <c r="Q658" s="30" t="str">
        <f>IF(B658="","",IF(B658&lt;TIME(12,0,0),"Manhã",IF(B658&lt;TIME(18,0,0),"Tarde","Noite")))</f>
        <v>Manhã</v>
      </c>
      <c r="R658" s="46">
        <f>IF(AND(H658="Realizado",L658&lt;&gt;"",A658&lt;=Config!$B$9),L658/60,0)</f>
        <v>0.5</v>
      </c>
      <c r="S658" s="45">
        <f>IF(G658="","",IFERROR(INDEX(Config!$K$5:$K$16,MATCH(G658,Config!$J$5:$J$16,0)),""))</f>
        <v>30</v>
      </c>
      <c r="T658" s="31">
        <f>IF(OR(G658="",F658=""),"",IFERROR(INDEX(Config!$M$5:$R$16,MATCH(G658,Config!$J$5:$J$16,0),MATCH(F658,Config!$H$5:$H$10,0)),""))</f>
        <v>120</v>
      </c>
      <c r="U658" s="47">
        <f>IF(AND(H658="Realizado",L658&lt;&gt;""),L658/60,0)</f>
        <v>0.5</v>
      </c>
      <c r="V658" s="47">
        <f>IF(AND(H658="Realizado",OR(L658="",M658="")),1,0)</f>
        <v>0</v>
      </c>
    </row>
    <row r="659">
      <c r="A659" s="43" t="n">
        <v>46240</v>
      </c>
      <c r="B659" s="44" t="n">
        <v>0.4375</v>
      </c>
      <c r="C659" s="38" t="inlineStr">
        <is>
          <t>Dra. Carolina Mendes</t>
        </is>
      </c>
      <c r="D659" s="38" t="inlineStr">
        <is>
          <t>Sala 1</t>
        </is>
      </c>
      <c r="E659" s="37" t="inlineStr">
        <is>
          <t>Daniel Almeida</t>
        </is>
      </c>
      <c r="F659" s="38" t="inlineStr">
        <is>
          <t>Saúde Total</t>
        </is>
      </c>
      <c r="G659" s="38" t="inlineStr">
        <is>
          <t>Consulta</t>
        </is>
      </c>
      <c r="H659" s="38" t="inlineStr">
        <is>
          <t>Realizado</t>
        </is>
      </c>
      <c r="I659" s="38" t="inlineStr">
        <is>
          <t>Convênio</t>
        </is>
      </c>
      <c r="J659" s="38" t="n"/>
      <c r="K659" s="37" t="n"/>
      <c r="L659" s="39" t="n">
        <v>30</v>
      </c>
      <c r="M659" s="40" t="n">
        <v>120</v>
      </c>
      <c r="N659" s="30">
        <f>IF(A659="","",MONTH(A659))</f>
        <v>8</v>
      </c>
      <c r="O659" s="30">
        <f>IF(A659="","",YEAR(A659))</f>
        <v>2026</v>
      </c>
      <c r="P659" s="30" t="str">
        <f>IF(A659="","",CHOOSE(WEEKDAY(A659,2),"Segunda","Terça","Quarta","Quinta","Sexta","Sábado","Domingo"))</f>
        <v>Quinta</v>
      </c>
      <c r="Q659" s="30" t="str">
        <f>IF(B659="","",IF(B659&lt;TIME(12,0,0),"Manhã",IF(B659&lt;TIME(18,0,0),"Tarde","Noite")))</f>
        <v>Manhã</v>
      </c>
      <c r="R659" s="46">
        <f>IF(AND(H659="Realizado",L659&lt;&gt;"",A659&lt;=Config!$B$9),L659/60,0)</f>
        <v>0.5</v>
      </c>
      <c r="S659" s="45">
        <f>IF(G659="","",IFERROR(INDEX(Config!$K$5:$K$16,MATCH(G659,Config!$J$5:$J$16,0)),""))</f>
        <v>30</v>
      </c>
      <c r="T659" s="31">
        <f>IF(OR(G659="",F659=""),"",IFERROR(INDEX(Config!$M$5:$R$16,MATCH(G659,Config!$J$5:$J$16,0),MATCH(F659,Config!$H$5:$H$10,0)),""))</f>
        <v>120</v>
      </c>
      <c r="U659" s="47">
        <f>IF(AND(H659="Realizado",L659&lt;&gt;""),L659/60,0)</f>
        <v>0.5</v>
      </c>
      <c r="V659" s="47">
        <f>IF(AND(H659="Realizado",OR(L659="",M659="")),1,0)</f>
        <v>0</v>
      </c>
    </row>
    <row r="660">
      <c r="A660" s="43" t="n">
        <v>46240</v>
      </c>
      <c r="B660" s="44" t="n">
        <v>0.4583333333333333</v>
      </c>
      <c r="C660" s="38" t="inlineStr">
        <is>
          <t>Dra. Carolina Mendes</t>
        </is>
      </c>
      <c r="D660" s="38" t="inlineStr">
        <is>
          <t>Sala 1</t>
        </is>
      </c>
      <c r="E660" s="37" t="inlineStr">
        <is>
          <t>Patrícia Fernandes</t>
        </is>
      </c>
      <c r="F660" s="38" t="inlineStr">
        <is>
          <t>Particular</t>
        </is>
      </c>
      <c r="G660" s="38" t="inlineStr">
        <is>
          <t>Consulta</t>
        </is>
      </c>
      <c r="H660" s="38" t="inlineStr">
        <is>
          <t>Realizado</t>
        </is>
      </c>
      <c r="I660" s="38" t="inlineStr">
        <is>
          <t>Cartão de débito</t>
        </is>
      </c>
      <c r="J660" s="38" t="n"/>
      <c r="K660" s="37" t="n"/>
      <c r="L660" s="39" t="n">
        <v>30</v>
      </c>
      <c r="M660" s="40" t="n">
        <v>380</v>
      </c>
      <c r="N660" s="30">
        <f>IF(A660="","",MONTH(A660))</f>
        <v>8</v>
      </c>
      <c r="O660" s="30">
        <f>IF(A660="","",YEAR(A660))</f>
        <v>2026</v>
      </c>
      <c r="P660" s="30" t="str">
        <f>IF(A660="","",CHOOSE(WEEKDAY(A660,2),"Segunda","Terça","Quarta","Quinta","Sexta","Sábado","Domingo"))</f>
        <v>Quinta</v>
      </c>
      <c r="Q660" s="30" t="str">
        <f>IF(B660="","",IF(B660&lt;TIME(12,0,0),"Manhã",IF(B660&lt;TIME(18,0,0),"Tarde","Noite")))</f>
        <v>Manhã</v>
      </c>
      <c r="R660" s="46">
        <f>IF(AND(H660="Realizado",L660&lt;&gt;"",A660&lt;=Config!$B$9),L660/60,0)</f>
        <v>0.5</v>
      </c>
      <c r="S660" s="45">
        <f>IF(G660="","",IFERROR(INDEX(Config!$K$5:$K$16,MATCH(G660,Config!$J$5:$J$16,0)),""))</f>
        <v>30</v>
      </c>
      <c r="T660" s="31">
        <f>IF(OR(G660="",F660=""),"",IFERROR(INDEX(Config!$M$5:$R$16,MATCH(G660,Config!$J$5:$J$16,0),MATCH(F660,Config!$H$5:$H$10,0)),""))</f>
        <v>380</v>
      </c>
      <c r="U660" s="47">
        <f>IF(AND(H660="Realizado",L660&lt;&gt;""),L660/60,0)</f>
        <v>0.5</v>
      </c>
      <c r="V660" s="47">
        <f>IF(AND(H660="Realizado",OR(L660="",M660="")),1,0)</f>
        <v>0</v>
      </c>
    </row>
    <row r="661">
      <c r="A661" s="43" t="n">
        <v>46240</v>
      </c>
      <c r="B661" s="44" t="n">
        <v>0.4791666666666667</v>
      </c>
      <c r="C661" s="38" t="inlineStr">
        <is>
          <t>Dra. Carolina Mendes</t>
        </is>
      </c>
      <c r="D661" s="38" t="inlineStr">
        <is>
          <t>Sala 1</t>
        </is>
      </c>
      <c r="E661" s="37" t="inlineStr">
        <is>
          <t>Otávio Cardoso</t>
        </is>
      </c>
      <c r="F661" s="38" t="inlineStr">
        <is>
          <t>Particular</t>
        </is>
      </c>
      <c r="G661" s="38" t="inlineStr">
        <is>
          <t>Retorno</t>
        </is>
      </c>
      <c r="H661" s="38" t="inlineStr">
        <is>
          <t>Realizado</t>
        </is>
      </c>
      <c r="I661" s="38" t="inlineStr">
        <is>
          <t>Sem cobrança</t>
        </is>
      </c>
      <c r="J661" s="38" t="n"/>
      <c r="K661" s="37" t="n"/>
      <c r="L661" s="39" t="n">
        <v>20</v>
      </c>
      <c r="M661" s="40" t="n">
        <v>0</v>
      </c>
      <c r="N661" s="30">
        <f>IF(A661="","",MONTH(A661))</f>
        <v>8</v>
      </c>
      <c r="O661" s="30">
        <f>IF(A661="","",YEAR(A661))</f>
        <v>2026</v>
      </c>
      <c r="P661" s="30" t="str">
        <f>IF(A661="","",CHOOSE(WEEKDAY(A661,2),"Segunda","Terça","Quarta","Quinta","Sexta","Sábado","Domingo"))</f>
        <v>Quinta</v>
      </c>
      <c r="Q661" s="30" t="str">
        <f>IF(B661="","",IF(B661&lt;TIME(12,0,0),"Manhã",IF(B661&lt;TIME(18,0,0),"Tarde","Noite")))</f>
        <v>Manhã</v>
      </c>
      <c r="R661" s="46">
        <f>IF(AND(H661="Realizado",L661&lt;&gt;"",A661&lt;=Config!$B$9),L661/60,0)</f>
        <v>0.333333333333333</v>
      </c>
      <c r="S661" s="45">
        <f>IF(G661="","",IFERROR(INDEX(Config!$K$5:$K$16,MATCH(G661,Config!$J$5:$J$16,0)),""))</f>
        <v>20</v>
      </c>
      <c r="T661" s="31">
        <f>IF(OR(G661="",F661=""),"",IFERROR(INDEX(Config!$M$5:$R$16,MATCH(G661,Config!$J$5:$J$16,0),MATCH(F661,Config!$H$5:$H$10,0)),""))</f>
        <v>0</v>
      </c>
      <c r="U661" s="47">
        <f>IF(AND(H661="Realizado",L661&lt;&gt;""),L661/60,0)</f>
        <v>0.333333333333333</v>
      </c>
      <c r="V661" s="47">
        <f>IF(AND(H661="Realizado",OR(L661="",M661="")),1,0)</f>
        <v>0</v>
      </c>
    </row>
    <row r="662">
      <c r="A662" s="43" t="n">
        <v>46240</v>
      </c>
      <c r="B662" s="44" t="n">
        <v>0.5833333333333334</v>
      </c>
      <c r="C662" s="38" t="inlineStr">
        <is>
          <t>Dra. Renata Sousa</t>
        </is>
      </c>
      <c r="D662" s="38" t="inlineStr">
        <is>
          <t>Sala 1</t>
        </is>
      </c>
      <c r="E662" s="37" t="inlineStr">
        <is>
          <t>Mariana Reis</t>
        </is>
      </c>
      <c r="F662" s="38" t="inlineStr">
        <is>
          <t>Particular</t>
        </is>
      </c>
      <c r="G662" s="38" t="inlineStr">
        <is>
          <t>Retorno</t>
        </is>
      </c>
      <c r="H662" s="38" t="inlineStr">
        <is>
          <t>Realizado</t>
        </is>
      </c>
      <c r="I662" s="38" t="inlineStr">
        <is>
          <t>Sem cobrança</t>
        </is>
      </c>
      <c r="J662" s="38" t="n"/>
      <c r="K662" s="37" t="n"/>
      <c r="L662" s="39" t="n">
        <v>20</v>
      </c>
      <c r="M662" s="40" t="n">
        <v>0</v>
      </c>
      <c r="N662" s="30">
        <f>IF(A662="","",MONTH(A662))</f>
        <v>8</v>
      </c>
      <c r="O662" s="30">
        <f>IF(A662="","",YEAR(A662))</f>
        <v>2026</v>
      </c>
      <c r="P662" s="30" t="str">
        <f>IF(A662="","",CHOOSE(WEEKDAY(A662,2),"Segunda","Terça","Quarta","Quinta","Sexta","Sábado","Domingo"))</f>
        <v>Quinta</v>
      </c>
      <c r="Q662" s="30" t="str">
        <f>IF(B662="","",IF(B662&lt;TIME(12,0,0),"Manhã",IF(B662&lt;TIME(18,0,0),"Tarde","Noite")))</f>
        <v>Tarde</v>
      </c>
      <c r="R662" s="46">
        <f>IF(AND(H662="Realizado",L662&lt;&gt;"",A662&lt;=Config!$B$9),L662/60,0)</f>
        <v>0.333333333333333</v>
      </c>
      <c r="S662" s="45">
        <f>IF(G662="","",IFERROR(INDEX(Config!$K$5:$K$16,MATCH(G662,Config!$J$5:$J$16,0)),""))</f>
        <v>20</v>
      </c>
      <c r="T662" s="31">
        <f>IF(OR(G662="",F662=""),"",IFERROR(INDEX(Config!$M$5:$R$16,MATCH(G662,Config!$J$5:$J$16,0),MATCH(F662,Config!$H$5:$H$10,0)),""))</f>
        <v>0</v>
      </c>
      <c r="U662" s="47">
        <f>IF(AND(H662="Realizado",L662&lt;&gt;""),L662/60,0)</f>
        <v>0.333333333333333</v>
      </c>
      <c r="V662" s="47">
        <f>IF(AND(H662="Realizado",OR(L662="",M662="")),1,0)</f>
        <v>0</v>
      </c>
    </row>
    <row r="663">
      <c r="A663" s="43" t="n">
        <v>46240</v>
      </c>
      <c r="B663" s="44" t="n">
        <v>0.5833333333333334</v>
      </c>
      <c r="C663" s="38" t="inlineStr">
        <is>
          <t>Dr. Paulo Andrade</t>
        </is>
      </c>
      <c r="D663" s="38" t="inlineStr">
        <is>
          <t>Sala 2</t>
        </is>
      </c>
      <c r="E663" s="37" t="inlineStr">
        <is>
          <t>Juliana Silva</t>
        </is>
      </c>
      <c r="F663" s="38" t="inlineStr">
        <is>
          <t>Vida Care</t>
        </is>
      </c>
      <c r="G663" s="38" t="inlineStr">
        <is>
          <t>Teste ergométrico</t>
        </is>
      </c>
      <c r="H663" s="38" t="inlineStr">
        <is>
          <t>Realizado</t>
        </is>
      </c>
      <c r="I663" s="38" t="inlineStr">
        <is>
          <t>Convênio</t>
        </is>
      </c>
      <c r="J663" s="38" t="n"/>
      <c r="K663" s="37" t="n"/>
      <c r="L663" s="39" t="n">
        <v>40</v>
      </c>
      <c r="M663" s="40" t="n">
        <v>110</v>
      </c>
      <c r="N663" s="30">
        <f>IF(A663="","",MONTH(A663))</f>
        <v>8</v>
      </c>
      <c r="O663" s="30">
        <f>IF(A663="","",YEAR(A663))</f>
        <v>2026</v>
      </c>
      <c r="P663" s="30" t="str">
        <f>IF(A663="","",CHOOSE(WEEKDAY(A663,2),"Segunda","Terça","Quarta","Quinta","Sexta","Sábado","Domingo"))</f>
        <v>Quinta</v>
      </c>
      <c r="Q663" s="30" t="str">
        <f>IF(B663="","",IF(B663&lt;TIME(12,0,0),"Manhã",IF(B663&lt;TIME(18,0,0),"Tarde","Noite")))</f>
        <v>Tarde</v>
      </c>
      <c r="R663" s="46">
        <f>IF(AND(H663="Realizado",L663&lt;&gt;"",A663&lt;=Config!$B$9),L663/60,0)</f>
        <v>0.666666666666667</v>
      </c>
      <c r="S663" s="45">
        <f>IF(G663="","",IFERROR(INDEX(Config!$K$5:$K$16,MATCH(G663,Config!$J$5:$J$16,0)),""))</f>
        <v>40</v>
      </c>
      <c r="T663" s="31">
        <f>IF(OR(G663="",F663=""),"",IFERROR(INDEX(Config!$M$5:$R$16,MATCH(G663,Config!$J$5:$J$16,0),MATCH(F663,Config!$H$5:$H$10,0)),""))</f>
        <v>110</v>
      </c>
      <c r="U663" s="47">
        <f>IF(AND(H663="Realizado",L663&lt;&gt;""),L663/60,0)</f>
        <v>0.666666666666667</v>
      </c>
      <c r="V663" s="47">
        <f>IF(AND(H663="Realizado",OR(L663="",M663="")),1,0)</f>
        <v>0</v>
      </c>
    </row>
    <row r="664">
      <c r="A664" s="43" t="n">
        <v>46240</v>
      </c>
      <c r="B664" s="44" t="n">
        <v>0.5972222222222222</v>
      </c>
      <c r="C664" s="38" t="inlineStr">
        <is>
          <t>Dra. Renata Sousa</t>
        </is>
      </c>
      <c r="D664" s="38" t="inlineStr">
        <is>
          <t>Sala 1</t>
        </is>
      </c>
      <c r="E664" s="37" t="inlineStr">
        <is>
          <t>Fábio Ferreira</t>
        </is>
      </c>
      <c r="F664" s="38" t="inlineStr">
        <is>
          <t>Particular</t>
        </is>
      </c>
      <c r="G664" s="38" t="inlineStr">
        <is>
          <t>Avaliação endócrina</t>
        </is>
      </c>
      <c r="H664" s="38" t="inlineStr">
        <is>
          <t>Realizado</t>
        </is>
      </c>
      <c r="I664" s="38" t="inlineStr">
        <is>
          <t>Cartão de crédito</t>
        </is>
      </c>
      <c r="J664" s="38" t="n">
        <v>2</v>
      </c>
      <c r="K664" s="37" t="n"/>
      <c r="L664" s="39" t="n">
        <v>40</v>
      </c>
      <c r="M664" s="40" t="n">
        <v>400</v>
      </c>
      <c r="N664" s="30">
        <f>IF(A664="","",MONTH(A664))</f>
        <v>8</v>
      </c>
      <c r="O664" s="30">
        <f>IF(A664="","",YEAR(A664))</f>
        <v>2026</v>
      </c>
      <c r="P664" s="30" t="str">
        <f>IF(A664="","",CHOOSE(WEEKDAY(A664,2),"Segunda","Terça","Quarta","Quinta","Sexta","Sábado","Domingo"))</f>
        <v>Quinta</v>
      </c>
      <c r="Q664" s="30" t="str">
        <f>IF(B664="","",IF(B664&lt;TIME(12,0,0),"Manhã",IF(B664&lt;TIME(18,0,0),"Tarde","Noite")))</f>
        <v>Tarde</v>
      </c>
      <c r="R664" s="46">
        <f>IF(AND(H664="Realizado",L664&lt;&gt;"",A664&lt;=Config!$B$9),L664/60,0)</f>
        <v>0.666666666666667</v>
      </c>
      <c r="S664" s="45">
        <f>IF(G664="","",IFERROR(INDEX(Config!$K$5:$K$16,MATCH(G664,Config!$J$5:$J$16,0)),""))</f>
        <v>40</v>
      </c>
      <c r="T664" s="31">
        <f>IF(OR(G664="",F664=""),"",IFERROR(INDEX(Config!$M$5:$R$16,MATCH(G664,Config!$J$5:$J$16,0),MATCH(F664,Config!$H$5:$H$10,0)),""))</f>
        <v>400</v>
      </c>
      <c r="U664" s="47">
        <f>IF(AND(H664="Realizado",L664&lt;&gt;""),L664/60,0)</f>
        <v>0.666666666666667</v>
      </c>
      <c r="V664" s="47">
        <f>IF(AND(H664="Realizado",OR(L664="",M664="")),1,0)</f>
        <v>0</v>
      </c>
    </row>
    <row r="665">
      <c r="A665" s="43" t="n">
        <v>46240</v>
      </c>
      <c r="B665" s="44" t="n">
        <v>0.625</v>
      </c>
      <c r="C665" s="38" t="inlineStr">
        <is>
          <t>Dra. Renata Sousa</t>
        </is>
      </c>
      <c r="D665" s="38" t="inlineStr">
        <is>
          <t>Sala 1</t>
        </is>
      </c>
      <c r="E665" s="37" t="inlineStr">
        <is>
          <t>Priscila Reis</t>
        </is>
      </c>
      <c r="F665" s="38" t="inlineStr">
        <is>
          <t>Particular</t>
        </is>
      </c>
      <c r="G665" s="38" t="inlineStr">
        <is>
          <t>Retorno</t>
        </is>
      </c>
      <c r="H665" s="38" t="inlineStr">
        <is>
          <t>Realizado</t>
        </is>
      </c>
      <c r="I665" s="38" t="inlineStr">
        <is>
          <t>Sem cobrança</t>
        </is>
      </c>
      <c r="J665" s="38" t="n"/>
      <c r="K665" s="37" t="n"/>
      <c r="L665" s="39" t="n">
        <v>20</v>
      </c>
      <c r="M665" s="40" t="n">
        <v>0</v>
      </c>
      <c r="N665" s="30">
        <f>IF(A665="","",MONTH(A665))</f>
        <v>8</v>
      </c>
      <c r="O665" s="30">
        <f>IF(A665="","",YEAR(A665))</f>
        <v>2026</v>
      </c>
      <c r="P665" s="30" t="str">
        <f>IF(A665="","",CHOOSE(WEEKDAY(A665,2),"Segunda","Terça","Quarta","Quinta","Sexta","Sábado","Domingo"))</f>
        <v>Quinta</v>
      </c>
      <c r="Q665" s="30" t="str">
        <f>IF(B665="","",IF(B665&lt;TIME(12,0,0),"Manhã",IF(B665&lt;TIME(18,0,0),"Tarde","Noite")))</f>
        <v>Tarde</v>
      </c>
      <c r="R665" s="46">
        <f>IF(AND(H665="Realizado",L665&lt;&gt;"",A665&lt;=Config!$B$9),L665/60,0)</f>
        <v>0.333333333333333</v>
      </c>
      <c r="S665" s="45">
        <f>IF(G665="","",IFERROR(INDEX(Config!$K$5:$K$16,MATCH(G665,Config!$J$5:$J$16,0)),""))</f>
        <v>20</v>
      </c>
      <c r="T665" s="31">
        <f>IF(OR(G665="",F665=""),"",IFERROR(INDEX(Config!$M$5:$R$16,MATCH(G665,Config!$J$5:$J$16,0),MATCH(F665,Config!$H$5:$H$10,0)),""))</f>
        <v>0</v>
      </c>
      <c r="U665" s="47">
        <f>IF(AND(H665="Realizado",L665&lt;&gt;""),L665/60,0)</f>
        <v>0.333333333333333</v>
      </c>
      <c r="V665" s="47">
        <f>IF(AND(H665="Realizado",OR(L665="",M665="")),1,0)</f>
        <v>0</v>
      </c>
    </row>
    <row r="666">
      <c r="A666" s="43" t="n">
        <v>46240</v>
      </c>
      <c r="B666" s="44" t="n">
        <v>0.6319444444444444</v>
      </c>
      <c r="C666" s="38" t="inlineStr">
        <is>
          <t>Dr. Paulo Andrade</t>
        </is>
      </c>
      <c r="D666" s="38" t="inlineStr">
        <is>
          <t>Sala 2</t>
        </is>
      </c>
      <c r="E666" s="37" t="inlineStr">
        <is>
          <t>Sandra Martins</t>
        </is>
      </c>
      <c r="F666" s="38" t="inlineStr">
        <is>
          <t>MediPlan</t>
        </is>
      </c>
      <c r="G666" s="38" t="inlineStr">
        <is>
          <t>Consulta</t>
        </is>
      </c>
      <c r="H666" s="38" t="inlineStr">
        <is>
          <t>Realizado</t>
        </is>
      </c>
      <c r="I666" s="38" t="inlineStr">
        <is>
          <t>Convênio</t>
        </is>
      </c>
      <c r="J666" s="38" t="n"/>
      <c r="K666" s="37" t="n"/>
      <c r="L666" s="39" t="n">
        <v>30</v>
      </c>
      <c r="M666" s="40" t="n">
        <v>100</v>
      </c>
      <c r="N666" s="30">
        <f>IF(A666="","",MONTH(A666))</f>
        <v>8</v>
      </c>
      <c r="O666" s="30">
        <f>IF(A666="","",YEAR(A666))</f>
        <v>2026</v>
      </c>
      <c r="P666" s="30" t="str">
        <f>IF(A666="","",CHOOSE(WEEKDAY(A666,2),"Segunda","Terça","Quarta","Quinta","Sexta","Sábado","Domingo"))</f>
        <v>Quinta</v>
      </c>
      <c r="Q666" s="30" t="str">
        <f>IF(B666="","",IF(B666&lt;TIME(12,0,0),"Manhã",IF(B666&lt;TIME(18,0,0),"Tarde","Noite")))</f>
        <v>Tarde</v>
      </c>
      <c r="R666" s="46">
        <f>IF(AND(H666="Realizado",L666&lt;&gt;"",A666&lt;=Config!$B$9),L666/60,0)</f>
        <v>0.5</v>
      </c>
      <c r="S666" s="45">
        <f>IF(G666="","",IFERROR(INDEX(Config!$K$5:$K$16,MATCH(G666,Config!$J$5:$J$16,0)),""))</f>
        <v>30</v>
      </c>
      <c r="T666" s="31">
        <f>IF(OR(G666="",F666=""),"",IFERROR(INDEX(Config!$M$5:$R$16,MATCH(G666,Config!$J$5:$J$16,0),MATCH(F666,Config!$H$5:$H$10,0)),""))</f>
        <v>100</v>
      </c>
      <c r="U666" s="47">
        <f>IF(AND(H666="Realizado",L666&lt;&gt;""),L666/60,0)</f>
        <v>0.5</v>
      </c>
      <c r="V666" s="47">
        <f>IF(AND(H666="Realizado",OR(L666="",M666="")),1,0)</f>
        <v>0</v>
      </c>
    </row>
    <row r="667">
      <c r="A667" s="43" t="n">
        <v>46240</v>
      </c>
      <c r="B667" s="44" t="n">
        <v>0.6388888888888888</v>
      </c>
      <c r="C667" s="38" t="inlineStr">
        <is>
          <t>Dra. Renata Sousa</t>
        </is>
      </c>
      <c r="D667" s="38" t="inlineStr">
        <is>
          <t>Sala 1</t>
        </is>
      </c>
      <c r="E667" s="37" t="inlineStr">
        <is>
          <t>Cláudia Melo</t>
        </is>
      </c>
      <c r="F667" s="38" t="inlineStr">
        <is>
          <t>Particular</t>
        </is>
      </c>
      <c r="G667" s="38" t="inlineStr">
        <is>
          <t>Avaliação endócrina</t>
        </is>
      </c>
      <c r="H667" s="38" t="inlineStr">
        <is>
          <t>Realizado</t>
        </is>
      </c>
      <c r="I667" s="38" t="inlineStr">
        <is>
          <t>Pix</t>
        </is>
      </c>
      <c r="J667" s="38" t="n"/>
      <c r="K667" s="37" t="n"/>
      <c r="L667" s="39" t="n">
        <v>40</v>
      </c>
      <c r="M667" s="40" t="n">
        <v>400</v>
      </c>
      <c r="N667" s="30">
        <f>IF(A667="","",MONTH(A667))</f>
        <v>8</v>
      </c>
      <c r="O667" s="30">
        <f>IF(A667="","",YEAR(A667))</f>
        <v>2026</v>
      </c>
      <c r="P667" s="30" t="str">
        <f>IF(A667="","",CHOOSE(WEEKDAY(A667,2),"Segunda","Terça","Quarta","Quinta","Sexta","Sábado","Domingo"))</f>
        <v>Quinta</v>
      </c>
      <c r="Q667" s="30" t="str">
        <f>IF(B667="","",IF(B667&lt;TIME(12,0,0),"Manhã",IF(B667&lt;TIME(18,0,0),"Tarde","Noite")))</f>
        <v>Tarde</v>
      </c>
      <c r="R667" s="46">
        <f>IF(AND(H667="Realizado",L667&lt;&gt;"",A667&lt;=Config!$B$9),L667/60,0)</f>
        <v>0.666666666666667</v>
      </c>
      <c r="S667" s="45">
        <f>IF(G667="","",IFERROR(INDEX(Config!$K$5:$K$16,MATCH(G667,Config!$J$5:$J$16,0)),""))</f>
        <v>40</v>
      </c>
      <c r="T667" s="31">
        <f>IF(OR(G667="",F667=""),"",IFERROR(INDEX(Config!$M$5:$R$16,MATCH(G667,Config!$J$5:$J$16,0),MATCH(F667,Config!$H$5:$H$10,0)),""))</f>
        <v>400</v>
      </c>
      <c r="U667" s="47">
        <f>IF(AND(H667="Realizado",L667&lt;&gt;""),L667/60,0)</f>
        <v>0.666666666666667</v>
      </c>
      <c r="V667" s="47">
        <f>IF(AND(H667="Realizado",OR(L667="",M667="")),1,0)</f>
        <v>0</v>
      </c>
    </row>
    <row r="668">
      <c r="A668" s="43" t="n">
        <v>46240</v>
      </c>
      <c r="B668" s="44" t="n">
        <v>0.6527777777777778</v>
      </c>
      <c r="C668" s="38" t="inlineStr">
        <is>
          <t>Dr. Paulo Andrade</t>
        </is>
      </c>
      <c r="D668" s="38" t="inlineStr">
        <is>
          <t>Sala 2</t>
        </is>
      </c>
      <c r="E668" s="37" t="inlineStr">
        <is>
          <t>Mateus Dias</t>
        </is>
      </c>
      <c r="F668" s="38" t="inlineStr">
        <is>
          <t>Saúde Total</t>
        </is>
      </c>
      <c r="G668" s="38" t="inlineStr">
        <is>
          <t>Consulta</t>
        </is>
      </c>
      <c r="H668" s="38" t="inlineStr">
        <is>
          <t>Realizado</t>
        </is>
      </c>
      <c r="I668" s="38" t="inlineStr">
        <is>
          <t>Convênio</t>
        </is>
      </c>
      <c r="J668" s="38" t="n"/>
      <c r="K668" s="37" t="n"/>
      <c r="L668" s="39" t="n">
        <v>30</v>
      </c>
      <c r="M668" s="40" t="n">
        <v>120</v>
      </c>
      <c r="N668" s="30">
        <f>IF(A668="","",MONTH(A668))</f>
        <v>8</v>
      </c>
      <c r="O668" s="30">
        <f>IF(A668="","",YEAR(A668))</f>
        <v>2026</v>
      </c>
      <c r="P668" s="30" t="str">
        <f>IF(A668="","",CHOOSE(WEEKDAY(A668,2),"Segunda","Terça","Quarta","Quinta","Sexta","Sábado","Domingo"))</f>
        <v>Quinta</v>
      </c>
      <c r="Q668" s="30" t="str">
        <f>IF(B668="","",IF(B668&lt;TIME(12,0,0),"Manhã",IF(B668&lt;TIME(18,0,0),"Tarde","Noite")))</f>
        <v>Tarde</v>
      </c>
      <c r="R668" s="46">
        <f>IF(AND(H668="Realizado",L668&lt;&gt;"",A668&lt;=Config!$B$9),L668/60,0)</f>
        <v>0.5</v>
      </c>
      <c r="S668" s="45">
        <f>IF(G668="","",IFERROR(INDEX(Config!$K$5:$K$16,MATCH(G668,Config!$J$5:$J$16,0)),""))</f>
        <v>30</v>
      </c>
      <c r="T668" s="31">
        <f>IF(OR(G668="",F668=""),"",IFERROR(INDEX(Config!$M$5:$R$16,MATCH(G668,Config!$J$5:$J$16,0),MATCH(F668,Config!$H$5:$H$10,0)),""))</f>
        <v>120</v>
      </c>
      <c r="U668" s="47">
        <f>IF(AND(H668="Realizado",L668&lt;&gt;""),L668/60,0)</f>
        <v>0.5</v>
      </c>
      <c r="V668" s="47">
        <f>IF(AND(H668="Realizado",OR(L668="",M668="")),1,0)</f>
        <v>0</v>
      </c>
    </row>
    <row r="669">
      <c r="A669" s="43" t="n">
        <v>46240</v>
      </c>
      <c r="B669" s="44" t="n">
        <v>0.6666666666666666</v>
      </c>
      <c r="C669" s="38" t="inlineStr">
        <is>
          <t>Dra. Renata Sousa</t>
        </is>
      </c>
      <c r="D669" s="38" t="inlineStr">
        <is>
          <t>Sala 1</t>
        </is>
      </c>
      <c r="E669" s="37" t="inlineStr">
        <is>
          <t>Roberta Lima</t>
        </is>
      </c>
      <c r="F669" s="38" t="inlineStr">
        <is>
          <t>Particular</t>
        </is>
      </c>
      <c r="G669" s="38" t="inlineStr">
        <is>
          <t>Avaliação endócrina</t>
        </is>
      </c>
      <c r="H669" s="38" t="inlineStr">
        <is>
          <t>Realizado</t>
        </is>
      </c>
      <c r="I669" s="38" t="inlineStr">
        <is>
          <t>A prazo</t>
        </is>
      </c>
      <c r="J669" s="38" t="n"/>
      <c r="K669" s="37" t="n"/>
      <c r="L669" s="39" t="n">
        <v>40</v>
      </c>
      <c r="M669" s="40" t="n">
        <v>400</v>
      </c>
      <c r="N669" s="30">
        <f>IF(A669="","",MONTH(A669))</f>
        <v>8</v>
      </c>
      <c r="O669" s="30">
        <f>IF(A669="","",YEAR(A669))</f>
        <v>2026</v>
      </c>
      <c r="P669" s="30" t="str">
        <f>IF(A669="","",CHOOSE(WEEKDAY(A669,2),"Segunda","Terça","Quarta","Quinta","Sexta","Sábado","Domingo"))</f>
        <v>Quinta</v>
      </c>
      <c r="Q669" s="30" t="str">
        <f>IF(B669="","",IF(B669&lt;TIME(12,0,0),"Manhã",IF(B669&lt;TIME(18,0,0),"Tarde","Noite")))</f>
        <v>Tarde</v>
      </c>
      <c r="R669" s="46">
        <f>IF(AND(H669="Realizado",L669&lt;&gt;"",A669&lt;=Config!$B$9),L669/60,0)</f>
        <v>0.666666666666667</v>
      </c>
      <c r="S669" s="45">
        <f>IF(G669="","",IFERROR(INDEX(Config!$K$5:$K$16,MATCH(G669,Config!$J$5:$J$16,0)),""))</f>
        <v>40</v>
      </c>
      <c r="T669" s="31">
        <f>IF(OR(G669="",F669=""),"",IFERROR(INDEX(Config!$M$5:$R$16,MATCH(G669,Config!$J$5:$J$16,0),MATCH(F669,Config!$H$5:$H$10,0)),""))</f>
        <v>400</v>
      </c>
      <c r="U669" s="47">
        <f>IF(AND(H669="Realizado",L669&lt;&gt;""),L669/60,0)</f>
        <v>0.666666666666667</v>
      </c>
      <c r="V669" s="47">
        <f>IF(AND(H669="Realizado",OR(L669="",M669="")),1,0)</f>
        <v>0</v>
      </c>
    </row>
    <row r="670">
      <c r="A670" s="43" t="n">
        <v>46240</v>
      </c>
      <c r="B670" s="44" t="n">
        <v>0.6944444444444444</v>
      </c>
      <c r="C670" s="38" t="inlineStr">
        <is>
          <t>Dra. Renata Sousa</t>
        </is>
      </c>
      <c r="D670" s="38" t="inlineStr">
        <is>
          <t>Sala 1</t>
        </is>
      </c>
      <c r="E670" s="37" t="inlineStr">
        <is>
          <t>Carlos Freitas</t>
        </is>
      </c>
      <c r="F670" s="38" t="inlineStr">
        <is>
          <t>Particular</t>
        </is>
      </c>
      <c r="G670" s="38" t="inlineStr">
        <is>
          <t>Avaliação endócrina</t>
        </is>
      </c>
      <c r="H670" s="38" t="inlineStr">
        <is>
          <t>Falta</t>
        </is>
      </c>
      <c r="I670" s="38" t="n"/>
      <c r="J670" s="38" t="n"/>
      <c r="K670" s="37" t="n"/>
      <c r="L670" s="39" t="n">
        <v>40</v>
      </c>
      <c r="M670" s="40" t="n">
        <v>400</v>
      </c>
      <c r="N670" s="30">
        <f>IF(A670="","",MONTH(A670))</f>
        <v>8</v>
      </c>
      <c r="O670" s="30">
        <f>IF(A670="","",YEAR(A670))</f>
        <v>2026</v>
      </c>
      <c r="P670" s="30" t="str">
        <f>IF(A670="","",CHOOSE(WEEKDAY(A670,2),"Segunda","Terça","Quarta","Quinta","Sexta","Sábado","Domingo"))</f>
        <v>Quinta</v>
      </c>
      <c r="Q670" s="30" t="str">
        <f>IF(B670="","",IF(B670&lt;TIME(12,0,0),"Manhã",IF(B670&lt;TIME(18,0,0),"Tarde","Noite")))</f>
        <v>Tarde</v>
      </c>
      <c r="R670" s="46">
        <f>IF(AND(H670="Realizado",L670&lt;&gt;"",A670&lt;=Config!$B$9),L670/60,0)</f>
        <v>0</v>
      </c>
      <c r="S670" s="45">
        <f>IF(G670="","",IFERROR(INDEX(Config!$K$5:$K$16,MATCH(G670,Config!$J$5:$J$16,0)),""))</f>
        <v>40</v>
      </c>
      <c r="T670" s="31">
        <f>IF(OR(G670="",F670=""),"",IFERROR(INDEX(Config!$M$5:$R$16,MATCH(G670,Config!$J$5:$J$16,0),MATCH(F670,Config!$H$5:$H$10,0)),""))</f>
        <v>400</v>
      </c>
      <c r="U670" s="47">
        <f>IF(AND(H670="Realizado",L670&lt;&gt;""),L670/60,0)</f>
        <v>0</v>
      </c>
      <c r="V670" s="47">
        <f>IF(AND(H670="Realizado",OR(L670="",M670="")),1,0)</f>
        <v>0</v>
      </c>
    </row>
    <row r="671">
      <c r="A671" s="43" t="n">
        <v>46240</v>
      </c>
      <c r="B671" s="44" t="n">
        <v>0.6944444444444444</v>
      </c>
      <c r="C671" s="38" t="inlineStr">
        <is>
          <t>Dr. Paulo Andrade</t>
        </is>
      </c>
      <c r="D671" s="38" t="inlineStr">
        <is>
          <t>Sala 2</t>
        </is>
      </c>
      <c r="E671" s="37" t="inlineStr">
        <is>
          <t>Otávio Cardoso</t>
        </is>
      </c>
      <c r="F671" s="38" t="inlineStr">
        <is>
          <t>Particular</t>
        </is>
      </c>
      <c r="G671" s="38" t="inlineStr">
        <is>
          <t>Teste ergométrico</t>
        </is>
      </c>
      <c r="H671" s="38" t="inlineStr">
        <is>
          <t>Realizado</t>
        </is>
      </c>
      <c r="I671" s="38" t="inlineStr">
        <is>
          <t>Pix</t>
        </is>
      </c>
      <c r="J671" s="38" t="n"/>
      <c r="K671" s="37" t="n"/>
      <c r="L671" s="39" t="n">
        <v>40</v>
      </c>
      <c r="M671" s="40" t="n">
        <v>450</v>
      </c>
      <c r="N671" s="30">
        <f>IF(A671="","",MONTH(A671))</f>
        <v>8</v>
      </c>
      <c r="O671" s="30">
        <f>IF(A671="","",YEAR(A671))</f>
        <v>2026</v>
      </c>
      <c r="P671" s="30" t="str">
        <f>IF(A671="","",CHOOSE(WEEKDAY(A671,2),"Segunda","Terça","Quarta","Quinta","Sexta","Sábado","Domingo"))</f>
        <v>Quinta</v>
      </c>
      <c r="Q671" s="30" t="str">
        <f>IF(B671="","",IF(B671&lt;TIME(12,0,0),"Manhã",IF(B671&lt;TIME(18,0,0),"Tarde","Noite")))</f>
        <v>Tarde</v>
      </c>
      <c r="R671" s="46">
        <f>IF(AND(H671="Realizado",L671&lt;&gt;"",A671&lt;=Config!$B$9),L671/60,0)</f>
        <v>0.666666666666667</v>
      </c>
      <c r="S671" s="45">
        <f>IF(G671="","",IFERROR(INDEX(Config!$K$5:$K$16,MATCH(G671,Config!$J$5:$J$16,0)),""))</f>
        <v>40</v>
      </c>
      <c r="T671" s="31">
        <f>IF(OR(G671="",F671=""),"",IFERROR(INDEX(Config!$M$5:$R$16,MATCH(G671,Config!$J$5:$J$16,0),MATCH(F671,Config!$H$5:$H$10,0)),""))</f>
        <v>450</v>
      </c>
      <c r="U671" s="47">
        <f>IF(AND(H671="Realizado",L671&lt;&gt;""),L671/60,0)</f>
        <v>0.666666666666667</v>
      </c>
      <c r="V671" s="47">
        <f>IF(AND(H671="Realizado",OR(L671="",M671="")),1,0)</f>
        <v>0</v>
      </c>
    </row>
    <row r="672">
      <c r="A672" s="43" t="n">
        <v>46240</v>
      </c>
      <c r="B672" s="44" t="n">
        <v>0.7222222222222222</v>
      </c>
      <c r="C672" s="38" t="inlineStr">
        <is>
          <t>Dra. Renata Sousa</t>
        </is>
      </c>
      <c r="D672" s="38" t="inlineStr">
        <is>
          <t>Sala 1</t>
        </is>
      </c>
      <c r="E672" s="37" t="inlineStr">
        <is>
          <t>Patrícia Dias</t>
        </is>
      </c>
      <c r="F672" s="38" t="inlineStr">
        <is>
          <t>Particular</t>
        </is>
      </c>
      <c r="G672" s="38" t="inlineStr">
        <is>
          <t>Avaliação endócrina</t>
        </is>
      </c>
      <c r="H672" s="38" t="inlineStr">
        <is>
          <t>Falta</t>
        </is>
      </c>
      <c r="I672" s="38" t="n"/>
      <c r="J672" s="38" t="n"/>
      <c r="K672" s="37" t="n"/>
      <c r="L672" s="39" t="n">
        <v>40</v>
      </c>
      <c r="M672" s="40" t="n">
        <v>400</v>
      </c>
      <c r="N672" s="30">
        <f>IF(A672="","",MONTH(A672))</f>
        <v>8</v>
      </c>
      <c r="O672" s="30">
        <f>IF(A672="","",YEAR(A672))</f>
        <v>2026</v>
      </c>
      <c r="P672" s="30" t="str">
        <f>IF(A672="","",CHOOSE(WEEKDAY(A672,2),"Segunda","Terça","Quarta","Quinta","Sexta","Sábado","Domingo"))</f>
        <v>Quinta</v>
      </c>
      <c r="Q672" s="30" t="str">
        <f>IF(B672="","",IF(B672&lt;TIME(12,0,0),"Manhã",IF(B672&lt;TIME(18,0,0),"Tarde","Noite")))</f>
        <v>Tarde</v>
      </c>
      <c r="R672" s="46">
        <f>IF(AND(H672="Realizado",L672&lt;&gt;"",A672&lt;=Config!$B$9),L672/60,0)</f>
        <v>0</v>
      </c>
      <c r="S672" s="45">
        <f>IF(G672="","",IFERROR(INDEX(Config!$K$5:$K$16,MATCH(G672,Config!$J$5:$J$16,0)),""))</f>
        <v>40</v>
      </c>
      <c r="T672" s="31">
        <f>IF(OR(G672="",F672=""),"",IFERROR(INDEX(Config!$M$5:$R$16,MATCH(G672,Config!$J$5:$J$16,0),MATCH(F672,Config!$H$5:$H$10,0)),""))</f>
        <v>400</v>
      </c>
      <c r="U672" s="47">
        <f>IF(AND(H672="Realizado",L672&lt;&gt;""),L672/60,0)</f>
        <v>0</v>
      </c>
      <c r="V672" s="47">
        <f>IF(AND(H672="Realizado",OR(L672="",M672="")),1,0)</f>
        <v>0</v>
      </c>
    </row>
    <row r="673">
      <c r="A673" s="43" t="n">
        <v>46240</v>
      </c>
      <c r="B673" s="44" t="n">
        <v>0.7222222222222222</v>
      </c>
      <c r="C673" s="38" t="inlineStr">
        <is>
          <t>Dr. Paulo Andrade</t>
        </is>
      </c>
      <c r="D673" s="38" t="inlineStr">
        <is>
          <t>Sala 2</t>
        </is>
      </c>
      <c r="E673" s="37" t="inlineStr">
        <is>
          <t>Ricardo Melo</t>
        </is>
      </c>
      <c r="F673" s="38" t="inlineStr">
        <is>
          <t>Saúde Total</t>
        </is>
      </c>
      <c r="G673" s="38" t="inlineStr">
        <is>
          <t>ECG</t>
        </is>
      </c>
      <c r="H673" s="38" t="inlineStr">
        <is>
          <t>Realizado</t>
        </is>
      </c>
      <c r="I673" s="38" t="inlineStr">
        <is>
          <t>Convênio</t>
        </is>
      </c>
      <c r="J673" s="38" t="n"/>
      <c r="K673" s="37" t="n"/>
      <c r="L673" s="39" t="n">
        <v>20</v>
      </c>
      <c r="M673" s="40" t="n">
        <v>40</v>
      </c>
      <c r="N673" s="30">
        <f>IF(A673="","",MONTH(A673))</f>
        <v>8</v>
      </c>
      <c r="O673" s="30">
        <f>IF(A673="","",YEAR(A673))</f>
        <v>2026</v>
      </c>
      <c r="P673" s="30" t="str">
        <f>IF(A673="","",CHOOSE(WEEKDAY(A673,2),"Segunda","Terça","Quarta","Quinta","Sexta","Sábado","Domingo"))</f>
        <v>Quinta</v>
      </c>
      <c r="Q673" s="30" t="str">
        <f>IF(B673="","",IF(B673&lt;TIME(12,0,0),"Manhã",IF(B673&lt;TIME(18,0,0),"Tarde","Noite")))</f>
        <v>Tarde</v>
      </c>
      <c r="R673" s="46">
        <f>IF(AND(H673="Realizado",L673&lt;&gt;"",A673&lt;=Config!$B$9),L673/60,0)</f>
        <v>0.333333333333333</v>
      </c>
      <c r="S673" s="45">
        <f>IF(G673="","",IFERROR(INDEX(Config!$K$5:$K$16,MATCH(G673,Config!$J$5:$J$16,0)),""))</f>
        <v>20</v>
      </c>
      <c r="T673" s="31">
        <f>IF(OR(G673="",F673=""),"",IFERROR(INDEX(Config!$M$5:$R$16,MATCH(G673,Config!$J$5:$J$16,0),MATCH(F673,Config!$H$5:$H$10,0)),""))</f>
        <v>40</v>
      </c>
      <c r="U673" s="47">
        <f>IF(AND(H673="Realizado",L673&lt;&gt;""),L673/60,0)</f>
        <v>0.333333333333333</v>
      </c>
      <c r="V673" s="47">
        <f>IF(AND(H673="Realizado",OR(L673="",M673="")),1,0)</f>
        <v>0</v>
      </c>
    </row>
    <row r="674">
      <c r="A674" s="43" t="n">
        <v>46240</v>
      </c>
      <c r="B674" s="44" t="n">
        <v>0.7361111111111112</v>
      </c>
      <c r="C674" s="38" t="inlineStr">
        <is>
          <t>Dr. Paulo Andrade</t>
        </is>
      </c>
      <c r="D674" s="38" t="inlineStr">
        <is>
          <t>Sala 2</t>
        </is>
      </c>
      <c r="E674" s="37" t="inlineStr">
        <is>
          <t>Carlos Barros</t>
        </is>
      </c>
      <c r="F674" s="38" t="inlineStr">
        <is>
          <t>MediPlan</t>
        </is>
      </c>
      <c r="G674" s="38" t="inlineStr">
        <is>
          <t>MAPA</t>
        </is>
      </c>
      <c r="H674" s="38" t="inlineStr">
        <is>
          <t>Realizado</t>
        </is>
      </c>
      <c r="I674" s="38" t="inlineStr">
        <is>
          <t>Convênio</t>
        </is>
      </c>
      <c r="J674" s="38" t="n"/>
      <c r="K674" s="37" t="n"/>
      <c r="L674" s="39" t="n">
        <v>20</v>
      </c>
      <c r="M674" s="40" t="n">
        <v>85</v>
      </c>
      <c r="N674" s="30">
        <f>IF(A674="","",MONTH(A674))</f>
        <v>8</v>
      </c>
      <c r="O674" s="30">
        <f>IF(A674="","",YEAR(A674))</f>
        <v>2026</v>
      </c>
      <c r="P674" s="30" t="str">
        <f>IF(A674="","",CHOOSE(WEEKDAY(A674,2),"Segunda","Terça","Quarta","Quinta","Sexta","Sábado","Domingo"))</f>
        <v>Quinta</v>
      </c>
      <c r="Q674" s="30" t="str">
        <f>IF(B674="","",IF(B674&lt;TIME(12,0,0),"Manhã",IF(B674&lt;TIME(18,0,0),"Tarde","Noite")))</f>
        <v>Tarde</v>
      </c>
      <c r="R674" s="46">
        <f>IF(AND(H674="Realizado",L674&lt;&gt;"",A674&lt;=Config!$B$9),L674/60,0)</f>
        <v>0.333333333333333</v>
      </c>
      <c r="S674" s="45">
        <f>IF(G674="","",IFERROR(INDEX(Config!$K$5:$K$16,MATCH(G674,Config!$J$5:$J$16,0)),""))</f>
        <v>20</v>
      </c>
      <c r="T674" s="31">
        <f>IF(OR(G674="",F674=""),"",IFERROR(INDEX(Config!$M$5:$R$16,MATCH(G674,Config!$J$5:$J$16,0),MATCH(F674,Config!$H$5:$H$10,0)),""))</f>
        <v>85</v>
      </c>
      <c r="U674" s="47">
        <f>IF(AND(H674="Realizado",L674&lt;&gt;""),L674/60,0)</f>
        <v>0.333333333333333</v>
      </c>
      <c r="V674" s="47">
        <f>IF(AND(H674="Realizado",OR(L674="",M674="")),1,0)</f>
        <v>0</v>
      </c>
    </row>
    <row r="675">
      <c r="A675" s="43" t="n">
        <v>46241</v>
      </c>
      <c r="B675" s="44" t="n">
        <v>0.3333333333333333</v>
      </c>
      <c r="C675" s="38" t="inlineStr">
        <is>
          <t>Dr. Paulo Andrade</t>
        </is>
      </c>
      <c r="D675" s="38" t="inlineStr">
        <is>
          <t>Sala 2</t>
        </is>
      </c>
      <c r="E675" s="37" t="inlineStr">
        <is>
          <t>Rafael Barros</t>
        </is>
      </c>
      <c r="F675" s="38" t="inlineStr">
        <is>
          <t>Particular</t>
        </is>
      </c>
      <c r="G675" s="38" t="inlineStr">
        <is>
          <t>Retorno</t>
        </is>
      </c>
      <c r="H675" s="38" t="inlineStr">
        <is>
          <t>Realizado</t>
        </is>
      </c>
      <c r="I675" s="38" t="inlineStr">
        <is>
          <t>Sem cobrança</t>
        </is>
      </c>
      <c r="J675" s="38" t="n"/>
      <c r="K675" s="37" t="n"/>
      <c r="L675" s="39" t="n">
        <v>20</v>
      </c>
      <c r="M675" s="40" t="n">
        <v>0</v>
      </c>
      <c r="N675" s="30">
        <f>IF(A675="","",MONTH(A675))</f>
        <v>8</v>
      </c>
      <c r="O675" s="30">
        <f>IF(A675="","",YEAR(A675))</f>
        <v>2026</v>
      </c>
      <c r="P675" s="30" t="str">
        <f>IF(A675="","",CHOOSE(WEEKDAY(A675,2),"Segunda","Terça","Quarta","Quinta","Sexta","Sábado","Domingo"))</f>
        <v>Sexta</v>
      </c>
      <c r="Q675" s="30" t="str">
        <f>IF(B675="","",IF(B675&lt;TIME(12,0,0),"Manhã",IF(B675&lt;TIME(18,0,0),"Tarde","Noite")))</f>
        <v>Manhã</v>
      </c>
      <c r="R675" s="46">
        <f>IF(AND(H675="Realizado",L675&lt;&gt;"",A675&lt;=Config!$B$9),L675/60,0)</f>
        <v>0.333333333333333</v>
      </c>
      <c r="S675" s="45">
        <f>IF(G675="","",IFERROR(INDEX(Config!$K$5:$K$16,MATCH(G675,Config!$J$5:$J$16,0)),""))</f>
        <v>20</v>
      </c>
      <c r="T675" s="31">
        <f>IF(OR(G675="",F675=""),"",IFERROR(INDEX(Config!$M$5:$R$16,MATCH(G675,Config!$J$5:$J$16,0),MATCH(F675,Config!$H$5:$H$10,0)),""))</f>
        <v>0</v>
      </c>
      <c r="U675" s="47">
        <f>IF(AND(H675="Realizado",L675&lt;&gt;""),L675/60,0)</f>
        <v>0.333333333333333</v>
      </c>
      <c r="V675" s="47">
        <f>IF(AND(H675="Realizado",OR(L675="",M675="")),1,0)</f>
        <v>0</v>
      </c>
    </row>
    <row r="676">
      <c r="A676" s="43" t="n">
        <v>46241</v>
      </c>
      <c r="B676" s="44" t="n">
        <v>0.3472222222222222</v>
      </c>
      <c r="C676" s="38" t="inlineStr">
        <is>
          <t>Dr. Paulo Andrade</t>
        </is>
      </c>
      <c r="D676" s="38" t="inlineStr">
        <is>
          <t>Sala 2</t>
        </is>
      </c>
      <c r="E676" s="37" t="inlineStr">
        <is>
          <t>Fernanda Nunes</t>
        </is>
      </c>
      <c r="F676" s="38" t="inlineStr">
        <is>
          <t>MediPlan</t>
        </is>
      </c>
      <c r="G676" s="38" t="inlineStr">
        <is>
          <t>Teste ergométrico</t>
        </is>
      </c>
      <c r="H676" s="38" t="inlineStr">
        <is>
          <t>Realizado</t>
        </is>
      </c>
      <c r="I676" s="38" t="inlineStr">
        <is>
          <t>Convênio</t>
        </is>
      </c>
      <c r="J676" s="38" t="n"/>
      <c r="K676" s="37" t="n"/>
      <c r="L676" s="39" t="n">
        <v>40</v>
      </c>
      <c r="M676" s="40" t="n">
        <v>125</v>
      </c>
      <c r="N676" s="30">
        <f>IF(A676="","",MONTH(A676))</f>
        <v>8</v>
      </c>
      <c r="O676" s="30">
        <f>IF(A676="","",YEAR(A676))</f>
        <v>2026</v>
      </c>
      <c r="P676" s="30" t="str">
        <f>IF(A676="","",CHOOSE(WEEKDAY(A676,2),"Segunda","Terça","Quarta","Quinta","Sexta","Sábado","Domingo"))</f>
        <v>Sexta</v>
      </c>
      <c r="Q676" s="30" t="str">
        <f>IF(B676="","",IF(B676&lt;TIME(12,0,0),"Manhã",IF(B676&lt;TIME(18,0,0),"Tarde","Noite")))</f>
        <v>Manhã</v>
      </c>
      <c r="R676" s="46">
        <f>IF(AND(H676="Realizado",L676&lt;&gt;"",A676&lt;=Config!$B$9),L676/60,0)</f>
        <v>0.666666666666667</v>
      </c>
      <c r="S676" s="45">
        <f>IF(G676="","",IFERROR(INDEX(Config!$K$5:$K$16,MATCH(G676,Config!$J$5:$J$16,0)),""))</f>
        <v>40</v>
      </c>
      <c r="T676" s="31">
        <f>IF(OR(G676="",F676=""),"",IFERROR(INDEX(Config!$M$5:$R$16,MATCH(G676,Config!$J$5:$J$16,0),MATCH(F676,Config!$H$5:$H$10,0)),""))</f>
        <v>125</v>
      </c>
      <c r="U676" s="47">
        <f>IF(AND(H676="Realizado",L676&lt;&gt;""),L676/60,0)</f>
        <v>0.666666666666667</v>
      </c>
      <c r="V676" s="47">
        <f>IF(AND(H676="Realizado",OR(L676="",M676="")),1,0)</f>
        <v>0</v>
      </c>
    </row>
    <row r="677">
      <c r="A677" s="43" t="n">
        <v>46241</v>
      </c>
      <c r="B677" s="44" t="n">
        <v>0.375</v>
      </c>
      <c r="C677" s="38" t="inlineStr">
        <is>
          <t>Dr. Paulo Andrade</t>
        </is>
      </c>
      <c r="D677" s="38" t="inlineStr">
        <is>
          <t>Sala 2</t>
        </is>
      </c>
      <c r="E677" s="37" t="inlineStr">
        <is>
          <t>Paulo Reis</t>
        </is>
      </c>
      <c r="F677" s="38" t="inlineStr">
        <is>
          <t>Particular</t>
        </is>
      </c>
      <c r="G677" s="38" t="inlineStr">
        <is>
          <t>Retorno</t>
        </is>
      </c>
      <c r="H677" s="38" t="inlineStr">
        <is>
          <t>Realizado</t>
        </is>
      </c>
      <c r="I677" s="38" t="inlineStr">
        <is>
          <t>Sem cobrança</t>
        </is>
      </c>
      <c r="J677" s="38" t="n"/>
      <c r="K677" s="37" t="n"/>
      <c r="L677" s="39" t="n">
        <v>20</v>
      </c>
      <c r="M677" s="40" t="n">
        <v>0</v>
      </c>
      <c r="N677" s="30">
        <f>IF(A677="","",MONTH(A677))</f>
        <v>8</v>
      </c>
      <c r="O677" s="30">
        <f>IF(A677="","",YEAR(A677))</f>
        <v>2026</v>
      </c>
      <c r="P677" s="30" t="str">
        <f>IF(A677="","",CHOOSE(WEEKDAY(A677,2),"Segunda","Terça","Quarta","Quinta","Sexta","Sábado","Domingo"))</f>
        <v>Sexta</v>
      </c>
      <c r="Q677" s="30" t="str">
        <f>IF(B677="","",IF(B677&lt;TIME(12,0,0),"Manhã",IF(B677&lt;TIME(18,0,0),"Tarde","Noite")))</f>
        <v>Manhã</v>
      </c>
      <c r="R677" s="46">
        <f>IF(AND(H677="Realizado",L677&lt;&gt;"",A677&lt;=Config!$B$9),L677/60,0)</f>
        <v>0.333333333333333</v>
      </c>
      <c r="S677" s="45">
        <f>IF(G677="","",IFERROR(INDEX(Config!$K$5:$K$16,MATCH(G677,Config!$J$5:$J$16,0)),""))</f>
        <v>20</v>
      </c>
      <c r="T677" s="31">
        <f>IF(OR(G677="",F677=""),"",IFERROR(INDEX(Config!$M$5:$R$16,MATCH(G677,Config!$J$5:$J$16,0),MATCH(F677,Config!$H$5:$H$10,0)),""))</f>
        <v>0</v>
      </c>
      <c r="U677" s="47">
        <f>IF(AND(H677="Realizado",L677&lt;&gt;""),L677/60,0)</f>
        <v>0.333333333333333</v>
      </c>
      <c r="V677" s="47">
        <f>IF(AND(H677="Realizado",OR(L677="",M677="")),1,0)</f>
        <v>0</v>
      </c>
    </row>
    <row r="678">
      <c r="A678" s="43" t="n">
        <v>46241</v>
      </c>
      <c r="B678" s="44" t="n">
        <v>0.3888888888888889</v>
      </c>
      <c r="C678" s="38" t="inlineStr">
        <is>
          <t>Dr. Paulo Andrade</t>
        </is>
      </c>
      <c r="D678" s="38" t="inlineStr">
        <is>
          <t>Sala 2</t>
        </is>
      </c>
      <c r="E678" s="37" t="inlineStr">
        <is>
          <t>Cláudia Costa</t>
        </is>
      </c>
      <c r="F678" s="38" t="inlineStr">
        <is>
          <t>Particular</t>
        </is>
      </c>
      <c r="G678" s="38" t="inlineStr">
        <is>
          <t>ECG</t>
        </is>
      </c>
      <c r="H678" s="38" t="inlineStr">
        <is>
          <t>Realizado</t>
        </is>
      </c>
      <c r="I678" s="38" t="inlineStr">
        <is>
          <t>Pix</t>
        </is>
      </c>
      <c r="J678" s="38" t="n"/>
      <c r="K678" s="37" t="n"/>
      <c r="L678" s="39" t="n">
        <v>20</v>
      </c>
      <c r="M678" s="40" t="n">
        <v>130</v>
      </c>
      <c r="N678" s="30">
        <f>IF(A678="","",MONTH(A678))</f>
        <v>8</v>
      </c>
      <c r="O678" s="30">
        <f>IF(A678="","",YEAR(A678))</f>
        <v>2026</v>
      </c>
      <c r="P678" s="30" t="str">
        <f>IF(A678="","",CHOOSE(WEEKDAY(A678,2),"Segunda","Terça","Quarta","Quinta","Sexta","Sábado","Domingo"))</f>
        <v>Sexta</v>
      </c>
      <c r="Q678" s="30" t="str">
        <f>IF(B678="","",IF(B678&lt;TIME(12,0,0),"Manhã",IF(B678&lt;TIME(18,0,0),"Tarde","Noite")))</f>
        <v>Manhã</v>
      </c>
      <c r="R678" s="46">
        <f>IF(AND(H678="Realizado",L678&lt;&gt;"",A678&lt;=Config!$B$9),L678/60,0)</f>
        <v>0.333333333333333</v>
      </c>
      <c r="S678" s="45">
        <f>IF(G678="","",IFERROR(INDEX(Config!$K$5:$K$16,MATCH(G678,Config!$J$5:$J$16,0)),""))</f>
        <v>20</v>
      </c>
      <c r="T678" s="31">
        <f>IF(OR(G678="",F678=""),"",IFERROR(INDEX(Config!$M$5:$R$16,MATCH(G678,Config!$J$5:$J$16,0),MATCH(F678,Config!$H$5:$H$10,0)),""))</f>
        <v>130</v>
      </c>
      <c r="U678" s="47">
        <f>IF(AND(H678="Realizado",L678&lt;&gt;""),L678/60,0)</f>
        <v>0.333333333333333</v>
      </c>
      <c r="V678" s="47">
        <f>IF(AND(H678="Realizado",OR(L678="",M678="")),1,0)</f>
        <v>0</v>
      </c>
    </row>
    <row r="679">
      <c r="A679" s="43" t="n">
        <v>46241</v>
      </c>
      <c r="B679" s="44" t="n">
        <v>0.4027777777777778</v>
      </c>
      <c r="C679" s="38" t="inlineStr">
        <is>
          <t>Dr. Paulo Andrade</t>
        </is>
      </c>
      <c r="D679" s="38" t="inlineStr">
        <is>
          <t>Sala 2</t>
        </is>
      </c>
      <c r="E679" s="37" t="inlineStr">
        <is>
          <t>Wagner Costa</t>
        </is>
      </c>
      <c r="F679" s="38" t="inlineStr">
        <is>
          <t>Particular</t>
        </is>
      </c>
      <c r="G679" s="38" t="inlineStr">
        <is>
          <t>Consulta</t>
        </is>
      </c>
      <c r="H679" s="38" t="inlineStr">
        <is>
          <t>Realizado</t>
        </is>
      </c>
      <c r="I679" s="38" t="inlineStr">
        <is>
          <t>Cartão de crédito</t>
        </is>
      </c>
      <c r="J679" s="38" t="n"/>
      <c r="K679" s="37" t="n"/>
      <c r="L679" s="39" t="n">
        <v>30</v>
      </c>
      <c r="M679" s="40" t="n">
        <v>380</v>
      </c>
      <c r="N679" s="30">
        <f>IF(A679="","",MONTH(A679))</f>
        <v>8</v>
      </c>
      <c r="O679" s="30">
        <f>IF(A679="","",YEAR(A679))</f>
        <v>2026</v>
      </c>
      <c r="P679" s="30" t="str">
        <f>IF(A679="","",CHOOSE(WEEKDAY(A679,2),"Segunda","Terça","Quarta","Quinta","Sexta","Sábado","Domingo"))</f>
        <v>Sexta</v>
      </c>
      <c r="Q679" s="30" t="str">
        <f>IF(B679="","",IF(B679&lt;TIME(12,0,0),"Manhã",IF(B679&lt;TIME(18,0,0),"Tarde","Noite")))</f>
        <v>Manhã</v>
      </c>
      <c r="R679" s="46">
        <f>IF(AND(H679="Realizado",L679&lt;&gt;"",A679&lt;=Config!$B$9),L679/60,0)</f>
        <v>0.5</v>
      </c>
      <c r="S679" s="45">
        <f>IF(G679="","",IFERROR(INDEX(Config!$K$5:$K$16,MATCH(G679,Config!$J$5:$J$16,0)),""))</f>
        <v>30</v>
      </c>
      <c r="T679" s="31">
        <f>IF(OR(G679="",F679=""),"",IFERROR(INDEX(Config!$M$5:$R$16,MATCH(G679,Config!$J$5:$J$16,0),MATCH(F679,Config!$H$5:$H$10,0)),""))</f>
        <v>380</v>
      </c>
      <c r="U679" s="47">
        <f>IF(AND(H679="Realizado",L679&lt;&gt;""),L679/60,0)</f>
        <v>0.5</v>
      </c>
      <c r="V679" s="47">
        <f>IF(AND(H679="Realizado",OR(L679="",M679="")),1,0)</f>
        <v>0</v>
      </c>
    </row>
    <row r="680">
      <c r="A680" s="43" t="n">
        <v>46241</v>
      </c>
      <c r="B680" s="44" t="n">
        <v>0.4236111111111111</v>
      </c>
      <c r="C680" s="38" t="inlineStr">
        <is>
          <t>Dr. Paulo Andrade</t>
        </is>
      </c>
      <c r="D680" s="38" t="inlineStr">
        <is>
          <t>Sala 2</t>
        </is>
      </c>
      <c r="E680" s="37" t="inlineStr">
        <is>
          <t>Patrícia Vieira</t>
        </is>
      </c>
      <c r="F680" s="38" t="inlineStr">
        <is>
          <t>Saúde Total</t>
        </is>
      </c>
      <c r="G680" s="38" t="inlineStr">
        <is>
          <t>Consulta</t>
        </is>
      </c>
      <c r="H680" s="38" t="inlineStr">
        <is>
          <t>Realizado</t>
        </is>
      </c>
      <c r="I680" s="38" t="inlineStr">
        <is>
          <t>Convênio</t>
        </is>
      </c>
      <c r="J680" s="38" t="n"/>
      <c r="K680" s="37" t="n"/>
      <c r="L680" s="39" t="n">
        <v>30</v>
      </c>
      <c r="M680" s="40" t="n">
        <v>120</v>
      </c>
      <c r="N680" s="30">
        <f>IF(A680="","",MONTH(A680))</f>
        <v>8</v>
      </c>
      <c r="O680" s="30">
        <f>IF(A680="","",YEAR(A680))</f>
        <v>2026</v>
      </c>
      <c r="P680" s="30" t="str">
        <f>IF(A680="","",CHOOSE(WEEKDAY(A680,2),"Segunda","Terça","Quarta","Quinta","Sexta","Sábado","Domingo"))</f>
        <v>Sexta</v>
      </c>
      <c r="Q680" s="30" t="str">
        <f>IF(B680="","",IF(B680&lt;TIME(12,0,0),"Manhã",IF(B680&lt;TIME(18,0,0),"Tarde","Noite")))</f>
        <v>Manhã</v>
      </c>
      <c r="R680" s="46">
        <f>IF(AND(H680="Realizado",L680&lt;&gt;"",A680&lt;=Config!$B$9),L680/60,0)</f>
        <v>0.5</v>
      </c>
      <c r="S680" s="45">
        <f>IF(G680="","",IFERROR(INDEX(Config!$K$5:$K$16,MATCH(G680,Config!$J$5:$J$16,0)),""))</f>
        <v>30</v>
      </c>
      <c r="T680" s="31">
        <f>IF(OR(G680="",F680=""),"",IFERROR(INDEX(Config!$M$5:$R$16,MATCH(G680,Config!$J$5:$J$16,0),MATCH(F680,Config!$H$5:$H$10,0)),""))</f>
        <v>120</v>
      </c>
      <c r="U680" s="47">
        <f>IF(AND(H680="Realizado",L680&lt;&gt;""),L680/60,0)</f>
        <v>0.5</v>
      </c>
      <c r="V680" s="47">
        <f>IF(AND(H680="Realizado",OR(L680="",M680="")),1,0)</f>
        <v>0</v>
      </c>
    </row>
    <row r="681">
      <c r="A681" s="43" t="n">
        <v>46241</v>
      </c>
      <c r="B681" s="44" t="n">
        <v>0.4861111111111111</v>
      </c>
      <c r="C681" s="38" t="inlineStr">
        <is>
          <t>Dr. Paulo Andrade</t>
        </is>
      </c>
      <c r="D681" s="38" t="inlineStr">
        <is>
          <t>Sala 2</t>
        </is>
      </c>
      <c r="E681" s="37" t="inlineStr">
        <is>
          <t>Gisele Pinto</t>
        </is>
      </c>
      <c r="F681" s="38" t="inlineStr">
        <is>
          <t>Saúde Total</t>
        </is>
      </c>
      <c r="G681" s="38" t="inlineStr">
        <is>
          <t>Retorno</t>
        </is>
      </c>
      <c r="H681" s="38" t="inlineStr">
        <is>
          <t>Falta</t>
        </is>
      </c>
      <c r="I681" s="38" t="n"/>
      <c r="J681" s="38" t="n"/>
      <c r="K681" s="37" t="n"/>
      <c r="L681" s="39" t="n">
        <v>20</v>
      </c>
      <c r="M681" s="40" t="n">
        <v>0</v>
      </c>
      <c r="N681" s="30">
        <f>IF(A681="","",MONTH(A681))</f>
        <v>8</v>
      </c>
      <c r="O681" s="30">
        <f>IF(A681="","",YEAR(A681))</f>
        <v>2026</v>
      </c>
      <c r="P681" s="30" t="str">
        <f>IF(A681="","",CHOOSE(WEEKDAY(A681,2),"Segunda","Terça","Quarta","Quinta","Sexta","Sábado","Domingo"))</f>
        <v>Sexta</v>
      </c>
      <c r="Q681" s="30" t="str">
        <f>IF(B681="","",IF(B681&lt;TIME(12,0,0),"Manhã",IF(B681&lt;TIME(18,0,0),"Tarde","Noite")))</f>
        <v>Manhã</v>
      </c>
      <c r="R681" s="46">
        <f>IF(AND(H681="Realizado",L681&lt;&gt;"",A681&lt;=Config!$B$9),L681/60,0)</f>
        <v>0</v>
      </c>
      <c r="S681" s="45">
        <f>IF(G681="","",IFERROR(INDEX(Config!$K$5:$K$16,MATCH(G681,Config!$J$5:$J$16,0)),""))</f>
        <v>20</v>
      </c>
      <c r="T681" s="31">
        <f>IF(OR(G681="",F681=""),"",IFERROR(INDEX(Config!$M$5:$R$16,MATCH(G681,Config!$J$5:$J$16,0),MATCH(F681,Config!$H$5:$H$10,0)),""))</f>
        <v>0</v>
      </c>
      <c r="U681" s="47">
        <f>IF(AND(H681="Realizado",L681&lt;&gt;""),L681/60,0)</f>
        <v>0</v>
      </c>
      <c r="V681" s="47">
        <f>IF(AND(H681="Realizado",OR(L681="",M681="")),1,0)</f>
        <v>0</v>
      </c>
    </row>
    <row r="682">
      <c r="A682" s="43" t="n">
        <v>46244</v>
      </c>
      <c r="B682" s="44" t="n">
        <v>0.3333333333333333</v>
      </c>
      <c r="C682" s="38" t="inlineStr">
        <is>
          <t>Dra. Carolina Mendes</t>
        </is>
      </c>
      <c r="D682" s="38" t="inlineStr">
        <is>
          <t>Sala 1</t>
        </is>
      </c>
      <c r="E682" s="37" t="inlineStr">
        <is>
          <t>Sérgio Martins</t>
        </is>
      </c>
      <c r="F682" s="38" t="inlineStr">
        <is>
          <t>Particular</t>
        </is>
      </c>
      <c r="G682" s="38" t="inlineStr">
        <is>
          <t>Consulta</t>
        </is>
      </c>
      <c r="H682" s="38" t="inlineStr">
        <is>
          <t>Realizado</t>
        </is>
      </c>
      <c r="I682" s="38" t="inlineStr">
        <is>
          <t>A prazo</t>
        </is>
      </c>
      <c r="J682" s="38" t="n"/>
      <c r="K682" s="37" t="n"/>
      <c r="L682" s="39" t="n">
        <v>30</v>
      </c>
      <c r="M682" s="40" t="n">
        <v>380</v>
      </c>
      <c r="N682" s="30">
        <f>IF(A682="","",MONTH(A682))</f>
        <v>8</v>
      </c>
      <c r="O682" s="30">
        <f>IF(A682="","",YEAR(A682))</f>
        <v>2026</v>
      </c>
      <c r="P682" s="30" t="str">
        <f>IF(A682="","",CHOOSE(WEEKDAY(A682,2),"Segunda","Terça","Quarta","Quinta","Sexta","Sábado","Domingo"))</f>
        <v>Segunda</v>
      </c>
      <c r="Q682" s="30" t="str">
        <f>IF(B682="","",IF(B682&lt;TIME(12,0,0),"Manhã",IF(B682&lt;TIME(18,0,0),"Tarde","Noite")))</f>
        <v>Manhã</v>
      </c>
      <c r="R682" s="46">
        <f>IF(AND(H682="Realizado",L682&lt;&gt;"",A682&lt;=Config!$B$9),L682/60,0)</f>
        <v>0.5</v>
      </c>
      <c r="S682" s="45">
        <f>IF(G682="","",IFERROR(INDEX(Config!$K$5:$K$16,MATCH(G682,Config!$J$5:$J$16,0)),""))</f>
        <v>30</v>
      </c>
      <c r="T682" s="31">
        <f>IF(OR(G682="",F682=""),"",IFERROR(INDEX(Config!$M$5:$R$16,MATCH(G682,Config!$J$5:$J$16,0),MATCH(F682,Config!$H$5:$H$10,0)),""))</f>
        <v>380</v>
      </c>
      <c r="U682" s="47">
        <f>IF(AND(H682="Realizado",L682&lt;&gt;""),L682/60,0)</f>
        <v>0.5</v>
      </c>
      <c r="V682" s="47">
        <f>IF(AND(H682="Realizado",OR(L682="",M682="")),1,0)</f>
        <v>0</v>
      </c>
    </row>
    <row r="683">
      <c r="A683" s="43" t="n">
        <v>46244</v>
      </c>
      <c r="B683" s="44" t="n">
        <v>0.3541666666666667</v>
      </c>
      <c r="C683" s="38" t="inlineStr">
        <is>
          <t>Dra. Carolina Mendes</t>
        </is>
      </c>
      <c r="D683" s="38" t="inlineStr">
        <is>
          <t>Sala 1</t>
        </is>
      </c>
      <c r="E683" s="37" t="inlineStr">
        <is>
          <t>Mariana Nascimento</t>
        </is>
      </c>
      <c r="F683" s="38" t="inlineStr">
        <is>
          <t>Particular</t>
        </is>
      </c>
      <c r="G683" s="38" t="inlineStr">
        <is>
          <t>Retorno</t>
        </is>
      </c>
      <c r="H683" s="38" t="inlineStr">
        <is>
          <t>Realizado</t>
        </is>
      </c>
      <c r="I683" s="38" t="inlineStr">
        <is>
          <t>Sem cobrança</t>
        </is>
      </c>
      <c r="J683" s="38" t="n"/>
      <c r="K683" s="37" t="n"/>
      <c r="L683" s="39" t="n">
        <v>20</v>
      </c>
      <c r="M683" s="40" t="n">
        <v>0</v>
      </c>
      <c r="N683" s="30">
        <f>IF(A683="","",MONTH(A683))</f>
        <v>8</v>
      </c>
      <c r="O683" s="30">
        <f>IF(A683="","",YEAR(A683))</f>
        <v>2026</v>
      </c>
      <c r="P683" s="30" t="str">
        <f>IF(A683="","",CHOOSE(WEEKDAY(A683,2),"Segunda","Terça","Quarta","Quinta","Sexta","Sábado","Domingo"))</f>
        <v>Segunda</v>
      </c>
      <c r="Q683" s="30" t="str">
        <f>IF(B683="","",IF(B683&lt;TIME(12,0,0),"Manhã",IF(B683&lt;TIME(18,0,0),"Tarde","Noite")))</f>
        <v>Manhã</v>
      </c>
      <c r="R683" s="46">
        <f>IF(AND(H683="Realizado",L683&lt;&gt;"",A683&lt;=Config!$B$9),L683/60,0)</f>
        <v>0.333333333333333</v>
      </c>
      <c r="S683" s="45">
        <f>IF(G683="","",IFERROR(INDEX(Config!$K$5:$K$16,MATCH(G683,Config!$J$5:$J$16,0)),""))</f>
        <v>20</v>
      </c>
      <c r="T683" s="31">
        <f>IF(OR(G683="",F683=""),"",IFERROR(INDEX(Config!$M$5:$R$16,MATCH(G683,Config!$J$5:$J$16,0),MATCH(F683,Config!$H$5:$H$10,0)),""))</f>
        <v>0</v>
      </c>
      <c r="U683" s="47">
        <f>IF(AND(H683="Realizado",L683&lt;&gt;""),L683/60,0)</f>
        <v>0.333333333333333</v>
      </c>
      <c r="V683" s="47">
        <f>IF(AND(H683="Realizado",OR(L683="",M683="")),1,0)</f>
        <v>0</v>
      </c>
    </row>
    <row r="684">
      <c r="A684" s="43" t="n">
        <v>46244</v>
      </c>
      <c r="B684" s="44" t="n">
        <v>0.3680555555555556</v>
      </c>
      <c r="C684" s="38" t="inlineStr">
        <is>
          <t>Dra. Carolina Mendes</t>
        </is>
      </c>
      <c r="D684" s="38" t="inlineStr">
        <is>
          <t>Sala 1</t>
        </is>
      </c>
      <c r="E684" s="37" t="inlineStr">
        <is>
          <t>Mônica Teixeira</t>
        </is>
      </c>
      <c r="F684" s="38" t="inlineStr">
        <is>
          <t>Vida Care</t>
        </is>
      </c>
      <c r="G684" s="38" t="inlineStr">
        <is>
          <t>Consulta</t>
        </is>
      </c>
      <c r="H684" s="38" t="inlineStr">
        <is>
          <t>Realizado</t>
        </is>
      </c>
      <c r="I684" s="38" t="inlineStr">
        <is>
          <t>Convênio</t>
        </is>
      </c>
      <c r="J684" s="38" t="n"/>
      <c r="K684" s="37" t="n"/>
      <c r="L684" s="39" t="n">
        <v>30</v>
      </c>
      <c r="M684" s="40" t="n">
        <v>90</v>
      </c>
      <c r="N684" s="30">
        <f>IF(A684="","",MONTH(A684))</f>
        <v>8</v>
      </c>
      <c r="O684" s="30">
        <f>IF(A684="","",YEAR(A684))</f>
        <v>2026</v>
      </c>
      <c r="P684" s="30" t="str">
        <f>IF(A684="","",CHOOSE(WEEKDAY(A684,2),"Segunda","Terça","Quarta","Quinta","Sexta","Sábado","Domingo"))</f>
        <v>Segunda</v>
      </c>
      <c r="Q684" s="30" t="str">
        <f>IF(B684="","",IF(B684&lt;TIME(12,0,0),"Manhã",IF(B684&lt;TIME(18,0,0),"Tarde","Noite")))</f>
        <v>Manhã</v>
      </c>
      <c r="R684" s="46">
        <f>IF(AND(H684="Realizado",L684&lt;&gt;"",A684&lt;=Config!$B$9),L684/60,0)</f>
        <v>0.5</v>
      </c>
      <c r="S684" s="45">
        <f>IF(G684="","",IFERROR(INDEX(Config!$K$5:$K$16,MATCH(G684,Config!$J$5:$J$16,0)),""))</f>
        <v>30</v>
      </c>
      <c r="T684" s="31">
        <f>IF(OR(G684="",F684=""),"",IFERROR(INDEX(Config!$M$5:$R$16,MATCH(G684,Config!$J$5:$J$16,0),MATCH(F684,Config!$H$5:$H$10,0)),""))</f>
        <v>90</v>
      </c>
      <c r="U684" s="47">
        <f>IF(AND(H684="Realizado",L684&lt;&gt;""),L684/60,0)</f>
        <v>0.5</v>
      </c>
      <c r="V684" s="47">
        <f>IF(AND(H684="Realizado",OR(L684="",M684="")),1,0)</f>
        <v>0</v>
      </c>
    </row>
    <row r="685">
      <c r="A685" s="43" t="n">
        <v>46244</v>
      </c>
      <c r="B685" s="44" t="n">
        <v>0.3888888888888889</v>
      </c>
      <c r="C685" s="38" t="inlineStr">
        <is>
          <t>Dra. Carolina Mendes</t>
        </is>
      </c>
      <c r="D685" s="38" t="inlineStr">
        <is>
          <t>Sala 1</t>
        </is>
      </c>
      <c r="E685" s="37" t="inlineStr">
        <is>
          <t>Priscila Nunes</t>
        </is>
      </c>
      <c r="F685" s="38" t="inlineStr">
        <is>
          <t>MediPlan</t>
        </is>
      </c>
      <c r="G685" s="38" t="inlineStr">
        <is>
          <t>Retorno</t>
        </is>
      </c>
      <c r="H685" s="38" t="inlineStr">
        <is>
          <t>Realizado</t>
        </is>
      </c>
      <c r="I685" s="38" t="inlineStr">
        <is>
          <t>Sem cobrança</t>
        </is>
      </c>
      <c r="J685" s="38" t="n"/>
      <c r="K685" s="37" t="n"/>
      <c r="L685" s="39" t="n">
        <v>20</v>
      </c>
      <c r="M685" s="40" t="n">
        <v>0</v>
      </c>
      <c r="N685" s="30">
        <f>IF(A685="","",MONTH(A685))</f>
        <v>8</v>
      </c>
      <c r="O685" s="30">
        <f>IF(A685="","",YEAR(A685))</f>
        <v>2026</v>
      </c>
      <c r="P685" s="30" t="str">
        <f>IF(A685="","",CHOOSE(WEEKDAY(A685,2),"Segunda","Terça","Quarta","Quinta","Sexta","Sábado","Domingo"))</f>
        <v>Segunda</v>
      </c>
      <c r="Q685" s="30" t="str">
        <f>IF(B685="","",IF(B685&lt;TIME(12,0,0),"Manhã",IF(B685&lt;TIME(18,0,0),"Tarde","Noite")))</f>
        <v>Manhã</v>
      </c>
      <c r="R685" s="46">
        <f>IF(AND(H685="Realizado",L685&lt;&gt;"",A685&lt;=Config!$B$9),L685/60,0)</f>
        <v>0.333333333333333</v>
      </c>
      <c r="S685" s="45">
        <f>IF(G685="","",IFERROR(INDEX(Config!$K$5:$K$16,MATCH(G685,Config!$J$5:$J$16,0)),""))</f>
        <v>20</v>
      </c>
      <c r="T685" s="31">
        <f>IF(OR(G685="",F685=""),"",IFERROR(INDEX(Config!$M$5:$R$16,MATCH(G685,Config!$J$5:$J$16,0),MATCH(F685,Config!$H$5:$H$10,0)),""))</f>
        <v>0</v>
      </c>
      <c r="U685" s="47">
        <f>IF(AND(H685="Realizado",L685&lt;&gt;""),L685/60,0)</f>
        <v>0.333333333333333</v>
      </c>
      <c r="V685" s="47">
        <f>IF(AND(H685="Realizado",OR(L685="",M685="")),1,0)</f>
        <v>0</v>
      </c>
    </row>
    <row r="686">
      <c r="A686" s="43" t="n">
        <v>46244</v>
      </c>
      <c r="B686" s="44" t="n">
        <v>0.4027777777777778</v>
      </c>
      <c r="C686" s="38" t="inlineStr">
        <is>
          <t>Dra. Carolina Mendes</t>
        </is>
      </c>
      <c r="D686" s="38" t="inlineStr">
        <is>
          <t>Sala 1</t>
        </is>
      </c>
      <c r="E686" s="37" t="inlineStr">
        <is>
          <t>Carlos Barros</t>
        </is>
      </c>
      <c r="F686" s="38" t="inlineStr">
        <is>
          <t>MediPlan</t>
        </is>
      </c>
      <c r="G686" s="38" t="inlineStr">
        <is>
          <t>Consulta</t>
        </is>
      </c>
      <c r="H686" s="38" t="inlineStr">
        <is>
          <t>Realizado</t>
        </is>
      </c>
      <c r="I686" s="38" t="inlineStr">
        <is>
          <t>Convênio</t>
        </is>
      </c>
      <c r="J686" s="38" t="n"/>
      <c r="K686" s="37" t="n"/>
      <c r="L686" s="39" t="n">
        <v>30</v>
      </c>
      <c r="M686" s="40" t="n">
        <v>100</v>
      </c>
      <c r="N686" s="30">
        <f>IF(A686="","",MONTH(A686))</f>
        <v>8</v>
      </c>
      <c r="O686" s="30">
        <f>IF(A686="","",YEAR(A686))</f>
        <v>2026</v>
      </c>
      <c r="P686" s="30" t="str">
        <f>IF(A686="","",CHOOSE(WEEKDAY(A686,2),"Segunda","Terça","Quarta","Quinta","Sexta","Sábado","Domingo"))</f>
        <v>Segunda</v>
      </c>
      <c r="Q686" s="30" t="str">
        <f>IF(B686="","",IF(B686&lt;TIME(12,0,0),"Manhã",IF(B686&lt;TIME(18,0,0),"Tarde","Noite")))</f>
        <v>Manhã</v>
      </c>
      <c r="R686" s="46">
        <f>IF(AND(H686="Realizado",L686&lt;&gt;"",A686&lt;=Config!$B$9),L686/60,0)</f>
        <v>0.5</v>
      </c>
      <c r="S686" s="45">
        <f>IF(G686="","",IFERROR(INDEX(Config!$K$5:$K$16,MATCH(G686,Config!$J$5:$J$16,0)),""))</f>
        <v>30</v>
      </c>
      <c r="T686" s="31">
        <f>IF(OR(G686="",F686=""),"",IFERROR(INDEX(Config!$M$5:$R$16,MATCH(G686,Config!$J$5:$J$16,0),MATCH(F686,Config!$H$5:$H$10,0)),""))</f>
        <v>100</v>
      </c>
      <c r="U686" s="47">
        <f>IF(AND(H686="Realizado",L686&lt;&gt;""),L686/60,0)</f>
        <v>0.5</v>
      </c>
      <c r="V686" s="47">
        <f>IF(AND(H686="Realizado",OR(L686="",M686="")),1,0)</f>
        <v>0</v>
      </c>
    </row>
    <row r="687">
      <c r="A687" s="43" t="n">
        <v>46244</v>
      </c>
      <c r="B687" s="44" t="n">
        <v>0.4652777777777778</v>
      </c>
      <c r="C687" s="38" t="inlineStr">
        <is>
          <t>Dra. Carolina Mendes</t>
        </is>
      </c>
      <c r="D687" s="38" t="inlineStr">
        <is>
          <t>Sala 1</t>
        </is>
      </c>
      <c r="E687" s="37" t="inlineStr">
        <is>
          <t>Roberta Fernandes</t>
        </is>
      </c>
      <c r="F687" s="38" t="inlineStr">
        <is>
          <t>Saúde Total</t>
        </is>
      </c>
      <c r="G687" s="38" t="inlineStr">
        <is>
          <t>Consulta</t>
        </is>
      </c>
      <c r="H687" s="38" t="inlineStr">
        <is>
          <t>Realizado</t>
        </is>
      </c>
      <c r="I687" s="38" t="inlineStr">
        <is>
          <t>Convênio</t>
        </is>
      </c>
      <c r="J687" s="38" t="n"/>
      <c r="K687" s="37" t="n"/>
      <c r="L687" s="39" t="n">
        <v>30</v>
      </c>
      <c r="M687" s="40" t="n">
        <v>120</v>
      </c>
      <c r="N687" s="30">
        <f>IF(A687="","",MONTH(A687))</f>
        <v>8</v>
      </c>
      <c r="O687" s="30">
        <f>IF(A687="","",YEAR(A687))</f>
        <v>2026</v>
      </c>
      <c r="P687" s="30" t="str">
        <f>IF(A687="","",CHOOSE(WEEKDAY(A687,2),"Segunda","Terça","Quarta","Quinta","Sexta","Sábado","Domingo"))</f>
        <v>Segunda</v>
      </c>
      <c r="Q687" s="30" t="str">
        <f>IF(B687="","",IF(B687&lt;TIME(12,0,0),"Manhã",IF(B687&lt;TIME(18,0,0),"Tarde","Noite")))</f>
        <v>Manhã</v>
      </c>
      <c r="R687" s="46">
        <f>IF(AND(H687="Realizado",L687&lt;&gt;"",A687&lt;=Config!$B$9),L687/60,0)</f>
        <v>0.5</v>
      </c>
      <c r="S687" s="45">
        <f>IF(G687="","",IFERROR(INDEX(Config!$K$5:$K$16,MATCH(G687,Config!$J$5:$J$16,0)),""))</f>
        <v>30</v>
      </c>
      <c r="T687" s="31">
        <f>IF(OR(G687="",F687=""),"",IFERROR(INDEX(Config!$M$5:$R$16,MATCH(G687,Config!$J$5:$J$16,0),MATCH(F687,Config!$H$5:$H$10,0)),""))</f>
        <v>120</v>
      </c>
      <c r="U687" s="47">
        <f>IF(AND(H687="Realizado",L687&lt;&gt;""),L687/60,0)</f>
        <v>0.5</v>
      </c>
      <c r="V687" s="47">
        <f>IF(AND(H687="Realizado",OR(L687="",M687="")),1,0)</f>
        <v>0</v>
      </c>
    </row>
    <row r="688">
      <c r="A688" s="43" t="n">
        <v>46244</v>
      </c>
      <c r="B688" s="44" t="n">
        <v>0.4861111111111111</v>
      </c>
      <c r="C688" s="38" t="inlineStr">
        <is>
          <t>Dra. Carolina Mendes</t>
        </is>
      </c>
      <c r="D688" s="38" t="inlineStr">
        <is>
          <t>Sala 1</t>
        </is>
      </c>
      <c r="E688" s="37" t="inlineStr">
        <is>
          <t>Gustavo Barbosa</t>
        </is>
      </c>
      <c r="F688" s="38" t="inlineStr">
        <is>
          <t>Saúde Total</t>
        </is>
      </c>
      <c r="G688" s="38" t="inlineStr">
        <is>
          <t>Consulta</t>
        </is>
      </c>
      <c r="H688" s="38" t="inlineStr">
        <is>
          <t>Falta</t>
        </is>
      </c>
      <c r="I688" s="38" t="n"/>
      <c r="J688" s="38" t="n"/>
      <c r="K688" s="37" t="n"/>
      <c r="L688" s="39" t="n">
        <v>30</v>
      </c>
      <c r="M688" s="40" t="n">
        <v>120</v>
      </c>
      <c r="N688" s="30">
        <f>IF(A688="","",MONTH(A688))</f>
        <v>8</v>
      </c>
      <c r="O688" s="30">
        <f>IF(A688="","",YEAR(A688))</f>
        <v>2026</v>
      </c>
      <c r="P688" s="30" t="str">
        <f>IF(A688="","",CHOOSE(WEEKDAY(A688,2),"Segunda","Terça","Quarta","Quinta","Sexta","Sábado","Domingo"))</f>
        <v>Segunda</v>
      </c>
      <c r="Q688" s="30" t="str">
        <f>IF(B688="","",IF(B688&lt;TIME(12,0,0),"Manhã",IF(B688&lt;TIME(18,0,0),"Tarde","Noite")))</f>
        <v>Manhã</v>
      </c>
      <c r="R688" s="46">
        <f>IF(AND(H688="Realizado",L688&lt;&gt;"",A688&lt;=Config!$B$9),L688/60,0)</f>
        <v>0</v>
      </c>
      <c r="S688" s="45">
        <f>IF(G688="","",IFERROR(INDEX(Config!$K$5:$K$16,MATCH(G688,Config!$J$5:$J$16,0)),""))</f>
        <v>30</v>
      </c>
      <c r="T688" s="31">
        <f>IF(OR(G688="",F688=""),"",IFERROR(INDEX(Config!$M$5:$R$16,MATCH(G688,Config!$J$5:$J$16,0),MATCH(F688,Config!$H$5:$H$10,0)),""))</f>
        <v>120</v>
      </c>
      <c r="U688" s="47">
        <f>IF(AND(H688="Realizado",L688&lt;&gt;""),L688/60,0)</f>
        <v>0</v>
      </c>
      <c r="V688" s="47">
        <f>IF(AND(H688="Realizado",OR(L688="",M688="")),1,0)</f>
        <v>0</v>
      </c>
    </row>
    <row r="689">
      <c r="A689" s="43" t="n">
        <v>46244</v>
      </c>
      <c r="B689" s="44" t="n">
        <v>0.5833333333333334</v>
      </c>
      <c r="C689" s="38" t="inlineStr">
        <is>
          <t>Dr. Paulo Andrade</t>
        </is>
      </c>
      <c r="D689" s="38" t="inlineStr">
        <is>
          <t>Sala 2</t>
        </is>
      </c>
      <c r="E689" s="37" t="inlineStr">
        <is>
          <t>Natália Xavier</t>
        </is>
      </c>
      <c r="F689" s="38" t="inlineStr">
        <is>
          <t>MediPlan</t>
        </is>
      </c>
      <c r="G689" s="38" t="inlineStr">
        <is>
          <t>Retorno</t>
        </is>
      </c>
      <c r="H689" s="38" t="inlineStr">
        <is>
          <t>Realizado</t>
        </is>
      </c>
      <c r="I689" s="38" t="inlineStr">
        <is>
          <t>Sem cobrança</t>
        </is>
      </c>
      <c r="J689" s="38" t="n"/>
      <c r="K689" s="37" t="n"/>
      <c r="L689" s="39" t="n">
        <v>20</v>
      </c>
      <c r="M689" s="40" t="n">
        <v>0</v>
      </c>
      <c r="N689" s="30">
        <f>IF(A689="","",MONTH(A689))</f>
        <v>8</v>
      </c>
      <c r="O689" s="30">
        <f>IF(A689="","",YEAR(A689))</f>
        <v>2026</v>
      </c>
      <c r="P689" s="30" t="str">
        <f>IF(A689="","",CHOOSE(WEEKDAY(A689,2),"Segunda","Terça","Quarta","Quinta","Sexta","Sábado","Domingo"))</f>
        <v>Segunda</v>
      </c>
      <c r="Q689" s="30" t="str">
        <f>IF(B689="","",IF(B689&lt;TIME(12,0,0),"Manhã",IF(B689&lt;TIME(18,0,0),"Tarde","Noite")))</f>
        <v>Tarde</v>
      </c>
      <c r="R689" s="46">
        <f>IF(AND(H689="Realizado",L689&lt;&gt;"",A689&lt;=Config!$B$9),L689/60,0)</f>
        <v>0.333333333333333</v>
      </c>
      <c r="S689" s="45">
        <f>IF(G689="","",IFERROR(INDEX(Config!$K$5:$K$16,MATCH(G689,Config!$J$5:$J$16,0)),""))</f>
        <v>20</v>
      </c>
      <c r="T689" s="31">
        <f>IF(OR(G689="",F689=""),"",IFERROR(INDEX(Config!$M$5:$R$16,MATCH(G689,Config!$J$5:$J$16,0),MATCH(F689,Config!$H$5:$H$10,0)),""))</f>
        <v>0</v>
      </c>
      <c r="U689" s="47">
        <f>IF(AND(H689="Realizado",L689&lt;&gt;""),L689/60,0)</f>
        <v>0.333333333333333</v>
      </c>
      <c r="V689" s="47">
        <f>IF(AND(H689="Realizado",OR(L689="",M689="")),1,0)</f>
        <v>0</v>
      </c>
    </row>
    <row r="690">
      <c r="A690" s="43" t="n">
        <v>46244</v>
      </c>
      <c r="B690" s="44" t="n">
        <v>0.5972222222222222</v>
      </c>
      <c r="C690" s="38" t="inlineStr">
        <is>
          <t>Dr. Paulo Andrade</t>
        </is>
      </c>
      <c r="D690" s="38" t="inlineStr">
        <is>
          <t>Sala 2</t>
        </is>
      </c>
      <c r="E690" s="37" t="inlineStr">
        <is>
          <t>Helena Ribeiro</t>
        </is>
      </c>
      <c r="F690" s="38" t="inlineStr">
        <is>
          <t>MediPlan</t>
        </is>
      </c>
      <c r="G690" s="38" t="inlineStr">
        <is>
          <t>Consulta</t>
        </is>
      </c>
      <c r="H690" s="38" t="inlineStr">
        <is>
          <t>Realizado</t>
        </is>
      </c>
      <c r="I690" s="38" t="inlineStr">
        <is>
          <t>Convênio</t>
        </is>
      </c>
      <c r="J690" s="38" t="n"/>
      <c r="K690" s="37" t="n"/>
      <c r="L690" s="39" t="n">
        <v>30</v>
      </c>
      <c r="M690" s="40" t="n">
        <v>100</v>
      </c>
      <c r="N690" s="30">
        <f>IF(A690="","",MONTH(A690))</f>
        <v>8</v>
      </c>
      <c r="O690" s="30">
        <f>IF(A690="","",YEAR(A690))</f>
        <v>2026</v>
      </c>
      <c r="P690" s="30" t="str">
        <f>IF(A690="","",CHOOSE(WEEKDAY(A690,2),"Segunda","Terça","Quarta","Quinta","Sexta","Sábado","Domingo"))</f>
        <v>Segunda</v>
      </c>
      <c r="Q690" s="30" t="str">
        <f>IF(B690="","",IF(B690&lt;TIME(12,0,0),"Manhã",IF(B690&lt;TIME(18,0,0),"Tarde","Noite")))</f>
        <v>Tarde</v>
      </c>
      <c r="R690" s="46">
        <f>IF(AND(H690="Realizado",L690&lt;&gt;"",A690&lt;=Config!$B$9),L690/60,0)</f>
        <v>0.5</v>
      </c>
      <c r="S690" s="45">
        <f>IF(G690="","",IFERROR(INDEX(Config!$K$5:$K$16,MATCH(G690,Config!$J$5:$J$16,0)),""))</f>
        <v>30</v>
      </c>
      <c r="T690" s="31">
        <f>IF(OR(G690="",F690=""),"",IFERROR(INDEX(Config!$M$5:$R$16,MATCH(G690,Config!$J$5:$J$16,0),MATCH(F690,Config!$H$5:$H$10,0)),""))</f>
        <v>100</v>
      </c>
      <c r="U690" s="47">
        <f>IF(AND(H690="Realizado",L690&lt;&gt;""),L690/60,0)</f>
        <v>0.5</v>
      </c>
      <c r="V690" s="47">
        <f>IF(AND(H690="Realizado",OR(L690="",M690="")),1,0)</f>
        <v>0</v>
      </c>
    </row>
    <row r="691">
      <c r="A691" s="43" t="n">
        <v>46244</v>
      </c>
      <c r="B691" s="44" t="n">
        <v>0.6388888888888888</v>
      </c>
      <c r="C691" s="38" t="inlineStr">
        <is>
          <t>Dr. Paulo Andrade</t>
        </is>
      </c>
      <c r="D691" s="38" t="inlineStr">
        <is>
          <t>Sala 2</t>
        </is>
      </c>
      <c r="E691" s="37" t="inlineStr">
        <is>
          <t>Marcelo Moreira</t>
        </is>
      </c>
      <c r="F691" s="38" t="inlineStr">
        <is>
          <t>Particular</t>
        </is>
      </c>
      <c r="G691" s="38" t="inlineStr">
        <is>
          <t>Holter</t>
        </is>
      </c>
      <c r="H691" s="38" t="inlineStr">
        <is>
          <t>Realizado</t>
        </is>
      </c>
      <c r="I691" s="38" t="inlineStr">
        <is>
          <t>Cartão de débito</t>
        </is>
      </c>
      <c r="J691" s="38" t="n"/>
      <c r="K691" s="37" t="n"/>
      <c r="L691" s="39" t="n">
        <v>20</v>
      </c>
      <c r="M691" s="40" t="n">
        <v>350</v>
      </c>
      <c r="N691" s="30">
        <f>IF(A691="","",MONTH(A691))</f>
        <v>8</v>
      </c>
      <c r="O691" s="30">
        <f>IF(A691="","",YEAR(A691))</f>
        <v>2026</v>
      </c>
      <c r="P691" s="30" t="str">
        <f>IF(A691="","",CHOOSE(WEEKDAY(A691,2),"Segunda","Terça","Quarta","Quinta","Sexta","Sábado","Domingo"))</f>
        <v>Segunda</v>
      </c>
      <c r="Q691" s="30" t="str">
        <f>IF(B691="","",IF(B691&lt;TIME(12,0,0),"Manhã",IF(B691&lt;TIME(18,0,0),"Tarde","Noite")))</f>
        <v>Tarde</v>
      </c>
      <c r="R691" s="46">
        <f>IF(AND(H691="Realizado",L691&lt;&gt;"",A691&lt;=Config!$B$9),L691/60,0)</f>
        <v>0.333333333333333</v>
      </c>
      <c r="S691" s="45">
        <f>IF(G691="","",IFERROR(INDEX(Config!$K$5:$K$16,MATCH(G691,Config!$J$5:$J$16,0)),""))</f>
        <v>20</v>
      </c>
      <c r="T691" s="31">
        <f>IF(OR(G691="",F691=""),"",IFERROR(INDEX(Config!$M$5:$R$16,MATCH(G691,Config!$J$5:$J$16,0),MATCH(F691,Config!$H$5:$H$10,0)),""))</f>
        <v>350</v>
      </c>
      <c r="U691" s="47">
        <f>IF(AND(H691="Realizado",L691&lt;&gt;""),L691/60,0)</f>
        <v>0.333333333333333</v>
      </c>
      <c r="V691" s="47">
        <f>IF(AND(H691="Realizado",OR(L691="",M691="")),1,0)</f>
        <v>0</v>
      </c>
    </row>
    <row r="692">
      <c r="A692" s="43" t="n">
        <v>46244</v>
      </c>
      <c r="B692" s="44" t="n">
        <v>0.6527777777777778</v>
      </c>
      <c r="C692" s="38" t="inlineStr">
        <is>
          <t>Dr. Paulo Andrade</t>
        </is>
      </c>
      <c r="D692" s="38" t="inlineStr">
        <is>
          <t>Sala 2</t>
        </is>
      </c>
      <c r="E692" s="37" t="inlineStr">
        <is>
          <t>Otávio Martins</t>
        </is>
      </c>
      <c r="F692" s="38" t="inlineStr">
        <is>
          <t>MediPlan</t>
        </is>
      </c>
      <c r="G692" s="38" t="inlineStr">
        <is>
          <t>Consulta</t>
        </is>
      </c>
      <c r="H692" s="38" t="inlineStr">
        <is>
          <t>Realizado</t>
        </is>
      </c>
      <c r="I692" s="38" t="inlineStr">
        <is>
          <t>Convênio</t>
        </is>
      </c>
      <c r="J692" s="38" t="n"/>
      <c r="K692" s="37" t="n"/>
      <c r="L692" s="39" t="n">
        <v>30</v>
      </c>
      <c r="M692" s="40" t="n">
        <v>100</v>
      </c>
      <c r="N692" s="30">
        <f>IF(A692="","",MONTH(A692))</f>
        <v>8</v>
      </c>
      <c r="O692" s="30">
        <f>IF(A692="","",YEAR(A692))</f>
        <v>2026</v>
      </c>
      <c r="P692" s="30" t="str">
        <f>IF(A692="","",CHOOSE(WEEKDAY(A692,2),"Segunda","Terça","Quarta","Quinta","Sexta","Sábado","Domingo"))</f>
        <v>Segunda</v>
      </c>
      <c r="Q692" s="30" t="str">
        <f>IF(B692="","",IF(B692&lt;TIME(12,0,0),"Manhã",IF(B692&lt;TIME(18,0,0),"Tarde","Noite")))</f>
        <v>Tarde</v>
      </c>
      <c r="R692" s="46">
        <f>IF(AND(H692="Realizado",L692&lt;&gt;"",A692&lt;=Config!$B$9),L692/60,0)</f>
        <v>0.5</v>
      </c>
      <c r="S692" s="45">
        <f>IF(G692="","",IFERROR(INDEX(Config!$K$5:$K$16,MATCH(G692,Config!$J$5:$J$16,0)),""))</f>
        <v>30</v>
      </c>
      <c r="T692" s="31">
        <f>IF(OR(G692="",F692=""),"",IFERROR(INDEX(Config!$M$5:$R$16,MATCH(G692,Config!$J$5:$J$16,0),MATCH(F692,Config!$H$5:$H$10,0)),""))</f>
        <v>100</v>
      </c>
      <c r="U692" s="47">
        <f>IF(AND(H692="Realizado",L692&lt;&gt;""),L692/60,0)</f>
        <v>0.5</v>
      </c>
      <c r="V692" s="47">
        <f>IF(AND(H692="Realizado",OR(L692="",M692="")),1,0)</f>
        <v>0</v>
      </c>
    </row>
    <row r="693">
      <c r="A693" s="43" t="n">
        <v>46244</v>
      </c>
      <c r="B693" s="44" t="n">
        <v>0.6736111111111112</v>
      </c>
      <c r="C693" s="38" t="inlineStr">
        <is>
          <t>Dr. Paulo Andrade</t>
        </is>
      </c>
      <c r="D693" s="38" t="inlineStr">
        <is>
          <t>Sala 2</t>
        </is>
      </c>
      <c r="E693" s="37" t="inlineStr">
        <is>
          <t>Marcelo Santos</t>
        </is>
      </c>
      <c r="F693" s="38" t="inlineStr">
        <is>
          <t>Particular</t>
        </is>
      </c>
      <c r="G693" s="38" t="inlineStr">
        <is>
          <t>ECG</t>
        </is>
      </c>
      <c r="H693" s="38" t="inlineStr">
        <is>
          <t>Realizado</t>
        </is>
      </c>
      <c r="I693" s="38" t="inlineStr">
        <is>
          <t>Pix</t>
        </is>
      </c>
      <c r="J693" s="38" t="n"/>
      <c r="K693" s="37" t="n"/>
      <c r="L693" s="39" t="n">
        <v>20</v>
      </c>
      <c r="M693" s="40" t="n">
        <v>130</v>
      </c>
      <c r="N693" s="30">
        <f>IF(A693="","",MONTH(A693))</f>
        <v>8</v>
      </c>
      <c r="O693" s="30">
        <f>IF(A693="","",YEAR(A693))</f>
        <v>2026</v>
      </c>
      <c r="P693" s="30" t="str">
        <f>IF(A693="","",CHOOSE(WEEKDAY(A693,2),"Segunda","Terça","Quarta","Quinta","Sexta","Sábado","Domingo"))</f>
        <v>Segunda</v>
      </c>
      <c r="Q693" s="30" t="str">
        <f>IF(B693="","",IF(B693&lt;TIME(12,0,0),"Manhã",IF(B693&lt;TIME(18,0,0),"Tarde","Noite")))</f>
        <v>Tarde</v>
      </c>
      <c r="R693" s="46">
        <f>IF(AND(H693="Realizado",L693&lt;&gt;"",A693&lt;=Config!$B$9),L693/60,0)</f>
        <v>0.333333333333333</v>
      </c>
      <c r="S693" s="45">
        <f>IF(G693="","",IFERROR(INDEX(Config!$K$5:$K$16,MATCH(G693,Config!$J$5:$J$16,0)),""))</f>
        <v>20</v>
      </c>
      <c r="T693" s="31">
        <f>IF(OR(G693="",F693=""),"",IFERROR(INDEX(Config!$M$5:$R$16,MATCH(G693,Config!$J$5:$J$16,0),MATCH(F693,Config!$H$5:$H$10,0)),""))</f>
        <v>130</v>
      </c>
      <c r="U693" s="47">
        <f>IF(AND(H693="Realizado",L693&lt;&gt;""),L693/60,0)</f>
        <v>0.333333333333333</v>
      </c>
      <c r="V693" s="47">
        <f>IF(AND(H693="Realizado",OR(L693="",M693="")),1,0)</f>
        <v>0</v>
      </c>
    </row>
    <row r="694">
      <c r="A694" s="43" t="n">
        <v>46244</v>
      </c>
      <c r="B694" s="44" t="n">
        <v>0.7083333333333334</v>
      </c>
      <c r="C694" s="38" t="inlineStr">
        <is>
          <t>Dr. Paulo Andrade</t>
        </is>
      </c>
      <c r="D694" s="38" t="inlineStr">
        <is>
          <t>Sala 2</t>
        </is>
      </c>
      <c r="E694" s="37" t="inlineStr">
        <is>
          <t>Rafael Correia</t>
        </is>
      </c>
      <c r="F694" s="38" t="inlineStr">
        <is>
          <t>Particular</t>
        </is>
      </c>
      <c r="G694" s="38" t="inlineStr">
        <is>
          <t>Consulta</t>
        </is>
      </c>
      <c r="H694" s="38" t="inlineStr">
        <is>
          <t>Realizado</t>
        </is>
      </c>
      <c r="I694" s="38" t="inlineStr">
        <is>
          <t>Cartão de crédito</t>
        </is>
      </c>
      <c r="J694" s="38" t="n"/>
      <c r="K694" s="37" t="n"/>
      <c r="L694" s="39" t="n">
        <v>30</v>
      </c>
      <c r="M694" s="40" t="n">
        <v>380</v>
      </c>
      <c r="N694" s="30">
        <f>IF(A694="","",MONTH(A694))</f>
        <v>8</v>
      </c>
      <c r="O694" s="30">
        <f>IF(A694="","",YEAR(A694))</f>
        <v>2026</v>
      </c>
      <c r="P694" s="30" t="str">
        <f>IF(A694="","",CHOOSE(WEEKDAY(A694,2),"Segunda","Terça","Quarta","Quinta","Sexta","Sábado","Domingo"))</f>
        <v>Segunda</v>
      </c>
      <c r="Q694" s="30" t="str">
        <f>IF(B694="","",IF(B694&lt;TIME(12,0,0),"Manhã",IF(B694&lt;TIME(18,0,0),"Tarde","Noite")))</f>
        <v>Tarde</v>
      </c>
      <c r="R694" s="46">
        <f>IF(AND(H694="Realizado",L694&lt;&gt;"",A694&lt;=Config!$B$9),L694/60,0)</f>
        <v>0.5</v>
      </c>
      <c r="S694" s="45">
        <f>IF(G694="","",IFERROR(INDEX(Config!$K$5:$K$16,MATCH(G694,Config!$J$5:$J$16,0)),""))</f>
        <v>30</v>
      </c>
      <c r="T694" s="31">
        <f>IF(OR(G694="",F694=""),"",IFERROR(INDEX(Config!$M$5:$R$16,MATCH(G694,Config!$J$5:$J$16,0),MATCH(F694,Config!$H$5:$H$10,0)),""))</f>
        <v>380</v>
      </c>
      <c r="U694" s="47">
        <f>IF(AND(H694="Realizado",L694&lt;&gt;""),L694/60,0)</f>
        <v>0.5</v>
      </c>
      <c r="V694" s="47">
        <f>IF(AND(H694="Realizado",OR(L694="",M694="")),1,0)</f>
        <v>0</v>
      </c>
    </row>
    <row r="695">
      <c r="A695" s="43" t="n">
        <v>46244</v>
      </c>
      <c r="B695" s="44" t="n">
        <v>0.7291666666666666</v>
      </c>
      <c r="C695" s="38" t="inlineStr">
        <is>
          <t>Dr. Paulo Andrade</t>
        </is>
      </c>
      <c r="D695" s="38" t="inlineStr">
        <is>
          <t>Sala 2</t>
        </is>
      </c>
      <c r="E695" s="37" t="inlineStr">
        <is>
          <t>Sérgio Teixeira</t>
        </is>
      </c>
      <c r="F695" s="38" t="inlineStr">
        <is>
          <t>MediPlan</t>
        </is>
      </c>
      <c r="G695" s="38" t="inlineStr">
        <is>
          <t>Retorno</t>
        </is>
      </c>
      <c r="H695" s="38" t="inlineStr">
        <is>
          <t>Realizado</t>
        </is>
      </c>
      <c r="I695" s="38" t="inlineStr">
        <is>
          <t>Sem cobrança</t>
        </is>
      </c>
      <c r="J695" s="38" t="n"/>
      <c r="K695" s="37" t="n"/>
      <c r="L695" s="39" t="n">
        <v>20</v>
      </c>
      <c r="M695" s="40" t="n">
        <v>0</v>
      </c>
      <c r="N695" s="30">
        <f>IF(A695="","",MONTH(A695))</f>
        <v>8</v>
      </c>
      <c r="O695" s="30">
        <f>IF(A695="","",YEAR(A695))</f>
        <v>2026</v>
      </c>
      <c r="P695" s="30" t="str">
        <f>IF(A695="","",CHOOSE(WEEKDAY(A695,2),"Segunda","Terça","Quarta","Quinta","Sexta","Sábado","Domingo"))</f>
        <v>Segunda</v>
      </c>
      <c r="Q695" s="30" t="str">
        <f>IF(B695="","",IF(B695&lt;TIME(12,0,0),"Manhã",IF(B695&lt;TIME(18,0,0),"Tarde","Noite")))</f>
        <v>Tarde</v>
      </c>
      <c r="R695" s="46">
        <f>IF(AND(H695="Realizado",L695&lt;&gt;"",A695&lt;=Config!$B$9),L695/60,0)</f>
        <v>0.333333333333333</v>
      </c>
      <c r="S695" s="45">
        <f>IF(G695="","",IFERROR(INDEX(Config!$K$5:$K$16,MATCH(G695,Config!$J$5:$J$16,0)),""))</f>
        <v>20</v>
      </c>
      <c r="T695" s="31">
        <f>IF(OR(G695="",F695=""),"",IFERROR(INDEX(Config!$M$5:$R$16,MATCH(G695,Config!$J$5:$J$16,0),MATCH(F695,Config!$H$5:$H$10,0)),""))</f>
        <v>0</v>
      </c>
      <c r="U695" s="47">
        <f>IF(AND(H695="Realizado",L695&lt;&gt;""),L695/60,0)</f>
        <v>0.333333333333333</v>
      </c>
      <c r="V695" s="47">
        <f>IF(AND(H695="Realizado",OR(L695="",M695="")),1,0)</f>
        <v>0</v>
      </c>
    </row>
    <row r="696">
      <c r="A696" s="43" t="n">
        <v>46245</v>
      </c>
      <c r="B696" s="44" t="n">
        <v>0.3333333333333333</v>
      </c>
      <c r="C696" s="38" t="inlineStr">
        <is>
          <t>Dra. Carolina Mendes</t>
        </is>
      </c>
      <c r="D696" s="38" t="inlineStr">
        <is>
          <t>Sala 1</t>
        </is>
      </c>
      <c r="E696" s="37" t="inlineStr">
        <is>
          <t>Gisele Ribeiro</t>
        </is>
      </c>
      <c r="F696" s="38" t="inlineStr">
        <is>
          <t>Particular</t>
        </is>
      </c>
      <c r="G696" s="38" t="inlineStr">
        <is>
          <t>Retorno</t>
        </is>
      </c>
      <c r="H696" s="38" t="inlineStr">
        <is>
          <t>Realizado</t>
        </is>
      </c>
      <c r="I696" s="38" t="inlineStr">
        <is>
          <t>Sem cobrança</t>
        </is>
      </c>
      <c r="J696" s="38" t="n"/>
      <c r="K696" s="37" t="n"/>
      <c r="L696" s="39" t="n">
        <v>20</v>
      </c>
      <c r="M696" s="40" t="n">
        <v>0</v>
      </c>
      <c r="N696" s="30">
        <f>IF(A696="","",MONTH(A696))</f>
        <v>8</v>
      </c>
      <c r="O696" s="30">
        <f>IF(A696="","",YEAR(A696))</f>
        <v>2026</v>
      </c>
      <c r="P696" s="30" t="str">
        <f>IF(A696="","",CHOOSE(WEEKDAY(A696,2),"Segunda","Terça","Quarta","Quinta","Sexta","Sábado","Domingo"))</f>
        <v>Terça</v>
      </c>
      <c r="Q696" s="30" t="str">
        <f>IF(B696="","",IF(B696&lt;TIME(12,0,0),"Manhã",IF(B696&lt;TIME(18,0,0),"Tarde","Noite")))</f>
        <v>Manhã</v>
      </c>
      <c r="R696" s="46">
        <f>IF(AND(H696="Realizado",L696&lt;&gt;"",A696&lt;=Config!$B$9),L696/60,0)</f>
        <v>0.333333333333333</v>
      </c>
      <c r="S696" s="45">
        <f>IF(G696="","",IFERROR(INDEX(Config!$K$5:$K$16,MATCH(G696,Config!$J$5:$J$16,0)),""))</f>
        <v>20</v>
      </c>
      <c r="T696" s="31">
        <f>IF(OR(G696="",F696=""),"",IFERROR(INDEX(Config!$M$5:$R$16,MATCH(G696,Config!$J$5:$J$16,0),MATCH(F696,Config!$H$5:$H$10,0)),""))</f>
        <v>0</v>
      </c>
      <c r="U696" s="47">
        <f>IF(AND(H696="Realizado",L696&lt;&gt;""),L696/60,0)</f>
        <v>0.333333333333333</v>
      </c>
      <c r="V696" s="47">
        <f>IF(AND(H696="Realizado",OR(L696="",M696="")),1,0)</f>
        <v>0</v>
      </c>
    </row>
    <row r="697">
      <c r="A697" s="43" t="n">
        <v>46245</v>
      </c>
      <c r="B697" s="44" t="n">
        <v>0.3472222222222222</v>
      </c>
      <c r="C697" s="38" t="inlineStr">
        <is>
          <t>Dra. Carolina Mendes</t>
        </is>
      </c>
      <c r="D697" s="38" t="inlineStr">
        <is>
          <t>Sala 1</t>
        </is>
      </c>
      <c r="E697" s="37" t="inlineStr">
        <is>
          <t>Wagner Santos</t>
        </is>
      </c>
      <c r="F697" s="38" t="inlineStr">
        <is>
          <t>Particular</t>
        </is>
      </c>
      <c r="G697" s="38" t="inlineStr">
        <is>
          <t>Retorno</t>
        </is>
      </c>
      <c r="H697" s="38" t="inlineStr">
        <is>
          <t>Realizado</t>
        </is>
      </c>
      <c r="I697" s="38" t="inlineStr">
        <is>
          <t>Sem cobrança</t>
        </is>
      </c>
      <c r="J697" s="38" t="n"/>
      <c r="K697" s="37" t="n"/>
      <c r="L697" s="39" t="n">
        <v>20</v>
      </c>
      <c r="M697" s="40" t="n">
        <v>0</v>
      </c>
      <c r="N697" s="30">
        <f>IF(A697="","",MONTH(A697))</f>
        <v>8</v>
      </c>
      <c r="O697" s="30">
        <f>IF(A697="","",YEAR(A697))</f>
        <v>2026</v>
      </c>
      <c r="P697" s="30" t="str">
        <f>IF(A697="","",CHOOSE(WEEKDAY(A697,2),"Segunda","Terça","Quarta","Quinta","Sexta","Sábado","Domingo"))</f>
        <v>Terça</v>
      </c>
      <c r="Q697" s="30" t="str">
        <f>IF(B697="","",IF(B697&lt;TIME(12,0,0),"Manhã",IF(B697&lt;TIME(18,0,0),"Tarde","Noite")))</f>
        <v>Manhã</v>
      </c>
      <c r="R697" s="46">
        <f>IF(AND(H697="Realizado",L697&lt;&gt;"",A697&lt;=Config!$B$9),L697/60,0)</f>
        <v>0.333333333333333</v>
      </c>
      <c r="S697" s="45">
        <f>IF(G697="","",IFERROR(INDEX(Config!$K$5:$K$16,MATCH(G697,Config!$J$5:$J$16,0)),""))</f>
        <v>20</v>
      </c>
      <c r="T697" s="31">
        <f>IF(OR(G697="",F697=""),"",IFERROR(INDEX(Config!$M$5:$R$16,MATCH(G697,Config!$J$5:$J$16,0),MATCH(F697,Config!$H$5:$H$10,0)),""))</f>
        <v>0</v>
      </c>
      <c r="U697" s="47">
        <f>IF(AND(H697="Realizado",L697&lt;&gt;""),L697/60,0)</f>
        <v>0.333333333333333</v>
      </c>
      <c r="V697" s="47">
        <f>IF(AND(H697="Realizado",OR(L697="",M697="")),1,0)</f>
        <v>0</v>
      </c>
    </row>
    <row r="698">
      <c r="A698" s="43" t="n">
        <v>46245</v>
      </c>
      <c r="B698" s="44" t="n">
        <v>0.3611111111111111</v>
      </c>
      <c r="C698" s="38" t="inlineStr">
        <is>
          <t>Dra. Carolina Mendes</t>
        </is>
      </c>
      <c r="D698" s="38" t="inlineStr">
        <is>
          <t>Sala 1</t>
        </is>
      </c>
      <c r="E698" s="37" t="inlineStr">
        <is>
          <t>Mônica Batista</t>
        </is>
      </c>
      <c r="F698" s="38" t="inlineStr">
        <is>
          <t>MediPlan</t>
        </is>
      </c>
      <c r="G698" s="38" t="inlineStr">
        <is>
          <t>Consulta</t>
        </is>
      </c>
      <c r="H698" s="38" t="inlineStr">
        <is>
          <t>Remarcado</t>
        </is>
      </c>
      <c r="I698" s="38" t="n"/>
      <c r="J698" s="38" t="n"/>
      <c r="K698" s="37" t="inlineStr">
        <is>
          <t>Paciente pediu outra data</t>
        </is>
      </c>
      <c r="L698" s="39" t="n">
        <v>30</v>
      </c>
      <c r="M698" s="40" t="n">
        <v>100</v>
      </c>
      <c r="N698" s="30">
        <f>IF(A698="","",MONTH(A698))</f>
        <v>8</v>
      </c>
      <c r="O698" s="30">
        <f>IF(A698="","",YEAR(A698))</f>
        <v>2026</v>
      </c>
      <c r="P698" s="30" t="str">
        <f>IF(A698="","",CHOOSE(WEEKDAY(A698,2),"Segunda","Terça","Quarta","Quinta","Sexta","Sábado","Domingo"))</f>
        <v>Terça</v>
      </c>
      <c r="Q698" s="30" t="str">
        <f>IF(B698="","",IF(B698&lt;TIME(12,0,0),"Manhã",IF(B698&lt;TIME(18,0,0),"Tarde","Noite")))</f>
        <v>Manhã</v>
      </c>
      <c r="R698" s="46">
        <f>IF(AND(H698="Realizado",L698&lt;&gt;"",A698&lt;=Config!$B$9),L698/60,0)</f>
        <v>0</v>
      </c>
      <c r="S698" s="45">
        <f>IF(G698="","",IFERROR(INDEX(Config!$K$5:$K$16,MATCH(G698,Config!$J$5:$J$16,0)),""))</f>
        <v>30</v>
      </c>
      <c r="T698" s="31">
        <f>IF(OR(G698="",F698=""),"",IFERROR(INDEX(Config!$M$5:$R$16,MATCH(G698,Config!$J$5:$J$16,0),MATCH(F698,Config!$H$5:$H$10,0)),""))</f>
        <v>100</v>
      </c>
      <c r="U698" s="47">
        <f>IF(AND(H698="Realizado",L698&lt;&gt;""),L698/60,0)</f>
        <v>0</v>
      </c>
      <c r="V698" s="47">
        <f>IF(AND(H698="Realizado",OR(L698="",M698="")),1,0)</f>
        <v>0</v>
      </c>
    </row>
    <row r="699">
      <c r="A699" s="43" t="n">
        <v>46245</v>
      </c>
      <c r="B699" s="44" t="n">
        <v>0.4027777777777778</v>
      </c>
      <c r="C699" s="38" t="inlineStr">
        <is>
          <t>Dra. Carolina Mendes</t>
        </is>
      </c>
      <c r="D699" s="38" t="inlineStr">
        <is>
          <t>Sala 1</t>
        </is>
      </c>
      <c r="E699" s="37" t="inlineStr">
        <is>
          <t>Mônica Batista</t>
        </is>
      </c>
      <c r="F699" s="38" t="inlineStr">
        <is>
          <t>MediPlan</t>
        </is>
      </c>
      <c r="G699" s="38" t="inlineStr">
        <is>
          <t>Consulta</t>
        </is>
      </c>
      <c r="H699" s="38" t="inlineStr">
        <is>
          <t>Realizado</t>
        </is>
      </c>
      <c r="I699" s="38" t="inlineStr">
        <is>
          <t>Convênio</t>
        </is>
      </c>
      <c r="J699" s="38" t="n"/>
      <c r="K699" s="37" t="n"/>
      <c r="L699" s="39" t="n">
        <v>30</v>
      </c>
      <c r="M699" s="40" t="n">
        <v>100</v>
      </c>
      <c r="N699" s="30">
        <f>IF(A699="","",MONTH(A699))</f>
        <v>8</v>
      </c>
      <c r="O699" s="30">
        <f>IF(A699="","",YEAR(A699))</f>
        <v>2026</v>
      </c>
      <c r="P699" s="30" t="str">
        <f>IF(A699="","",CHOOSE(WEEKDAY(A699,2),"Segunda","Terça","Quarta","Quinta","Sexta","Sábado","Domingo"))</f>
        <v>Terça</v>
      </c>
      <c r="Q699" s="30" t="str">
        <f>IF(B699="","",IF(B699&lt;TIME(12,0,0),"Manhã",IF(B699&lt;TIME(18,0,0),"Tarde","Noite")))</f>
        <v>Manhã</v>
      </c>
      <c r="R699" s="46">
        <f>IF(AND(H699="Realizado",L699&lt;&gt;"",A699&lt;=Config!$B$9),L699/60,0)</f>
        <v>0.5</v>
      </c>
      <c r="S699" s="45">
        <f>IF(G699="","",IFERROR(INDEX(Config!$K$5:$K$16,MATCH(G699,Config!$J$5:$J$16,0)),""))</f>
        <v>30</v>
      </c>
      <c r="T699" s="31">
        <f>IF(OR(G699="",F699=""),"",IFERROR(INDEX(Config!$M$5:$R$16,MATCH(G699,Config!$J$5:$J$16,0),MATCH(F699,Config!$H$5:$H$10,0)),""))</f>
        <v>100</v>
      </c>
      <c r="U699" s="47">
        <f>IF(AND(H699="Realizado",L699&lt;&gt;""),L699/60,0)</f>
        <v>0.5</v>
      </c>
      <c r="V699" s="47">
        <f>IF(AND(H699="Realizado",OR(L699="",M699="")),1,0)</f>
        <v>0</v>
      </c>
    </row>
    <row r="700">
      <c r="A700" s="43" t="n">
        <v>46245</v>
      </c>
      <c r="B700" s="44" t="n">
        <v>0.4236111111111111</v>
      </c>
      <c r="C700" s="38" t="inlineStr">
        <is>
          <t>Dra. Carolina Mendes</t>
        </is>
      </c>
      <c r="D700" s="38" t="inlineStr">
        <is>
          <t>Sala 1</t>
        </is>
      </c>
      <c r="E700" s="37" t="inlineStr">
        <is>
          <t>Letícia Vieira</t>
        </is>
      </c>
      <c r="F700" s="38" t="inlineStr">
        <is>
          <t>Saúde Total</t>
        </is>
      </c>
      <c r="G700" s="38" t="inlineStr">
        <is>
          <t>Consulta</t>
        </is>
      </c>
      <c r="H700" s="38" t="inlineStr">
        <is>
          <t>Cancelado</t>
        </is>
      </c>
      <c r="I700" s="38" t="n"/>
      <c r="J700" s="38" t="n"/>
      <c r="K700" s="37" t="n"/>
      <c r="L700" s="39" t="n">
        <v>30</v>
      </c>
      <c r="M700" s="40" t="n">
        <v>120</v>
      </c>
      <c r="N700" s="30">
        <f>IF(A700="","",MONTH(A700))</f>
        <v>8</v>
      </c>
      <c r="O700" s="30">
        <f>IF(A700="","",YEAR(A700))</f>
        <v>2026</v>
      </c>
      <c r="P700" s="30" t="str">
        <f>IF(A700="","",CHOOSE(WEEKDAY(A700,2),"Segunda","Terça","Quarta","Quinta","Sexta","Sábado","Domingo"))</f>
        <v>Terça</v>
      </c>
      <c r="Q700" s="30" t="str">
        <f>IF(B700="","",IF(B700&lt;TIME(12,0,0),"Manhã",IF(B700&lt;TIME(18,0,0),"Tarde","Noite")))</f>
        <v>Manhã</v>
      </c>
      <c r="R700" s="46">
        <f>IF(AND(H700="Realizado",L700&lt;&gt;"",A700&lt;=Config!$B$9),L700/60,0)</f>
        <v>0</v>
      </c>
      <c r="S700" s="45">
        <f>IF(G700="","",IFERROR(INDEX(Config!$K$5:$K$16,MATCH(G700,Config!$J$5:$J$16,0)),""))</f>
        <v>30</v>
      </c>
      <c r="T700" s="31">
        <f>IF(OR(G700="",F700=""),"",IFERROR(INDEX(Config!$M$5:$R$16,MATCH(G700,Config!$J$5:$J$16,0),MATCH(F700,Config!$H$5:$H$10,0)),""))</f>
        <v>120</v>
      </c>
      <c r="U700" s="47">
        <f>IF(AND(H700="Realizado",L700&lt;&gt;""),L700/60,0)</f>
        <v>0</v>
      </c>
      <c r="V700" s="47">
        <f>IF(AND(H700="Realizado",OR(L700="",M700="")),1,0)</f>
        <v>0</v>
      </c>
    </row>
    <row r="701">
      <c r="A701" s="43" t="n">
        <v>46245</v>
      </c>
      <c r="B701" s="44" t="n">
        <v>0.4444444444444444</v>
      </c>
      <c r="C701" s="38" t="inlineStr">
        <is>
          <t>Dra. Carolina Mendes</t>
        </is>
      </c>
      <c r="D701" s="38" t="inlineStr">
        <is>
          <t>Sala 1</t>
        </is>
      </c>
      <c r="E701" s="37" t="inlineStr">
        <is>
          <t>Ana Costa</t>
        </is>
      </c>
      <c r="F701" s="38" t="inlineStr">
        <is>
          <t>Particular</t>
        </is>
      </c>
      <c r="G701" s="38" t="inlineStr">
        <is>
          <t>Consulta</t>
        </is>
      </c>
      <c r="H701" s="38" t="inlineStr">
        <is>
          <t>Realizado</t>
        </is>
      </c>
      <c r="I701" s="38" t="inlineStr">
        <is>
          <t>Cartão de crédito</t>
        </is>
      </c>
      <c r="J701" s="38" t="n">
        <v>2</v>
      </c>
      <c r="K701" s="37" t="n"/>
      <c r="L701" s="39" t="n">
        <v>30</v>
      </c>
      <c r="M701" s="40" t="n">
        <v>380</v>
      </c>
      <c r="N701" s="30">
        <f>IF(A701="","",MONTH(A701))</f>
        <v>8</v>
      </c>
      <c r="O701" s="30">
        <f>IF(A701="","",YEAR(A701))</f>
        <v>2026</v>
      </c>
      <c r="P701" s="30" t="str">
        <f>IF(A701="","",CHOOSE(WEEKDAY(A701,2),"Segunda","Terça","Quarta","Quinta","Sexta","Sábado","Domingo"))</f>
        <v>Terça</v>
      </c>
      <c r="Q701" s="30" t="str">
        <f>IF(B701="","",IF(B701&lt;TIME(12,0,0),"Manhã",IF(B701&lt;TIME(18,0,0),"Tarde","Noite")))</f>
        <v>Manhã</v>
      </c>
      <c r="R701" s="46">
        <f>IF(AND(H701="Realizado",L701&lt;&gt;"",A701&lt;=Config!$B$9),L701/60,0)</f>
        <v>0.5</v>
      </c>
      <c r="S701" s="45">
        <f>IF(G701="","",IFERROR(INDEX(Config!$K$5:$K$16,MATCH(G701,Config!$J$5:$J$16,0)),""))</f>
        <v>30</v>
      </c>
      <c r="T701" s="31">
        <f>IF(OR(G701="",F701=""),"",IFERROR(INDEX(Config!$M$5:$R$16,MATCH(G701,Config!$J$5:$J$16,0),MATCH(F701,Config!$H$5:$H$10,0)),""))</f>
        <v>380</v>
      </c>
      <c r="U701" s="47">
        <f>IF(AND(H701="Realizado",L701&lt;&gt;""),L701/60,0)</f>
        <v>0.5</v>
      </c>
      <c r="V701" s="47">
        <f>IF(AND(H701="Realizado",OR(L701="",M701="")),1,0)</f>
        <v>0</v>
      </c>
    </row>
    <row r="702">
      <c r="A702" s="43" t="n">
        <v>46245</v>
      </c>
      <c r="B702" s="44" t="n">
        <v>0.4652777777777778</v>
      </c>
      <c r="C702" s="38" t="inlineStr">
        <is>
          <t>Dra. Carolina Mendes</t>
        </is>
      </c>
      <c r="D702" s="38" t="inlineStr">
        <is>
          <t>Sala 1</t>
        </is>
      </c>
      <c r="E702" s="37" t="inlineStr">
        <is>
          <t>Gustavo Ferreira</t>
        </is>
      </c>
      <c r="F702" s="38" t="inlineStr">
        <is>
          <t>Particular</t>
        </is>
      </c>
      <c r="G702" s="38" t="inlineStr">
        <is>
          <t>Consulta</t>
        </is>
      </c>
      <c r="H702" s="38" t="inlineStr">
        <is>
          <t>Realizado</t>
        </is>
      </c>
      <c r="I702" s="38" t="inlineStr">
        <is>
          <t>Cartão de crédito</t>
        </is>
      </c>
      <c r="J702" s="38" t="n"/>
      <c r="K702" s="37" t="n"/>
      <c r="L702" s="39" t="n">
        <v>30</v>
      </c>
      <c r="M702" s="40" t="n">
        <v>380</v>
      </c>
      <c r="N702" s="30">
        <f>IF(A702="","",MONTH(A702))</f>
        <v>8</v>
      </c>
      <c r="O702" s="30">
        <f>IF(A702="","",YEAR(A702))</f>
        <v>2026</v>
      </c>
      <c r="P702" s="30" t="str">
        <f>IF(A702="","",CHOOSE(WEEKDAY(A702,2),"Segunda","Terça","Quarta","Quinta","Sexta","Sábado","Domingo"))</f>
        <v>Terça</v>
      </c>
      <c r="Q702" s="30" t="str">
        <f>IF(B702="","",IF(B702&lt;TIME(12,0,0),"Manhã",IF(B702&lt;TIME(18,0,0),"Tarde","Noite")))</f>
        <v>Manhã</v>
      </c>
      <c r="R702" s="46">
        <f>IF(AND(H702="Realizado",L702&lt;&gt;"",A702&lt;=Config!$B$9),L702/60,0)</f>
        <v>0.5</v>
      </c>
      <c r="S702" s="45">
        <f>IF(G702="","",IFERROR(INDEX(Config!$K$5:$K$16,MATCH(G702,Config!$J$5:$J$16,0)),""))</f>
        <v>30</v>
      </c>
      <c r="T702" s="31">
        <f>IF(OR(G702="",F702=""),"",IFERROR(INDEX(Config!$M$5:$R$16,MATCH(G702,Config!$J$5:$J$16,0),MATCH(F702,Config!$H$5:$H$10,0)),""))</f>
        <v>380</v>
      </c>
      <c r="U702" s="47">
        <f>IF(AND(H702="Realizado",L702&lt;&gt;""),L702/60,0)</f>
        <v>0.5</v>
      </c>
      <c r="V702" s="47">
        <f>IF(AND(H702="Realizado",OR(L702="",M702="")),1,0)</f>
        <v>0</v>
      </c>
    </row>
    <row r="703">
      <c r="A703" s="43" t="n">
        <v>46245</v>
      </c>
      <c r="B703" s="44" t="n">
        <v>0.4861111111111111</v>
      </c>
      <c r="C703" s="38" t="inlineStr">
        <is>
          <t>Dra. Carolina Mendes</t>
        </is>
      </c>
      <c r="D703" s="38" t="inlineStr">
        <is>
          <t>Sala 1</t>
        </is>
      </c>
      <c r="E703" s="37" t="inlineStr">
        <is>
          <t>Tatiana Rocha</t>
        </is>
      </c>
      <c r="F703" s="38" t="inlineStr">
        <is>
          <t>Vida Care</t>
        </is>
      </c>
      <c r="G703" s="38" t="inlineStr">
        <is>
          <t>Consulta</t>
        </is>
      </c>
      <c r="H703" s="38" t="inlineStr">
        <is>
          <t>Realizado</t>
        </is>
      </c>
      <c r="I703" s="38" t="inlineStr">
        <is>
          <t>Convênio</t>
        </is>
      </c>
      <c r="J703" s="38" t="n"/>
      <c r="K703" s="37" t="n"/>
      <c r="L703" s="39" t="n">
        <v>30</v>
      </c>
      <c r="M703" s="40" t="n">
        <v>90</v>
      </c>
      <c r="N703" s="30">
        <f>IF(A703="","",MONTH(A703))</f>
        <v>8</v>
      </c>
      <c r="O703" s="30">
        <f>IF(A703="","",YEAR(A703))</f>
        <v>2026</v>
      </c>
      <c r="P703" s="30" t="str">
        <f>IF(A703="","",CHOOSE(WEEKDAY(A703,2),"Segunda","Terça","Quarta","Quinta","Sexta","Sábado","Domingo"))</f>
        <v>Terça</v>
      </c>
      <c r="Q703" s="30" t="str">
        <f>IF(B703="","",IF(B703&lt;TIME(12,0,0),"Manhã",IF(B703&lt;TIME(18,0,0),"Tarde","Noite")))</f>
        <v>Manhã</v>
      </c>
      <c r="R703" s="46">
        <f>IF(AND(H703="Realizado",L703&lt;&gt;"",A703&lt;=Config!$B$9),L703/60,0)</f>
        <v>0.5</v>
      </c>
      <c r="S703" s="45">
        <f>IF(G703="","",IFERROR(INDEX(Config!$K$5:$K$16,MATCH(G703,Config!$J$5:$J$16,0)),""))</f>
        <v>30</v>
      </c>
      <c r="T703" s="31">
        <f>IF(OR(G703="",F703=""),"",IFERROR(INDEX(Config!$M$5:$R$16,MATCH(G703,Config!$J$5:$J$16,0),MATCH(F703,Config!$H$5:$H$10,0)),""))</f>
        <v>90</v>
      </c>
      <c r="U703" s="47">
        <f>IF(AND(H703="Realizado",L703&lt;&gt;""),L703/60,0)</f>
        <v>0.5</v>
      </c>
      <c r="V703" s="47">
        <f>IF(AND(H703="Realizado",OR(L703="",M703="")),1,0)</f>
        <v>0</v>
      </c>
    </row>
    <row r="704">
      <c r="A704" s="43" t="n">
        <v>46245</v>
      </c>
      <c r="B704" s="44" t="n">
        <v>0.5833333333333334</v>
      </c>
      <c r="C704" s="38" t="inlineStr">
        <is>
          <t>Dra. Renata Sousa</t>
        </is>
      </c>
      <c r="D704" s="38" t="inlineStr">
        <is>
          <t>Sala 1</t>
        </is>
      </c>
      <c r="E704" s="37" t="inlineStr">
        <is>
          <t>Carlos Freitas</t>
        </is>
      </c>
      <c r="F704" s="38" t="inlineStr">
        <is>
          <t>Particular</t>
        </is>
      </c>
      <c r="G704" s="38" t="inlineStr">
        <is>
          <t>Retorno</t>
        </is>
      </c>
      <c r="H704" s="38" t="inlineStr">
        <is>
          <t>Realizado</t>
        </is>
      </c>
      <c r="I704" s="38" t="inlineStr">
        <is>
          <t>Sem cobrança</t>
        </is>
      </c>
      <c r="J704" s="38" t="n"/>
      <c r="K704" s="37" t="n"/>
      <c r="L704" s="39" t="n">
        <v>20</v>
      </c>
      <c r="M704" s="40" t="n">
        <v>0</v>
      </c>
      <c r="N704" s="30">
        <f>IF(A704="","",MONTH(A704))</f>
        <v>8</v>
      </c>
      <c r="O704" s="30">
        <f>IF(A704="","",YEAR(A704))</f>
        <v>2026</v>
      </c>
      <c r="P704" s="30" t="str">
        <f>IF(A704="","",CHOOSE(WEEKDAY(A704,2),"Segunda","Terça","Quarta","Quinta","Sexta","Sábado","Domingo"))</f>
        <v>Terça</v>
      </c>
      <c r="Q704" s="30" t="str">
        <f>IF(B704="","",IF(B704&lt;TIME(12,0,0),"Manhã",IF(B704&lt;TIME(18,0,0),"Tarde","Noite")))</f>
        <v>Tarde</v>
      </c>
      <c r="R704" s="46">
        <f>IF(AND(H704="Realizado",L704&lt;&gt;"",A704&lt;=Config!$B$9),L704/60,0)</f>
        <v>0.333333333333333</v>
      </c>
      <c r="S704" s="45">
        <f>IF(G704="","",IFERROR(INDEX(Config!$K$5:$K$16,MATCH(G704,Config!$J$5:$J$16,0)),""))</f>
        <v>20</v>
      </c>
      <c r="T704" s="31">
        <f>IF(OR(G704="",F704=""),"",IFERROR(INDEX(Config!$M$5:$R$16,MATCH(G704,Config!$J$5:$J$16,0),MATCH(F704,Config!$H$5:$H$10,0)),""))</f>
        <v>0</v>
      </c>
      <c r="U704" s="47">
        <f>IF(AND(H704="Realizado",L704&lt;&gt;""),L704/60,0)</f>
        <v>0.333333333333333</v>
      </c>
      <c r="V704" s="47">
        <f>IF(AND(H704="Realizado",OR(L704="",M704="")),1,0)</f>
        <v>0</v>
      </c>
    </row>
    <row r="705">
      <c r="A705" s="43" t="n">
        <v>46245</v>
      </c>
      <c r="B705" s="44" t="n">
        <v>0.5833333333333334</v>
      </c>
      <c r="C705" s="38" t="inlineStr">
        <is>
          <t>Dr. Paulo Andrade</t>
        </is>
      </c>
      <c r="D705" s="38" t="inlineStr">
        <is>
          <t>Sala 2</t>
        </is>
      </c>
      <c r="E705" s="37" t="inlineStr">
        <is>
          <t>Larissa Costa</t>
        </is>
      </c>
      <c r="F705" s="38" t="inlineStr">
        <is>
          <t>Particular</t>
        </is>
      </c>
      <c r="G705" s="38" t="inlineStr">
        <is>
          <t>Holter</t>
        </is>
      </c>
      <c r="H705" s="38" t="inlineStr">
        <is>
          <t>Realizado</t>
        </is>
      </c>
      <c r="I705" s="38" t="inlineStr">
        <is>
          <t>Cartão de débito</t>
        </is>
      </c>
      <c r="J705" s="38" t="n"/>
      <c r="K705" s="37" t="n"/>
      <c r="L705" s="39" t="n">
        <v>20</v>
      </c>
      <c r="M705" s="40" t="n">
        <v>350</v>
      </c>
      <c r="N705" s="30">
        <f>IF(A705="","",MONTH(A705))</f>
        <v>8</v>
      </c>
      <c r="O705" s="30">
        <f>IF(A705="","",YEAR(A705))</f>
        <v>2026</v>
      </c>
      <c r="P705" s="30" t="str">
        <f>IF(A705="","",CHOOSE(WEEKDAY(A705,2),"Segunda","Terça","Quarta","Quinta","Sexta","Sábado","Domingo"))</f>
        <v>Terça</v>
      </c>
      <c r="Q705" s="30" t="str">
        <f>IF(B705="","",IF(B705&lt;TIME(12,0,0),"Manhã",IF(B705&lt;TIME(18,0,0),"Tarde","Noite")))</f>
        <v>Tarde</v>
      </c>
      <c r="R705" s="46">
        <f>IF(AND(H705="Realizado",L705&lt;&gt;"",A705&lt;=Config!$B$9),L705/60,0)</f>
        <v>0.333333333333333</v>
      </c>
      <c r="S705" s="45">
        <f>IF(G705="","",IFERROR(INDEX(Config!$K$5:$K$16,MATCH(G705,Config!$J$5:$J$16,0)),""))</f>
        <v>20</v>
      </c>
      <c r="T705" s="31">
        <f>IF(OR(G705="",F705=""),"",IFERROR(INDEX(Config!$M$5:$R$16,MATCH(G705,Config!$J$5:$J$16,0),MATCH(F705,Config!$H$5:$H$10,0)),""))</f>
        <v>350</v>
      </c>
      <c r="U705" s="47">
        <f>IF(AND(H705="Realizado",L705&lt;&gt;""),L705/60,0)</f>
        <v>0.333333333333333</v>
      </c>
      <c r="V705" s="47">
        <f>IF(AND(H705="Realizado",OR(L705="",M705="")),1,0)</f>
        <v>0</v>
      </c>
    </row>
    <row r="706">
      <c r="A706" s="43" t="n">
        <v>46245</v>
      </c>
      <c r="B706" s="44" t="n">
        <v>0.5972222222222222</v>
      </c>
      <c r="C706" s="38" t="inlineStr">
        <is>
          <t>Dra. Renata Sousa</t>
        </is>
      </c>
      <c r="D706" s="38" t="inlineStr">
        <is>
          <t>Sala 1</t>
        </is>
      </c>
      <c r="E706" s="37" t="inlineStr">
        <is>
          <t>Rafael Nascimento</t>
        </is>
      </c>
      <c r="F706" s="38" t="inlineStr">
        <is>
          <t>Saúde Total</t>
        </is>
      </c>
      <c r="G706" s="38" t="inlineStr">
        <is>
          <t>Avaliação endócrina</t>
        </is>
      </c>
      <c r="H706" s="38" t="inlineStr">
        <is>
          <t>Realizado</t>
        </is>
      </c>
      <c r="I706" s="38" t="inlineStr">
        <is>
          <t>Convênio</t>
        </is>
      </c>
      <c r="J706" s="38" t="n"/>
      <c r="K706" s="37" t="n"/>
      <c r="L706" s="39" t="n">
        <v>40</v>
      </c>
      <c r="M706" s="40" t="n">
        <v>130</v>
      </c>
      <c r="N706" s="30">
        <f>IF(A706="","",MONTH(A706))</f>
        <v>8</v>
      </c>
      <c r="O706" s="30">
        <f>IF(A706="","",YEAR(A706))</f>
        <v>2026</v>
      </c>
      <c r="P706" s="30" t="str">
        <f>IF(A706="","",CHOOSE(WEEKDAY(A706,2),"Segunda","Terça","Quarta","Quinta","Sexta","Sábado","Domingo"))</f>
        <v>Terça</v>
      </c>
      <c r="Q706" s="30" t="str">
        <f>IF(B706="","",IF(B706&lt;TIME(12,0,0),"Manhã",IF(B706&lt;TIME(18,0,0),"Tarde","Noite")))</f>
        <v>Tarde</v>
      </c>
      <c r="R706" s="46">
        <f>IF(AND(H706="Realizado",L706&lt;&gt;"",A706&lt;=Config!$B$9),L706/60,0)</f>
        <v>0.666666666666667</v>
      </c>
      <c r="S706" s="45">
        <f>IF(G706="","",IFERROR(INDEX(Config!$K$5:$K$16,MATCH(G706,Config!$J$5:$J$16,0)),""))</f>
        <v>40</v>
      </c>
      <c r="T706" s="31">
        <f>IF(OR(G706="",F706=""),"",IFERROR(INDEX(Config!$M$5:$R$16,MATCH(G706,Config!$J$5:$J$16,0),MATCH(F706,Config!$H$5:$H$10,0)),""))</f>
        <v>130</v>
      </c>
      <c r="U706" s="47">
        <f>IF(AND(H706="Realizado",L706&lt;&gt;""),L706/60,0)</f>
        <v>0.666666666666667</v>
      </c>
      <c r="V706" s="47">
        <f>IF(AND(H706="Realizado",OR(L706="",M706="")),1,0)</f>
        <v>0</v>
      </c>
    </row>
    <row r="707">
      <c r="A707" s="43" t="n">
        <v>46245</v>
      </c>
      <c r="B707" s="44" t="n">
        <v>0.5972222222222222</v>
      </c>
      <c r="C707" s="38" t="inlineStr">
        <is>
          <t>Dr. Paulo Andrade</t>
        </is>
      </c>
      <c r="D707" s="38" t="inlineStr">
        <is>
          <t>Sala 2</t>
        </is>
      </c>
      <c r="E707" s="37" t="inlineStr">
        <is>
          <t>Rodrigo Teixeira</t>
        </is>
      </c>
      <c r="F707" s="38" t="inlineStr">
        <is>
          <t>Vida Care</t>
        </is>
      </c>
      <c r="G707" s="38" t="inlineStr">
        <is>
          <t>Holter</t>
        </is>
      </c>
      <c r="H707" s="38" t="inlineStr">
        <is>
          <t>Realizado</t>
        </is>
      </c>
      <c r="I707" s="38" t="inlineStr">
        <is>
          <t>Convênio</t>
        </is>
      </c>
      <c r="J707" s="38" t="n"/>
      <c r="K707" s="37" t="n"/>
      <c r="L707" s="39" t="n">
        <v>20</v>
      </c>
      <c r="M707" s="40" t="n">
        <v>85</v>
      </c>
      <c r="N707" s="30">
        <f>IF(A707="","",MONTH(A707))</f>
        <v>8</v>
      </c>
      <c r="O707" s="30">
        <f>IF(A707="","",YEAR(A707))</f>
        <v>2026</v>
      </c>
      <c r="P707" s="30" t="str">
        <f>IF(A707="","",CHOOSE(WEEKDAY(A707,2),"Segunda","Terça","Quarta","Quinta","Sexta","Sábado","Domingo"))</f>
        <v>Terça</v>
      </c>
      <c r="Q707" s="30" t="str">
        <f>IF(B707="","",IF(B707&lt;TIME(12,0,0),"Manhã",IF(B707&lt;TIME(18,0,0),"Tarde","Noite")))</f>
        <v>Tarde</v>
      </c>
      <c r="R707" s="46">
        <f>IF(AND(H707="Realizado",L707&lt;&gt;"",A707&lt;=Config!$B$9),L707/60,0)</f>
        <v>0.333333333333333</v>
      </c>
      <c r="S707" s="45">
        <f>IF(G707="","",IFERROR(INDEX(Config!$K$5:$K$16,MATCH(G707,Config!$J$5:$J$16,0)),""))</f>
        <v>20</v>
      </c>
      <c r="T707" s="31">
        <f>IF(OR(G707="",F707=""),"",IFERROR(INDEX(Config!$M$5:$R$16,MATCH(G707,Config!$J$5:$J$16,0),MATCH(F707,Config!$H$5:$H$10,0)),""))</f>
        <v>85</v>
      </c>
      <c r="U707" s="47">
        <f>IF(AND(H707="Realizado",L707&lt;&gt;""),L707/60,0)</f>
        <v>0.333333333333333</v>
      </c>
      <c r="V707" s="47">
        <f>IF(AND(H707="Realizado",OR(L707="",M707="")),1,0)</f>
        <v>0</v>
      </c>
    </row>
    <row r="708">
      <c r="A708" s="43" t="n">
        <v>46245</v>
      </c>
      <c r="B708" s="44" t="n">
        <v>0.6111111111111112</v>
      </c>
      <c r="C708" s="38" t="inlineStr">
        <is>
          <t>Dr. Paulo Andrade</t>
        </is>
      </c>
      <c r="D708" s="38" t="inlineStr">
        <is>
          <t>Sala 2</t>
        </is>
      </c>
      <c r="E708" s="37" t="inlineStr">
        <is>
          <t>Regina Duarte</t>
        </is>
      </c>
      <c r="F708" s="38" t="inlineStr">
        <is>
          <t>Particular</t>
        </is>
      </c>
      <c r="G708" s="38" t="inlineStr">
        <is>
          <t>Teste ergométrico</t>
        </is>
      </c>
      <c r="H708" s="38" t="inlineStr">
        <is>
          <t>Realizado</t>
        </is>
      </c>
      <c r="I708" s="38" t="inlineStr">
        <is>
          <t>Pix</t>
        </is>
      </c>
      <c r="J708" s="38" t="n"/>
      <c r="K708" s="37" t="n"/>
      <c r="L708" s="39" t="n">
        <v>40</v>
      </c>
      <c r="M708" s="40" t="n">
        <v>450</v>
      </c>
      <c r="N708" s="30">
        <f>IF(A708="","",MONTH(A708))</f>
        <v>8</v>
      </c>
      <c r="O708" s="30">
        <f>IF(A708="","",YEAR(A708))</f>
        <v>2026</v>
      </c>
      <c r="P708" s="30" t="str">
        <f>IF(A708="","",CHOOSE(WEEKDAY(A708,2),"Segunda","Terça","Quarta","Quinta","Sexta","Sábado","Domingo"))</f>
        <v>Terça</v>
      </c>
      <c r="Q708" s="30" t="str">
        <f>IF(B708="","",IF(B708&lt;TIME(12,0,0),"Manhã",IF(B708&lt;TIME(18,0,0),"Tarde","Noite")))</f>
        <v>Tarde</v>
      </c>
      <c r="R708" s="46">
        <f>IF(AND(H708="Realizado",L708&lt;&gt;"",A708&lt;=Config!$B$9),L708/60,0)</f>
        <v>0.666666666666667</v>
      </c>
      <c r="S708" s="45">
        <f>IF(G708="","",IFERROR(INDEX(Config!$K$5:$K$16,MATCH(G708,Config!$J$5:$J$16,0)),""))</f>
        <v>40</v>
      </c>
      <c r="T708" s="31">
        <f>IF(OR(G708="",F708=""),"",IFERROR(INDEX(Config!$M$5:$R$16,MATCH(G708,Config!$J$5:$J$16,0),MATCH(F708,Config!$H$5:$H$10,0)),""))</f>
        <v>450</v>
      </c>
      <c r="U708" s="47">
        <f>IF(AND(H708="Realizado",L708&lt;&gt;""),L708/60,0)</f>
        <v>0.666666666666667</v>
      </c>
      <c r="V708" s="47">
        <f>IF(AND(H708="Realizado",OR(L708="",M708="")),1,0)</f>
        <v>0</v>
      </c>
    </row>
    <row r="709">
      <c r="A709" s="43" t="n">
        <v>46245</v>
      </c>
      <c r="B709" s="44" t="n">
        <v>0.625</v>
      </c>
      <c r="C709" s="38" t="inlineStr">
        <is>
          <t>Dra. Renata Sousa</t>
        </is>
      </c>
      <c r="D709" s="38" t="inlineStr">
        <is>
          <t>Sala 1</t>
        </is>
      </c>
      <c r="E709" s="37" t="inlineStr">
        <is>
          <t>Beatriz Monteiro</t>
        </is>
      </c>
      <c r="F709" s="38" t="inlineStr">
        <is>
          <t>Particular</t>
        </is>
      </c>
      <c r="G709" s="38" t="inlineStr">
        <is>
          <t>Avaliação endócrina</t>
        </is>
      </c>
      <c r="H709" s="38" t="inlineStr">
        <is>
          <t>Realizado</t>
        </is>
      </c>
      <c r="I709" s="38" t="inlineStr">
        <is>
          <t>Cartão de crédito</t>
        </is>
      </c>
      <c r="J709" s="38" t="n"/>
      <c r="K709" s="37" t="n"/>
      <c r="L709" s="39" t="n">
        <v>40</v>
      </c>
      <c r="M709" s="40" t="n">
        <v>400</v>
      </c>
      <c r="N709" s="30">
        <f>IF(A709="","",MONTH(A709))</f>
        <v>8</v>
      </c>
      <c r="O709" s="30">
        <f>IF(A709="","",YEAR(A709))</f>
        <v>2026</v>
      </c>
      <c r="P709" s="30" t="str">
        <f>IF(A709="","",CHOOSE(WEEKDAY(A709,2),"Segunda","Terça","Quarta","Quinta","Sexta","Sábado","Domingo"))</f>
        <v>Terça</v>
      </c>
      <c r="Q709" s="30" t="str">
        <f>IF(B709="","",IF(B709&lt;TIME(12,0,0),"Manhã",IF(B709&lt;TIME(18,0,0),"Tarde","Noite")))</f>
        <v>Tarde</v>
      </c>
      <c r="R709" s="46">
        <f>IF(AND(H709="Realizado",L709&lt;&gt;"",A709&lt;=Config!$B$9),L709/60,0)</f>
        <v>0.666666666666667</v>
      </c>
      <c r="S709" s="45">
        <f>IF(G709="","",IFERROR(INDEX(Config!$K$5:$K$16,MATCH(G709,Config!$J$5:$J$16,0)),""))</f>
        <v>40</v>
      </c>
      <c r="T709" s="31">
        <f>IF(OR(G709="",F709=""),"",IFERROR(INDEX(Config!$M$5:$R$16,MATCH(G709,Config!$J$5:$J$16,0),MATCH(F709,Config!$H$5:$H$10,0)),""))</f>
        <v>400</v>
      </c>
      <c r="U709" s="47">
        <f>IF(AND(H709="Realizado",L709&lt;&gt;""),L709/60,0)</f>
        <v>0.666666666666667</v>
      </c>
      <c r="V709" s="47">
        <f>IF(AND(H709="Realizado",OR(L709="",M709="")),1,0)</f>
        <v>0</v>
      </c>
    </row>
    <row r="710">
      <c r="A710" s="43" t="n">
        <v>46245</v>
      </c>
      <c r="B710" s="44" t="n">
        <v>0.6388888888888888</v>
      </c>
      <c r="C710" s="38" t="inlineStr">
        <is>
          <t>Dr. Paulo Andrade</t>
        </is>
      </c>
      <c r="D710" s="38" t="inlineStr">
        <is>
          <t>Sala 2</t>
        </is>
      </c>
      <c r="E710" s="37" t="inlineStr">
        <is>
          <t>Roberta Fernandes</t>
        </is>
      </c>
      <c r="F710" s="38" t="inlineStr">
        <is>
          <t>Saúde Total</t>
        </is>
      </c>
      <c r="G710" s="38" t="inlineStr">
        <is>
          <t>MAPA</t>
        </is>
      </c>
      <c r="H710" s="38" t="inlineStr">
        <is>
          <t>Realizado</t>
        </is>
      </c>
      <c r="I710" s="38" t="inlineStr">
        <is>
          <t>Convênio</t>
        </is>
      </c>
      <c r="J710" s="38" t="n"/>
      <c r="K710" s="37" t="n"/>
      <c r="L710" s="39" t="n">
        <v>20</v>
      </c>
      <c r="M710" s="40" t="n">
        <v>95</v>
      </c>
      <c r="N710" s="30">
        <f>IF(A710="","",MONTH(A710))</f>
        <v>8</v>
      </c>
      <c r="O710" s="30">
        <f>IF(A710="","",YEAR(A710))</f>
        <v>2026</v>
      </c>
      <c r="P710" s="30" t="str">
        <f>IF(A710="","",CHOOSE(WEEKDAY(A710,2),"Segunda","Terça","Quarta","Quinta","Sexta","Sábado","Domingo"))</f>
        <v>Terça</v>
      </c>
      <c r="Q710" s="30" t="str">
        <f>IF(B710="","",IF(B710&lt;TIME(12,0,0),"Manhã",IF(B710&lt;TIME(18,0,0),"Tarde","Noite")))</f>
        <v>Tarde</v>
      </c>
      <c r="R710" s="46">
        <f>IF(AND(H710="Realizado",L710&lt;&gt;"",A710&lt;=Config!$B$9),L710/60,0)</f>
        <v>0.333333333333333</v>
      </c>
      <c r="S710" s="45">
        <f>IF(G710="","",IFERROR(INDEX(Config!$K$5:$K$16,MATCH(G710,Config!$J$5:$J$16,0)),""))</f>
        <v>20</v>
      </c>
      <c r="T710" s="31">
        <f>IF(OR(G710="",F710=""),"",IFERROR(INDEX(Config!$M$5:$R$16,MATCH(G710,Config!$J$5:$J$16,0),MATCH(F710,Config!$H$5:$H$10,0)),""))</f>
        <v>95</v>
      </c>
      <c r="U710" s="47">
        <f>IF(AND(H710="Realizado",L710&lt;&gt;""),L710/60,0)</f>
        <v>0.333333333333333</v>
      </c>
      <c r="V710" s="47">
        <f>IF(AND(H710="Realizado",OR(L710="",M710="")),1,0)</f>
        <v>0</v>
      </c>
    </row>
    <row r="711">
      <c r="A711" s="43" t="n">
        <v>46245</v>
      </c>
      <c r="B711" s="44" t="n">
        <v>0.6527777777777778</v>
      </c>
      <c r="C711" s="38" t="inlineStr">
        <is>
          <t>Dra. Renata Sousa</t>
        </is>
      </c>
      <c r="D711" s="38" t="inlineStr">
        <is>
          <t>Sala 1</t>
        </is>
      </c>
      <c r="E711" s="37" t="inlineStr">
        <is>
          <t>Gustavo Carvalho</t>
        </is>
      </c>
      <c r="F711" s="38" t="inlineStr">
        <is>
          <t>Particular</t>
        </is>
      </c>
      <c r="G711" s="38" t="inlineStr">
        <is>
          <t>Avaliação endócrina</t>
        </is>
      </c>
      <c r="H711" s="38" t="inlineStr">
        <is>
          <t>Realizado</t>
        </is>
      </c>
      <c r="I711" s="38" t="inlineStr">
        <is>
          <t>Pix</t>
        </is>
      </c>
      <c r="J711" s="38" t="n"/>
      <c r="K711" s="37" t="n"/>
      <c r="L711" s="39" t="n">
        <v>40</v>
      </c>
      <c r="M711" s="40" t="n">
        <v>400</v>
      </c>
      <c r="N711" s="30">
        <f>IF(A711="","",MONTH(A711))</f>
        <v>8</v>
      </c>
      <c r="O711" s="30">
        <f>IF(A711="","",YEAR(A711))</f>
        <v>2026</v>
      </c>
      <c r="P711" s="30" t="str">
        <f>IF(A711="","",CHOOSE(WEEKDAY(A711,2),"Segunda","Terça","Quarta","Quinta","Sexta","Sábado","Domingo"))</f>
        <v>Terça</v>
      </c>
      <c r="Q711" s="30" t="str">
        <f>IF(B711="","",IF(B711&lt;TIME(12,0,0),"Manhã",IF(B711&lt;TIME(18,0,0),"Tarde","Noite")))</f>
        <v>Tarde</v>
      </c>
      <c r="R711" s="46">
        <f>IF(AND(H711="Realizado",L711&lt;&gt;"",A711&lt;=Config!$B$9),L711/60,0)</f>
        <v>0.666666666666667</v>
      </c>
      <c r="S711" s="45">
        <f>IF(G711="","",IFERROR(INDEX(Config!$K$5:$K$16,MATCH(G711,Config!$J$5:$J$16,0)),""))</f>
        <v>40</v>
      </c>
      <c r="T711" s="31">
        <f>IF(OR(G711="",F711=""),"",IFERROR(INDEX(Config!$M$5:$R$16,MATCH(G711,Config!$J$5:$J$16,0),MATCH(F711,Config!$H$5:$H$10,0)),""))</f>
        <v>400</v>
      </c>
      <c r="U711" s="47">
        <f>IF(AND(H711="Realizado",L711&lt;&gt;""),L711/60,0)</f>
        <v>0.666666666666667</v>
      </c>
      <c r="V711" s="47">
        <f>IF(AND(H711="Realizado",OR(L711="",M711="")),1,0)</f>
        <v>0</v>
      </c>
    </row>
    <row r="712">
      <c r="A712" s="43" t="n">
        <v>46245</v>
      </c>
      <c r="B712" s="44" t="n">
        <v>0.6527777777777778</v>
      </c>
      <c r="C712" s="38" t="inlineStr">
        <is>
          <t>Dr. Paulo Andrade</t>
        </is>
      </c>
      <c r="D712" s="38" t="inlineStr">
        <is>
          <t>Sala 2</t>
        </is>
      </c>
      <c r="E712" s="37" t="inlineStr">
        <is>
          <t>Daniel Almeida</t>
        </is>
      </c>
      <c r="F712" s="38" t="inlineStr">
        <is>
          <t>Saúde Total</t>
        </is>
      </c>
      <c r="G712" s="38" t="inlineStr">
        <is>
          <t>ECG</t>
        </is>
      </c>
      <c r="H712" s="38" t="inlineStr">
        <is>
          <t>Realizado</t>
        </is>
      </c>
      <c r="I712" s="38" t="inlineStr">
        <is>
          <t>Convênio</t>
        </is>
      </c>
      <c r="J712" s="38" t="n"/>
      <c r="K712" s="37" t="n"/>
      <c r="L712" s="39" t="n">
        <v>20</v>
      </c>
      <c r="M712" s="40" t="n">
        <v>40</v>
      </c>
      <c r="N712" s="30">
        <f>IF(A712="","",MONTH(A712))</f>
        <v>8</v>
      </c>
      <c r="O712" s="30">
        <f>IF(A712="","",YEAR(A712))</f>
        <v>2026</v>
      </c>
      <c r="P712" s="30" t="str">
        <f>IF(A712="","",CHOOSE(WEEKDAY(A712,2),"Segunda","Terça","Quarta","Quinta","Sexta","Sábado","Domingo"))</f>
        <v>Terça</v>
      </c>
      <c r="Q712" s="30" t="str">
        <f>IF(B712="","",IF(B712&lt;TIME(12,0,0),"Manhã",IF(B712&lt;TIME(18,0,0),"Tarde","Noite")))</f>
        <v>Tarde</v>
      </c>
      <c r="R712" s="46">
        <f>IF(AND(H712="Realizado",L712&lt;&gt;"",A712&lt;=Config!$B$9),L712/60,0)</f>
        <v>0.333333333333333</v>
      </c>
      <c r="S712" s="45">
        <f>IF(G712="","",IFERROR(INDEX(Config!$K$5:$K$16,MATCH(G712,Config!$J$5:$J$16,0)),""))</f>
        <v>20</v>
      </c>
      <c r="T712" s="31">
        <f>IF(OR(G712="",F712=""),"",IFERROR(INDEX(Config!$M$5:$R$16,MATCH(G712,Config!$J$5:$J$16,0),MATCH(F712,Config!$H$5:$H$10,0)),""))</f>
        <v>40</v>
      </c>
      <c r="U712" s="47">
        <f>IF(AND(H712="Realizado",L712&lt;&gt;""),L712/60,0)</f>
        <v>0.333333333333333</v>
      </c>
      <c r="V712" s="47">
        <f>IF(AND(H712="Realizado",OR(L712="",M712="")),1,0)</f>
        <v>0</v>
      </c>
    </row>
    <row r="713">
      <c r="A713" s="43" t="n">
        <v>46245</v>
      </c>
      <c r="B713" s="44" t="n">
        <v>0.6666666666666666</v>
      </c>
      <c r="C713" s="38" t="inlineStr">
        <is>
          <t>Dr. Paulo Andrade</t>
        </is>
      </c>
      <c r="D713" s="38" t="inlineStr">
        <is>
          <t>Sala 2</t>
        </is>
      </c>
      <c r="E713" s="37" t="inlineStr">
        <is>
          <t>Camila Martins</t>
        </is>
      </c>
      <c r="F713" s="38" t="inlineStr">
        <is>
          <t>Vida Care</t>
        </is>
      </c>
      <c r="G713" s="38" t="inlineStr">
        <is>
          <t>Retorno</t>
        </is>
      </c>
      <c r="H713" s="38" t="inlineStr">
        <is>
          <t>Falta</t>
        </is>
      </c>
      <c r="I713" s="38" t="n"/>
      <c r="J713" s="38" t="n"/>
      <c r="K713" s="37" t="n"/>
      <c r="L713" s="39" t="n">
        <v>20</v>
      </c>
      <c r="M713" s="40" t="n">
        <v>0</v>
      </c>
      <c r="N713" s="30">
        <f>IF(A713="","",MONTH(A713))</f>
        <v>8</v>
      </c>
      <c r="O713" s="30">
        <f>IF(A713="","",YEAR(A713))</f>
        <v>2026</v>
      </c>
      <c r="P713" s="30" t="str">
        <f>IF(A713="","",CHOOSE(WEEKDAY(A713,2),"Segunda","Terça","Quarta","Quinta","Sexta","Sábado","Domingo"))</f>
        <v>Terça</v>
      </c>
      <c r="Q713" s="30" t="str">
        <f>IF(B713="","",IF(B713&lt;TIME(12,0,0),"Manhã",IF(B713&lt;TIME(18,0,0),"Tarde","Noite")))</f>
        <v>Tarde</v>
      </c>
      <c r="R713" s="46">
        <f>IF(AND(H713="Realizado",L713&lt;&gt;"",A713&lt;=Config!$B$9),L713/60,0)</f>
        <v>0</v>
      </c>
      <c r="S713" s="45">
        <f>IF(G713="","",IFERROR(INDEX(Config!$K$5:$K$16,MATCH(G713,Config!$J$5:$J$16,0)),""))</f>
        <v>20</v>
      </c>
      <c r="T713" s="31">
        <f>IF(OR(G713="",F713=""),"",IFERROR(INDEX(Config!$M$5:$R$16,MATCH(G713,Config!$J$5:$J$16,0),MATCH(F713,Config!$H$5:$H$10,0)),""))</f>
        <v>0</v>
      </c>
      <c r="U713" s="47">
        <f>IF(AND(H713="Realizado",L713&lt;&gt;""),L713/60,0)</f>
        <v>0</v>
      </c>
      <c r="V713" s="47">
        <f>IF(AND(H713="Realizado",OR(L713="",M713="")),1,0)</f>
        <v>0</v>
      </c>
    </row>
    <row r="714">
      <c r="A714" s="43" t="n">
        <v>46245</v>
      </c>
      <c r="B714" s="44" t="n">
        <v>0.6805555555555556</v>
      </c>
      <c r="C714" s="38" t="inlineStr">
        <is>
          <t>Dr. Paulo Andrade</t>
        </is>
      </c>
      <c r="D714" s="38" t="inlineStr">
        <is>
          <t>Sala 2</t>
        </is>
      </c>
      <c r="E714" s="37" t="inlineStr">
        <is>
          <t>Gisele Ribeiro</t>
        </is>
      </c>
      <c r="F714" s="38" t="inlineStr">
        <is>
          <t>Particular</t>
        </is>
      </c>
      <c r="G714" s="38" t="inlineStr">
        <is>
          <t>ECG</t>
        </is>
      </c>
      <c r="H714" s="38" t="inlineStr">
        <is>
          <t>Realizado</t>
        </is>
      </c>
      <c r="I714" s="38" t="inlineStr">
        <is>
          <t>Pix</t>
        </is>
      </c>
      <c r="J714" s="38" t="n"/>
      <c r="K714" s="37" t="n"/>
      <c r="L714" s="39" t="n">
        <v>20</v>
      </c>
      <c r="M714" s="40" t="n">
        <v>130</v>
      </c>
      <c r="N714" s="30">
        <f>IF(A714="","",MONTH(A714))</f>
        <v>8</v>
      </c>
      <c r="O714" s="30">
        <f>IF(A714="","",YEAR(A714))</f>
        <v>2026</v>
      </c>
      <c r="P714" s="30" t="str">
        <f>IF(A714="","",CHOOSE(WEEKDAY(A714,2),"Segunda","Terça","Quarta","Quinta","Sexta","Sábado","Domingo"))</f>
        <v>Terça</v>
      </c>
      <c r="Q714" s="30" t="str">
        <f>IF(B714="","",IF(B714&lt;TIME(12,0,0),"Manhã",IF(B714&lt;TIME(18,0,0),"Tarde","Noite")))</f>
        <v>Tarde</v>
      </c>
      <c r="R714" s="46">
        <f>IF(AND(H714="Realizado",L714&lt;&gt;"",A714&lt;=Config!$B$9),L714/60,0)</f>
        <v>0.333333333333333</v>
      </c>
      <c r="S714" s="45">
        <f>IF(G714="","",IFERROR(INDEX(Config!$K$5:$K$16,MATCH(G714,Config!$J$5:$J$16,0)),""))</f>
        <v>20</v>
      </c>
      <c r="T714" s="31">
        <f>IF(OR(G714="",F714=""),"",IFERROR(INDEX(Config!$M$5:$R$16,MATCH(G714,Config!$J$5:$J$16,0),MATCH(F714,Config!$H$5:$H$10,0)),""))</f>
        <v>130</v>
      </c>
      <c r="U714" s="47">
        <f>IF(AND(H714="Realizado",L714&lt;&gt;""),L714/60,0)</f>
        <v>0.333333333333333</v>
      </c>
      <c r="V714" s="47">
        <f>IF(AND(H714="Realizado",OR(L714="",M714="")),1,0)</f>
        <v>0</v>
      </c>
    </row>
    <row r="715">
      <c r="A715" s="43" t="n">
        <v>46245</v>
      </c>
      <c r="B715" s="44" t="n">
        <v>0.7152777777777778</v>
      </c>
      <c r="C715" s="38" t="inlineStr">
        <is>
          <t>Dr. Paulo Andrade</t>
        </is>
      </c>
      <c r="D715" s="38" t="inlineStr">
        <is>
          <t>Sala 2</t>
        </is>
      </c>
      <c r="E715" s="37" t="inlineStr">
        <is>
          <t>Simone Monteiro</t>
        </is>
      </c>
      <c r="F715" s="38" t="inlineStr">
        <is>
          <t>Vida Care</t>
        </is>
      </c>
      <c r="G715" s="38" t="inlineStr">
        <is>
          <t>Teste ergométrico</t>
        </is>
      </c>
      <c r="H715" s="38" t="inlineStr">
        <is>
          <t>Falta</t>
        </is>
      </c>
      <c r="I715" s="38" t="n"/>
      <c r="J715" s="38" t="n"/>
      <c r="K715" s="37" t="n"/>
      <c r="L715" s="39" t="n">
        <v>40</v>
      </c>
      <c r="M715" s="40" t="n">
        <v>110</v>
      </c>
      <c r="N715" s="30">
        <f>IF(A715="","",MONTH(A715))</f>
        <v>8</v>
      </c>
      <c r="O715" s="30">
        <f>IF(A715="","",YEAR(A715))</f>
        <v>2026</v>
      </c>
      <c r="P715" s="30" t="str">
        <f>IF(A715="","",CHOOSE(WEEKDAY(A715,2),"Segunda","Terça","Quarta","Quinta","Sexta","Sábado","Domingo"))</f>
        <v>Terça</v>
      </c>
      <c r="Q715" s="30" t="str">
        <f>IF(B715="","",IF(B715&lt;TIME(12,0,0),"Manhã",IF(B715&lt;TIME(18,0,0),"Tarde","Noite")))</f>
        <v>Tarde</v>
      </c>
      <c r="R715" s="46">
        <f>IF(AND(H715="Realizado",L715&lt;&gt;"",A715&lt;=Config!$B$9),L715/60,0)</f>
        <v>0</v>
      </c>
      <c r="S715" s="45">
        <f>IF(G715="","",IFERROR(INDEX(Config!$K$5:$K$16,MATCH(G715,Config!$J$5:$J$16,0)),""))</f>
        <v>40</v>
      </c>
      <c r="T715" s="31">
        <f>IF(OR(G715="",F715=""),"",IFERROR(INDEX(Config!$M$5:$R$16,MATCH(G715,Config!$J$5:$J$16,0),MATCH(F715,Config!$H$5:$H$10,0)),""))</f>
        <v>110</v>
      </c>
      <c r="U715" s="47">
        <f>IF(AND(H715="Realizado",L715&lt;&gt;""),L715/60,0)</f>
        <v>0</v>
      </c>
      <c r="V715" s="47">
        <f>IF(AND(H715="Realizado",OR(L715="",M715="")),1,0)</f>
        <v>0</v>
      </c>
    </row>
    <row r="716">
      <c r="A716" s="43" t="n">
        <v>46245</v>
      </c>
      <c r="B716" s="44" t="n">
        <v>0.7222222222222222</v>
      </c>
      <c r="C716" s="38" t="inlineStr">
        <is>
          <t>Dra. Renata Sousa</t>
        </is>
      </c>
      <c r="D716" s="38" t="inlineStr">
        <is>
          <t>Sala 1</t>
        </is>
      </c>
      <c r="E716" s="37" t="inlineStr">
        <is>
          <t>Fábio Gomes</t>
        </is>
      </c>
      <c r="F716" s="38" t="inlineStr">
        <is>
          <t>Particular</t>
        </is>
      </c>
      <c r="G716" s="38" t="inlineStr">
        <is>
          <t>Avaliação endócrina</t>
        </is>
      </c>
      <c r="H716" s="38" t="inlineStr">
        <is>
          <t>Realizado</t>
        </is>
      </c>
      <c r="I716" s="38" t="inlineStr">
        <is>
          <t>A prazo</t>
        </is>
      </c>
      <c r="J716" s="38" t="n"/>
      <c r="K716" s="37" t="n"/>
      <c r="L716" s="39" t="n">
        <v>40</v>
      </c>
      <c r="M716" s="40" t="n">
        <v>400</v>
      </c>
      <c r="N716" s="30">
        <f>IF(A716="","",MONTH(A716))</f>
        <v>8</v>
      </c>
      <c r="O716" s="30">
        <f>IF(A716="","",YEAR(A716))</f>
        <v>2026</v>
      </c>
      <c r="P716" s="30" t="str">
        <f>IF(A716="","",CHOOSE(WEEKDAY(A716,2),"Segunda","Terça","Quarta","Quinta","Sexta","Sábado","Domingo"))</f>
        <v>Terça</v>
      </c>
      <c r="Q716" s="30" t="str">
        <f>IF(B716="","",IF(B716&lt;TIME(12,0,0),"Manhã",IF(B716&lt;TIME(18,0,0),"Tarde","Noite")))</f>
        <v>Tarde</v>
      </c>
      <c r="R716" s="46">
        <f>IF(AND(H716="Realizado",L716&lt;&gt;"",A716&lt;=Config!$B$9),L716/60,0)</f>
        <v>0.666666666666667</v>
      </c>
      <c r="S716" s="45">
        <f>IF(G716="","",IFERROR(INDEX(Config!$K$5:$K$16,MATCH(G716,Config!$J$5:$J$16,0)),""))</f>
        <v>40</v>
      </c>
      <c r="T716" s="31">
        <f>IF(OR(G716="",F716=""),"",IFERROR(INDEX(Config!$M$5:$R$16,MATCH(G716,Config!$J$5:$J$16,0),MATCH(F716,Config!$H$5:$H$10,0)),""))</f>
        <v>400</v>
      </c>
      <c r="U716" s="47">
        <f>IF(AND(H716="Realizado",L716&lt;&gt;""),L716/60,0)</f>
        <v>0.666666666666667</v>
      </c>
      <c r="V716" s="47">
        <f>IF(AND(H716="Realizado",OR(L716="",M716="")),1,0)</f>
        <v>0</v>
      </c>
    </row>
    <row r="717">
      <c r="A717" s="43" t="n">
        <v>46246</v>
      </c>
      <c r="B717" s="44" t="n">
        <v>0.5833333333333334</v>
      </c>
      <c r="C717" s="38" t="inlineStr">
        <is>
          <t>Dra. Carolina Mendes</t>
        </is>
      </c>
      <c r="D717" s="38" t="inlineStr">
        <is>
          <t>Sala 1</t>
        </is>
      </c>
      <c r="E717" s="37" t="inlineStr">
        <is>
          <t>Cláudia Santos</t>
        </is>
      </c>
      <c r="F717" s="38" t="inlineStr">
        <is>
          <t>Particular</t>
        </is>
      </c>
      <c r="G717" s="38" t="inlineStr">
        <is>
          <t>Consulta</t>
        </is>
      </c>
      <c r="H717" s="38" t="inlineStr">
        <is>
          <t>Realizado</t>
        </is>
      </c>
      <c r="I717" s="38" t="inlineStr">
        <is>
          <t>Pix</t>
        </is>
      </c>
      <c r="J717" s="38" t="n"/>
      <c r="K717" s="37" t="n"/>
      <c r="L717" s="39" t="n">
        <v>30</v>
      </c>
      <c r="M717" s="40" t="n">
        <v>380</v>
      </c>
      <c r="N717" s="30">
        <f>IF(A717="","",MONTH(A717))</f>
        <v>8</v>
      </c>
      <c r="O717" s="30">
        <f>IF(A717="","",YEAR(A717))</f>
        <v>2026</v>
      </c>
      <c r="P717" s="30" t="str">
        <f>IF(A717="","",CHOOSE(WEEKDAY(A717,2),"Segunda","Terça","Quarta","Quinta","Sexta","Sábado","Domingo"))</f>
        <v>Quarta</v>
      </c>
      <c r="Q717" s="30" t="str">
        <f>IF(B717="","",IF(B717&lt;TIME(12,0,0),"Manhã",IF(B717&lt;TIME(18,0,0),"Tarde","Noite")))</f>
        <v>Tarde</v>
      </c>
      <c r="R717" s="46">
        <f>IF(AND(H717="Realizado",L717&lt;&gt;"",A717&lt;=Config!$B$9),L717/60,0)</f>
        <v>0.5</v>
      </c>
      <c r="S717" s="45">
        <f>IF(G717="","",IFERROR(INDEX(Config!$K$5:$K$16,MATCH(G717,Config!$J$5:$J$16,0)),""))</f>
        <v>30</v>
      </c>
      <c r="T717" s="31">
        <f>IF(OR(G717="",F717=""),"",IFERROR(INDEX(Config!$M$5:$R$16,MATCH(G717,Config!$J$5:$J$16,0),MATCH(F717,Config!$H$5:$H$10,0)),""))</f>
        <v>380</v>
      </c>
      <c r="U717" s="47">
        <f>IF(AND(H717="Realizado",L717&lt;&gt;""),L717/60,0)</f>
        <v>0.5</v>
      </c>
      <c r="V717" s="47">
        <f>IF(AND(H717="Realizado",OR(L717="",M717="")),1,0)</f>
        <v>0</v>
      </c>
    </row>
    <row r="718">
      <c r="A718" s="43" t="n">
        <v>46246</v>
      </c>
      <c r="B718" s="44" t="n">
        <v>0.625</v>
      </c>
      <c r="C718" s="38" t="inlineStr">
        <is>
          <t>Dra. Carolina Mendes</t>
        </is>
      </c>
      <c r="D718" s="38" t="inlineStr">
        <is>
          <t>Sala 1</t>
        </is>
      </c>
      <c r="E718" s="37" t="inlineStr">
        <is>
          <t>Gisele Xavier</t>
        </is>
      </c>
      <c r="F718" s="38" t="inlineStr">
        <is>
          <t>Particular</t>
        </is>
      </c>
      <c r="G718" s="38" t="inlineStr">
        <is>
          <t>Consulta</t>
        </is>
      </c>
      <c r="H718" s="38" t="inlineStr">
        <is>
          <t>Realizado</t>
        </is>
      </c>
      <c r="I718" s="38" t="inlineStr">
        <is>
          <t>Pix</t>
        </is>
      </c>
      <c r="J718" s="38" t="n"/>
      <c r="K718" s="37" t="n"/>
      <c r="L718" s="39" t="n">
        <v>30</v>
      </c>
      <c r="M718" s="40" t="n">
        <v>380</v>
      </c>
      <c r="N718" s="30">
        <f>IF(A718="","",MONTH(A718))</f>
        <v>8</v>
      </c>
      <c r="O718" s="30">
        <f>IF(A718="","",YEAR(A718))</f>
        <v>2026</v>
      </c>
      <c r="P718" s="30" t="str">
        <f>IF(A718="","",CHOOSE(WEEKDAY(A718,2),"Segunda","Terça","Quarta","Quinta","Sexta","Sábado","Domingo"))</f>
        <v>Quarta</v>
      </c>
      <c r="Q718" s="30" t="str">
        <f>IF(B718="","",IF(B718&lt;TIME(12,0,0),"Manhã",IF(B718&lt;TIME(18,0,0),"Tarde","Noite")))</f>
        <v>Tarde</v>
      </c>
      <c r="R718" s="46">
        <f>IF(AND(H718="Realizado",L718&lt;&gt;"",A718&lt;=Config!$B$9),L718/60,0)</f>
        <v>0.5</v>
      </c>
      <c r="S718" s="45">
        <f>IF(G718="","",IFERROR(INDEX(Config!$K$5:$K$16,MATCH(G718,Config!$J$5:$J$16,0)),""))</f>
        <v>30</v>
      </c>
      <c r="T718" s="31">
        <f>IF(OR(G718="",F718=""),"",IFERROR(INDEX(Config!$M$5:$R$16,MATCH(G718,Config!$J$5:$J$16,0),MATCH(F718,Config!$H$5:$H$10,0)),""))</f>
        <v>380</v>
      </c>
      <c r="U718" s="47">
        <f>IF(AND(H718="Realizado",L718&lt;&gt;""),L718/60,0)</f>
        <v>0.5</v>
      </c>
      <c r="V718" s="47">
        <f>IF(AND(H718="Realizado",OR(L718="",M718="")),1,0)</f>
        <v>0</v>
      </c>
    </row>
    <row r="719">
      <c r="A719" s="43" t="n">
        <v>46246</v>
      </c>
      <c r="B719" s="44" t="n">
        <v>0.6458333333333334</v>
      </c>
      <c r="C719" s="38" t="inlineStr">
        <is>
          <t>Dra. Carolina Mendes</t>
        </is>
      </c>
      <c r="D719" s="38" t="inlineStr">
        <is>
          <t>Sala 1</t>
        </is>
      </c>
      <c r="E719" s="37" t="inlineStr">
        <is>
          <t>Wagner Lima</t>
        </is>
      </c>
      <c r="F719" s="38" t="inlineStr">
        <is>
          <t>Particular</t>
        </is>
      </c>
      <c r="G719" s="38" t="inlineStr">
        <is>
          <t>Consulta</t>
        </is>
      </c>
      <c r="H719" s="38" t="inlineStr">
        <is>
          <t>Realizado</t>
        </is>
      </c>
      <c r="I719" s="38" t="inlineStr">
        <is>
          <t>Cartão de crédito</t>
        </is>
      </c>
      <c r="J719" s="38" t="n"/>
      <c r="K719" s="37" t="n"/>
      <c r="L719" s="39" t="n">
        <v>30</v>
      </c>
      <c r="M719" s="40" t="n">
        <v>380</v>
      </c>
      <c r="N719" s="30">
        <f>IF(A719="","",MONTH(A719))</f>
        <v>8</v>
      </c>
      <c r="O719" s="30">
        <f>IF(A719="","",YEAR(A719))</f>
        <v>2026</v>
      </c>
      <c r="P719" s="30" t="str">
        <f>IF(A719="","",CHOOSE(WEEKDAY(A719,2),"Segunda","Terça","Quarta","Quinta","Sexta","Sábado","Domingo"))</f>
        <v>Quarta</v>
      </c>
      <c r="Q719" s="30" t="str">
        <f>IF(B719="","",IF(B719&lt;TIME(12,0,0),"Manhã",IF(B719&lt;TIME(18,0,0),"Tarde","Noite")))</f>
        <v>Tarde</v>
      </c>
      <c r="R719" s="46">
        <f>IF(AND(H719="Realizado",L719&lt;&gt;"",A719&lt;=Config!$B$9),L719/60,0)</f>
        <v>0.5</v>
      </c>
      <c r="S719" s="45">
        <f>IF(G719="","",IFERROR(INDEX(Config!$K$5:$K$16,MATCH(G719,Config!$J$5:$J$16,0)),""))</f>
        <v>30</v>
      </c>
      <c r="T719" s="31">
        <f>IF(OR(G719="",F719=""),"",IFERROR(INDEX(Config!$M$5:$R$16,MATCH(G719,Config!$J$5:$J$16,0),MATCH(F719,Config!$H$5:$H$10,0)),""))</f>
        <v>380</v>
      </c>
      <c r="U719" s="47">
        <f>IF(AND(H719="Realizado",L719&lt;&gt;""),L719/60,0)</f>
        <v>0.5</v>
      </c>
      <c r="V719" s="47">
        <f>IF(AND(H719="Realizado",OR(L719="",M719="")),1,0)</f>
        <v>0</v>
      </c>
    </row>
    <row r="720">
      <c r="A720" s="43" t="n">
        <v>46246</v>
      </c>
      <c r="B720" s="44" t="n">
        <v>0.6666666666666666</v>
      </c>
      <c r="C720" s="38" t="inlineStr">
        <is>
          <t>Dra. Carolina Mendes</t>
        </is>
      </c>
      <c r="D720" s="38" t="inlineStr">
        <is>
          <t>Sala 1</t>
        </is>
      </c>
      <c r="E720" s="37" t="inlineStr">
        <is>
          <t>Priscila Castro</t>
        </is>
      </c>
      <c r="F720" s="38" t="inlineStr">
        <is>
          <t>Saúde Total</t>
        </is>
      </c>
      <c r="G720" s="38" t="inlineStr">
        <is>
          <t>Consulta</t>
        </is>
      </c>
      <c r="H720" s="38" t="inlineStr">
        <is>
          <t>Realizado</t>
        </is>
      </c>
      <c r="I720" s="38" t="inlineStr">
        <is>
          <t>Convênio</t>
        </is>
      </c>
      <c r="J720" s="38" t="n"/>
      <c r="K720" s="37" t="n"/>
      <c r="L720" s="39" t="n">
        <v>30</v>
      </c>
      <c r="M720" s="40" t="n">
        <v>120</v>
      </c>
      <c r="N720" s="30">
        <f>IF(A720="","",MONTH(A720))</f>
        <v>8</v>
      </c>
      <c r="O720" s="30">
        <f>IF(A720="","",YEAR(A720))</f>
        <v>2026</v>
      </c>
      <c r="P720" s="30" t="str">
        <f>IF(A720="","",CHOOSE(WEEKDAY(A720,2),"Segunda","Terça","Quarta","Quinta","Sexta","Sábado","Domingo"))</f>
        <v>Quarta</v>
      </c>
      <c r="Q720" s="30" t="str">
        <f>IF(B720="","",IF(B720&lt;TIME(12,0,0),"Manhã",IF(B720&lt;TIME(18,0,0),"Tarde","Noite")))</f>
        <v>Tarde</v>
      </c>
      <c r="R720" s="46">
        <f>IF(AND(H720="Realizado",L720&lt;&gt;"",A720&lt;=Config!$B$9),L720/60,0)</f>
        <v>0.5</v>
      </c>
      <c r="S720" s="45">
        <f>IF(G720="","",IFERROR(INDEX(Config!$K$5:$K$16,MATCH(G720,Config!$J$5:$J$16,0)),""))</f>
        <v>30</v>
      </c>
      <c r="T720" s="31">
        <f>IF(OR(G720="",F720=""),"",IFERROR(INDEX(Config!$M$5:$R$16,MATCH(G720,Config!$J$5:$J$16,0),MATCH(F720,Config!$H$5:$H$10,0)),""))</f>
        <v>120</v>
      </c>
      <c r="U720" s="47">
        <f>IF(AND(H720="Realizado",L720&lt;&gt;""),L720/60,0)</f>
        <v>0.5</v>
      </c>
      <c r="V720" s="47">
        <f>IF(AND(H720="Realizado",OR(L720="",M720="")),1,0)</f>
        <v>0</v>
      </c>
    </row>
    <row r="721">
      <c r="A721" s="43" t="n">
        <v>46246</v>
      </c>
      <c r="B721" s="44" t="n">
        <v>0.6875</v>
      </c>
      <c r="C721" s="38" t="inlineStr">
        <is>
          <t>Dra. Carolina Mendes</t>
        </is>
      </c>
      <c r="D721" s="38" t="inlineStr">
        <is>
          <t>Sala 1</t>
        </is>
      </c>
      <c r="E721" s="37" t="inlineStr">
        <is>
          <t>Regina Castro</t>
        </is>
      </c>
      <c r="F721" s="38" t="inlineStr">
        <is>
          <t>Vida Care</t>
        </is>
      </c>
      <c r="G721" s="38" t="inlineStr">
        <is>
          <t>Retorno</t>
        </is>
      </c>
      <c r="H721" s="38" t="inlineStr">
        <is>
          <t>Realizado</t>
        </is>
      </c>
      <c r="I721" s="38" t="inlineStr">
        <is>
          <t>Sem cobrança</t>
        </is>
      </c>
      <c r="J721" s="38" t="n"/>
      <c r="K721" s="37" t="n"/>
      <c r="L721" s="39" t="n">
        <v>20</v>
      </c>
      <c r="M721" s="40" t="n">
        <v>0</v>
      </c>
      <c r="N721" s="30">
        <f>IF(A721="","",MONTH(A721))</f>
        <v>8</v>
      </c>
      <c r="O721" s="30">
        <f>IF(A721="","",YEAR(A721))</f>
        <v>2026</v>
      </c>
      <c r="P721" s="30" t="str">
        <f>IF(A721="","",CHOOSE(WEEKDAY(A721,2),"Segunda","Terça","Quarta","Quinta","Sexta","Sábado","Domingo"))</f>
        <v>Quarta</v>
      </c>
      <c r="Q721" s="30" t="str">
        <f>IF(B721="","",IF(B721&lt;TIME(12,0,0),"Manhã",IF(B721&lt;TIME(18,0,0),"Tarde","Noite")))</f>
        <v>Tarde</v>
      </c>
      <c r="R721" s="46">
        <f>IF(AND(H721="Realizado",L721&lt;&gt;"",A721&lt;=Config!$B$9),L721/60,0)</f>
        <v>0.333333333333333</v>
      </c>
      <c r="S721" s="45">
        <f>IF(G721="","",IFERROR(INDEX(Config!$K$5:$K$16,MATCH(G721,Config!$J$5:$J$16,0)),""))</f>
        <v>20</v>
      </c>
      <c r="T721" s="31">
        <f>IF(OR(G721="",F721=""),"",IFERROR(INDEX(Config!$M$5:$R$16,MATCH(G721,Config!$J$5:$J$16,0),MATCH(F721,Config!$H$5:$H$10,0)),""))</f>
        <v>0</v>
      </c>
      <c r="U721" s="47">
        <f>IF(AND(H721="Realizado",L721&lt;&gt;""),L721/60,0)</f>
        <v>0.333333333333333</v>
      </c>
      <c r="V721" s="47">
        <f>IF(AND(H721="Realizado",OR(L721="",M721="")),1,0)</f>
        <v>0</v>
      </c>
    </row>
    <row r="722">
      <c r="A722" s="43" t="n">
        <v>46246</v>
      </c>
      <c r="B722" s="44" t="n">
        <v>0.7013888888888888</v>
      </c>
      <c r="C722" s="38" t="inlineStr">
        <is>
          <t>Dra. Carolina Mendes</t>
        </is>
      </c>
      <c r="D722" s="38" t="inlineStr">
        <is>
          <t>Sala 1</t>
        </is>
      </c>
      <c r="E722" s="37" t="inlineStr">
        <is>
          <t>Otávio Nascimento</t>
        </is>
      </c>
      <c r="F722" s="38" t="inlineStr">
        <is>
          <t>Particular</t>
        </is>
      </c>
      <c r="G722" s="38" t="inlineStr">
        <is>
          <t>Consulta</t>
        </is>
      </c>
      <c r="H722" s="38" t="inlineStr">
        <is>
          <t>Realizado</t>
        </is>
      </c>
      <c r="I722" s="38" t="inlineStr">
        <is>
          <t>Cartão de crédito</t>
        </is>
      </c>
      <c r="J722" s="38" t="n"/>
      <c r="K722" s="37" t="n"/>
      <c r="L722" s="39" t="n">
        <v>30</v>
      </c>
      <c r="M722" s="40" t="n">
        <v>380</v>
      </c>
      <c r="N722" s="30">
        <f>IF(A722="","",MONTH(A722))</f>
        <v>8</v>
      </c>
      <c r="O722" s="30">
        <f>IF(A722="","",YEAR(A722))</f>
        <v>2026</v>
      </c>
      <c r="P722" s="30" t="str">
        <f>IF(A722="","",CHOOSE(WEEKDAY(A722,2),"Segunda","Terça","Quarta","Quinta","Sexta","Sábado","Domingo"))</f>
        <v>Quarta</v>
      </c>
      <c r="Q722" s="30" t="str">
        <f>IF(B722="","",IF(B722&lt;TIME(12,0,0),"Manhã",IF(B722&lt;TIME(18,0,0),"Tarde","Noite")))</f>
        <v>Tarde</v>
      </c>
      <c r="R722" s="46">
        <f>IF(AND(H722="Realizado",L722&lt;&gt;"",A722&lt;=Config!$B$9),L722/60,0)</f>
        <v>0.5</v>
      </c>
      <c r="S722" s="45">
        <f>IF(G722="","",IFERROR(INDEX(Config!$K$5:$K$16,MATCH(G722,Config!$J$5:$J$16,0)),""))</f>
        <v>30</v>
      </c>
      <c r="T722" s="31">
        <f>IF(OR(G722="",F722=""),"",IFERROR(INDEX(Config!$M$5:$R$16,MATCH(G722,Config!$J$5:$J$16,0),MATCH(F722,Config!$H$5:$H$10,0)),""))</f>
        <v>380</v>
      </c>
      <c r="U722" s="47">
        <f>IF(AND(H722="Realizado",L722&lt;&gt;""),L722/60,0)</f>
        <v>0.5</v>
      </c>
      <c r="V722" s="47">
        <f>IF(AND(H722="Realizado",OR(L722="",M722="")),1,0)</f>
        <v>0</v>
      </c>
    </row>
    <row r="723">
      <c r="A723" s="43" t="n">
        <v>46246</v>
      </c>
      <c r="B723" s="44" t="n">
        <v>0.7222222222222222</v>
      </c>
      <c r="C723" s="38" t="inlineStr">
        <is>
          <t>Dra. Carolina Mendes</t>
        </is>
      </c>
      <c r="D723" s="38" t="inlineStr">
        <is>
          <t>Sala 1</t>
        </is>
      </c>
      <c r="E723" s="37" t="inlineStr">
        <is>
          <t>Eduardo Nunes</t>
        </is>
      </c>
      <c r="F723" s="38" t="inlineStr">
        <is>
          <t>MediPlan</t>
        </is>
      </c>
      <c r="G723" s="38" t="inlineStr">
        <is>
          <t>Consulta</t>
        </is>
      </c>
      <c r="H723" s="38" t="inlineStr">
        <is>
          <t>Realizado</t>
        </is>
      </c>
      <c r="I723" s="38" t="inlineStr">
        <is>
          <t>Convênio</t>
        </is>
      </c>
      <c r="J723" s="38" t="n"/>
      <c r="K723" s="37" t="n"/>
      <c r="L723" s="39" t="n">
        <v>30</v>
      </c>
      <c r="M723" s="40" t="n">
        <v>100</v>
      </c>
      <c r="N723" s="30">
        <f>IF(A723="","",MONTH(A723))</f>
        <v>8</v>
      </c>
      <c r="O723" s="30">
        <f>IF(A723="","",YEAR(A723))</f>
        <v>2026</v>
      </c>
      <c r="P723" s="30" t="str">
        <f>IF(A723="","",CHOOSE(WEEKDAY(A723,2),"Segunda","Terça","Quarta","Quinta","Sexta","Sábado","Domingo"))</f>
        <v>Quarta</v>
      </c>
      <c r="Q723" s="30" t="str">
        <f>IF(B723="","",IF(B723&lt;TIME(12,0,0),"Manhã",IF(B723&lt;TIME(18,0,0),"Tarde","Noite")))</f>
        <v>Tarde</v>
      </c>
      <c r="R723" s="46">
        <f>IF(AND(H723="Realizado",L723&lt;&gt;"",A723&lt;=Config!$B$9),L723/60,0)</f>
        <v>0.5</v>
      </c>
      <c r="S723" s="45">
        <f>IF(G723="","",IFERROR(INDEX(Config!$K$5:$K$16,MATCH(G723,Config!$J$5:$J$16,0)),""))</f>
        <v>30</v>
      </c>
      <c r="T723" s="31">
        <f>IF(OR(G723="",F723=""),"",IFERROR(INDEX(Config!$M$5:$R$16,MATCH(G723,Config!$J$5:$J$16,0),MATCH(F723,Config!$H$5:$H$10,0)),""))</f>
        <v>100</v>
      </c>
      <c r="U723" s="47">
        <f>IF(AND(H723="Realizado",L723&lt;&gt;""),L723/60,0)</f>
        <v>0.5</v>
      </c>
      <c r="V723" s="47">
        <f>IF(AND(H723="Realizado",OR(L723="",M723="")),1,0)</f>
        <v>0</v>
      </c>
    </row>
    <row r="724">
      <c r="A724" s="43" t="n">
        <v>46247</v>
      </c>
      <c r="B724" s="44" t="n">
        <v>0.3333333333333333</v>
      </c>
      <c r="C724" s="38" t="inlineStr">
        <is>
          <t>Dra. Carolina Mendes</t>
        </is>
      </c>
      <c r="D724" s="38" t="inlineStr">
        <is>
          <t>Sala 1</t>
        </is>
      </c>
      <c r="E724" s="37" t="inlineStr">
        <is>
          <t>Daniel Melo</t>
        </is>
      </c>
      <c r="F724" s="38" t="inlineStr">
        <is>
          <t>Saúde Total</t>
        </is>
      </c>
      <c r="G724" s="38" t="inlineStr">
        <is>
          <t>Consulta</t>
        </is>
      </c>
      <c r="H724" s="38" t="inlineStr">
        <is>
          <t>Realizado</t>
        </is>
      </c>
      <c r="I724" s="38" t="inlineStr">
        <is>
          <t>Convênio</t>
        </is>
      </c>
      <c r="J724" s="38" t="n"/>
      <c r="K724" s="37" t="n"/>
      <c r="L724" s="39" t="n">
        <v>30</v>
      </c>
      <c r="M724" s="40" t="n">
        <v>120</v>
      </c>
      <c r="N724" s="30">
        <f>IF(A724="","",MONTH(A724))</f>
        <v>8</v>
      </c>
      <c r="O724" s="30">
        <f>IF(A724="","",YEAR(A724))</f>
        <v>2026</v>
      </c>
      <c r="P724" s="30" t="str">
        <f>IF(A724="","",CHOOSE(WEEKDAY(A724,2),"Segunda","Terça","Quarta","Quinta","Sexta","Sábado","Domingo"))</f>
        <v>Quinta</v>
      </c>
      <c r="Q724" s="30" t="str">
        <f>IF(B724="","",IF(B724&lt;TIME(12,0,0),"Manhã",IF(B724&lt;TIME(18,0,0),"Tarde","Noite")))</f>
        <v>Manhã</v>
      </c>
      <c r="R724" s="46">
        <f>IF(AND(H724="Realizado",L724&lt;&gt;"",A724&lt;=Config!$B$9),L724/60,0)</f>
        <v>0.5</v>
      </c>
      <c r="S724" s="45">
        <f>IF(G724="","",IFERROR(INDEX(Config!$K$5:$K$16,MATCH(G724,Config!$J$5:$J$16,0)),""))</f>
        <v>30</v>
      </c>
      <c r="T724" s="31">
        <f>IF(OR(G724="",F724=""),"",IFERROR(INDEX(Config!$M$5:$R$16,MATCH(G724,Config!$J$5:$J$16,0),MATCH(F724,Config!$H$5:$H$10,0)),""))</f>
        <v>120</v>
      </c>
      <c r="U724" s="47">
        <f>IF(AND(H724="Realizado",L724&lt;&gt;""),L724/60,0)</f>
        <v>0.5</v>
      </c>
      <c r="V724" s="47">
        <f>IF(AND(H724="Realizado",OR(L724="",M724="")),1,0)</f>
        <v>0</v>
      </c>
    </row>
    <row r="725">
      <c r="A725" s="43" t="n">
        <v>46247</v>
      </c>
      <c r="B725" s="44" t="n">
        <v>0.3541666666666667</v>
      </c>
      <c r="C725" s="38" t="inlineStr">
        <is>
          <t>Dra. Carolina Mendes</t>
        </is>
      </c>
      <c r="D725" s="38" t="inlineStr">
        <is>
          <t>Sala 1</t>
        </is>
      </c>
      <c r="E725" s="37" t="inlineStr">
        <is>
          <t>Mateus Lima</t>
        </is>
      </c>
      <c r="F725" s="38" t="inlineStr">
        <is>
          <t>MediPlan</t>
        </is>
      </c>
      <c r="G725" s="38" t="inlineStr">
        <is>
          <t>Consulta</t>
        </is>
      </c>
      <c r="H725" s="38" t="inlineStr">
        <is>
          <t>Realizado</t>
        </is>
      </c>
      <c r="I725" s="38" t="inlineStr">
        <is>
          <t>Convênio</t>
        </is>
      </c>
      <c r="J725" s="38" t="n"/>
      <c r="K725" s="37" t="n"/>
      <c r="L725" s="39" t="n">
        <v>30</v>
      </c>
      <c r="M725" s="40" t="n">
        <v>100</v>
      </c>
      <c r="N725" s="30">
        <f>IF(A725="","",MONTH(A725))</f>
        <v>8</v>
      </c>
      <c r="O725" s="30">
        <f>IF(A725="","",YEAR(A725))</f>
        <v>2026</v>
      </c>
      <c r="P725" s="30" t="str">
        <f>IF(A725="","",CHOOSE(WEEKDAY(A725,2),"Segunda","Terça","Quarta","Quinta","Sexta","Sábado","Domingo"))</f>
        <v>Quinta</v>
      </c>
      <c r="Q725" s="30" t="str">
        <f>IF(B725="","",IF(B725&lt;TIME(12,0,0),"Manhã",IF(B725&lt;TIME(18,0,0),"Tarde","Noite")))</f>
        <v>Manhã</v>
      </c>
      <c r="R725" s="46">
        <f>IF(AND(H725="Realizado",L725&lt;&gt;"",A725&lt;=Config!$B$9),L725/60,0)</f>
        <v>0.5</v>
      </c>
      <c r="S725" s="45">
        <f>IF(G725="","",IFERROR(INDEX(Config!$K$5:$K$16,MATCH(G725,Config!$J$5:$J$16,0)),""))</f>
        <v>30</v>
      </c>
      <c r="T725" s="31">
        <f>IF(OR(G725="",F725=""),"",IFERROR(INDEX(Config!$M$5:$R$16,MATCH(G725,Config!$J$5:$J$16,0),MATCH(F725,Config!$H$5:$H$10,0)),""))</f>
        <v>100</v>
      </c>
      <c r="U725" s="47">
        <f>IF(AND(H725="Realizado",L725&lt;&gt;""),L725/60,0)</f>
        <v>0.5</v>
      </c>
      <c r="V725" s="47">
        <f>IF(AND(H725="Realizado",OR(L725="",M725="")),1,0)</f>
        <v>0</v>
      </c>
    </row>
    <row r="726">
      <c r="A726" s="43" t="n">
        <v>46247</v>
      </c>
      <c r="B726" s="44" t="n">
        <v>0.375</v>
      </c>
      <c r="C726" s="38" t="inlineStr">
        <is>
          <t>Dra. Carolina Mendes</t>
        </is>
      </c>
      <c r="D726" s="38" t="inlineStr">
        <is>
          <t>Sala 1</t>
        </is>
      </c>
      <c r="E726" s="37" t="inlineStr">
        <is>
          <t>Rafael Dias</t>
        </is>
      </c>
      <c r="F726" s="38" t="inlineStr">
        <is>
          <t>Particular</t>
        </is>
      </c>
      <c r="G726" s="38" t="inlineStr">
        <is>
          <t>Retorno</t>
        </is>
      </c>
      <c r="H726" s="38" t="inlineStr">
        <is>
          <t>Realizado</t>
        </is>
      </c>
      <c r="I726" s="38" t="inlineStr">
        <is>
          <t>Sem cobrança</t>
        </is>
      </c>
      <c r="J726" s="38" t="n"/>
      <c r="K726" s="37" t="n"/>
      <c r="L726" s="39" t="n">
        <v>20</v>
      </c>
      <c r="M726" s="40" t="n">
        <v>0</v>
      </c>
      <c r="N726" s="30">
        <f>IF(A726="","",MONTH(A726))</f>
        <v>8</v>
      </c>
      <c r="O726" s="30">
        <f>IF(A726="","",YEAR(A726))</f>
        <v>2026</v>
      </c>
      <c r="P726" s="30" t="str">
        <f>IF(A726="","",CHOOSE(WEEKDAY(A726,2),"Segunda","Terça","Quarta","Quinta","Sexta","Sábado","Domingo"))</f>
        <v>Quinta</v>
      </c>
      <c r="Q726" s="30" t="str">
        <f>IF(B726="","",IF(B726&lt;TIME(12,0,0),"Manhã",IF(B726&lt;TIME(18,0,0),"Tarde","Noite")))</f>
        <v>Manhã</v>
      </c>
      <c r="R726" s="46">
        <f>IF(AND(H726="Realizado",L726&lt;&gt;"",A726&lt;=Config!$B$9),L726/60,0)</f>
        <v>0.333333333333333</v>
      </c>
      <c r="S726" s="45">
        <f>IF(G726="","",IFERROR(INDEX(Config!$K$5:$K$16,MATCH(G726,Config!$J$5:$J$16,0)),""))</f>
        <v>20</v>
      </c>
      <c r="T726" s="31">
        <f>IF(OR(G726="",F726=""),"",IFERROR(INDEX(Config!$M$5:$R$16,MATCH(G726,Config!$J$5:$J$16,0),MATCH(F726,Config!$H$5:$H$10,0)),""))</f>
        <v>0</v>
      </c>
      <c r="U726" s="47">
        <f>IF(AND(H726="Realizado",L726&lt;&gt;""),L726/60,0)</f>
        <v>0.333333333333333</v>
      </c>
      <c r="V726" s="47">
        <f>IF(AND(H726="Realizado",OR(L726="",M726="")),1,0)</f>
        <v>0</v>
      </c>
    </row>
    <row r="727">
      <c r="A727" s="43" t="n">
        <v>46247</v>
      </c>
      <c r="B727" s="44" t="n">
        <v>0.3888888888888889</v>
      </c>
      <c r="C727" s="38" t="inlineStr">
        <is>
          <t>Dra. Carolina Mendes</t>
        </is>
      </c>
      <c r="D727" s="38" t="inlineStr">
        <is>
          <t>Sala 1</t>
        </is>
      </c>
      <c r="E727" s="37" t="inlineStr">
        <is>
          <t>Eduardo Lima</t>
        </is>
      </c>
      <c r="F727" s="38" t="inlineStr">
        <is>
          <t>Particular</t>
        </is>
      </c>
      <c r="G727" s="38" t="inlineStr">
        <is>
          <t>Consulta</t>
        </is>
      </c>
      <c r="H727" s="38" t="inlineStr">
        <is>
          <t>Realizado</t>
        </is>
      </c>
      <c r="I727" s="38" t="inlineStr">
        <is>
          <t>Cartão de crédito</t>
        </is>
      </c>
      <c r="J727" s="38" t="n"/>
      <c r="K727" s="37" t="n"/>
      <c r="L727" s="39" t="n">
        <v>30</v>
      </c>
      <c r="M727" s="40" t="n">
        <v>380</v>
      </c>
      <c r="N727" s="30">
        <f>IF(A727="","",MONTH(A727))</f>
        <v>8</v>
      </c>
      <c r="O727" s="30">
        <f>IF(A727="","",YEAR(A727))</f>
        <v>2026</v>
      </c>
      <c r="P727" s="30" t="str">
        <f>IF(A727="","",CHOOSE(WEEKDAY(A727,2),"Segunda","Terça","Quarta","Quinta","Sexta","Sábado","Domingo"))</f>
        <v>Quinta</v>
      </c>
      <c r="Q727" s="30" t="str">
        <f>IF(B727="","",IF(B727&lt;TIME(12,0,0),"Manhã",IF(B727&lt;TIME(18,0,0),"Tarde","Noite")))</f>
        <v>Manhã</v>
      </c>
      <c r="R727" s="46">
        <f>IF(AND(H727="Realizado",L727&lt;&gt;"",A727&lt;=Config!$B$9),L727/60,0)</f>
        <v>0.5</v>
      </c>
      <c r="S727" s="45">
        <f>IF(G727="","",IFERROR(INDEX(Config!$K$5:$K$16,MATCH(G727,Config!$J$5:$J$16,0)),""))</f>
        <v>30</v>
      </c>
      <c r="T727" s="31">
        <f>IF(OR(G727="",F727=""),"",IFERROR(INDEX(Config!$M$5:$R$16,MATCH(G727,Config!$J$5:$J$16,0),MATCH(F727,Config!$H$5:$H$10,0)),""))</f>
        <v>380</v>
      </c>
      <c r="U727" s="47">
        <f>IF(AND(H727="Realizado",L727&lt;&gt;""),L727/60,0)</f>
        <v>0.5</v>
      </c>
      <c r="V727" s="47">
        <f>IF(AND(H727="Realizado",OR(L727="",M727="")),1,0)</f>
        <v>0</v>
      </c>
    </row>
    <row r="728">
      <c r="A728" s="43" t="n">
        <v>46247</v>
      </c>
      <c r="B728" s="44" t="n">
        <v>0.4097222222222222</v>
      </c>
      <c r="C728" s="38" t="inlineStr">
        <is>
          <t>Dra. Carolina Mendes</t>
        </is>
      </c>
      <c r="D728" s="38" t="inlineStr">
        <is>
          <t>Sala 1</t>
        </is>
      </c>
      <c r="E728" s="37" t="inlineStr">
        <is>
          <t>Roberta Araújo</t>
        </is>
      </c>
      <c r="F728" s="38" t="inlineStr">
        <is>
          <t>Particular</t>
        </is>
      </c>
      <c r="G728" s="38" t="inlineStr">
        <is>
          <t>Retorno</t>
        </is>
      </c>
      <c r="H728" s="38" t="inlineStr">
        <is>
          <t>Realizado</t>
        </is>
      </c>
      <c r="I728" s="38" t="inlineStr">
        <is>
          <t>Sem cobrança</t>
        </is>
      </c>
      <c r="J728" s="38" t="n"/>
      <c r="K728" s="37" t="n"/>
      <c r="L728" s="39" t="n">
        <v>20</v>
      </c>
      <c r="M728" s="40" t="n">
        <v>0</v>
      </c>
      <c r="N728" s="30">
        <f>IF(A728="","",MONTH(A728))</f>
        <v>8</v>
      </c>
      <c r="O728" s="30">
        <f>IF(A728="","",YEAR(A728))</f>
        <v>2026</v>
      </c>
      <c r="P728" s="30" t="str">
        <f>IF(A728="","",CHOOSE(WEEKDAY(A728,2),"Segunda","Terça","Quarta","Quinta","Sexta","Sábado","Domingo"))</f>
        <v>Quinta</v>
      </c>
      <c r="Q728" s="30" t="str">
        <f>IF(B728="","",IF(B728&lt;TIME(12,0,0),"Manhã",IF(B728&lt;TIME(18,0,0),"Tarde","Noite")))</f>
        <v>Manhã</v>
      </c>
      <c r="R728" s="46">
        <f>IF(AND(H728="Realizado",L728&lt;&gt;"",A728&lt;=Config!$B$9),L728/60,0)</f>
        <v>0.333333333333333</v>
      </c>
      <c r="S728" s="45">
        <f>IF(G728="","",IFERROR(INDEX(Config!$K$5:$K$16,MATCH(G728,Config!$J$5:$J$16,0)),""))</f>
        <v>20</v>
      </c>
      <c r="T728" s="31">
        <f>IF(OR(G728="",F728=""),"",IFERROR(INDEX(Config!$M$5:$R$16,MATCH(G728,Config!$J$5:$J$16,0),MATCH(F728,Config!$H$5:$H$10,0)),""))</f>
        <v>0</v>
      </c>
      <c r="U728" s="47">
        <f>IF(AND(H728="Realizado",L728&lt;&gt;""),L728/60,0)</f>
        <v>0.333333333333333</v>
      </c>
      <c r="V728" s="47">
        <f>IF(AND(H728="Realizado",OR(L728="",M728="")),1,0)</f>
        <v>0</v>
      </c>
    </row>
    <row r="729">
      <c r="A729" s="43" t="n">
        <v>46247</v>
      </c>
      <c r="B729" s="44" t="n">
        <v>0.4236111111111111</v>
      </c>
      <c r="C729" s="38" t="inlineStr">
        <is>
          <t>Dra. Carolina Mendes</t>
        </is>
      </c>
      <c r="D729" s="38" t="inlineStr">
        <is>
          <t>Sala 1</t>
        </is>
      </c>
      <c r="E729" s="37" t="inlineStr">
        <is>
          <t>Gustavo Barbosa</t>
        </is>
      </c>
      <c r="F729" s="38" t="inlineStr">
        <is>
          <t>Saúde Total</t>
        </is>
      </c>
      <c r="G729" s="38" t="inlineStr">
        <is>
          <t>Retorno</t>
        </is>
      </c>
      <c r="H729" s="38" t="inlineStr">
        <is>
          <t>Falta</t>
        </is>
      </c>
      <c r="I729" s="38" t="n"/>
      <c r="J729" s="38" t="n"/>
      <c r="K729" s="37" t="n"/>
      <c r="L729" s="39" t="n">
        <v>20</v>
      </c>
      <c r="M729" s="40" t="n">
        <v>0</v>
      </c>
      <c r="N729" s="30">
        <f>IF(A729="","",MONTH(A729))</f>
        <v>8</v>
      </c>
      <c r="O729" s="30">
        <f>IF(A729="","",YEAR(A729))</f>
        <v>2026</v>
      </c>
      <c r="P729" s="30" t="str">
        <f>IF(A729="","",CHOOSE(WEEKDAY(A729,2),"Segunda","Terça","Quarta","Quinta","Sexta","Sábado","Domingo"))</f>
        <v>Quinta</v>
      </c>
      <c r="Q729" s="30" t="str">
        <f>IF(B729="","",IF(B729&lt;TIME(12,0,0),"Manhã",IF(B729&lt;TIME(18,0,0),"Tarde","Noite")))</f>
        <v>Manhã</v>
      </c>
      <c r="R729" s="46">
        <f>IF(AND(H729="Realizado",L729&lt;&gt;"",A729&lt;=Config!$B$9),L729/60,0)</f>
        <v>0</v>
      </c>
      <c r="S729" s="45">
        <f>IF(G729="","",IFERROR(INDEX(Config!$K$5:$K$16,MATCH(G729,Config!$J$5:$J$16,0)),""))</f>
        <v>20</v>
      </c>
      <c r="T729" s="31">
        <f>IF(OR(G729="",F729=""),"",IFERROR(INDEX(Config!$M$5:$R$16,MATCH(G729,Config!$J$5:$J$16,0),MATCH(F729,Config!$H$5:$H$10,0)),""))</f>
        <v>0</v>
      </c>
      <c r="U729" s="47">
        <f>IF(AND(H729="Realizado",L729&lt;&gt;""),L729/60,0)</f>
        <v>0</v>
      </c>
      <c r="V729" s="47">
        <f>IF(AND(H729="Realizado",OR(L729="",M729="")),1,0)</f>
        <v>0</v>
      </c>
    </row>
    <row r="730">
      <c r="A730" s="43" t="n">
        <v>46247</v>
      </c>
      <c r="B730" s="44" t="n">
        <v>0.4375</v>
      </c>
      <c r="C730" s="38" t="inlineStr">
        <is>
          <t>Dra. Carolina Mendes</t>
        </is>
      </c>
      <c r="D730" s="38" t="inlineStr">
        <is>
          <t>Sala 1</t>
        </is>
      </c>
      <c r="E730" s="37" t="inlineStr">
        <is>
          <t>Regina Macedo</t>
        </is>
      </c>
      <c r="F730" s="38" t="inlineStr">
        <is>
          <t>Particular</t>
        </is>
      </c>
      <c r="G730" s="38" t="inlineStr">
        <is>
          <t>Consulta</t>
        </is>
      </c>
      <c r="H730" s="38" t="inlineStr">
        <is>
          <t>Realizado</t>
        </is>
      </c>
      <c r="I730" s="38" t="inlineStr">
        <is>
          <t>Pix</t>
        </is>
      </c>
      <c r="J730" s="38" t="n"/>
      <c r="K730" s="37" t="n"/>
      <c r="L730" s="39" t="n">
        <v>30</v>
      </c>
      <c r="M730" s="40" t="n">
        <v>380</v>
      </c>
      <c r="N730" s="30">
        <f>IF(A730="","",MONTH(A730))</f>
        <v>8</v>
      </c>
      <c r="O730" s="30">
        <f>IF(A730="","",YEAR(A730))</f>
        <v>2026</v>
      </c>
      <c r="P730" s="30" t="str">
        <f>IF(A730="","",CHOOSE(WEEKDAY(A730,2),"Segunda","Terça","Quarta","Quinta","Sexta","Sábado","Domingo"))</f>
        <v>Quinta</v>
      </c>
      <c r="Q730" s="30" t="str">
        <f>IF(B730="","",IF(B730&lt;TIME(12,0,0),"Manhã",IF(B730&lt;TIME(18,0,0),"Tarde","Noite")))</f>
        <v>Manhã</v>
      </c>
      <c r="R730" s="46">
        <f>IF(AND(H730="Realizado",L730&lt;&gt;"",A730&lt;=Config!$B$9),L730/60,0)</f>
        <v>0.5</v>
      </c>
      <c r="S730" s="45">
        <f>IF(G730="","",IFERROR(INDEX(Config!$K$5:$K$16,MATCH(G730,Config!$J$5:$J$16,0)),""))</f>
        <v>30</v>
      </c>
      <c r="T730" s="31">
        <f>IF(OR(G730="",F730=""),"",IFERROR(INDEX(Config!$M$5:$R$16,MATCH(G730,Config!$J$5:$J$16,0),MATCH(F730,Config!$H$5:$H$10,0)),""))</f>
        <v>380</v>
      </c>
      <c r="U730" s="47">
        <f>IF(AND(H730="Realizado",L730&lt;&gt;""),L730/60,0)</f>
        <v>0.5</v>
      </c>
      <c r="V730" s="47">
        <f>IF(AND(H730="Realizado",OR(L730="",M730="")),1,0)</f>
        <v>0</v>
      </c>
    </row>
    <row r="731">
      <c r="A731" s="43" t="n">
        <v>46247</v>
      </c>
      <c r="B731" s="44" t="n">
        <v>0.4583333333333333</v>
      </c>
      <c r="C731" s="38" t="inlineStr">
        <is>
          <t>Dra. Carolina Mendes</t>
        </is>
      </c>
      <c r="D731" s="38" t="inlineStr">
        <is>
          <t>Sala 1</t>
        </is>
      </c>
      <c r="E731" s="37" t="inlineStr">
        <is>
          <t>Otávio Cardoso</t>
        </is>
      </c>
      <c r="F731" s="38" t="inlineStr">
        <is>
          <t>Particular</t>
        </is>
      </c>
      <c r="G731" s="38" t="inlineStr">
        <is>
          <t>Consulta</t>
        </is>
      </c>
      <c r="H731" s="38" t="inlineStr">
        <is>
          <t>Realizado</t>
        </is>
      </c>
      <c r="I731" s="38" t="inlineStr">
        <is>
          <t>Dinheiro</t>
        </is>
      </c>
      <c r="J731" s="38" t="n"/>
      <c r="K731" s="37" t="n"/>
      <c r="L731" s="39" t="n">
        <v>30</v>
      </c>
      <c r="M731" s="40" t="n">
        <v>380</v>
      </c>
      <c r="N731" s="30">
        <f>IF(A731="","",MONTH(A731))</f>
        <v>8</v>
      </c>
      <c r="O731" s="30">
        <f>IF(A731="","",YEAR(A731))</f>
        <v>2026</v>
      </c>
      <c r="P731" s="30" t="str">
        <f>IF(A731="","",CHOOSE(WEEKDAY(A731,2),"Segunda","Terça","Quarta","Quinta","Sexta","Sábado","Domingo"))</f>
        <v>Quinta</v>
      </c>
      <c r="Q731" s="30" t="str">
        <f>IF(B731="","",IF(B731&lt;TIME(12,0,0),"Manhã",IF(B731&lt;TIME(18,0,0),"Tarde","Noite")))</f>
        <v>Manhã</v>
      </c>
      <c r="R731" s="46">
        <f>IF(AND(H731="Realizado",L731&lt;&gt;"",A731&lt;=Config!$B$9),L731/60,0)</f>
        <v>0.5</v>
      </c>
      <c r="S731" s="45">
        <f>IF(G731="","",IFERROR(INDEX(Config!$K$5:$K$16,MATCH(G731,Config!$J$5:$J$16,0)),""))</f>
        <v>30</v>
      </c>
      <c r="T731" s="31">
        <f>IF(OR(G731="",F731=""),"",IFERROR(INDEX(Config!$M$5:$R$16,MATCH(G731,Config!$J$5:$J$16,0),MATCH(F731,Config!$H$5:$H$10,0)),""))</f>
        <v>380</v>
      </c>
      <c r="U731" s="47">
        <f>IF(AND(H731="Realizado",L731&lt;&gt;""),L731/60,0)</f>
        <v>0.5</v>
      </c>
      <c r="V731" s="47">
        <f>IF(AND(H731="Realizado",OR(L731="",M731="")),1,0)</f>
        <v>0</v>
      </c>
    </row>
    <row r="732">
      <c r="A732" s="43" t="n">
        <v>46247</v>
      </c>
      <c r="B732" s="44" t="n">
        <v>0.4791666666666667</v>
      </c>
      <c r="C732" s="38" t="inlineStr">
        <is>
          <t>Dra. Carolina Mendes</t>
        </is>
      </c>
      <c r="D732" s="38" t="inlineStr">
        <is>
          <t>Sala 1</t>
        </is>
      </c>
      <c r="E732" s="37" t="inlineStr">
        <is>
          <t>Daniel Almeida</t>
        </is>
      </c>
      <c r="F732" s="38" t="inlineStr">
        <is>
          <t>Saúde Total</t>
        </is>
      </c>
      <c r="G732" s="38" t="inlineStr">
        <is>
          <t>Consulta</t>
        </is>
      </c>
      <c r="H732" s="38" t="inlineStr">
        <is>
          <t>Cancelado</t>
        </is>
      </c>
      <c r="I732" s="38" t="n"/>
      <c r="J732" s="38" t="n"/>
      <c r="K732" s="37" t="n"/>
      <c r="L732" s="39" t="n">
        <v>30</v>
      </c>
      <c r="M732" s="40" t="n">
        <v>120</v>
      </c>
      <c r="N732" s="30">
        <f>IF(A732="","",MONTH(A732))</f>
        <v>8</v>
      </c>
      <c r="O732" s="30">
        <f>IF(A732="","",YEAR(A732))</f>
        <v>2026</v>
      </c>
      <c r="P732" s="30" t="str">
        <f>IF(A732="","",CHOOSE(WEEKDAY(A732,2),"Segunda","Terça","Quarta","Quinta","Sexta","Sábado","Domingo"))</f>
        <v>Quinta</v>
      </c>
      <c r="Q732" s="30" t="str">
        <f>IF(B732="","",IF(B732&lt;TIME(12,0,0),"Manhã",IF(B732&lt;TIME(18,0,0),"Tarde","Noite")))</f>
        <v>Manhã</v>
      </c>
      <c r="R732" s="46">
        <f>IF(AND(H732="Realizado",L732&lt;&gt;"",A732&lt;=Config!$B$9),L732/60,0)</f>
        <v>0</v>
      </c>
      <c r="S732" s="45">
        <f>IF(G732="","",IFERROR(INDEX(Config!$K$5:$K$16,MATCH(G732,Config!$J$5:$J$16,0)),""))</f>
        <v>30</v>
      </c>
      <c r="T732" s="31">
        <f>IF(OR(G732="",F732=""),"",IFERROR(INDEX(Config!$M$5:$R$16,MATCH(G732,Config!$J$5:$J$16,0),MATCH(F732,Config!$H$5:$H$10,0)),""))</f>
        <v>120</v>
      </c>
      <c r="U732" s="47">
        <f>IF(AND(H732="Realizado",L732&lt;&gt;""),L732/60,0)</f>
        <v>0</v>
      </c>
      <c r="V732" s="47">
        <f>IF(AND(H732="Realizado",OR(L732="",M732="")),1,0)</f>
        <v>0</v>
      </c>
    </row>
    <row r="733">
      <c r="A733" s="43" t="n">
        <v>46247</v>
      </c>
      <c r="B733" s="44" t="n">
        <v>0.5833333333333334</v>
      </c>
      <c r="C733" s="38" t="inlineStr">
        <is>
          <t>Dra. Renata Sousa</t>
        </is>
      </c>
      <c r="D733" s="38" t="inlineStr">
        <is>
          <t>Sala 1</t>
        </is>
      </c>
      <c r="E733" s="37" t="inlineStr">
        <is>
          <t>Rafael Pereira</t>
        </is>
      </c>
      <c r="F733" s="38" t="inlineStr">
        <is>
          <t>Particular</t>
        </is>
      </c>
      <c r="G733" s="38" t="inlineStr">
        <is>
          <t>Avaliação endócrina</t>
        </is>
      </c>
      <c r="H733" s="38" t="inlineStr">
        <is>
          <t>Realizado</t>
        </is>
      </c>
      <c r="I733" s="38" t="inlineStr">
        <is>
          <t>Pix</t>
        </is>
      </c>
      <c r="J733" s="38" t="n"/>
      <c r="K733" s="37" t="n"/>
      <c r="L733" s="39" t="n">
        <v>40</v>
      </c>
      <c r="M733" s="40" t="n">
        <v>400</v>
      </c>
      <c r="N733" s="30">
        <f>IF(A733="","",MONTH(A733))</f>
        <v>8</v>
      </c>
      <c r="O733" s="30">
        <f>IF(A733="","",YEAR(A733))</f>
        <v>2026</v>
      </c>
      <c r="P733" s="30" t="str">
        <f>IF(A733="","",CHOOSE(WEEKDAY(A733,2),"Segunda","Terça","Quarta","Quinta","Sexta","Sábado","Domingo"))</f>
        <v>Quinta</v>
      </c>
      <c r="Q733" s="30" t="str">
        <f>IF(B733="","",IF(B733&lt;TIME(12,0,0),"Manhã",IF(B733&lt;TIME(18,0,0),"Tarde","Noite")))</f>
        <v>Tarde</v>
      </c>
      <c r="R733" s="46">
        <f>IF(AND(H733="Realizado",L733&lt;&gt;"",A733&lt;=Config!$B$9),L733/60,0)</f>
        <v>0.666666666666667</v>
      </c>
      <c r="S733" s="45">
        <f>IF(G733="","",IFERROR(INDEX(Config!$K$5:$K$16,MATCH(G733,Config!$J$5:$J$16,0)),""))</f>
        <v>40</v>
      </c>
      <c r="T733" s="31">
        <f>IF(OR(G733="",F733=""),"",IFERROR(INDEX(Config!$M$5:$R$16,MATCH(G733,Config!$J$5:$J$16,0),MATCH(F733,Config!$H$5:$H$10,0)),""))</f>
        <v>400</v>
      </c>
      <c r="U733" s="47">
        <f>IF(AND(H733="Realizado",L733&lt;&gt;""),L733/60,0)</f>
        <v>0.666666666666667</v>
      </c>
      <c r="V733" s="47">
        <f>IF(AND(H733="Realizado",OR(L733="",M733="")),1,0)</f>
        <v>0</v>
      </c>
    </row>
    <row r="734">
      <c r="A734" s="43" t="n">
        <v>46247</v>
      </c>
      <c r="B734" s="44" t="n">
        <v>0.5833333333333334</v>
      </c>
      <c r="C734" s="38" t="inlineStr">
        <is>
          <t>Dr. Paulo Andrade</t>
        </is>
      </c>
      <c r="D734" s="38" t="inlineStr">
        <is>
          <t>Sala 2</t>
        </is>
      </c>
      <c r="E734" s="37" t="inlineStr">
        <is>
          <t>Camila Freitas</t>
        </is>
      </c>
      <c r="F734" s="38" t="inlineStr">
        <is>
          <t>Particular</t>
        </is>
      </c>
      <c r="G734" s="38" t="inlineStr">
        <is>
          <t>Consulta</t>
        </is>
      </c>
      <c r="H734" s="38" t="inlineStr">
        <is>
          <t>Realizado</t>
        </is>
      </c>
      <c r="I734" s="38" t="inlineStr">
        <is>
          <t>Pix</t>
        </is>
      </c>
      <c r="J734" s="38" t="n"/>
      <c r="K734" s="37" t="n"/>
      <c r="L734" s="39" t="n">
        <v>30</v>
      </c>
      <c r="M734" s="40" t="n">
        <v>380</v>
      </c>
      <c r="N734" s="30">
        <f>IF(A734="","",MONTH(A734))</f>
        <v>8</v>
      </c>
      <c r="O734" s="30">
        <f>IF(A734="","",YEAR(A734))</f>
        <v>2026</v>
      </c>
      <c r="P734" s="30" t="str">
        <f>IF(A734="","",CHOOSE(WEEKDAY(A734,2),"Segunda","Terça","Quarta","Quinta","Sexta","Sábado","Domingo"))</f>
        <v>Quinta</v>
      </c>
      <c r="Q734" s="30" t="str">
        <f>IF(B734="","",IF(B734&lt;TIME(12,0,0),"Manhã",IF(B734&lt;TIME(18,0,0),"Tarde","Noite")))</f>
        <v>Tarde</v>
      </c>
      <c r="R734" s="46">
        <f>IF(AND(H734="Realizado",L734&lt;&gt;"",A734&lt;=Config!$B$9),L734/60,0)</f>
        <v>0.5</v>
      </c>
      <c r="S734" s="45">
        <f>IF(G734="","",IFERROR(INDEX(Config!$K$5:$K$16,MATCH(G734,Config!$J$5:$J$16,0)),""))</f>
        <v>30</v>
      </c>
      <c r="T734" s="31">
        <f>IF(OR(G734="",F734=""),"",IFERROR(INDEX(Config!$M$5:$R$16,MATCH(G734,Config!$J$5:$J$16,0),MATCH(F734,Config!$H$5:$H$10,0)),""))</f>
        <v>380</v>
      </c>
      <c r="U734" s="47">
        <f>IF(AND(H734="Realizado",L734&lt;&gt;""),L734/60,0)</f>
        <v>0.5</v>
      </c>
      <c r="V734" s="47">
        <f>IF(AND(H734="Realizado",OR(L734="",M734="")),1,0)</f>
        <v>0</v>
      </c>
    </row>
    <row r="735">
      <c r="A735" s="43" t="n">
        <v>46247</v>
      </c>
      <c r="B735" s="44" t="n">
        <v>0.6041666666666666</v>
      </c>
      <c r="C735" s="38" t="inlineStr">
        <is>
          <t>Dr. Paulo Andrade</t>
        </is>
      </c>
      <c r="D735" s="38" t="inlineStr">
        <is>
          <t>Sala 2</t>
        </is>
      </c>
      <c r="E735" s="37" t="inlineStr">
        <is>
          <t>Wagner Carvalho</t>
        </is>
      </c>
      <c r="F735" s="38" t="inlineStr">
        <is>
          <t>Vida Care</t>
        </is>
      </c>
      <c r="G735" s="38" t="inlineStr">
        <is>
          <t>Consulta</t>
        </is>
      </c>
      <c r="H735" s="38" t="inlineStr">
        <is>
          <t>Realizado</t>
        </is>
      </c>
      <c r="I735" s="38" t="inlineStr">
        <is>
          <t>Convênio</t>
        </is>
      </c>
      <c r="J735" s="38" t="n"/>
      <c r="K735" s="37" t="n"/>
      <c r="L735" s="39" t="n">
        <v>30</v>
      </c>
      <c r="M735" s="40" t="n">
        <v>90</v>
      </c>
      <c r="N735" s="30">
        <f>IF(A735="","",MONTH(A735))</f>
        <v>8</v>
      </c>
      <c r="O735" s="30">
        <f>IF(A735="","",YEAR(A735))</f>
        <v>2026</v>
      </c>
      <c r="P735" s="30" t="str">
        <f>IF(A735="","",CHOOSE(WEEKDAY(A735,2),"Segunda","Terça","Quarta","Quinta","Sexta","Sábado","Domingo"))</f>
        <v>Quinta</v>
      </c>
      <c r="Q735" s="30" t="str">
        <f>IF(B735="","",IF(B735&lt;TIME(12,0,0),"Manhã",IF(B735&lt;TIME(18,0,0),"Tarde","Noite")))</f>
        <v>Tarde</v>
      </c>
      <c r="R735" s="46">
        <f>IF(AND(H735="Realizado",L735&lt;&gt;"",A735&lt;=Config!$B$9),L735/60,0)</f>
        <v>0.5</v>
      </c>
      <c r="S735" s="45">
        <f>IF(G735="","",IFERROR(INDEX(Config!$K$5:$K$16,MATCH(G735,Config!$J$5:$J$16,0)),""))</f>
        <v>30</v>
      </c>
      <c r="T735" s="31">
        <f>IF(OR(G735="",F735=""),"",IFERROR(INDEX(Config!$M$5:$R$16,MATCH(G735,Config!$J$5:$J$16,0),MATCH(F735,Config!$H$5:$H$10,0)),""))</f>
        <v>90</v>
      </c>
      <c r="U735" s="47">
        <f>IF(AND(H735="Realizado",L735&lt;&gt;""),L735/60,0)</f>
        <v>0.5</v>
      </c>
      <c r="V735" s="47">
        <f>IF(AND(H735="Realizado",OR(L735="",M735="")),1,0)</f>
        <v>0</v>
      </c>
    </row>
    <row r="736">
      <c r="A736" s="43" t="n">
        <v>46247</v>
      </c>
      <c r="B736" s="44" t="n">
        <v>0.6111111111111112</v>
      </c>
      <c r="C736" s="38" t="inlineStr">
        <is>
          <t>Dra. Renata Sousa</t>
        </is>
      </c>
      <c r="D736" s="38" t="inlineStr">
        <is>
          <t>Sala 1</t>
        </is>
      </c>
      <c r="E736" s="37" t="inlineStr">
        <is>
          <t>Cláudia Melo</t>
        </is>
      </c>
      <c r="F736" s="38" t="inlineStr">
        <is>
          <t>Particular</t>
        </is>
      </c>
      <c r="G736" s="38" t="inlineStr">
        <is>
          <t>Avaliação endócrina</t>
        </is>
      </c>
      <c r="H736" s="38" t="inlineStr">
        <is>
          <t>Realizado</t>
        </is>
      </c>
      <c r="I736" s="38" t="inlineStr">
        <is>
          <t>Cartão de débito</t>
        </is>
      </c>
      <c r="J736" s="38" t="n"/>
      <c r="K736" s="37" t="n"/>
      <c r="L736" s="39" t="n">
        <v>40</v>
      </c>
      <c r="M736" s="40" t="n">
        <v>400</v>
      </c>
      <c r="N736" s="30">
        <f>IF(A736="","",MONTH(A736))</f>
        <v>8</v>
      </c>
      <c r="O736" s="30">
        <f>IF(A736="","",YEAR(A736))</f>
        <v>2026</v>
      </c>
      <c r="P736" s="30" t="str">
        <f>IF(A736="","",CHOOSE(WEEKDAY(A736,2),"Segunda","Terça","Quarta","Quinta","Sexta","Sábado","Domingo"))</f>
        <v>Quinta</v>
      </c>
      <c r="Q736" s="30" t="str">
        <f>IF(B736="","",IF(B736&lt;TIME(12,0,0),"Manhã",IF(B736&lt;TIME(18,0,0),"Tarde","Noite")))</f>
        <v>Tarde</v>
      </c>
      <c r="R736" s="46">
        <f>IF(AND(H736="Realizado",L736&lt;&gt;"",A736&lt;=Config!$B$9),L736/60,0)</f>
        <v>0.666666666666667</v>
      </c>
      <c r="S736" s="45">
        <f>IF(G736="","",IFERROR(INDEX(Config!$K$5:$K$16,MATCH(G736,Config!$J$5:$J$16,0)),""))</f>
        <v>40</v>
      </c>
      <c r="T736" s="31">
        <f>IF(OR(G736="",F736=""),"",IFERROR(INDEX(Config!$M$5:$R$16,MATCH(G736,Config!$J$5:$J$16,0),MATCH(F736,Config!$H$5:$H$10,0)),""))</f>
        <v>400</v>
      </c>
      <c r="U736" s="47">
        <f>IF(AND(H736="Realizado",L736&lt;&gt;""),L736/60,0)</f>
        <v>0.666666666666667</v>
      </c>
      <c r="V736" s="47">
        <f>IF(AND(H736="Realizado",OR(L736="",M736="")),1,0)</f>
        <v>0</v>
      </c>
    </row>
    <row r="737">
      <c r="A737" s="43" t="n">
        <v>46247</v>
      </c>
      <c r="B737" s="44" t="n">
        <v>0.625</v>
      </c>
      <c r="C737" s="38" t="inlineStr">
        <is>
          <t>Dr. Paulo Andrade</t>
        </is>
      </c>
      <c r="D737" s="38" t="inlineStr">
        <is>
          <t>Sala 2</t>
        </is>
      </c>
      <c r="E737" s="37" t="inlineStr">
        <is>
          <t>Sérgio Batista</t>
        </is>
      </c>
      <c r="F737" s="38" t="inlineStr">
        <is>
          <t>MediPlan</t>
        </is>
      </c>
      <c r="G737" s="38" t="inlineStr">
        <is>
          <t>Teste ergométrico</t>
        </is>
      </c>
      <c r="H737" s="38" t="inlineStr">
        <is>
          <t>Realizado</t>
        </is>
      </c>
      <c r="I737" s="38" t="inlineStr">
        <is>
          <t>Convênio</t>
        </is>
      </c>
      <c r="J737" s="38" t="n"/>
      <c r="K737" s="37" t="n"/>
      <c r="L737" s="39" t="n">
        <v>40</v>
      </c>
      <c r="M737" s="40" t="n">
        <v>125</v>
      </c>
      <c r="N737" s="30">
        <f>IF(A737="","",MONTH(A737))</f>
        <v>8</v>
      </c>
      <c r="O737" s="30">
        <f>IF(A737="","",YEAR(A737))</f>
        <v>2026</v>
      </c>
      <c r="P737" s="30" t="str">
        <f>IF(A737="","",CHOOSE(WEEKDAY(A737,2),"Segunda","Terça","Quarta","Quinta","Sexta","Sábado","Domingo"))</f>
        <v>Quinta</v>
      </c>
      <c r="Q737" s="30" t="str">
        <f>IF(B737="","",IF(B737&lt;TIME(12,0,0),"Manhã",IF(B737&lt;TIME(18,0,0),"Tarde","Noite")))</f>
        <v>Tarde</v>
      </c>
      <c r="R737" s="46">
        <f>IF(AND(H737="Realizado",L737&lt;&gt;"",A737&lt;=Config!$B$9),L737/60,0)</f>
        <v>0.666666666666667</v>
      </c>
      <c r="S737" s="45">
        <f>IF(G737="","",IFERROR(INDEX(Config!$K$5:$K$16,MATCH(G737,Config!$J$5:$J$16,0)),""))</f>
        <v>40</v>
      </c>
      <c r="T737" s="31">
        <f>IF(OR(G737="",F737=""),"",IFERROR(INDEX(Config!$M$5:$R$16,MATCH(G737,Config!$J$5:$J$16,0),MATCH(F737,Config!$H$5:$H$10,0)),""))</f>
        <v>125</v>
      </c>
      <c r="U737" s="47">
        <f>IF(AND(H737="Realizado",L737&lt;&gt;""),L737/60,0)</f>
        <v>0.666666666666667</v>
      </c>
      <c r="V737" s="47">
        <f>IF(AND(H737="Realizado",OR(L737="",M737="")),1,0)</f>
        <v>0</v>
      </c>
    </row>
    <row r="738">
      <c r="A738" s="43" t="n">
        <v>46247</v>
      </c>
      <c r="B738" s="44" t="n">
        <v>0.6527777777777778</v>
      </c>
      <c r="C738" s="38" t="inlineStr">
        <is>
          <t>Dr. Paulo Andrade</t>
        </is>
      </c>
      <c r="D738" s="38" t="inlineStr">
        <is>
          <t>Sala 2</t>
        </is>
      </c>
      <c r="E738" s="37" t="inlineStr">
        <is>
          <t>Bruno Carvalho</t>
        </is>
      </c>
      <c r="F738" s="38" t="inlineStr">
        <is>
          <t>Saúde Total</t>
        </is>
      </c>
      <c r="G738" s="38" t="inlineStr">
        <is>
          <t>Consulta</t>
        </is>
      </c>
      <c r="H738" s="38" t="inlineStr">
        <is>
          <t>Realizado</t>
        </is>
      </c>
      <c r="I738" s="38" t="inlineStr">
        <is>
          <t>Convênio</t>
        </is>
      </c>
      <c r="J738" s="38" t="n"/>
      <c r="K738" s="37" t="n"/>
      <c r="L738" s="39" t="n">
        <v>30</v>
      </c>
      <c r="M738" s="40" t="n">
        <v>120</v>
      </c>
      <c r="N738" s="30">
        <f>IF(A738="","",MONTH(A738))</f>
        <v>8</v>
      </c>
      <c r="O738" s="30">
        <f>IF(A738="","",YEAR(A738))</f>
        <v>2026</v>
      </c>
      <c r="P738" s="30" t="str">
        <f>IF(A738="","",CHOOSE(WEEKDAY(A738,2),"Segunda","Terça","Quarta","Quinta","Sexta","Sábado","Domingo"))</f>
        <v>Quinta</v>
      </c>
      <c r="Q738" s="30" t="str">
        <f>IF(B738="","",IF(B738&lt;TIME(12,0,0),"Manhã",IF(B738&lt;TIME(18,0,0),"Tarde","Noite")))</f>
        <v>Tarde</v>
      </c>
      <c r="R738" s="46">
        <f>IF(AND(H738="Realizado",L738&lt;&gt;"",A738&lt;=Config!$B$9),L738/60,0)</f>
        <v>0.5</v>
      </c>
      <c r="S738" s="45">
        <f>IF(G738="","",IFERROR(INDEX(Config!$K$5:$K$16,MATCH(G738,Config!$J$5:$J$16,0)),""))</f>
        <v>30</v>
      </c>
      <c r="T738" s="31">
        <f>IF(OR(G738="",F738=""),"",IFERROR(INDEX(Config!$M$5:$R$16,MATCH(G738,Config!$J$5:$J$16,0),MATCH(F738,Config!$H$5:$H$10,0)),""))</f>
        <v>120</v>
      </c>
      <c r="U738" s="47">
        <f>IF(AND(H738="Realizado",L738&lt;&gt;""),L738/60,0)</f>
        <v>0.5</v>
      </c>
      <c r="V738" s="47">
        <f>IF(AND(H738="Realizado",OR(L738="",M738="")),1,0)</f>
        <v>0</v>
      </c>
    </row>
    <row r="739">
      <c r="A739" s="43" t="n">
        <v>46247</v>
      </c>
      <c r="B739" s="44" t="n">
        <v>0.6597222222222222</v>
      </c>
      <c r="C739" s="38" t="inlineStr">
        <is>
          <t>Dra. Renata Sousa</t>
        </is>
      </c>
      <c r="D739" s="38" t="inlineStr">
        <is>
          <t>Sala 1</t>
        </is>
      </c>
      <c r="E739" s="37" t="inlineStr">
        <is>
          <t>Patrícia Dias</t>
        </is>
      </c>
      <c r="F739" s="38" t="inlineStr">
        <is>
          <t>Particular</t>
        </is>
      </c>
      <c r="G739" s="38" t="inlineStr">
        <is>
          <t>Retorno</t>
        </is>
      </c>
      <c r="H739" s="38" t="inlineStr">
        <is>
          <t>Realizado</t>
        </is>
      </c>
      <c r="I739" s="38" t="inlineStr">
        <is>
          <t>Sem cobrança</t>
        </is>
      </c>
      <c r="J739" s="38" t="n"/>
      <c r="K739" s="37" t="n"/>
      <c r="L739" s="39" t="n">
        <v>20</v>
      </c>
      <c r="M739" s="40" t="n">
        <v>0</v>
      </c>
      <c r="N739" s="30">
        <f>IF(A739="","",MONTH(A739))</f>
        <v>8</v>
      </c>
      <c r="O739" s="30">
        <f>IF(A739="","",YEAR(A739))</f>
        <v>2026</v>
      </c>
      <c r="P739" s="30" t="str">
        <f>IF(A739="","",CHOOSE(WEEKDAY(A739,2),"Segunda","Terça","Quarta","Quinta","Sexta","Sábado","Domingo"))</f>
        <v>Quinta</v>
      </c>
      <c r="Q739" s="30" t="str">
        <f>IF(B739="","",IF(B739&lt;TIME(12,0,0),"Manhã",IF(B739&lt;TIME(18,0,0),"Tarde","Noite")))</f>
        <v>Tarde</v>
      </c>
      <c r="R739" s="46">
        <f>IF(AND(H739="Realizado",L739&lt;&gt;"",A739&lt;=Config!$B$9),L739/60,0)</f>
        <v>0.333333333333333</v>
      </c>
      <c r="S739" s="45">
        <f>IF(G739="","",IFERROR(INDEX(Config!$K$5:$K$16,MATCH(G739,Config!$J$5:$J$16,0)),""))</f>
        <v>20</v>
      </c>
      <c r="T739" s="31">
        <f>IF(OR(G739="",F739=""),"",IFERROR(INDEX(Config!$M$5:$R$16,MATCH(G739,Config!$J$5:$J$16,0),MATCH(F739,Config!$H$5:$H$10,0)),""))</f>
        <v>0</v>
      </c>
      <c r="U739" s="47">
        <f>IF(AND(H739="Realizado",L739&lt;&gt;""),L739/60,0)</f>
        <v>0.333333333333333</v>
      </c>
      <c r="V739" s="47">
        <f>IF(AND(H739="Realizado",OR(L739="",M739="")),1,0)</f>
        <v>0</v>
      </c>
    </row>
    <row r="740">
      <c r="A740" s="43" t="n">
        <v>46247</v>
      </c>
      <c r="B740" s="44" t="n">
        <v>0.6736111111111112</v>
      </c>
      <c r="C740" s="38" t="inlineStr">
        <is>
          <t>Dra. Renata Sousa</t>
        </is>
      </c>
      <c r="D740" s="38" t="inlineStr">
        <is>
          <t>Sala 1</t>
        </is>
      </c>
      <c r="E740" s="37" t="inlineStr">
        <is>
          <t>Carlos Gonçalves</t>
        </is>
      </c>
      <c r="F740" s="38" t="inlineStr">
        <is>
          <t>Saúde Total</t>
        </is>
      </c>
      <c r="G740" s="38" t="inlineStr">
        <is>
          <t>Retorno</t>
        </is>
      </c>
      <c r="H740" s="38" t="inlineStr">
        <is>
          <t>Realizado</t>
        </is>
      </c>
      <c r="I740" s="38" t="inlineStr">
        <is>
          <t>Sem cobrança</t>
        </is>
      </c>
      <c r="J740" s="38" t="n"/>
      <c r="K740" s="37" t="n"/>
      <c r="L740" s="39" t="n">
        <v>20</v>
      </c>
      <c r="M740" s="40" t="n">
        <v>0</v>
      </c>
      <c r="N740" s="30">
        <f>IF(A740="","",MONTH(A740))</f>
        <v>8</v>
      </c>
      <c r="O740" s="30">
        <f>IF(A740="","",YEAR(A740))</f>
        <v>2026</v>
      </c>
      <c r="P740" s="30" t="str">
        <f>IF(A740="","",CHOOSE(WEEKDAY(A740,2),"Segunda","Terça","Quarta","Quinta","Sexta","Sábado","Domingo"))</f>
        <v>Quinta</v>
      </c>
      <c r="Q740" s="30" t="str">
        <f>IF(B740="","",IF(B740&lt;TIME(12,0,0),"Manhã",IF(B740&lt;TIME(18,0,0),"Tarde","Noite")))</f>
        <v>Tarde</v>
      </c>
      <c r="R740" s="46">
        <f>IF(AND(H740="Realizado",L740&lt;&gt;"",A740&lt;=Config!$B$9),L740/60,0)</f>
        <v>0.333333333333333</v>
      </c>
      <c r="S740" s="45">
        <f>IF(G740="","",IFERROR(INDEX(Config!$K$5:$K$16,MATCH(G740,Config!$J$5:$J$16,0)),""))</f>
        <v>20</v>
      </c>
      <c r="T740" s="31">
        <f>IF(OR(G740="",F740=""),"",IFERROR(INDEX(Config!$M$5:$R$16,MATCH(G740,Config!$J$5:$J$16,0),MATCH(F740,Config!$H$5:$H$10,0)),""))</f>
        <v>0</v>
      </c>
      <c r="U740" s="47">
        <f>IF(AND(H740="Realizado",L740&lt;&gt;""),L740/60,0)</f>
        <v>0.333333333333333</v>
      </c>
      <c r="V740" s="47">
        <f>IF(AND(H740="Realizado",OR(L740="",M740="")),1,0)</f>
        <v>0</v>
      </c>
    </row>
    <row r="741">
      <c r="A741" s="43" t="n">
        <v>46247</v>
      </c>
      <c r="B741" s="44" t="n">
        <v>0.6736111111111112</v>
      </c>
      <c r="C741" s="38" t="inlineStr">
        <is>
          <t>Dr. Paulo Andrade</t>
        </is>
      </c>
      <c r="D741" s="38" t="inlineStr">
        <is>
          <t>Sala 2</t>
        </is>
      </c>
      <c r="E741" s="37" t="inlineStr">
        <is>
          <t>Débora Moreira</t>
        </is>
      </c>
      <c r="F741" s="38" t="inlineStr">
        <is>
          <t>Particular</t>
        </is>
      </c>
      <c r="G741" s="38" t="inlineStr">
        <is>
          <t>Consulta</t>
        </is>
      </c>
      <c r="H741" s="38" t="inlineStr">
        <is>
          <t>Realizado</t>
        </is>
      </c>
      <c r="I741" s="38" t="inlineStr">
        <is>
          <t>Pix</t>
        </is>
      </c>
      <c r="J741" s="38" t="n"/>
      <c r="K741" s="37" t="n"/>
      <c r="L741" s="39" t="n">
        <v>30</v>
      </c>
      <c r="M741" s="40" t="n">
        <v>380</v>
      </c>
      <c r="N741" s="30">
        <f>IF(A741="","",MONTH(A741))</f>
        <v>8</v>
      </c>
      <c r="O741" s="30">
        <f>IF(A741="","",YEAR(A741))</f>
        <v>2026</v>
      </c>
      <c r="P741" s="30" t="str">
        <f>IF(A741="","",CHOOSE(WEEKDAY(A741,2),"Segunda","Terça","Quarta","Quinta","Sexta","Sábado","Domingo"))</f>
        <v>Quinta</v>
      </c>
      <c r="Q741" s="30" t="str">
        <f>IF(B741="","",IF(B741&lt;TIME(12,0,0),"Manhã",IF(B741&lt;TIME(18,0,0),"Tarde","Noite")))</f>
        <v>Tarde</v>
      </c>
      <c r="R741" s="46">
        <f>IF(AND(H741="Realizado",L741&lt;&gt;"",A741&lt;=Config!$B$9),L741/60,0)</f>
        <v>0.5</v>
      </c>
      <c r="S741" s="45">
        <f>IF(G741="","",IFERROR(INDEX(Config!$K$5:$K$16,MATCH(G741,Config!$J$5:$J$16,0)),""))</f>
        <v>30</v>
      </c>
      <c r="T741" s="31">
        <f>IF(OR(G741="",F741=""),"",IFERROR(INDEX(Config!$M$5:$R$16,MATCH(G741,Config!$J$5:$J$16,0),MATCH(F741,Config!$H$5:$H$10,0)),""))</f>
        <v>380</v>
      </c>
      <c r="U741" s="47">
        <f>IF(AND(H741="Realizado",L741&lt;&gt;""),L741/60,0)</f>
        <v>0.5</v>
      </c>
      <c r="V741" s="47">
        <f>IF(AND(H741="Realizado",OR(L741="",M741="")),1,0)</f>
        <v>0</v>
      </c>
    </row>
    <row r="742">
      <c r="A742" s="43" t="n">
        <v>46247</v>
      </c>
      <c r="B742" s="44" t="n">
        <v>0.6875</v>
      </c>
      <c r="C742" s="38" t="inlineStr">
        <is>
          <t>Dra. Renata Sousa</t>
        </is>
      </c>
      <c r="D742" s="38" t="inlineStr">
        <is>
          <t>Sala 1</t>
        </is>
      </c>
      <c r="E742" s="37" t="inlineStr">
        <is>
          <t>Isabela Xavier</t>
        </is>
      </c>
      <c r="F742" s="38" t="inlineStr">
        <is>
          <t>Particular</t>
        </is>
      </c>
      <c r="G742" s="38" t="inlineStr">
        <is>
          <t>Avaliação endócrina</t>
        </is>
      </c>
      <c r="H742" s="38" t="inlineStr">
        <is>
          <t>Realizado</t>
        </is>
      </c>
      <c r="I742" s="38" t="inlineStr">
        <is>
          <t>Cartão de débito</t>
        </is>
      </c>
      <c r="J742" s="38" t="n"/>
      <c r="K742" s="37" t="n"/>
      <c r="L742" s="39" t="n">
        <v>40</v>
      </c>
      <c r="M742" s="40" t="n">
        <v>400</v>
      </c>
      <c r="N742" s="30">
        <f>IF(A742="","",MONTH(A742))</f>
        <v>8</v>
      </c>
      <c r="O742" s="30">
        <f>IF(A742="","",YEAR(A742))</f>
        <v>2026</v>
      </c>
      <c r="P742" s="30" t="str">
        <f>IF(A742="","",CHOOSE(WEEKDAY(A742,2),"Segunda","Terça","Quarta","Quinta","Sexta","Sábado","Domingo"))</f>
        <v>Quinta</v>
      </c>
      <c r="Q742" s="30" t="str">
        <f>IF(B742="","",IF(B742&lt;TIME(12,0,0),"Manhã",IF(B742&lt;TIME(18,0,0),"Tarde","Noite")))</f>
        <v>Tarde</v>
      </c>
      <c r="R742" s="46">
        <f>IF(AND(H742="Realizado",L742&lt;&gt;"",A742&lt;=Config!$B$9),L742/60,0)</f>
        <v>0.666666666666667</v>
      </c>
      <c r="S742" s="45">
        <f>IF(G742="","",IFERROR(INDEX(Config!$K$5:$K$16,MATCH(G742,Config!$J$5:$J$16,0)),""))</f>
        <v>40</v>
      </c>
      <c r="T742" s="31">
        <f>IF(OR(G742="",F742=""),"",IFERROR(INDEX(Config!$M$5:$R$16,MATCH(G742,Config!$J$5:$J$16,0),MATCH(F742,Config!$H$5:$H$10,0)),""))</f>
        <v>400</v>
      </c>
      <c r="U742" s="47">
        <f>IF(AND(H742="Realizado",L742&lt;&gt;""),L742/60,0)</f>
        <v>0.666666666666667</v>
      </c>
      <c r="V742" s="47">
        <f>IF(AND(H742="Realizado",OR(L742="",M742="")),1,0)</f>
        <v>0</v>
      </c>
    </row>
    <row r="743">
      <c r="A743" s="43" t="n">
        <v>46247</v>
      </c>
      <c r="B743" s="44" t="n">
        <v>0.6944444444444444</v>
      </c>
      <c r="C743" s="38" t="inlineStr">
        <is>
          <t>Dr. Paulo Andrade</t>
        </is>
      </c>
      <c r="D743" s="38" t="inlineStr">
        <is>
          <t>Sala 2</t>
        </is>
      </c>
      <c r="E743" s="37" t="inlineStr">
        <is>
          <t>Leandro Gomes</t>
        </is>
      </c>
      <c r="F743" s="38" t="inlineStr">
        <is>
          <t>Saúde Total</t>
        </is>
      </c>
      <c r="G743" s="38" t="inlineStr">
        <is>
          <t>Holter</t>
        </is>
      </c>
      <c r="H743" s="38" t="inlineStr">
        <is>
          <t>Realizado</t>
        </is>
      </c>
      <c r="I743" s="38" t="inlineStr">
        <is>
          <t>Convênio</t>
        </is>
      </c>
      <c r="J743" s="38" t="n"/>
      <c r="K743" s="37" t="n"/>
      <c r="L743" s="39" t="n">
        <v>20</v>
      </c>
      <c r="M743" s="40" t="n">
        <v>105</v>
      </c>
      <c r="N743" s="30">
        <f>IF(A743="","",MONTH(A743))</f>
        <v>8</v>
      </c>
      <c r="O743" s="30">
        <f>IF(A743="","",YEAR(A743))</f>
        <v>2026</v>
      </c>
      <c r="P743" s="30" t="str">
        <f>IF(A743="","",CHOOSE(WEEKDAY(A743,2),"Segunda","Terça","Quarta","Quinta","Sexta","Sábado","Domingo"))</f>
        <v>Quinta</v>
      </c>
      <c r="Q743" s="30" t="str">
        <f>IF(B743="","",IF(B743&lt;TIME(12,0,0),"Manhã",IF(B743&lt;TIME(18,0,0),"Tarde","Noite")))</f>
        <v>Tarde</v>
      </c>
      <c r="R743" s="46">
        <f>IF(AND(H743="Realizado",L743&lt;&gt;"",A743&lt;=Config!$B$9),L743/60,0)</f>
        <v>0.333333333333333</v>
      </c>
      <c r="S743" s="45">
        <f>IF(G743="","",IFERROR(INDEX(Config!$K$5:$K$16,MATCH(G743,Config!$J$5:$J$16,0)),""))</f>
        <v>20</v>
      </c>
      <c r="T743" s="31">
        <f>IF(OR(G743="",F743=""),"",IFERROR(INDEX(Config!$M$5:$R$16,MATCH(G743,Config!$J$5:$J$16,0),MATCH(F743,Config!$H$5:$H$10,0)),""))</f>
        <v>105</v>
      </c>
      <c r="U743" s="47">
        <f>IF(AND(H743="Realizado",L743&lt;&gt;""),L743/60,0)</f>
        <v>0.333333333333333</v>
      </c>
      <c r="V743" s="47">
        <f>IF(AND(H743="Realizado",OR(L743="",M743="")),1,0)</f>
        <v>0</v>
      </c>
    </row>
    <row r="744">
      <c r="A744" s="43" t="n">
        <v>46247</v>
      </c>
      <c r="B744" s="44" t="n">
        <v>0.7083333333333334</v>
      </c>
      <c r="C744" s="38" t="inlineStr">
        <is>
          <t>Dr. Paulo Andrade</t>
        </is>
      </c>
      <c r="D744" s="38" t="inlineStr">
        <is>
          <t>Sala 2</t>
        </is>
      </c>
      <c r="E744" s="37" t="inlineStr">
        <is>
          <t>Sandra Cardoso</t>
        </is>
      </c>
      <c r="F744" s="38" t="inlineStr">
        <is>
          <t>Saúde Total</t>
        </is>
      </c>
      <c r="G744" s="38" t="inlineStr">
        <is>
          <t>Consulta</t>
        </is>
      </c>
      <c r="H744" s="38" t="inlineStr">
        <is>
          <t>Realizado</t>
        </is>
      </c>
      <c r="I744" s="38" t="inlineStr">
        <is>
          <t>Convênio</t>
        </is>
      </c>
      <c r="J744" s="38" t="n"/>
      <c r="K744" s="37" t="n"/>
      <c r="L744" s="39" t="n">
        <v>30</v>
      </c>
      <c r="M744" s="40" t="n">
        <v>120</v>
      </c>
      <c r="N744" s="30">
        <f>IF(A744="","",MONTH(A744))</f>
        <v>8</v>
      </c>
      <c r="O744" s="30">
        <f>IF(A744="","",YEAR(A744))</f>
        <v>2026</v>
      </c>
      <c r="P744" s="30" t="str">
        <f>IF(A744="","",CHOOSE(WEEKDAY(A744,2),"Segunda","Terça","Quarta","Quinta","Sexta","Sábado","Domingo"))</f>
        <v>Quinta</v>
      </c>
      <c r="Q744" s="30" t="str">
        <f>IF(B744="","",IF(B744&lt;TIME(12,0,0),"Manhã",IF(B744&lt;TIME(18,0,0),"Tarde","Noite")))</f>
        <v>Tarde</v>
      </c>
      <c r="R744" s="46">
        <f>IF(AND(H744="Realizado",L744&lt;&gt;"",A744&lt;=Config!$B$9),L744/60,0)</f>
        <v>0.5</v>
      </c>
      <c r="S744" s="45">
        <f>IF(G744="","",IFERROR(INDEX(Config!$K$5:$K$16,MATCH(G744,Config!$J$5:$J$16,0)),""))</f>
        <v>30</v>
      </c>
      <c r="T744" s="31">
        <f>IF(OR(G744="",F744=""),"",IFERROR(INDEX(Config!$M$5:$R$16,MATCH(G744,Config!$J$5:$J$16,0),MATCH(F744,Config!$H$5:$H$10,0)),""))</f>
        <v>120</v>
      </c>
      <c r="U744" s="47">
        <f>IF(AND(H744="Realizado",L744&lt;&gt;""),L744/60,0)</f>
        <v>0.5</v>
      </c>
      <c r="V744" s="47">
        <f>IF(AND(H744="Realizado",OR(L744="",M744="")),1,0)</f>
        <v>0</v>
      </c>
    </row>
    <row r="745">
      <c r="A745" s="43" t="n">
        <v>46247</v>
      </c>
      <c r="B745" s="44" t="n">
        <v>0.7152777777777778</v>
      </c>
      <c r="C745" s="38" t="inlineStr">
        <is>
          <t>Dra. Renata Sousa</t>
        </is>
      </c>
      <c r="D745" s="38" t="inlineStr">
        <is>
          <t>Sala 1</t>
        </is>
      </c>
      <c r="E745" s="37" t="inlineStr">
        <is>
          <t>Rodrigo Cardoso</t>
        </is>
      </c>
      <c r="F745" s="38" t="inlineStr">
        <is>
          <t>Saúde Total</t>
        </is>
      </c>
      <c r="G745" s="38" t="inlineStr">
        <is>
          <t>Retorno</t>
        </is>
      </c>
      <c r="H745" s="38" t="inlineStr">
        <is>
          <t>Realizado</t>
        </is>
      </c>
      <c r="I745" s="38" t="inlineStr">
        <is>
          <t>Sem cobrança</t>
        </is>
      </c>
      <c r="J745" s="38" t="n"/>
      <c r="K745" s="37" t="n"/>
      <c r="L745" s="39" t="n">
        <v>20</v>
      </c>
      <c r="M745" s="40" t="n">
        <v>0</v>
      </c>
      <c r="N745" s="30">
        <f>IF(A745="","",MONTH(A745))</f>
        <v>8</v>
      </c>
      <c r="O745" s="30">
        <f>IF(A745="","",YEAR(A745))</f>
        <v>2026</v>
      </c>
      <c r="P745" s="30" t="str">
        <f>IF(A745="","",CHOOSE(WEEKDAY(A745,2),"Segunda","Terça","Quarta","Quinta","Sexta","Sábado","Domingo"))</f>
        <v>Quinta</v>
      </c>
      <c r="Q745" s="30" t="str">
        <f>IF(B745="","",IF(B745&lt;TIME(12,0,0),"Manhã",IF(B745&lt;TIME(18,0,0),"Tarde","Noite")))</f>
        <v>Tarde</v>
      </c>
      <c r="R745" s="46">
        <f>IF(AND(H745="Realizado",L745&lt;&gt;"",A745&lt;=Config!$B$9),L745/60,0)</f>
        <v>0.333333333333333</v>
      </c>
      <c r="S745" s="45">
        <f>IF(G745="","",IFERROR(INDEX(Config!$K$5:$K$16,MATCH(G745,Config!$J$5:$J$16,0)),""))</f>
        <v>20</v>
      </c>
      <c r="T745" s="31">
        <f>IF(OR(G745="",F745=""),"",IFERROR(INDEX(Config!$M$5:$R$16,MATCH(G745,Config!$J$5:$J$16,0),MATCH(F745,Config!$H$5:$H$10,0)),""))</f>
        <v>0</v>
      </c>
      <c r="U745" s="47">
        <f>IF(AND(H745="Realizado",L745&lt;&gt;""),L745/60,0)</f>
        <v>0.333333333333333</v>
      </c>
      <c r="V745" s="47">
        <f>IF(AND(H745="Realizado",OR(L745="",M745="")),1,0)</f>
        <v>0</v>
      </c>
    </row>
    <row r="746">
      <c r="A746" s="43" t="n">
        <v>46247</v>
      </c>
      <c r="B746" s="44" t="n">
        <v>0.7291666666666666</v>
      </c>
      <c r="C746" s="38" t="inlineStr">
        <is>
          <t>Dra. Renata Sousa</t>
        </is>
      </c>
      <c r="D746" s="38" t="inlineStr">
        <is>
          <t>Sala 1</t>
        </is>
      </c>
      <c r="E746" s="37" t="inlineStr">
        <is>
          <t>Priscila Reis</t>
        </is>
      </c>
      <c r="F746" s="38" t="inlineStr">
        <is>
          <t>Particular</t>
        </is>
      </c>
      <c r="G746" s="38" t="inlineStr">
        <is>
          <t>Avaliação endócrina</t>
        </is>
      </c>
      <c r="H746" s="38" t="inlineStr">
        <is>
          <t>Realizado</t>
        </is>
      </c>
      <c r="I746" s="38" t="inlineStr">
        <is>
          <t>Pix</t>
        </is>
      </c>
      <c r="J746" s="38" t="n"/>
      <c r="K746" s="37" t="n"/>
      <c r="L746" s="39" t="n">
        <v>40</v>
      </c>
      <c r="M746" s="40" t="n">
        <v>400</v>
      </c>
      <c r="N746" s="30">
        <f>IF(A746="","",MONTH(A746))</f>
        <v>8</v>
      </c>
      <c r="O746" s="30">
        <f>IF(A746="","",YEAR(A746))</f>
        <v>2026</v>
      </c>
      <c r="P746" s="30" t="str">
        <f>IF(A746="","",CHOOSE(WEEKDAY(A746,2),"Segunda","Terça","Quarta","Quinta","Sexta","Sábado","Domingo"))</f>
        <v>Quinta</v>
      </c>
      <c r="Q746" s="30" t="str">
        <f>IF(B746="","",IF(B746&lt;TIME(12,0,0),"Manhã",IF(B746&lt;TIME(18,0,0),"Tarde","Noite")))</f>
        <v>Tarde</v>
      </c>
      <c r="R746" s="46">
        <f>IF(AND(H746="Realizado",L746&lt;&gt;"",A746&lt;=Config!$B$9),L746/60,0)</f>
        <v>0.666666666666667</v>
      </c>
      <c r="S746" s="45">
        <f>IF(G746="","",IFERROR(INDEX(Config!$K$5:$K$16,MATCH(G746,Config!$J$5:$J$16,0)),""))</f>
        <v>40</v>
      </c>
      <c r="T746" s="31">
        <f>IF(OR(G746="",F746=""),"",IFERROR(INDEX(Config!$M$5:$R$16,MATCH(G746,Config!$J$5:$J$16,0),MATCH(F746,Config!$H$5:$H$10,0)),""))</f>
        <v>400</v>
      </c>
      <c r="U746" s="47">
        <f>IF(AND(H746="Realizado",L746&lt;&gt;""),L746/60,0)</f>
        <v>0.666666666666667</v>
      </c>
      <c r="V746" s="47">
        <f>IF(AND(H746="Realizado",OR(L746="",M746="")),1,0)</f>
        <v>0</v>
      </c>
    </row>
    <row r="747">
      <c r="A747" s="43" t="n">
        <v>46247</v>
      </c>
      <c r="B747" s="44" t="n">
        <v>0.7291666666666666</v>
      </c>
      <c r="C747" s="38" t="inlineStr">
        <is>
          <t>Dr. Paulo Andrade</t>
        </is>
      </c>
      <c r="D747" s="38" t="inlineStr">
        <is>
          <t>Sala 2</t>
        </is>
      </c>
      <c r="E747" s="37" t="inlineStr">
        <is>
          <t>Gustavo Barbosa</t>
        </is>
      </c>
      <c r="F747" s="38" t="inlineStr">
        <is>
          <t>Saúde Total</t>
        </is>
      </c>
      <c r="G747" s="38" t="inlineStr">
        <is>
          <t>ECG</t>
        </is>
      </c>
      <c r="H747" s="38" t="inlineStr">
        <is>
          <t>Realizado</t>
        </is>
      </c>
      <c r="I747" s="38" t="inlineStr">
        <is>
          <t>Convênio</t>
        </is>
      </c>
      <c r="J747" s="38" t="n"/>
      <c r="K747" s="37" t="n"/>
      <c r="L747" s="39" t="n">
        <v>20</v>
      </c>
      <c r="M747" s="40" t="n">
        <v>40</v>
      </c>
      <c r="N747" s="30">
        <f>IF(A747="","",MONTH(A747))</f>
        <v>8</v>
      </c>
      <c r="O747" s="30">
        <f>IF(A747="","",YEAR(A747))</f>
        <v>2026</v>
      </c>
      <c r="P747" s="30" t="str">
        <f>IF(A747="","",CHOOSE(WEEKDAY(A747,2),"Segunda","Terça","Quarta","Quinta","Sexta","Sábado","Domingo"))</f>
        <v>Quinta</v>
      </c>
      <c r="Q747" s="30" t="str">
        <f>IF(B747="","",IF(B747&lt;TIME(12,0,0),"Manhã",IF(B747&lt;TIME(18,0,0),"Tarde","Noite")))</f>
        <v>Tarde</v>
      </c>
      <c r="R747" s="46">
        <f>IF(AND(H747="Realizado",L747&lt;&gt;"",A747&lt;=Config!$B$9),L747/60,0)</f>
        <v>0.333333333333333</v>
      </c>
      <c r="S747" s="45">
        <f>IF(G747="","",IFERROR(INDEX(Config!$K$5:$K$16,MATCH(G747,Config!$J$5:$J$16,0)),""))</f>
        <v>20</v>
      </c>
      <c r="T747" s="31">
        <f>IF(OR(G747="",F747=""),"",IFERROR(INDEX(Config!$M$5:$R$16,MATCH(G747,Config!$J$5:$J$16,0),MATCH(F747,Config!$H$5:$H$10,0)),""))</f>
        <v>40</v>
      </c>
      <c r="U747" s="47">
        <f>IF(AND(H747="Realizado",L747&lt;&gt;""),L747/60,0)</f>
        <v>0.333333333333333</v>
      </c>
      <c r="V747" s="47">
        <f>IF(AND(H747="Realizado",OR(L747="",M747="")),1,0)</f>
        <v>0</v>
      </c>
    </row>
    <row r="748">
      <c r="A748" s="43" t="n">
        <v>46248</v>
      </c>
      <c r="B748" s="44" t="n">
        <v>0.375</v>
      </c>
      <c r="C748" s="38" t="inlineStr">
        <is>
          <t>Dr. Paulo Andrade</t>
        </is>
      </c>
      <c r="D748" s="38" t="inlineStr">
        <is>
          <t>Sala 2</t>
        </is>
      </c>
      <c r="E748" s="37" t="inlineStr">
        <is>
          <t>Sandra Martins</t>
        </is>
      </c>
      <c r="F748" s="38" t="inlineStr">
        <is>
          <t>MediPlan</t>
        </is>
      </c>
      <c r="G748" s="38" t="inlineStr">
        <is>
          <t>Consulta</t>
        </is>
      </c>
      <c r="H748" s="38" t="inlineStr">
        <is>
          <t>Realizado</t>
        </is>
      </c>
      <c r="I748" s="38" t="inlineStr">
        <is>
          <t>Convênio</t>
        </is>
      </c>
      <c r="J748" s="38" t="n"/>
      <c r="K748" s="37" t="n"/>
      <c r="L748" s="39" t="n">
        <v>30</v>
      </c>
      <c r="M748" s="40" t="n">
        <v>100</v>
      </c>
      <c r="N748" s="30">
        <f>IF(A748="","",MONTH(A748))</f>
        <v>8</v>
      </c>
      <c r="O748" s="30">
        <f>IF(A748="","",YEAR(A748))</f>
        <v>2026</v>
      </c>
      <c r="P748" s="30" t="str">
        <f>IF(A748="","",CHOOSE(WEEKDAY(A748,2),"Segunda","Terça","Quarta","Quinta","Sexta","Sábado","Domingo"))</f>
        <v>Sexta</v>
      </c>
      <c r="Q748" s="30" t="str">
        <f>IF(B748="","",IF(B748&lt;TIME(12,0,0),"Manhã",IF(B748&lt;TIME(18,0,0),"Tarde","Noite")))</f>
        <v>Manhã</v>
      </c>
      <c r="R748" s="46">
        <f>IF(AND(H748="Realizado",L748&lt;&gt;"",A748&lt;=Config!$B$9),L748/60,0)</f>
        <v>0.5</v>
      </c>
      <c r="S748" s="45">
        <f>IF(G748="","",IFERROR(INDEX(Config!$K$5:$K$16,MATCH(G748,Config!$J$5:$J$16,0)),""))</f>
        <v>30</v>
      </c>
      <c r="T748" s="31">
        <f>IF(OR(G748="",F748=""),"",IFERROR(INDEX(Config!$M$5:$R$16,MATCH(G748,Config!$J$5:$J$16,0),MATCH(F748,Config!$H$5:$H$10,0)),""))</f>
        <v>100</v>
      </c>
      <c r="U748" s="47">
        <f>IF(AND(H748="Realizado",L748&lt;&gt;""),L748/60,0)</f>
        <v>0.5</v>
      </c>
      <c r="V748" s="47">
        <f>IF(AND(H748="Realizado",OR(L748="",M748="")),1,0)</f>
        <v>0</v>
      </c>
    </row>
    <row r="749">
      <c r="A749" s="43" t="n">
        <v>46248</v>
      </c>
      <c r="B749" s="44" t="n">
        <v>0.3958333333333333</v>
      </c>
      <c r="C749" s="38" t="inlineStr">
        <is>
          <t>Dr. Paulo Andrade</t>
        </is>
      </c>
      <c r="D749" s="38" t="inlineStr">
        <is>
          <t>Sala 2</t>
        </is>
      </c>
      <c r="E749" s="37" t="inlineStr">
        <is>
          <t>Henrique Ribeiro</t>
        </is>
      </c>
      <c r="F749" s="38" t="inlineStr">
        <is>
          <t>Particular</t>
        </is>
      </c>
      <c r="G749" s="38" t="inlineStr">
        <is>
          <t>Retorno</t>
        </is>
      </c>
      <c r="H749" s="38" t="inlineStr">
        <is>
          <t>Realizado</t>
        </is>
      </c>
      <c r="I749" s="38" t="inlineStr">
        <is>
          <t>Sem cobrança</t>
        </is>
      </c>
      <c r="J749" s="38" t="n"/>
      <c r="K749" s="37" t="n"/>
      <c r="L749" s="39" t="n">
        <v>20</v>
      </c>
      <c r="M749" s="40" t="n">
        <v>0</v>
      </c>
      <c r="N749" s="30">
        <f>IF(A749="","",MONTH(A749))</f>
        <v>8</v>
      </c>
      <c r="O749" s="30">
        <f>IF(A749="","",YEAR(A749))</f>
        <v>2026</v>
      </c>
      <c r="P749" s="30" t="str">
        <f>IF(A749="","",CHOOSE(WEEKDAY(A749,2),"Segunda","Terça","Quarta","Quinta","Sexta","Sábado","Domingo"))</f>
        <v>Sexta</v>
      </c>
      <c r="Q749" s="30" t="str">
        <f>IF(B749="","",IF(B749&lt;TIME(12,0,0),"Manhã",IF(B749&lt;TIME(18,0,0),"Tarde","Noite")))</f>
        <v>Manhã</v>
      </c>
      <c r="R749" s="46">
        <f>IF(AND(H749="Realizado",L749&lt;&gt;"",A749&lt;=Config!$B$9),L749/60,0)</f>
        <v>0.333333333333333</v>
      </c>
      <c r="S749" s="45">
        <f>IF(G749="","",IFERROR(INDEX(Config!$K$5:$K$16,MATCH(G749,Config!$J$5:$J$16,0)),""))</f>
        <v>20</v>
      </c>
      <c r="T749" s="31">
        <f>IF(OR(G749="",F749=""),"",IFERROR(INDEX(Config!$M$5:$R$16,MATCH(G749,Config!$J$5:$J$16,0),MATCH(F749,Config!$H$5:$H$10,0)),""))</f>
        <v>0</v>
      </c>
      <c r="U749" s="47">
        <f>IF(AND(H749="Realizado",L749&lt;&gt;""),L749/60,0)</f>
        <v>0.333333333333333</v>
      </c>
      <c r="V749" s="47">
        <f>IF(AND(H749="Realizado",OR(L749="",M749="")),1,0)</f>
        <v>0</v>
      </c>
    </row>
    <row r="750">
      <c r="A750" s="43" t="n">
        <v>46248</v>
      </c>
      <c r="B750" s="44" t="n">
        <v>0.4097222222222222</v>
      </c>
      <c r="C750" s="38" t="inlineStr">
        <is>
          <t>Dr. Paulo Andrade</t>
        </is>
      </c>
      <c r="D750" s="38" t="inlineStr">
        <is>
          <t>Sala 2</t>
        </is>
      </c>
      <c r="E750" s="37" t="inlineStr">
        <is>
          <t>Gisele Pinto</t>
        </is>
      </c>
      <c r="F750" s="38" t="inlineStr">
        <is>
          <t>Saúde Total</t>
        </is>
      </c>
      <c r="G750" s="38" t="inlineStr">
        <is>
          <t>Consulta</t>
        </is>
      </c>
      <c r="H750" s="38" t="inlineStr">
        <is>
          <t>Realizado</t>
        </is>
      </c>
      <c r="I750" s="38" t="inlineStr">
        <is>
          <t>Convênio</t>
        </is>
      </c>
      <c r="J750" s="38" t="n"/>
      <c r="K750" s="37" t="n"/>
      <c r="L750" s="39" t="n">
        <v>30</v>
      </c>
      <c r="M750" s="40" t="n">
        <v>120</v>
      </c>
      <c r="N750" s="30">
        <f>IF(A750="","",MONTH(A750))</f>
        <v>8</v>
      </c>
      <c r="O750" s="30">
        <f>IF(A750="","",YEAR(A750))</f>
        <v>2026</v>
      </c>
      <c r="P750" s="30" t="str">
        <f>IF(A750="","",CHOOSE(WEEKDAY(A750,2),"Segunda","Terça","Quarta","Quinta","Sexta","Sábado","Domingo"))</f>
        <v>Sexta</v>
      </c>
      <c r="Q750" s="30" t="str">
        <f>IF(B750="","",IF(B750&lt;TIME(12,0,0),"Manhã",IF(B750&lt;TIME(18,0,0),"Tarde","Noite")))</f>
        <v>Manhã</v>
      </c>
      <c r="R750" s="46">
        <f>IF(AND(H750="Realizado",L750&lt;&gt;"",A750&lt;=Config!$B$9),L750/60,0)</f>
        <v>0.5</v>
      </c>
      <c r="S750" s="45">
        <f>IF(G750="","",IFERROR(INDEX(Config!$K$5:$K$16,MATCH(G750,Config!$J$5:$J$16,0)),""))</f>
        <v>30</v>
      </c>
      <c r="T750" s="31">
        <f>IF(OR(G750="",F750=""),"",IFERROR(INDEX(Config!$M$5:$R$16,MATCH(G750,Config!$J$5:$J$16,0),MATCH(F750,Config!$H$5:$H$10,0)),""))</f>
        <v>120</v>
      </c>
      <c r="U750" s="47">
        <f>IF(AND(H750="Realizado",L750&lt;&gt;""),L750/60,0)</f>
        <v>0.5</v>
      </c>
      <c r="V750" s="47">
        <f>IF(AND(H750="Realizado",OR(L750="",M750="")),1,0)</f>
        <v>0</v>
      </c>
    </row>
    <row r="751">
      <c r="A751" s="43" t="n">
        <v>46248</v>
      </c>
      <c r="B751" s="44" t="n">
        <v>0.4305555555555556</v>
      </c>
      <c r="C751" s="38" t="inlineStr">
        <is>
          <t>Dr. Paulo Andrade</t>
        </is>
      </c>
      <c r="D751" s="38" t="inlineStr">
        <is>
          <t>Sala 2</t>
        </is>
      </c>
      <c r="E751" s="37" t="inlineStr">
        <is>
          <t>Cláudia Santos</t>
        </is>
      </c>
      <c r="F751" s="38" t="inlineStr">
        <is>
          <t>Particular</t>
        </is>
      </c>
      <c r="G751" s="38" t="inlineStr">
        <is>
          <t>MAPA</t>
        </is>
      </c>
      <c r="H751" s="38" t="inlineStr">
        <is>
          <t>Falta</t>
        </is>
      </c>
      <c r="I751" s="38" t="n"/>
      <c r="J751" s="38" t="n"/>
      <c r="K751" s="37" t="n"/>
      <c r="L751" s="39" t="n">
        <v>20</v>
      </c>
      <c r="M751" s="40" t="n">
        <v>300</v>
      </c>
      <c r="N751" s="30">
        <f>IF(A751="","",MONTH(A751))</f>
        <v>8</v>
      </c>
      <c r="O751" s="30">
        <f>IF(A751="","",YEAR(A751))</f>
        <v>2026</v>
      </c>
      <c r="P751" s="30" t="str">
        <f>IF(A751="","",CHOOSE(WEEKDAY(A751,2),"Segunda","Terça","Quarta","Quinta","Sexta","Sábado","Domingo"))</f>
        <v>Sexta</v>
      </c>
      <c r="Q751" s="30" t="str">
        <f>IF(B751="","",IF(B751&lt;TIME(12,0,0),"Manhã",IF(B751&lt;TIME(18,0,0),"Tarde","Noite")))</f>
        <v>Manhã</v>
      </c>
      <c r="R751" s="46">
        <f>IF(AND(H751="Realizado",L751&lt;&gt;"",A751&lt;=Config!$B$9),L751/60,0)</f>
        <v>0</v>
      </c>
      <c r="S751" s="45">
        <f>IF(G751="","",IFERROR(INDEX(Config!$K$5:$K$16,MATCH(G751,Config!$J$5:$J$16,0)),""))</f>
        <v>20</v>
      </c>
      <c r="T751" s="31">
        <f>IF(OR(G751="",F751=""),"",IFERROR(INDEX(Config!$M$5:$R$16,MATCH(G751,Config!$J$5:$J$16,0),MATCH(F751,Config!$H$5:$H$10,0)),""))</f>
        <v>300</v>
      </c>
      <c r="U751" s="47">
        <f>IF(AND(H751="Realizado",L751&lt;&gt;""),L751/60,0)</f>
        <v>0</v>
      </c>
      <c r="V751" s="47">
        <f>IF(AND(H751="Realizado",OR(L751="",M751="")),1,0)</f>
        <v>0</v>
      </c>
    </row>
    <row r="752">
      <c r="A752" s="43" t="n">
        <v>46248</v>
      </c>
      <c r="B752" s="44" t="n">
        <v>0.4652777777777778</v>
      </c>
      <c r="C752" s="38" t="inlineStr">
        <is>
          <t>Dr. Paulo Andrade</t>
        </is>
      </c>
      <c r="D752" s="38" t="inlineStr">
        <is>
          <t>Sala 2</t>
        </is>
      </c>
      <c r="E752" s="37" t="inlineStr">
        <is>
          <t>Thiago Duarte</t>
        </is>
      </c>
      <c r="F752" s="38" t="inlineStr">
        <is>
          <t>Saúde Total</t>
        </is>
      </c>
      <c r="G752" s="38" t="inlineStr">
        <is>
          <t>ECG</t>
        </is>
      </c>
      <c r="H752" s="38" t="inlineStr">
        <is>
          <t>Realizado</t>
        </is>
      </c>
      <c r="I752" s="38" t="inlineStr">
        <is>
          <t>Convênio</t>
        </is>
      </c>
      <c r="J752" s="38" t="n"/>
      <c r="K752" s="37" t="n"/>
      <c r="L752" s="39" t="n">
        <v>20</v>
      </c>
      <c r="M752" s="40" t="n">
        <v>40</v>
      </c>
      <c r="N752" s="30">
        <f>IF(A752="","",MONTH(A752))</f>
        <v>8</v>
      </c>
      <c r="O752" s="30">
        <f>IF(A752="","",YEAR(A752))</f>
        <v>2026</v>
      </c>
      <c r="P752" s="30" t="str">
        <f>IF(A752="","",CHOOSE(WEEKDAY(A752,2),"Segunda","Terça","Quarta","Quinta","Sexta","Sábado","Domingo"))</f>
        <v>Sexta</v>
      </c>
      <c r="Q752" s="30" t="str">
        <f>IF(B752="","",IF(B752&lt;TIME(12,0,0),"Manhã",IF(B752&lt;TIME(18,0,0),"Tarde","Noite")))</f>
        <v>Manhã</v>
      </c>
      <c r="R752" s="46">
        <f>IF(AND(H752="Realizado",L752&lt;&gt;"",A752&lt;=Config!$B$9),L752/60,0)</f>
        <v>0.333333333333333</v>
      </c>
      <c r="S752" s="45">
        <f>IF(G752="","",IFERROR(INDEX(Config!$K$5:$K$16,MATCH(G752,Config!$J$5:$J$16,0)),""))</f>
        <v>20</v>
      </c>
      <c r="T752" s="31">
        <f>IF(OR(G752="",F752=""),"",IFERROR(INDEX(Config!$M$5:$R$16,MATCH(G752,Config!$J$5:$J$16,0),MATCH(F752,Config!$H$5:$H$10,0)),""))</f>
        <v>40</v>
      </c>
      <c r="U752" s="47">
        <f>IF(AND(H752="Realizado",L752&lt;&gt;""),L752/60,0)</f>
        <v>0.333333333333333</v>
      </c>
      <c r="V752" s="47">
        <f>IF(AND(H752="Realizado",OR(L752="",M752="")),1,0)</f>
        <v>0</v>
      </c>
    </row>
    <row r="753">
      <c r="A753" s="43" t="n">
        <v>46248</v>
      </c>
      <c r="B753" s="44" t="n">
        <v>0.4791666666666667</v>
      </c>
      <c r="C753" s="38" t="inlineStr">
        <is>
          <t>Dr. Paulo Andrade</t>
        </is>
      </c>
      <c r="D753" s="38" t="inlineStr">
        <is>
          <t>Sala 2</t>
        </is>
      </c>
      <c r="E753" s="37" t="inlineStr">
        <is>
          <t>Elaine Cardoso</t>
        </is>
      </c>
      <c r="F753" s="38" t="inlineStr">
        <is>
          <t>Particular</t>
        </is>
      </c>
      <c r="G753" s="38" t="inlineStr">
        <is>
          <t>ECG</t>
        </is>
      </c>
      <c r="H753" s="38" t="inlineStr">
        <is>
          <t>Realizado</t>
        </is>
      </c>
      <c r="I753" s="38" t="inlineStr">
        <is>
          <t>A prazo</t>
        </is>
      </c>
      <c r="J753" s="38" t="n"/>
      <c r="K753" s="37" t="n"/>
      <c r="L753" s="39" t="n">
        <v>20</v>
      </c>
      <c r="M753" s="40" t="n">
        <v>130</v>
      </c>
      <c r="N753" s="30">
        <f>IF(A753="","",MONTH(A753))</f>
        <v>8</v>
      </c>
      <c r="O753" s="30">
        <f>IF(A753="","",YEAR(A753))</f>
        <v>2026</v>
      </c>
      <c r="P753" s="30" t="str">
        <f>IF(A753="","",CHOOSE(WEEKDAY(A753,2),"Segunda","Terça","Quarta","Quinta","Sexta","Sábado","Domingo"))</f>
        <v>Sexta</v>
      </c>
      <c r="Q753" s="30" t="str">
        <f>IF(B753="","",IF(B753&lt;TIME(12,0,0),"Manhã",IF(B753&lt;TIME(18,0,0),"Tarde","Noite")))</f>
        <v>Manhã</v>
      </c>
      <c r="R753" s="46">
        <f>IF(AND(H753="Realizado",L753&lt;&gt;"",A753&lt;=Config!$B$9),L753/60,0)</f>
        <v>0.333333333333333</v>
      </c>
      <c r="S753" s="45">
        <f>IF(G753="","",IFERROR(INDEX(Config!$K$5:$K$16,MATCH(G753,Config!$J$5:$J$16,0)),""))</f>
        <v>20</v>
      </c>
      <c r="T753" s="31">
        <f>IF(OR(G753="",F753=""),"",IFERROR(INDEX(Config!$M$5:$R$16,MATCH(G753,Config!$J$5:$J$16,0),MATCH(F753,Config!$H$5:$H$10,0)),""))</f>
        <v>130</v>
      </c>
      <c r="U753" s="47">
        <f>IF(AND(H753="Realizado",L753&lt;&gt;""),L753/60,0)</f>
        <v>0.333333333333333</v>
      </c>
      <c r="V753" s="47">
        <f>IF(AND(H753="Realizado",OR(L753="",M753="")),1,0)</f>
        <v>0</v>
      </c>
    </row>
    <row r="754">
      <c r="A754" s="43" t="n">
        <v>46251</v>
      </c>
      <c r="B754" s="44" t="n">
        <v>0.3333333333333333</v>
      </c>
      <c r="C754" s="38" t="inlineStr">
        <is>
          <t>Dra. Carolina Mendes</t>
        </is>
      </c>
      <c r="D754" s="38" t="inlineStr">
        <is>
          <t>Sala 1</t>
        </is>
      </c>
      <c r="E754" s="37" t="inlineStr">
        <is>
          <t>Letícia Vieira</t>
        </is>
      </c>
      <c r="F754" s="38" t="inlineStr">
        <is>
          <t>Saúde Total</t>
        </is>
      </c>
      <c r="G754" s="38" t="inlineStr">
        <is>
          <t>Retorno</t>
        </is>
      </c>
      <c r="H754" s="38" t="inlineStr">
        <is>
          <t>Realizado</t>
        </is>
      </c>
      <c r="I754" s="38" t="inlineStr">
        <is>
          <t>Sem cobrança</t>
        </is>
      </c>
      <c r="J754" s="38" t="n"/>
      <c r="K754" s="37" t="n"/>
      <c r="L754" s="39" t="n">
        <v>20</v>
      </c>
      <c r="M754" s="40" t="n">
        <v>0</v>
      </c>
      <c r="N754" s="30">
        <f>IF(A754="","",MONTH(A754))</f>
        <v>8</v>
      </c>
      <c r="O754" s="30">
        <f>IF(A754="","",YEAR(A754))</f>
        <v>2026</v>
      </c>
      <c r="P754" s="30" t="str">
        <f>IF(A754="","",CHOOSE(WEEKDAY(A754,2),"Segunda","Terça","Quarta","Quinta","Sexta","Sábado","Domingo"))</f>
        <v>Segunda</v>
      </c>
      <c r="Q754" s="30" t="str">
        <f>IF(B754="","",IF(B754&lt;TIME(12,0,0),"Manhã",IF(B754&lt;TIME(18,0,0),"Tarde","Noite")))</f>
        <v>Manhã</v>
      </c>
      <c r="R754" s="46">
        <f>IF(AND(H754="Realizado",L754&lt;&gt;"",A754&lt;=Config!$B$9),L754/60,0)</f>
        <v>0.333333333333333</v>
      </c>
      <c r="S754" s="45">
        <f>IF(G754="","",IFERROR(INDEX(Config!$K$5:$K$16,MATCH(G754,Config!$J$5:$J$16,0)),""))</f>
        <v>20</v>
      </c>
      <c r="T754" s="31">
        <f>IF(OR(G754="",F754=""),"",IFERROR(INDEX(Config!$M$5:$R$16,MATCH(G754,Config!$J$5:$J$16,0),MATCH(F754,Config!$H$5:$H$10,0)),""))</f>
        <v>0</v>
      </c>
      <c r="U754" s="47">
        <f>IF(AND(H754="Realizado",L754&lt;&gt;""),L754/60,0)</f>
        <v>0.333333333333333</v>
      </c>
      <c r="V754" s="47">
        <f>IF(AND(H754="Realizado",OR(L754="",M754="")),1,0)</f>
        <v>0</v>
      </c>
    </row>
    <row r="755">
      <c r="A755" s="43" t="n">
        <v>46251</v>
      </c>
      <c r="B755" s="44" t="n">
        <v>0.3472222222222222</v>
      </c>
      <c r="C755" s="38" t="inlineStr">
        <is>
          <t>Dra. Carolina Mendes</t>
        </is>
      </c>
      <c r="D755" s="38" t="inlineStr">
        <is>
          <t>Sala 1</t>
        </is>
      </c>
      <c r="E755" s="37" t="inlineStr">
        <is>
          <t>Regina Duarte</t>
        </is>
      </c>
      <c r="F755" s="38" t="inlineStr">
        <is>
          <t>Particular</t>
        </is>
      </c>
      <c r="G755" s="38" t="inlineStr">
        <is>
          <t>Consulta</t>
        </is>
      </c>
      <c r="H755" s="38" t="inlineStr">
        <is>
          <t>Realizado</t>
        </is>
      </c>
      <c r="I755" s="38" t="inlineStr">
        <is>
          <t>Cartão de débito</t>
        </is>
      </c>
      <c r="J755" s="38" t="n"/>
      <c r="K755" s="37" t="n"/>
      <c r="L755" s="39" t="n">
        <v>30</v>
      </c>
      <c r="M755" s="40" t="n">
        <v>380</v>
      </c>
      <c r="N755" s="30">
        <f>IF(A755="","",MONTH(A755))</f>
        <v>8</v>
      </c>
      <c r="O755" s="30">
        <f>IF(A755="","",YEAR(A755))</f>
        <v>2026</v>
      </c>
      <c r="P755" s="30" t="str">
        <f>IF(A755="","",CHOOSE(WEEKDAY(A755,2),"Segunda","Terça","Quarta","Quinta","Sexta","Sábado","Domingo"))</f>
        <v>Segunda</v>
      </c>
      <c r="Q755" s="30" t="str">
        <f>IF(B755="","",IF(B755&lt;TIME(12,0,0),"Manhã",IF(B755&lt;TIME(18,0,0),"Tarde","Noite")))</f>
        <v>Manhã</v>
      </c>
      <c r="R755" s="46">
        <f>IF(AND(H755="Realizado",L755&lt;&gt;"",A755&lt;=Config!$B$9),L755/60,0)</f>
        <v>0.5</v>
      </c>
      <c r="S755" s="45">
        <f>IF(G755="","",IFERROR(INDEX(Config!$K$5:$K$16,MATCH(G755,Config!$J$5:$J$16,0)),""))</f>
        <v>30</v>
      </c>
      <c r="T755" s="31">
        <f>IF(OR(G755="",F755=""),"",IFERROR(INDEX(Config!$M$5:$R$16,MATCH(G755,Config!$J$5:$J$16,0),MATCH(F755,Config!$H$5:$H$10,0)),""))</f>
        <v>380</v>
      </c>
      <c r="U755" s="47">
        <f>IF(AND(H755="Realizado",L755&lt;&gt;""),L755/60,0)</f>
        <v>0.5</v>
      </c>
      <c r="V755" s="47">
        <f>IF(AND(H755="Realizado",OR(L755="",M755="")),1,0)</f>
        <v>0</v>
      </c>
    </row>
    <row r="756">
      <c r="A756" s="43" t="n">
        <v>46251</v>
      </c>
      <c r="B756" s="44" t="n">
        <v>0.3888888888888889</v>
      </c>
      <c r="C756" s="38" t="inlineStr">
        <is>
          <t>Dra. Carolina Mendes</t>
        </is>
      </c>
      <c r="D756" s="38" t="inlineStr">
        <is>
          <t>Sala 1</t>
        </is>
      </c>
      <c r="E756" s="37" t="inlineStr">
        <is>
          <t>Tatiana Rocha</t>
        </is>
      </c>
      <c r="F756" s="38" t="inlineStr">
        <is>
          <t>Vida Care</t>
        </is>
      </c>
      <c r="G756" s="38" t="inlineStr">
        <is>
          <t>Retorno</t>
        </is>
      </c>
      <c r="H756" s="38" t="inlineStr">
        <is>
          <t>Falta</t>
        </is>
      </c>
      <c r="I756" s="38" t="n"/>
      <c r="J756" s="38" t="n"/>
      <c r="K756" s="37" t="n"/>
      <c r="L756" s="39" t="n">
        <v>20</v>
      </c>
      <c r="M756" s="40" t="n">
        <v>0</v>
      </c>
      <c r="N756" s="30">
        <f>IF(A756="","",MONTH(A756))</f>
        <v>8</v>
      </c>
      <c r="O756" s="30">
        <f>IF(A756="","",YEAR(A756))</f>
        <v>2026</v>
      </c>
      <c r="P756" s="30" t="str">
        <f>IF(A756="","",CHOOSE(WEEKDAY(A756,2),"Segunda","Terça","Quarta","Quinta","Sexta","Sábado","Domingo"))</f>
        <v>Segunda</v>
      </c>
      <c r="Q756" s="30" t="str">
        <f>IF(B756="","",IF(B756&lt;TIME(12,0,0),"Manhã",IF(B756&lt;TIME(18,0,0),"Tarde","Noite")))</f>
        <v>Manhã</v>
      </c>
      <c r="R756" s="46">
        <f>IF(AND(H756="Realizado",L756&lt;&gt;"",A756&lt;=Config!$B$9),L756/60,0)</f>
        <v>0</v>
      </c>
      <c r="S756" s="45">
        <f>IF(G756="","",IFERROR(INDEX(Config!$K$5:$K$16,MATCH(G756,Config!$J$5:$J$16,0)),""))</f>
        <v>20</v>
      </c>
      <c r="T756" s="31">
        <f>IF(OR(G756="",F756=""),"",IFERROR(INDEX(Config!$M$5:$R$16,MATCH(G756,Config!$J$5:$J$16,0),MATCH(F756,Config!$H$5:$H$10,0)),""))</f>
        <v>0</v>
      </c>
      <c r="U756" s="47">
        <f>IF(AND(H756="Realizado",L756&lt;&gt;""),L756/60,0)</f>
        <v>0</v>
      </c>
      <c r="V756" s="47">
        <f>IF(AND(H756="Realizado",OR(L756="",M756="")),1,0)</f>
        <v>0</v>
      </c>
    </row>
    <row r="757">
      <c r="A757" s="43" t="n">
        <v>46251</v>
      </c>
      <c r="B757" s="44" t="n">
        <v>0.4236111111111111</v>
      </c>
      <c r="C757" s="38" t="inlineStr">
        <is>
          <t>Dra. Carolina Mendes</t>
        </is>
      </c>
      <c r="D757" s="38" t="inlineStr">
        <is>
          <t>Sala 1</t>
        </is>
      </c>
      <c r="E757" s="37" t="inlineStr">
        <is>
          <t>Larissa Costa</t>
        </is>
      </c>
      <c r="F757" s="38" t="inlineStr">
        <is>
          <t>Particular</t>
        </is>
      </c>
      <c r="G757" s="38" t="inlineStr">
        <is>
          <t>Retorno</t>
        </is>
      </c>
      <c r="H757" s="38" t="inlineStr">
        <is>
          <t>Realizado</t>
        </is>
      </c>
      <c r="I757" s="38" t="inlineStr">
        <is>
          <t>Sem cobrança</t>
        </is>
      </c>
      <c r="J757" s="38" t="n"/>
      <c r="K757" s="37" t="n"/>
      <c r="L757" s="39" t="n">
        <v>20</v>
      </c>
      <c r="M757" s="40" t="n">
        <v>0</v>
      </c>
      <c r="N757" s="30">
        <f>IF(A757="","",MONTH(A757))</f>
        <v>8</v>
      </c>
      <c r="O757" s="30">
        <f>IF(A757="","",YEAR(A757))</f>
        <v>2026</v>
      </c>
      <c r="P757" s="30" t="str">
        <f>IF(A757="","",CHOOSE(WEEKDAY(A757,2),"Segunda","Terça","Quarta","Quinta","Sexta","Sábado","Domingo"))</f>
        <v>Segunda</v>
      </c>
      <c r="Q757" s="30" t="str">
        <f>IF(B757="","",IF(B757&lt;TIME(12,0,0),"Manhã",IF(B757&lt;TIME(18,0,0),"Tarde","Noite")))</f>
        <v>Manhã</v>
      </c>
      <c r="R757" s="46">
        <f>IF(AND(H757="Realizado",L757&lt;&gt;"",A757&lt;=Config!$B$9),L757/60,0)</f>
        <v>0.333333333333333</v>
      </c>
      <c r="S757" s="45">
        <f>IF(G757="","",IFERROR(INDEX(Config!$K$5:$K$16,MATCH(G757,Config!$J$5:$J$16,0)),""))</f>
        <v>20</v>
      </c>
      <c r="T757" s="31">
        <f>IF(OR(G757="",F757=""),"",IFERROR(INDEX(Config!$M$5:$R$16,MATCH(G757,Config!$J$5:$J$16,0),MATCH(F757,Config!$H$5:$H$10,0)),""))</f>
        <v>0</v>
      </c>
      <c r="U757" s="47">
        <f>IF(AND(H757="Realizado",L757&lt;&gt;""),L757/60,0)</f>
        <v>0.333333333333333</v>
      </c>
      <c r="V757" s="47">
        <f>IF(AND(H757="Realizado",OR(L757="",M757="")),1,0)</f>
        <v>0</v>
      </c>
    </row>
    <row r="758">
      <c r="A758" s="43" t="n">
        <v>46251</v>
      </c>
      <c r="B758" s="44" t="n">
        <v>0.4375</v>
      </c>
      <c r="C758" s="38" t="inlineStr">
        <is>
          <t>Dra. Carolina Mendes</t>
        </is>
      </c>
      <c r="D758" s="38" t="inlineStr">
        <is>
          <t>Sala 1</t>
        </is>
      </c>
      <c r="E758" s="37" t="inlineStr">
        <is>
          <t>Camila Batista</t>
        </is>
      </c>
      <c r="F758" s="38" t="inlineStr">
        <is>
          <t>MediPlan</t>
        </is>
      </c>
      <c r="G758" s="38" t="inlineStr">
        <is>
          <t>Consulta</t>
        </is>
      </c>
      <c r="H758" s="38" t="inlineStr">
        <is>
          <t>Realizado</t>
        </is>
      </c>
      <c r="I758" s="38" t="inlineStr">
        <is>
          <t>Convênio</t>
        </is>
      </c>
      <c r="J758" s="38" t="n"/>
      <c r="K758" s="37" t="n"/>
      <c r="L758" s="39" t="n">
        <v>30</v>
      </c>
      <c r="M758" s="40" t="n">
        <v>100</v>
      </c>
      <c r="N758" s="30">
        <f>IF(A758="","",MONTH(A758))</f>
        <v>8</v>
      </c>
      <c r="O758" s="30">
        <f>IF(A758="","",YEAR(A758))</f>
        <v>2026</v>
      </c>
      <c r="P758" s="30" t="str">
        <f>IF(A758="","",CHOOSE(WEEKDAY(A758,2),"Segunda","Terça","Quarta","Quinta","Sexta","Sábado","Domingo"))</f>
        <v>Segunda</v>
      </c>
      <c r="Q758" s="30" t="str">
        <f>IF(B758="","",IF(B758&lt;TIME(12,0,0),"Manhã",IF(B758&lt;TIME(18,0,0),"Tarde","Noite")))</f>
        <v>Manhã</v>
      </c>
      <c r="R758" s="46">
        <f>IF(AND(H758="Realizado",L758&lt;&gt;"",A758&lt;=Config!$B$9),L758/60,0)</f>
        <v>0.5</v>
      </c>
      <c r="S758" s="45">
        <f>IF(G758="","",IFERROR(INDEX(Config!$K$5:$K$16,MATCH(G758,Config!$J$5:$J$16,0)),""))</f>
        <v>30</v>
      </c>
      <c r="T758" s="31">
        <f>IF(OR(G758="",F758=""),"",IFERROR(INDEX(Config!$M$5:$R$16,MATCH(G758,Config!$J$5:$J$16,0),MATCH(F758,Config!$H$5:$H$10,0)),""))</f>
        <v>100</v>
      </c>
      <c r="U758" s="47">
        <f>IF(AND(H758="Realizado",L758&lt;&gt;""),L758/60,0)</f>
        <v>0.5</v>
      </c>
      <c r="V758" s="47">
        <f>IF(AND(H758="Realizado",OR(L758="",M758="")),1,0)</f>
        <v>0</v>
      </c>
    </row>
    <row r="759">
      <c r="A759" s="43" t="n">
        <v>46251</v>
      </c>
      <c r="B759" s="44" t="n">
        <v>0.4583333333333333</v>
      </c>
      <c r="C759" s="38" t="inlineStr">
        <is>
          <t>Dra. Carolina Mendes</t>
        </is>
      </c>
      <c r="D759" s="38" t="inlineStr">
        <is>
          <t>Sala 1</t>
        </is>
      </c>
      <c r="E759" s="37" t="inlineStr">
        <is>
          <t>Elaine Cardoso</t>
        </is>
      </c>
      <c r="F759" s="38" t="inlineStr">
        <is>
          <t>Particular</t>
        </is>
      </c>
      <c r="G759" s="38" t="inlineStr">
        <is>
          <t>Consulta</t>
        </is>
      </c>
      <c r="H759" s="38" t="inlineStr">
        <is>
          <t>Realizado</t>
        </is>
      </c>
      <c r="I759" s="38" t="inlineStr">
        <is>
          <t>A prazo</t>
        </is>
      </c>
      <c r="J759" s="38" t="n"/>
      <c r="K759" s="37" t="n"/>
      <c r="L759" s="39" t="n">
        <v>30</v>
      </c>
      <c r="M759" s="40" t="n">
        <v>380</v>
      </c>
      <c r="N759" s="30">
        <f>IF(A759="","",MONTH(A759))</f>
        <v>8</v>
      </c>
      <c r="O759" s="30">
        <f>IF(A759="","",YEAR(A759))</f>
        <v>2026</v>
      </c>
      <c r="P759" s="30" t="str">
        <f>IF(A759="","",CHOOSE(WEEKDAY(A759,2),"Segunda","Terça","Quarta","Quinta","Sexta","Sábado","Domingo"))</f>
        <v>Segunda</v>
      </c>
      <c r="Q759" s="30" t="str">
        <f>IF(B759="","",IF(B759&lt;TIME(12,0,0),"Manhã",IF(B759&lt;TIME(18,0,0),"Tarde","Noite")))</f>
        <v>Manhã</v>
      </c>
      <c r="R759" s="46">
        <f>IF(AND(H759="Realizado",L759&lt;&gt;"",A759&lt;=Config!$B$9),L759/60,0)</f>
        <v>0.5</v>
      </c>
      <c r="S759" s="45">
        <f>IF(G759="","",IFERROR(INDEX(Config!$K$5:$K$16,MATCH(G759,Config!$J$5:$J$16,0)),""))</f>
        <v>30</v>
      </c>
      <c r="T759" s="31">
        <f>IF(OR(G759="",F759=""),"",IFERROR(INDEX(Config!$M$5:$R$16,MATCH(G759,Config!$J$5:$J$16,0),MATCH(F759,Config!$H$5:$H$10,0)),""))</f>
        <v>380</v>
      </c>
      <c r="U759" s="47">
        <f>IF(AND(H759="Realizado",L759&lt;&gt;""),L759/60,0)</f>
        <v>0.5</v>
      </c>
      <c r="V759" s="47">
        <f>IF(AND(H759="Realizado",OR(L759="",M759="")),1,0)</f>
        <v>0</v>
      </c>
    </row>
    <row r="760">
      <c r="A760" s="43" t="n">
        <v>46251</v>
      </c>
      <c r="B760" s="44" t="n">
        <v>0.4791666666666667</v>
      </c>
      <c r="C760" s="38" t="inlineStr">
        <is>
          <t>Dra. Carolina Mendes</t>
        </is>
      </c>
      <c r="D760" s="38" t="inlineStr">
        <is>
          <t>Sala 1</t>
        </is>
      </c>
      <c r="E760" s="37" t="inlineStr">
        <is>
          <t>Daniel Almeida</t>
        </is>
      </c>
      <c r="F760" s="38" t="inlineStr">
        <is>
          <t>Saúde Total</t>
        </is>
      </c>
      <c r="G760" s="38" t="inlineStr">
        <is>
          <t>Consulta</t>
        </is>
      </c>
      <c r="H760" s="38" t="inlineStr">
        <is>
          <t>Falta</t>
        </is>
      </c>
      <c r="I760" s="38" t="n"/>
      <c r="J760" s="38" t="n"/>
      <c r="K760" s="37" t="n"/>
      <c r="L760" s="39" t="n">
        <v>30</v>
      </c>
      <c r="M760" s="40" t="n">
        <v>120</v>
      </c>
      <c r="N760" s="30">
        <f>IF(A760="","",MONTH(A760))</f>
        <v>8</v>
      </c>
      <c r="O760" s="30">
        <f>IF(A760="","",YEAR(A760))</f>
        <v>2026</v>
      </c>
      <c r="P760" s="30" t="str">
        <f>IF(A760="","",CHOOSE(WEEKDAY(A760,2),"Segunda","Terça","Quarta","Quinta","Sexta","Sábado","Domingo"))</f>
        <v>Segunda</v>
      </c>
      <c r="Q760" s="30" t="str">
        <f>IF(B760="","",IF(B760&lt;TIME(12,0,0),"Manhã",IF(B760&lt;TIME(18,0,0),"Tarde","Noite")))</f>
        <v>Manhã</v>
      </c>
      <c r="R760" s="46">
        <f>IF(AND(H760="Realizado",L760&lt;&gt;"",A760&lt;=Config!$B$9),L760/60,0)</f>
        <v>0</v>
      </c>
      <c r="S760" s="45">
        <f>IF(G760="","",IFERROR(INDEX(Config!$K$5:$K$16,MATCH(G760,Config!$J$5:$J$16,0)),""))</f>
        <v>30</v>
      </c>
      <c r="T760" s="31">
        <f>IF(OR(G760="",F760=""),"",IFERROR(INDEX(Config!$M$5:$R$16,MATCH(G760,Config!$J$5:$J$16,0),MATCH(F760,Config!$H$5:$H$10,0)),""))</f>
        <v>120</v>
      </c>
      <c r="U760" s="47">
        <f>IF(AND(H760="Realizado",L760&lt;&gt;""),L760/60,0)</f>
        <v>0</v>
      </c>
      <c r="V760" s="47">
        <f>IF(AND(H760="Realizado",OR(L760="",M760="")),1,0)</f>
        <v>0</v>
      </c>
    </row>
    <row r="761">
      <c r="A761" s="43" t="n">
        <v>46251</v>
      </c>
      <c r="B761" s="44" t="n">
        <v>0.5833333333333334</v>
      </c>
      <c r="C761" s="38" t="inlineStr">
        <is>
          <t>Dr. Paulo Andrade</t>
        </is>
      </c>
      <c r="D761" s="38" t="inlineStr">
        <is>
          <t>Sala 2</t>
        </is>
      </c>
      <c r="E761" s="37" t="inlineStr">
        <is>
          <t>Rafael Correia</t>
        </is>
      </c>
      <c r="F761" s="38" t="inlineStr">
        <is>
          <t>Particular</t>
        </is>
      </c>
      <c r="G761" s="38" t="inlineStr">
        <is>
          <t>Consulta</t>
        </is>
      </c>
      <c r="H761" s="38" t="inlineStr">
        <is>
          <t>Realizado</t>
        </is>
      </c>
      <c r="I761" s="38" t="inlineStr">
        <is>
          <t>Dinheiro</t>
        </is>
      </c>
      <c r="J761" s="38" t="n"/>
      <c r="K761" s="37" t="n"/>
      <c r="L761" s="39" t="n">
        <v>30</v>
      </c>
      <c r="M761" s="40" t="n">
        <v>380</v>
      </c>
      <c r="N761" s="30">
        <f>IF(A761="","",MONTH(A761))</f>
        <v>8</v>
      </c>
      <c r="O761" s="30">
        <f>IF(A761="","",YEAR(A761))</f>
        <v>2026</v>
      </c>
      <c r="P761" s="30" t="str">
        <f>IF(A761="","",CHOOSE(WEEKDAY(A761,2),"Segunda","Terça","Quarta","Quinta","Sexta","Sábado","Domingo"))</f>
        <v>Segunda</v>
      </c>
      <c r="Q761" s="30" t="str">
        <f>IF(B761="","",IF(B761&lt;TIME(12,0,0),"Manhã",IF(B761&lt;TIME(18,0,0),"Tarde","Noite")))</f>
        <v>Tarde</v>
      </c>
      <c r="R761" s="46">
        <f>IF(AND(H761="Realizado",L761&lt;&gt;"",A761&lt;=Config!$B$9),L761/60,0)</f>
        <v>0.5</v>
      </c>
      <c r="S761" s="45">
        <f>IF(G761="","",IFERROR(INDEX(Config!$K$5:$K$16,MATCH(G761,Config!$J$5:$J$16,0)),""))</f>
        <v>30</v>
      </c>
      <c r="T761" s="31">
        <f>IF(OR(G761="",F761=""),"",IFERROR(INDEX(Config!$M$5:$R$16,MATCH(G761,Config!$J$5:$J$16,0),MATCH(F761,Config!$H$5:$H$10,0)),""))</f>
        <v>380</v>
      </c>
      <c r="U761" s="47">
        <f>IF(AND(H761="Realizado",L761&lt;&gt;""),L761/60,0)</f>
        <v>0.5</v>
      </c>
      <c r="V761" s="47">
        <f>IF(AND(H761="Realizado",OR(L761="",M761="")),1,0)</f>
        <v>0</v>
      </c>
    </row>
    <row r="762">
      <c r="A762" s="43" t="n">
        <v>46251</v>
      </c>
      <c r="B762" s="44" t="n">
        <v>0.6458333333333334</v>
      </c>
      <c r="C762" s="38" t="inlineStr">
        <is>
          <t>Dr. Paulo Andrade</t>
        </is>
      </c>
      <c r="D762" s="38" t="inlineStr">
        <is>
          <t>Sala 2</t>
        </is>
      </c>
      <c r="E762" s="37" t="inlineStr">
        <is>
          <t>Helena Moreira</t>
        </is>
      </c>
      <c r="F762" s="38" t="inlineStr">
        <is>
          <t>Particular</t>
        </is>
      </c>
      <c r="G762" s="38" t="inlineStr">
        <is>
          <t>MAPA</t>
        </is>
      </c>
      <c r="H762" s="38" t="inlineStr">
        <is>
          <t>Realizado</t>
        </is>
      </c>
      <c r="I762" s="38" t="inlineStr">
        <is>
          <t>Cartão de crédito</t>
        </is>
      </c>
      <c r="J762" s="38" t="n">
        <v>2</v>
      </c>
      <c r="K762" s="37" t="n"/>
      <c r="L762" s="39" t="n">
        <v>20</v>
      </c>
      <c r="M762" s="40" t="n">
        <v>300</v>
      </c>
      <c r="N762" s="30">
        <f>IF(A762="","",MONTH(A762))</f>
        <v>8</v>
      </c>
      <c r="O762" s="30">
        <f>IF(A762="","",YEAR(A762))</f>
        <v>2026</v>
      </c>
      <c r="P762" s="30" t="str">
        <f>IF(A762="","",CHOOSE(WEEKDAY(A762,2),"Segunda","Terça","Quarta","Quinta","Sexta","Sábado","Domingo"))</f>
        <v>Segunda</v>
      </c>
      <c r="Q762" s="30" t="str">
        <f>IF(B762="","",IF(B762&lt;TIME(12,0,0),"Manhã",IF(B762&lt;TIME(18,0,0),"Tarde","Noite")))</f>
        <v>Tarde</v>
      </c>
      <c r="R762" s="46">
        <f>IF(AND(H762="Realizado",L762&lt;&gt;"",A762&lt;=Config!$B$9),L762/60,0)</f>
        <v>0.333333333333333</v>
      </c>
      <c r="S762" s="45">
        <f>IF(G762="","",IFERROR(INDEX(Config!$K$5:$K$16,MATCH(G762,Config!$J$5:$J$16,0)),""))</f>
        <v>20</v>
      </c>
      <c r="T762" s="31">
        <f>IF(OR(G762="",F762=""),"",IFERROR(INDEX(Config!$M$5:$R$16,MATCH(G762,Config!$J$5:$J$16,0),MATCH(F762,Config!$H$5:$H$10,0)),""))</f>
        <v>300</v>
      </c>
      <c r="U762" s="47">
        <f>IF(AND(H762="Realizado",L762&lt;&gt;""),L762/60,0)</f>
        <v>0.333333333333333</v>
      </c>
      <c r="V762" s="47">
        <f>IF(AND(H762="Realizado",OR(L762="",M762="")),1,0)</f>
        <v>0</v>
      </c>
    </row>
    <row r="763">
      <c r="A763" s="43" t="n">
        <v>46251</v>
      </c>
      <c r="B763" s="44" t="n">
        <v>0.6597222222222222</v>
      </c>
      <c r="C763" s="38" t="inlineStr">
        <is>
          <t>Dr. Paulo Andrade</t>
        </is>
      </c>
      <c r="D763" s="38" t="inlineStr">
        <is>
          <t>Sala 2</t>
        </is>
      </c>
      <c r="E763" s="37" t="inlineStr">
        <is>
          <t>Paulo Nascimento</t>
        </is>
      </c>
      <c r="F763" s="38" t="inlineStr">
        <is>
          <t>MediPlan</t>
        </is>
      </c>
      <c r="G763" s="38" t="inlineStr">
        <is>
          <t>Consulta</t>
        </is>
      </c>
      <c r="H763" s="38" t="inlineStr">
        <is>
          <t>Realizado</t>
        </is>
      </c>
      <c r="I763" s="38" t="inlineStr">
        <is>
          <t>Convênio</t>
        </is>
      </c>
      <c r="J763" s="38" t="n"/>
      <c r="K763" s="37" t="n"/>
      <c r="L763" s="39" t="n">
        <v>30</v>
      </c>
      <c r="M763" s="40" t="n">
        <v>100</v>
      </c>
      <c r="N763" s="30">
        <f>IF(A763="","",MONTH(A763))</f>
        <v>8</v>
      </c>
      <c r="O763" s="30">
        <f>IF(A763="","",YEAR(A763))</f>
        <v>2026</v>
      </c>
      <c r="P763" s="30" t="str">
        <f>IF(A763="","",CHOOSE(WEEKDAY(A763,2),"Segunda","Terça","Quarta","Quinta","Sexta","Sábado","Domingo"))</f>
        <v>Segunda</v>
      </c>
      <c r="Q763" s="30" t="str">
        <f>IF(B763="","",IF(B763&lt;TIME(12,0,0),"Manhã",IF(B763&lt;TIME(18,0,0),"Tarde","Noite")))</f>
        <v>Tarde</v>
      </c>
      <c r="R763" s="46">
        <f>IF(AND(H763="Realizado",L763&lt;&gt;"",A763&lt;=Config!$B$9),L763/60,0)</f>
        <v>0.5</v>
      </c>
      <c r="S763" s="45">
        <f>IF(G763="","",IFERROR(INDEX(Config!$K$5:$K$16,MATCH(G763,Config!$J$5:$J$16,0)),""))</f>
        <v>30</v>
      </c>
      <c r="T763" s="31">
        <f>IF(OR(G763="",F763=""),"",IFERROR(INDEX(Config!$M$5:$R$16,MATCH(G763,Config!$J$5:$J$16,0),MATCH(F763,Config!$H$5:$H$10,0)),""))</f>
        <v>100</v>
      </c>
      <c r="U763" s="47">
        <f>IF(AND(H763="Realizado",L763&lt;&gt;""),L763/60,0)</f>
        <v>0.5</v>
      </c>
      <c r="V763" s="47">
        <f>IF(AND(H763="Realizado",OR(L763="",M763="")),1,0)</f>
        <v>0</v>
      </c>
    </row>
    <row r="764">
      <c r="A764" s="43" t="n">
        <v>46251</v>
      </c>
      <c r="B764" s="44" t="n">
        <v>0.6805555555555556</v>
      </c>
      <c r="C764" s="38" t="inlineStr">
        <is>
          <t>Dr. Paulo Andrade</t>
        </is>
      </c>
      <c r="D764" s="38" t="inlineStr">
        <is>
          <t>Sala 2</t>
        </is>
      </c>
      <c r="E764" s="37" t="inlineStr">
        <is>
          <t>Marcelo Ferreira</t>
        </is>
      </c>
      <c r="F764" s="38" t="inlineStr">
        <is>
          <t>Particular</t>
        </is>
      </c>
      <c r="G764" s="38" t="inlineStr">
        <is>
          <t>Consulta</t>
        </is>
      </c>
      <c r="H764" s="38" t="inlineStr">
        <is>
          <t>Realizado</t>
        </is>
      </c>
      <c r="I764" s="38" t="inlineStr">
        <is>
          <t>Pix</t>
        </is>
      </c>
      <c r="J764" s="38" t="n"/>
      <c r="K764" s="37" t="n"/>
      <c r="L764" s="39" t="n">
        <v>30</v>
      </c>
      <c r="M764" s="40" t="n">
        <v>380</v>
      </c>
      <c r="N764" s="30">
        <f>IF(A764="","",MONTH(A764))</f>
        <v>8</v>
      </c>
      <c r="O764" s="30">
        <f>IF(A764="","",YEAR(A764))</f>
        <v>2026</v>
      </c>
      <c r="P764" s="30" t="str">
        <f>IF(A764="","",CHOOSE(WEEKDAY(A764,2),"Segunda","Terça","Quarta","Quinta","Sexta","Sábado","Domingo"))</f>
        <v>Segunda</v>
      </c>
      <c r="Q764" s="30" t="str">
        <f>IF(B764="","",IF(B764&lt;TIME(12,0,0),"Manhã",IF(B764&lt;TIME(18,0,0),"Tarde","Noite")))</f>
        <v>Tarde</v>
      </c>
      <c r="R764" s="46">
        <f>IF(AND(H764="Realizado",L764&lt;&gt;"",A764&lt;=Config!$B$9),L764/60,0)</f>
        <v>0.5</v>
      </c>
      <c r="S764" s="45">
        <f>IF(G764="","",IFERROR(INDEX(Config!$K$5:$K$16,MATCH(G764,Config!$J$5:$J$16,0)),""))</f>
        <v>30</v>
      </c>
      <c r="T764" s="31">
        <f>IF(OR(G764="",F764=""),"",IFERROR(INDEX(Config!$M$5:$R$16,MATCH(G764,Config!$J$5:$J$16,0),MATCH(F764,Config!$H$5:$H$10,0)),""))</f>
        <v>380</v>
      </c>
      <c r="U764" s="47">
        <f>IF(AND(H764="Realizado",L764&lt;&gt;""),L764/60,0)</f>
        <v>0.5</v>
      </c>
      <c r="V764" s="47">
        <f>IF(AND(H764="Realizado",OR(L764="",M764="")),1,0)</f>
        <v>0</v>
      </c>
    </row>
    <row r="765">
      <c r="A765" s="43" t="n">
        <v>46251</v>
      </c>
      <c r="B765" s="44" t="n">
        <v>0.7013888888888888</v>
      </c>
      <c r="C765" s="38" t="inlineStr">
        <is>
          <t>Dr. Paulo Andrade</t>
        </is>
      </c>
      <c r="D765" s="38" t="inlineStr">
        <is>
          <t>Sala 2</t>
        </is>
      </c>
      <c r="E765" s="37" t="inlineStr">
        <is>
          <t>Fábio Machado</t>
        </is>
      </c>
      <c r="F765" s="38" t="inlineStr">
        <is>
          <t>Particular</t>
        </is>
      </c>
      <c r="G765" s="38" t="inlineStr">
        <is>
          <t>Retorno</t>
        </is>
      </c>
      <c r="H765" s="38" t="inlineStr">
        <is>
          <t>Realizado</t>
        </is>
      </c>
      <c r="I765" s="38" t="inlineStr">
        <is>
          <t>Sem cobrança</t>
        </is>
      </c>
      <c r="J765" s="38" t="n"/>
      <c r="K765" s="37" t="n"/>
      <c r="L765" s="39" t="n">
        <v>20</v>
      </c>
      <c r="M765" s="40" t="n">
        <v>0</v>
      </c>
      <c r="N765" s="30">
        <f>IF(A765="","",MONTH(A765))</f>
        <v>8</v>
      </c>
      <c r="O765" s="30">
        <f>IF(A765="","",YEAR(A765))</f>
        <v>2026</v>
      </c>
      <c r="P765" s="30" t="str">
        <f>IF(A765="","",CHOOSE(WEEKDAY(A765,2),"Segunda","Terça","Quarta","Quinta","Sexta","Sábado","Domingo"))</f>
        <v>Segunda</v>
      </c>
      <c r="Q765" s="30" t="str">
        <f>IF(B765="","",IF(B765&lt;TIME(12,0,0),"Manhã",IF(B765&lt;TIME(18,0,0),"Tarde","Noite")))</f>
        <v>Tarde</v>
      </c>
      <c r="R765" s="46">
        <f>IF(AND(H765="Realizado",L765&lt;&gt;"",A765&lt;=Config!$B$9),L765/60,0)</f>
        <v>0.333333333333333</v>
      </c>
      <c r="S765" s="45">
        <f>IF(G765="","",IFERROR(INDEX(Config!$K$5:$K$16,MATCH(G765,Config!$J$5:$J$16,0)),""))</f>
        <v>20</v>
      </c>
      <c r="T765" s="31">
        <f>IF(OR(G765="",F765=""),"",IFERROR(INDEX(Config!$M$5:$R$16,MATCH(G765,Config!$J$5:$J$16,0),MATCH(F765,Config!$H$5:$H$10,0)),""))</f>
        <v>0</v>
      </c>
      <c r="U765" s="47">
        <f>IF(AND(H765="Realizado",L765&lt;&gt;""),L765/60,0)</f>
        <v>0.333333333333333</v>
      </c>
      <c r="V765" s="47">
        <f>IF(AND(H765="Realizado",OR(L765="",M765="")),1,0)</f>
        <v>0</v>
      </c>
    </row>
    <row r="766">
      <c r="A766" s="43" t="n">
        <v>46251</v>
      </c>
      <c r="B766" s="44" t="n">
        <v>0.7152777777777778</v>
      </c>
      <c r="C766" s="38" t="inlineStr">
        <is>
          <t>Dr. Paulo Andrade</t>
        </is>
      </c>
      <c r="D766" s="38" t="inlineStr">
        <is>
          <t>Sala 2</t>
        </is>
      </c>
      <c r="E766" s="37" t="inlineStr">
        <is>
          <t>Viviane Duarte</t>
        </is>
      </c>
      <c r="F766" s="38" t="inlineStr">
        <is>
          <t>MediPlan</t>
        </is>
      </c>
      <c r="G766" s="38" t="inlineStr">
        <is>
          <t>Retorno</t>
        </is>
      </c>
      <c r="H766" s="38" t="inlineStr">
        <is>
          <t>Realizado</t>
        </is>
      </c>
      <c r="I766" s="38" t="inlineStr">
        <is>
          <t>Sem cobrança</t>
        </is>
      </c>
      <c r="J766" s="38" t="n"/>
      <c r="K766" s="37" t="n"/>
      <c r="L766" s="39" t="n">
        <v>20</v>
      </c>
      <c r="M766" s="40" t="n">
        <v>0</v>
      </c>
      <c r="N766" s="30">
        <f>IF(A766="","",MONTH(A766))</f>
        <v>8</v>
      </c>
      <c r="O766" s="30">
        <f>IF(A766="","",YEAR(A766))</f>
        <v>2026</v>
      </c>
      <c r="P766" s="30" t="str">
        <f>IF(A766="","",CHOOSE(WEEKDAY(A766,2),"Segunda","Terça","Quarta","Quinta","Sexta","Sábado","Domingo"))</f>
        <v>Segunda</v>
      </c>
      <c r="Q766" s="30" t="str">
        <f>IF(B766="","",IF(B766&lt;TIME(12,0,0),"Manhã",IF(B766&lt;TIME(18,0,0),"Tarde","Noite")))</f>
        <v>Tarde</v>
      </c>
      <c r="R766" s="46">
        <f>IF(AND(H766="Realizado",L766&lt;&gt;"",A766&lt;=Config!$B$9),L766/60,0)</f>
        <v>0.333333333333333</v>
      </c>
      <c r="S766" s="45">
        <f>IF(G766="","",IFERROR(INDEX(Config!$K$5:$K$16,MATCH(G766,Config!$J$5:$J$16,0)),""))</f>
        <v>20</v>
      </c>
      <c r="T766" s="31">
        <f>IF(OR(G766="",F766=""),"",IFERROR(INDEX(Config!$M$5:$R$16,MATCH(G766,Config!$J$5:$J$16,0),MATCH(F766,Config!$H$5:$H$10,0)),""))</f>
        <v>0</v>
      </c>
      <c r="U766" s="47">
        <f>IF(AND(H766="Realizado",L766&lt;&gt;""),L766/60,0)</f>
        <v>0.333333333333333</v>
      </c>
      <c r="V766" s="47">
        <f>IF(AND(H766="Realizado",OR(L766="",M766="")),1,0)</f>
        <v>0</v>
      </c>
    </row>
    <row r="767">
      <c r="A767" s="43" t="n">
        <v>46251</v>
      </c>
      <c r="B767" s="44" t="n">
        <v>0.7291666666666666</v>
      </c>
      <c r="C767" s="38" t="inlineStr">
        <is>
          <t>Dr. Paulo Andrade</t>
        </is>
      </c>
      <c r="D767" s="38" t="inlineStr">
        <is>
          <t>Sala 2</t>
        </is>
      </c>
      <c r="E767" s="37" t="inlineStr">
        <is>
          <t>Lucas Cardoso</t>
        </is>
      </c>
      <c r="F767" s="38" t="inlineStr">
        <is>
          <t>Particular</t>
        </is>
      </c>
      <c r="G767" s="38" t="inlineStr">
        <is>
          <t>Consulta</t>
        </is>
      </c>
      <c r="H767" s="38" t="inlineStr">
        <is>
          <t>Falta</t>
        </is>
      </c>
      <c r="I767" s="38" t="n"/>
      <c r="J767" s="38" t="n"/>
      <c r="K767" s="37" t="n"/>
      <c r="L767" s="39" t="n">
        <v>30</v>
      </c>
      <c r="M767" s="40" t="n">
        <v>380</v>
      </c>
      <c r="N767" s="30">
        <f>IF(A767="","",MONTH(A767))</f>
        <v>8</v>
      </c>
      <c r="O767" s="30">
        <f>IF(A767="","",YEAR(A767))</f>
        <v>2026</v>
      </c>
      <c r="P767" s="30" t="str">
        <f>IF(A767="","",CHOOSE(WEEKDAY(A767,2),"Segunda","Terça","Quarta","Quinta","Sexta","Sábado","Domingo"))</f>
        <v>Segunda</v>
      </c>
      <c r="Q767" s="30" t="str">
        <f>IF(B767="","",IF(B767&lt;TIME(12,0,0),"Manhã",IF(B767&lt;TIME(18,0,0),"Tarde","Noite")))</f>
        <v>Tarde</v>
      </c>
      <c r="R767" s="46">
        <f>IF(AND(H767="Realizado",L767&lt;&gt;"",A767&lt;=Config!$B$9),L767/60,0)</f>
        <v>0</v>
      </c>
      <c r="S767" s="45">
        <f>IF(G767="","",IFERROR(INDEX(Config!$K$5:$K$16,MATCH(G767,Config!$J$5:$J$16,0)),""))</f>
        <v>30</v>
      </c>
      <c r="T767" s="31">
        <f>IF(OR(G767="",F767=""),"",IFERROR(INDEX(Config!$M$5:$R$16,MATCH(G767,Config!$J$5:$J$16,0),MATCH(F767,Config!$H$5:$H$10,0)),""))</f>
        <v>380</v>
      </c>
      <c r="U767" s="47">
        <f>IF(AND(H767="Realizado",L767&lt;&gt;""),L767/60,0)</f>
        <v>0</v>
      </c>
      <c r="V767" s="47">
        <f>IF(AND(H767="Realizado",OR(L767="",M767="")),1,0)</f>
        <v>0</v>
      </c>
    </row>
    <row r="768">
      <c r="A768" s="43" t="n">
        <v>46252</v>
      </c>
      <c r="B768" s="44" t="n">
        <v>0.3541666666666667</v>
      </c>
      <c r="C768" s="38" t="inlineStr">
        <is>
          <t>Dra. Carolina Mendes</t>
        </is>
      </c>
      <c r="D768" s="38" t="inlineStr">
        <is>
          <t>Sala 1</t>
        </is>
      </c>
      <c r="E768" s="37" t="inlineStr">
        <is>
          <t>Helena Moreira</t>
        </is>
      </c>
      <c r="F768" s="38" t="inlineStr">
        <is>
          <t>Particular</t>
        </is>
      </c>
      <c r="G768" s="38" t="inlineStr">
        <is>
          <t>Retorno</t>
        </is>
      </c>
      <c r="H768" s="38" t="inlineStr">
        <is>
          <t>Realizado</t>
        </is>
      </c>
      <c r="I768" s="38" t="inlineStr">
        <is>
          <t>Sem cobrança</t>
        </is>
      </c>
      <c r="J768" s="38" t="n"/>
      <c r="K768" s="37" t="n"/>
      <c r="L768" s="39" t="n">
        <v>20</v>
      </c>
      <c r="M768" s="40" t="n">
        <v>0</v>
      </c>
      <c r="N768" s="30">
        <f>IF(A768="","",MONTH(A768))</f>
        <v>8</v>
      </c>
      <c r="O768" s="30">
        <f>IF(A768="","",YEAR(A768))</f>
        <v>2026</v>
      </c>
      <c r="P768" s="30" t="str">
        <f>IF(A768="","",CHOOSE(WEEKDAY(A768,2),"Segunda","Terça","Quarta","Quinta","Sexta","Sábado","Domingo"))</f>
        <v>Terça</v>
      </c>
      <c r="Q768" s="30" t="str">
        <f>IF(B768="","",IF(B768&lt;TIME(12,0,0),"Manhã",IF(B768&lt;TIME(18,0,0),"Tarde","Noite")))</f>
        <v>Manhã</v>
      </c>
      <c r="R768" s="46">
        <f>IF(AND(H768="Realizado",L768&lt;&gt;"",A768&lt;=Config!$B$9),L768/60,0)</f>
        <v>0.333333333333333</v>
      </c>
      <c r="S768" s="45">
        <f>IF(G768="","",IFERROR(INDEX(Config!$K$5:$K$16,MATCH(G768,Config!$J$5:$J$16,0)),""))</f>
        <v>20</v>
      </c>
      <c r="T768" s="31">
        <f>IF(OR(G768="",F768=""),"",IFERROR(INDEX(Config!$M$5:$R$16,MATCH(G768,Config!$J$5:$J$16,0),MATCH(F768,Config!$H$5:$H$10,0)),""))</f>
        <v>0</v>
      </c>
      <c r="U768" s="47">
        <f>IF(AND(H768="Realizado",L768&lt;&gt;""),L768/60,0)</f>
        <v>0.333333333333333</v>
      </c>
      <c r="V768" s="47">
        <f>IF(AND(H768="Realizado",OR(L768="",M768="")),1,0)</f>
        <v>0</v>
      </c>
    </row>
    <row r="769">
      <c r="A769" s="43" t="n">
        <v>46252</v>
      </c>
      <c r="B769" s="44" t="n">
        <v>0.3680555555555556</v>
      </c>
      <c r="C769" s="38" t="inlineStr">
        <is>
          <t>Dra. Carolina Mendes</t>
        </is>
      </c>
      <c r="D769" s="38" t="inlineStr">
        <is>
          <t>Sala 1</t>
        </is>
      </c>
      <c r="E769" s="37" t="inlineStr">
        <is>
          <t>Rodrigo Teixeira</t>
        </is>
      </c>
      <c r="F769" s="38" t="inlineStr">
        <is>
          <t>Vida Care</t>
        </is>
      </c>
      <c r="G769" s="38" t="inlineStr">
        <is>
          <t>Consulta</t>
        </is>
      </c>
      <c r="H769" s="38" t="inlineStr">
        <is>
          <t>Realizado</t>
        </is>
      </c>
      <c r="I769" s="38" t="inlineStr">
        <is>
          <t>Convênio</t>
        </is>
      </c>
      <c r="J769" s="38" t="n"/>
      <c r="K769" s="37" t="n"/>
      <c r="L769" s="39" t="n">
        <v>30</v>
      </c>
      <c r="M769" s="40" t="n">
        <v>90</v>
      </c>
      <c r="N769" s="30">
        <f>IF(A769="","",MONTH(A769))</f>
        <v>8</v>
      </c>
      <c r="O769" s="30">
        <f>IF(A769="","",YEAR(A769))</f>
        <v>2026</v>
      </c>
      <c r="P769" s="30" t="str">
        <f>IF(A769="","",CHOOSE(WEEKDAY(A769,2),"Segunda","Terça","Quarta","Quinta","Sexta","Sábado","Domingo"))</f>
        <v>Terça</v>
      </c>
      <c r="Q769" s="30" t="str">
        <f>IF(B769="","",IF(B769&lt;TIME(12,0,0),"Manhã",IF(B769&lt;TIME(18,0,0),"Tarde","Noite")))</f>
        <v>Manhã</v>
      </c>
      <c r="R769" s="46">
        <f>IF(AND(H769="Realizado",L769&lt;&gt;"",A769&lt;=Config!$B$9),L769/60,0)</f>
        <v>0.5</v>
      </c>
      <c r="S769" s="45">
        <f>IF(G769="","",IFERROR(INDEX(Config!$K$5:$K$16,MATCH(G769,Config!$J$5:$J$16,0)),""))</f>
        <v>30</v>
      </c>
      <c r="T769" s="31">
        <f>IF(OR(G769="",F769=""),"",IFERROR(INDEX(Config!$M$5:$R$16,MATCH(G769,Config!$J$5:$J$16,0),MATCH(F769,Config!$H$5:$H$10,0)),""))</f>
        <v>90</v>
      </c>
      <c r="U769" s="47">
        <f>IF(AND(H769="Realizado",L769&lt;&gt;""),L769/60,0)</f>
        <v>0.5</v>
      </c>
      <c r="V769" s="47">
        <f>IF(AND(H769="Realizado",OR(L769="",M769="")),1,0)</f>
        <v>0</v>
      </c>
    </row>
    <row r="770">
      <c r="A770" s="43" t="n">
        <v>46252</v>
      </c>
      <c r="B770" s="44" t="n">
        <v>0.3888888888888889</v>
      </c>
      <c r="C770" s="38" t="inlineStr">
        <is>
          <t>Dra. Carolina Mendes</t>
        </is>
      </c>
      <c r="D770" s="38" t="inlineStr">
        <is>
          <t>Sala 1</t>
        </is>
      </c>
      <c r="E770" s="37" t="inlineStr">
        <is>
          <t>Sérgio Martins</t>
        </is>
      </c>
      <c r="F770" s="38" t="inlineStr">
        <is>
          <t>Particular</t>
        </is>
      </c>
      <c r="G770" s="38" t="inlineStr">
        <is>
          <t>Consulta</t>
        </is>
      </c>
      <c r="H770" s="38" t="inlineStr">
        <is>
          <t>Realizado</t>
        </is>
      </c>
      <c r="I770" s="38" t="inlineStr">
        <is>
          <t>Cartão de débito</t>
        </is>
      </c>
      <c r="J770" s="38" t="n"/>
      <c r="K770" s="37" t="n"/>
      <c r="L770" s="39" t="n">
        <v>30</v>
      </c>
      <c r="M770" s="40" t="n">
        <v>380</v>
      </c>
      <c r="N770" s="30">
        <f>IF(A770="","",MONTH(A770))</f>
        <v>8</v>
      </c>
      <c r="O770" s="30">
        <f>IF(A770="","",YEAR(A770))</f>
        <v>2026</v>
      </c>
      <c r="P770" s="30" t="str">
        <f>IF(A770="","",CHOOSE(WEEKDAY(A770,2),"Segunda","Terça","Quarta","Quinta","Sexta","Sábado","Domingo"))</f>
        <v>Terça</v>
      </c>
      <c r="Q770" s="30" t="str">
        <f>IF(B770="","",IF(B770&lt;TIME(12,0,0),"Manhã",IF(B770&lt;TIME(18,0,0),"Tarde","Noite")))</f>
        <v>Manhã</v>
      </c>
      <c r="R770" s="46">
        <f>IF(AND(H770="Realizado",L770&lt;&gt;"",A770&lt;=Config!$B$9),L770/60,0)</f>
        <v>0.5</v>
      </c>
      <c r="S770" s="45">
        <f>IF(G770="","",IFERROR(INDEX(Config!$K$5:$K$16,MATCH(G770,Config!$J$5:$J$16,0)),""))</f>
        <v>30</v>
      </c>
      <c r="T770" s="31">
        <f>IF(OR(G770="",F770=""),"",IFERROR(INDEX(Config!$M$5:$R$16,MATCH(G770,Config!$J$5:$J$16,0),MATCH(F770,Config!$H$5:$H$10,0)),""))</f>
        <v>380</v>
      </c>
      <c r="U770" s="47">
        <f>IF(AND(H770="Realizado",L770&lt;&gt;""),L770/60,0)</f>
        <v>0.5</v>
      </c>
      <c r="V770" s="47">
        <f>IF(AND(H770="Realizado",OR(L770="",M770="")),1,0)</f>
        <v>0</v>
      </c>
    </row>
    <row r="771">
      <c r="A771" s="43" t="n">
        <v>46252</v>
      </c>
      <c r="B771" s="44" t="n">
        <v>0.4097222222222222</v>
      </c>
      <c r="C771" s="38" t="inlineStr">
        <is>
          <t>Dra. Carolina Mendes</t>
        </is>
      </c>
      <c r="D771" s="38" t="inlineStr">
        <is>
          <t>Sala 1</t>
        </is>
      </c>
      <c r="E771" s="37" t="inlineStr">
        <is>
          <t>Carlos Barros</t>
        </is>
      </c>
      <c r="F771" s="38" t="inlineStr">
        <is>
          <t>MediPlan</t>
        </is>
      </c>
      <c r="G771" s="38" t="inlineStr">
        <is>
          <t>Consulta</t>
        </is>
      </c>
      <c r="H771" s="38" t="inlineStr">
        <is>
          <t>Realizado</t>
        </is>
      </c>
      <c r="I771" s="38" t="inlineStr">
        <is>
          <t>Convênio</t>
        </is>
      </c>
      <c r="J771" s="38" t="n"/>
      <c r="K771" s="37" t="n"/>
      <c r="L771" s="39" t="n">
        <v>30</v>
      </c>
      <c r="M771" s="40" t="n">
        <v>100</v>
      </c>
      <c r="N771" s="30">
        <f>IF(A771="","",MONTH(A771))</f>
        <v>8</v>
      </c>
      <c r="O771" s="30">
        <f>IF(A771="","",YEAR(A771))</f>
        <v>2026</v>
      </c>
      <c r="P771" s="30" t="str">
        <f>IF(A771="","",CHOOSE(WEEKDAY(A771,2),"Segunda","Terça","Quarta","Quinta","Sexta","Sábado","Domingo"))</f>
        <v>Terça</v>
      </c>
      <c r="Q771" s="30" t="str">
        <f>IF(B771="","",IF(B771&lt;TIME(12,0,0),"Manhã",IF(B771&lt;TIME(18,0,0),"Tarde","Noite")))</f>
        <v>Manhã</v>
      </c>
      <c r="R771" s="46">
        <f>IF(AND(H771="Realizado",L771&lt;&gt;"",A771&lt;=Config!$B$9),L771/60,0)</f>
        <v>0.5</v>
      </c>
      <c r="S771" s="45">
        <f>IF(G771="","",IFERROR(INDEX(Config!$K$5:$K$16,MATCH(G771,Config!$J$5:$J$16,0)),""))</f>
        <v>30</v>
      </c>
      <c r="T771" s="31">
        <f>IF(OR(G771="",F771=""),"",IFERROR(INDEX(Config!$M$5:$R$16,MATCH(G771,Config!$J$5:$J$16,0),MATCH(F771,Config!$H$5:$H$10,0)),""))</f>
        <v>100</v>
      </c>
      <c r="U771" s="47">
        <f>IF(AND(H771="Realizado",L771&lt;&gt;""),L771/60,0)</f>
        <v>0.5</v>
      </c>
      <c r="V771" s="47">
        <f>IF(AND(H771="Realizado",OR(L771="",M771="")),1,0)</f>
        <v>0</v>
      </c>
    </row>
    <row r="772">
      <c r="A772" s="43" t="n">
        <v>46252</v>
      </c>
      <c r="B772" s="44" t="n">
        <v>0.4305555555555556</v>
      </c>
      <c r="C772" s="38" t="inlineStr">
        <is>
          <t>Dra. Carolina Mendes</t>
        </is>
      </c>
      <c r="D772" s="38" t="inlineStr">
        <is>
          <t>Sala 1</t>
        </is>
      </c>
      <c r="E772" s="37" t="inlineStr">
        <is>
          <t>Priscila Carvalho</t>
        </is>
      </c>
      <c r="F772" s="38" t="inlineStr">
        <is>
          <t>Vida Care</t>
        </is>
      </c>
      <c r="G772" s="38" t="inlineStr">
        <is>
          <t>Consulta</t>
        </is>
      </c>
      <c r="H772" s="38" t="inlineStr">
        <is>
          <t>Realizado</t>
        </is>
      </c>
      <c r="I772" s="38" t="inlineStr">
        <is>
          <t>Convênio</t>
        </is>
      </c>
      <c r="J772" s="38" t="n"/>
      <c r="K772" s="37" t="n"/>
      <c r="L772" s="39" t="n">
        <v>30</v>
      </c>
      <c r="M772" s="40" t="n">
        <v>90</v>
      </c>
      <c r="N772" s="30">
        <f>IF(A772="","",MONTH(A772))</f>
        <v>8</v>
      </c>
      <c r="O772" s="30">
        <f>IF(A772="","",YEAR(A772))</f>
        <v>2026</v>
      </c>
      <c r="P772" s="30" t="str">
        <f>IF(A772="","",CHOOSE(WEEKDAY(A772,2),"Segunda","Terça","Quarta","Quinta","Sexta","Sábado","Domingo"))</f>
        <v>Terça</v>
      </c>
      <c r="Q772" s="30" t="str">
        <f>IF(B772="","",IF(B772&lt;TIME(12,0,0),"Manhã",IF(B772&lt;TIME(18,0,0),"Tarde","Noite")))</f>
        <v>Manhã</v>
      </c>
      <c r="R772" s="46">
        <f>IF(AND(H772="Realizado",L772&lt;&gt;"",A772&lt;=Config!$B$9),L772/60,0)</f>
        <v>0.5</v>
      </c>
      <c r="S772" s="45">
        <f>IF(G772="","",IFERROR(INDEX(Config!$K$5:$K$16,MATCH(G772,Config!$J$5:$J$16,0)),""))</f>
        <v>30</v>
      </c>
      <c r="T772" s="31">
        <f>IF(OR(G772="",F772=""),"",IFERROR(INDEX(Config!$M$5:$R$16,MATCH(G772,Config!$J$5:$J$16,0),MATCH(F772,Config!$H$5:$H$10,0)),""))</f>
        <v>90</v>
      </c>
      <c r="U772" s="47">
        <f>IF(AND(H772="Realizado",L772&lt;&gt;""),L772/60,0)</f>
        <v>0.5</v>
      </c>
      <c r="V772" s="47">
        <f>IF(AND(H772="Realizado",OR(L772="",M772="")),1,0)</f>
        <v>0</v>
      </c>
    </row>
    <row r="773">
      <c r="A773" s="43" t="n">
        <v>46252</v>
      </c>
      <c r="B773" s="44" t="n">
        <v>0.4513888888888889</v>
      </c>
      <c r="C773" s="38" t="inlineStr">
        <is>
          <t>Dra. Carolina Mendes</t>
        </is>
      </c>
      <c r="D773" s="38" t="inlineStr">
        <is>
          <t>Sala 1</t>
        </is>
      </c>
      <c r="E773" s="37" t="inlineStr">
        <is>
          <t>Gustavo Barbosa</t>
        </is>
      </c>
      <c r="F773" s="38" t="inlineStr">
        <is>
          <t>Saúde Total</t>
        </is>
      </c>
      <c r="G773" s="38" t="inlineStr">
        <is>
          <t>Consulta</t>
        </is>
      </c>
      <c r="H773" s="38" t="inlineStr">
        <is>
          <t>Realizado</t>
        </is>
      </c>
      <c r="I773" s="38" t="inlineStr">
        <is>
          <t>Convênio</t>
        </is>
      </c>
      <c r="J773" s="38" t="n"/>
      <c r="K773" s="37" t="n"/>
      <c r="L773" s="39" t="n">
        <v>30</v>
      </c>
      <c r="M773" s="40" t="n">
        <v>120</v>
      </c>
      <c r="N773" s="30">
        <f>IF(A773="","",MONTH(A773))</f>
        <v>8</v>
      </c>
      <c r="O773" s="30">
        <f>IF(A773="","",YEAR(A773))</f>
        <v>2026</v>
      </c>
      <c r="P773" s="30" t="str">
        <f>IF(A773="","",CHOOSE(WEEKDAY(A773,2),"Segunda","Terça","Quarta","Quinta","Sexta","Sábado","Domingo"))</f>
        <v>Terça</v>
      </c>
      <c r="Q773" s="30" t="str">
        <f>IF(B773="","",IF(B773&lt;TIME(12,0,0),"Manhã",IF(B773&lt;TIME(18,0,0),"Tarde","Noite")))</f>
        <v>Manhã</v>
      </c>
      <c r="R773" s="46">
        <f>IF(AND(H773="Realizado",L773&lt;&gt;"",A773&lt;=Config!$B$9),L773/60,0)</f>
        <v>0.5</v>
      </c>
      <c r="S773" s="45">
        <f>IF(G773="","",IFERROR(INDEX(Config!$K$5:$K$16,MATCH(G773,Config!$J$5:$J$16,0)),""))</f>
        <v>30</v>
      </c>
      <c r="T773" s="31">
        <f>IF(OR(G773="",F773=""),"",IFERROR(INDEX(Config!$M$5:$R$16,MATCH(G773,Config!$J$5:$J$16,0),MATCH(F773,Config!$H$5:$H$10,0)),""))</f>
        <v>120</v>
      </c>
      <c r="U773" s="47">
        <f>IF(AND(H773="Realizado",L773&lt;&gt;""),L773/60,0)</f>
        <v>0.5</v>
      </c>
      <c r="V773" s="47">
        <f>IF(AND(H773="Realizado",OR(L773="",M773="")),1,0)</f>
        <v>0</v>
      </c>
    </row>
    <row r="774">
      <c r="A774" s="43" t="n">
        <v>46252</v>
      </c>
      <c r="B774" s="44" t="n">
        <v>0.4722222222222222</v>
      </c>
      <c r="C774" s="38" t="inlineStr">
        <is>
          <t>Dra. Carolina Mendes</t>
        </is>
      </c>
      <c r="D774" s="38" t="inlineStr">
        <is>
          <t>Sala 1</t>
        </is>
      </c>
      <c r="E774" s="37" t="inlineStr">
        <is>
          <t>Rodrigo Moreira</t>
        </is>
      </c>
      <c r="F774" s="38" t="inlineStr">
        <is>
          <t>Particular</t>
        </is>
      </c>
      <c r="G774" s="38" t="inlineStr">
        <is>
          <t>Consulta</t>
        </is>
      </c>
      <c r="H774" s="38" t="inlineStr">
        <is>
          <t>Realizado</t>
        </is>
      </c>
      <c r="I774" s="38" t="inlineStr">
        <is>
          <t>Cartão de crédito</t>
        </is>
      </c>
      <c r="J774" s="38" t="n">
        <v>2</v>
      </c>
      <c r="K774" s="37" t="n"/>
      <c r="L774" s="39" t="n">
        <v>30</v>
      </c>
      <c r="M774" s="40" t="n">
        <v>380</v>
      </c>
      <c r="N774" s="30">
        <f>IF(A774="","",MONTH(A774))</f>
        <v>8</v>
      </c>
      <c r="O774" s="30">
        <f>IF(A774="","",YEAR(A774))</f>
        <v>2026</v>
      </c>
      <c r="P774" s="30" t="str">
        <f>IF(A774="","",CHOOSE(WEEKDAY(A774,2),"Segunda","Terça","Quarta","Quinta","Sexta","Sábado","Domingo"))</f>
        <v>Terça</v>
      </c>
      <c r="Q774" s="30" t="str">
        <f>IF(B774="","",IF(B774&lt;TIME(12,0,0),"Manhã",IF(B774&lt;TIME(18,0,0),"Tarde","Noite")))</f>
        <v>Manhã</v>
      </c>
      <c r="R774" s="46">
        <f>IF(AND(H774="Realizado",L774&lt;&gt;"",A774&lt;=Config!$B$9),L774/60,0)</f>
        <v>0.5</v>
      </c>
      <c r="S774" s="45">
        <f>IF(G774="","",IFERROR(INDEX(Config!$K$5:$K$16,MATCH(G774,Config!$J$5:$J$16,0)),""))</f>
        <v>30</v>
      </c>
      <c r="T774" s="31">
        <f>IF(OR(G774="",F774=""),"",IFERROR(INDEX(Config!$M$5:$R$16,MATCH(G774,Config!$J$5:$J$16,0),MATCH(F774,Config!$H$5:$H$10,0)),""))</f>
        <v>380</v>
      </c>
      <c r="U774" s="47">
        <f>IF(AND(H774="Realizado",L774&lt;&gt;""),L774/60,0)</f>
        <v>0.5</v>
      </c>
      <c r="V774" s="47">
        <f>IF(AND(H774="Realizado",OR(L774="",M774="")),1,0)</f>
        <v>0</v>
      </c>
    </row>
    <row r="775">
      <c r="A775" s="43" t="n">
        <v>46252</v>
      </c>
      <c r="B775" s="44" t="n">
        <v>0.5833333333333334</v>
      </c>
      <c r="C775" s="38" t="inlineStr">
        <is>
          <t>Dra. Renata Sousa</t>
        </is>
      </c>
      <c r="D775" s="38" t="inlineStr">
        <is>
          <t>Sala 1</t>
        </is>
      </c>
      <c r="E775" s="37" t="inlineStr">
        <is>
          <t>Gustavo Carvalho</t>
        </is>
      </c>
      <c r="F775" s="38" t="inlineStr">
        <is>
          <t>Particular</t>
        </is>
      </c>
      <c r="G775" s="38" t="inlineStr">
        <is>
          <t>Retorno</t>
        </is>
      </c>
      <c r="H775" s="38" t="inlineStr">
        <is>
          <t>Realizado</t>
        </is>
      </c>
      <c r="I775" s="38" t="inlineStr">
        <is>
          <t>Sem cobrança</t>
        </is>
      </c>
      <c r="J775" s="38" t="n"/>
      <c r="K775" s="37" t="n"/>
      <c r="L775" s="39" t="n">
        <v>20</v>
      </c>
      <c r="M775" s="40" t="n">
        <v>0</v>
      </c>
      <c r="N775" s="30">
        <f>IF(A775="","",MONTH(A775))</f>
        <v>8</v>
      </c>
      <c r="O775" s="30">
        <f>IF(A775="","",YEAR(A775))</f>
        <v>2026</v>
      </c>
      <c r="P775" s="30" t="str">
        <f>IF(A775="","",CHOOSE(WEEKDAY(A775,2),"Segunda","Terça","Quarta","Quinta","Sexta","Sábado","Domingo"))</f>
        <v>Terça</v>
      </c>
      <c r="Q775" s="30" t="str">
        <f>IF(B775="","",IF(B775&lt;TIME(12,0,0),"Manhã",IF(B775&lt;TIME(18,0,0),"Tarde","Noite")))</f>
        <v>Tarde</v>
      </c>
      <c r="R775" s="46">
        <f>IF(AND(H775="Realizado",L775&lt;&gt;"",A775&lt;=Config!$B$9),L775/60,0)</f>
        <v>0.333333333333333</v>
      </c>
      <c r="S775" s="45">
        <f>IF(G775="","",IFERROR(INDEX(Config!$K$5:$K$16,MATCH(G775,Config!$J$5:$J$16,0)),""))</f>
        <v>20</v>
      </c>
      <c r="T775" s="31">
        <f>IF(OR(G775="",F775=""),"",IFERROR(INDEX(Config!$M$5:$R$16,MATCH(G775,Config!$J$5:$J$16,0),MATCH(F775,Config!$H$5:$H$10,0)),""))</f>
        <v>0</v>
      </c>
      <c r="U775" s="47">
        <f>IF(AND(H775="Realizado",L775&lt;&gt;""),L775/60,0)</f>
        <v>0.333333333333333</v>
      </c>
      <c r="V775" s="47">
        <f>IF(AND(H775="Realizado",OR(L775="",M775="")),1,0)</f>
        <v>0</v>
      </c>
    </row>
    <row r="776">
      <c r="A776" s="43" t="n">
        <v>46252</v>
      </c>
      <c r="B776" s="44" t="n">
        <v>0.5833333333333334</v>
      </c>
      <c r="C776" s="38" t="inlineStr">
        <is>
          <t>Dr. Paulo Andrade</t>
        </is>
      </c>
      <c r="D776" s="38" t="inlineStr">
        <is>
          <t>Sala 2</t>
        </is>
      </c>
      <c r="E776" s="37" t="inlineStr">
        <is>
          <t>Tatiana Cunha</t>
        </is>
      </c>
      <c r="F776" s="38" t="inlineStr">
        <is>
          <t>Saúde Total</t>
        </is>
      </c>
      <c r="G776" s="38" t="inlineStr">
        <is>
          <t>ECG</t>
        </is>
      </c>
      <c r="H776" s="38" t="inlineStr">
        <is>
          <t>Realizado</t>
        </is>
      </c>
      <c r="I776" s="38" t="inlineStr">
        <is>
          <t>Convênio</t>
        </is>
      </c>
      <c r="J776" s="38" t="n"/>
      <c r="K776" s="37" t="n"/>
      <c r="L776" s="39" t="n">
        <v>20</v>
      </c>
      <c r="M776" s="40" t="n">
        <v>40</v>
      </c>
      <c r="N776" s="30">
        <f>IF(A776="","",MONTH(A776))</f>
        <v>8</v>
      </c>
      <c r="O776" s="30">
        <f>IF(A776="","",YEAR(A776))</f>
        <v>2026</v>
      </c>
      <c r="P776" s="30" t="str">
        <f>IF(A776="","",CHOOSE(WEEKDAY(A776,2),"Segunda","Terça","Quarta","Quinta","Sexta","Sábado","Domingo"))</f>
        <v>Terça</v>
      </c>
      <c r="Q776" s="30" t="str">
        <f>IF(B776="","",IF(B776&lt;TIME(12,0,0),"Manhã",IF(B776&lt;TIME(18,0,0),"Tarde","Noite")))</f>
        <v>Tarde</v>
      </c>
      <c r="R776" s="46">
        <f>IF(AND(H776="Realizado",L776&lt;&gt;"",A776&lt;=Config!$B$9),L776/60,0)</f>
        <v>0.333333333333333</v>
      </c>
      <c r="S776" s="45">
        <f>IF(G776="","",IFERROR(INDEX(Config!$K$5:$K$16,MATCH(G776,Config!$J$5:$J$16,0)),""))</f>
        <v>20</v>
      </c>
      <c r="T776" s="31">
        <f>IF(OR(G776="",F776=""),"",IFERROR(INDEX(Config!$M$5:$R$16,MATCH(G776,Config!$J$5:$J$16,0),MATCH(F776,Config!$H$5:$H$10,0)),""))</f>
        <v>40</v>
      </c>
      <c r="U776" s="47">
        <f>IF(AND(H776="Realizado",L776&lt;&gt;""),L776/60,0)</f>
        <v>0.333333333333333</v>
      </c>
      <c r="V776" s="47">
        <f>IF(AND(H776="Realizado",OR(L776="",M776="")),1,0)</f>
        <v>0</v>
      </c>
    </row>
    <row r="777">
      <c r="A777" s="43" t="n">
        <v>46252</v>
      </c>
      <c r="B777" s="44" t="n">
        <v>0.5972222222222222</v>
      </c>
      <c r="C777" s="38" t="inlineStr">
        <is>
          <t>Dra. Renata Sousa</t>
        </is>
      </c>
      <c r="D777" s="38" t="inlineStr">
        <is>
          <t>Sala 1</t>
        </is>
      </c>
      <c r="E777" s="37" t="inlineStr">
        <is>
          <t>Gabriel Lopes</t>
        </is>
      </c>
      <c r="F777" s="38" t="inlineStr">
        <is>
          <t>Saúde Total</t>
        </is>
      </c>
      <c r="G777" s="38" t="inlineStr">
        <is>
          <t>Retorno</t>
        </is>
      </c>
      <c r="H777" s="38" t="inlineStr">
        <is>
          <t>Realizado</t>
        </is>
      </c>
      <c r="I777" s="38" t="inlineStr">
        <is>
          <t>Sem cobrança</t>
        </is>
      </c>
      <c r="J777" s="38" t="n"/>
      <c r="K777" s="37" t="n"/>
      <c r="L777" s="39" t="n">
        <v>20</v>
      </c>
      <c r="M777" s="40" t="n">
        <v>0</v>
      </c>
      <c r="N777" s="30">
        <f>IF(A777="","",MONTH(A777))</f>
        <v>8</v>
      </c>
      <c r="O777" s="30">
        <f>IF(A777="","",YEAR(A777))</f>
        <v>2026</v>
      </c>
      <c r="P777" s="30" t="str">
        <f>IF(A777="","",CHOOSE(WEEKDAY(A777,2),"Segunda","Terça","Quarta","Quinta","Sexta","Sábado","Domingo"))</f>
        <v>Terça</v>
      </c>
      <c r="Q777" s="30" t="str">
        <f>IF(B777="","",IF(B777&lt;TIME(12,0,0),"Manhã",IF(B777&lt;TIME(18,0,0),"Tarde","Noite")))</f>
        <v>Tarde</v>
      </c>
      <c r="R777" s="46">
        <f>IF(AND(H777="Realizado",L777&lt;&gt;"",A777&lt;=Config!$B$9),L777/60,0)</f>
        <v>0.333333333333333</v>
      </c>
      <c r="S777" s="45">
        <f>IF(G777="","",IFERROR(INDEX(Config!$K$5:$K$16,MATCH(G777,Config!$J$5:$J$16,0)),""))</f>
        <v>20</v>
      </c>
      <c r="T777" s="31">
        <f>IF(OR(G777="",F777=""),"",IFERROR(INDEX(Config!$M$5:$R$16,MATCH(G777,Config!$J$5:$J$16,0),MATCH(F777,Config!$H$5:$H$10,0)),""))</f>
        <v>0</v>
      </c>
      <c r="U777" s="47">
        <f>IF(AND(H777="Realizado",L777&lt;&gt;""),L777/60,0)</f>
        <v>0.333333333333333</v>
      </c>
      <c r="V777" s="47">
        <f>IF(AND(H777="Realizado",OR(L777="",M777="")),1,0)</f>
        <v>0</v>
      </c>
    </row>
    <row r="778">
      <c r="A778" s="43" t="n">
        <v>46252</v>
      </c>
      <c r="B778" s="44" t="n">
        <v>0.5972222222222222</v>
      </c>
      <c r="C778" s="38" t="inlineStr">
        <is>
          <t>Dr. Paulo Andrade</t>
        </is>
      </c>
      <c r="D778" s="38" t="inlineStr">
        <is>
          <t>Sala 2</t>
        </is>
      </c>
      <c r="E778" s="37" t="inlineStr">
        <is>
          <t>Patrícia Vieira</t>
        </is>
      </c>
      <c r="F778" s="38" t="inlineStr">
        <is>
          <t>Saúde Total</t>
        </is>
      </c>
      <c r="G778" s="38" t="inlineStr">
        <is>
          <t>Retorno</t>
        </is>
      </c>
      <c r="H778" s="38" t="inlineStr">
        <is>
          <t>Falta</t>
        </is>
      </c>
      <c r="I778" s="38" t="n"/>
      <c r="J778" s="38" t="n"/>
      <c r="K778" s="37" t="n"/>
      <c r="L778" s="39" t="n">
        <v>20</v>
      </c>
      <c r="M778" s="40" t="n">
        <v>0</v>
      </c>
      <c r="N778" s="30">
        <f>IF(A778="","",MONTH(A778))</f>
        <v>8</v>
      </c>
      <c r="O778" s="30">
        <f>IF(A778="","",YEAR(A778))</f>
        <v>2026</v>
      </c>
      <c r="P778" s="30" t="str">
        <f>IF(A778="","",CHOOSE(WEEKDAY(A778,2),"Segunda","Terça","Quarta","Quinta","Sexta","Sábado","Domingo"))</f>
        <v>Terça</v>
      </c>
      <c r="Q778" s="30" t="str">
        <f>IF(B778="","",IF(B778&lt;TIME(12,0,0),"Manhã",IF(B778&lt;TIME(18,0,0),"Tarde","Noite")))</f>
        <v>Tarde</v>
      </c>
      <c r="R778" s="46">
        <f>IF(AND(H778="Realizado",L778&lt;&gt;"",A778&lt;=Config!$B$9),L778/60,0)</f>
        <v>0</v>
      </c>
      <c r="S778" s="45">
        <f>IF(G778="","",IFERROR(INDEX(Config!$K$5:$K$16,MATCH(G778,Config!$J$5:$J$16,0)),""))</f>
        <v>20</v>
      </c>
      <c r="T778" s="31">
        <f>IF(OR(G778="",F778=""),"",IFERROR(INDEX(Config!$M$5:$R$16,MATCH(G778,Config!$J$5:$J$16,0),MATCH(F778,Config!$H$5:$H$10,0)),""))</f>
        <v>0</v>
      </c>
      <c r="U778" s="47">
        <f>IF(AND(H778="Realizado",L778&lt;&gt;""),L778/60,0)</f>
        <v>0</v>
      </c>
      <c r="V778" s="47">
        <f>IF(AND(H778="Realizado",OR(L778="",M778="")),1,0)</f>
        <v>0</v>
      </c>
    </row>
    <row r="779">
      <c r="A779" s="43" t="n">
        <v>46252</v>
      </c>
      <c r="B779" s="44" t="n">
        <v>0.6319444444444444</v>
      </c>
      <c r="C779" s="38" t="inlineStr">
        <is>
          <t>Dra. Renata Sousa</t>
        </is>
      </c>
      <c r="D779" s="38" t="inlineStr">
        <is>
          <t>Sala 1</t>
        </is>
      </c>
      <c r="E779" s="37" t="inlineStr">
        <is>
          <t>Carlos Gomes</t>
        </is>
      </c>
      <c r="F779" s="38" t="inlineStr">
        <is>
          <t>Saúde Total</t>
        </is>
      </c>
      <c r="G779" s="38" t="inlineStr">
        <is>
          <t>Avaliação endócrina</t>
        </is>
      </c>
      <c r="H779" s="38" t="inlineStr">
        <is>
          <t>Realizado</t>
        </is>
      </c>
      <c r="I779" s="38" t="inlineStr">
        <is>
          <t>Convênio</t>
        </is>
      </c>
      <c r="J779" s="38" t="n"/>
      <c r="K779" s="37" t="n"/>
      <c r="L779" s="39" t="n">
        <v>40</v>
      </c>
      <c r="M779" s="40" t="n">
        <v>130</v>
      </c>
      <c r="N779" s="30">
        <f>IF(A779="","",MONTH(A779))</f>
        <v>8</v>
      </c>
      <c r="O779" s="30">
        <f>IF(A779="","",YEAR(A779))</f>
        <v>2026</v>
      </c>
      <c r="P779" s="30" t="str">
        <f>IF(A779="","",CHOOSE(WEEKDAY(A779,2),"Segunda","Terça","Quarta","Quinta","Sexta","Sábado","Domingo"))</f>
        <v>Terça</v>
      </c>
      <c r="Q779" s="30" t="str">
        <f>IF(B779="","",IF(B779&lt;TIME(12,0,0),"Manhã",IF(B779&lt;TIME(18,0,0),"Tarde","Noite")))</f>
        <v>Tarde</v>
      </c>
      <c r="R779" s="46">
        <f>IF(AND(H779="Realizado",L779&lt;&gt;"",A779&lt;=Config!$B$9),L779/60,0)</f>
        <v>0.666666666666667</v>
      </c>
      <c r="S779" s="45">
        <f>IF(G779="","",IFERROR(INDEX(Config!$K$5:$K$16,MATCH(G779,Config!$J$5:$J$16,0)),""))</f>
        <v>40</v>
      </c>
      <c r="T779" s="31">
        <f>IF(OR(G779="",F779=""),"",IFERROR(INDEX(Config!$M$5:$R$16,MATCH(G779,Config!$J$5:$J$16,0),MATCH(F779,Config!$H$5:$H$10,0)),""))</f>
        <v>130</v>
      </c>
      <c r="U779" s="47">
        <f>IF(AND(H779="Realizado",L779&lt;&gt;""),L779/60,0)</f>
        <v>0.666666666666667</v>
      </c>
      <c r="V779" s="47">
        <f>IF(AND(H779="Realizado",OR(L779="",M779="")),1,0)</f>
        <v>0</v>
      </c>
    </row>
    <row r="780">
      <c r="A780" s="43" t="n">
        <v>46252</v>
      </c>
      <c r="B780" s="44" t="n">
        <v>0.6319444444444444</v>
      </c>
      <c r="C780" s="38" t="inlineStr">
        <is>
          <t>Dr. Paulo Andrade</t>
        </is>
      </c>
      <c r="D780" s="38" t="inlineStr">
        <is>
          <t>Sala 2</t>
        </is>
      </c>
      <c r="E780" s="37" t="inlineStr">
        <is>
          <t>Henrique Santos</t>
        </is>
      </c>
      <c r="F780" s="38" t="inlineStr">
        <is>
          <t>Vida Care</t>
        </is>
      </c>
      <c r="G780" s="38" t="inlineStr">
        <is>
          <t>Consulta</t>
        </is>
      </c>
      <c r="H780" s="38" t="inlineStr">
        <is>
          <t>Remarcado</t>
        </is>
      </c>
      <c r="I780" s="38" t="n"/>
      <c r="J780" s="38" t="n"/>
      <c r="K780" s="37" t="inlineStr">
        <is>
          <t>Paciente pediu outra data</t>
        </is>
      </c>
      <c r="L780" s="39" t="n">
        <v>30</v>
      </c>
      <c r="M780" s="40" t="n">
        <v>90</v>
      </c>
      <c r="N780" s="30">
        <f>IF(A780="","",MONTH(A780))</f>
        <v>8</v>
      </c>
      <c r="O780" s="30">
        <f>IF(A780="","",YEAR(A780))</f>
        <v>2026</v>
      </c>
      <c r="P780" s="30" t="str">
        <f>IF(A780="","",CHOOSE(WEEKDAY(A780,2),"Segunda","Terça","Quarta","Quinta","Sexta","Sábado","Domingo"))</f>
        <v>Terça</v>
      </c>
      <c r="Q780" s="30" t="str">
        <f>IF(B780="","",IF(B780&lt;TIME(12,0,0),"Manhã",IF(B780&lt;TIME(18,0,0),"Tarde","Noite")))</f>
        <v>Tarde</v>
      </c>
      <c r="R780" s="46">
        <f>IF(AND(H780="Realizado",L780&lt;&gt;"",A780&lt;=Config!$B$9),L780/60,0)</f>
        <v>0</v>
      </c>
      <c r="S780" s="45">
        <f>IF(G780="","",IFERROR(INDEX(Config!$K$5:$K$16,MATCH(G780,Config!$J$5:$J$16,0)),""))</f>
        <v>30</v>
      </c>
      <c r="T780" s="31">
        <f>IF(OR(G780="",F780=""),"",IFERROR(INDEX(Config!$M$5:$R$16,MATCH(G780,Config!$J$5:$J$16,0),MATCH(F780,Config!$H$5:$H$10,0)),""))</f>
        <v>90</v>
      </c>
      <c r="U780" s="47">
        <f>IF(AND(H780="Realizado",L780&lt;&gt;""),L780/60,0)</f>
        <v>0</v>
      </c>
      <c r="V780" s="47">
        <f>IF(AND(H780="Realizado",OR(L780="",M780="")),1,0)</f>
        <v>0</v>
      </c>
    </row>
    <row r="781">
      <c r="A781" s="43" t="n">
        <v>46252</v>
      </c>
      <c r="B781" s="44" t="n">
        <v>0.6527777777777778</v>
      </c>
      <c r="C781" s="38" t="inlineStr">
        <is>
          <t>Dr. Paulo Andrade</t>
        </is>
      </c>
      <c r="D781" s="38" t="inlineStr">
        <is>
          <t>Sala 2</t>
        </is>
      </c>
      <c r="E781" s="37" t="inlineStr">
        <is>
          <t>Leandro Cardoso</t>
        </is>
      </c>
      <c r="F781" s="38" t="inlineStr">
        <is>
          <t>MediPlan</t>
        </is>
      </c>
      <c r="G781" s="38" t="inlineStr">
        <is>
          <t>Consulta</t>
        </is>
      </c>
      <c r="H781" s="38" t="inlineStr">
        <is>
          <t>Realizado</t>
        </is>
      </c>
      <c r="I781" s="38" t="inlineStr">
        <is>
          <t>Convênio</t>
        </is>
      </c>
      <c r="J781" s="38" t="n"/>
      <c r="K781" s="37" t="n"/>
      <c r="L781" s="39" t="n">
        <v>30</v>
      </c>
      <c r="M781" s="40" t="n">
        <v>100</v>
      </c>
      <c r="N781" s="30">
        <f>IF(A781="","",MONTH(A781))</f>
        <v>8</v>
      </c>
      <c r="O781" s="30">
        <f>IF(A781="","",YEAR(A781))</f>
        <v>2026</v>
      </c>
      <c r="P781" s="30" t="str">
        <f>IF(A781="","",CHOOSE(WEEKDAY(A781,2),"Segunda","Terça","Quarta","Quinta","Sexta","Sábado","Domingo"))</f>
        <v>Terça</v>
      </c>
      <c r="Q781" s="30" t="str">
        <f>IF(B781="","",IF(B781&lt;TIME(12,0,0),"Manhã",IF(B781&lt;TIME(18,0,0),"Tarde","Noite")))</f>
        <v>Tarde</v>
      </c>
      <c r="R781" s="46">
        <f>IF(AND(H781="Realizado",L781&lt;&gt;"",A781&lt;=Config!$B$9),L781/60,0)</f>
        <v>0.5</v>
      </c>
      <c r="S781" s="45">
        <f>IF(G781="","",IFERROR(INDEX(Config!$K$5:$K$16,MATCH(G781,Config!$J$5:$J$16,0)),""))</f>
        <v>30</v>
      </c>
      <c r="T781" s="31">
        <f>IF(OR(G781="",F781=""),"",IFERROR(INDEX(Config!$M$5:$R$16,MATCH(G781,Config!$J$5:$J$16,0),MATCH(F781,Config!$H$5:$H$10,0)),""))</f>
        <v>100</v>
      </c>
      <c r="U781" s="47">
        <f>IF(AND(H781="Realizado",L781&lt;&gt;""),L781/60,0)</f>
        <v>0.5</v>
      </c>
      <c r="V781" s="47">
        <f>IF(AND(H781="Realizado",OR(L781="",M781="")),1,0)</f>
        <v>0</v>
      </c>
    </row>
    <row r="782">
      <c r="A782" s="43" t="n">
        <v>46252</v>
      </c>
      <c r="B782" s="44" t="n">
        <v>0.6597222222222222</v>
      </c>
      <c r="C782" s="38" t="inlineStr">
        <is>
          <t>Dra. Renata Sousa</t>
        </is>
      </c>
      <c r="D782" s="38" t="inlineStr">
        <is>
          <t>Sala 1</t>
        </is>
      </c>
      <c r="E782" s="37" t="inlineStr">
        <is>
          <t>Mariana Reis</t>
        </is>
      </c>
      <c r="F782" s="38" t="inlineStr">
        <is>
          <t>Particular</t>
        </is>
      </c>
      <c r="G782" s="38" t="inlineStr">
        <is>
          <t>Avaliação endócrina</t>
        </is>
      </c>
      <c r="H782" s="38" t="inlineStr">
        <is>
          <t>Realizado</t>
        </is>
      </c>
      <c r="I782" s="38" t="inlineStr">
        <is>
          <t>Pix</t>
        </is>
      </c>
      <c r="J782" s="38" t="n"/>
      <c r="K782" s="37" t="n"/>
      <c r="L782" s="39" t="n">
        <v>40</v>
      </c>
      <c r="M782" s="40" t="n">
        <v>400</v>
      </c>
      <c r="N782" s="30">
        <f>IF(A782="","",MONTH(A782))</f>
        <v>8</v>
      </c>
      <c r="O782" s="30">
        <f>IF(A782="","",YEAR(A782))</f>
        <v>2026</v>
      </c>
      <c r="P782" s="30" t="str">
        <f>IF(A782="","",CHOOSE(WEEKDAY(A782,2),"Segunda","Terça","Quarta","Quinta","Sexta","Sábado","Domingo"))</f>
        <v>Terça</v>
      </c>
      <c r="Q782" s="30" t="str">
        <f>IF(B782="","",IF(B782&lt;TIME(12,0,0),"Manhã",IF(B782&lt;TIME(18,0,0),"Tarde","Noite")))</f>
        <v>Tarde</v>
      </c>
      <c r="R782" s="46">
        <f>IF(AND(H782="Realizado",L782&lt;&gt;"",A782&lt;=Config!$B$9),L782/60,0)</f>
        <v>0.666666666666667</v>
      </c>
      <c r="S782" s="45">
        <f>IF(G782="","",IFERROR(INDEX(Config!$K$5:$K$16,MATCH(G782,Config!$J$5:$J$16,0)),""))</f>
        <v>40</v>
      </c>
      <c r="T782" s="31">
        <f>IF(OR(G782="",F782=""),"",IFERROR(INDEX(Config!$M$5:$R$16,MATCH(G782,Config!$J$5:$J$16,0),MATCH(F782,Config!$H$5:$H$10,0)),""))</f>
        <v>400</v>
      </c>
      <c r="U782" s="47">
        <f>IF(AND(H782="Realizado",L782&lt;&gt;""),L782/60,0)</f>
        <v>0.666666666666667</v>
      </c>
      <c r="V782" s="47">
        <f>IF(AND(H782="Realizado",OR(L782="",M782="")),1,0)</f>
        <v>0</v>
      </c>
    </row>
    <row r="783">
      <c r="A783" s="43" t="n">
        <v>46252</v>
      </c>
      <c r="B783" s="44" t="n">
        <v>0.6736111111111112</v>
      </c>
      <c r="C783" s="38" t="inlineStr">
        <is>
          <t>Dr. Paulo Andrade</t>
        </is>
      </c>
      <c r="D783" s="38" t="inlineStr">
        <is>
          <t>Sala 2</t>
        </is>
      </c>
      <c r="E783" s="37" t="inlineStr">
        <is>
          <t>Fábio Correia</t>
        </is>
      </c>
      <c r="F783" s="38" t="inlineStr">
        <is>
          <t>Particular</t>
        </is>
      </c>
      <c r="G783" s="38" t="inlineStr">
        <is>
          <t>Consulta</t>
        </is>
      </c>
      <c r="H783" s="38" t="inlineStr">
        <is>
          <t>Realizado</t>
        </is>
      </c>
      <c r="I783" s="38" t="inlineStr">
        <is>
          <t>Pix</t>
        </is>
      </c>
      <c r="J783" s="38" t="n"/>
      <c r="K783" s="37" t="n"/>
      <c r="L783" s="39" t="n">
        <v>30</v>
      </c>
      <c r="M783" s="40" t="n">
        <v>380</v>
      </c>
      <c r="N783" s="30">
        <f>IF(A783="","",MONTH(A783))</f>
        <v>8</v>
      </c>
      <c r="O783" s="30">
        <f>IF(A783="","",YEAR(A783))</f>
        <v>2026</v>
      </c>
      <c r="P783" s="30" t="str">
        <f>IF(A783="","",CHOOSE(WEEKDAY(A783,2),"Segunda","Terça","Quarta","Quinta","Sexta","Sábado","Domingo"))</f>
        <v>Terça</v>
      </c>
      <c r="Q783" s="30" t="str">
        <f>IF(B783="","",IF(B783&lt;TIME(12,0,0),"Manhã",IF(B783&lt;TIME(18,0,0),"Tarde","Noite")))</f>
        <v>Tarde</v>
      </c>
      <c r="R783" s="46">
        <f>IF(AND(H783="Realizado",L783&lt;&gt;"",A783&lt;=Config!$B$9),L783/60,0)</f>
        <v>0.5</v>
      </c>
      <c r="S783" s="45">
        <f>IF(G783="","",IFERROR(INDEX(Config!$K$5:$K$16,MATCH(G783,Config!$J$5:$J$16,0)),""))</f>
        <v>30</v>
      </c>
      <c r="T783" s="31">
        <f>IF(OR(G783="",F783=""),"",IFERROR(INDEX(Config!$M$5:$R$16,MATCH(G783,Config!$J$5:$J$16,0),MATCH(F783,Config!$H$5:$H$10,0)),""))</f>
        <v>380</v>
      </c>
      <c r="U783" s="47">
        <f>IF(AND(H783="Realizado",L783&lt;&gt;""),L783/60,0)</f>
        <v>0.5</v>
      </c>
      <c r="V783" s="47">
        <f>IF(AND(H783="Realizado",OR(L783="",M783="")),1,0)</f>
        <v>0</v>
      </c>
    </row>
    <row r="784">
      <c r="A784" s="43" t="n">
        <v>46252</v>
      </c>
      <c r="B784" s="44" t="n">
        <v>0.6875</v>
      </c>
      <c r="C784" s="38" t="inlineStr">
        <is>
          <t>Dra. Renata Sousa</t>
        </is>
      </c>
      <c r="D784" s="38" t="inlineStr">
        <is>
          <t>Sala 1</t>
        </is>
      </c>
      <c r="E784" s="37" t="inlineStr">
        <is>
          <t>Fábio Gomes</t>
        </is>
      </c>
      <c r="F784" s="38" t="inlineStr">
        <is>
          <t>Particular</t>
        </is>
      </c>
      <c r="G784" s="38" t="inlineStr">
        <is>
          <t>Avaliação endócrina</t>
        </is>
      </c>
      <c r="H784" s="38" t="inlineStr">
        <is>
          <t>Realizado</t>
        </is>
      </c>
      <c r="I784" s="38" t="inlineStr">
        <is>
          <t>A prazo</t>
        </is>
      </c>
      <c r="J784" s="38" t="n"/>
      <c r="K784" s="37" t="n"/>
      <c r="L784" s="39" t="n">
        <v>40</v>
      </c>
      <c r="M784" s="40" t="n">
        <v>400</v>
      </c>
      <c r="N784" s="30">
        <f>IF(A784="","",MONTH(A784))</f>
        <v>8</v>
      </c>
      <c r="O784" s="30">
        <f>IF(A784="","",YEAR(A784))</f>
        <v>2026</v>
      </c>
      <c r="P784" s="30" t="str">
        <f>IF(A784="","",CHOOSE(WEEKDAY(A784,2),"Segunda","Terça","Quarta","Quinta","Sexta","Sábado","Domingo"))</f>
        <v>Terça</v>
      </c>
      <c r="Q784" s="30" t="str">
        <f>IF(B784="","",IF(B784&lt;TIME(12,0,0),"Manhã",IF(B784&lt;TIME(18,0,0),"Tarde","Noite")))</f>
        <v>Tarde</v>
      </c>
      <c r="R784" s="46">
        <f>IF(AND(H784="Realizado",L784&lt;&gt;"",A784&lt;=Config!$B$9),L784/60,0)</f>
        <v>0.666666666666667</v>
      </c>
      <c r="S784" s="45">
        <f>IF(G784="","",IFERROR(INDEX(Config!$K$5:$K$16,MATCH(G784,Config!$J$5:$J$16,0)),""))</f>
        <v>40</v>
      </c>
      <c r="T784" s="31">
        <f>IF(OR(G784="",F784=""),"",IFERROR(INDEX(Config!$M$5:$R$16,MATCH(G784,Config!$J$5:$J$16,0),MATCH(F784,Config!$H$5:$H$10,0)),""))</f>
        <v>400</v>
      </c>
      <c r="U784" s="47">
        <f>IF(AND(H784="Realizado",L784&lt;&gt;""),L784/60,0)</f>
        <v>0.666666666666667</v>
      </c>
      <c r="V784" s="47">
        <f>IF(AND(H784="Realizado",OR(L784="",M784="")),1,0)</f>
        <v>0</v>
      </c>
    </row>
    <row r="785">
      <c r="A785" s="43" t="n">
        <v>46252</v>
      </c>
      <c r="B785" s="44" t="n">
        <v>0.6944444444444444</v>
      </c>
      <c r="C785" s="38" t="inlineStr">
        <is>
          <t>Dr. Paulo Andrade</t>
        </is>
      </c>
      <c r="D785" s="38" t="inlineStr">
        <is>
          <t>Sala 2</t>
        </is>
      </c>
      <c r="E785" s="37" t="inlineStr">
        <is>
          <t>Helena Ribeiro</t>
        </is>
      </c>
      <c r="F785" s="38" t="inlineStr">
        <is>
          <t>MediPlan</t>
        </is>
      </c>
      <c r="G785" s="38" t="inlineStr">
        <is>
          <t>Consulta</t>
        </is>
      </c>
      <c r="H785" s="38" t="inlineStr">
        <is>
          <t>Realizado</t>
        </is>
      </c>
      <c r="I785" s="38" t="inlineStr">
        <is>
          <t>Convênio</t>
        </is>
      </c>
      <c r="J785" s="38" t="n"/>
      <c r="K785" s="37" t="n"/>
      <c r="L785" s="39" t="n">
        <v>30</v>
      </c>
      <c r="M785" s="40" t="n">
        <v>100</v>
      </c>
      <c r="N785" s="30">
        <f>IF(A785="","",MONTH(A785))</f>
        <v>8</v>
      </c>
      <c r="O785" s="30">
        <f>IF(A785="","",YEAR(A785))</f>
        <v>2026</v>
      </c>
      <c r="P785" s="30" t="str">
        <f>IF(A785="","",CHOOSE(WEEKDAY(A785,2),"Segunda","Terça","Quarta","Quinta","Sexta","Sábado","Domingo"))</f>
        <v>Terça</v>
      </c>
      <c r="Q785" s="30" t="str">
        <f>IF(B785="","",IF(B785&lt;TIME(12,0,0),"Manhã",IF(B785&lt;TIME(18,0,0),"Tarde","Noite")))</f>
        <v>Tarde</v>
      </c>
      <c r="R785" s="46">
        <f>IF(AND(H785="Realizado",L785&lt;&gt;"",A785&lt;=Config!$B$9),L785/60,0)</f>
        <v>0.5</v>
      </c>
      <c r="S785" s="45">
        <f>IF(G785="","",IFERROR(INDEX(Config!$K$5:$K$16,MATCH(G785,Config!$J$5:$J$16,0)),""))</f>
        <v>30</v>
      </c>
      <c r="T785" s="31">
        <f>IF(OR(G785="",F785=""),"",IFERROR(INDEX(Config!$M$5:$R$16,MATCH(G785,Config!$J$5:$J$16,0),MATCH(F785,Config!$H$5:$H$10,0)),""))</f>
        <v>100</v>
      </c>
      <c r="U785" s="47">
        <f>IF(AND(H785="Realizado",L785&lt;&gt;""),L785/60,0)</f>
        <v>0.5</v>
      </c>
      <c r="V785" s="47">
        <f>IF(AND(H785="Realizado",OR(L785="",M785="")),1,0)</f>
        <v>0</v>
      </c>
    </row>
    <row r="786">
      <c r="A786" s="43" t="n">
        <v>46252</v>
      </c>
      <c r="B786" s="44" t="n">
        <v>0.7152777777777778</v>
      </c>
      <c r="C786" s="38" t="inlineStr">
        <is>
          <t>Dra. Renata Sousa</t>
        </is>
      </c>
      <c r="D786" s="38" t="inlineStr">
        <is>
          <t>Sala 1</t>
        </is>
      </c>
      <c r="E786" s="37" t="inlineStr">
        <is>
          <t>Beatriz Monteiro</t>
        </is>
      </c>
      <c r="F786" s="38" t="inlineStr">
        <is>
          <t>Particular</t>
        </is>
      </c>
      <c r="G786" s="38" t="inlineStr">
        <is>
          <t>Avaliação endócrina</t>
        </is>
      </c>
      <c r="H786" s="38" t="inlineStr">
        <is>
          <t>Cancelado</t>
        </is>
      </c>
      <c r="I786" s="38" t="n"/>
      <c r="J786" s="38" t="n"/>
      <c r="K786" s="37" t="n"/>
      <c r="L786" s="39" t="n">
        <v>40</v>
      </c>
      <c r="M786" s="40" t="n">
        <v>400</v>
      </c>
      <c r="N786" s="30">
        <f>IF(A786="","",MONTH(A786))</f>
        <v>8</v>
      </c>
      <c r="O786" s="30">
        <f>IF(A786="","",YEAR(A786))</f>
        <v>2026</v>
      </c>
      <c r="P786" s="30" t="str">
        <f>IF(A786="","",CHOOSE(WEEKDAY(A786,2),"Segunda","Terça","Quarta","Quinta","Sexta","Sábado","Domingo"))</f>
        <v>Terça</v>
      </c>
      <c r="Q786" s="30" t="str">
        <f>IF(B786="","",IF(B786&lt;TIME(12,0,0),"Manhã",IF(B786&lt;TIME(18,0,0),"Tarde","Noite")))</f>
        <v>Tarde</v>
      </c>
      <c r="R786" s="46">
        <f>IF(AND(H786="Realizado",L786&lt;&gt;"",A786&lt;=Config!$B$9),L786/60,0)</f>
        <v>0</v>
      </c>
      <c r="S786" s="45">
        <f>IF(G786="","",IFERROR(INDEX(Config!$K$5:$K$16,MATCH(G786,Config!$J$5:$J$16,0)),""))</f>
        <v>40</v>
      </c>
      <c r="T786" s="31">
        <f>IF(OR(G786="",F786=""),"",IFERROR(INDEX(Config!$M$5:$R$16,MATCH(G786,Config!$J$5:$J$16,0),MATCH(F786,Config!$H$5:$H$10,0)),""))</f>
        <v>400</v>
      </c>
      <c r="U786" s="47">
        <f>IF(AND(H786="Realizado",L786&lt;&gt;""),L786/60,0)</f>
        <v>0</v>
      </c>
      <c r="V786" s="47">
        <f>IF(AND(H786="Realizado",OR(L786="",M786="")),1,0)</f>
        <v>0</v>
      </c>
    </row>
    <row r="787">
      <c r="A787" s="43" t="n">
        <v>46252</v>
      </c>
      <c r="B787" s="44" t="n">
        <v>0.7152777777777778</v>
      </c>
      <c r="C787" s="38" t="inlineStr">
        <is>
          <t>Dr. Paulo Andrade</t>
        </is>
      </c>
      <c r="D787" s="38" t="inlineStr">
        <is>
          <t>Sala 2</t>
        </is>
      </c>
      <c r="E787" s="37" t="inlineStr">
        <is>
          <t>Natália Xavier</t>
        </is>
      </c>
      <c r="F787" s="38" t="inlineStr">
        <is>
          <t>MediPlan</t>
        </is>
      </c>
      <c r="G787" s="38" t="inlineStr">
        <is>
          <t>Consulta</t>
        </is>
      </c>
      <c r="H787" s="38" t="inlineStr">
        <is>
          <t>Realizado</t>
        </is>
      </c>
      <c r="I787" s="38" t="inlineStr">
        <is>
          <t>Convênio</t>
        </is>
      </c>
      <c r="J787" s="38" t="n"/>
      <c r="K787" s="37" t="n"/>
      <c r="L787" s="39" t="n">
        <v>30</v>
      </c>
      <c r="M787" s="40" t="n">
        <v>100</v>
      </c>
      <c r="N787" s="30">
        <f>IF(A787="","",MONTH(A787))</f>
        <v>8</v>
      </c>
      <c r="O787" s="30">
        <f>IF(A787="","",YEAR(A787))</f>
        <v>2026</v>
      </c>
      <c r="P787" s="30" t="str">
        <f>IF(A787="","",CHOOSE(WEEKDAY(A787,2),"Segunda","Terça","Quarta","Quinta","Sexta","Sábado","Domingo"))</f>
        <v>Terça</v>
      </c>
      <c r="Q787" s="30" t="str">
        <f>IF(B787="","",IF(B787&lt;TIME(12,0,0),"Manhã",IF(B787&lt;TIME(18,0,0),"Tarde","Noite")))</f>
        <v>Tarde</v>
      </c>
      <c r="R787" s="46">
        <f>IF(AND(H787="Realizado",L787&lt;&gt;"",A787&lt;=Config!$B$9),L787/60,0)</f>
        <v>0.5</v>
      </c>
      <c r="S787" s="45">
        <f>IF(G787="","",IFERROR(INDEX(Config!$K$5:$K$16,MATCH(G787,Config!$J$5:$J$16,0)),""))</f>
        <v>30</v>
      </c>
      <c r="T787" s="31">
        <f>IF(OR(G787="",F787=""),"",IFERROR(INDEX(Config!$M$5:$R$16,MATCH(G787,Config!$J$5:$J$16,0),MATCH(F787,Config!$H$5:$H$10,0)),""))</f>
        <v>100</v>
      </c>
      <c r="U787" s="47">
        <f>IF(AND(H787="Realizado",L787&lt;&gt;""),L787/60,0)</f>
        <v>0.5</v>
      </c>
      <c r="V787" s="47">
        <f>IF(AND(H787="Realizado",OR(L787="",M787="")),1,0)</f>
        <v>0</v>
      </c>
    </row>
    <row r="788">
      <c r="A788" s="43" t="n">
        <v>46252</v>
      </c>
      <c r="B788" s="44" t="n">
        <v>0.7361111111111112</v>
      </c>
      <c r="C788" s="38" t="inlineStr">
        <is>
          <t>Dr. Paulo Andrade</t>
        </is>
      </c>
      <c r="D788" s="38" t="inlineStr">
        <is>
          <t>Sala 2</t>
        </is>
      </c>
      <c r="E788" s="37" t="inlineStr">
        <is>
          <t>Rodrigo Moreira</t>
        </is>
      </c>
      <c r="F788" s="38" t="inlineStr">
        <is>
          <t>Particular</t>
        </is>
      </c>
      <c r="G788" s="38" t="inlineStr">
        <is>
          <t>MAPA</t>
        </is>
      </c>
      <c r="H788" s="38" t="inlineStr">
        <is>
          <t>Cancelado</t>
        </is>
      </c>
      <c r="I788" s="38" t="n"/>
      <c r="J788" s="38" t="n"/>
      <c r="K788" s="37" t="n"/>
      <c r="L788" s="39" t="n">
        <v>20</v>
      </c>
      <c r="M788" s="40" t="n">
        <v>300</v>
      </c>
      <c r="N788" s="30">
        <f>IF(A788="","",MONTH(A788))</f>
        <v>8</v>
      </c>
      <c r="O788" s="30">
        <f>IF(A788="","",YEAR(A788))</f>
        <v>2026</v>
      </c>
      <c r="P788" s="30" t="str">
        <f>IF(A788="","",CHOOSE(WEEKDAY(A788,2),"Segunda","Terça","Quarta","Quinta","Sexta","Sábado","Domingo"))</f>
        <v>Terça</v>
      </c>
      <c r="Q788" s="30" t="str">
        <f>IF(B788="","",IF(B788&lt;TIME(12,0,0),"Manhã",IF(B788&lt;TIME(18,0,0),"Tarde","Noite")))</f>
        <v>Tarde</v>
      </c>
      <c r="R788" s="46">
        <f>IF(AND(H788="Realizado",L788&lt;&gt;"",A788&lt;=Config!$B$9),L788/60,0)</f>
        <v>0</v>
      </c>
      <c r="S788" s="45">
        <f>IF(G788="","",IFERROR(INDEX(Config!$K$5:$K$16,MATCH(G788,Config!$J$5:$J$16,0)),""))</f>
        <v>20</v>
      </c>
      <c r="T788" s="31">
        <f>IF(OR(G788="",F788=""),"",IFERROR(INDEX(Config!$M$5:$R$16,MATCH(G788,Config!$J$5:$J$16,0),MATCH(F788,Config!$H$5:$H$10,0)),""))</f>
        <v>300</v>
      </c>
      <c r="U788" s="47">
        <f>IF(AND(H788="Realizado",L788&lt;&gt;""),L788/60,0)</f>
        <v>0</v>
      </c>
      <c r="V788" s="47">
        <f>IF(AND(H788="Realizado",OR(L788="",M788="")),1,0)</f>
        <v>0</v>
      </c>
    </row>
    <row r="789">
      <c r="A789" s="43" t="n">
        <v>46253</v>
      </c>
      <c r="B789" s="44" t="n">
        <v>0.5833333333333334</v>
      </c>
      <c r="C789" s="38" t="inlineStr">
        <is>
          <t>Dra. Carolina Mendes</t>
        </is>
      </c>
      <c r="D789" s="38" t="inlineStr">
        <is>
          <t>Sala 1</t>
        </is>
      </c>
      <c r="E789" s="37" t="inlineStr">
        <is>
          <t>Otávio Nascimento</t>
        </is>
      </c>
      <c r="F789" s="38" t="inlineStr">
        <is>
          <t>Particular</t>
        </is>
      </c>
      <c r="G789" s="38" t="inlineStr">
        <is>
          <t>Consulta</t>
        </is>
      </c>
      <c r="H789" s="38" t="inlineStr">
        <is>
          <t>Falta</t>
        </is>
      </c>
      <c r="I789" s="38" t="n"/>
      <c r="J789" s="38" t="n"/>
      <c r="K789" s="37" t="n"/>
      <c r="L789" s="39" t="n">
        <v>30</v>
      </c>
      <c r="M789" s="40" t="n">
        <v>380</v>
      </c>
      <c r="N789" s="30">
        <f>IF(A789="","",MONTH(A789))</f>
        <v>8</v>
      </c>
      <c r="O789" s="30">
        <f>IF(A789="","",YEAR(A789))</f>
        <v>2026</v>
      </c>
      <c r="P789" s="30" t="str">
        <f>IF(A789="","",CHOOSE(WEEKDAY(A789,2),"Segunda","Terça","Quarta","Quinta","Sexta","Sábado","Domingo"))</f>
        <v>Quarta</v>
      </c>
      <c r="Q789" s="30" t="str">
        <f>IF(B789="","",IF(B789&lt;TIME(12,0,0),"Manhã",IF(B789&lt;TIME(18,0,0),"Tarde","Noite")))</f>
        <v>Tarde</v>
      </c>
      <c r="R789" s="46">
        <f>IF(AND(H789="Realizado",L789&lt;&gt;"",A789&lt;=Config!$B$9),L789/60,0)</f>
        <v>0</v>
      </c>
      <c r="S789" s="45">
        <f>IF(G789="","",IFERROR(INDEX(Config!$K$5:$K$16,MATCH(G789,Config!$J$5:$J$16,0)),""))</f>
        <v>30</v>
      </c>
      <c r="T789" s="31">
        <f>IF(OR(G789="",F789=""),"",IFERROR(INDEX(Config!$M$5:$R$16,MATCH(G789,Config!$J$5:$J$16,0),MATCH(F789,Config!$H$5:$H$10,0)),""))</f>
        <v>380</v>
      </c>
      <c r="U789" s="47">
        <f>IF(AND(H789="Realizado",L789&lt;&gt;""),L789/60,0)</f>
        <v>0</v>
      </c>
      <c r="V789" s="47">
        <f>IF(AND(H789="Realizado",OR(L789="",M789="")),1,0)</f>
        <v>0</v>
      </c>
    </row>
    <row r="790">
      <c r="A790" s="43" t="n">
        <v>46253</v>
      </c>
      <c r="B790" s="44" t="n">
        <v>0.6041666666666666</v>
      </c>
      <c r="C790" s="38" t="inlineStr">
        <is>
          <t>Dra. Carolina Mendes</t>
        </is>
      </c>
      <c r="D790" s="38" t="inlineStr">
        <is>
          <t>Sala 1</t>
        </is>
      </c>
      <c r="E790" s="37" t="inlineStr">
        <is>
          <t>Isabela Pinto</t>
        </is>
      </c>
      <c r="F790" s="38" t="inlineStr">
        <is>
          <t>Saúde Total</t>
        </is>
      </c>
      <c r="G790" s="38" t="inlineStr">
        <is>
          <t>Consulta</t>
        </is>
      </c>
      <c r="H790" s="38" t="inlineStr">
        <is>
          <t>Remarcado</t>
        </is>
      </c>
      <c r="I790" s="38" t="n"/>
      <c r="J790" s="38" t="n"/>
      <c r="K790" s="37" t="inlineStr">
        <is>
          <t>Paciente pediu outra data</t>
        </is>
      </c>
      <c r="L790" s="39" t="n">
        <v>30</v>
      </c>
      <c r="M790" s="40" t="n">
        <v>120</v>
      </c>
      <c r="N790" s="30">
        <f>IF(A790="","",MONTH(A790))</f>
        <v>8</v>
      </c>
      <c r="O790" s="30">
        <f>IF(A790="","",YEAR(A790))</f>
        <v>2026</v>
      </c>
      <c r="P790" s="30" t="str">
        <f>IF(A790="","",CHOOSE(WEEKDAY(A790,2),"Segunda","Terça","Quarta","Quinta","Sexta","Sábado","Domingo"))</f>
        <v>Quarta</v>
      </c>
      <c r="Q790" s="30" t="str">
        <f>IF(B790="","",IF(B790&lt;TIME(12,0,0),"Manhã",IF(B790&lt;TIME(18,0,0),"Tarde","Noite")))</f>
        <v>Tarde</v>
      </c>
      <c r="R790" s="46">
        <f>IF(AND(H790="Realizado",L790&lt;&gt;"",A790&lt;=Config!$B$9),L790/60,0)</f>
        <v>0</v>
      </c>
      <c r="S790" s="45">
        <f>IF(G790="","",IFERROR(INDEX(Config!$K$5:$K$16,MATCH(G790,Config!$J$5:$J$16,0)),""))</f>
        <v>30</v>
      </c>
      <c r="T790" s="31">
        <f>IF(OR(G790="",F790=""),"",IFERROR(INDEX(Config!$M$5:$R$16,MATCH(G790,Config!$J$5:$J$16,0),MATCH(F790,Config!$H$5:$H$10,0)),""))</f>
        <v>120</v>
      </c>
      <c r="U790" s="47">
        <f>IF(AND(H790="Realizado",L790&lt;&gt;""),L790/60,0)</f>
        <v>0</v>
      </c>
      <c r="V790" s="47">
        <f>IF(AND(H790="Realizado",OR(L790="",M790="")),1,0)</f>
        <v>0</v>
      </c>
    </row>
    <row r="791">
      <c r="A791" s="43" t="n">
        <v>46253</v>
      </c>
      <c r="B791" s="44" t="n">
        <v>0.625</v>
      </c>
      <c r="C791" s="38" t="inlineStr">
        <is>
          <t>Dra. Carolina Mendes</t>
        </is>
      </c>
      <c r="D791" s="38" t="inlineStr">
        <is>
          <t>Sala 1</t>
        </is>
      </c>
      <c r="E791" s="37" t="inlineStr">
        <is>
          <t>Marcelo Santos</t>
        </is>
      </c>
      <c r="F791" s="38" t="inlineStr">
        <is>
          <t>Particular</t>
        </is>
      </c>
      <c r="G791" s="38" t="inlineStr">
        <is>
          <t>Consulta</t>
        </is>
      </c>
      <c r="H791" s="38" t="inlineStr">
        <is>
          <t>Realizado</t>
        </is>
      </c>
      <c r="I791" s="38" t="inlineStr">
        <is>
          <t>Pix</t>
        </is>
      </c>
      <c r="J791" s="38" t="n"/>
      <c r="K791" s="37" t="n"/>
      <c r="L791" s="39" t="n">
        <v>30</v>
      </c>
      <c r="M791" s="40" t="n">
        <v>380</v>
      </c>
      <c r="N791" s="30">
        <f>IF(A791="","",MONTH(A791))</f>
        <v>8</v>
      </c>
      <c r="O791" s="30">
        <f>IF(A791="","",YEAR(A791))</f>
        <v>2026</v>
      </c>
      <c r="P791" s="30" t="str">
        <f>IF(A791="","",CHOOSE(WEEKDAY(A791,2),"Segunda","Terça","Quarta","Quinta","Sexta","Sábado","Domingo"))</f>
        <v>Quarta</v>
      </c>
      <c r="Q791" s="30" t="str">
        <f>IF(B791="","",IF(B791&lt;TIME(12,0,0),"Manhã",IF(B791&lt;TIME(18,0,0),"Tarde","Noite")))</f>
        <v>Tarde</v>
      </c>
      <c r="R791" s="46">
        <f>IF(AND(H791="Realizado",L791&lt;&gt;"",A791&lt;=Config!$B$9),L791/60,0)</f>
        <v>0.5</v>
      </c>
      <c r="S791" s="45">
        <f>IF(G791="","",IFERROR(INDEX(Config!$K$5:$K$16,MATCH(G791,Config!$J$5:$J$16,0)),""))</f>
        <v>30</v>
      </c>
      <c r="T791" s="31">
        <f>IF(OR(G791="",F791=""),"",IFERROR(INDEX(Config!$M$5:$R$16,MATCH(G791,Config!$J$5:$J$16,0),MATCH(F791,Config!$H$5:$H$10,0)),""))</f>
        <v>380</v>
      </c>
      <c r="U791" s="47">
        <f>IF(AND(H791="Realizado",L791&lt;&gt;""),L791/60,0)</f>
        <v>0.5</v>
      </c>
      <c r="V791" s="47">
        <f>IF(AND(H791="Realizado",OR(L791="",M791="")),1,0)</f>
        <v>0</v>
      </c>
    </row>
    <row r="792">
      <c r="A792" s="43" t="n">
        <v>46253</v>
      </c>
      <c r="B792" s="44" t="n">
        <v>0.6458333333333334</v>
      </c>
      <c r="C792" s="38" t="inlineStr">
        <is>
          <t>Dra. Carolina Mendes</t>
        </is>
      </c>
      <c r="D792" s="38" t="inlineStr">
        <is>
          <t>Sala 1</t>
        </is>
      </c>
      <c r="E792" s="37" t="inlineStr">
        <is>
          <t>Cláudia Santos</t>
        </is>
      </c>
      <c r="F792" s="38" t="inlineStr">
        <is>
          <t>Particular</t>
        </is>
      </c>
      <c r="G792" s="38" t="inlineStr">
        <is>
          <t>Consulta</t>
        </is>
      </c>
      <c r="H792" s="38" t="inlineStr">
        <is>
          <t>Cancelado</t>
        </is>
      </c>
      <c r="I792" s="38" t="n"/>
      <c r="J792" s="38" t="n"/>
      <c r="K792" s="37" t="n"/>
      <c r="L792" s="39" t="n">
        <v>30</v>
      </c>
      <c r="M792" s="40" t="n">
        <v>380</v>
      </c>
      <c r="N792" s="30">
        <f>IF(A792="","",MONTH(A792))</f>
        <v>8</v>
      </c>
      <c r="O792" s="30">
        <f>IF(A792="","",YEAR(A792))</f>
        <v>2026</v>
      </c>
      <c r="P792" s="30" t="str">
        <f>IF(A792="","",CHOOSE(WEEKDAY(A792,2),"Segunda","Terça","Quarta","Quinta","Sexta","Sábado","Domingo"))</f>
        <v>Quarta</v>
      </c>
      <c r="Q792" s="30" t="str">
        <f>IF(B792="","",IF(B792&lt;TIME(12,0,0),"Manhã",IF(B792&lt;TIME(18,0,0),"Tarde","Noite")))</f>
        <v>Tarde</v>
      </c>
      <c r="R792" s="46">
        <f>IF(AND(H792="Realizado",L792&lt;&gt;"",A792&lt;=Config!$B$9),L792/60,0)</f>
        <v>0</v>
      </c>
      <c r="S792" s="45">
        <f>IF(G792="","",IFERROR(INDEX(Config!$K$5:$K$16,MATCH(G792,Config!$J$5:$J$16,0)),""))</f>
        <v>30</v>
      </c>
      <c r="T792" s="31">
        <f>IF(OR(G792="",F792=""),"",IFERROR(INDEX(Config!$M$5:$R$16,MATCH(G792,Config!$J$5:$J$16,0),MATCH(F792,Config!$H$5:$H$10,0)),""))</f>
        <v>380</v>
      </c>
      <c r="U792" s="47">
        <f>IF(AND(H792="Realizado",L792&lt;&gt;""),L792/60,0)</f>
        <v>0</v>
      </c>
      <c r="V792" s="47">
        <f>IF(AND(H792="Realizado",OR(L792="",M792="")),1,0)</f>
        <v>0</v>
      </c>
    </row>
    <row r="793">
      <c r="A793" s="43" t="n">
        <v>46253</v>
      </c>
      <c r="B793" s="44" t="n">
        <v>0.6666666666666666</v>
      </c>
      <c r="C793" s="38" t="inlineStr">
        <is>
          <t>Dra. Carolina Mendes</t>
        </is>
      </c>
      <c r="D793" s="38" t="inlineStr">
        <is>
          <t>Sala 1</t>
        </is>
      </c>
      <c r="E793" s="37" t="inlineStr">
        <is>
          <t>Isabela Pinto</t>
        </is>
      </c>
      <c r="F793" s="38" t="inlineStr">
        <is>
          <t>Saúde Total</t>
        </is>
      </c>
      <c r="G793" s="38" t="inlineStr">
        <is>
          <t>Consulta</t>
        </is>
      </c>
      <c r="H793" s="38" t="inlineStr">
        <is>
          <t>Realizado</t>
        </is>
      </c>
      <c r="I793" s="38" t="inlineStr">
        <is>
          <t>Convênio</t>
        </is>
      </c>
      <c r="J793" s="38" t="n"/>
      <c r="K793" s="37" t="n"/>
      <c r="L793" s="39" t="n">
        <v>30</v>
      </c>
      <c r="M793" s="40" t="n">
        <v>120</v>
      </c>
      <c r="N793" s="30">
        <f>IF(A793="","",MONTH(A793))</f>
        <v>8</v>
      </c>
      <c r="O793" s="30">
        <f>IF(A793="","",YEAR(A793))</f>
        <v>2026</v>
      </c>
      <c r="P793" s="30" t="str">
        <f>IF(A793="","",CHOOSE(WEEKDAY(A793,2),"Segunda","Terça","Quarta","Quinta","Sexta","Sábado","Domingo"))</f>
        <v>Quarta</v>
      </c>
      <c r="Q793" s="30" t="str">
        <f>IF(B793="","",IF(B793&lt;TIME(12,0,0),"Manhã",IF(B793&lt;TIME(18,0,0),"Tarde","Noite")))</f>
        <v>Tarde</v>
      </c>
      <c r="R793" s="46">
        <f>IF(AND(H793="Realizado",L793&lt;&gt;"",A793&lt;=Config!$B$9),L793/60,0)</f>
        <v>0.5</v>
      </c>
      <c r="S793" s="45">
        <f>IF(G793="","",IFERROR(INDEX(Config!$K$5:$K$16,MATCH(G793,Config!$J$5:$J$16,0)),""))</f>
        <v>30</v>
      </c>
      <c r="T793" s="31">
        <f>IF(OR(G793="",F793=""),"",IFERROR(INDEX(Config!$M$5:$R$16,MATCH(G793,Config!$J$5:$J$16,0),MATCH(F793,Config!$H$5:$H$10,0)),""))</f>
        <v>120</v>
      </c>
      <c r="U793" s="47">
        <f>IF(AND(H793="Realizado",L793&lt;&gt;""),L793/60,0)</f>
        <v>0.5</v>
      </c>
      <c r="V793" s="47">
        <f>IF(AND(H793="Realizado",OR(L793="",M793="")),1,0)</f>
        <v>0</v>
      </c>
    </row>
    <row r="794">
      <c r="A794" s="43" t="n">
        <v>46253</v>
      </c>
      <c r="B794" s="44" t="n">
        <v>0.6875</v>
      </c>
      <c r="C794" s="38" t="inlineStr">
        <is>
          <t>Dra. Carolina Mendes</t>
        </is>
      </c>
      <c r="D794" s="38" t="inlineStr">
        <is>
          <t>Sala 1</t>
        </is>
      </c>
      <c r="E794" s="37" t="inlineStr">
        <is>
          <t>Gisele Xavier</t>
        </is>
      </c>
      <c r="F794" s="38" t="inlineStr">
        <is>
          <t>Particular</t>
        </is>
      </c>
      <c r="G794" s="38" t="inlineStr">
        <is>
          <t>Consulta</t>
        </is>
      </c>
      <c r="H794" s="38" t="inlineStr">
        <is>
          <t>Realizado</t>
        </is>
      </c>
      <c r="I794" s="38" t="inlineStr">
        <is>
          <t>Cartão de débito</t>
        </is>
      </c>
      <c r="J794" s="38" t="n"/>
      <c r="K794" s="37" t="n"/>
      <c r="L794" s="39" t="n">
        <v>30</v>
      </c>
      <c r="M794" s="40" t="n">
        <v>380</v>
      </c>
      <c r="N794" s="30">
        <f>IF(A794="","",MONTH(A794))</f>
        <v>8</v>
      </c>
      <c r="O794" s="30">
        <f>IF(A794="","",YEAR(A794))</f>
        <v>2026</v>
      </c>
      <c r="P794" s="30" t="str">
        <f>IF(A794="","",CHOOSE(WEEKDAY(A794,2),"Segunda","Terça","Quarta","Quinta","Sexta","Sábado","Domingo"))</f>
        <v>Quarta</v>
      </c>
      <c r="Q794" s="30" t="str">
        <f>IF(B794="","",IF(B794&lt;TIME(12,0,0),"Manhã",IF(B794&lt;TIME(18,0,0),"Tarde","Noite")))</f>
        <v>Tarde</v>
      </c>
      <c r="R794" s="46">
        <f>IF(AND(H794="Realizado",L794&lt;&gt;"",A794&lt;=Config!$B$9),L794/60,0)</f>
        <v>0.5</v>
      </c>
      <c r="S794" s="45">
        <f>IF(G794="","",IFERROR(INDEX(Config!$K$5:$K$16,MATCH(G794,Config!$J$5:$J$16,0)),""))</f>
        <v>30</v>
      </c>
      <c r="T794" s="31">
        <f>IF(OR(G794="",F794=""),"",IFERROR(INDEX(Config!$M$5:$R$16,MATCH(G794,Config!$J$5:$J$16,0),MATCH(F794,Config!$H$5:$H$10,0)),""))</f>
        <v>380</v>
      </c>
      <c r="U794" s="47">
        <f>IF(AND(H794="Realizado",L794&lt;&gt;""),L794/60,0)</f>
        <v>0.5</v>
      </c>
      <c r="V794" s="47">
        <f>IF(AND(H794="Realizado",OR(L794="",M794="")),1,0)</f>
        <v>0</v>
      </c>
    </row>
    <row r="795">
      <c r="A795" s="43" t="n">
        <v>46253</v>
      </c>
      <c r="B795" s="44" t="n">
        <v>0.7083333333333334</v>
      </c>
      <c r="C795" s="38" t="inlineStr">
        <is>
          <t>Dra. Carolina Mendes</t>
        </is>
      </c>
      <c r="D795" s="38" t="inlineStr">
        <is>
          <t>Sala 1</t>
        </is>
      </c>
      <c r="E795" s="37" t="inlineStr">
        <is>
          <t>Mônica Batista</t>
        </is>
      </c>
      <c r="F795" s="38" t="inlineStr">
        <is>
          <t>MediPlan</t>
        </is>
      </c>
      <c r="G795" s="38" t="inlineStr">
        <is>
          <t>Consulta</t>
        </is>
      </c>
      <c r="H795" s="38" t="inlineStr">
        <is>
          <t>Realizado</t>
        </is>
      </c>
      <c r="I795" s="38" t="inlineStr">
        <is>
          <t>Convênio</t>
        </is>
      </c>
      <c r="J795" s="38" t="n"/>
      <c r="K795" s="37" t="n"/>
      <c r="L795" s="39" t="n">
        <v>30</v>
      </c>
      <c r="M795" s="40" t="n">
        <v>100</v>
      </c>
      <c r="N795" s="30">
        <f>IF(A795="","",MONTH(A795))</f>
        <v>8</v>
      </c>
      <c r="O795" s="30">
        <f>IF(A795="","",YEAR(A795))</f>
        <v>2026</v>
      </c>
      <c r="P795" s="30" t="str">
        <f>IF(A795="","",CHOOSE(WEEKDAY(A795,2),"Segunda","Terça","Quarta","Quinta","Sexta","Sábado","Domingo"))</f>
        <v>Quarta</v>
      </c>
      <c r="Q795" s="30" t="str">
        <f>IF(B795="","",IF(B795&lt;TIME(12,0,0),"Manhã",IF(B795&lt;TIME(18,0,0),"Tarde","Noite")))</f>
        <v>Tarde</v>
      </c>
      <c r="R795" s="46">
        <f>IF(AND(H795="Realizado",L795&lt;&gt;"",A795&lt;=Config!$B$9),L795/60,0)</f>
        <v>0.5</v>
      </c>
      <c r="S795" s="45">
        <f>IF(G795="","",IFERROR(INDEX(Config!$K$5:$K$16,MATCH(G795,Config!$J$5:$J$16,0)),""))</f>
        <v>30</v>
      </c>
      <c r="T795" s="31">
        <f>IF(OR(G795="",F795=""),"",IFERROR(INDEX(Config!$M$5:$R$16,MATCH(G795,Config!$J$5:$J$16,0),MATCH(F795,Config!$H$5:$H$10,0)),""))</f>
        <v>100</v>
      </c>
      <c r="U795" s="47">
        <f>IF(AND(H795="Realizado",L795&lt;&gt;""),L795/60,0)</f>
        <v>0.5</v>
      </c>
      <c r="V795" s="47">
        <f>IF(AND(H795="Realizado",OR(L795="",M795="")),1,0)</f>
        <v>0</v>
      </c>
    </row>
    <row r="796">
      <c r="A796" s="43" t="n">
        <v>46253</v>
      </c>
      <c r="B796" s="44" t="n">
        <v>0.7291666666666666</v>
      </c>
      <c r="C796" s="38" t="inlineStr">
        <is>
          <t>Dra. Carolina Mendes</t>
        </is>
      </c>
      <c r="D796" s="38" t="inlineStr">
        <is>
          <t>Sala 1</t>
        </is>
      </c>
      <c r="E796" s="37" t="inlineStr">
        <is>
          <t>Roberta Fernandes</t>
        </is>
      </c>
      <c r="F796" s="38" t="inlineStr">
        <is>
          <t>Saúde Total</t>
        </is>
      </c>
      <c r="G796" s="38" t="inlineStr">
        <is>
          <t>Consulta</t>
        </is>
      </c>
      <c r="H796" s="38" t="inlineStr">
        <is>
          <t>Realizado</t>
        </is>
      </c>
      <c r="I796" s="38" t="inlineStr">
        <is>
          <t>Convênio</t>
        </is>
      </c>
      <c r="J796" s="38" t="n"/>
      <c r="K796" s="37" t="n"/>
      <c r="L796" s="39" t="n">
        <v>30</v>
      </c>
      <c r="M796" s="40" t="n">
        <v>120</v>
      </c>
      <c r="N796" s="30">
        <f>IF(A796="","",MONTH(A796))</f>
        <v>8</v>
      </c>
      <c r="O796" s="30">
        <f>IF(A796="","",YEAR(A796))</f>
        <v>2026</v>
      </c>
      <c r="P796" s="30" t="str">
        <f>IF(A796="","",CHOOSE(WEEKDAY(A796,2),"Segunda","Terça","Quarta","Quinta","Sexta","Sábado","Domingo"))</f>
        <v>Quarta</v>
      </c>
      <c r="Q796" s="30" t="str">
        <f>IF(B796="","",IF(B796&lt;TIME(12,0,0),"Manhã",IF(B796&lt;TIME(18,0,0),"Tarde","Noite")))</f>
        <v>Tarde</v>
      </c>
      <c r="R796" s="46">
        <f>IF(AND(H796="Realizado",L796&lt;&gt;"",A796&lt;=Config!$B$9),L796/60,0)</f>
        <v>0.5</v>
      </c>
      <c r="S796" s="45">
        <f>IF(G796="","",IFERROR(INDEX(Config!$K$5:$K$16,MATCH(G796,Config!$J$5:$J$16,0)),""))</f>
        <v>30</v>
      </c>
      <c r="T796" s="31">
        <f>IF(OR(G796="",F796=""),"",IFERROR(INDEX(Config!$M$5:$R$16,MATCH(G796,Config!$J$5:$J$16,0),MATCH(F796,Config!$H$5:$H$10,0)),""))</f>
        <v>120</v>
      </c>
      <c r="U796" s="47">
        <f>IF(AND(H796="Realizado",L796&lt;&gt;""),L796/60,0)</f>
        <v>0.5</v>
      </c>
      <c r="V796" s="47">
        <f>IF(AND(H796="Realizado",OR(L796="",M796="")),1,0)</f>
        <v>0</v>
      </c>
    </row>
    <row r="797">
      <c r="A797" s="43" t="n">
        <v>46254</v>
      </c>
      <c r="B797" s="44" t="n">
        <v>0.3541666666666667</v>
      </c>
      <c r="C797" s="38" t="inlineStr">
        <is>
          <t>Dra. Carolina Mendes</t>
        </is>
      </c>
      <c r="D797" s="38" t="inlineStr">
        <is>
          <t>Sala 1</t>
        </is>
      </c>
      <c r="E797" s="37" t="inlineStr">
        <is>
          <t>Eduardo Lima</t>
        </is>
      </c>
      <c r="F797" s="38" t="inlineStr">
        <is>
          <t>Particular</t>
        </is>
      </c>
      <c r="G797" s="38" t="inlineStr">
        <is>
          <t>Consulta</t>
        </is>
      </c>
      <c r="H797" s="38" t="inlineStr">
        <is>
          <t>Realizado</t>
        </is>
      </c>
      <c r="I797" s="38" t="inlineStr">
        <is>
          <t>A prazo</t>
        </is>
      </c>
      <c r="J797" s="38" t="n"/>
      <c r="K797" s="37" t="n"/>
      <c r="L797" s="39" t="n">
        <v>30</v>
      </c>
      <c r="M797" s="40" t="n">
        <v>380</v>
      </c>
      <c r="N797" s="30">
        <f>IF(A797="","",MONTH(A797))</f>
        <v>8</v>
      </c>
      <c r="O797" s="30">
        <f>IF(A797="","",YEAR(A797))</f>
        <v>2026</v>
      </c>
      <c r="P797" s="30" t="str">
        <f>IF(A797="","",CHOOSE(WEEKDAY(A797,2),"Segunda","Terça","Quarta","Quinta","Sexta","Sábado","Domingo"))</f>
        <v>Quinta</v>
      </c>
      <c r="Q797" s="30" t="str">
        <f>IF(B797="","",IF(B797&lt;TIME(12,0,0),"Manhã",IF(B797&lt;TIME(18,0,0),"Tarde","Noite")))</f>
        <v>Manhã</v>
      </c>
      <c r="R797" s="46">
        <f>IF(AND(H797="Realizado",L797&lt;&gt;"",A797&lt;=Config!$B$9),L797/60,0)</f>
        <v>0.5</v>
      </c>
      <c r="S797" s="45">
        <f>IF(G797="","",IFERROR(INDEX(Config!$K$5:$K$16,MATCH(G797,Config!$J$5:$J$16,0)),""))</f>
        <v>30</v>
      </c>
      <c r="T797" s="31">
        <f>IF(OR(G797="",F797=""),"",IFERROR(INDEX(Config!$M$5:$R$16,MATCH(G797,Config!$J$5:$J$16,0),MATCH(F797,Config!$H$5:$H$10,0)),""))</f>
        <v>380</v>
      </c>
      <c r="U797" s="47">
        <f>IF(AND(H797="Realizado",L797&lt;&gt;""),L797/60,0)</f>
        <v>0.5</v>
      </c>
      <c r="V797" s="47">
        <f>IF(AND(H797="Realizado",OR(L797="",M797="")),1,0)</f>
        <v>0</v>
      </c>
    </row>
    <row r="798">
      <c r="A798" s="43" t="n">
        <v>46254</v>
      </c>
      <c r="B798" s="44" t="n">
        <v>0.375</v>
      </c>
      <c r="C798" s="38" t="inlineStr">
        <is>
          <t>Dra. Carolina Mendes</t>
        </is>
      </c>
      <c r="D798" s="38" t="inlineStr">
        <is>
          <t>Sala 1</t>
        </is>
      </c>
      <c r="E798" s="37" t="inlineStr">
        <is>
          <t>Daniel Almeida</t>
        </is>
      </c>
      <c r="F798" s="38" t="inlineStr">
        <is>
          <t>Saúde Total</t>
        </is>
      </c>
      <c r="G798" s="38" t="inlineStr">
        <is>
          <t>Retorno</t>
        </is>
      </c>
      <c r="H798" s="38" t="inlineStr">
        <is>
          <t>Realizado</t>
        </is>
      </c>
      <c r="I798" s="38" t="inlineStr">
        <is>
          <t>Sem cobrança</t>
        </is>
      </c>
      <c r="J798" s="38" t="n"/>
      <c r="K798" s="37" t="n"/>
      <c r="L798" s="39" t="n">
        <v>20</v>
      </c>
      <c r="M798" s="40" t="n">
        <v>0</v>
      </c>
      <c r="N798" s="30">
        <f>IF(A798="","",MONTH(A798))</f>
        <v>8</v>
      </c>
      <c r="O798" s="30">
        <f>IF(A798="","",YEAR(A798))</f>
        <v>2026</v>
      </c>
      <c r="P798" s="30" t="str">
        <f>IF(A798="","",CHOOSE(WEEKDAY(A798,2),"Segunda","Terça","Quarta","Quinta","Sexta","Sábado","Domingo"))</f>
        <v>Quinta</v>
      </c>
      <c r="Q798" s="30" t="str">
        <f>IF(B798="","",IF(B798&lt;TIME(12,0,0),"Manhã",IF(B798&lt;TIME(18,0,0),"Tarde","Noite")))</f>
        <v>Manhã</v>
      </c>
      <c r="R798" s="46">
        <f>IF(AND(H798="Realizado",L798&lt;&gt;"",A798&lt;=Config!$B$9),L798/60,0)</f>
        <v>0.333333333333333</v>
      </c>
      <c r="S798" s="45">
        <f>IF(G798="","",IFERROR(INDEX(Config!$K$5:$K$16,MATCH(G798,Config!$J$5:$J$16,0)),""))</f>
        <v>20</v>
      </c>
      <c r="T798" s="31">
        <f>IF(OR(G798="",F798=""),"",IFERROR(INDEX(Config!$M$5:$R$16,MATCH(G798,Config!$J$5:$J$16,0),MATCH(F798,Config!$H$5:$H$10,0)),""))</f>
        <v>0</v>
      </c>
      <c r="U798" s="47">
        <f>IF(AND(H798="Realizado",L798&lt;&gt;""),L798/60,0)</f>
        <v>0.333333333333333</v>
      </c>
      <c r="V798" s="47">
        <f>IF(AND(H798="Realizado",OR(L798="",M798="")),1,0)</f>
        <v>0</v>
      </c>
    </row>
    <row r="799">
      <c r="A799" s="43" t="n">
        <v>46254</v>
      </c>
      <c r="B799" s="44" t="n">
        <v>0.3888888888888889</v>
      </c>
      <c r="C799" s="38" t="inlineStr">
        <is>
          <t>Dra. Carolina Mendes</t>
        </is>
      </c>
      <c r="D799" s="38" t="inlineStr">
        <is>
          <t>Sala 1</t>
        </is>
      </c>
      <c r="E799" s="37" t="inlineStr">
        <is>
          <t>Regina Macedo</t>
        </is>
      </c>
      <c r="F799" s="38" t="inlineStr">
        <is>
          <t>Particular</t>
        </is>
      </c>
      <c r="G799" s="38" t="inlineStr">
        <is>
          <t>Consulta</t>
        </is>
      </c>
      <c r="H799" s="38" t="inlineStr">
        <is>
          <t>Realizado</t>
        </is>
      </c>
      <c r="I799" s="38" t="inlineStr">
        <is>
          <t>Pix</t>
        </is>
      </c>
      <c r="J799" s="38" t="n"/>
      <c r="K799" s="37" t="n"/>
      <c r="L799" s="39" t="n">
        <v>30</v>
      </c>
      <c r="M799" s="40" t="n">
        <v>380</v>
      </c>
      <c r="N799" s="30">
        <f>IF(A799="","",MONTH(A799))</f>
        <v>8</v>
      </c>
      <c r="O799" s="30">
        <f>IF(A799="","",YEAR(A799))</f>
        <v>2026</v>
      </c>
      <c r="P799" s="30" t="str">
        <f>IF(A799="","",CHOOSE(WEEKDAY(A799,2),"Segunda","Terça","Quarta","Quinta","Sexta","Sábado","Domingo"))</f>
        <v>Quinta</v>
      </c>
      <c r="Q799" s="30" t="str">
        <f>IF(B799="","",IF(B799&lt;TIME(12,0,0),"Manhã",IF(B799&lt;TIME(18,0,0),"Tarde","Noite")))</f>
        <v>Manhã</v>
      </c>
      <c r="R799" s="46">
        <f>IF(AND(H799="Realizado",L799&lt;&gt;"",A799&lt;=Config!$B$9),L799/60,0)</f>
        <v>0.5</v>
      </c>
      <c r="S799" s="45">
        <f>IF(G799="","",IFERROR(INDEX(Config!$K$5:$K$16,MATCH(G799,Config!$J$5:$J$16,0)),""))</f>
        <v>30</v>
      </c>
      <c r="T799" s="31">
        <f>IF(OR(G799="",F799=""),"",IFERROR(INDEX(Config!$M$5:$R$16,MATCH(G799,Config!$J$5:$J$16,0),MATCH(F799,Config!$H$5:$H$10,0)),""))</f>
        <v>380</v>
      </c>
      <c r="U799" s="47">
        <f>IF(AND(H799="Realizado",L799&lt;&gt;""),L799/60,0)</f>
        <v>0.5</v>
      </c>
      <c r="V799" s="47">
        <f>IF(AND(H799="Realizado",OR(L799="",M799="")),1,0)</f>
        <v>0</v>
      </c>
    </row>
    <row r="800">
      <c r="A800" s="43" t="n">
        <v>46254</v>
      </c>
      <c r="B800" s="44" t="n">
        <v>0.4097222222222222</v>
      </c>
      <c r="C800" s="38" t="inlineStr">
        <is>
          <t>Dra. Carolina Mendes</t>
        </is>
      </c>
      <c r="D800" s="38" t="inlineStr">
        <is>
          <t>Sala 1</t>
        </is>
      </c>
      <c r="E800" s="37" t="inlineStr">
        <is>
          <t>Eduardo Nunes</t>
        </is>
      </c>
      <c r="F800" s="38" t="inlineStr">
        <is>
          <t>MediPlan</t>
        </is>
      </c>
      <c r="G800" s="38" t="inlineStr">
        <is>
          <t>Consulta</t>
        </is>
      </c>
      <c r="H800" s="38" t="inlineStr">
        <is>
          <t>Realizado</t>
        </is>
      </c>
      <c r="I800" s="38" t="inlineStr">
        <is>
          <t>Convênio</t>
        </is>
      </c>
      <c r="J800" s="38" t="n"/>
      <c r="K800" s="37" t="n"/>
      <c r="L800" s="39" t="n">
        <v>30</v>
      </c>
      <c r="M800" s="40" t="n">
        <v>100</v>
      </c>
      <c r="N800" s="30">
        <f>IF(A800="","",MONTH(A800))</f>
        <v>8</v>
      </c>
      <c r="O800" s="30">
        <f>IF(A800="","",YEAR(A800))</f>
        <v>2026</v>
      </c>
      <c r="P800" s="30" t="str">
        <f>IF(A800="","",CHOOSE(WEEKDAY(A800,2),"Segunda","Terça","Quarta","Quinta","Sexta","Sábado","Domingo"))</f>
        <v>Quinta</v>
      </c>
      <c r="Q800" s="30" t="str">
        <f>IF(B800="","",IF(B800&lt;TIME(12,0,0),"Manhã",IF(B800&lt;TIME(18,0,0),"Tarde","Noite")))</f>
        <v>Manhã</v>
      </c>
      <c r="R800" s="46">
        <f>IF(AND(H800="Realizado",L800&lt;&gt;"",A800&lt;=Config!$B$9),L800/60,0)</f>
        <v>0.5</v>
      </c>
      <c r="S800" s="45">
        <f>IF(G800="","",IFERROR(INDEX(Config!$K$5:$K$16,MATCH(G800,Config!$J$5:$J$16,0)),""))</f>
        <v>30</v>
      </c>
      <c r="T800" s="31">
        <f>IF(OR(G800="",F800=""),"",IFERROR(INDEX(Config!$M$5:$R$16,MATCH(G800,Config!$J$5:$J$16,0),MATCH(F800,Config!$H$5:$H$10,0)),""))</f>
        <v>100</v>
      </c>
      <c r="U800" s="47">
        <f>IF(AND(H800="Realizado",L800&lt;&gt;""),L800/60,0)</f>
        <v>0.5</v>
      </c>
      <c r="V800" s="47">
        <f>IF(AND(H800="Realizado",OR(L800="",M800="")),1,0)</f>
        <v>0</v>
      </c>
    </row>
    <row r="801">
      <c r="A801" s="43" t="n">
        <v>46254</v>
      </c>
      <c r="B801" s="44" t="n">
        <v>0.4513888888888889</v>
      </c>
      <c r="C801" s="38" t="inlineStr">
        <is>
          <t>Dra. Carolina Mendes</t>
        </is>
      </c>
      <c r="D801" s="38" t="inlineStr">
        <is>
          <t>Sala 1</t>
        </is>
      </c>
      <c r="E801" s="37" t="inlineStr">
        <is>
          <t>Mônica Teixeira</t>
        </is>
      </c>
      <c r="F801" s="38" t="inlineStr">
        <is>
          <t>Vida Care</t>
        </is>
      </c>
      <c r="G801" s="38" t="inlineStr">
        <is>
          <t>Consulta</t>
        </is>
      </c>
      <c r="H801" s="38" t="inlineStr">
        <is>
          <t>Realizado</t>
        </is>
      </c>
      <c r="I801" s="38" t="inlineStr">
        <is>
          <t>Convênio</t>
        </is>
      </c>
      <c r="J801" s="38" t="n"/>
      <c r="K801" s="37" t="n"/>
      <c r="L801" s="39" t="n">
        <v>30</v>
      </c>
      <c r="M801" s="40" t="n">
        <v>90</v>
      </c>
      <c r="N801" s="30">
        <f>IF(A801="","",MONTH(A801))</f>
        <v>8</v>
      </c>
      <c r="O801" s="30">
        <f>IF(A801="","",YEAR(A801))</f>
        <v>2026</v>
      </c>
      <c r="P801" s="30" t="str">
        <f>IF(A801="","",CHOOSE(WEEKDAY(A801,2),"Segunda","Terça","Quarta","Quinta","Sexta","Sábado","Domingo"))</f>
        <v>Quinta</v>
      </c>
      <c r="Q801" s="30" t="str">
        <f>IF(B801="","",IF(B801&lt;TIME(12,0,0),"Manhã",IF(B801&lt;TIME(18,0,0),"Tarde","Noite")))</f>
        <v>Manhã</v>
      </c>
      <c r="R801" s="46">
        <f>IF(AND(H801="Realizado",L801&lt;&gt;"",A801&lt;=Config!$B$9),L801/60,0)</f>
        <v>0.5</v>
      </c>
      <c r="S801" s="45">
        <f>IF(G801="","",IFERROR(INDEX(Config!$K$5:$K$16,MATCH(G801,Config!$J$5:$J$16,0)),""))</f>
        <v>30</v>
      </c>
      <c r="T801" s="31">
        <f>IF(OR(G801="",F801=""),"",IFERROR(INDEX(Config!$M$5:$R$16,MATCH(G801,Config!$J$5:$J$16,0),MATCH(F801,Config!$H$5:$H$10,0)),""))</f>
        <v>90</v>
      </c>
      <c r="U801" s="47">
        <f>IF(AND(H801="Realizado",L801&lt;&gt;""),L801/60,0)</f>
        <v>0.5</v>
      </c>
      <c r="V801" s="47">
        <f>IF(AND(H801="Realizado",OR(L801="",M801="")),1,0)</f>
        <v>0</v>
      </c>
    </row>
    <row r="802">
      <c r="A802" s="43" t="n">
        <v>46254</v>
      </c>
      <c r="B802" s="44" t="n">
        <v>0.4722222222222222</v>
      </c>
      <c r="C802" s="38" t="inlineStr">
        <is>
          <t>Dra. Carolina Mendes</t>
        </is>
      </c>
      <c r="D802" s="38" t="inlineStr">
        <is>
          <t>Sala 1</t>
        </is>
      </c>
      <c r="E802" s="37" t="inlineStr">
        <is>
          <t>Otávio Cardoso</t>
        </is>
      </c>
      <c r="F802" s="38" t="inlineStr">
        <is>
          <t>Particular</t>
        </is>
      </c>
      <c r="G802" s="38" t="inlineStr">
        <is>
          <t>Consulta</t>
        </is>
      </c>
      <c r="H802" s="38" t="inlineStr">
        <is>
          <t>Cancelado</t>
        </is>
      </c>
      <c r="I802" s="38" t="n"/>
      <c r="J802" s="38" t="n"/>
      <c r="K802" s="37" t="n"/>
      <c r="L802" s="39" t="n">
        <v>30</v>
      </c>
      <c r="M802" s="40" t="n">
        <v>380</v>
      </c>
      <c r="N802" s="30">
        <f>IF(A802="","",MONTH(A802))</f>
        <v>8</v>
      </c>
      <c r="O802" s="30">
        <f>IF(A802="","",YEAR(A802))</f>
        <v>2026</v>
      </c>
      <c r="P802" s="30" t="str">
        <f>IF(A802="","",CHOOSE(WEEKDAY(A802,2),"Segunda","Terça","Quarta","Quinta","Sexta","Sábado","Domingo"))</f>
        <v>Quinta</v>
      </c>
      <c r="Q802" s="30" t="str">
        <f>IF(B802="","",IF(B802&lt;TIME(12,0,0),"Manhã",IF(B802&lt;TIME(18,0,0),"Tarde","Noite")))</f>
        <v>Manhã</v>
      </c>
      <c r="R802" s="46">
        <f>IF(AND(H802="Realizado",L802&lt;&gt;"",A802&lt;=Config!$B$9),L802/60,0)</f>
        <v>0</v>
      </c>
      <c r="S802" s="45">
        <f>IF(G802="","",IFERROR(INDEX(Config!$K$5:$K$16,MATCH(G802,Config!$J$5:$J$16,0)),""))</f>
        <v>30</v>
      </c>
      <c r="T802" s="31">
        <f>IF(OR(G802="",F802=""),"",IFERROR(INDEX(Config!$M$5:$R$16,MATCH(G802,Config!$J$5:$J$16,0),MATCH(F802,Config!$H$5:$H$10,0)),""))</f>
        <v>380</v>
      </c>
      <c r="U802" s="47">
        <f>IF(AND(H802="Realizado",L802&lt;&gt;""),L802/60,0)</f>
        <v>0</v>
      </c>
      <c r="V802" s="47">
        <f>IF(AND(H802="Realizado",OR(L802="",M802="")),1,0)</f>
        <v>0</v>
      </c>
    </row>
    <row r="803">
      <c r="A803" s="43" t="n">
        <v>46254</v>
      </c>
      <c r="B803" s="44" t="n">
        <v>0.5833333333333334</v>
      </c>
      <c r="C803" s="38" t="inlineStr">
        <is>
          <t>Dra. Renata Sousa</t>
        </is>
      </c>
      <c r="D803" s="38" t="inlineStr">
        <is>
          <t>Sala 1</t>
        </is>
      </c>
      <c r="E803" s="37" t="inlineStr">
        <is>
          <t>Beatriz Monteiro</t>
        </is>
      </c>
      <c r="F803" s="38" t="inlineStr">
        <is>
          <t>Particular</t>
        </is>
      </c>
      <c r="G803" s="38" t="inlineStr">
        <is>
          <t>Avaliação endócrina</t>
        </is>
      </c>
      <c r="H803" s="38" t="inlineStr">
        <is>
          <t>Cancelado</t>
        </is>
      </c>
      <c r="I803" s="38" t="n"/>
      <c r="J803" s="38" t="n"/>
      <c r="K803" s="37" t="n"/>
      <c r="L803" s="39" t="n">
        <v>40</v>
      </c>
      <c r="M803" s="40" t="n">
        <v>400</v>
      </c>
      <c r="N803" s="30">
        <f>IF(A803="","",MONTH(A803))</f>
        <v>8</v>
      </c>
      <c r="O803" s="30">
        <f>IF(A803="","",YEAR(A803))</f>
        <v>2026</v>
      </c>
      <c r="P803" s="30" t="str">
        <f>IF(A803="","",CHOOSE(WEEKDAY(A803,2),"Segunda","Terça","Quarta","Quinta","Sexta","Sábado","Domingo"))</f>
        <v>Quinta</v>
      </c>
      <c r="Q803" s="30" t="str">
        <f>IF(B803="","",IF(B803&lt;TIME(12,0,0),"Manhã",IF(B803&lt;TIME(18,0,0),"Tarde","Noite")))</f>
        <v>Tarde</v>
      </c>
      <c r="R803" s="46">
        <f>IF(AND(H803="Realizado",L803&lt;&gt;"",A803&lt;=Config!$B$9),L803/60,0)</f>
        <v>0</v>
      </c>
      <c r="S803" s="45">
        <f>IF(G803="","",IFERROR(INDEX(Config!$K$5:$K$16,MATCH(G803,Config!$J$5:$J$16,0)),""))</f>
        <v>40</v>
      </c>
      <c r="T803" s="31">
        <f>IF(OR(G803="",F803=""),"",IFERROR(INDEX(Config!$M$5:$R$16,MATCH(G803,Config!$J$5:$J$16,0),MATCH(F803,Config!$H$5:$H$10,0)),""))</f>
        <v>400</v>
      </c>
      <c r="U803" s="47">
        <f>IF(AND(H803="Realizado",L803&lt;&gt;""),L803/60,0)</f>
        <v>0</v>
      </c>
      <c r="V803" s="47">
        <f>IF(AND(H803="Realizado",OR(L803="",M803="")),1,0)</f>
        <v>0</v>
      </c>
    </row>
    <row r="804">
      <c r="A804" s="43" t="n">
        <v>46254</v>
      </c>
      <c r="B804" s="44" t="n">
        <v>0.6041666666666666</v>
      </c>
      <c r="C804" s="38" t="inlineStr">
        <is>
          <t>Dr. Paulo Andrade</t>
        </is>
      </c>
      <c r="D804" s="38" t="inlineStr">
        <is>
          <t>Sala 2</t>
        </is>
      </c>
      <c r="E804" s="37" t="inlineStr">
        <is>
          <t>Viviane Ribeiro</t>
        </is>
      </c>
      <c r="F804" s="38" t="inlineStr">
        <is>
          <t>Particular</t>
        </is>
      </c>
      <c r="G804" s="38" t="inlineStr">
        <is>
          <t>Teste ergométrico</t>
        </is>
      </c>
      <c r="H804" s="38" t="inlineStr">
        <is>
          <t>Realizado</t>
        </is>
      </c>
      <c r="I804" s="38" t="inlineStr">
        <is>
          <t>Pix</t>
        </is>
      </c>
      <c r="J804" s="38" t="n"/>
      <c r="K804" s="37" t="n"/>
      <c r="L804" s="39" t="n">
        <v>40</v>
      </c>
      <c r="M804" s="40" t="n">
        <v>450</v>
      </c>
      <c r="N804" s="30">
        <f>IF(A804="","",MONTH(A804))</f>
        <v>8</v>
      </c>
      <c r="O804" s="30">
        <f>IF(A804="","",YEAR(A804))</f>
        <v>2026</v>
      </c>
      <c r="P804" s="30" t="str">
        <f>IF(A804="","",CHOOSE(WEEKDAY(A804,2),"Segunda","Terça","Quarta","Quinta","Sexta","Sábado","Domingo"))</f>
        <v>Quinta</v>
      </c>
      <c r="Q804" s="30" t="str">
        <f>IF(B804="","",IF(B804&lt;TIME(12,0,0),"Manhã",IF(B804&lt;TIME(18,0,0),"Tarde","Noite")))</f>
        <v>Tarde</v>
      </c>
      <c r="R804" s="46">
        <f>IF(AND(H804="Realizado",L804&lt;&gt;"",A804&lt;=Config!$B$9),L804/60,0)</f>
        <v>0.666666666666667</v>
      </c>
      <c r="S804" s="45">
        <f>IF(G804="","",IFERROR(INDEX(Config!$K$5:$K$16,MATCH(G804,Config!$J$5:$J$16,0)),""))</f>
        <v>40</v>
      </c>
      <c r="T804" s="31">
        <f>IF(OR(G804="",F804=""),"",IFERROR(INDEX(Config!$M$5:$R$16,MATCH(G804,Config!$J$5:$J$16,0),MATCH(F804,Config!$H$5:$H$10,0)),""))</f>
        <v>450</v>
      </c>
      <c r="U804" s="47">
        <f>IF(AND(H804="Realizado",L804&lt;&gt;""),L804/60,0)</f>
        <v>0.666666666666667</v>
      </c>
      <c r="V804" s="47">
        <f>IF(AND(H804="Realizado",OR(L804="",M804="")),1,0)</f>
        <v>0</v>
      </c>
    </row>
    <row r="805">
      <c r="A805" s="43" t="n">
        <v>46254</v>
      </c>
      <c r="B805" s="44" t="n">
        <v>0.6319444444444444</v>
      </c>
      <c r="C805" s="38" t="inlineStr">
        <is>
          <t>Dra. Renata Sousa</t>
        </is>
      </c>
      <c r="D805" s="38" t="inlineStr">
        <is>
          <t>Sala 1</t>
        </is>
      </c>
      <c r="E805" s="37" t="inlineStr">
        <is>
          <t>Patrícia Dias</t>
        </is>
      </c>
      <c r="F805" s="38" t="inlineStr">
        <is>
          <t>Particular</t>
        </is>
      </c>
      <c r="G805" s="38" t="inlineStr">
        <is>
          <t>Avaliação endócrina</t>
        </is>
      </c>
      <c r="H805" s="38" t="inlineStr">
        <is>
          <t>Realizado</t>
        </is>
      </c>
      <c r="I805" s="38" t="inlineStr">
        <is>
          <t>Cartão de crédito</t>
        </is>
      </c>
      <c r="J805" s="38" t="n">
        <v>2</v>
      </c>
      <c r="K805" s="37" t="n"/>
      <c r="L805" s="39" t="n">
        <v>40</v>
      </c>
      <c r="M805" s="40" t="n">
        <v>400</v>
      </c>
      <c r="N805" s="30">
        <f>IF(A805="","",MONTH(A805))</f>
        <v>8</v>
      </c>
      <c r="O805" s="30">
        <f>IF(A805="","",YEAR(A805))</f>
        <v>2026</v>
      </c>
      <c r="P805" s="30" t="str">
        <f>IF(A805="","",CHOOSE(WEEKDAY(A805,2),"Segunda","Terça","Quarta","Quinta","Sexta","Sábado","Domingo"))</f>
        <v>Quinta</v>
      </c>
      <c r="Q805" s="30" t="str">
        <f>IF(B805="","",IF(B805&lt;TIME(12,0,0),"Manhã",IF(B805&lt;TIME(18,0,0),"Tarde","Noite")))</f>
        <v>Tarde</v>
      </c>
      <c r="R805" s="46">
        <f>IF(AND(H805="Realizado",L805&lt;&gt;"",A805&lt;=Config!$B$9),L805/60,0)</f>
        <v>0.666666666666667</v>
      </c>
      <c r="S805" s="45">
        <f>IF(G805="","",IFERROR(INDEX(Config!$K$5:$K$16,MATCH(G805,Config!$J$5:$J$16,0)),""))</f>
        <v>40</v>
      </c>
      <c r="T805" s="31">
        <f>IF(OR(G805="",F805=""),"",IFERROR(INDEX(Config!$M$5:$R$16,MATCH(G805,Config!$J$5:$J$16,0),MATCH(F805,Config!$H$5:$H$10,0)),""))</f>
        <v>400</v>
      </c>
      <c r="U805" s="47">
        <f>IF(AND(H805="Realizado",L805&lt;&gt;""),L805/60,0)</f>
        <v>0.666666666666667</v>
      </c>
      <c r="V805" s="47">
        <f>IF(AND(H805="Realizado",OR(L805="",M805="")),1,0)</f>
        <v>0</v>
      </c>
    </row>
    <row r="806">
      <c r="A806" s="43" t="n">
        <v>46254</v>
      </c>
      <c r="B806" s="44" t="n">
        <v>0.6319444444444444</v>
      </c>
      <c r="C806" s="38" t="inlineStr">
        <is>
          <t>Dr. Paulo Andrade</t>
        </is>
      </c>
      <c r="D806" s="38" t="inlineStr">
        <is>
          <t>Sala 2</t>
        </is>
      </c>
      <c r="E806" s="37" t="inlineStr">
        <is>
          <t>Wagner Costa</t>
        </is>
      </c>
      <c r="F806" s="38" t="inlineStr">
        <is>
          <t>Particular</t>
        </is>
      </c>
      <c r="G806" s="38" t="inlineStr">
        <is>
          <t>Consulta</t>
        </is>
      </c>
      <c r="H806" s="38" t="inlineStr">
        <is>
          <t>Realizado</t>
        </is>
      </c>
      <c r="I806" s="38" t="inlineStr">
        <is>
          <t>Pix</t>
        </is>
      </c>
      <c r="J806" s="38" t="n"/>
      <c r="K806" s="37" t="n"/>
      <c r="L806" s="39" t="n">
        <v>30</v>
      </c>
      <c r="M806" s="40" t="n">
        <v>380</v>
      </c>
      <c r="N806" s="30">
        <f>IF(A806="","",MONTH(A806))</f>
        <v>8</v>
      </c>
      <c r="O806" s="30">
        <f>IF(A806="","",YEAR(A806))</f>
        <v>2026</v>
      </c>
      <c r="P806" s="30" t="str">
        <f>IF(A806="","",CHOOSE(WEEKDAY(A806,2),"Segunda","Terça","Quarta","Quinta","Sexta","Sábado","Domingo"))</f>
        <v>Quinta</v>
      </c>
      <c r="Q806" s="30" t="str">
        <f>IF(B806="","",IF(B806&lt;TIME(12,0,0),"Manhã",IF(B806&lt;TIME(18,0,0),"Tarde","Noite")))</f>
        <v>Tarde</v>
      </c>
      <c r="R806" s="46">
        <f>IF(AND(H806="Realizado",L806&lt;&gt;"",A806&lt;=Config!$B$9),L806/60,0)</f>
        <v>0.5</v>
      </c>
      <c r="S806" s="45">
        <f>IF(G806="","",IFERROR(INDEX(Config!$K$5:$K$16,MATCH(G806,Config!$J$5:$J$16,0)),""))</f>
        <v>30</v>
      </c>
      <c r="T806" s="31">
        <f>IF(OR(G806="",F806=""),"",IFERROR(INDEX(Config!$M$5:$R$16,MATCH(G806,Config!$J$5:$J$16,0),MATCH(F806,Config!$H$5:$H$10,0)),""))</f>
        <v>380</v>
      </c>
      <c r="U806" s="47">
        <f>IF(AND(H806="Realizado",L806&lt;&gt;""),L806/60,0)</f>
        <v>0.5</v>
      </c>
      <c r="V806" s="47">
        <f>IF(AND(H806="Realizado",OR(L806="",M806="")),1,0)</f>
        <v>0</v>
      </c>
    </row>
    <row r="807">
      <c r="A807" s="43" t="n">
        <v>46254</v>
      </c>
      <c r="B807" s="44" t="n">
        <v>0.6527777777777778</v>
      </c>
      <c r="C807" s="38" t="inlineStr">
        <is>
          <t>Dr. Paulo Andrade</t>
        </is>
      </c>
      <c r="D807" s="38" t="inlineStr">
        <is>
          <t>Sala 2</t>
        </is>
      </c>
      <c r="E807" s="37" t="inlineStr">
        <is>
          <t>Regina Teixeira</t>
        </is>
      </c>
      <c r="F807" s="38" t="inlineStr">
        <is>
          <t>Particular</t>
        </is>
      </c>
      <c r="G807" s="38" t="inlineStr">
        <is>
          <t>Consulta</t>
        </is>
      </c>
      <c r="H807" s="38" t="inlineStr">
        <is>
          <t>Realizado</t>
        </is>
      </c>
      <c r="I807" s="38" t="inlineStr">
        <is>
          <t>Pix</t>
        </is>
      </c>
      <c r="J807" s="38" t="n"/>
      <c r="K807" s="37" t="inlineStr">
        <is>
          <t>Check-up cardiológico (consulta + ECG + teste ergométrico)</t>
        </is>
      </c>
      <c r="L807" s="39" t="n">
        <v>30</v>
      </c>
      <c r="M807" s="40" t="n">
        <v>380</v>
      </c>
      <c r="N807" s="30">
        <f>IF(A807="","",MONTH(A807))</f>
        <v>8</v>
      </c>
      <c r="O807" s="30">
        <f>IF(A807="","",YEAR(A807))</f>
        <v>2026</v>
      </c>
      <c r="P807" s="30" t="str">
        <f>IF(A807="","",CHOOSE(WEEKDAY(A807,2),"Segunda","Terça","Quarta","Quinta","Sexta","Sábado","Domingo"))</f>
        <v>Quinta</v>
      </c>
      <c r="Q807" s="30" t="str">
        <f>IF(B807="","",IF(B807&lt;TIME(12,0,0),"Manhã",IF(B807&lt;TIME(18,0,0),"Tarde","Noite")))</f>
        <v>Tarde</v>
      </c>
      <c r="R807" s="46">
        <f>IF(AND(H807="Realizado",L807&lt;&gt;"",A807&lt;=Config!$B$9),L807/60,0)</f>
        <v>0.5</v>
      </c>
      <c r="S807" s="45">
        <f>IF(G807="","",IFERROR(INDEX(Config!$K$5:$K$16,MATCH(G807,Config!$J$5:$J$16,0)),""))</f>
        <v>30</v>
      </c>
      <c r="T807" s="31">
        <f>IF(OR(G807="",F807=""),"",IFERROR(INDEX(Config!$M$5:$R$16,MATCH(G807,Config!$J$5:$J$16,0),MATCH(F807,Config!$H$5:$H$10,0)),""))</f>
        <v>380</v>
      </c>
      <c r="U807" s="47">
        <f>IF(AND(H807="Realizado",L807&lt;&gt;""),L807/60,0)</f>
        <v>0.5</v>
      </c>
      <c r="V807" s="47">
        <f>IF(AND(H807="Realizado",OR(L807="",M807="")),1,0)</f>
        <v>0</v>
      </c>
    </row>
    <row r="808">
      <c r="A808" s="43" t="n">
        <v>46254</v>
      </c>
      <c r="B808" s="44" t="n">
        <v>0.6597222222222222</v>
      </c>
      <c r="C808" s="38" t="inlineStr">
        <is>
          <t>Dra. Renata Sousa</t>
        </is>
      </c>
      <c r="D808" s="38" t="inlineStr">
        <is>
          <t>Sala 1</t>
        </is>
      </c>
      <c r="E808" s="37" t="inlineStr">
        <is>
          <t>Beatriz Monteiro</t>
        </is>
      </c>
      <c r="F808" s="38" t="inlineStr">
        <is>
          <t>Particular</t>
        </is>
      </c>
      <c r="G808" s="38" t="inlineStr">
        <is>
          <t>Avaliação endócrina</t>
        </is>
      </c>
      <c r="H808" s="38" t="inlineStr">
        <is>
          <t>Realizado</t>
        </is>
      </c>
      <c r="I808" s="38" t="inlineStr">
        <is>
          <t>Cartão de débito</t>
        </is>
      </c>
      <c r="J808" s="38" t="n"/>
      <c r="K808" s="37" t="n"/>
      <c r="L808" s="39" t="n">
        <v>40</v>
      </c>
      <c r="M808" s="40" t="n">
        <v>400</v>
      </c>
      <c r="N808" s="30">
        <f>IF(A808="","",MONTH(A808))</f>
        <v>8</v>
      </c>
      <c r="O808" s="30">
        <f>IF(A808="","",YEAR(A808))</f>
        <v>2026</v>
      </c>
      <c r="P808" s="30" t="str">
        <f>IF(A808="","",CHOOSE(WEEKDAY(A808,2),"Segunda","Terça","Quarta","Quinta","Sexta","Sábado","Domingo"))</f>
        <v>Quinta</v>
      </c>
      <c r="Q808" s="30" t="str">
        <f>IF(B808="","",IF(B808&lt;TIME(12,0,0),"Manhã",IF(B808&lt;TIME(18,0,0),"Tarde","Noite")))</f>
        <v>Tarde</v>
      </c>
      <c r="R808" s="46">
        <f>IF(AND(H808="Realizado",L808&lt;&gt;"",A808&lt;=Config!$B$9),L808/60,0)</f>
        <v>0.666666666666667</v>
      </c>
      <c r="S808" s="45">
        <f>IF(G808="","",IFERROR(INDEX(Config!$K$5:$K$16,MATCH(G808,Config!$J$5:$J$16,0)),""))</f>
        <v>40</v>
      </c>
      <c r="T808" s="31">
        <f>IF(OR(G808="",F808=""),"",IFERROR(INDEX(Config!$M$5:$R$16,MATCH(G808,Config!$J$5:$J$16,0),MATCH(F808,Config!$H$5:$H$10,0)),""))</f>
        <v>400</v>
      </c>
      <c r="U808" s="47">
        <f>IF(AND(H808="Realizado",L808&lt;&gt;""),L808/60,0)</f>
        <v>0.666666666666667</v>
      </c>
      <c r="V808" s="47">
        <f>IF(AND(H808="Realizado",OR(L808="",M808="")),1,0)</f>
        <v>0</v>
      </c>
    </row>
    <row r="809">
      <c r="A809" s="43" t="n">
        <v>46254</v>
      </c>
      <c r="B809" s="44" t="n">
        <v>0.6736111111111112</v>
      </c>
      <c r="C809" s="38" t="inlineStr">
        <is>
          <t>Dr. Paulo Andrade</t>
        </is>
      </c>
      <c r="D809" s="38" t="inlineStr">
        <is>
          <t>Sala 2</t>
        </is>
      </c>
      <c r="E809" s="37" t="inlineStr">
        <is>
          <t>Regina Teixeira</t>
        </is>
      </c>
      <c r="F809" s="38" t="inlineStr">
        <is>
          <t>Particular</t>
        </is>
      </c>
      <c r="G809" s="38" t="inlineStr">
        <is>
          <t>ECG</t>
        </is>
      </c>
      <c r="H809" s="38" t="inlineStr">
        <is>
          <t>Realizado</t>
        </is>
      </c>
      <c r="I809" s="38" t="inlineStr">
        <is>
          <t>Pix</t>
        </is>
      </c>
      <c r="J809" s="38" t="n"/>
      <c r="K809" s="37" t="inlineStr">
        <is>
          <t>Check-up cardiológico (consulta + ECG + teste ergométrico)</t>
        </is>
      </c>
      <c r="L809" s="39" t="n">
        <v>20</v>
      </c>
      <c r="M809" s="40" t="n">
        <v>130</v>
      </c>
      <c r="N809" s="30">
        <f>IF(A809="","",MONTH(A809))</f>
        <v>8</v>
      </c>
      <c r="O809" s="30">
        <f>IF(A809="","",YEAR(A809))</f>
        <v>2026</v>
      </c>
      <c r="P809" s="30" t="str">
        <f>IF(A809="","",CHOOSE(WEEKDAY(A809,2),"Segunda","Terça","Quarta","Quinta","Sexta","Sábado","Domingo"))</f>
        <v>Quinta</v>
      </c>
      <c r="Q809" s="30" t="str">
        <f>IF(B809="","",IF(B809&lt;TIME(12,0,0),"Manhã",IF(B809&lt;TIME(18,0,0),"Tarde","Noite")))</f>
        <v>Tarde</v>
      </c>
      <c r="R809" s="46">
        <f>IF(AND(H809="Realizado",L809&lt;&gt;"",A809&lt;=Config!$B$9),L809/60,0)</f>
        <v>0.333333333333333</v>
      </c>
      <c r="S809" s="45">
        <f>IF(G809="","",IFERROR(INDEX(Config!$K$5:$K$16,MATCH(G809,Config!$J$5:$J$16,0)),""))</f>
        <v>20</v>
      </c>
      <c r="T809" s="31">
        <f>IF(OR(G809="",F809=""),"",IFERROR(INDEX(Config!$M$5:$R$16,MATCH(G809,Config!$J$5:$J$16,0),MATCH(F809,Config!$H$5:$H$10,0)),""))</f>
        <v>130</v>
      </c>
      <c r="U809" s="47">
        <f>IF(AND(H809="Realizado",L809&lt;&gt;""),L809/60,0)</f>
        <v>0.333333333333333</v>
      </c>
      <c r="V809" s="47">
        <f>IF(AND(H809="Realizado",OR(L809="",M809="")),1,0)</f>
        <v>0</v>
      </c>
    </row>
    <row r="810">
      <c r="A810" s="43" t="n">
        <v>46254</v>
      </c>
      <c r="B810" s="44" t="n">
        <v>0.6875</v>
      </c>
      <c r="C810" s="38" t="inlineStr">
        <is>
          <t>Dra. Renata Sousa</t>
        </is>
      </c>
      <c r="D810" s="38" t="inlineStr">
        <is>
          <t>Sala 1</t>
        </is>
      </c>
      <c r="E810" s="37" t="inlineStr">
        <is>
          <t>Isabela Xavier</t>
        </is>
      </c>
      <c r="F810" s="38" t="inlineStr">
        <is>
          <t>Particular</t>
        </is>
      </c>
      <c r="G810" s="38" t="inlineStr">
        <is>
          <t>Avaliação endócrina</t>
        </is>
      </c>
      <c r="H810" s="38" t="inlineStr">
        <is>
          <t>Realizado</t>
        </is>
      </c>
      <c r="I810" s="38" t="inlineStr">
        <is>
          <t>Cartão de crédito</t>
        </is>
      </c>
      <c r="J810" s="38" t="n"/>
      <c r="K810" s="37" t="n"/>
      <c r="L810" s="39" t="n">
        <v>40</v>
      </c>
      <c r="M810" s="40" t="n">
        <v>400</v>
      </c>
      <c r="N810" s="30">
        <f>IF(A810="","",MONTH(A810))</f>
        <v>8</v>
      </c>
      <c r="O810" s="30">
        <f>IF(A810="","",YEAR(A810))</f>
        <v>2026</v>
      </c>
      <c r="P810" s="30" t="str">
        <f>IF(A810="","",CHOOSE(WEEKDAY(A810,2),"Segunda","Terça","Quarta","Quinta","Sexta","Sábado","Domingo"))</f>
        <v>Quinta</v>
      </c>
      <c r="Q810" s="30" t="str">
        <f>IF(B810="","",IF(B810&lt;TIME(12,0,0),"Manhã",IF(B810&lt;TIME(18,0,0),"Tarde","Noite")))</f>
        <v>Tarde</v>
      </c>
      <c r="R810" s="46">
        <f>IF(AND(H810="Realizado",L810&lt;&gt;"",A810&lt;=Config!$B$9),L810/60,0)</f>
        <v>0.666666666666667</v>
      </c>
      <c r="S810" s="45">
        <f>IF(G810="","",IFERROR(INDEX(Config!$K$5:$K$16,MATCH(G810,Config!$J$5:$J$16,0)),""))</f>
        <v>40</v>
      </c>
      <c r="T810" s="31">
        <f>IF(OR(G810="",F810=""),"",IFERROR(INDEX(Config!$M$5:$R$16,MATCH(G810,Config!$J$5:$J$16,0),MATCH(F810,Config!$H$5:$H$10,0)),""))</f>
        <v>400</v>
      </c>
      <c r="U810" s="47">
        <f>IF(AND(H810="Realizado",L810&lt;&gt;""),L810/60,0)</f>
        <v>0.666666666666667</v>
      </c>
      <c r="V810" s="47">
        <f>IF(AND(H810="Realizado",OR(L810="",M810="")),1,0)</f>
        <v>0</v>
      </c>
    </row>
    <row r="811">
      <c r="A811" s="43" t="n">
        <v>46254</v>
      </c>
      <c r="B811" s="44" t="n">
        <v>0.6875</v>
      </c>
      <c r="C811" s="38" t="inlineStr">
        <is>
          <t>Dr. Paulo Andrade</t>
        </is>
      </c>
      <c r="D811" s="38" t="inlineStr">
        <is>
          <t>Sala 2</t>
        </is>
      </c>
      <c r="E811" s="37" t="inlineStr">
        <is>
          <t>Regina Teixeira</t>
        </is>
      </c>
      <c r="F811" s="38" t="inlineStr">
        <is>
          <t>Particular</t>
        </is>
      </c>
      <c r="G811" s="38" t="inlineStr">
        <is>
          <t>Teste ergométrico</t>
        </is>
      </c>
      <c r="H811" s="38" t="inlineStr">
        <is>
          <t>Realizado</t>
        </is>
      </c>
      <c r="I811" s="38" t="inlineStr">
        <is>
          <t>Pix</t>
        </is>
      </c>
      <c r="J811" s="38" t="n"/>
      <c r="K811" s="37" t="inlineStr">
        <is>
          <t>Check-up cardiológico (consulta + ECG + teste ergométrico)</t>
        </is>
      </c>
      <c r="L811" s="39" t="n">
        <v>40</v>
      </c>
      <c r="M811" s="40" t="n">
        <v>450</v>
      </c>
      <c r="N811" s="30">
        <f>IF(A811="","",MONTH(A811))</f>
        <v>8</v>
      </c>
      <c r="O811" s="30">
        <f>IF(A811="","",YEAR(A811))</f>
        <v>2026</v>
      </c>
      <c r="P811" s="30" t="str">
        <f>IF(A811="","",CHOOSE(WEEKDAY(A811,2),"Segunda","Terça","Quarta","Quinta","Sexta","Sábado","Domingo"))</f>
        <v>Quinta</v>
      </c>
      <c r="Q811" s="30" t="str">
        <f>IF(B811="","",IF(B811&lt;TIME(12,0,0),"Manhã",IF(B811&lt;TIME(18,0,0),"Tarde","Noite")))</f>
        <v>Tarde</v>
      </c>
      <c r="R811" s="46">
        <f>IF(AND(H811="Realizado",L811&lt;&gt;"",A811&lt;=Config!$B$9),L811/60,0)</f>
        <v>0.666666666666667</v>
      </c>
      <c r="S811" s="45">
        <f>IF(G811="","",IFERROR(INDEX(Config!$K$5:$K$16,MATCH(G811,Config!$J$5:$J$16,0)),""))</f>
        <v>40</v>
      </c>
      <c r="T811" s="31">
        <f>IF(OR(G811="",F811=""),"",IFERROR(INDEX(Config!$M$5:$R$16,MATCH(G811,Config!$J$5:$J$16,0),MATCH(F811,Config!$H$5:$H$10,0)),""))</f>
        <v>450</v>
      </c>
      <c r="U811" s="47">
        <f>IF(AND(H811="Realizado",L811&lt;&gt;""),L811/60,0)</f>
        <v>0.666666666666667</v>
      </c>
      <c r="V811" s="47">
        <f>IF(AND(H811="Realizado",OR(L811="",M811="")),1,0)</f>
        <v>0</v>
      </c>
    </row>
    <row r="812">
      <c r="A812" s="43" t="n">
        <v>46254</v>
      </c>
      <c r="B812" s="44" t="n">
        <v>0.7152777777777778</v>
      </c>
      <c r="C812" s="38" t="inlineStr">
        <is>
          <t>Dra. Renata Sousa</t>
        </is>
      </c>
      <c r="D812" s="38" t="inlineStr">
        <is>
          <t>Sala 1</t>
        </is>
      </c>
      <c r="E812" s="37" t="inlineStr">
        <is>
          <t>Carlos Gonçalves</t>
        </is>
      </c>
      <c r="F812" s="38" t="inlineStr">
        <is>
          <t>Saúde Total</t>
        </is>
      </c>
      <c r="G812" s="38" t="inlineStr">
        <is>
          <t>Avaliação endócrina</t>
        </is>
      </c>
      <c r="H812" s="38" t="inlineStr">
        <is>
          <t>Realizado</t>
        </is>
      </c>
      <c r="I812" s="38" t="inlineStr">
        <is>
          <t>Convênio</t>
        </is>
      </c>
      <c r="J812" s="38" t="n"/>
      <c r="K812" s="37" t="n"/>
      <c r="L812" s="39" t="n">
        <v>40</v>
      </c>
      <c r="M812" s="40" t="n">
        <v>130</v>
      </c>
      <c r="N812" s="30">
        <f>IF(A812="","",MONTH(A812))</f>
        <v>8</v>
      </c>
      <c r="O812" s="30">
        <f>IF(A812="","",YEAR(A812))</f>
        <v>2026</v>
      </c>
      <c r="P812" s="30" t="str">
        <f>IF(A812="","",CHOOSE(WEEKDAY(A812,2),"Segunda","Terça","Quarta","Quinta","Sexta","Sábado","Domingo"))</f>
        <v>Quinta</v>
      </c>
      <c r="Q812" s="30" t="str">
        <f>IF(B812="","",IF(B812&lt;TIME(12,0,0),"Manhã",IF(B812&lt;TIME(18,0,0),"Tarde","Noite")))</f>
        <v>Tarde</v>
      </c>
      <c r="R812" s="46">
        <f>IF(AND(H812="Realizado",L812&lt;&gt;"",A812&lt;=Config!$B$9),L812/60,0)</f>
        <v>0.666666666666667</v>
      </c>
      <c r="S812" s="45">
        <f>IF(G812="","",IFERROR(INDEX(Config!$K$5:$K$16,MATCH(G812,Config!$J$5:$J$16,0)),""))</f>
        <v>40</v>
      </c>
      <c r="T812" s="31">
        <f>IF(OR(G812="",F812=""),"",IFERROR(INDEX(Config!$M$5:$R$16,MATCH(G812,Config!$J$5:$J$16,0),MATCH(F812,Config!$H$5:$H$10,0)),""))</f>
        <v>130</v>
      </c>
      <c r="U812" s="47">
        <f>IF(AND(H812="Realizado",L812&lt;&gt;""),L812/60,0)</f>
        <v>0.666666666666667</v>
      </c>
      <c r="V812" s="47">
        <f>IF(AND(H812="Realizado",OR(L812="",M812="")),1,0)</f>
        <v>0</v>
      </c>
    </row>
    <row r="813">
      <c r="A813" s="43" t="n">
        <v>46254</v>
      </c>
      <c r="B813" s="44" t="n">
        <v>0.7152777777777778</v>
      </c>
      <c r="C813" s="38" t="inlineStr">
        <is>
          <t>Dr. Paulo Andrade</t>
        </is>
      </c>
      <c r="D813" s="38" t="inlineStr">
        <is>
          <t>Sala 2</t>
        </is>
      </c>
      <c r="E813" s="37" t="inlineStr">
        <is>
          <t>Cláudia Santos</t>
        </is>
      </c>
      <c r="F813" s="38" t="inlineStr">
        <is>
          <t>Particular</t>
        </is>
      </c>
      <c r="G813" s="38" t="inlineStr">
        <is>
          <t>ECG</t>
        </is>
      </c>
      <c r="H813" s="38" t="inlineStr">
        <is>
          <t>Realizado</t>
        </is>
      </c>
      <c r="I813" s="38" t="inlineStr">
        <is>
          <t>Dinheiro</t>
        </is>
      </c>
      <c r="J813" s="38" t="n"/>
      <c r="K813" s="37" t="n"/>
      <c r="L813" s="39" t="n">
        <v>20</v>
      </c>
      <c r="M813" s="40" t="n">
        <v>130</v>
      </c>
      <c r="N813" s="30">
        <f>IF(A813="","",MONTH(A813))</f>
        <v>8</v>
      </c>
      <c r="O813" s="30">
        <f>IF(A813="","",YEAR(A813))</f>
        <v>2026</v>
      </c>
      <c r="P813" s="30" t="str">
        <f>IF(A813="","",CHOOSE(WEEKDAY(A813,2),"Segunda","Terça","Quarta","Quinta","Sexta","Sábado","Domingo"))</f>
        <v>Quinta</v>
      </c>
      <c r="Q813" s="30" t="str">
        <f>IF(B813="","",IF(B813&lt;TIME(12,0,0),"Manhã",IF(B813&lt;TIME(18,0,0),"Tarde","Noite")))</f>
        <v>Tarde</v>
      </c>
      <c r="R813" s="46">
        <f>IF(AND(H813="Realizado",L813&lt;&gt;"",A813&lt;=Config!$B$9),L813/60,0)</f>
        <v>0.333333333333333</v>
      </c>
      <c r="S813" s="45">
        <f>IF(G813="","",IFERROR(INDEX(Config!$K$5:$K$16,MATCH(G813,Config!$J$5:$J$16,0)),""))</f>
        <v>20</v>
      </c>
      <c r="T813" s="31">
        <f>IF(OR(G813="",F813=""),"",IFERROR(INDEX(Config!$M$5:$R$16,MATCH(G813,Config!$J$5:$J$16,0),MATCH(F813,Config!$H$5:$H$10,0)),""))</f>
        <v>130</v>
      </c>
      <c r="U813" s="47">
        <f>IF(AND(H813="Realizado",L813&lt;&gt;""),L813/60,0)</f>
        <v>0.333333333333333</v>
      </c>
      <c r="V813" s="47">
        <f>IF(AND(H813="Realizado",OR(L813="",M813="")),1,0)</f>
        <v>0</v>
      </c>
    </row>
    <row r="814">
      <c r="A814" s="43" t="n">
        <v>46254</v>
      </c>
      <c r="B814" s="44" t="n">
        <v>0.7291666666666666</v>
      </c>
      <c r="C814" s="38" t="inlineStr">
        <is>
          <t>Dr. Paulo Andrade</t>
        </is>
      </c>
      <c r="D814" s="38" t="inlineStr">
        <is>
          <t>Sala 2</t>
        </is>
      </c>
      <c r="E814" s="37" t="inlineStr">
        <is>
          <t>Gustavo Pinto</t>
        </is>
      </c>
      <c r="F814" s="38" t="inlineStr">
        <is>
          <t>Particular</t>
        </is>
      </c>
      <c r="G814" s="38" t="inlineStr">
        <is>
          <t>Retorno</t>
        </is>
      </c>
      <c r="H814" s="38" t="inlineStr">
        <is>
          <t>Realizado</t>
        </is>
      </c>
      <c r="I814" s="38" t="inlineStr">
        <is>
          <t>Sem cobrança</t>
        </is>
      </c>
      <c r="J814" s="38" t="n"/>
      <c r="K814" s="37" t="n"/>
      <c r="L814" s="39" t="n">
        <v>20</v>
      </c>
      <c r="M814" s="40" t="n">
        <v>0</v>
      </c>
      <c r="N814" s="30">
        <f>IF(A814="","",MONTH(A814))</f>
        <v>8</v>
      </c>
      <c r="O814" s="30">
        <f>IF(A814="","",YEAR(A814))</f>
        <v>2026</v>
      </c>
      <c r="P814" s="30" t="str">
        <f>IF(A814="","",CHOOSE(WEEKDAY(A814,2),"Segunda","Terça","Quarta","Quinta","Sexta","Sábado","Domingo"))</f>
        <v>Quinta</v>
      </c>
      <c r="Q814" s="30" t="str">
        <f>IF(B814="","",IF(B814&lt;TIME(12,0,0),"Manhã",IF(B814&lt;TIME(18,0,0),"Tarde","Noite")))</f>
        <v>Tarde</v>
      </c>
      <c r="R814" s="46">
        <f>IF(AND(H814="Realizado",L814&lt;&gt;"",A814&lt;=Config!$B$9),L814/60,0)</f>
        <v>0.333333333333333</v>
      </c>
      <c r="S814" s="45">
        <f>IF(G814="","",IFERROR(INDEX(Config!$K$5:$K$16,MATCH(G814,Config!$J$5:$J$16,0)),""))</f>
        <v>20</v>
      </c>
      <c r="T814" s="31">
        <f>IF(OR(G814="",F814=""),"",IFERROR(INDEX(Config!$M$5:$R$16,MATCH(G814,Config!$J$5:$J$16,0),MATCH(F814,Config!$H$5:$H$10,0)),""))</f>
        <v>0</v>
      </c>
      <c r="U814" s="47">
        <f>IF(AND(H814="Realizado",L814&lt;&gt;""),L814/60,0)</f>
        <v>0.333333333333333</v>
      </c>
      <c r="V814" s="47">
        <f>IF(AND(H814="Realizado",OR(L814="",M814="")),1,0)</f>
        <v>0</v>
      </c>
    </row>
    <row r="815">
      <c r="A815" s="43" t="n">
        <v>46255</v>
      </c>
      <c r="B815" s="44" t="n">
        <v>0.3541666666666667</v>
      </c>
      <c r="C815" s="38" t="inlineStr">
        <is>
          <t>Dr. Paulo Andrade</t>
        </is>
      </c>
      <c r="D815" s="38" t="inlineStr">
        <is>
          <t>Sala 2</t>
        </is>
      </c>
      <c r="E815" s="37" t="inlineStr">
        <is>
          <t>Mateus Dias</t>
        </is>
      </c>
      <c r="F815" s="38" t="inlineStr">
        <is>
          <t>Saúde Total</t>
        </is>
      </c>
      <c r="G815" s="38" t="inlineStr">
        <is>
          <t>Retorno</t>
        </is>
      </c>
      <c r="H815" s="38" t="inlineStr">
        <is>
          <t>Falta</t>
        </is>
      </c>
      <c r="I815" s="38" t="n"/>
      <c r="J815" s="38" t="n"/>
      <c r="K815" s="37" t="n"/>
      <c r="L815" s="39" t="n">
        <v>20</v>
      </c>
      <c r="M815" s="40" t="n">
        <v>0</v>
      </c>
      <c r="N815" s="30">
        <f>IF(A815="","",MONTH(A815))</f>
        <v>8</v>
      </c>
      <c r="O815" s="30">
        <f>IF(A815="","",YEAR(A815))</f>
        <v>2026</v>
      </c>
      <c r="P815" s="30" t="str">
        <f>IF(A815="","",CHOOSE(WEEKDAY(A815,2),"Segunda","Terça","Quarta","Quinta","Sexta","Sábado","Domingo"))</f>
        <v>Sexta</v>
      </c>
      <c r="Q815" s="30" t="str">
        <f>IF(B815="","",IF(B815&lt;TIME(12,0,0),"Manhã",IF(B815&lt;TIME(18,0,0),"Tarde","Noite")))</f>
        <v>Manhã</v>
      </c>
      <c r="R815" s="46">
        <f>IF(AND(H815="Realizado",L815&lt;&gt;"",A815&lt;=Config!$B$9),L815/60,0)</f>
        <v>0</v>
      </c>
      <c r="S815" s="45">
        <f>IF(G815="","",IFERROR(INDEX(Config!$K$5:$K$16,MATCH(G815,Config!$J$5:$J$16,0)),""))</f>
        <v>20</v>
      </c>
      <c r="T815" s="31">
        <f>IF(OR(G815="",F815=""),"",IFERROR(INDEX(Config!$M$5:$R$16,MATCH(G815,Config!$J$5:$J$16,0),MATCH(F815,Config!$H$5:$H$10,0)),""))</f>
        <v>0</v>
      </c>
      <c r="U815" s="47">
        <f>IF(AND(H815="Realizado",L815&lt;&gt;""),L815/60,0)</f>
        <v>0</v>
      </c>
      <c r="V815" s="47">
        <f>IF(AND(H815="Realizado",OR(L815="",M815="")),1,0)</f>
        <v>0</v>
      </c>
    </row>
    <row r="816">
      <c r="A816" s="43" t="n">
        <v>46255</v>
      </c>
      <c r="B816" s="44" t="n">
        <v>0.3680555555555556</v>
      </c>
      <c r="C816" s="38" t="inlineStr">
        <is>
          <t>Dr. Paulo Andrade</t>
        </is>
      </c>
      <c r="D816" s="38" t="inlineStr">
        <is>
          <t>Sala 2</t>
        </is>
      </c>
      <c r="E816" s="37" t="inlineStr">
        <is>
          <t>Paulo Ribeiro</t>
        </is>
      </c>
      <c r="F816" s="38" t="inlineStr">
        <is>
          <t>Saúde Total</t>
        </is>
      </c>
      <c r="G816" s="38" t="inlineStr">
        <is>
          <t>Consulta</t>
        </is>
      </c>
      <c r="H816" s="38" t="inlineStr">
        <is>
          <t>Realizado</t>
        </is>
      </c>
      <c r="I816" s="38" t="inlineStr">
        <is>
          <t>Convênio</t>
        </is>
      </c>
      <c r="J816" s="38" t="n"/>
      <c r="K816" s="37" t="n"/>
      <c r="L816" s="39" t="n">
        <v>30</v>
      </c>
      <c r="M816" s="40" t="n">
        <v>120</v>
      </c>
      <c r="N816" s="30">
        <f>IF(A816="","",MONTH(A816))</f>
        <v>8</v>
      </c>
      <c r="O816" s="30">
        <f>IF(A816="","",YEAR(A816))</f>
        <v>2026</v>
      </c>
      <c r="P816" s="30" t="str">
        <f>IF(A816="","",CHOOSE(WEEKDAY(A816,2),"Segunda","Terça","Quarta","Quinta","Sexta","Sábado","Domingo"))</f>
        <v>Sexta</v>
      </c>
      <c r="Q816" s="30" t="str">
        <f>IF(B816="","",IF(B816&lt;TIME(12,0,0),"Manhã",IF(B816&lt;TIME(18,0,0),"Tarde","Noite")))</f>
        <v>Manhã</v>
      </c>
      <c r="R816" s="46">
        <f>IF(AND(H816="Realizado",L816&lt;&gt;"",A816&lt;=Config!$B$9),L816/60,0)</f>
        <v>0.5</v>
      </c>
      <c r="S816" s="45">
        <f>IF(G816="","",IFERROR(INDEX(Config!$K$5:$K$16,MATCH(G816,Config!$J$5:$J$16,0)),""))</f>
        <v>30</v>
      </c>
      <c r="T816" s="31">
        <f>IF(OR(G816="",F816=""),"",IFERROR(INDEX(Config!$M$5:$R$16,MATCH(G816,Config!$J$5:$J$16,0),MATCH(F816,Config!$H$5:$H$10,0)),""))</f>
        <v>120</v>
      </c>
      <c r="U816" s="47">
        <f>IF(AND(H816="Realizado",L816&lt;&gt;""),L816/60,0)</f>
        <v>0.5</v>
      </c>
      <c r="V816" s="47">
        <f>IF(AND(H816="Realizado",OR(L816="",M816="")),1,0)</f>
        <v>0</v>
      </c>
    </row>
    <row r="817">
      <c r="A817" s="43" t="n">
        <v>46255</v>
      </c>
      <c r="B817" s="44" t="n">
        <v>0.4097222222222222</v>
      </c>
      <c r="C817" s="38" t="inlineStr">
        <is>
          <t>Dr. Paulo Andrade</t>
        </is>
      </c>
      <c r="D817" s="38" t="inlineStr">
        <is>
          <t>Sala 2</t>
        </is>
      </c>
      <c r="E817" s="37" t="inlineStr">
        <is>
          <t>Elaine Xavier</t>
        </is>
      </c>
      <c r="F817" s="38" t="inlineStr">
        <is>
          <t>MediPlan</t>
        </is>
      </c>
      <c r="G817" s="38" t="inlineStr">
        <is>
          <t>Retorno</t>
        </is>
      </c>
      <c r="H817" s="38" t="inlineStr">
        <is>
          <t>Realizado</t>
        </is>
      </c>
      <c r="I817" s="38" t="inlineStr">
        <is>
          <t>Sem cobrança</t>
        </is>
      </c>
      <c r="J817" s="38" t="n"/>
      <c r="K817" s="37" t="n"/>
      <c r="L817" s="39" t="n">
        <v>20</v>
      </c>
      <c r="M817" s="40" t="n">
        <v>0</v>
      </c>
      <c r="N817" s="30">
        <f>IF(A817="","",MONTH(A817))</f>
        <v>8</v>
      </c>
      <c r="O817" s="30">
        <f>IF(A817="","",YEAR(A817))</f>
        <v>2026</v>
      </c>
      <c r="P817" s="30" t="str">
        <f>IF(A817="","",CHOOSE(WEEKDAY(A817,2),"Segunda","Terça","Quarta","Quinta","Sexta","Sábado","Domingo"))</f>
        <v>Sexta</v>
      </c>
      <c r="Q817" s="30" t="str">
        <f>IF(B817="","",IF(B817&lt;TIME(12,0,0),"Manhã",IF(B817&lt;TIME(18,0,0),"Tarde","Noite")))</f>
        <v>Manhã</v>
      </c>
      <c r="R817" s="46">
        <f>IF(AND(H817="Realizado",L817&lt;&gt;"",A817&lt;=Config!$B$9),L817/60,0)</f>
        <v>0.333333333333333</v>
      </c>
      <c r="S817" s="45">
        <f>IF(G817="","",IFERROR(INDEX(Config!$K$5:$K$16,MATCH(G817,Config!$J$5:$J$16,0)),""))</f>
        <v>20</v>
      </c>
      <c r="T817" s="31">
        <f>IF(OR(G817="",F817=""),"",IFERROR(INDEX(Config!$M$5:$R$16,MATCH(G817,Config!$J$5:$J$16,0),MATCH(F817,Config!$H$5:$H$10,0)),""))</f>
        <v>0</v>
      </c>
      <c r="U817" s="47">
        <f>IF(AND(H817="Realizado",L817&lt;&gt;""),L817/60,0)</f>
        <v>0.333333333333333</v>
      </c>
      <c r="V817" s="47">
        <f>IF(AND(H817="Realizado",OR(L817="",M817="")),1,0)</f>
        <v>0</v>
      </c>
    </row>
    <row r="818">
      <c r="A818" s="43" t="n">
        <v>46255</v>
      </c>
      <c r="B818" s="44" t="n">
        <v>0.4236111111111111</v>
      </c>
      <c r="C818" s="38" t="inlineStr">
        <is>
          <t>Dr. Paulo Andrade</t>
        </is>
      </c>
      <c r="D818" s="38" t="inlineStr">
        <is>
          <t>Sala 2</t>
        </is>
      </c>
      <c r="E818" s="37" t="inlineStr">
        <is>
          <t>Mônica Pinto</t>
        </is>
      </c>
      <c r="F818" s="38" t="inlineStr">
        <is>
          <t>Saúde Total</t>
        </is>
      </c>
      <c r="G818" s="38" t="inlineStr">
        <is>
          <t>MAPA</t>
        </is>
      </c>
      <c r="H818" s="38" t="inlineStr">
        <is>
          <t>Realizado</t>
        </is>
      </c>
      <c r="I818" s="38" t="inlineStr">
        <is>
          <t>Convênio</t>
        </is>
      </c>
      <c r="J818" s="38" t="n"/>
      <c r="K818" s="37" t="n"/>
      <c r="L818" s="39" t="n">
        <v>20</v>
      </c>
      <c r="M818" s="40" t="n">
        <v>95</v>
      </c>
      <c r="N818" s="30">
        <f>IF(A818="","",MONTH(A818))</f>
        <v>8</v>
      </c>
      <c r="O818" s="30">
        <f>IF(A818="","",YEAR(A818))</f>
        <v>2026</v>
      </c>
      <c r="P818" s="30" t="str">
        <f>IF(A818="","",CHOOSE(WEEKDAY(A818,2),"Segunda","Terça","Quarta","Quinta","Sexta","Sábado","Domingo"))</f>
        <v>Sexta</v>
      </c>
      <c r="Q818" s="30" t="str">
        <f>IF(B818="","",IF(B818&lt;TIME(12,0,0),"Manhã",IF(B818&lt;TIME(18,0,0),"Tarde","Noite")))</f>
        <v>Manhã</v>
      </c>
      <c r="R818" s="46">
        <f>IF(AND(H818="Realizado",L818&lt;&gt;"",A818&lt;=Config!$B$9),L818/60,0)</f>
        <v>0.333333333333333</v>
      </c>
      <c r="S818" s="45">
        <f>IF(G818="","",IFERROR(INDEX(Config!$K$5:$K$16,MATCH(G818,Config!$J$5:$J$16,0)),""))</f>
        <v>20</v>
      </c>
      <c r="T818" s="31">
        <f>IF(OR(G818="",F818=""),"",IFERROR(INDEX(Config!$M$5:$R$16,MATCH(G818,Config!$J$5:$J$16,0),MATCH(F818,Config!$H$5:$H$10,0)),""))</f>
        <v>95</v>
      </c>
      <c r="U818" s="47">
        <f>IF(AND(H818="Realizado",L818&lt;&gt;""),L818/60,0)</f>
        <v>0.333333333333333</v>
      </c>
      <c r="V818" s="47">
        <f>IF(AND(H818="Realizado",OR(L818="",M818="")),1,0)</f>
        <v>0</v>
      </c>
    </row>
    <row r="819">
      <c r="A819" s="43" t="n">
        <v>46258</v>
      </c>
      <c r="B819" s="44" t="n">
        <v>0.3333333333333333</v>
      </c>
      <c r="C819" s="38" t="inlineStr">
        <is>
          <t>Dra. Carolina Mendes</t>
        </is>
      </c>
      <c r="D819" s="38" t="inlineStr">
        <is>
          <t>Sala 1</t>
        </is>
      </c>
      <c r="E819" s="37" t="inlineStr">
        <is>
          <t>Wagner Lima</t>
        </is>
      </c>
      <c r="F819" s="38" t="inlineStr">
        <is>
          <t>Particular</t>
        </is>
      </c>
      <c r="G819" s="38" t="inlineStr">
        <is>
          <t>Consulta</t>
        </is>
      </c>
      <c r="H819" s="38" t="inlineStr">
        <is>
          <t>Realizado</t>
        </is>
      </c>
      <c r="I819" s="38" t="inlineStr">
        <is>
          <t>Cartão de débito</t>
        </is>
      </c>
      <c r="J819" s="38" t="n"/>
      <c r="K819" s="37" t="n"/>
      <c r="L819" s="39" t="n">
        <v>30</v>
      </c>
      <c r="M819" s="40" t="n">
        <v>380</v>
      </c>
      <c r="N819" s="30">
        <f>IF(A819="","",MONTH(A819))</f>
        <v>8</v>
      </c>
      <c r="O819" s="30">
        <f>IF(A819="","",YEAR(A819))</f>
        <v>2026</v>
      </c>
      <c r="P819" s="30" t="str">
        <f>IF(A819="","",CHOOSE(WEEKDAY(A819,2),"Segunda","Terça","Quarta","Quinta","Sexta","Sábado","Domingo"))</f>
        <v>Segunda</v>
      </c>
      <c r="Q819" s="30" t="str">
        <f>IF(B819="","",IF(B819&lt;TIME(12,0,0),"Manhã",IF(B819&lt;TIME(18,0,0),"Tarde","Noite")))</f>
        <v>Manhã</v>
      </c>
      <c r="R819" s="46">
        <f>IF(AND(H819="Realizado",L819&lt;&gt;"",A819&lt;=Config!$B$9),L819/60,0)</f>
        <v>0.5</v>
      </c>
      <c r="S819" s="45">
        <f>IF(G819="","",IFERROR(INDEX(Config!$K$5:$K$16,MATCH(G819,Config!$J$5:$J$16,0)),""))</f>
        <v>30</v>
      </c>
      <c r="T819" s="31">
        <f>IF(OR(G819="",F819=""),"",IFERROR(INDEX(Config!$M$5:$R$16,MATCH(G819,Config!$J$5:$J$16,0),MATCH(F819,Config!$H$5:$H$10,0)),""))</f>
        <v>380</v>
      </c>
      <c r="U819" s="47">
        <f>IF(AND(H819="Realizado",L819&lt;&gt;""),L819/60,0)</f>
        <v>0.5</v>
      </c>
      <c r="V819" s="47">
        <f>IF(AND(H819="Realizado",OR(L819="",M819="")),1,0)</f>
        <v>0</v>
      </c>
    </row>
    <row r="820">
      <c r="A820" s="43" t="n">
        <v>46258</v>
      </c>
      <c r="B820" s="44" t="n">
        <v>0.3541666666666667</v>
      </c>
      <c r="C820" s="38" t="inlineStr">
        <is>
          <t>Dra. Carolina Mendes</t>
        </is>
      </c>
      <c r="D820" s="38" t="inlineStr">
        <is>
          <t>Sala 1</t>
        </is>
      </c>
      <c r="E820" s="37" t="inlineStr">
        <is>
          <t>Renato Dias</t>
        </is>
      </c>
      <c r="F820" s="38" t="inlineStr">
        <is>
          <t>Particular</t>
        </is>
      </c>
      <c r="G820" s="38" t="inlineStr">
        <is>
          <t>Consulta</t>
        </is>
      </c>
      <c r="H820" s="38" t="inlineStr">
        <is>
          <t>Realizado</t>
        </is>
      </c>
      <c r="I820" s="38" t="inlineStr">
        <is>
          <t>Pix</t>
        </is>
      </c>
      <c r="J820" s="38" t="n"/>
      <c r="K820" s="37" t="n"/>
      <c r="L820" s="39" t="n">
        <v>30</v>
      </c>
      <c r="M820" s="40" t="n">
        <v>380</v>
      </c>
      <c r="N820" s="30">
        <f>IF(A820="","",MONTH(A820))</f>
        <v>8</v>
      </c>
      <c r="O820" s="30">
        <f>IF(A820="","",YEAR(A820))</f>
        <v>2026</v>
      </c>
      <c r="P820" s="30" t="str">
        <f>IF(A820="","",CHOOSE(WEEKDAY(A820,2),"Segunda","Terça","Quarta","Quinta","Sexta","Sábado","Domingo"))</f>
        <v>Segunda</v>
      </c>
      <c r="Q820" s="30" t="str">
        <f>IF(B820="","",IF(B820&lt;TIME(12,0,0),"Manhã",IF(B820&lt;TIME(18,0,0),"Tarde","Noite")))</f>
        <v>Manhã</v>
      </c>
      <c r="R820" s="46">
        <f>IF(AND(H820="Realizado",L820&lt;&gt;"",A820&lt;=Config!$B$9),L820/60,0)</f>
        <v>0.5</v>
      </c>
      <c r="S820" s="45">
        <f>IF(G820="","",IFERROR(INDEX(Config!$K$5:$K$16,MATCH(G820,Config!$J$5:$J$16,0)),""))</f>
        <v>30</v>
      </c>
      <c r="T820" s="31">
        <f>IF(OR(G820="",F820=""),"",IFERROR(INDEX(Config!$M$5:$R$16,MATCH(G820,Config!$J$5:$J$16,0),MATCH(F820,Config!$H$5:$H$10,0)),""))</f>
        <v>380</v>
      </c>
      <c r="U820" s="47">
        <f>IF(AND(H820="Realizado",L820&lt;&gt;""),L820/60,0)</f>
        <v>0.5</v>
      </c>
      <c r="V820" s="47">
        <f>IF(AND(H820="Realizado",OR(L820="",M820="")),1,0)</f>
        <v>0</v>
      </c>
    </row>
    <row r="821">
      <c r="A821" s="43" t="n">
        <v>46258</v>
      </c>
      <c r="B821" s="44" t="n">
        <v>0.375</v>
      </c>
      <c r="C821" s="38" t="inlineStr">
        <is>
          <t>Dra. Carolina Mendes</t>
        </is>
      </c>
      <c r="D821" s="38" t="inlineStr">
        <is>
          <t>Sala 1</t>
        </is>
      </c>
      <c r="E821" s="37" t="inlineStr">
        <is>
          <t>Cláudia Santos</t>
        </is>
      </c>
      <c r="F821" s="38" t="inlineStr">
        <is>
          <t>Particular</t>
        </is>
      </c>
      <c r="G821" s="38" t="inlineStr">
        <is>
          <t>Consulta</t>
        </is>
      </c>
      <c r="H821" s="38" t="inlineStr">
        <is>
          <t>Realizado</t>
        </is>
      </c>
      <c r="I821" s="38" t="inlineStr">
        <is>
          <t>A prazo</t>
        </is>
      </c>
      <c r="J821" s="38" t="n"/>
      <c r="K821" s="37" t="n"/>
      <c r="L821" s="39" t="n">
        <v>30</v>
      </c>
      <c r="M821" s="40" t="n">
        <v>380</v>
      </c>
      <c r="N821" s="30">
        <f>IF(A821="","",MONTH(A821))</f>
        <v>8</v>
      </c>
      <c r="O821" s="30">
        <f>IF(A821="","",YEAR(A821))</f>
        <v>2026</v>
      </c>
      <c r="P821" s="30" t="str">
        <f>IF(A821="","",CHOOSE(WEEKDAY(A821,2),"Segunda","Terça","Quarta","Quinta","Sexta","Sábado","Domingo"))</f>
        <v>Segunda</v>
      </c>
      <c r="Q821" s="30" t="str">
        <f>IF(B821="","",IF(B821&lt;TIME(12,0,0),"Manhã",IF(B821&lt;TIME(18,0,0),"Tarde","Noite")))</f>
        <v>Manhã</v>
      </c>
      <c r="R821" s="46">
        <f>IF(AND(H821="Realizado",L821&lt;&gt;"",A821&lt;=Config!$B$9),L821/60,0)</f>
        <v>0.5</v>
      </c>
      <c r="S821" s="45">
        <f>IF(G821="","",IFERROR(INDEX(Config!$K$5:$K$16,MATCH(G821,Config!$J$5:$J$16,0)),""))</f>
        <v>30</v>
      </c>
      <c r="T821" s="31">
        <f>IF(OR(G821="",F821=""),"",IFERROR(INDEX(Config!$M$5:$R$16,MATCH(G821,Config!$J$5:$J$16,0),MATCH(F821,Config!$H$5:$H$10,0)),""))</f>
        <v>380</v>
      </c>
      <c r="U821" s="47">
        <f>IF(AND(H821="Realizado",L821&lt;&gt;""),L821/60,0)</f>
        <v>0.5</v>
      </c>
      <c r="V821" s="47">
        <f>IF(AND(H821="Realizado",OR(L821="",M821="")),1,0)</f>
        <v>0</v>
      </c>
    </row>
    <row r="822">
      <c r="A822" s="43" t="n">
        <v>46258</v>
      </c>
      <c r="B822" s="44" t="n">
        <v>0.3958333333333333</v>
      </c>
      <c r="C822" s="38" t="inlineStr">
        <is>
          <t>Dra. Carolina Mendes</t>
        </is>
      </c>
      <c r="D822" s="38" t="inlineStr">
        <is>
          <t>Sala 1</t>
        </is>
      </c>
      <c r="E822" s="37" t="inlineStr">
        <is>
          <t>Sérgio Batista</t>
        </is>
      </c>
      <c r="F822" s="38" t="inlineStr">
        <is>
          <t>MediPlan</t>
        </is>
      </c>
      <c r="G822" s="38" t="inlineStr">
        <is>
          <t>Consulta</t>
        </is>
      </c>
      <c r="H822" s="38" t="inlineStr">
        <is>
          <t>Realizado</t>
        </is>
      </c>
      <c r="I822" s="38" t="inlineStr">
        <is>
          <t>Convênio</t>
        </is>
      </c>
      <c r="J822" s="38" t="n"/>
      <c r="K822" s="37" t="n"/>
      <c r="L822" s="39" t="n">
        <v>30</v>
      </c>
      <c r="M822" s="40" t="n">
        <v>100</v>
      </c>
      <c r="N822" s="30">
        <f>IF(A822="","",MONTH(A822))</f>
        <v>8</v>
      </c>
      <c r="O822" s="30">
        <f>IF(A822="","",YEAR(A822))</f>
        <v>2026</v>
      </c>
      <c r="P822" s="30" t="str">
        <f>IF(A822="","",CHOOSE(WEEKDAY(A822,2),"Segunda","Terça","Quarta","Quinta","Sexta","Sábado","Domingo"))</f>
        <v>Segunda</v>
      </c>
      <c r="Q822" s="30" t="str">
        <f>IF(B822="","",IF(B822&lt;TIME(12,0,0),"Manhã",IF(B822&lt;TIME(18,0,0),"Tarde","Noite")))</f>
        <v>Manhã</v>
      </c>
      <c r="R822" s="46">
        <f>IF(AND(H822="Realizado",L822&lt;&gt;"",A822&lt;=Config!$B$9),L822/60,0)</f>
        <v>0.5</v>
      </c>
      <c r="S822" s="45">
        <f>IF(G822="","",IFERROR(INDEX(Config!$K$5:$K$16,MATCH(G822,Config!$J$5:$J$16,0)),""))</f>
        <v>30</v>
      </c>
      <c r="T822" s="31">
        <f>IF(OR(G822="",F822=""),"",IFERROR(INDEX(Config!$M$5:$R$16,MATCH(G822,Config!$J$5:$J$16,0),MATCH(F822,Config!$H$5:$H$10,0)),""))</f>
        <v>100</v>
      </c>
      <c r="U822" s="47">
        <f>IF(AND(H822="Realizado",L822&lt;&gt;""),L822/60,0)</f>
        <v>0.5</v>
      </c>
      <c r="V822" s="47">
        <f>IF(AND(H822="Realizado",OR(L822="",M822="")),1,0)</f>
        <v>0</v>
      </c>
    </row>
    <row r="823">
      <c r="A823" s="43" t="n">
        <v>46258</v>
      </c>
      <c r="B823" s="44" t="n">
        <v>0.4166666666666667</v>
      </c>
      <c r="C823" s="38" t="inlineStr">
        <is>
          <t>Dra. Carolina Mendes</t>
        </is>
      </c>
      <c r="D823" s="38" t="inlineStr">
        <is>
          <t>Sala 1</t>
        </is>
      </c>
      <c r="E823" s="37" t="inlineStr">
        <is>
          <t>Camila Batista</t>
        </is>
      </c>
      <c r="F823" s="38" t="inlineStr">
        <is>
          <t>MediPlan</t>
        </is>
      </c>
      <c r="G823" s="38" t="inlineStr">
        <is>
          <t>Consulta</t>
        </is>
      </c>
      <c r="H823" s="38" t="inlineStr">
        <is>
          <t>Realizado</t>
        </is>
      </c>
      <c r="I823" s="38" t="inlineStr">
        <is>
          <t>Convênio</t>
        </is>
      </c>
      <c r="J823" s="38" t="n"/>
      <c r="K823" s="37" t="n"/>
      <c r="L823" s="39" t="n">
        <v>30</v>
      </c>
      <c r="M823" s="40" t="n">
        <v>100</v>
      </c>
      <c r="N823" s="30">
        <f>IF(A823="","",MONTH(A823))</f>
        <v>8</v>
      </c>
      <c r="O823" s="30">
        <f>IF(A823="","",YEAR(A823))</f>
        <v>2026</v>
      </c>
      <c r="P823" s="30" t="str">
        <f>IF(A823="","",CHOOSE(WEEKDAY(A823,2),"Segunda","Terça","Quarta","Quinta","Sexta","Sábado","Domingo"))</f>
        <v>Segunda</v>
      </c>
      <c r="Q823" s="30" t="str">
        <f>IF(B823="","",IF(B823&lt;TIME(12,0,0),"Manhã",IF(B823&lt;TIME(18,0,0),"Tarde","Noite")))</f>
        <v>Manhã</v>
      </c>
      <c r="R823" s="46">
        <f>IF(AND(H823="Realizado",L823&lt;&gt;"",A823&lt;=Config!$B$9),L823/60,0)</f>
        <v>0.5</v>
      </c>
      <c r="S823" s="45">
        <f>IF(G823="","",IFERROR(INDEX(Config!$K$5:$K$16,MATCH(G823,Config!$J$5:$J$16,0)),""))</f>
        <v>30</v>
      </c>
      <c r="T823" s="31">
        <f>IF(OR(G823="",F823=""),"",IFERROR(INDEX(Config!$M$5:$R$16,MATCH(G823,Config!$J$5:$J$16,0),MATCH(F823,Config!$H$5:$H$10,0)),""))</f>
        <v>100</v>
      </c>
      <c r="U823" s="47">
        <f>IF(AND(H823="Realizado",L823&lt;&gt;""),L823/60,0)</f>
        <v>0.5</v>
      </c>
      <c r="V823" s="47">
        <f>IF(AND(H823="Realizado",OR(L823="",M823="")),1,0)</f>
        <v>0</v>
      </c>
    </row>
    <row r="824">
      <c r="A824" s="43" t="n">
        <v>46258</v>
      </c>
      <c r="B824" s="44" t="n">
        <v>0.4375</v>
      </c>
      <c r="C824" s="38" t="inlineStr">
        <is>
          <t>Dra. Carolina Mendes</t>
        </is>
      </c>
      <c r="D824" s="38" t="inlineStr">
        <is>
          <t>Sala 1</t>
        </is>
      </c>
      <c r="E824" s="37" t="inlineStr">
        <is>
          <t>Mariana Nascimento</t>
        </is>
      </c>
      <c r="F824" s="38" t="inlineStr">
        <is>
          <t>Particular</t>
        </is>
      </c>
      <c r="G824" s="38" t="inlineStr">
        <is>
          <t>Consulta</t>
        </is>
      </c>
      <c r="H824" s="38" t="inlineStr">
        <is>
          <t>Realizado</t>
        </is>
      </c>
      <c r="I824" s="38" t="inlineStr">
        <is>
          <t>Cartão de crédito</t>
        </is>
      </c>
      <c r="J824" s="38" t="n">
        <v>2</v>
      </c>
      <c r="K824" s="37" t="n"/>
      <c r="L824" s="39" t="n">
        <v>30</v>
      </c>
      <c r="M824" s="40" t="n">
        <v>380</v>
      </c>
      <c r="N824" s="30">
        <f>IF(A824="","",MONTH(A824))</f>
        <v>8</v>
      </c>
      <c r="O824" s="30">
        <f>IF(A824="","",YEAR(A824))</f>
        <v>2026</v>
      </c>
      <c r="P824" s="30" t="str">
        <f>IF(A824="","",CHOOSE(WEEKDAY(A824,2),"Segunda","Terça","Quarta","Quinta","Sexta","Sábado","Domingo"))</f>
        <v>Segunda</v>
      </c>
      <c r="Q824" s="30" t="str">
        <f>IF(B824="","",IF(B824&lt;TIME(12,0,0),"Manhã",IF(B824&lt;TIME(18,0,0),"Tarde","Noite")))</f>
        <v>Manhã</v>
      </c>
      <c r="R824" s="46">
        <f>IF(AND(H824="Realizado",L824&lt;&gt;"",A824&lt;=Config!$B$9),L824/60,0)</f>
        <v>0.5</v>
      </c>
      <c r="S824" s="45">
        <f>IF(G824="","",IFERROR(INDEX(Config!$K$5:$K$16,MATCH(G824,Config!$J$5:$J$16,0)),""))</f>
        <v>30</v>
      </c>
      <c r="T824" s="31">
        <f>IF(OR(G824="",F824=""),"",IFERROR(INDEX(Config!$M$5:$R$16,MATCH(G824,Config!$J$5:$J$16,0),MATCH(F824,Config!$H$5:$H$10,0)),""))</f>
        <v>380</v>
      </c>
      <c r="U824" s="47">
        <f>IF(AND(H824="Realizado",L824&lt;&gt;""),L824/60,0)</f>
        <v>0.5</v>
      </c>
      <c r="V824" s="47">
        <f>IF(AND(H824="Realizado",OR(L824="",M824="")),1,0)</f>
        <v>0</v>
      </c>
    </row>
    <row r="825">
      <c r="A825" s="43" t="n">
        <v>46258</v>
      </c>
      <c r="B825" s="44" t="n">
        <v>0.4791666666666667</v>
      </c>
      <c r="C825" s="38" t="inlineStr">
        <is>
          <t>Dra. Carolina Mendes</t>
        </is>
      </c>
      <c r="D825" s="38" t="inlineStr">
        <is>
          <t>Sala 1</t>
        </is>
      </c>
      <c r="E825" s="37" t="inlineStr">
        <is>
          <t>Ana Costa</t>
        </is>
      </c>
      <c r="F825" s="38" t="inlineStr">
        <is>
          <t>Particular</t>
        </is>
      </c>
      <c r="G825" s="38" t="inlineStr">
        <is>
          <t>Consulta</t>
        </is>
      </c>
      <c r="H825" s="38" t="inlineStr">
        <is>
          <t>Realizado</t>
        </is>
      </c>
      <c r="I825" s="38" t="inlineStr">
        <is>
          <t>Cartão de crédito</t>
        </is>
      </c>
      <c r="J825" s="38" t="n"/>
      <c r="K825" s="37" t="n"/>
      <c r="L825" s="39" t="n">
        <v>30</v>
      </c>
      <c r="M825" s="40" t="n">
        <v>380</v>
      </c>
      <c r="N825" s="30">
        <f>IF(A825="","",MONTH(A825))</f>
        <v>8</v>
      </c>
      <c r="O825" s="30">
        <f>IF(A825="","",YEAR(A825))</f>
        <v>2026</v>
      </c>
      <c r="P825" s="30" t="str">
        <f>IF(A825="","",CHOOSE(WEEKDAY(A825,2),"Segunda","Terça","Quarta","Quinta","Sexta","Sábado","Domingo"))</f>
        <v>Segunda</v>
      </c>
      <c r="Q825" s="30" t="str">
        <f>IF(B825="","",IF(B825&lt;TIME(12,0,0),"Manhã",IF(B825&lt;TIME(18,0,0),"Tarde","Noite")))</f>
        <v>Manhã</v>
      </c>
      <c r="R825" s="46">
        <f>IF(AND(H825="Realizado",L825&lt;&gt;"",A825&lt;=Config!$B$9),L825/60,0)</f>
        <v>0.5</v>
      </c>
      <c r="S825" s="45">
        <f>IF(G825="","",IFERROR(INDEX(Config!$K$5:$K$16,MATCH(G825,Config!$J$5:$J$16,0)),""))</f>
        <v>30</v>
      </c>
      <c r="T825" s="31">
        <f>IF(OR(G825="",F825=""),"",IFERROR(INDEX(Config!$M$5:$R$16,MATCH(G825,Config!$J$5:$J$16,0),MATCH(F825,Config!$H$5:$H$10,0)),""))</f>
        <v>380</v>
      </c>
      <c r="U825" s="47">
        <f>IF(AND(H825="Realizado",L825&lt;&gt;""),L825/60,0)</f>
        <v>0.5</v>
      </c>
      <c r="V825" s="47">
        <f>IF(AND(H825="Realizado",OR(L825="",M825="")),1,0)</f>
        <v>0</v>
      </c>
    </row>
    <row r="826">
      <c r="A826" s="43" t="n">
        <v>46258</v>
      </c>
      <c r="B826" s="44" t="n">
        <v>0.5833333333333334</v>
      </c>
      <c r="C826" s="38" t="inlineStr">
        <is>
          <t>Dr. Paulo Andrade</t>
        </is>
      </c>
      <c r="D826" s="38" t="inlineStr">
        <is>
          <t>Sala 2</t>
        </is>
      </c>
      <c r="E826" s="37" t="inlineStr">
        <is>
          <t>Carlos Fernandes</t>
        </is>
      </c>
      <c r="F826" s="38" t="inlineStr">
        <is>
          <t>Particular</t>
        </is>
      </c>
      <c r="G826" s="38" t="inlineStr">
        <is>
          <t>ECG</t>
        </is>
      </c>
      <c r="H826" s="38" t="inlineStr">
        <is>
          <t>Realizado</t>
        </is>
      </c>
      <c r="I826" s="38" t="inlineStr">
        <is>
          <t>Cartão de crédito</t>
        </is>
      </c>
      <c r="J826" s="38" t="n"/>
      <c r="K826" s="37" t="n"/>
      <c r="L826" s="39" t="n">
        <v>20</v>
      </c>
      <c r="M826" s="40" t="n">
        <v>130</v>
      </c>
      <c r="N826" s="30">
        <f>IF(A826="","",MONTH(A826))</f>
        <v>8</v>
      </c>
      <c r="O826" s="30">
        <f>IF(A826="","",YEAR(A826))</f>
        <v>2026</v>
      </c>
      <c r="P826" s="30" t="str">
        <f>IF(A826="","",CHOOSE(WEEKDAY(A826,2),"Segunda","Terça","Quarta","Quinta","Sexta","Sábado","Domingo"))</f>
        <v>Segunda</v>
      </c>
      <c r="Q826" s="30" t="str">
        <f>IF(B826="","",IF(B826&lt;TIME(12,0,0),"Manhã",IF(B826&lt;TIME(18,0,0),"Tarde","Noite")))</f>
        <v>Tarde</v>
      </c>
      <c r="R826" s="46">
        <f>IF(AND(H826="Realizado",L826&lt;&gt;"",A826&lt;=Config!$B$9),L826/60,0)</f>
        <v>0.333333333333333</v>
      </c>
      <c r="S826" s="45">
        <f>IF(G826="","",IFERROR(INDEX(Config!$K$5:$K$16,MATCH(G826,Config!$J$5:$J$16,0)),""))</f>
        <v>20</v>
      </c>
      <c r="T826" s="31">
        <f>IF(OR(G826="",F826=""),"",IFERROR(INDEX(Config!$M$5:$R$16,MATCH(G826,Config!$J$5:$J$16,0),MATCH(F826,Config!$H$5:$H$10,0)),""))</f>
        <v>130</v>
      </c>
      <c r="U826" s="47">
        <f>IF(AND(H826="Realizado",L826&lt;&gt;""),L826/60,0)</f>
        <v>0.333333333333333</v>
      </c>
      <c r="V826" s="47">
        <f>IF(AND(H826="Realizado",OR(L826="",M826="")),1,0)</f>
        <v>0</v>
      </c>
    </row>
    <row r="827">
      <c r="A827" s="43" t="n">
        <v>46258</v>
      </c>
      <c r="B827" s="44" t="n">
        <v>0.5972222222222222</v>
      </c>
      <c r="C827" s="38" t="inlineStr">
        <is>
          <t>Dr. Paulo Andrade</t>
        </is>
      </c>
      <c r="D827" s="38" t="inlineStr">
        <is>
          <t>Sala 2</t>
        </is>
      </c>
      <c r="E827" s="37" t="inlineStr">
        <is>
          <t>Vinícius Cardoso</t>
        </is>
      </c>
      <c r="F827" s="38" t="inlineStr">
        <is>
          <t>MediPlan</t>
        </is>
      </c>
      <c r="G827" s="38" t="inlineStr">
        <is>
          <t>Consulta</t>
        </is>
      </c>
      <c r="H827" s="38" t="inlineStr">
        <is>
          <t>Realizado</t>
        </is>
      </c>
      <c r="I827" s="38" t="inlineStr">
        <is>
          <t>Convênio</t>
        </is>
      </c>
      <c r="J827" s="38" t="n"/>
      <c r="K827" s="37" t="n"/>
      <c r="L827" s="39" t="n">
        <v>30</v>
      </c>
      <c r="M827" s="40" t="n">
        <v>100</v>
      </c>
      <c r="N827" s="30">
        <f>IF(A827="","",MONTH(A827))</f>
        <v>8</v>
      </c>
      <c r="O827" s="30">
        <f>IF(A827="","",YEAR(A827))</f>
        <v>2026</v>
      </c>
      <c r="P827" s="30" t="str">
        <f>IF(A827="","",CHOOSE(WEEKDAY(A827,2),"Segunda","Terça","Quarta","Quinta","Sexta","Sábado","Domingo"))</f>
        <v>Segunda</v>
      </c>
      <c r="Q827" s="30" t="str">
        <f>IF(B827="","",IF(B827&lt;TIME(12,0,0),"Manhã",IF(B827&lt;TIME(18,0,0),"Tarde","Noite")))</f>
        <v>Tarde</v>
      </c>
      <c r="R827" s="46">
        <f>IF(AND(H827="Realizado",L827&lt;&gt;"",A827&lt;=Config!$B$9),L827/60,0)</f>
        <v>0.5</v>
      </c>
      <c r="S827" s="45">
        <f>IF(G827="","",IFERROR(INDEX(Config!$K$5:$K$16,MATCH(G827,Config!$J$5:$J$16,0)),""))</f>
        <v>30</v>
      </c>
      <c r="T827" s="31">
        <f>IF(OR(G827="",F827=""),"",IFERROR(INDEX(Config!$M$5:$R$16,MATCH(G827,Config!$J$5:$J$16,0),MATCH(F827,Config!$H$5:$H$10,0)),""))</f>
        <v>100</v>
      </c>
      <c r="U827" s="47">
        <f>IF(AND(H827="Realizado",L827&lt;&gt;""),L827/60,0)</f>
        <v>0.5</v>
      </c>
      <c r="V827" s="47">
        <f>IF(AND(H827="Realizado",OR(L827="",M827="")),1,0)</f>
        <v>0</v>
      </c>
    </row>
    <row r="828">
      <c r="A828" s="43" t="n">
        <v>46258</v>
      </c>
      <c r="B828" s="44" t="n">
        <v>0.6180555555555556</v>
      </c>
      <c r="C828" s="38" t="inlineStr">
        <is>
          <t>Dr. Paulo Andrade</t>
        </is>
      </c>
      <c r="D828" s="38" t="inlineStr">
        <is>
          <t>Sala 2</t>
        </is>
      </c>
      <c r="E828" s="37" t="inlineStr">
        <is>
          <t>Camila Freitas</t>
        </is>
      </c>
      <c r="F828" s="38" t="inlineStr">
        <is>
          <t>Particular</t>
        </is>
      </c>
      <c r="G828" s="38" t="inlineStr">
        <is>
          <t>Consulta</t>
        </is>
      </c>
      <c r="H828" s="38" t="inlineStr">
        <is>
          <t>Realizado</t>
        </is>
      </c>
      <c r="I828" s="38" t="inlineStr">
        <is>
          <t>Pix</t>
        </is>
      </c>
      <c r="J828" s="38" t="n"/>
      <c r="K828" s="37" t="n"/>
      <c r="L828" s="39" t="n">
        <v>30</v>
      </c>
      <c r="M828" s="40" t="n">
        <v>380</v>
      </c>
      <c r="N828" s="30">
        <f>IF(A828="","",MONTH(A828))</f>
        <v>8</v>
      </c>
      <c r="O828" s="30">
        <f>IF(A828="","",YEAR(A828))</f>
        <v>2026</v>
      </c>
      <c r="P828" s="30" t="str">
        <f>IF(A828="","",CHOOSE(WEEKDAY(A828,2),"Segunda","Terça","Quarta","Quinta","Sexta","Sábado","Domingo"))</f>
        <v>Segunda</v>
      </c>
      <c r="Q828" s="30" t="str">
        <f>IF(B828="","",IF(B828&lt;TIME(12,0,0),"Manhã",IF(B828&lt;TIME(18,0,0),"Tarde","Noite")))</f>
        <v>Tarde</v>
      </c>
      <c r="R828" s="46">
        <f>IF(AND(H828="Realizado",L828&lt;&gt;"",A828&lt;=Config!$B$9),L828/60,0)</f>
        <v>0.5</v>
      </c>
      <c r="S828" s="45">
        <f>IF(G828="","",IFERROR(INDEX(Config!$K$5:$K$16,MATCH(G828,Config!$J$5:$J$16,0)),""))</f>
        <v>30</v>
      </c>
      <c r="T828" s="31">
        <f>IF(OR(G828="",F828=""),"",IFERROR(INDEX(Config!$M$5:$R$16,MATCH(G828,Config!$J$5:$J$16,0),MATCH(F828,Config!$H$5:$H$10,0)),""))</f>
        <v>380</v>
      </c>
      <c r="U828" s="47">
        <f>IF(AND(H828="Realizado",L828&lt;&gt;""),L828/60,0)</f>
        <v>0.5</v>
      </c>
      <c r="V828" s="47">
        <f>IF(AND(H828="Realizado",OR(L828="",M828="")),1,0)</f>
        <v>0</v>
      </c>
    </row>
    <row r="829">
      <c r="A829" s="43" t="n">
        <v>46258</v>
      </c>
      <c r="B829" s="44" t="n">
        <v>0.6388888888888888</v>
      </c>
      <c r="C829" s="38" t="inlineStr">
        <is>
          <t>Dr. Paulo Andrade</t>
        </is>
      </c>
      <c r="D829" s="38" t="inlineStr">
        <is>
          <t>Sala 2</t>
        </is>
      </c>
      <c r="E829" s="37" t="inlineStr">
        <is>
          <t>Otávio Martins</t>
        </is>
      </c>
      <c r="F829" s="38" t="inlineStr">
        <is>
          <t>MediPlan</t>
        </is>
      </c>
      <c r="G829" s="38" t="inlineStr">
        <is>
          <t>Retorno</t>
        </is>
      </c>
      <c r="H829" s="38" t="inlineStr">
        <is>
          <t>Realizado</t>
        </is>
      </c>
      <c r="I829" s="38" t="inlineStr">
        <is>
          <t>Sem cobrança</t>
        </is>
      </c>
      <c r="J829" s="38" t="n"/>
      <c r="K829" s="37" t="n"/>
      <c r="L829" s="39" t="n">
        <v>20</v>
      </c>
      <c r="M829" s="40" t="n">
        <v>0</v>
      </c>
      <c r="N829" s="30">
        <f>IF(A829="","",MONTH(A829))</f>
        <v>8</v>
      </c>
      <c r="O829" s="30">
        <f>IF(A829="","",YEAR(A829))</f>
        <v>2026</v>
      </c>
      <c r="P829" s="30" t="str">
        <f>IF(A829="","",CHOOSE(WEEKDAY(A829,2),"Segunda","Terça","Quarta","Quinta","Sexta","Sábado","Domingo"))</f>
        <v>Segunda</v>
      </c>
      <c r="Q829" s="30" t="str">
        <f>IF(B829="","",IF(B829&lt;TIME(12,0,0),"Manhã",IF(B829&lt;TIME(18,0,0),"Tarde","Noite")))</f>
        <v>Tarde</v>
      </c>
      <c r="R829" s="46">
        <f>IF(AND(H829="Realizado",L829&lt;&gt;"",A829&lt;=Config!$B$9),L829/60,0)</f>
        <v>0.333333333333333</v>
      </c>
      <c r="S829" s="45">
        <f>IF(G829="","",IFERROR(INDEX(Config!$K$5:$K$16,MATCH(G829,Config!$J$5:$J$16,0)),""))</f>
        <v>20</v>
      </c>
      <c r="T829" s="31">
        <f>IF(OR(G829="",F829=""),"",IFERROR(INDEX(Config!$M$5:$R$16,MATCH(G829,Config!$J$5:$J$16,0),MATCH(F829,Config!$H$5:$H$10,0)),""))</f>
        <v>0</v>
      </c>
      <c r="U829" s="47">
        <f>IF(AND(H829="Realizado",L829&lt;&gt;""),L829/60,0)</f>
        <v>0.333333333333333</v>
      </c>
      <c r="V829" s="47">
        <f>IF(AND(H829="Realizado",OR(L829="",M829="")),1,0)</f>
        <v>0</v>
      </c>
    </row>
    <row r="830">
      <c r="A830" s="43" t="n">
        <v>46258</v>
      </c>
      <c r="B830" s="44" t="n">
        <v>0.6527777777777778</v>
      </c>
      <c r="C830" s="38" t="inlineStr">
        <is>
          <t>Dr. Paulo Andrade</t>
        </is>
      </c>
      <c r="D830" s="38" t="inlineStr">
        <is>
          <t>Sala 2</t>
        </is>
      </c>
      <c r="E830" s="37" t="inlineStr">
        <is>
          <t>Gabriel Oliveira</t>
        </is>
      </c>
      <c r="F830" s="38" t="inlineStr">
        <is>
          <t>Particular</t>
        </is>
      </c>
      <c r="G830" s="38" t="inlineStr">
        <is>
          <t>Consulta</t>
        </is>
      </c>
      <c r="H830" s="38" t="inlineStr">
        <is>
          <t>Realizado</t>
        </is>
      </c>
      <c r="I830" s="38" t="inlineStr">
        <is>
          <t>Pix</t>
        </is>
      </c>
      <c r="J830" s="38" t="n"/>
      <c r="K830" s="37" t="n"/>
      <c r="L830" s="39" t="n">
        <v>30</v>
      </c>
      <c r="M830" s="40" t="n">
        <v>380</v>
      </c>
      <c r="N830" s="30">
        <f>IF(A830="","",MONTH(A830))</f>
        <v>8</v>
      </c>
      <c r="O830" s="30">
        <f>IF(A830="","",YEAR(A830))</f>
        <v>2026</v>
      </c>
      <c r="P830" s="30" t="str">
        <f>IF(A830="","",CHOOSE(WEEKDAY(A830,2),"Segunda","Terça","Quarta","Quinta","Sexta","Sábado","Domingo"))</f>
        <v>Segunda</v>
      </c>
      <c r="Q830" s="30" t="str">
        <f>IF(B830="","",IF(B830&lt;TIME(12,0,0),"Manhã",IF(B830&lt;TIME(18,0,0),"Tarde","Noite")))</f>
        <v>Tarde</v>
      </c>
      <c r="R830" s="46">
        <f>IF(AND(H830="Realizado",L830&lt;&gt;"",A830&lt;=Config!$B$9),L830/60,0)</f>
        <v>0.5</v>
      </c>
      <c r="S830" s="45">
        <f>IF(G830="","",IFERROR(INDEX(Config!$K$5:$K$16,MATCH(G830,Config!$J$5:$J$16,0)),""))</f>
        <v>30</v>
      </c>
      <c r="T830" s="31">
        <f>IF(OR(G830="",F830=""),"",IFERROR(INDEX(Config!$M$5:$R$16,MATCH(G830,Config!$J$5:$J$16,0),MATCH(F830,Config!$H$5:$H$10,0)),""))</f>
        <v>380</v>
      </c>
      <c r="U830" s="47">
        <f>IF(AND(H830="Realizado",L830&lt;&gt;""),L830/60,0)</f>
        <v>0.5</v>
      </c>
      <c r="V830" s="47">
        <f>IF(AND(H830="Realizado",OR(L830="",M830="")),1,0)</f>
        <v>0</v>
      </c>
    </row>
    <row r="831">
      <c r="A831" s="43" t="n">
        <v>46258</v>
      </c>
      <c r="B831" s="44" t="n">
        <v>0.6736111111111112</v>
      </c>
      <c r="C831" s="38" t="inlineStr">
        <is>
          <t>Dr. Paulo Andrade</t>
        </is>
      </c>
      <c r="D831" s="38" t="inlineStr">
        <is>
          <t>Sala 2</t>
        </is>
      </c>
      <c r="E831" s="37" t="inlineStr">
        <is>
          <t>Gabriel Vieira</t>
        </is>
      </c>
      <c r="F831" s="38" t="inlineStr">
        <is>
          <t>Vida Care</t>
        </is>
      </c>
      <c r="G831" s="38" t="inlineStr">
        <is>
          <t>Consulta</t>
        </is>
      </c>
      <c r="H831" s="38" t="inlineStr">
        <is>
          <t>Realizado</t>
        </is>
      </c>
      <c r="I831" s="38" t="inlineStr">
        <is>
          <t>Convênio</t>
        </is>
      </c>
      <c r="J831" s="38" t="n"/>
      <c r="K831" s="37" t="n"/>
      <c r="L831" s="39" t="n">
        <v>30</v>
      </c>
      <c r="M831" s="40" t="n">
        <v>90</v>
      </c>
      <c r="N831" s="30">
        <f>IF(A831="","",MONTH(A831))</f>
        <v>8</v>
      </c>
      <c r="O831" s="30">
        <f>IF(A831="","",YEAR(A831))</f>
        <v>2026</v>
      </c>
      <c r="P831" s="30" t="str">
        <f>IF(A831="","",CHOOSE(WEEKDAY(A831,2),"Segunda","Terça","Quarta","Quinta","Sexta","Sábado","Domingo"))</f>
        <v>Segunda</v>
      </c>
      <c r="Q831" s="30" t="str">
        <f>IF(B831="","",IF(B831&lt;TIME(12,0,0),"Manhã",IF(B831&lt;TIME(18,0,0),"Tarde","Noite")))</f>
        <v>Tarde</v>
      </c>
      <c r="R831" s="46">
        <f>IF(AND(H831="Realizado",L831&lt;&gt;"",A831&lt;=Config!$B$9),L831/60,0)</f>
        <v>0.5</v>
      </c>
      <c r="S831" s="45">
        <f>IF(G831="","",IFERROR(INDEX(Config!$K$5:$K$16,MATCH(G831,Config!$J$5:$J$16,0)),""))</f>
        <v>30</v>
      </c>
      <c r="T831" s="31">
        <f>IF(OR(G831="",F831=""),"",IFERROR(INDEX(Config!$M$5:$R$16,MATCH(G831,Config!$J$5:$J$16,0),MATCH(F831,Config!$H$5:$H$10,0)),""))</f>
        <v>90</v>
      </c>
      <c r="U831" s="47">
        <f>IF(AND(H831="Realizado",L831&lt;&gt;""),L831/60,0)</f>
        <v>0.5</v>
      </c>
      <c r="V831" s="47">
        <f>IF(AND(H831="Realizado",OR(L831="",M831="")),1,0)</f>
        <v>0</v>
      </c>
    </row>
    <row r="832">
      <c r="A832" s="43" t="n">
        <v>46258</v>
      </c>
      <c r="B832" s="44" t="n">
        <v>0.6944444444444444</v>
      </c>
      <c r="C832" s="38" t="inlineStr">
        <is>
          <t>Dr. Paulo Andrade</t>
        </is>
      </c>
      <c r="D832" s="38" t="inlineStr">
        <is>
          <t>Sala 2</t>
        </is>
      </c>
      <c r="E832" s="37" t="inlineStr">
        <is>
          <t>Daniel Melo</t>
        </is>
      </c>
      <c r="F832" s="38" t="inlineStr">
        <is>
          <t>Saúde Total</t>
        </is>
      </c>
      <c r="G832" s="38" t="inlineStr">
        <is>
          <t>MAPA</t>
        </is>
      </c>
      <c r="H832" s="38" t="inlineStr">
        <is>
          <t>Realizado</t>
        </is>
      </c>
      <c r="I832" s="38" t="inlineStr">
        <is>
          <t>Convênio</t>
        </is>
      </c>
      <c r="J832" s="38" t="n"/>
      <c r="K832" s="37" t="n"/>
      <c r="L832" s="39" t="n">
        <v>20</v>
      </c>
      <c r="M832" s="40" t="n">
        <v>95</v>
      </c>
      <c r="N832" s="30">
        <f>IF(A832="","",MONTH(A832))</f>
        <v>8</v>
      </c>
      <c r="O832" s="30">
        <f>IF(A832="","",YEAR(A832))</f>
        <v>2026</v>
      </c>
      <c r="P832" s="30" t="str">
        <f>IF(A832="","",CHOOSE(WEEKDAY(A832,2),"Segunda","Terça","Quarta","Quinta","Sexta","Sábado","Domingo"))</f>
        <v>Segunda</v>
      </c>
      <c r="Q832" s="30" t="str">
        <f>IF(B832="","",IF(B832&lt;TIME(12,0,0),"Manhã",IF(B832&lt;TIME(18,0,0),"Tarde","Noite")))</f>
        <v>Tarde</v>
      </c>
      <c r="R832" s="46">
        <f>IF(AND(H832="Realizado",L832&lt;&gt;"",A832&lt;=Config!$B$9),L832/60,0)</f>
        <v>0.333333333333333</v>
      </c>
      <c r="S832" s="45">
        <f>IF(G832="","",IFERROR(INDEX(Config!$K$5:$K$16,MATCH(G832,Config!$J$5:$J$16,0)),""))</f>
        <v>20</v>
      </c>
      <c r="T832" s="31">
        <f>IF(OR(G832="",F832=""),"",IFERROR(INDEX(Config!$M$5:$R$16,MATCH(G832,Config!$J$5:$J$16,0),MATCH(F832,Config!$H$5:$H$10,0)),""))</f>
        <v>95</v>
      </c>
      <c r="U832" s="47">
        <f>IF(AND(H832="Realizado",L832&lt;&gt;""),L832/60,0)</f>
        <v>0.333333333333333</v>
      </c>
      <c r="V832" s="47">
        <f>IF(AND(H832="Realizado",OR(L832="",M832="")),1,0)</f>
        <v>0</v>
      </c>
    </row>
    <row r="833">
      <c r="A833" s="43" t="n">
        <v>46258</v>
      </c>
      <c r="B833" s="44" t="n">
        <v>0.7083333333333334</v>
      </c>
      <c r="C833" s="38" t="inlineStr">
        <is>
          <t>Dr. Paulo Andrade</t>
        </is>
      </c>
      <c r="D833" s="38" t="inlineStr">
        <is>
          <t>Sala 2</t>
        </is>
      </c>
      <c r="E833" s="37" t="inlineStr">
        <is>
          <t>Sérgio Martins</t>
        </is>
      </c>
      <c r="F833" s="38" t="inlineStr">
        <is>
          <t>Particular</t>
        </is>
      </c>
      <c r="G833" s="38" t="inlineStr">
        <is>
          <t>Holter</t>
        </is>
      </c>
      <c r="H833" s="38" t="inlineStr">
        <is>
          <t>Realizado</t>
        </is>
      </c>
      <c r="I833" s="38" t="inlineStr">
        <is>
          <t>Dinheiro</t>
        </is>
      </c>
      <c r="J833" s="38" t="n"/>
      <c r="K833" s="37" t="n"/>
      <c r="L833" s="39" t="n">
        <v>20</v>
      </c>
      <c r="M833" s="40" t="n">
        <v>350</v>
      </c>
      <c r="N833" s="30">
        <f>IF(A833="","",MONTH(A833))</f>
        <v>8</v>
      </c>
      <c r="O833" s="30">
        <f>IF(A833="","",YEAR(A833))</f>
        <v>2026</v>
      </c>
      <c r="P833" s="30" t="str">
        <f>IF(A833="","",CHOOSE(WEEKDAY(A833,2),"Segunda","Terça","Quarta","Quinta","Sexta","Sábado","Domingo"))</f>
        <v>Segunda</v>
      </c>
      <c r="Q833" s="30" t="str">
        <f>IF(B833="","",IF(B833&lt;TIME(12,0,0),"Manhã",IF(B833&lt;TIME(18,0,0),"Tarde","Noite")))</f>
        <v>Tarde</v>
      </c>
      <c r="R833" s="46">
        <f>IF(AND(H833="Realizado",L833&lt;&gt;"",A833&lt;=Config!$B$9),L833/60,0)</f>
        <v>0.333333333333333</v>
      </c>
      <c r="S833" s="45">
        <f>IF(G833="","",IFERROR(INDEX(Config!$K$5:$K$16,MATCH(G833,Config!$J$5:$J$16,0)),""))</f>
        <v>20</v>
      </c>
      <c r="T833" s="31">
        <f>IF(OR(G833="",F833=""),"",IFERROR(INDEX(Config!$M$5:$R$16,MATCH(G833,Config!$J$5:$J$16,0),MATCH(F833,Config!$H$5:$H$10,0)),""))</f>
        <v>350</v>
      </c>
      <c r="U833" s="47">
        <f>IF(AND(H833="Realizado",L833&lt;&gt;""),L833/60,0)</f>
        <v>0.333333333333333</v>
      </c>
      <c r="V833" s="47">
        <f>IF(AND(H833="Realizado",OR(L833="",M833="")),1,0)</f>
        <v>0</v>
      </c>
    </row>
    <row r="834">
      <c r="A834" s="43" t="n">
        <v>46258</v>
      </c>
      <c r="B834" s="44" t="n">
        <v>0.7222222222222222</v>
      </c>
      <c r="C834" s="38" t="inlineStr">
        <is>
          <t>Dr. Paulo Andrade</t>
        </is>
      </c>
      <c r="D834" s="38" t="inlineStr">
        <is>
          <t>Sala 2</t>
        </is>
      </c>
      <c r="E834" s="37" t="inlineStr">
        <is>
          <t>Isabela Nascimento</t>
        </is>
      </c>
      <c r="F834" s="38" t="inlineStr">
        <is>
          <t>Vida Care</t>
        </is>
      </c>
      <c r="G834" s="38" t="inlineStr">
        <is>
          <t>Teste ergométrico</t>
        </is>
      </c>
      <c r="H834" s="38" t="inlineStr">
        <is>
          <t>Realizado</t>
        </is>
      </c>
      <c r="I834" s="38" t="inlineStr">
        <is>
          <t>Convênio</t>
        </is>
      </c>
      <c r="J834" s="38" t="n"/>
      <c r="K834" s="37" t="n"/>
      <c r="L834" s="39" t="n">
        <v>40</v>
      </c>
      <c r="M834" s="40" t="n">
        <v>110</v>
      </c>
      <c r="N834" s="30">
        <f>IF(A834="","",MONTH(A834))</f>
        <v>8</v>
      </c>
      <c r="O834" s="30">
        <f>IF(A834="","",YEAR(A834))</f>
        <v>2026</v>
      </c>
      <c r="P834" s="30" t="str">
        <f>IF(A834="","",CHOOSE(WEEKDAY(A834,2),"Segunda","Terça","Quarta","Quinta","Sexta","Sábado","Domingo"))</f>
        <v>Segunda</v>
      </c>
      <c r="Q834" s="30" t="str">
        <f>IF(B834="","",IF(B834&lt;TIME(12,0,0),"Manhã",IF(B834&lt;TIME(18,0,0),"Tarde","Noite")))</f>
        <v>Tarde</v>
      </c>
      <c r="R834" s="46">
        <f>IF(AND(H834="Realizado",L834&lt;&gt;"",A834&lt;=Config!$B$9),L834/60,0)</f>
        <v>0.666666666666667</v>
      </c>
      <c r="S834" s="45">
        <f>IF(G834="","",IFERROR(INDEX(Config!$K$5:$K$16,MATCH(G834,Config!$J$5:$J$16,0)),""))</f>
        <v>40</v>
      </c>
      <c r="T834" s="31">
        <f>IF(OR(G834="",F834=""),"",IFERROR(INDEX(Config!$M$5:$R$16,MATCH(G834,Config!$J$5:$J$16,0),MATCH(F834,Config!$H$5:$H$10,0)),""))</f>
        <v>110</v>
      </c>
      <c r="U834" s="47">
        <f>IF(AND(H834="Realizado",L834&lt;&gt;""),L834/60,0)</f>
        <v>0.666666666666667</v>
      </c>
      <c r="V834" s="47">
        <f>IF(AND(H834="Realizado",OR(L834="",M834="")),1,0)</f>
        <v>0</v>
      </c>
    </row>
    <row r="835">
      <c r="A835" s="43" t="n">
        <v>46259</v>
      </c>
      <c r="B835" s="44" t="n">
        <v>0.3333333333333333</v>
      </c>
      <c r="C835" s="38" t="inlineStr">
        <is>
          <t>Dra. Carolina Mendes</t>
        </is>
      </c>
      <c r="D835" s="38" t="inlineStr">
        <is>
          <t>Sala 1</t>
        </is>
      </c>
      <c r="E835" s="37" t="inlineStr">
        <is>
          <t>Gustavo Ferreira</t>
        </is>
      </c>
      <c r="F835" s="38" t="inlineStr">
        <is>
          <t>Particular</t>
        </is>
      </c>
      <c r="G835" s="38" t="inlineStr">
        <is>
          <t>Retorno</t>
        </is>
      </c>
      <c r="H835" s="38" t="inlineStr">
        <is>
          <t>Falta</t>
        </is>
      </c>
      <c r="I835" s="38" t="n"/>
      <c r="J835" s="38" t="n"/>
      <c r="K835" s="37" t="n"/>
      <c r="L835" s="39" t="n">
        <v>20</v>
      </c>
      <c r="M835" s="40" t="n">
        <v>0</v>
      </c>
      <c r="N835" s="30">
        <f>IF(A835="","",MONTH(A835))</f>
        <v>8</v>
      </c>
      <c r="O835" s="30">
        <f>IF(A835="","",YEAR(A835))</f>
        <v>2026</v>
      </c>
      <c r="P835" s="30" t="str">
        <f>IF(A835="","",CHOOSE(WEEKDAY(A835,2),"Segunda","Terça","Quarta","Quinta","Sexta","Sábado","Domingo"))</f>
        <v>Terça</v>
      </c>
      <c r="Q835" s="30" t="str">
        <f>IF(B835="","",IF(B835&lt;TIME(12,0,0),"Manhã",IF(B835&lt;TIME(18,0,0),"Tarde","Noite")))</f>
        <v>Manhã</v>
      </c>
      <c r="R835" s="46">
        <f>IF(AND(H835="Realizado",L835&lt;&gt;"",A835&lt;=Config!$B$9),L835/60,0)</f>
        <v>0</v>
      </c>
      <c r="S835" s="45">
        <f>IF(G835="","",IFERROR(INDEX(Config!$K$5:$K$16,MATCH(G835,Config!$J$5:$J$16,0)),""))</f>
        <v>20</v>
      </c>
      <c r="T835" s="31">
        <f>IF(OR(G835="",F835=""),"",IFERROR(INDEX(Config!$M$5:$R$16,MATCH(G835,Config!$J$5:$J$16,0),MATCH(F835,Config!$H$5:$H$10,0)),""))</f>
        <v>0</v>
      </c>
      <c r="U835" s="47">
        <f>IF(AND(H835="Realizado",L835&lt;&gt;""),L835/60,0)</f>
        <v>0</v>
      </c>
      <c r="V835" s="47">
        <f>IF(AND(H835="Realizado",OR(L835="",M835="")),1,0)</f>
        <v>0</v>
      </c>
    </row>
    <row r="836">
      <c r="A836" s="43" t="n">
        <v>46259</v>
      </c>
      <c r="B836" s="44" t="n">
        <v>0.3472222222222222</v>
      </c>
      <c r="C836" s="38" t="inlineStr">
        <is>
          <t>Dra. Carolina Mendes</t>
        </is>
      </c>
      <c r="D836" s="38" t="inlineStr">
        <is>
          <t>Sala 1</t>
        </is>
      </c>
      <c r="E836" s="37" t="inlineStr">
        <is>
          <t>Larissa Costa</t>
        </is>
      </c>
      <c r="F836" s="38" t="inlineStr">
        <is>
          <t>Particular</t>
        </is>
      </c>
      <c r="G836" s="38" t="inlineStr">
        <is>
          <t>Consulta</t>
        </is>
      </c>
      <c r="H836" s="38" t="inlineStr">
        <is>
          <t>Realizado</t>
        </is>
      </c>
      <c r="I836" s="38" t="inlineStr">
        <is>
          <t>Pix</t>
        </is>
      </c>
      <c r="J836" s="38" t="n"/>
      <c r="K836" s="37" t="n"/>
      <c r="L836" s="39" t="n">
        <v>30</v>
      </c>
      <c r="M836" s="40" t="n">
        <v>380</v>
      </c>
      <c r="N836" s="30">
        <f>IF(A836="","",MONTH(A836))</f>
        <v>8</v>
      </c>
      <c r="O836" s="30">
        <f>IF(A836="","",YEAR(A836))</f>
        <v>2026</v>
      </c>
      <c r="P836" s="30" t="str">
        <f>IF(A836="","",CHOOSE(WEEKDAY(A836,2),"Segunda","Terça","Quarta","Quinta","Sexta","Sábado","Domingo"))</f>
        <v>Terça</v>
      </c>
      <c r="Q836" s="30" t="str">
        <f>IF(B836="","",IF(B836&lt;TIME(12,0,0),"Manhã",IF(B836&lt;TIME(18,0,0),"Tarde","Noite")))</f>
        <v>Manhã</v>
      </c>
      <c r="R836" s="46">
        <f>IF(AND(H836="Realizado",L836&lt;&gt;"",A836&lt;=Config!$B$9),L836/60,0)</f>
        <v>0.5</v>
      </c>
      <c r="S836" s="45">
        <f>IF(G836="","",IFERROR(INDEX(Config!$K$5:$K$16,MATCH(G836,Config!$J$5:$J$16,0)),""))</f>
        <v>30</v>
      </c>
      <c r="T836" s="31">
        <f>IF(OR(G836="",F836=""),"",IFERROR(INDEX(Config!$M$5:$R$16,MATCH(G836,Config!$J$5:$J$16,0),MATCH(F836,Config!$H$5:$H$10,0)),""))</f>
        <v>380</v>
      </c>
      <c r="U836" s="47">
        <f>IF(AND(H836="Realizado",L836&lt;&gt;""),L836/60,0)</f>
        <v>0.5</v>
      </c>
      <c r="V836" s="47">
        <f>IF(AND(H836="Realizado",OR(L836="",M836="")),1,0)</f>
        <v>0</v>
      </c>
    </row>
    <row r="837">
      <c r="A837" s="43" t="n">
        <v>46259</v>
      </c>
      <c r="B837" s="44" t="n">
        <v>0.3680555555555556</v>
      </c>
      <c r="C837" s="38" t="inlineStr">
        <is>
          <t>Dra. Carolina Mendes</t>
        </is>
      </c>
      <c r="D837" s="38" t="inlineStr">
        <is>
          <t>Sala 1</t>
        </is>
      </c>
      <c r="E837" s="37" t="inlineStr">
        <is>
          <t>Otávio Nascimento</t>
        </is>
      </c>
      <c r="F837" s="38" t="inlineStr">
        <is>
          <t>Particular</t>
        </is>
      </c>
      <c r="G837" s="38" t="inlineStr">
        <is>
          <t>Consulta</t>
        </is>
      </c>
      <c r="H837" s="38" t="inlineStr">
        <is>
          <t>Realizado</t>
        </is>
      </c>
      <c r="I837" s="38" t="inlineStr">
        <is>
          <t>Cartão de crédito</t>
        </is>
      </c>
      <c r="J837" s="38" t="n">
        <v>2</v>
      </c>
      <c r="K837" s="37" t="n"/>
      <c r="L837" s="39" t="n">
        <v>30</v>
      </c>
      <c r="M837" s="40" t="n">
        <v>380</v>
      </c>
      <c r="N837" s="30">
        <f>IF(A837="","",MONTH(A837))</f>
        <v>8</v>
      </c>
      <c r="O837" s="30">
        <f>IF(A837="","",YEAR(A837))</f>
        <v>2026</v>
      </c>
      <c r="P837" s="30" t="str">
        <f>IF(A837="","",CHOOSE(WEEKDAY(A837,2),"Segunda","Terça","Quarta","Quinta","Sexta","Sábado","Domingo"))</f>
        <v>Terça</v>
      </c>
      <c r="Q837" s="30" t="str">
        <f>IF(B837="","",IF(B837&lt;TIME(12,0,0),"Manhã",IF(B837&lt;TIME(18,0,0),"Tarde","Noite")))</f>
        <v>Manhã</v>
      </c>
      <c r="R837" s="46">
        <f>IF(AND(H837="Realizado",L837&lt;&gt;"",A837&lt;=Config!$B$9),L837/60,0)</f>
        <v>0.5</v>
      </c>
      <c r="S837" s="45">
        <f>IF(G837="","",IFERROR(INDEX(Config!$K$5:$K$16,MATCH(G837,Config!$J$5:$J$16,0)),""))</f>
        <v>30</v>
      </c>
      <c r="T837" s="31">
        <f>IF(OR(G837="",F837=""),"",IFERROR(INDEX(Config!$M$5:$R$16,MATCH(G837,Config!$J$5:$J$16,0),MATCH(F837,Config!$H$5:$H$10,0)),""))</f>
        <v>380</v>
      </c>
      <c r="U837" s="47">
        <f>IF(AND(H837="Realizado",L837&lt;&gt;""),L837/60,0)</f>
        <v>0.5</v>
      </c>
      <c r="V837" s="47">
        <f>IF(AND(H837="Realizado",OR(L837="",M837="")),1,0)</f>
        <v>0</v>
      </c>
    </row>
    <row r="838">
      <c r="A838" s="43" t="n">
        <v>46259</v>
      </c>
      <c r="B838" s="44" t="n">
        <v>0.3888888888888889</v>
      </c>
      <c r="C838" s="38" t="inlineStr">
        <is>
          <t>Dra. Carolina Mendes</t>
        </is>
      </c>
      <c r="D838" s="38" t="inlineStr">
        <is>
          <t>Sala 1</t>
        </is>
      </c>
      <c r="E838" s="37" t="inlineStr">
        <is>
          <t>Daniel Melo</t>
        </is>
      </c>
      <c r="F838" s="38" t="inlineStr">
        <is>
          <t>Saúde Total</t>
        </is>
      </c>
      <c r="G838" s="38" t="inlineStr">
        <is>
          <t>Consulta</t>
        </is>
      </c>
      <c r="H838" s="38" t="inlineStr">
        <is>
          <t>Realizado</t>
        </is>
      </c>
      <c r="I838" s="38" t="inlineStr">
        <is>
          <t>Convênio</t>
        </is>
      </c>
      <c r="J838" s="38" t="n"/>
      <c r="K838" s="37" t="n"/>
      <c r="L838" s="39" t="n">
        <v>30</v>
      </c>
      <c r="M838" s="40" t="n">
        <v>120</v>
      </c>
      <c r="N838" s="30">
        <f>IF(A838="","",MONTH(A838))</f>
        <v>8</v>
      </c>
      <c r="O838" s="30">
        <f>IF(A838="","",YEAR(A838))</f>
        <v>2026</v>
      </c>
      <c r="P838" s="30" t="str">
        <f>IF(A838="","",CHOOSE(WEEKDAY(A838,2),"Segunda","Terça","Quarta","Quinta","Sexta","Sábado","Domingo"))</f>
        <v>Terça</v>
      </c>
      <c r="Q838" s="30" t="str">
        <f>IF(B838="","",IF(B838&lt;TIME(12,0,0),"Manhã",IF(B838&lt;TIME(18,0,0),"Tarde","Noite")))</f>
        <v>Manhã</v>
      </c>
      <c r="R838" s="46">
        <f>IF(AND(H838="Realizado",L838&lt;&gt;"",A838&lt;=Config!$B$9),L838/60,0)</f>
        <v>0.5</v>
      </c>
      <c r="S838" s="45">
        <f>IF(G838="","",IFERROR(INDEX(Config!$K$5:$K$16,MATCH(G838,Config!$J$5:$J$16,0)),""))</f>
        <v>30</v>
      </c>
      <c r="T838" s="31">
        <f>IF(OR(G838="",F838=""),"",IFERROR(INDEX(Config!$M$5:$R$16,MATCH(G838,Config!$J$5:$J$16,0),MATCH(F838,Config!$H$5:$H$10,0)),""))</f>
        <v>120</v>
      </c>
      <c r="U838" s="47">
        <f>IF(AND(H838="Realizado",L838&lt;&gt;""),L838/60,0)</f>
        <v>0.5</v>
      </c>
      <c r="V838" s="47">
        <f>IF(AND(H838="Realizado",OR(L838="",M838="")),1,0)</f>
        <v>0</v>
      </c>
    </row>
    <row r="839">
      <c r="A839" s="43" t="n">
        <v>46259</v>
      </c>
      <c r="B839" s="44" t="n">
        <v>0.4097222222222222</v>
      </c>
      <c r="C839" s="38" t="inlineStr">
        <is>
          <t>Dra. Carolina Mendes</t>
        </is>
      </c>
      <c r="D839" s="38" t="inlineStr">
        <is>
          <t>Sala 1</t>
        </is>
      </c>
      <c r="E839" s="37" t="inlineStr">
        <is>
          <t>Priscila Castro</t>
        </is>
      </c>
      <c r="F839" s="38" t="inlineStr">
        <is>
          <t>Saúde Total</t>
        </is>
      </c>
      <c r="G839" s="38" t="inlineStr">
        <is>
          <t>Consulta</t>
        </is>
      </c>
      <c r="H839" s="38" t="inlineStr">
        <is>
          <t>Realizado</t>
        </is>
      </c>
      <c r="I839" s="38" t="inlineStr">
        <is>
          <t>Convênio</t>
        </is>
      </c>
      <c r="J839" s="38" t="n"/>
      <c r="K839" s="37" t="n"/>
      <c r="L839" s="39" t="n">
        <v>30</v>
      </c>
      <c r="M839" s="40" t="n">
        <v>120</v>
      </c>
      <c r="N839" s="30">
        <f>IF(A839="","",MONTH(A839))</f>
        <v>8</v>
      </c>
      <c r="O839" s="30">
        <f>IF(A839="","",YEAR(A839))</f>
        <v>2026</v>
      </c>
      <c r="P839" s="30" t="str">
        <f>IF(A839="","",CHOOSE(WEEKDAY(A839,2),"Segunda","Terça","Quarta","Quinta","Sexta","Sábado","Domingo"))</f>
        <v>Terça</v>
      </c>
      <c r="Q839" s="30" t="str">
        <f>IF(B839="","",IF(B839&lt;TIME(12,0,0),"Manhã",IF(B839&lt;TIME(18,0,0),"Tarde","Noite")))</f>
        <v>Manhã</v>
      </c>
      <c r="R839" s="46">
        <f>IF(AND(H839="Realizado",L839&lt;&gt;"",A839&lt;=Config!$B$9),L839/60,0)</f>
        <v>0.5</v>
      </c>
      <c r="S839" s="45">
        <f>IF(G839="","",IFERROR(INDEX(Config!$K$5:$K$16,MATCH(G839,Config!$J$5:$J$16,0)),""))</f>
        <v>30</v>
      </c>
      <c r="T839" s="31">
        <f>IF(OR(G839="",F839=""),"",IFERROR(INDEX(Config!$M$5:$R$16,MATCH(G839,Config!$J$5:$J$16,0),MATCH(F839,Config!$H$5:$H$10,0)),""))</f>
        <v>120</v>
      </c>
      <c r="U839" s="47">
        <f>IF(AND(H839="Realizado",L839&lt;&gt;""),L839/60,0)</f>
        <v>0.5</v>
      </c>
      <c r="V839" s="47">
        <f>IF(AND(H839="Realizado",OR(L839="",M839="")),1,0)</f>
        <v>0</v>
      </c>
    </row>
    <row r="840">
      <c r="A840" s="43" t="n">
        <v>46259</v>
      </c>
      <c r="B840" s="44" t="n">
        <v>0.4513888888888889</v>
      </c>
      <c r="C840" s="38" t="inlineStr">
        <is>
          <t>Dra. Carolina Mendes</t>
        </is>
      </c>
      <c r="D840" s="38" t="inlineStr">
        <is>
          <t>Sala 1</t>
        </is>
      </c>
      <c r="E840" s="37" t="inlineStr">
        <is>
          <t>Gustavo Ferreira</t>
        </is>
      </c>
      <c r="F840" s="38" t="inlineStr">
        <is>
          <t>Particular</t>
        </is>
      </c>
      <c r="G840" s="38" t="inlineStr">
        <is>
          <t>Consulta</t>
        </is>
      </c>
      <c r="H840" s="38" t="inlineStr">
        <is>
          <t>Falta</t>
        </is>
      </c>
      <c r="I840" s="38" t="n"/>
      <c r="J840" s="38" t="n"/>
      <c r="K840" s="37" t="n"/>
      <c r="L840" s="39" t="n">
        <v>30</v>
      </c>
      <c r="M840" s="40" t="n">
        <v>380</v>
      </c>
      <c r="N840" s="30">
        <f>IF(A840="","",MONTH(A840))</f>
        <v>8</v>
      </c>
      <c r="O840" s="30">
        <f>IF(A840="","",YEAR(A840))</f>
        <v>2026</v>
      </c>
      <c r="P840" s="30" t="str">
        <f>IF(A840="","",CHOOSE(WEEKDAY(A840,2),"Segunda","Terça","Quarta","Quinta","Sexta","Sábado","Domingo"))</f>
        <v>Terça</v>
      </c>
      <c r="Q840" s="30" t="str">
        <f>IF(B840="","",IF(B840&lt;TIME(12,0,0),"Manhã",IF(B840&lt;TIME(18,0,0),"Tarde","Noite")))</f>
        <v>Manhã</v>
      </c>
      <c r="R840" s="46">
        <f>IF(AND(H840="Realizado",L840&lt;&gt;"",A840&lt;=Config!$B$9),L840/60,0)</f>
        <v>0</v>
      </c>
      <c r="S840" s="45">
        <f>IF(G840="","",IFERROR(INDEX(Config!$K$5:$K$16,MATCH(G840,Config!$J$5:$J$16,0)),""))</f>
        <v>30</v>
      </c>
      <c r="T840" s="31">
        <f>IF(OR(G840="",F840=""),"",IFERROR(INDEX(Config!$M$5:$R$16,MATCH(G840,Config!$J$5:$J$16,0),MATCH(F840,Config!$H$5:$H$10,0)),""))</f>
        <v>380</v>
      </c>
      <c r="U840" s="47">
        <f>IF(AND(H840="Realizado",L840&lt;&gt;""),L840/60,0)</f>
        <v>0</v>
      </c>
      <c r="V840" s="47">
        <f>IF(AND(H840="Realizado",OR(L840="",M840="")),1,0)</f>
        <v>0</v>
      </c>
    </row>
    <row r="841">
      <c r="A841" s="43" t="n">
        <v>46259</v>
      </c>
      <c r="B841" s="44" t="n">
        <v>0.4722222222222222</v>
      </c>
      <c r="C841" s="38" t="inlineStr">
        <is>
          <t>Dra. Carolina Mendes</t>
        </is>
      </c>
      <c r="D841" s="38" t="inlineStr">
        <is>
          <t>Sala 1</t>
        </is>
      </c>
      <c r="E841" s="37" t="inlineStr">
        <is>
          <t>Gustavo Barbosa</t>
        </is>
      </c>
      <c r="F841" s="38" t="inlineStr">
        <is>
          <t>Saúde Total</t>
        </is>
      </c>
      <c r="G841" s="38" t="inlineStr">
        <is>
          <t>Consulta</t>
        </is>
      </c>
      <c r="H841" s="38" t="inlineStr">
        <is>
          <t>Realizado</t>
        </is>
      </c>
      <c r="I841" s="38" t="inlineStr">
        <is>
          <t>Convênio</t>
        </is>
      </c>
      <c r="J841" s="38" t="n"/>
      <c r="K841" s="37" t="n"/>
      <c r="L841" s="39" t="n">
        <v>30</v>
      </c>
      <c r="M841" s="40" t="n">
        <v>120</v>
      </c>
      <c r="N841" s="30">
        <f>IF(A841="","",MONTH(A841))</f>
        <v>8</v>
      </c>
      <c r="O841" s="30">
        <f>IF(A841="","",YEAR(A841))</f>
        <v>2026</v>
      </c>
      <c r="P841" s="30" t="str">
        <f>IF(A841="","",CHOOSE(WEEKDAY(A841,2),"Segunda","Terça","Quarta","Quinta","Sexta","Sábado","Domingo"))</f>
        <v>Terça</v>
      </c>
      <c r="Q841" s="30" t="str">
        <f>IF(B841="","",IF(B841&lt;TIME(12,0,0),"Manhã",IF(B841&lt;TIME(18,0,0),"Tarde","Noite")))</f>
        <v>Manhã</v>
      </c>
      <c r="R841" s="46">
        <f>IF(AND(H841="Realizado",L841&lt;&gt;"",A841&lt;=Config!$B$9),L841/60,0)</f>
        <v>0.5</v>
      </c>
      <c r="S841" s="45">
        <f>IF(G841="","",IFERROR(INDEX(Config!$K$5:$K$16,MATCH(G841,Config!$J$5:$J$16,0)),""))</f>
        <v>30</v>
      </c>
      <c r="T841" s="31">
        <f>IF(OR(G841="",F841=""),"",IFERROR(INDEX(Config!$M$5:$R$16,MATCH(G841,Config!$J$5:$J$16,0),MATCH(F841,Config!$H$5:$H$10,0)),""))</f>
        <v>120</v>
      </c>
      <c r="U841" s="47">
        <f>IF(AND(H841="Realizado",L841&lt;&gt;""),L841/60,0)</f>
        <v>0.5</v>
      </c>
      <c r="V841" s="47">
        <f>IF(AND(H841="Realizado",OR(L841="",M841="")),1,0)</f>
        <v>0</v>
      </c>
    </row>
    <row r="842">
      <c r="A842" s="43" t="n">
        <v>46259</v>
      </c>
      <c r="B842" s="44" t="n">
        <v>0.5833333333333334</v>
      </c>
      <c r="C842" s="38" t="inlineStr">
        <is>
          <t>Dra. Renata Sousa</t>
        </is>
      </c>
      <c r="D842" s="38" t="inlineStr">
        <is>
          <t>Sala 1</t>
        </is>
      </c>
      <c r="E842" s="37" t="inlineStr">
        <is>
          <t>Mônica Almeida</t>
        </is>
      </c>
      <c r="F842" s="38" t="inlineStr">
        <is>
          <t>Particular</t>
        </is>
      </c>
      <c r="G842" s="38" t="inlineStr">
        <is>
          <t>Avaliação endócrina</t>
        </is>
      </c>
      <c r="H842" s="38" t="inlineStr">
        <is>
          <t>Realizado</t>
        </is>
      </c>
      <c r="I842" s="38" t="inlineStr">
        <is>
          <t>Cartão de crédito</t>
        </is>
      </c>
      <c r="J842" s="38" t="n">
        <v>2</v>
      </c>
      <c r="K842" s="37" t="n"/>
      <c r="L842" s="39" t="n">
        <v>40</v>
      </c>
      <c r="M842" s="40" t="n">
        <v>400</v>
      </c>
      <c r="N842" s="30">
        <f>IF(A842="","",MONTH(A842))</f>
        <v>8</v>
      </c>
      <c r="O842" s="30">
        <f>IF(A842="","",YEAR(A842))</f>
        <v>2026</v>
      </c>
      <c r="P842" s="30" t="str">
        <f>IF(A842="","",CHOOSE(WEEKDAY(A842,2),"Segunda","Terça","Quarta","Quinta","Sexta","Sábado","Domingo"))</f>
        <v>Terça</v>
      </c>
      <c r="Q842" s="30" t="str">
        <f>IF(B842="","",IF(B842&lt;TIME(12,0,0),"Manhã",IF(B842&lt;TIME(18,0,0),"Tarde","Noite")))</f>
        <v>Tarde</v>
      </c>
      <c r="R842" s="46">
        <f>IF(AND(H842="Realizado",L842&lt;&gt;"",A842&lt;=Config!$B$9),L842/60,0)</f>
        <v>0.666666666666667</v>
      </c>
      <c r="S842" s="45">
        <f>IF(G842="","",IFERROR(INDEX(Config!$K$5:$K$16,MATCH(G842,Config!$J$5:$J$16,0)),""))</f>
        <v>40</v>
      </c>
      <c r="T842" s="31">
        <f>IF(OR(G842="",F842=""),"",IFERROR(INDEX(Config!$M$5:$R$16,MATCH(G842,Config!$J$5:$J$16,0),MATCH(F842,Config!$H$5:$H$10,0)),""))</f>
        <v>400</v>
      </c>
      <c r="U842" s="47">
        <f>IF(AND(H842="Realizado",L842&lt;&gt;""),L842/60,0)</f>
        <v>0.666666666666667</v>
      </c>
      <c r="V842" s="47">
        <f>IF(AND(H842="Realizado",OR(L842="",M842="")),1,0)</f>
        <v>0</v>
      </c>
    </row>
    <row r="843">
      <c r="A843" s="43" t="n">
        <v>46259</v>
      </c>
      <c r="B843" s="44" t="n">
        <v>0.5833333333333334</v>
      </c>
      <c r="C843" s="38" t="inlineStr">
        <is>
          <t>Dr. Paulo Andrade</t>
        </is>
      </c>
      <c r="D843" s="38" t="inlineStr">
        <is>
          <t>Sala 2</t>
        </is>
      </c>
      <c r="E843" s="37" t="inlineStr">
        <is>
          <t>Lucas Cardoso</t>
        </is>
      </c>
      <c r="F843" s="38" t="inlineStr">
        <is>
          <t>Particular</t>
        </is>
      </c>
      <c r="G843" s="38" t="inlineStr">
        <is>
          <t>Consulta</t>
        </is>
      </c>
      <c r="H843" s="38" t="inlineStr">
        <is>
          <t>Realizado</t>
        </is>
      </c>
      <c r="I843" s="38" t="inlineStr">
        <is>
          <t>Pix</t>
        </is>
      </c>
      <c r="J843" s="38" t="n"/>
      <c r="K843" s="37" t="n"/>
      <c r="L843" s="39" t="n">
        <v>30</v>
      </c>
      <c r="M843" s="40" t="n">
        <v>380</v>
      </c>
      <c r="N843" s="30">
        <f>IF(A843="","",MONTH(A843))</f>
        <v>8</v>
      </c>
      <c r="O843" s="30">
        <f>IF(A843="","",YEAR(A843))</f>
        <v>2026</v>
      </c>
      <c r="P843" s="30" t="str">
        <f>IF(A843="","",CHOOSE(WEEKDAY(A843,2),"Segunda","Terça","Quarta","Quinta","Sexta","Sábado","Domingo"))</f>
        <v>Terça</v>
      </c>
      <c r="Q843" s="30" t="str">
        <f>IF(B843="","",IF(B843&lt;TIME(12,0,0),"Manhã",IF(B843&lt;TIME(18,0,0),"Tarde","Noite")))</f>
        <v>Tarde</v>
      </c>
      <c r="R843" s="46">
        <f>IF(AND(H843="Realizado",L843&lt;&gt;"",A843&lt;=Config!$B$9),L843/60,0)</f>
        <v>0.5</v>
      </c>
      <c r="S843" s="45">
        <f>IF(G843="","",IFERROR(INDEX(Config!$K$5:$K$16,MATCH(G843,Config!$J$5:$J$16,0)),""))</f>
        <v>30</v>
      </c>
      <c r="T843" s="31">
        <f>IF(OR(G843="",F843=""),"",IFERROR(INDEX(Config!$M$5:$R$16,MATCH(G843,Config!$J$5:$J$16,0),MATCH(F843,Config!$H$5:$H$10,0)),""))</f>
        <v>380</v>
      </c>
      <c r="U843" s="47">
        <f>IF(AND(H843="Realizado",L843&lt;&gt;""),L843/60,0)</f>
        <v>0.5</v>
      </c>
      <c r="V843" s="47">
        <f>IF(AND(H843="Realizado",OR(L843="",M843="")),1,0)</f>
        <v>0</v>
      </c>
    </row>
    <row r="844">
      <c r="A844" s="43" t="n">
        <v>46259</v>
      </c>
      <c r="B844" s="44" t="n">
        <v>0.6041666666666666</v>
      </c>
      <c r="C844" s="38" t="inlineStr">
        <is>
          <t>Dr. Paulo Andrade</t>
        </is>
      </c>
      <c r="D844" s="38" t="inlineStr">
        <is>
          <t>Sala 2</t>
        </is>
      </c>
      <c r="E844" s="37" t="inlineStr">
        <is>
          <t>Roberta Araújo</t>
        </is>
      </c>
      <c r="F844" s="38" t="inlineStr">
        <is>
          <t>Particular</t>
        </is>
      </c>
      <c r="G844" s="38" t="inlineStr">
        <is>
          <t>Holter</t>
        </is>
      </c>
      <c r="H844" s="38" t="inlineStr">
        <is>
          <t>Realizado</t>
        </is>
      </c>
      <c r="I844" s="38" t="inlineStr">
        <is>
          <t>Cartão de crédito</t>
        </is>
      </c>
      <c r="J844" s="38" t="n"/>
      <c r="K844" s="37" t="n"/>
      <c r="L844" s="39" t="n">
        <v>20</v>
      </c>
      <c r="M844" s="40" t="n">
        <v>350</v>
      </c>
      <c r="N844" s="30">
        <f>IF(A844="","",MONTH(A844))</f>
        <v>8</v>
      </c>
      <c r="O844" s="30">
        <f>IF(A844="","",YEAR(A844))</f>
        <v>2026</v>
      </c>
      <c r="P844" s="30" t="str">
        <f>IF(A844="","",CHOOSE(WEEKDAY(A844,2),"Segunda","Terça","Quarta","Quinta","Sexta","Sábado","Domingo"))</f>
        <v>Terça</v>
      </c>
      <c r="Q844" s="30" t="str">
        <f>IF(B844="","",IF(B844&lt;TIME(12,0,0),"Manhã",IF(B844&lt;TIME(18,0,0),"Tarde","Noite")))</f>
        <v>Tarde</v>
      </c>
      <c r="R844" s="46">
        <f>IF(AND(H844="Realizado",L844&lt;&gt;"",A844&lt;=Config!$B$9),L844/60,0)</f>
        <v>0.333333333333333</v>
      </c>
      <c r="S844" s="45">
        <f>IF(G844="","",IFERROR(INDEX(Config!$K$5:$K$16,MATCH(G844,Config!$J$5:$J$16,0)),""))</f>
        <v>20</v>
      </c>
      <c r="T844" s="31">
        <f>IF(OR(G844="",F844=""),"",IFERROR(INDEX(Config!$M$5:$R$16,MATCH(G844,Config!$J$5:$J$16,0),MATCH(F844,Config!$H$5:$H$10,0)),""))</f>
        <v>350</v>
      </c>
      <c r="U844" s="47">
        <f>IF(AND(H844="Realizado",L844&lt;&gt;""),L844/60,0)</f>
        <v>0.333333333333333</v>
      </c>
      <c r="V844" s="47">
        <f>IF(AND(H844="Realizado",OR(L844="",M844="")),1,0)</f>
        <v>0</v>
      </c>
    </row>
    <row r="845">
      <c r="A845" s="43" t="n">
        <v>46259</v>
      </c>
      <c r="B845" s="44" t="n">
        <v>0.6111111111111112</v>
      </c>
      <c r="C845" s="38" t="inlineStr">
        <is>
          <t>Dra. Renata Sousa</t>
        </is>
      </c>
      <c r="D845" s="38" t="inlineStr">
        <is>
          <t>Sala 1</t>
        </is>
      </c>
      <c r="E845" s="37" t="inlineStr">
        <is>
          <t>Beatriz Monteiro</t>
        </is>
      </c>
      <c r="F845" s="38" t="inlineStr">
        <is>
          <t>Particular</t>
        </is>
      </c>
      <c r="G845" s="38" t="inlineStr">
        <is>
          <t>Retorno</t>
        </is>
      </c>
      <c r="H845" s="38" t="inlineStr">
        <is>
          <t>Realizado</t>
        </is>
      </c>
      <c r="I845" s="38" t="inlineStr">
        <is>
          <t>Sem cobrança</t>
        </is>
      </c>
      <c r="J845" s="38" t="n"/>
      <c r="K845" s="37" t="n"/>
      <c r="L845" s="39" t="n">
        <v>20</v>
      </c>
      <c r="M845" s="40" t="n">
        <v>0</v>
      </c>
      <c r="N845" s="30">
        <f>IF(A845="","",MONTH(A845))</f>
        <v>8</v>
      </c>
      <c r="O845" s="30">
        <f>IF(A845="","",YEAR(A845))</f>
        <v>2026</v>
      </c>
      <c r="P845" s="30" t="str">
        <f>IF(A845="","",CHOOSE(WEEKDAY(A845,2),"Segunda","Terça","Quarta","Quinta","Sexta","Sábado","Domingo"))</f>
        <v>Terça</v>
      </c>
      <c r="Q845" s="30" t="str">
        <f>IF(B845="","",IF(B845&lt;TIME(12,0,0),"Manhã",IF(B845&lt;TIME(18,0,0),"Tarde","Noite")))</f>
        <v>Tarde</v>
      </c>
      <c r="R845" s="46">
        <f>IF(AND(H845="Realizado",L845&lt;&gt;"",A845&lt;=Config!$B$9),L845/60,0)</f>
        <v>0.333333333333333</v>
      </c>
      <c r="S845" s="45">
        <f>IF(G845="","",IFERROR(INDEX(Config!$K$5:$K$16,MATCH(G845,Config!$J$5:$J$16,0)),""))</f>
        <v>20</v>
      </c>
      <c r="T845" s="31">
        <f>IF(OR(G845="",F845=""),"",IFERROR(INDEX(Config!$M$5:$R$16,MATCH(G845,Config!$J$5:$J$16,0),MATCH(F845,Config!$H$5:$H$10,0)),""))</f>
        <v>0</v>
      </c>
      <c r="U845" s="47">
        <f>IF(AND(H845="Realizado",L845&lt;&gt;""),L845/60,0)</f>
        <v>0.333333333333333</v>
      </c>
      <c r="V845" s="47">
        <f>IF(AND(H845="Realizado",OR(L845="",M845="")),1,0)</f>
        <v>0</v>
      </c>
    </row>
    <row r="846">
      <c r="A846" s="43" t="n">
        <v>46259</v>
      </c>
      <c r="B846" s="44" t="n">
        <v>0.625</v>
      </c>
      <c r="C846" s="38" t="inlineStr">
        <is>
          <t>Dra. Renata Sousa</t>
        </is>
      </c>
      <c r="D846" s="38" t="inlineStr">
        <is>
          <t>Sala 1</t>
        </is>
      </c>
      <c r="E846" s="37" t="inlineStr">
        <is>
          <t>Rafael Pereira</t>
        </is>
      </c>
      <c r="F846" s="38" t="inlineStr">
        <is>
          <t>Particular</t>
        </is>
      </c>
      <c r="G846" s="38" t="inlineStr">
        <is>
          <t>Avaliação endócrina</t>
        </is>
      </c>
      <c r="H846" s="38" t="inlineStr">
        <is>
          <t>Realizado</t>
        </is>
      </c>
      <c r="I846" s="38" t="inlineStr">
        <is>
          <t>Dinheiro</t>
        </is>
      </c>
      <c r="J846" s="38" t="n"/>
      <c r="K846" s="37" t="n"/>
      <c r="L846" s="39" t="n">
        <v>40</v>
      </c>
      <c r="M846" s="40" t="n">
        <v>400</v>
      </c>
      <c r="N846" s="30">
        <f>IF(A846="","",MONTH(A846))</f>
        <v>8</v>
      </c>
      <c r="O846" s="30">
        <f>IF(A846="","",YEAR(A846))</f>
        <v>2026</v>
      </c>
      <c r="P846" s="30" t="str">
        <f>IF(A846="","",CHOOSE(WEEKDAY(A846,2),"Segunda","Terça","Quarta","Quinta","Sexta","Sábado","Domingo"))</f>
        <v>Terça</v>
      </c>
      <c r="Q846" s="30" t="str">
        <f>IF(B846="","",IF(B846&lt;TIME(12,0,0),"Manhã",IF(B846&lt;TIME(18,0,0),"Tarde","Noite")))</f>
        <v>Tarde</v>
      </c>
      <c r="R846" s="46">
        <f>IF(AND(H846="Realizado",L846&lt;&gt;"",A846&lt;=Config!$B$9),L846/60,0)</f>
        <v>0.666666666666667</v>
      </c>
      <c r="S846" s="45">
        <f>IF(G846="","",IFERROR(INDEX(Config!$K$5:$K$16,MATCH(G846,Config!$J$5:$J$16,0)),""))</f>
        <v>40</v>
      </c>
      <c r="T846" s="31">
        <f>IF(OR(G846="",F846=""),"",IFERROR(INDEX(Config!$M$5:$R$16,MATCH(G846,Config!$J$5:$J$16,0),MATCH(F846,Config!$H$5:$H$10,0)),""))</f>
        <v>400</v>
      </c>
      <c r="U846" s="47">
        <f>IF(AND(H846="Realizado",L846&lt;&gt;""),L846/60,0)</f>
        <v>0.666666666666667</v>
      </c>
      <c r="V846" s="47">
        <f>IF(AND(H846="Realizado",OR(L846="",M846="")),1,0)</f>
        <v>0</v>
      </c>
    </row>
    <row r="847">
      <c r="A847" s="43" t="n">
        <v>46259</v>
      </c>
      <c r="B847" s="44" t="n">
        <v>0.6388888888888888</v>
      </c>
      <c r="C847" s="38" t="inlineStr">
        <is>
          <t>Dr. Paulo Andrade</t>
        </is>
      </c>
      <c r="D847" s="38" t="inlineStr">
        <is>
          <t>Sala 2</t>
        </is>
      </c>
      <c r="E847" s="37" t="inlineStr">
        <is>
          <t>Rafael Barros</t>
        </is>
      </c>
      <c r="F847" s="38" t="inlineStr">
        <is>
          <t>Particular</t>
        </is>
      </c>
      <c r="G847" s="38" t="inlineStr">
        <is>
          <t>Consulta</t>
        </is>
      </c>
      <c r="H847" s="38" t="inlineStr">
        <is>
          <t>Realizado</t>
        </is>
      </c>
      <c r="I847" s="38" t="inlineStr">
        <is>
          <t>Cartão de crédito</t>
        </is>
      </c>
      <c r="J847" s="38" t="n">
        <v>2</v>
      </c>
      <c r="K847" s="37" t="n"/>
      <c r="L847" s="39" t="n">
        <v>30</v>
      </c>
      <c r="M847" s="40" t="n">
        <v>380</v>
      </c>
      <c r="N847" s="30">
        <f>IF(A847="","",MONTH(A847))</f>
        <v>8</v>
      </c>
      <c r="O847" s="30">
        <f>IF(A847="","",YEAR(A847))</f>
        <v>2026</v>
      </c>
      <c r="P847" s="30" t="str">
        <f>IF(A847="","",CHOOSE(WEEKDAY(A847,2),"Segunda","Terça","Quarta","Quinta","Sexta","Sábado","Domingo"))</f>
        <v>Terça</v>
      </c>
      <c r="Q847" s="30" t="str">
        <f>IF(B847="","",IF(B847&lt;TIME(12,0,0),"Manhã",IF(B847&lt;TIME(18,0,0),"Tarde","Noite")))</f>
        <v>Tarde</v>
      </c>
      <c r="R847" s="46">
        <f>IF(AND(H847="Realizado",L847&lt;&gt;"",A847&lt;=Config!$B$9),L847/60,0)</f>
        <v>0.5</v>
      </c>
      <c r="S847" s="45">
        <f>IF(G847="","",IFERROR(INDEX(Config!$K$5:$K$16,MATCH(G847,Config!$J$5:$J$16,0)),""))</f>
        <v>30</v>
      </c>
      <c r="T847" s="31">
        <f>IF(OR(G847="",F847=""),"",IFERROR(INDEX(Config!$M$5:$R$16,MATCH(G847,Config!$J$5:$J$16,0),MATCH(F847,Config!$H$5:$H$10,0)),""))</f>
        <v>380</v>
      </c>
      <c r="U847" s="47">
        <f>IF(AND(H847="Realizado",L847&lt;&gt;""),L847/60,0)</f>
        <v>0.5</v>
      </c>
      <c r="V847" s="47">
        <f>IF(AND(H847="Realizado",OR(L847="",M847="")),1,0)</f>
        <v>0</v>
      </c>
    </row>
    <row r="848">
      <c r="A848" s="43" t="n">
        <v>46259</v>
      </c>
      <c r="B848" s="44" t="n">
        <v>0.6527777777777778</v>
      </c>
      <c r="C848" s="38" t="inlineStr">
        <is>
          <t>Dra. Renata Sousa</t>
        </is>
      </c>
      <c r="D848" s="38" t="inlineStr">
        <is>
          <t>Sala 1</t>
        </is>
      </c>
      <c r="E848" s="37" t="inlineStr">
        <is>
          <t>Carlos Gomes</t>
        </is>
      </c>
      <c r="F848" s="38" t="inlineStr">
        <is>
          <t>Saúde Total</t>
        </is>
      </c>
      <c r="G848" s="38" t="inlineStr">
        <is>
          <t>Avaliação endócrina</t>
        </is>
      </c>
      <c r="H848" s="38" t="inlineStr">
        <is>
          <t>Realizado</t>
        </is>
      </c>
      <c r="I848" s="38" t="inlineStr">
        <is>
          <t>Convênio</t>
        </is>
      </c>
      <c r="J848" s="38" t="n"/>
      <c r="K848" s="37" t="n"/>
      <c r="L848" s="39" t="n">
        <v>40</v>
      </c>
      <c r="M848" s="40" t="n">
        <v>130</v>
      </c>
      <c r="N848" s="30">
        <f>IF(A848="","",MONTH(A848))</f>
        <v>8</v>
      </c>
      <c r="O848" s="30">
        <f>IF(A848="","",YEAR(A848))</f>
        <v>2026</v>
      </c>
      <c r="P848" s="30" t="str">
        <f>IF(A848="","",CHOOSE(WEEKDAY(A848,2),"Segunda","Terça","Quarta","Quinta","Sexta","Sábado","Domingo"))</f>
        <v>Terça</v>
      </c>
      <c r="Q848" s="30" t="str">
        <f>IF(B848="","",IF(B848&lt;TIME(12,0,0),"Manhã",IF(B848&lt;TIME(18,0,0),"Tarde","Noite")))</f>
        <v>Tarde</v>
      </c>
      <c r="R848" s="46">
        <f>IF(AND(H848="Realizado",L848&lt;&gt;"",A848&lt;=Config!$B$9),L848/60,0)</f>
        <v>0.666666666666667</v>
      </c>
      <c r="S848" s="45">
        <f>IF(G848="","",IFERROR(INDEX(Config!$K$5:$K$16,MATCH(G848,Config!$J$5:$J$16,0)),""))</f>
        <v>40</v>
      </c>
      <c r="T848" s="31">
        <f>IF(OR(G848="",F848=""),"",IFERROR(INDEX(Config!$M$5:$R$16,MATCH(G848,Config!$J$5:$J$16,0),MATCH(F848,Config!$H$5:$H$10,0)),""))</f>
        <v>130</v>
      </c>
      <c r="U848" s="47">
        <f>IF(AND(H848="Realizado",L848&lt;&gt;""),L848/60,0)</f>
        <v>0.666666666666667</v>
      </c>
      <c r="V848" s="47">
        <f>IF(AND(H848="Realizado",OR(L848="",M848="")),1,0)</f>
        <v>0</v>
      </c>
    </row>
    <row r="849">
      <c r="A849" s="43" t="n">
        <v>46259</v>
      </c>
      <c r="B849" s="44" t="n">
        <v>0.6597222222222222</v>
      </c>
      <c r="C849" s="38" t="inlineStr">
        <is>
          <t>Dr. Paulo Andrade</t>
        </is>
      </c>
      <c r="D849" s="38" t="inlineStr">
        <is>
          <t>Sala 2</t>
        </is>
      </c>
      <c r="E849" s="37" t="inlineStr">
        <is>
          <t>Natália Xavier</t>
        </is>
      </c>
      <c r="F849" s="38" t="inlineStr">
        <is>
          <t>MediPlan</t>
        </is>
      </c>
      <c r="G849" s="38" t="inlineStr">
        <is>
          <t>Consulta</t>
        </is>
      </c>
      <c r="H849" s="38" t="inlineStr">
        <is>
          <t>Realizado</t>
        </is>
      </c>
      <c r="I849" s="38" t="inlineStr">
        <is>
          <t>Convênio</t>
        </is>
      </c>
      <c r="J849" s="38" t="n"/>
      <c r="K849" s="37" t="n"/>
      <c r="L849" s="39" t="n">
        <v>30</v>
      </c>
      <c r="M849" s="40" t="n">
        <v>100</v>
      </c>
      <c r="N849" s="30">
        <f>IF(A849="","",MONTH(A849))</f>
        <v>8</v>
      </c>
      <c r="O849" s="30">
        <f>IF(A849="","",YEAR(A849))</f>
        <v>2026</v>
      </c>
      <c r="P849" s="30" t="str">
        <f>IF(A849="","",CHOOSE(WEEKDAY(A849,2),"Segunda","Terça","Quarta","Quinta","Sexta","Sábado","Domingo"))</f>
        <v>Terça</v>
      </c>
      <c r="Q849" s="30" t="str">
        <f>IF(B849="","",IF(B849&lt;TIME(12,0,0),"Manhã",IF(B849&lt;TIME(18,0,0),"Tarde","Noite")))</f>
        <v>Tarde</v>
      </c>
      <c r="R849" s="46">
        <f>IF(AND(H849="Realizado",L849&lt;&gt;"",A849&lt;=Config!$B$9),L849/60,0)</f>
        <v>0.5</v>
      </c>
      <c r="S849" s="45">
        <f>IF(G849="","",IFERROR(INDEX(Config!$K$5:$K$16,MATCH(G849,Config!$J$5:$J$16,0)),""))</f>
        <v>30</v>
      </c>
      <c r="T849" s="31">
        <f>IF(OR(G849="",F849=""),"",IFERROR(INDEX(Config!$M$5:$R$16,MATCH(G849,Config!$J$5:$J$16,0),MATCH(F849,Config!$H$5:$H$10,0)),""))</f>
        <v>100</v>
      </c>
      <c r="U849" s="47">
        <f>IF(AND(H849="Realizado",L849&lt;&gt;""),L849/60,0)</f>
        <v>0.5</v>
      </c>
      <c r="V849" s="47">
        <f>IF(AND(H849="Realizado",OR(L849="",M849="")),1,0)</f>
        <v>0</v>
      </c>
    </row>
    <row r="850">
      <c r="A850" s="43" t="n">
        <v>46259</v>
      </c>
      <c r="B850" s="44" t="n">
        <v>0.6805555555555556</v>
      </c>
      <c r="C850" s="38" t="inlineStr">
        <is>
          <t>Dra. Renata Sousa</t>
        </is>
      </c>
      <c r="D850" s="38" t="inlineStr">
        <is>
          <t>Sala 1</t>
        </is>
      </c>
      <c r="E850" s="37" t="inlineStr">
        <is>
          <t>Gabriel Lopes</t>
        </is>
      </c>
      <c r="F850" s="38" t="inlineStr">
        <is>
          <t>Saúde Total</t>
        </is>
      </c>
      <c r="G850" s="38" t="inlineStr">
        <is>
          <t>Avaliação endócrina</t>
        </is>
      </c>
      <c r="H850" s="38" t="inlineStr">
        <is>
          <t>Realizado</t>
        </is>
      </c>
      <c r="I850" s="38" t="inlineStr">
        <is>
          <t>Convênio</t>
        </is>
      </c>
      <c r="J850" s="38" t="n"/>
      <c r="K850" s="37" t="n"/>
      <c r="L850" s="39" t="n">
        <v>40</v>
      </c>
      <c r="M850" s="40" t="n">
        <v>130</v>
      </c>
      <c r="N850" s="30">
        <f>IF(A850="","",MONTH(A850))</f>
        <v>8</v>
      </c>
      <c r="O850" s="30">
        <f>IF(A850="","",YEAR(A850))</f>
        <v>2026</v>
      </c>
      <c r="P850" s="30" t="str">
        <f>IF(A850="","",CHOOSE(WEEKDAY(A850,2),"Segunda","Terça","Quarta","Quinta","Sexta","Sábado","Domingo"))</f>
        <v>Terça</v>
      </c>
      <c r="Q850" s="30" t="str">
        <f>IF(B850="","",IF(B850&lt;TIME(12,0,0),"Manhã",IF(B850&lt;TIME(18,0,0),"Tarde","Noite")))</f>
        <v>Tarde</v>
      </c>
      <c r="R850" s="46">
        <f>IF(AND(H850="Realizado",L850&lt;&gt;"",A850&lt;=Config!$B$9),L850/60,0)</f>
        <v>0.666666666666667</v>
      </c>
      <c r="S850" s="45">
        <f>IF(G850="","",IFERROR(INDEX(Config!$K$5:$K$16,MATCH(G850,Config!$J$5:$J$16,0)),""))</f>
        <v>40</v>
      </c>
      <c r="T850" s="31">
        <f>IF(OR(G850="",F850=""),"",IFERROR(INDEX(Config!$M$5:$R$16,MATCH(G850,Config!$J$5:$J$16,0),MATCH(F850,Config!$H$5:$H$10,0)),""))</f>
        <v>130</v>
      </c>
      <c r="U850" s="47">
        <f>IF(AND(H850="Realizado",L850&lt;&gt;""),L850/60,0)</f>
        <v>0.666666666666667</v>
      </c>
      <c r="V850" s="47">
        <f>IF(AND(H850="Realizado",OR(L850="",M850="")),1,0)</f>
        <v>0</v>
      </c>
    </row>
    <row r="851">
      <c r="A851" s="43" t="n">
        <v>46259</v>
      </c>
      <c r="B851" s="44" t="n">
        <v>0.6805555555555556</v>
      </c>
      <c r="C851" s="38" t="inlineStr">
        <is>
          <t>Dr. Paulo Andrade</t>
        </is>
      </c>
      <c r="D851" s="38" t="inlineStr">
        <is>
          <t>Sala 2</t>
        </is>
      </c>
      <c r="E851" s="37" t="inlineStr">
        <is>
          <t>Camila Martins</t>
        </is>
      </c>
      <c r="F851" s="38" t="inlineStr">
        <is>
          <t>Vida Care</t>
        </is>
      </c>
      <c r="G851" s="38" t="inlineStr">
        <is>
          <t>Consulta</t>
        </is>
      </c>
      <c r="H851" s="38" t="inlineStr">
        <is>
          <t>Realizado</t>
        </is>
      </c>
      <c r="I851" s="38" t="inlineStr">
        <is>
          <t>Convênio</t>
        </is>
      </c>
      <c r="J851" s="38" t="n"/>
      <c r="K851" s="37" t="n"/>
      <c r="L851" s="39" t="n">
        <v>30</v>
      </c>
      <c r="M851" s="40" t="n">
        <v>90</v>
      </c>
      <c r="N851" s="30">
        <f>IF(A851="","",MONTH(A851))</f>
        <v>8</v>
      </c>
      <c r="O851" s="30">
        <f>IF(A851="","",YEAR(A851))</f>
        <v>2026</v>
      </c>
      <c r="P851" s="30" t="str">
        <f>IF(A851="","",CHOOSE(WEEKDAY(A851,2),"Segunda","Terça","Quarta","Quinta","Sexta","Sábado","Domingo"))</f>
        <v>Terça</v>
      </c>
      <c r="Q851" s="30" t="str">
        <f>IF(B851="","",IF(B851&lt;TIME(12,0,0),"Manhã",IF(B851&lt;TIME(18,0,0),"Tarde","Noite")))</f>
        <v>Tarde</v>
      </c>
      <c r="R851" s="46">
        <f>IF(AND(H851="Realizado",L851&lt;&gt;"",A851&lt;=Config!$B$9),L851/60,0)</f>
        <v>0.5</v>
      </c>
      <c r="S851" s="45">
        <f>IF(G851="","",IFERROR(INDEX(Config!$K$5:$K$16,MATCH(G851,Config!$J$5:$J$16,0)),""))</f>
        <v>30</v>
      </c>
      <c r="T851" s="31">
        <f>IF(OR(G851="",F851=""),"",IFERROR(INDEX(Config!$M$5:$R$16,MATCH(G851,Config!$J$5:$J$16,0),MATCH(F851,Config!$H$5:$H$10,0)),""))</f>
        <v>90</v>
      </c>
      <c r="U851" s="47">
        <f>IF(AND(H851="Realizado",L851&lt;&gt;""),L851/60,0)</f>
        <v>0.5</v>
      </c>
      <c r="V851" s="47">
        <f>IF(AND(H851="Realizado",OR(L851="",M851="")),1,0)</f>
        <v>0</v>
      </c>
    </row>
    <row r="852">
      <c r="A852" s="43" t="n">
        <v>46259</v>
      </c>
      <c r="B852" s="44" t="n">
        <v>0.7013888888888888</v>
      </c>
      <c r="C852" s="38" t="inlineStr">
        <is>
          <t>Dr. Paulo Andrade</t>
        </is>
      </c>
      <c r="D852" s="38" t="inlineStr">
        <is>
          <t>Sala 2</t>
        </is>
      </c>
      <c r="E852" s="37" t="inlineStr">
        <is>
          <t>Simone Monteiro</t>
        </is>
      </c>
      <c r="F852" s="38" t="inlineStr">
        <is>
          <t>Vida Care</t>
        </is>
      </c>
      <c r="G852" s="38" t="inlineStr">
        <is>
          <t>ECG</t>
        </is>
      </c>
      <c r="H852" s="38" t="inlineStr">
        <is>
          <t>Realizado</t>
        </is>
      </c>
      <c r="I852" s="38" t="inlineStr">
        <is>
          <t>Convênio</t>
        </is>
      </c>
      <c r="J852" s="38" t="n"/>
      <c r="K852" s="37" t="n"/>
      <c r="L852" s="39" t="n">
        <v>20</v>
      </c>
      <c r="M852" s="40" t="n">
        <v>32</v>
      </c>
      <c r="N852" s="30">
        <f>IF(A852="","",MONTH(A852))</f>
        <v>8</v>
      </c>
      <c r="O852" s="30">
        <f>IF(A852="","",YEAR(A852))</f>
        <v>2026</v>
      </c>
      <c r="P852" s="30" t="str">
        <f>IF(A852="","",CHOOSE(WEEKDAY(A852,2),"Segunda","Terça","Quarta","Quinta","Sexta","Sábado","Domingo"))</f>
        <v>Terça</v>
      </c>
      <c r="Q852" s="30" t="str">
        <f>IF(B852="","",IF(B852&lt;TIME(12,0,0),"Manhã",IF(B852&lt;TIME(18,0,0),"Tarde","Noite")))</f>
        <v>Tarde</v>
      </c>
      <c r="R852" s="46">
        <f>IF(AND(H852="Realizado",L852&lt;&gt;"",A852&lt;=Config!$B$9),L852/60,0)</f>
        <v>0.333333333333333</v>
      </c>
      <c r="S852" s="45">
        <f>IF(G852="","",IFERROR(INDEX(Config!$K$5:$K$16,MATCH(G852,Config!$J$5:$J$16,0)),""))</f>
        <v>20</v>
      </c>
      <c r="T852" s="31">
        <f>IF(OR(G852="",F852=""),"",IFERROR(INDEX(Config!$M$5:$R$16,MATCH(G852,Config!$J$5:$J$16,0),MATCH(F852,Config!$H$5:$H$10,0)),""))</f>
        <v>32</v>
      </c>
      <c r="U852" s="47">
        <f>IF(AND(H852="Realizado",L852&lt;&gt;""),L852/60,0)</f>
        <v>0.333333333333333</v>
      </c>
      <c r="V852" s="47">
        <f>IF(AND(H852="Realizado",OR(L852="",M852="")),1,0)</f>
        <v>0</v>
      </c>
    </row>
    <row r="853">
      <c r="A853" s="43" t="n">
        <v>46259</v>
      </c>
      <c r="B853" s="44" t="n">
        <v>0.7083333333333334</v>
      </c>
      <c r="C853" s="38" t="inlineStr">
        <is>
          <t>Dra. Renata Sousa</t>
        </is>
      </c>
      <c r="D853" s="38" t="inlineStr">
        <is>
          <t>Sala 1</t>
        </is>
      </c>
      <c r="E853" s="37" t="inlineStr">
        <is>
          <t>Cláudia Melo</t>
        </is>
      </c>
      <c r="F853" s="38" t="inlineStr">
        <is>
          <t>Particular</t>
        </is>
      </c>
      <c r="G853" s="38" t="inlineStr">
        <is>
          <t>Avaliação endócrina</t>
        </is>
      </c>
      <c r="H853" s="38" t="inlineStr">
        <is>
          <t>Realizado</t>
        </is>
      </c>
      <c r="I853" s="38" t="inlineStr">
        <is>
          <t>Cartão de débito</t>
        </is>
      </c>
      <c r="J853" s="38" t="n"/>
      <c r="K853" s="37" t="n"/>
      <c r="L853" s="39" t="n">
        <v>40</v>
      </c>
      <c r="M853" s="40" t="n">
        <v>400</v>
      </c>
      <c r="N853" s="30">
        <f>IF(A853="","",MONTH(A853))</f>
        <v>8</v>
      </c>
      <c r="O853" s="30">
        <f>IF(A853="","",YEAR(A853))</f>
        <v>2026</v>
      </c>
      <c r="P853" s="30" t="str">
        <f>IF(A853="","",CHOOSE(WEEKDAY(A853,2),"Segunda","Terça","Quarta","Quinta","Sexta","Sábado","Domingo"))</f>
        <v>Terça</v>
      </c>
      <c r="Q853" s="30" t="str">
        <f>IF(B853="","",IF(B853&lt;TIME(12,0,0),"Manhã",IF(B853&lt;TIME(18,0,0),"Tarde","Noite")))</f>
        <v>Tarde</v>
      </c>
      <c r="R853" s="46">
        <f>IF(AND(H853="Realizado",L853&lt;&gt;"",A853&lt;=Config!$B$9),L853/60,0)</f>
        <v>0.666666666666667</v>
      </c>
      <c r="S853" s="45">
        <f>IF(G853="","",IFERROR(INDEX(Config!$K$5:$K$16,MATCH(G853,Config!$J$5:$J$16,0)),""))</f>
        <v>40</v>
      </c>
      <c r="T853" s="31">
        <f>IF(OR(G853="",F853=""),"",IFERROR(INDEX(Config!$M$5:$R$16,MATCH(G853,Config!$J$5:$J$16,0),MATCH(F853,Config!$H$5:$H$10,0)),""))</f>
        <v>400</v>
      </c>
      <c r="U853" s="47">
        <f>IF(AND(H853="Realizado",L853&lt;&gt;""),L853/60,0)</f>
        <v>0.666666666666667</v>
      </c>
      <c r="V853" s="47">
        <f>IF(AND(H853="Realizado",OR(L853="",M853="")),1,0)</f>
        <v>0</v>
      </c>
    </row>
    <row r="854">
      <c r="A854" s="43" t="n">
        <v>46259</v>
      </c>
      <c r="B854" s="44" t="n">
        <v>0.7152777777777778</v>
      </c>
      <c r="C854" s="38" t="inlineStr">
        <is>
          <t>Dr. Paulo Andrade</t>
        </is>
      </c>
      <c r="D854" s="38" t="inlineStr">
        <is>
          <t>Sala 2</t>
        </is>
      </c>
      <c r="E854" s="37" t="inlineStr">
        <is>
          <t>Paulo Reis</t>
        </is>
      </c>
      <c r="F854" s="38" t="inlineStr">
        <is>
          <t>Particular</t>
        </is>
      </c>
      <c r="G854" s="38" t="inlineStr">
        <is>
          <t>Holter</t>
        </is>
      </c>
      <c r="H854" s="38" t="inlineStr">
        <is>
          <t>Realizado</t>
        </is>
      </c>
      <c r="I854" s="38" t="inlineStr">
        <is>
          <t>Cartão de crédito</t>
        </is>
      </c>
      <c r="J854" s="38" t="n">
        <v>2</v>
      </c>
      <c r="K854" s="37" t="n"/>
      <c r="L854" s="39" t="n">
        <v>20</v>
      </c>
      <c r="M854" s="40" t="n">
        <v>350</v>
      </c>
      <c r="N854" s="30">
        <f>IF(A854="","",MONTH(A854))</f>
        <v>8</v>
      </c>
      <c r="O854" s="30">
        <f>IF(A854="","",YEAR(A854))</f>
        <v>2026</v>
      </c>
      <c r="P854" s="30" t="str">
        <f>IF(A854="","",CHOOSE(WEEKDAY(A854,2),"Segunda","Terça","Quarta","Quinta","Sexta","Sábado","Domingo"))</f>
        <v>Terça</v>
      </c>
      <c r="Q854" s="30" t="str">
        <f>IF(B854="","",IF(B854&lt;TIME(12,0,0),"Manhã",IF(B854&lt;TIME(18,0,0),"Tarde","Noite")))</f>
        <v>Tarde</v>
      </c>
      <c r="R854" s="46">
        <f>IF(AND(H854="Realizado",L854&lt;&gt;"",A854&lt;=Config!$B$9),L854/60,0)</f>
        <v>0.333333333333333</v>
      </c>
      <c r="S854" s="45">
        <f>IF(G854="","",IFERROR(INDEX(Config!$K$5:$K$16,MATCH(G854,Config!$J$5:$J$16,0)),""))</f>
        <v>20</v>
      </c>
      <c r="T854" s="31">
        <f>IF(OR(G854="",F854=""),"",IFERROR(INDEX(Config!$M$5:$R$16,MATCH(G854,Config!$J$5:$J$16,0),MATCH(F854,Config!$H$5:$H$10,0)),""))</f>
        <v>350</v>
      </c>
      <c r="U854" s="47">
        <f>IF(AND(H854="Realizado",L854&lt;&gt;""),L854/60,0)</f>
        <v>0.333333333333333</v>
      </c>
      <c r="V854" s="47">
        <f>IF(AND(H854="Realizado",OR(L854="",M854="")),1,0)</f>
        <v>0</v>
      </c>
    </row>
    <row r="855">
      <c r="A855" s="43" t="n">
        <v>46260</v>
      </c>
      <c r="B855" s="44" t="n">
        <v>0.5833333333333334</v>
      </c>
      <c r="C855" s="38" t="inlineStr">
        <is>
          <t>Dra. Carolina Mendes</t>
        </is>
      </c>
      <c r="D855" s="38" t="inlineStr">
        <is>
          <t>Sala 1</t>
        </is>
      </c>
      <c r="E855" s="37" t="inlineStr">
        <is>
          <t>Helena Moreira</t>
        </is>
      </c>
      <c r="F855" s="38" t="inlineStr">
        <is>
          <t>Particular</t>
        </is>
      </c>
      <c r="G855" s="38" t="inlineStr">
        <is>
          <t>Consulta</t>
        </is>
      </c>
      <c r="H855" s="38" t="inlineStr">
        <is>
          <t>Realizado</t>
        </is>
      </c>
      <c r="I855" s="38" t="inlineStr">
        <is>
          <t>Cartão de débito</t>
        </is>
      </c>
      <c r="J855" s="38" t="n"/>
      <c r="K855" s="37" t="n"/>
      <c r="L855" s="39" t="n">
        <v>30</v>
      </c>
      <c r="M855" s="40" t="n">
        <v>380</v>
      </c>
      <c r="N855" s="30">
        <f>IF(A855="","",MONTH(A855))</f>
        <v>8</v>
      </c>
      <c r="O855" s="30">
        <f>IF(A855="","",YEAR(A855))</f>
        <v>2026</v>
      </c>
      <c r="P855" s="30" t="str">
        <f>IF(A855="","",CHOOSE(WEEKDAY(A855,2),"Segunda","Terça","Quarta","Quinta","Sexta","Sábado","Domingo"))</f>
        <v>Quarta</v>
      </c>
      <c r="Q855" s="30" t="str">
        <f>IF(B855="","",IF(B855&lt;TIME(12,0,0),"Manhã",IF(B855&lt;TIME(18,0,0),"Tarde","Noite")))</f>
        <v>Tarde</v>
      </c>
      <c r="R855" s="46">
        <f>IF(AND(H855="Realizado",L855&lt;&gt;"",A855&lt;=Config!$B$9),L855/60,0)</f>
        <v>0.5</v>
      </c>
      <c r="S855" s="45">
        <f>IF(G855="","",IFERROR(INDEX(Config!$K$5:$K$16,MATCH(G855,Config!$J$5:$J$16,0)),""))</f>
        <v>30</v>
      </c>
      <c r="T855" s="31">
        <f>IF(OR(G855="",F855=""),"",IFERROR(INDEX(Config!$M$5:$R$16,MATCH(G855,Config!$J$5:$J$16,0),MATCH(F855,Config!$H$5:$H$10,0)),""))</f>
        <v>380</v>
      </c>
      <c r="U855" s="47">
        <f>IF(AND(H855="Realizado",L855&lt;&gt;""),L855/60,0)</f>
        <v>0.5</v>
      </c>
      <c r="V855" s="47">
        <f>IF(AND(H855="Realizado",OR(L855="",M855="")),1,0)</f>
        <v>0</v>
      </c>
    </row>
    <row r="856">
      <c r="A856" s="43" t="n">
        <v>46260</v>
      </c>
      <c r="B856" s="44" t="n">
        <v>0.6041666666666666</v>
      </c>
      <c r="C856" s="38" t="inlineStr">
        <is>
          <t>Dra. Carolina Mendes</t>
        </is>
      </c>
      <c r="D856" s="38" t="inlineStr">
        <is>
          <t>Sala 1</t>
        </is>
      </c>
      <c r="E856" s="37" t="inlineStr">
        <is>
          <t>Priscila Nunes</t>
        </is>
      </c>
      <c r="F856" s="38" t="inlineStr">
        <is>
          <t>MediPlan</t>
        </is>
      </c>
      <c r="G856" s="38" t="inlineStr">
        <is>
          <t>Consulta</t>
        </is>
      </c>
      <c r="H856" s="38" t="inlineStr">
        <is>
          <t>Realizado</t>
        </is>
      </c>
      <c r="I856" s="38" t="inlineStr">
        <is>
          <t>Convênio</t>
        </is>
      </c>
      <c r="J856" s="38" t="n"/>
      <c r="K856" s="37" t="n"/>
      <c r="L856" s="39" t="n">
        <v>30</v>
      </c>
      <c r="M856" s="40" t="n">
        <v>100</v>
      </c>
      <c r="N856" s="30">
        <f>IF(A856="","",MONTH(A856))</f>
        <v>8</v>
      </c>
      <c r="O856" s="30">
        <f>IF(A856="","",YEAR(A856))</f>
        <v>2026</v>
      </c>
      <c r="P856" s="30" t="str">
        <f>IF(A856="","",CHOOSE(WEEKDAY(A856,2),"Segunda","Terça","Quarta","Quinta","Sexta","Sábado","Domingo"))</f>
        <v>Quarta</v>
      </c>
      <c r="Q856" s="30" t="str">
        <f>IF(B856="","",IF(B856&lt;TIME(12,0,0),"Manhã",IF(B856&lt;TIME(18,0,0),"Tarde","Noite")))</f>
        <v>Tarde</v>
      </c>
      <c r="R856" s="46">
        <f>IF(AND(H856="Realizado",L856&lt;&gt;"",A856&lt;=Config!$B$9),L856/60,0)</f>
        <v>0.5</v>
      </c>
      <c r="S856" s="45">
        <f>IF(G856="","",IFERROR(INDEX(Config!$K$5:$K$16,MATCH(G856,Config!$J$5:$J$16,0)),""))</f>
        <v>30</v>
      </c>
      <c r="T856" s="31">
        <f>IF(OR(G856="",F856=""),"",IFERROR(INDEX(Config!$M$5:$R$16,MATCH(G856,Config!$J$5:$J$16,0),MATCH(F856,Config!$H$5:$H$10,0)),""))</f>
        <v>100</v>
      </c>
      <c r="U856" s="47">
        <f>IF(AND(H856="Realizado",L856&lt;&gt;""),L856/60,0)</f>
        <v>0.5</v>
      </c>
      <c r="V856" s="47">
        <f>IF(AND(H856="Realizado",OR(L856="",M856="")),1,0)</f>
        <v>0</v>
      </c>
    </row>
    <row r="857">
      <c r="A857" s="43" t="n">
        <v>46260</v>
      </c>
      <c r="B857" s="44" t="n">
        <v>0.625</v>
      </c>
      <c r="C857" s="38" t="inlineStr">
        <is>
          <t>Dra. Carolina Mendes</t>
        </is>
      </c>
      <c r="D857" s="38" t="inlineStr">
        <is>
          <t>Sala 1</t>
        </is>
      </c>
      <c r="E857" s="37" t="inlineStr">
        <is>
          <t>Sérgio Martins</t>
        </is>
      </c>
      <c r="F857" s="38" t="inlineStr">
        <is>
          <t>Particular</t>
        </is>
      </c>
      <c r="G857" s="38" t="inlineStr">
        <is>
          <t>Consulta</t>
        </is>
      </c>
      <c r="H857" s="38" t="inlineStr">
        <is>
          <t>Realizado</t>
        </is>
      </c>
      <c r="I857" s="38" t="inlineStr">
        <is>
          <t>A prazo</t>
        </is>
      </c>
      <c r="J857" s="38" t="n"/>
      <c r="K857" s="37" t="n"/>
      <c r="L857" s="39" t="n">
        <v>30</v>
      </c>
      <c r="M857" s="40" t="n">
        <v>380</v>
      </c>
      <c r="N857" s="30">
        <f>IF(A857="","",MONTH(A857))</f>
        <v>8</v>
      </c>
      <c r="O857" s="30">
        <f>IF(A857="","",YEAR(A857))</f>
        <v>2026</v>
      </c>
      <c r="P857" s="30" t="str">
        <f>IF(A857="","",CHOOSE(WEEKDAY(A857,2),"Segunda","Terça","Quarta","Quinta","Sexta","Sábado","Domingo"))</f>
        <v>Quarta</v>
      </c>
      <c r="Q857" s="30" t="str">
        <f>IF(B857="","",IF(B857&lt;TIME(12,0,0),"Manhã",IF(B857&lt;TIME(18,0,0),"Tarde","Noite")))</f>
        <v>Tarde</v>
      </c>
      <c r="R857" s="46">
        <f>IF(AND(H857="Realizado",L857&lt;&gt;"",A857&lt;=Config!$B$9),L857/60,0)</f>
        <v>0.5</v>
      </c>
      <c r="S857" s="45">
        <f>IF(G857="","",IFERROR(INDEX(Config!$K$5:$K$16,MATCH(G857,Config!$J$5:$J$16,0)),""))</f>
        <v>30</v>
      </c>
      <c r="T857" s="31">
        <f>IF(OR(G857="",F857=""),"",IFERROR(INDEX(Config!$M$5:$R$16,MATCH(G857,Config!$J$5:$J$16,0),MATCH(F857,Config!$H$5:$H$10,0)),""))</f>
        <v>380</v>
      </c>
      <c r="U857" s="47">
        <f>IF(AND(H857="Realizado",L857&lt;&gt;""),L857/60,0)</f>
        <v>0.5</v>
      </c>
      <c r="V857" s="47">
        <f>IF(AND(H857="Realizado",OR(L857="",M857="")),1,0)</f>
        <v>0</v>
      </c>
    </row>
    <row r="858">
      <c r="A858" s="43" t="n">
        <v>46260</v>
      </c>
      <c r="B858" s="44" t="n">
        <v>0.6458333333333334</v>
      </c>
      <c r="C858" s="38" t="inlineStr">
        <is>
          <t>Dra. Carolina Mendes</t>
        </is>
      </c>
      <c r="D858" s="38" t="inlineStr">
        <is>
          <t>Sala 1</t>
        </is>
      </c>
      <c r="E858" s="37" t="inlineStr">
        <is>
          <t>Carlos Castro</t>
        </is>
      </c>
      <c r="F858" s="38" t="inlineStr">
        <is>
          <t>Saúde Total</t>
        </is>
      </c>
      <c r="G858" s="38" t="inlineStr">
        <is>
          <t>Consulta</t>
        </is>
      </c>
      <c r="H858" s="38" t="inlineStr">
        <is>
          <t>Falta</t>
        </is>
      </c>
      <c r="I858" s="38" t="n"/>
      <c r="J858" s="38" t="n"/>
      <c r="K858" s="37" t="n"/>
      <c r="L858" s="39" t="n">
        <v>30</v>
      </c>
      <c r="M858" s="40" t="n">
        <v>120</v>
      </c>
      <c r="N858" s="30">
        <f>IF(A858="","",MONTH(A858))</f>
        <v>8</v>
      </c>
      <c r="O858" s="30">
        <f>IF(A858="","",YEAR(A858))</f>
        <v>2026</v>
      </c>
      <c r="P858" s="30" t="str">
        <f>IF(A858="","",CHOOSE(WEEKDAY(A858,2),"Segunda","Terça","Quarta","Quinta","Sexta","Sábado","Domingo"))</f>
        <v>Quarta</v>
      </c>
      <c r="Q858" s="30" t="str">
        <f>IF(B858="","",IF(B858&lt;TIME(12,0,0),"Manhã",IF(B858&lt;TIME(18,0,0),"Tarde","Noite")))</f>
        <v>Tarde</v>
      </c>
      <c r="R858" s="46">
        <f>IF(AND(H858="Realizado",L858&lt;&gt;"",A858&lt;=Config!$B$9),L858/60,0)</f>
        <v>0</v>
      </c>
      <c r="S858" s="45">
        <f>IF(G858="","",IFERROR(INDEX(Config!$K$5:$K$16,MATCH(G858,Config!$J$5:$J$16,0)),""))</f>
        <v>30</v>
      </c>
      <c r="T858" s="31">
        <f>IF(OR(G858="",F858=""),"",IFERROR(INDEX(Config!$M$5:$R$16,MATCH(G858,Config!$J$5:$J$16,0),MATCH(F858,Config!$H$5:$H$10,0)),""))</f>
        <v>120</v>
      </c>
      <c r="U858" s="47">
        <f>IF(AND(H858="Realizado",L858&lt;&gt;""),L858/60,0)</f>
        <v>0</v>
      </c>
      <c r="V858" s="47">
        <f>IF(AND(H858="Realizado",OR(L858="",M858="")),1,0)</f>
        <v>0</v>
      </c>
    </row>
    <row r="859">
      <c r="A859" s="43" t="n">
        <v>46260</v>
      </c>
      <c r="B859" s="44" t="n">
        <v>0.6875</v>
      </c>
      <c r="C859" s="38" t="inlineStr">
        <is>
          <t>Dra. Carolina Mendes</t>
        </is>
      </c>
      <c r="D859" s="38" t="inlineStr">
        <is>
          <t>Sala 1</t>
        </is>
      </c>
      <c r="E859" s="37" t="inlineStr">
        <is>
          <t>Carlos Castro</t>
        </is>
      </c>
      <c r="F859" s="38" t="inlineStr">
        <is>
          <t>Saúde Total</t>
        </is>
      </c>
      <c r="G859" s="38" t="inlineStr">
        <is>
          <t>Consulta</t>
        </is>
      </c>
      <c r="H859" s="38" t="inlineStr">
        <is>
          <t>Realizado</t>
        </is>
      </c>
      <c r="I859" s="38" t="inlineStr">
        <is>
          <t>Convênio</t>
        </is>
      </c>
      <c r="J859" s="38" t="n"/>
      <c r="K859" s="37" t="n"/>
      <c r="L859" s="39" t="n">
        <v>30</v>
      </c>
      <c r="M859" s="40" t="n">
        <v>120</v>
      </c>
      <c r="N859" s="30">
        <f>IF(A859="","",MONTH(A859))</f>
        <v>8</v>
      </c>
      <c r="O859" s="30">
        <f>IF(A859="","",YEAR(A859))</f>
        <v>2026</v>
      </c>
      <c r="P859" s="30" t="str">
        <f>IF(A859="","",CHOOSE(WEEKDAY(A859,2),"Segunda","Terça","Quarta","Quinta","Sexta","Sábado","Domingo"))</f>
        <v>Quarta</v>
      </c>
      <c r="Q859" s="30" t="str">
        <f>IF(B859="","",IF(B859&lt;TIME(12,0,0),"Manhã",IF(B859&lt;TIME(18,0,0),"Tarde","Noite")))</f>
        <v>Tarde</v>
      </c>
      <c r="R859" s="46">
        <f>IF(AND(H859="Realizado",L859&lt;&gt;"",A859&lt;=Config!$B$9),L859/60,0)</f>
        <v>0.5</v>
      </c>
      <c r="S859" s="45">
        <f>IF(G859="","",IFERROR(INDEX(Config!$K$5:$K$16,MATCH(G859,Config!$J$5:$J$16,0)),""))</f>
        <v>30</v>
      </c>
      <c r="T859" s="31">
        <f>IF(OR(G859="",F859=""),"",IFERROR(INDEX(Config!$M$5:$R$16,MATCH(G859,Config!$J$5:$J$16,0),MATCH(F859,Config!$H$5:$H$10,0)),""))</f>
        <v>120</v>
      </c>
      <c r="U859" s="47">
        <f>IF(AND(H859="Realizado",L859&lt;&gt;""),L859/60,0)</f>
        <v>0.5</v>
      </c>
      <c r="V859" s="47">
        <f>IF(AND(H859="Realizado",OR(L859="",M859="")),1,0)</f>
        <v>0</v>
      </c>
    </row>
    <row r="860">
      <c r="A860" s="43" t="n">
        <v>46260</v>
      </c>
      <c r="B860" s="44" t="n">
        <v>0.7083333333333334</v>
      </c>
      <c r="C860" s="38" t="inlineStr">
        <is>
          <t>Dra. Carolina Mendes</t>
        </is>
      </c>
      <c r="D860" s="38" t="inlineStr">
        <is>
          <t>Sala 1</t>
        </is>
      </c>
      <c r="E860" s="37" t="inlineStr">
        <is>
          <t>Rodrigo Moreira</t>
        </is>
      </c>
      <c r="F860" s="38" t="inlineStr">
        <is>
          <t>Particular</t>
        </is>
      </c>
      <c r="G860" s="38" t="inlineStr">
        <is>
          <t>Consulta</t>
        </is>
      </c>
      <c r="H860" s="38" t="inlineStr">
        <is>
          <t>Realizado</t>
        </is>
      </c>
      <c r="I860" s="38" t="inlineStr">
        <is>
          <t>Pix</t>
        </is>
      </c>
      <c r="J860" s="38" t="n"/>
      <c r="K860" s="37" t="n"/>
      <c r="L860" s="39" t="n">
        <v>30</v>
      </c>
      <c r="M860" s="40" t="n">
        <v>380</v>
      </c>
      <c r="N860" s="30">
        <f>IF(A860="","",MONTH(A860))</f>
        <v>8</v>
      </c>
      <c r="O860" s="30">
        <f>IF(A860="","",YEAR(A860))</f>
        <v>2026</v>
      </c>
      <c r="P860" s="30" t="str">
        <f>IF(A860="","",CHOOSE(WEEKDAY(A860,2),"Segunda","Terça","Quarta","Quinta","Sexta","Sábado","Domingo"))</f>
        <v>Quarta</v>
      </c>
      <c r="Q860" s="30" t="str">
        <f>IF(B860="","",IF(B860&lt;TIME(12,0,0),"Manhã",IF(B860&lt;TIME(18,0,0),"Tarde","Noite")))</f>
        <v>Tarde</v>
      </c>
      <c r="R860" s="46">
        <f>IF(AND(H860="Realizado",L860&lt;&gt;"",A860&lt;=Config!$B$9),L860/60,0)</f>
        <v>0.5</v>
      </c>
      <c r="S860" s="45">
        <f>IF(G860="","",IFERROR(INDEX(Config!$K$5:$K$16,MATCH(G860,Config!$J$5:$J$16,0)),""))</f>
        <v>30</v>
      </c>
      <c r="T860" s="31">
        <f>IF(OR(G860="",F860=""),"",IFERROR(INDEX(Config!$M$5:$R$16,MATCH(G860,Config!$J$5:$J$16,0),MATCH(F860,Config!$H$5:$H$10,0)),""))</f>
        <v>380</v>
      </c>
      <c r="U860" s="47">
        <f>IF(AND(H860="Realizado",L860&lt;&gt;""),L860/60,0)</f>
        <v>0.5</v>
      </c>
      <c r="V860" s="47">
        <f>IF(AND(H860="Realizado",OR(L860="",M860="")),1,0)</f>
        <v>0</v>
      </c>
    </row>
    <row r="861">
      <c r="A861" s="43" t="n">
        <v>46260</v>
      </c>
      <c r="B861" s="44" t="n">
        <v>0.7291666666666666</v>
      </c>
      <c r="C861" s="38" t="inlineStr">
        <is>
          <t>Dra. Carolina Mendes</t>
        </is>
      </c>
      <c r="D861" s="38" t="inlineStr">
        <is>
          <t>Sala 1</t>
        </is>
      </c>
      <c r="E861" s="37" t="inlineStr">
        <is>
          <t>Rafael Dias</t>
        </is>
      </c>
      <c r="F861" s="38" t="inlineStr">
        <is>
          <t>Particular</t>
        </is>
      </c>
      <c r="G861" s="38" t="inlineStr">
        <is>
          <t>Consulta</t>
        </is>
      </c>
      <c r="H861" s="38" t="inlineStr">
        <is>
          <t>Realizado</t>
        </is>
      </c>
      <c r="I861" s="38" t="inlineStr">
        <is>
          <t>Pix</t>
        </is>
      </c>
      <c r="J861" s="38" t="n"/>
      <c r="K861" s="37" t="n"/>
      <c r="L861" s="39" t="n">
        <v>30</v>
      </c>
      <c r="M861" s="40" t="n">
        <v>380</v>
      </c>
      <c r="N861" s="30">
        <f>IF(A861="","",MONTH(A861))</f>
        <v>8</v>
      </c>
      <c r="O861" s="30">
        <f>IF(A861="","",YEAR(A861))</f>
        <v>2026</v>
      </c>
      <c r="P861" s="30" t="str">
        <f>IF(A861="","",CHOOSE(WEEKDAY(A861,2),"Segunda","Terça","Quarta","Quinta","Sexta","Sábado","Domingo"))</f>
        <v>Quarta</v>
      </c>
      <c r="Q861" s="30" t="str">
        <f>IF(B861="","",IF(B861&lt;TIME(12,0,0),"Manhã",IF(B861&lt;TIME(18,0,0),"Tarde","Noite")))</f>
        <v>Tarde</v>
      </c>
      <c r="R861" s="46">
        <f>IF(AND(H861="Realizado",L861&lt;&gt;"",A861&lt;=Config!$B$9),L861/60,0)</f>
        <v>0.5</v>
      </c>
      <c r="S861" s="45">
        <f>IF(G861="","",IFERROR(INDEX(Config!$K$5:$K$16,MATCH(G861,Config!$J$5:$J$16,0)),""))</f>
        <v>30</v>
      </c>
      <c r="T861" s="31">
        <f>IF(OR(G861="",F861=""),"",IFERROR(INDEX(Config!$M$5:$R$16,MATCH(G861,Config!$J$5:$J$16,0),MATCH(F861,Config!$H$5:$H$10,0)),""))</f>
        <v>380</v>
      </c>
      <c r="U861" s="47">
        <f>IF(AND(H861="Realizado",L861&lt;&gt;""),L861/60,0)</f>
        <v>0.5</v>
      </c>
      <c r="V861" s="47">
        <f>IF(AND(H861="Realizado",OR(L861="",M861="")),1,0)</f>
        <v>0</v>
      </c>
    </row>
    <row r="862">
      <c r="A862" s="43" t="n">
        <v>46261</v>
      </c>
      <c r="B862" s="44" t="n">
        <v>0.3333333333333333</v>
      </c>
      <c r="C862" s="38" t="inlineStr">
        <is>
          <t>Dra. Carolina Mendes</t>
        </is>
      </c>
      <c r="D862" s="38" t="inlineStr">
        <is>
          <t>Sala 1</t>
        </is>
      </c>
      <c r="E862" s="37" t="inlineStr">
        <is>
          <t>Mateus Lima</t>
        </is>
      </c>
      <c r="F862" s="38" t="inlineStr">
        <is>
          <t>MediPlan</t>
        </is>
      </c>
      <c r="G862" s="38" t="inlineStr">
        <is>
          <t>Retorno</t>
        </is>
      </c>
      <c r="H862" s="38" t="inlineStr">
        <is>
          <t>Realizado</t>
        </is>
      </c>
      <c r="I862" s="38" t="inlineStr">
        <is>
          <t>Sem cobrança</t>
        </is>
      </c>
      <c r="J862" s="38" t="n"/>
      <c r="K862" s="37" t="n"/>
      <c r="L862" s="39" t="n">
        <v>20</v>
      </c>
      <c r="M862" s="40" t="n">
        <v>0</v>
      </c>
      <c r="N862" s="30">
        <f>IF(A862="","",MONTH(A862))</f>
        <v>8</v>
      </c>
      <c r="O862" s="30">
        <f>IF(A862="","",YEAR(A862))</f>
        <v>2026</v>
      </c>
      <c r="P862" s="30" t="str">
        <f>IF(A862="","",CHOOSE(WEEKDAY(A862,2),"Segunda","Terça","Quarta","Quinta","Sexta","Sábado","Domingo"))</f>
        <v>Quinta</v>
      </c>
      <c r="Q862" s="30" t="str">
        <f>IF(B862="","",IF(B862&lt;TIME(12,0,0),"Manhã",IF(B862&lt;TIME(18,0,0),"Tarde","Noite")))</f>
        <v>Manhã</v>
      </c>
      <c r="R862" s="46">
        <f>IF(AND(H862="Realizado",L862&lt;&gt;"",A862&lt;=Config!$B$9),L862/60,0)</f>
        <v>0.333333333333333</v>
      </c>
      <c r="S862" s="45">
        <f>IF(G862="","",IFERROR(INDEX(Config!$K$5:$K$16,MATCH(G862,Config!$J$5:$J$16,0)),""))</f>
        <v>20</v>
      </c>
      <c r="T862" s="31">
        <f>IF(OR(G862="",F862=""),"",IFERROR(INDEX(Config!$M$5:$R$16,MATCH(G862,Config!$J$5:$J$16,0),MATCH(F862,Config!$H$5:$H$10,0)),""))</f>
        <v>0</v>
      </c>
      <c r="U862" s="47">
        <f>IF(AND(H862="Realizado",L862&lt;&gt;""),L862/60,0)</f>
        <v>0.333333333333333</v>
      </c>
      <c r="V862" s="47">
        <f>IF(AND(H862="Realizado",OR(L862="",M862="")),1,0)</f>
        <v>0</v>
      </c>
    </row>
    <row r="863">
      <c r="A863" s="43" t="n">
        <v>46261</v>
      </c>
      <c r="B863" s="44" t="n">
        <v>0.3472222222222222</v>
      </c>
      <c r="C863" s="38" t="inlineStr">
        <is>
          <t>Dra. Carolina Mendes</t>
        </is>
      </c>
      <c r="D863" s="38" t="inlineStr">
        <is>
          <t>Sala 1</t>
        </is>
      </c>
      <c r="E863" s="37" t="inlineStr">
        <is>
          <t>Regina Duarte</t>
        </is>
      </c>
      <c r="F863" s="38" t="inlineStr">
        <is>
          <t>Particular</t>
        </is>
      </c>
      <c r="G863" s="38" t="inlineStr">
        <is>
          <t>Consulta</t>
        </is>
      </c>
      <c r="H863" s="38" t="inlineStr">
        <is>
          <t>Realizado</t>
        </is>
      </c>
      <c r="I863" s="38" t="inlineStr">
        <is>
          <t>Cartão de débito</t>
        </is>
      </c>
      <c r="J863" s="38" t="n"/>
      <c r="K863" s="37" t="n"/>
      <c r="L863" s="39" t="n">
        <v>30</v>
      </c>
      <c r="M863" s="40" t="n">
        <v>380</v>
      </c>
      <c r="N863" s="30">
        <f>IF(A863="","",MONTH(A863))</f>
        <v>8</v>
      </c>
      <c r="O863" s="30">
        <f>IF(A863="","",YEAR(A863))</f>
        <v>2026</v>
      </c>
      <c r="P863" s="30" t="str">
        <f>IF(A863="","",CHOOSE(WEEKDAY(A863,2),"Segunda","Terça","Quarta","Quinta","Sexta","Sábado","Domingo"))</f>
        <v>Quinta</v>
      </c>
      <c r="Q863" s="30" t="str">
        <f>IF(B863="","",IF(B863&lt;TIME(12,0,0),"Manhã",IF(B863&lt;TIME(18,0,0),"Tarde","Noite")))</f>
        <v>Manhã</v>
      </c>
      <c r="R863" s="46">
        <f>IF(AND(H863="Realizado",L863&lt;&gt;"",A863&lt;=Config!$B$9),L863/60,0)</f>
        <v>0.5</v>
      </c>
      <c r="S863" s="45">
        <f>IF(G863="","",IFERROR(INDEX(Config!$K$5:$K$16,MATCH(G863,Config!$J$5:$J$16,0)),""))</f>
        <v>30</v>
      </c>
      <c r="T863" s="31">
        <f>IF(OR(G863="",F863=""),"",IFERROR(INDEX(Config!$M$5:$R$16,MATCH(G863,Config!$J$5:$J$16,0),MATCH(F863,Config!$H$5:$H$10,0)),""))</f>
        <v>380</v>
      </c>
      <c r="U863" s="47">
        <f>IF(AND(H863="Realizado",L863&lt;&gt;""),L863/60,0)</f>
        <v>0.5</v>
      </c>
      <c r="V863" s="47">
        <f>IF(AND(H863="Realizado",OR(L863="",M863="")),1,0)</f>
        <v>0</v>
      </c>
    </row>
    <row r="864">
      <c r="A864" s="43" t="n">
        <v>46261</v>
      </c>
      <c r="B864" s="44" t="n">
        <v>0.3680555555555556</v>
      </c>
      <c r="C864" s="38" t="inlineStr">
        <is>
          <t>Dra. Carolina Mendes</t>
        </is>
      </c>
      <c r="D864" s="38" t="inlineStr">
        <is>
          <t>Sala 1</t>
        </is>
      </c>
      <c r="E864" s="37" t="inlineStr">
        <is>
          <t>Gisele Xavier</t>
        </is>
      </c>
      <c r="F864" s="38" t="inlineStr">
        <is>
          <t>Particular</t>
        </is>
      </c>
      <c r="G864" s="38" t="inlineStr">
        <is>
          <t>Consulta</t>
        </is>
      </c>
      <c r="H864" s="38" t="inlineStr">
        <is>
          <t>Realizado</t>
        </is>
      </c>
      <c r="I864" s="38" t="inlineStr">
        <is>
          <t>Cartão de crédito</t>
        </is>
      </c>
      <c r="J864" s="38" t="n"/>
      <c r="K864" s="37" t="n"/>
      <c r="L864" s="39" t="n">
        <v>30</v>
      </c>
      <c r="M864" s="40" t="n">
        <v>380</v>
      </c>
      <c r="N864" s="30">
        <f>IF(A864="","",MONTH(A864))</f>
        <v>8</v>
      </c>
      <c r="O864" s="30">
        <f>IF(A864="","",YEAR(A864))</f>
        <v>2026</v>
      </c>
      <c r="P864" s="30" t="str">
        <f>IF(A864="","",CHOOSE(WEEKDAY(A864,2),"Segunda","Terça","Quarta","Quinta","Sexta","Sábado","Domingo"))</f>
        <v>Quinta</v>
      </c>
      <c r="Q864" s="30" t="str">
        <f>IF(B864="","",IF(B864&lt;TIME(12,0,0),"Manhã",IF(B864&lt;TIME(18,0,0),"Tarde","Noite")))</f>
        <v>Manhã</v>
      </c>
      <c r="R864" s="46">
        <f>IF(AND(H864="Realizado",L864&lt;&gt;"",A864&lt;=Config!$B$9),L864/60,0)</f>
        <v>0.5</v>
      </c>
      <c r="S864" s="45">
        <f>IF(G864="","",IFERROR(INDEX(Config!$K$5:$K$16,MATCH(G864,Config!$J$5:$J$16,0)),""))</f>
        <v>30</v>
      </c>
      <c r="T864" s="31">
        <f>IF(OR(G864="",F864=""),"",IFERROR(INDEX(Config!$M$5:$R$16,MATCH(G864,Config!$J$5:$J$16,0),MATCH(F864,Config!$H$5:$H$10,0)),""))</f>
        <v>380</v>
      </c>
      <c r="U864" s="47">
        <f>IF(AND(H864="Realizado",L864&lt;&gt;""),L864/60,0)</f>
        <v>0.5</v>
      </c>
      <c r="V864" s="47">
        <f>IF(AND(H864="Realizado",OR(L864="",M864="")),1,0)</f>
        <v>0</v>
      </c>
    </row>
    <row r="865">
      <c r="A865" s="43" t="n">
        <v>46261</v>
      </c>
      <c r="B865" s="44" t="n">
        <v>0.3888888888888889</v>
      </c>
      <c r="C865" s="38" t="inlineStr">
        <is>
          <t>Dra. Carolina Mendes</t>
        </is>
      </c>
      <c r="D865" s="38" t="inlineStr">
        <is>
          <t>Sala 1</t>
        </is>
      </c>
      <c r="E865" s="37" t="inlineStr">
        <is>
          <t>Marcelo Santos</t>
        </is>
      </c>
      <c r="F865" s="38" t="inlineStr">
        <is>
          <t>Particular</t>
        </is>
      </c>
      <c r="G865" s="38" t="inlineStr">
        <is>
          <t>Consulta</t>
        </is>
      </c>
      <c r="H865" s="38" t="inlineStr">
        <is>
          <t>Realizado</t>
        </is>
      </c>
      <c r="I865" s="38" t="inlineStr">
        <is>
          <t>Cartão de crédito</t>
        </is>
      </c>
      <c r="J865" s="38" t="n"/>
      <c r="K865" s="37" t="n"/>
      <c r="L865" s="39" t="n">
        <v>30</v>
      </c>
      <c r="M865" s="40" t="n">
        <v>380</v>
      </c>
      <c r="N865" s="30">
        <f>IF(A865="","",MONTH(A865))</f>
        <v>8</v>
      </c>
      <c r="O865" s="30">
        <f>IF(A865="","",YEAR(A865))</f>
        <v>2026</v>
      </c>
      <c r="P865" s="30" t="str">
        <f>IF(A865="","",CHOOSE(WEEKDAY(A865,2),"Segunda","Terça","Quarta","Quinta","Sexta","Sábado","Domingo"))</f>
        <v>Quinta</v>
      </c>
      <c r="Q865" s="30" t="str">
        <f>IF(B865="","",IF(B865&lt;TIME(12,0,0),"Manhã",IF(B865&lt;TIME(18,0,0),"Tarde","Noite")))</f>
        <v>Manhã</v>
      </c>
      <c r="R865" s="46">
        <f>IF(AND(H865="Realizado",L865&lt;&gt;"",A865&lt;=Config!$B$9),L865/60,0)</f>
        <v>0.5</v>
      </c>
      <c r="S865" s="45">
        <f>IF(G865="","",IFERROR(INDEX(Config!$K$5:$K$16,MATCH(G865,Config!$J$5:$J$16,0)),""))</f>
        <v>30</v>
      </c>
      <c r="T865" s="31">
        <f>IF(OR(G865="",F865=""),"",IFERROR(INDEX(Config!$M$5:$R$16,MATCH(G865,Config!$J$5:$J$16,0),MATCH(F865,Config!$H$5:$H$10,0)),""))</f>
        <v>380</v>
      </c>
      <c r="U865" s="47">
        <f>IF(AND(H865="Realizado",L865&lt;&gt;""),L865/60,0)</f>
        <v>0.5</v>
      </c>
      <c r="V865" s="47">
        <f>IF(AND(H865="Realizado",OR(L865="",M865="")),1,0)</f>
        <v>0</v>
      </c>
    </row>
    <row r="866">
      <c r="A866" s="43" t="n">
        <v>46261</v>
      </c>
      <c r="B866" s="44" t="n">
        <v>0.4097222222222222</v>
      </c>
      <c r="C866" s="38" t="inlineStr">
        <is>
          <t>Dra. Carolina Mendes</t>
        </is>
      </c>
      <c r="D866" s="38" t="inlineStr">
        <is>
          <t>Sala 1</t>
        </is>
      </c>
      <c r="E866" s="37" t="inlineStr">
        <is>
          <t>Roberta Fernandes</t>
        </is>
      </c>
      <c r="F866" s="38" t="inlineStr">
        <is>
          <t>Saúde Total</t>
        </is>
      </c>
      <c r="G866" s="38" t="inlineStr">
        <is>
          <t>Consulta</t>
        </is>
      </c>
      <c r="H866" s="38" t="inlineStr">
        <is>
          <t>Realizado</t>
        </is>
      </c>
      <c r="I866" s="38" t="inlineStr">
        <is>
          <t>Convênio</t>
        </is>
      </c>
      <c r="J866" s="38" t="n"/>
      <c r="K866" s="37" t="n"/>
      <c r="L866" s="39" t="n">
        <v>30</v>
      </c>
      <c r="M866" s="40" t="n">
        <v>120</v>
      </c>
      <c r="N866" s="30">
        <f>IF(A866="","",MONTH(A866))</f>
        <v>8</v>
      </c>
      <c r="O866" s="30">
        <f>IF(A866="","",YEAR(A866))</f>
        <v>2026</v>
      </c>
      <c r="P866" s="30" t="str">
        <f>IF(A866="","",CHOOSE(WEEKDAY(A866,2),"Segunda","Terça","Quarta","Quinta","Sexta","Sábado","Domingo"))</f>
        <v>Quinta</v>
      </c>
      <c r="Q866" s="30" t="str">
        <f>IF(B866="","",IF(B866&lt;TIME(12,0,0),"Manhã",IF(B866&lt;TIME(18,0,0),"Tarde","Noite")))</f>
        <v>Manhã</v>
      </c>
      <c r="R866" s="46">
        <f>IF(AND(H866="Realizado",L866&lt;&gt;"",A866&lt;=Config!$B$9),L866/60,0)</f>
        <v>0.5</v>
      </c>
      <c r="S866" s="45">
        <f>IF(G866="","",IFERROR(INDEX(Config!$K$5:$K$16,MATCH(G866,Config!$J$5:$J$16,0)),""))</f>
        <v>30</v>
      </c>
      <c r="T866" s="31">
        <f>IF(OR(G866="",F866=""),"",IFERROR(INDEX(Config!$M$5:$R$16,MATCH(G866,Config!$J$5:$J$16,0),MATCH(F866,Config!$H$5:$H$10,0)),""))</f>
        <v>120</v>
      </c>
      <c r="U866" s="47">
        <f>IF(AND(H866="Realizado",L866&lt;&gt;""),L866/60,0)</f>
        <v>0.5</v>
      </c>
      <c r="V866" s="47">
        <f>IF(AND(H866="Realizado",OR(L866="",M866="")),1,0)</f>
        <v>0</v>
      </c>
    </row>
    <row r="867">
      <c r="A867" s="43" t="n">
        <v>46261</v>
      </c>
      <c r="B867" s="44" t="n">
        <v>0.4305555555555556</v>
      </c>
      <c r="C867" s="38" t="inlineStr">
        <is>
          <t>Dra. Carolina Mendes</t>
        </is>
      </c>
      <c r="D867" s="38" t="inlineStr">
        <is>
          <t>Sala 1</t>
        </is>
      </c>
      <c r="E867" s="37" t="inlineStr">
        <is>
          <t>Elaine Cardoso</t>
        </is>
      </c>
      <c r="F867" s="38" t="inlineStr">
        <is>
          <t>Particular</t>
        </is>
      </c>
      <c r="G867" s="38" t="inlineStr">
        <is>
          <t>Consulta</t>
        </is>
      </c>
      <c r="H867" s="38" t="inlineStr">
        <is>
          <t>Remarcado</t>
        </is>
      </c>
      <c r="I867" s="38" t="n"/>
      <c r="J867" s="38" t="n"/>
      <c r="K867" s="37" t="inlineStr">
        <is>
          <t>Paciente pediu outra data</t>
        </is>
      </c>
      <c r="L867" s="39" t="n">
        <v>30</v>
      </c>
      <c r="M867" s="40" t="n">
        <v>380</v>
      </c>
      <c r="N867" s="30">
        <f>IF(A867="","",MONTH(A867))</f>
        <v>8</v>
      </c>
      <c r="O867" s="30">
        <f>IF(A867="","",YEAR(A867))</f>
        <v>2026</v>
      </c>
      <c r="P867" s="30" t="str">
        <f>IF(A867="","",CHOOSE(WEEKDAY(A867,2),"Segunda","Terça","Quarta","Quinta","Sexta","Sábado","Domingo"))</f>
        <v>Quinta</v>
      </c>
      <c r="Q867" s="30" t="str">
        <f>IF(B867="","",IF(B867&lt;TIME(12,0,0),"Manhã",IF(B867&lt;TIME(18,0,0),"Tarde","Noite")))</f>
        <v>Manhã</v>
      </c>
      <c r="R867" s="46">
        <f>IF(AND(H867="Realizado",L867&lt;&gt;"",A867&lt;=Config!$B$9),L867/60,0)</f>
        <v>0</v>
      </c>
      <c r="S867" s="45">
        <f>IF(G867="","",IFERROR(INDEX(Config!$K$5:$K$16,MATCH(G867,Config!$J$5:$J$16,0)),""))</f>
        <v>30</v>
      </c>
      <c r="T867" s="31">
        <f>IF(OR(G867="",F867=""),"",IFERROR(INDEX(Config!$M$5:$R$16,MATCH(G867,Config!$J$5:$J$16,0),MATCH(F867,Config!$H$5:$H$10,0)),""))</f>
        <v>380</v>
      </c>
      <c r="U867" s="47">
        <f>IF(AND(H867="Realizado",L867&lt;&gt;""),L867/60,0)</f>
        <v>0</v>
      </c>
      <c r="V867" s="47">
        <f>IF(AND(H867="Realizado",OR(L867="",M867="")),1,0)</f>
        <v>0</v>
      </c>
    </row>
    <row r="868">
      <c r="A868" s="43" t="n">
        <v>46261</v>
      </c>
      <c r="B868" s="44" t="n">
        <v>0.4513888888888889</v>
      </c>
      <c r="C868" s="38" t="inlineStr">
        <is>
          <t>Dra. Carolina Mendes</t>
        </is>
      </c>
      <c r="D868" s="38" t="inlineStr">
        <is>
          <t>Sala 1</t>
        </is>
      </c>
      <c r="E868" s="37" t="inlineStr">
        <is>
          <t>Otávio Cardoso</t>
        </is>
      </c>
      <c r="F868" s="38" t="inlineStr">
        <is>
          <t>Particular</t>
        </is>
      </c>
      <c r="G868" s="38" t="inlineStr">
        <is>
          <t>Retorno</t>
        </is>
      </c>
      <c r="H868" s="38" t="inlineStr">
        <is>
          <t>Realizado</t>
        </is>
      </c>
      <c r="I868" s="38" t="inlineStr">
        <is>
          <t>Sem cobrança</t>
        </is>
      </c>
      <c r="J868" s="38" t="n"/>
      <c r="K868" s="37" t="n"/>
      <c r="L868" s="39" t="n">
        <v>20</v>
      </c>
      <c r="M868" s="40" t="n">
        <v>0</v>
      </c>
      <c r="N868" s="30">
        <f>IF(A868="","",MONTH(A868))</f>
        <v>8</v>
      </c>
      <c r="O868" s="30">
        <f>IF(A868="","",YEAR(A868))</f>
        <v>2026</v>
      </c>
      <c r="P868" s="30" t="str">
        <f>IF(A868="","",CHOOSE(WEEKDAY(A868,2),"Segunda","Terça","Quarta","Quinta","Sexta","Sábado","Domingo"))</f>
        <v>Quinta</v>
      </c>
      <c r="Q868" s="30" t="str">
        <f>IF(B868="","",IF(B868&lt;TIME(12,0,0),"Manhã",IF(B868&lt;TIME(18,0,0),"Tarde","Noite")))</f>
        <v>Manhã</v>
      </c>
      <c r="R868" s="46">
        <f>IF(AND(H868="Realizado",L868&lt;&gt;"",A868&lt;=Config!$B$9),L868/60,0)</f>
        <v>0.333333333333333</v>
      </c>
      <c r="S868" s="45">
        <f>IF(G868="","",IFERROR(INDEX(Config!$K$5:$K$16,MATCH(G868,Config!$J$5:$J$16,0)),""))</f>
        <v>20</v>
      </c>
      <c r="T868" s="31">
        <f>IF(OR(G868="",F868=""),"",IFERROR(INDEX(Config!$M$5:$R$16,MATCH(G868,Config!$J$5:$J$16,0),MATCH(F868,Config!$H$5:$H$10,0)),""))</f>
        <v>0</v>
      </c>
      <c r="U868" s="47">
        <f>IF(AND(H868="Realizado",L868&lt;&gt;""),L868/60,0)</f>
        <v>0.333333333333333</v>
      </c>
      <c r="V868" s="47">
        <f>IF(AND(H868="Realizado",OR(L868="",M868="")),1,0)</f>
        <v>0</v>
      </c>
    </row>
    <row r="869">
      <c r="A869" s="43" t="n">
        <v>46261</v>
      </c>
      <c r="B869" s="44" t="n">
        <v>0.4652777777777778</v>
      </c>
      <c r="C869" s="38" t="inlineStr">
        <is>
          <t>Dra. Carolina Mendes</t>
        </is>
      </c>
      <c r="D869" s="38" t="inlineStr">
        <is>
          <t>Sala 1</t>
        </is>
      </c>
      <c r="E869" s="37" t="inlineStr">
        <is>
          <t>Gisele Ribeiro</t>
        </is>
      </c>
      <c r="F869" s="38" t="inlineStr">
        <is>
          <t>Particular</t>
        </is>
      </c>
      <c r="G869" s="38" t="inlineStr">
        <is>
          <t>Consulta</t>
        </is>
      </c>
      <c r="H869" s="38" t="inlineStr">
        <is>
          <t>Realizado</t>
        </is>
      </c>
      <c r="I869" s="38" t="inlineStr">
        <is>
          <t>A prazo</t>
        </is>
      </c>
      <c r="J869" s="38" t="n"/>
      <c r="K869" s="37" t="n"/>
      <c r="L869" s="39" t="n">
        <v>30</v>
      </c>
      <c r="M869" s="40" t="n">
        <v>380</v>
      </c>
      <c r="N869" s="30">
        <f>IF(A869="","",MONTH(A869))</f>
        <v>8</v>
      </c>
      <c r="O869" s="30">
        <f>IF(A869="","",YEAR(A869))</f>
        <v>2026</v>
      </c>
      <c r="P869" s="30" t="str">
        <f>IF(A869="","",CHOOSE(WEEKDAY(A869,2),"Segunda","Terça","Quarta","Quinta","Sexta","Sábado","Domingo"))</f>
        <v>Quinta</v>
      </c>
      <c r="Q869" s="30" t="str">
        <f>IF(B869="","",IF(B869&lt;TIME(12,0,0),"Manhã",IF(B869&lt;TIME(18,0,0),"Tarde","Noite")))</f>
        <v>Manhã</v>
      </c>
      <c r="R869" s="46">
        <f>IF(AND(H869="Realizado",L869&lt;&gt;"",A869&lt;=Config!$B$9),L869/60,0)</f>
        <v>0.5</v>
      </c>
      <c r="S869" s="45">
        <f>IF(G869="","",IFERROR(INDEX(Config!$K$5:$K$16,MATCH(G869,Config!$J$5:$J$16,0)),""))</f>
        <v>30</v>
      </c>
      <c r="T869" s="31">
        <f>IF(OR(G869="",F869=""),"",IFERROR(INDEX(Config!$M$5:$R$16,MATCH(G869,Config!$J$5:$J$16,0),MATCH(F869,Config!$H$5:$H$10,0)),""))</f>
        <v>380</v>
      </c>
      <c r="U869" s="47">
        <f>IF(AND(H869="Realizado",L869&lt;&gt;""),L869/60,0)</f>
        <v>0.5</v>
      </c>
      <c r="V869" s="47">
        <f>IF(AND(H869="Realizado",OR(L869="",M869="")),1,0)</f>
        <v>0</v>
      </c>
    </row>
    <row r="870">
      <c r="A870" s="43" t="n">
        <v>46261</v>
      </c>
      <c r="B870" s="44" t="n">
        <v>0.4861111111111111</v>
      </c>
      <c r="C870" s="38" t="inlineStr">
        <is>
          <t>Dra. Carolina Mendes</t>
        </is>
      </c>
      <c r="D870" s="38" t="inlineStr">
        <is>
          <t>Sala 1</t>
        </is>
      </c>
      <c r="E870" s="37" t="inlineStr">
        <is>
          <t>Eduardo Lima</t>
        </is>
      </c>
      <c r="F870" s="38" t="inlineStr">
        <is>
          <t>Particular</t>
        </is>
      </c>
      <c r="G870" s="38" t="inlineStr">
        <is>
          <t>Retorno</t>
        </is>
      </c>
      <c r="H870" s="38" t="inlineStr">
        <is>
          <t>Falta</t>
        </is>
      </c>
      <c r="I870" s="38" t="n"/>
      <c r="J870" s="38" t="n"/>
      <c r="K870" s="37" t="n"/>
      <c r="L870" s="39" t="n">
        <v>20</v>
      </c>
      <c r="M870" s="40" t="n">
        <v>0</v>
      </c>
      <c r="N870" s="30">
        <f>IF(A870="","",MONTH(A870))</f>
        <v>8</v>
      </c>
      <c r="O870" s="30">
        <f>IF(A870="","",YEAR(A870))</f>
        <v>2026</v>
      </c>
      <c r="P870" s="30" t="str">
        <f>IF(A870="","",CHOOSE(WEEKDAY(A870,2),"Segunda","Terça","Quarta","Quinta","Sexta","Sábado","Domingo"))</f>
        <v>Quinta</v>
      </c>
      <c r="Q870" s="30" t="str">
        <f>IF(B870="","",IF(B870&lt;TIME(12,0,0),"Manhã",IF(B870&lt;TIME(18,0,0),"Tarde","Noite")))</f>
        <v>Manhã</v>
      </c>
      <c r="R870" s="46">
        <f>IF(AND(H870="Realizado",L870&lt;&gt;"",A870&lt;=Config!$B$9),L870/60,0)</f>
        <v>0</v>
      </c>
      <c r="S870" s="45">
        <f>IF(G870="","",IFERROR(INDEX(Config!$K$5:$K$16,MATCH(G870,Config!$J$5:$J$16,0)),""))</f>
        <v>20</v>
      </c>
      <c r="T870" s="31">
        <f>IF(OR(G870="",F870=""),"",IFERROR(INDEX(Config!$M$5:$R$16,MATCH(G870,Config!$J$5:$J$16,0),MATCH(F870,Config!$H$5:$H$10,0)),""))</f>
        <v>0</v>
      </c>
      <c r="U870" s="47">
        <f>IF(AND(H870="Realizado",L870&lt;&gt;""),L870/60,0)</f>
        <v>0</v>
      </c>
      <c r="V870" s="47">
        <f>IF(AND(H870="Realizado",OR(L870="",M870="")),1,0)</f>
        <v>0</v>
      </c>
    </row>
    <row r="871">
      <c r="A871" s="43" t="n">
        <v>46261</v>
      </c>
      <c r="B871" s="44" t="n">
        <v>0.5833333333333334</v>
      </c>
      <c r="C871" s="38" t="inlineStr">
        <is>
          <t>Dra. Renata Sousa</t>
        </is>
      </c>
      <c r="D871" s="38" t="inlineStr">
        <is>
          <t>Sala 1</t>
        </is>
      </c>
      <c r="E871" s="37" t="inlineStr">
        <is>
          <t>Priscila Reis</t>
        </is>
      </c>
      <c r="F871" s="38" t="inlineStr">
        <is>
          <t>Particular</t>
        </is>
      </c>
      <c r="G871" s="38" t="inlineStr">
        <is>
          <t>Retorno</t>
        </is>
      </c>
      <c r="H871" s="38" t="inlineStr">
        <is>
          <t>Cancelado</t>
        </is>
      </c>
      <c r="I871" s="38" t="n"/>
      <c r="J871" s="38" t="n"/>
      <c r="K871" s="37" t="n"/>
      <c r="L871" s="39" t="n">
        <v>20</v>
      </c>
      <c r="M871" s="40" t="n">
        <v>0</v>
      </c>
      <c r="N871" s="30">
        <f>IF(A871="","",MONTH(A871))</f>
        <v>8</v>
      </c>
      <c r="O871" s="30">
        <f>IF(A871="","",YEAR(A871))</f>
        <v>2026</v>
      </c>
      <c r="P871" s="30" t="str">
        <f>IF(A871="","",CHOOSE(WEEKDAY(A871,2),"Segunda","Terça","Quarta","Quinta","Sexta","Sábado","Domingo"))</f>
        <v>Quinta</v>
      </c>
      <c r="Q871" s="30" t="str">
        <f>IF(B871="","",IF(B871&lt;TIME(12,0,0),"Manhã",IF(B871&lt;TIME(18,0,0),"Tarde","Noite")))</f>
        <v>Tarde</v>
      </c>
      <c r="R871" s="46">
        <f>IF(AND(H871="Realizado",L871&lt;&gt;"",A871&lt;=Config!$B$9),L871/60,0)</f>
        <v>0</v>
      </c>
      <c r="S871" s="45">
        <f>IF(G871="","",IFERROR(INDEX(Config!$K$5:$K$16,MATCH(G871,Config!$J$5:$J$16,0)),""))</f>
        <v>20</v>
      </c>
      <c r="T871" s="31">
        <f>IF(OR(G871="",F871=""),"",IFERROR(INDEX(Config!$M$5:$R$16,MATCH(G871,Config!$J$5:$J$16,0),MATCH(F871,Config!$H$5:$H$10,0)),""))</f>
        <v>0</v>
      </c>
      <c r="U871" s="47">
        <f>IF(AND(H871="Realizado",L871&lt;&gt;""),L871/60,0)</f>
        <v>0</v>
      </c>
      <c r="V871" s="47">
        <f>IF(AND(H871="Realizado",OR(L871="",M871="")),1,0)</f>
        <v>0</v>
      </c>
    </row>
    <row r="872">
      <c r="A872" s="43" t="n">
        <v>46261</v>
      </c>
      <c r="B872" s="44" t="n">
        <v>0.5833333333333334</v>
      </c>
      <c r="C872" s="38" t="inlineStr">
        <is>
          <t>Dr. Paulo Andrade</t>
        </is>
      </c>
      <c r="D872" s="38" t="inlineStr">
        <is>
          <t>Sala 2</t>
        </is>
      </c>
      <c r="E872" s="37" t="inlineStr">
        <is>
          <t>Regina Castro</t>
        </is>
      </c>
      <c r="F872" s="38" t="inlineStr">
        <is>
          <t>Vida Care</t>
        </is>
      </c>
      <c r="G872" s="38" t="inlineStr">
        <is>
          <t>MAPA</t>
        </is>
      </c>
      <c r="H872" s="38" t="inlineStr">
        <is>
          <t>Realizado</t>
        </is>
      </c>
      <c r="I872" s="38" t="inlineStr">
        <is>
          <t>Convênio</t>
        </is>
      </c>
      <c r="J872" s="38" t="n"/>
      <c r="K872" s="37" t="n"/>
      <c r="L872" s="39" t="n">
        <v>20</v>
      </c>
      <c r="M872" s="40" t="n">
        <v>75</v>
      </c>
      <c r="N872" s="30">
        <f>IF(A872="","",MONTH(A872))</f>
        <v>8</v>
      </c>
      <c r="O872" s="30">
        <f>IF(A872="","",YEAR(A872))</f>
        <v>2026</v>
      </c>
      <c r="P872" s="30" t="str">
        <f>IF(A872="","",CHOOSE(WEEKDAY(A872,2),"Segunda","Terça","Quarta","Quinta","Sexta","Sábado","Domingo"))</f>
        <v>Quinta</v>
      </c>
      <c r="Q872" s="30" t="str">
        <f>IF(B872="","",IF(B872&lt;TIME(12,0,0),"Manhã",IF(B872&lt;TIME(18,0,0),"Tarde","Noite")))</f>
        <v>Tarde</v>
      </c>
      <c r="R872" s="46">
        <f>IF(AND(H872="Realizado",L872&lt;&gt;"",A872&lt;=Config!$B$9),L872/60,0)</f>
        <v>0.333333333333333</v>
      </c>
      <c r="S872" s="45">
        <f>IF(G872="","",IFERROR(INDEX(Config!$K$5:$K$16,MATCH(G872,Config!$J$5:$J$16,0)),""))</f>
        <v>20</v>
      </c>
      <c r="T872" s="31">
        <f>IF(OR(G872="",F872=""),"",IFERROR(INDEX(Config!$M$5:$R$16,MATCH(G872,Config!$J$5:$J$16,0),MATCH(F872,Config!$H$5:$H$10,0)),""))</f>
        <v>75</v>
      </c>
      <c r="U872" s="47">
        <f>IF(AND(H872="Realizado",L872&lt;&gt;""),L872/60,0)</f>
        <v>0.333333333333333</v>
      </c>
      <c r="V872" s="47">
        <f>IF(AND(H872="Realizado",OR(L872="",M872="")),1,0)</f>
        <v>0</v>
      </c>
    </row>
    <row r="873">
      <c r="A873" s="43" t="n">
        <v>46261</v>
      </c>
      <c r="B873" s="44" t="n">
        <v>0.5972222222222222</v>
      </c>
      <c r="C873" s="38" t="inlineStr">
        <is>
          <t>Dra. Renata Sousa</t>
        </is>
      </c>
      <c r="D873" s="38" t="inlineStr">
        <is>
          <t>Sala 1</t>
        </is>
      </c>
      <c r="E873" s="37" t="inlineStr">
        <is>
          <t>Priscila Reis</t>
        </is>
      </c>
      <c r="F873" s="38" t="inlineStr">
        <is>
          <t>Particular</t>
        </is>
      </c>
      <c r="G873" s="38" t="inlineStr">
        <is>
          <t>Avaliação endócrina</t>
        </is>
      </c>
      <c r="H873" s="38" t="inlineStr">
        <is>
          <t>Realizado</t>
        </is>
      </c>
      <c r="I873" s="38" t="inlineStr">
        <is>
          <t>Cartão de débito</t>
        </is>
      </c>
      <c r="J873" s="38" t="n"/>
      <c r="K873" s="37" t="n"/>
      <c r="L873" s="39" t="n">
        <v>40</v>
      </c>
      <c r="M873" s="40" t="n">
        <v>400</v>
      </c>
      <c r="N873" s="30">
        <f>IF(A873="","",MONTH(A873))</f>
        <v>8</v>
      </c>
      <c r="O873" s="30">
        <f>IF(A873="","",YEAR(A873))</f>
        <v>2026</v>
      </c>
      <c r="P873" s="30" t="str">
        <f>IF(A873="","",CHOOSE(WEEKDAY(A873,2),"Segunda","Terça","Quarta","Quinta","Sexta","Sábado","Domingo"))</f>
        <v>Quinta</v>
      </c>
      <c r="Q873" s="30" t="str">
        <f>IF(B873="","",IF(B873&lt;TIME(12,0,0),"Manhã",IF(B873&lt;TIME(18,0,0),"Tarde","Noite")))</f>
        <v>Tarde</v>
      </c>
      <c r="R873" s="46">
        <f>IF(AND(H873="Realizado",L873&lt;&gt;"",A873&lt;=Config!$B$9),L873/60,0)</f>
        <v>0.666666666666667</v>
      </c>
      <c r="S873" s="45">
        <f>IF(G873="","",IFERROR(INDEX(Config!$K$5:$K$16,MATCH(G873,Config!$J$5:$J$16,0)),""))</f>
        <v>40</v>
      </c>
      <c r="T873" s="31">
        <f>IF(OR(G873="",F873=""),"",IFERROR(INDEX(Config!$M$5:$R$16,MATCH(G873,Config!$J$5:$J$16,0),MATCH(F873,Config!$H$5:$H$10,0)),""))</f>
        <v>400</v>
      </c>
      <c r="U873" s="47">
        <f>IF(AND(H873="Realizado",L873&lt;&gt;""),L873/60,0)</f>
        <v>0.666666666666667</v>
      </c>
      <c r="V873" s="47">
        <f>IF(AND(H873="Realizado",OR(L873="",M873="")),1,0)</f>
        <v>0</v>
      </c>
    </row>
    <row r="874">
      <c r="A874" s="43" t="n">
        <v>46261</v>
      </c>
      <c r="B874" s="44" t="n">
        <v>0.5972222222222222</v>
      </c>
      <c r="C874" s="38" t="inlineStr">
        <is>
          <t>Dr. Paulo Andrade</t>
        </is>
      </c>
      <c r="D874" s="38" t="inlineStr">
        <is>
          <t>Sala 2</t>
        </is>
      </c>
      <c r="E874" s="37" t="inlineStr">
        <is>
          <t>Thiago Duarte</t>
        </is>
      </c>
      <c r="F874" s="38" t="inlineStr">
        <is>
          <t>Saúde Total</t>
        </is>
      </c>
      <c r="G874" s="38" t="inlineStr">
        <is>
          <t>ECG</t>
        </is>
      </c>
      <c r="H874" s="38" t="inlineStr">
        <is>
          <t>Realizado</t>
        </is>
      </c>
      <c r="I874" s="38" t="inlineStr">
        <is>
          <t>Convênio</t>
        </is>
      </c>
      <c r="J874" s="38" t="n"/>
      <c r="K874" s="37" t="n"/>
      <c r="L874" s="39" t="n">
        <v>20</v>
      </c>
      <c r="M874" s="40" t="n">
        <v>40</v>
      </c>
      <c r="N874" s="30">
        <f>IF(A874="","",MONTH(A874))</f>
        <v>8</v>
      </c>
      <c r="O874" s="30">
        <f>IF(A874="","",YEAR(A874))</f>
        <v>2026</v>
      </c>
      <c r="P874" s="30" t="str">
        <f>IF(A874="","",CHOOSE(WEEKDAY(A874,2),"Segunda","Terça","Quarta","Quinta","Sexta","Sábado","Domingo"))</f>
        <v>Quinta</v>
      </c>
      <c r="Q874" s="30" t="str">
        <f>IF(B874="","",IF(B874&lt;TIME(12,0,0),"Manhã",IF(B874&lt;TIME(18,0,0),"Tarde","Noite")))</f>
        <v>Tarde</v>
      </c>
      <c r="R874" s="46">
        <f>IF(AND(H874="Realizado",L874&lt;&gt;"",A874&lt;=Config!$B$9),L874/60,0)</f>
        <v>0.333333333333333</v>
      </c>
      <c r="S874" s="45">
        <f>IF(G874="","",IFERROR(INDEX(Config!$K$5:$K$16,MATCH(G874,Config!$J$5:$J$16,0)),""))</f>
        <v>20</v>
      </c>
      <c r="T874" s="31">
        <f>IF(OR(G874="",F874=""),"",IFERROR(INDEX(Config!$M$5:$R$16,MATCH(G874,Config!$J$5:$J$16,0),MATCH(F874,Config!$H$5:$H$10,0)),""))</f>
        <v>40</v>
      </c>
      <c r="U874" s="47">
        <f>IF(AND(H874="Realizado",L874&lt;&gt;""),L874/60,0)</f>
        <v>0.333333333333333</v>
      </c>
      <c r="V874" s="47">
        <f>IF(AND(H874="Realizado",OR(L874="",M874="")),1,0)</f>
        <v>0</v>
      </c>
    </row>
    <row r="875">
      <c r="A875" s="43" t="n">
        <v>46261</v>
      </c>
      <c r="B875" s="44" t="n">
        <v>0.6111111111111112</v>
      </c>
      <c r="C875" s="38" t="inlineStr">
        <is>
          <t>Dr. Paulo Andrade</t>
        </is>
      </c>
      <c r="D875" s="38" t="inlineStr">
        <is>
          <t>Sala 2</t>
        </is>
      </c>
      <c r="E875" s="37" t="inlineStr">
        <is>
          <t>Wagner Costa</t>
        </is>
      </c>
      <c r="F875" s="38" t="inlineStr">
        <is>
          <t>Particular</t>
        </is>
      </c>
      <c r="G875" s="38" t="inlineStr">
        <is>
          <t>MAPA</t>
        </is>
      </c>
      <c r="H875" s="38" t="inlineStr">
        <is>
          <t>Realizado</t>
        </is>
      </c>
      <c r="I875" s="38" t="inlineStr">
        <is>
          <t>Pix</t>
        </is>
      </c>
      <c r="J875" s="38" t="n"/>
      <c r="K875" s="37" t="n"/>
      <c r="L875" s="39" t="n">
        <v>20</v>
      </c>
      <c r="M875" s="40" t="n">
        <v>300</v>
      </c>
      <c r="N875" s="30">
        <f>IF(A875="","",MONTH(A875))</f>
        <v>8</v>
      </c>
      <c r="O875" s="30">
        <f>IF(A875="","",YEAR(A875))</f>
        <v>2026</v>
      </c>
      <c r="P875" s="30" t="str">
        <f>IF(A875="","",CHOOSE(WEEKDAY(A875,2),"Segunda","Terça","Quarta","Quinta","Sexta","Sábado","Domingo"))</f>
        <v>Quinta</v>
      </c>
      <c r="Q875" s="30" t="str">
        <f>IF(B875="","",IF(B875&lt;TIME(12,0,0),"Manhã",IF(B875&lt;TIME(18,0,0),"Tarde","Noite")))</f>
        <v>Tarde</v>
      </c>
      <c r="R875" s="46">
        <f>IF(AND(H875="Realizado",L875&lt;&gt;"",A875&lt;=Config!$B$9),L875/60,0)</f>
        <v>0.333333333333333</v>
      </c>
      <c r="S875" s="45">
        <f>IF(G875="","",IFERROR(INDEX(Config!$K$5:$K$16,MATCH(G875,Config!$J$5:$J$16,0)),""))</f>
        <v>20</v>
      </c>
      <c r="T875" s="31">
        <f>IF(OR(G875="",F875=""),"",IFERROR(INDEX(Config!$M$5:$R$16,MATCH(G875,Config!$J$5:$J$16,0),MATCH(F875,Config!$H$5:$H$10,0)),""))</f>
        <v>300</v>
      </c>
      <c r="U875" s="47">
        <f>IF(AND(H875="Realizado",L875&lt;&gt;""),L875/60,0)</f>
        <v>0.333333333333333</v>
      </c>
      <c r="V875" s="47">
        <f>IF(AND(H875="Realizado",OR(L875="",M875="")),1,0)</f>
        <v>0</v>
      </c>
    </row>
    <row r="876">
      <c r="A876" s="43" t="n">
        <v>46261</v>
      </c>
      <c r="B876" s="44" t="n">
        <v>0.625</v>
      </c>
      <c r="C876" s="38" t="inlineStr">
        <is>
          <t>Dr. Paulo Andrade</t>
        </is>
      </c>
      <c r="D876" s="38" t="inlineStr">
        <is>
          <t>Sala 2</t>
        </is>
      </c>
      <c r="E876" s="37" t="inlineStr">
        <is>
          <t>Renato Dias</t>
        </is>
      </c>
      <c r="F876" s="38" t="inlineStr">
        <is>
          <t>Particular</t>
        </is>
      </c>
      <c r="G876" s="38" t="inlineStr">
        <is>
          <t>Holter</t>
        </is>
      </c>
      <c r="H876" s="38" t="inlineStr">
        <is>
          <t>Realizado</t>
        </is>
      </c>
      <c r="I876" s="38" t="inlineStr">
        <is>
          <t>A prazo</t>
        </is>
      </c>
      <c r="J876" s="38" t="n"/>
      <c r="K876" s="37" t="n"/>
      <c r="L876" s="39" t="n">
        <v>20</v>
      </c>
      <c r="M876" s="40" t="n">
        <v>350</v>
      </c>
      <c r="N876" s="30">
        <f>IF(A876="","",MONTH(A876))</f>
        <v>8</v>
      </c>
      <c r="O876" s="30">
        <f>IF(A876="","",YEAR(A876))</f>
        <v>2026</v>
      </c>
      <c r="P876" s="30" t="str">
        <f>IF(A876="","",CHOOSE(WEEKDAY(A876,2),"Segunda","Terça","Quarta","Quinta","Sexta","Sábado","Domingo"))</f>
        <v>Quinta</v>
      </c>
      <c r="Q876" s="30" t="str">
        <f>IF(B876="","",IF(B876&lt;TIME(12,0,0),"Manhã",IF(B876&lt;TIME(18,0,0),"Tarde","Noite")))</f>
        <v>Tarde</v>
      </c>
      <c r="R876" s="46">
        <f>IF(AND(H876="Realizado",L876&lt;&gt;"",A876&lt;=Config!$B$9),L876/60,0)</f>
        <v>0.333333333333333</v>
      </c>
      <c r="S876" s="45">
        <f>IF(G876="","",IFERROR(INDEX(Config!$K$5:$K$16,MATCH(G876,Config!$J$5:$J$16,0)),""))</f>
        <v>20</v>
      </c>
      <c r="T876" s="31">
        <f>IF(OR(G876="",F876=""),"",IFERROR(INDEX(Config!$M$5:$R$16,MATCH(G876,Config!$J$5:$J$16,0),MATCH(F876,Config!$H$5:$H$10,0)),""))</f>
        <v>350</v>
      </c>
      <c r="U876" s="47">
        <f>IF(AND(H876="Realizado",L876&lt;&gt;""),L876/60,0)</f>
        <v>0.333333333333333</v>
      </c>
      <c r="V876" s="47">
        <f>IF(AND(H876="Realizado",OR(L876="",M876="")),1,0)</f>
        <v>0</v>
      </c>
    </row>
    <row r="877">
      <c r="A877" s="43" t="n">
        <v>46261</v>
      </c>
      <c r="B877" s="44" t="n">
        <v>0.6458333333333334</v>
      </c>
      <c r="C877" s="38" t="inlineStr">
        <is>
          <t>Dra. Renata Sousa</t>
        </is>
      </c>
      <c r="D877" s="38" t="inlineStr">
        <is>
          <t>Sala 1</t>
        </is>
      </c>
      <c r="E877" s="37" t="inlineStr">
        <is>
          <t>Tatiana Macedo</t>
        </is>
      </c>
      <c r="F877" s="38" t="inlineStr">
        <is>
          <t>Particular</t>
        </is>
      </c>
      <c r="G877" s="38" t="inlineStr">
        <is>
          <t>Avaliação endócrina</t>
        </is>
      </c>
      <c r="H877" s="38" t="inlineStr">
        <is>
          <t>Realizado</t>
        </is>
      </c>
      <c r="I877" s="38" t="inlineStr">
        <is>
          <t>Pix</t>
        </is>
      </c>
      <c r="J877" s="38" t="n"/>
      <c r="K877" s="37" t="n"/>
      <c r="L877" s="39" t="n">
        <v>40</v>
      </c>
      <c r="M877" s="40" t="n">
        <v>400</v>
      </c>
      <c r="N877" s="30">
        <f>IF(A877="","",MONTH(A877))</f>
        <v>8</v>
      </c>
      <c r="O877" s="30">
        <f>IF(A877="","",YEAR(A877))</f>
        <v>2026</v>
      </c>
      <c r="P877" s="30" t="str">
        <f>IF(A877="","",CHOOSE(WEEKDAY(A877,2),"Segunda","Terça","Quarta","Quinta","Sexta","Sábado","Domingo"))</f>
        <v>Quinta</v>
      </c>
      <c r="Q877" s="30" t="str">
        <f>IF(B877="","",IF(B877&lt;TIME(12,0,0),"Manhã",IF(B877&lt;TIME(18,0,0),"Tarde","Noite")))</f>
        <v>Tarde</v>
      </c>
      <c r="R877" s="46">
        <f>IF(AND(H877="Realizado",L877&lt;&gt;"",A877&lt;=Config!$B$9),L877/60,0)</f>
        <v>0.666666666666667</v>
      </c>
      <c r="S877" s="45">
        <f>IF(G877="","",IFERROR(INDEX(Config!$K$5:$K$16,MATCH(G877,Config!$J$5:$J$16,0)),""))</f>
        <v>40</v>
      </c>
      <c r="T877" s="31">
        <f>IF(OR(G877="",F877=""),"",IFERROR(INDEX(Config!$M$5:$R$16,MATCH(G877,Config!$J$5:$J$16,0),MATCH(F877,Config!$H$5:$H$10,0)),""))</f>
        <v>400</v>
      </c>
      <c r="U877" s="47">
        <f>IF(AND(H877="Realizado",L877&lt;&gt;""),L877/60,0)</f>
        <v>0.666666666666667</v>
      </c>
      <c r="V877" s="47">
        <f>IF(AND(H877="Realizado",OR(L877="",M877="")),1,0)</f>
        <v>0</v>
      </c>
    </row>
    <row r="878">
      <c r="A878" s="43" t="n">
        <v>46261</v>
      </c>
      <c r="B878" s="44" t="n">
        <v>0.6597222222222222</v>
      </c>
      <c r="C878" s="38" t="inlineStr">
        <is>
          <t>Dr. Paulo Andrade</t>
        </is>
      </c>
      <c r="D878" s="38" t="inlineStr">
        <is>
          <t>Sala 2</t>
        </is>
      </c>
      <c r="E878" s="37" t="inlineStr">
        <is>
          <t>Bruno Carvalho</t>
        </is>
      </c>
      <c r="F878" s="38" t="inlineStr">
        <is>
          <t>Saúde Total</t>
        </is>
      </c>
      <c r="G878" s="38" t="inlineStr">
        <is>
          <t>Consulta</t>
        </is>
      </c>
      <c r="H878" s="38" t="inlineStr">
        <is>
          <t>Realizado</t>
        </is>
      </c>
      <c r="I878" s="38" t="inlineStr">
        <is>
          <t>Convênio</t>
        </is>
      </c>
      <c r="J878" s="38" t="n"/>
      <c r="K878" s="37" t="n"/>
      <c r="L878" s="39" t="n">
        <v>30</v>
      </c>
      <c r="M878" s="40" t="n">
        <v>120</v>
      </c>
      <c r="N878" s="30">
        <f>IF(A878="","",MONTH(A878))</f>
        <v>8</v>
      </c>
      <c r="O878" s="30">
        <f>IF(A878="","",YEAR(A878))</f>
        <v>2026</v>
      </c>
      <c r="P878" s="30" t="str">
        <f>IF(A878="","",CHOOSE(WEEKDAY(A878,2),"Segunda","Terça","Quarta","Quinta","Sexta","Sábado","Domingo"))</f>
        <v>Quinta</v>
      </c>
      <c r="Q878" s="30" t="str">
        <f>IF(B878="","",IF(B878&lt;TIME(12,0,0),"Manhã",IF(B878&lt;TIME(18,0,0),"Tarde","Noite")))</f>
        <v>Tarde</v>
      </c>
      <c r="R878" s="46">
        <f>IF(AND(H878="Realizado",L878&lt;&gt;"",A878&lt;=Config!$B$9),L878/60,0)</f>
        <v>0.5</v>
      </c>
      <c r="S878" s="45">
        <f>IF(G878="","",IFERROR(INDEX(Config!$K$5:$K$16,MATCH(G878,Config!$J$5:$J$16,0)),""))</f>
        <v>30</v>
      </c>
      <c r="T878" s="31">
        <f>IF(OR(G878="",F878=""),"",IFERROR(INDEX(Config!$M$5:$R$16,MATCH(G878,Config!$J$5:$J$16,0),MATCH(F878,Config!$H$5:$H$10,0)),""))</f>
        <v>120</v>
      </c>
      <c r="U878" s="47">
        <f>IF(AND(H878="Realizado",L878&lt;&gt;""),L878/60,0)</f>
        <v>0.5</v>
      </c>
      <c r="V878" s="47">
        <f>IF(AND(H878="Realizado",OR(L878="",M878="")),1,0)</f>
        <v>0</v>
      </c>
    </row>
    <row r="879">
      <c r="A879" s="43" t="n">
        <v>46261</v>
      </c>
      <c r="B879" s="44" t="n">
        <v>0.6736111111111112</v>
      </c>
      <c r="C879" s="38" t="inlineStr">
        <is>
          <t>Dra. Renata Sousa</t>
        </is>
      </c>
      <c r="D879" s="38" t="inlineStr">
        <is>
          <t>Sala 1</t>
        </is>
      </c>
      <c r="E879" s="37" t="inlineStr">
        <is>
          <t>Mariana Reis</t>
        </is>
      </c>
      <c r="F879" s="38" t="inlineStr">
        <is>
          <t>Particular</t>
        </is>
      </c>
      <c r="G879" s="38" t="inlineStr">
        <is>
          <t>Avaliação endócrina</t>
        </is>
      </c>
      <c r="H879" s="38" t="inlineStr">
        <is>
          <t>Realizado</t>
        </is>
      </c>
      <c r="I879" s="38" t="inlineStr">
        <is>
          <t>A prazo</t>
        </is>
      </c>
      <c r="J879" s="38" t="n"/>
      <c r="K879" s="37" t="n"/>
      <c r="L879" s="39" t="n">
        <v>40</v>
      </c>
      <c r="M879" s="40" t="n">
        <v>400</v>
      </c>
      <c r="N879" s="30">
        <f>IF(A879="","",MONTH(A879))</f>
        <v>8</v>
      </c>
      <c r="O879" s="30">
        <f>IF(A879="","",YEAR(A879))</f>
        <v>2026</v>
      </c>
      <c r="P879" s="30" t="str">
        <f>IF(A879="","",CHOOSE(WEEKDAY(A879,2),"Segunda","Terça","Quarta","Quinta","Sexta","Sábado","Domingo"))</f>
        <v>Quinta</v>
      </c>
      <c r="Q879" s="30" t="str">
        <f>IF(B879="","",IF(B879&lt;TIME(12,0,0),"Manhã",IF(B879&lt;TIME(18,0,0),"Tarde","Noite")))</f>
        <v>Tarde</v>
      </c>
      <c r="R879" s="46">
        <f>IF(AND(H879="Realizado",L879&lt;&gt;"",A879&lt;=Config!$B$9),L879/60,0)</f>
        <v>0.666666666666667</v>
      </c>
      <c r="S879" s="45">
        <f>IF(G879="","",IFERROR(INDEX(Config!$K$5:$K$16,MATCH(G879,Config!$J$5:$J$16,0)),""))</f>
        <v>40</v>
      </c>
      <c r="T879" s="31">
        <f>IF(OR(G879="",F879=""),"",IFERROR(INDEX(Config!$M$5:$R$16,MATCH(G879,Config!$J$5:$J$16,0),MATCH(F879,Config!$H$5:$H$10,0)),""))</f>
        <v>400</v>
      </c>
      <c r="U879" s="47">
        <f>IF(AND(H879="Realizado",L879&lt;&gt;""),L879/60,0)</f>
        <v>0.666666666666667</v>
      </c>
      <c r="V879" s="47">
        <f>IF(AND(H879="Realizado",OR(L879="",M879="")),1,0)</f>
        <v>0</v>
      </c>
    </row>
    <row r="880">
      <c r="A880" s="43" t="n">
        <v>46261</v>
      </c>
      <c r="B880" s="44" t="n">
        <v>0.6805555555555556</v>
      </c>
      <c r="C880" s="38" t="inlineStr">
        <is>
          <t>Dr. Paulo Andrade</t>
        </is>
      </c>
      <c r="D880" s="38" t="inlineStr">
        <is>
          <t>Sala 2</t>
        </is>
      </c>
      <c r="E880" s="37" t="inlineStr">
        <is>
          <t>Fernanda Nunes</t>
        </is>
      </c>
      <c r="F880" s="38" t="inlineStr">
        <is>
          <t>MediPlan</t>
        </is>
      </c>
      <c r="G880" s="38" t="inlineStr">
        <is>
          <t>Consulta</t>
        </is>
      </c>
      <c r="H880" s="38" t="inlineStr">
        <is>
          <t>Realizado</t>
        </is>
      </c>
      <c r="I880" s="38" t="inlineStr">
        <is>
          <t>Convênio</t>
        </is>
      </c>
      <c r="J880" s="38" t="n"/>
      <c r="K880" s="37" t="n"/>
      <c r="L880" s="39" t="n">
        <v>30</v>
      </c>
      <c r="M880" s="40" t="n">
        <v>100</v>
      </c>
      <c r="N880" s="30">
        <f>IF(A880="","",MONTH(A880))</f>
        <v>8</v>
      </c>
      <c r="O880" s="30">
        <f>IF(A880="","",YEAR(A880))</f>
        <v>2026</v>
      </c>
      <c r="P880" s="30" t="str">
        <f>IF(A880="","",CHOOSE(WEEKDAY(A880,2),"Segunda","Terça","Quarta","Quinta","Sexta","Sábado","Domingo"))</f>
        <v>Quinta</v>
      </c>
      <c r="Q880" s="30" t="str">
        <f>IF(B880="","",IF(B880&lt;TIME(12,0,0),"Manhã",IF(B880&lt;TIME(18,0,0),"Tarde","Noite")))</f>
        <v>Tarde</v>
      </c>
      <c r="R880" s="46">
        <f>IF(AND(H880="Realizado",L880&lt;&gt;"",A880&lt;=Config!$B$9),L880/60,0)</f>
        <v>0.5</v>
      </c>
      <c r="S880" s="45">
        <f>IF(G880="","",IFERROR(INDEX(Config!$K$5:$K$16,MATCH(G880,Config!$J$5:$J$16,0)),""))</f>
        <v>30</v>
      </c>
      <c r="T880" s="31">
        <f>IF(OR(G880="",F880=""),"",IFERROR(INDEX(Config!$M$5:$R$16,MATCH(G880,Config!$J$5:$J$16,0),MATCH(F880,Config!$H$5:$H$10,0)),""))</f>
        <v>100</v>
      </c>
      <c r="U880" s="47">
        <f>IF(AND(H880="Realizado",L880&lt;&gt;""),L880/60,0)</f>
        <v>0.5</v>
      </c>
      <c r="V880" s="47">
        <f>IF(AND(H880="Realizado",OR(L880="",M880="")),1,0)</f>
        <v>0</v>
      </c>
    </row>
    <row r="881">
      <c r="A881" s="43" t="n">
        <v>46261</v>
      </c>
      <c r="B881" s="44" t="n">
        <v>0.7013888888888888</v>
      </c>
      <c r="C881" s="38" t="inlineStr">
        <is>
          <t>Dr. Paulo Andrade</t>
        </is>
      </c>
      <c r="D881" s="38" t="inlineStr">
        <is>
          <t>Sala 2</t>
        </is>
      </c>
      <c r="E881" s="37" t="inlineStr">
        <is>
          <t>Débora Moreira</t>
        </is>
      </c>
      <c r="F881" s="38" t="inlineStr">
        <is>
          <t>Particular</t>
        </is>
      </c>
      <c r="G881" s="38" t="inlineStr">
        <is>
          <t>Retorno</t>
        </is>
      </c>
      <c r="H881" s="38" t="inlineStr">
        <is>
          <t>Realizado</t>
        </is>
      </c>
      <c r="I881" s="38" t="inlineStr">
        <is>
          <t>Sem cobrança</t>
        </is>
      </c>
      <c r="J881" s="38" t="n"/>
      <c r="K881" s="37" t="n"/>
      <c r="L881" s="39" t="n">
        <v>20</v>
      </c>
      <c r="M881" s="40" t="n">
        <v>0</v>
      </c>
      <c r="N881" s="30">
        <f>IF(A881="","",MONTH(A881))</f>
        <v>8</v>
      </c>
      <c r="O881" s="30">
        <f>IF(A881="","",YEAR(A881))</f>
        <v>2026</v>
      </c>
      <c r="P881" s="30" t="str">
        <f>IF(A881="","",CHOOSE(WEEKDAY(A881,2),"Segunda","Terça","Quarta","Quinta","Sexta","Sábado","Domingo"))</f>
        <v>Quinta</v>
      </c>
      <c r="Q881" s="30" t="str">
        <f>IF(B881="","",IF(B881&lt;TIME(12,0,0),"Manhã",IF(B881&lt;TIME(18,0,0),"Tarde","Noite")))</f>
        <v>Tarde</v>
      </c>
      <c r="R881" s="46">
        <f>IF(AND(H881="Realizado",L881&lt;&gt;"",A881&lt;=Config!$B$9),L881/60,0)</f>
        <v>0.333333333333333</v>
      </c>
      <c r="S881" s="45">
        <f>IF(G881="","",IFERROR(INDEX(Config!$K$5:$K$16,MATCH(G881,Config!$J$5:$J$16,0)),""))</f>
        <v>20</v>
      </c>
      <c r="T881" s="31">
        <f>IF(OR(G881="",F881=""),"",IFERROR(INDEX(Config!$M$5:$R$16,MATCH(G881,Config!$J$5:$J$16,0),MATCH(F881,Config!$H$5:$H$10,0)),""))</f>
        <v>0</v>
      </c>
      <c r="U881" s="47">
        <f>IF(AND(H881="Realizado",L881&lt;&gt;""),L881/60,0)</f>
        <v>0.333333333333333</v>
      </c>
      <c r="V881" s="47">
        <f>IF(AND(H881="Realizado",OR(L881="",M881="")),1,0)</f>
        <v>0</v>
      </c>
    </row>
    <row r="882">
      <c r="A882" s="43" t="n">
        <v>46261</v>
      </c>
      <c r="B882" s="44" t="n">
        <v>0.7222222222222222</v>
      </c>
      <c r="C882" s="38" t="inlineStr">
        <is>
          <t>Dra. Renata Sousa</t>
        </is>
      </c>
      <c r="D882" s="38" t="inlineStr">
        <is>
          <t>Sala 1</t>
        </is>
      </c>
      <c r="E882" s="37" t="inlineStr">
        <is>
          <t>Patrícia Dias</t>
        </is>
      </c>
      <c r="F882" s="38" t="inlineStr">
        <is>
          <t>Particular</t>
        </is>
      </c>
      <c r="G882" s="38" t="inlineStr">
        <is>
          <t>Avaliação endócrina</t>
        </is>
      </c>
      <c r="H882" s="38" t="inlineStr">
        <is>
          <t>Falta</t>
        </is>
      </c>
      <c r="I882" s="38" t="n"/>
      <c r="J882" s="38" t="n"/>
      <c r="K882" s="37" t="n"/>
      <c r="L882" s="39" t="n">
        <v>40</v>
      </c>
      <c r="M882" s="40" t="n">
        <v>400</v>
      </c>
      <c r="N882" s="30">
        <f>IF(A882="","",MONTH(A882))</f>
        <v>8</v>
      </c>
      <c r="O882" s="30">
        <f>IF(A882="","",YEAR(A882))</f>
        <v>2026</v>
      </c>
      <c r="P882" s="30" t="str">
        <f>IF(A882="","",CHOOSE(WEEKDAY(A882,2),"Segunda","Terça","Quarta","Quinta","Sexta","Sábado","Domingo"))</f>
        <v>Quinta</v>
      </c>
      <c r="Q882" s="30" t="str">
        <f>IF(B882="","",IF(B882&lt;TIME(12,0,0),"Manhã",IF(B882&lt;TIME(18,0,0),"Tarde","Noite")))</f>
        <v>Tarde</v>
      </c>
      <c r="R882" s="46">
        <f>IF(AND(H882="Realizado",L882&lt;&gt;"",A882&lt;=Config!$B$9),L882/60,0)</f>
        <v>0</v>
      </c>
      <c r="S882" s="45">
        <f>IF(G882="","",IFERROR(INDEX(Config!$K$5:$K$16,MATCH(G882,Config!$J$5:$J$16,0)),""))</f>
        <v>40</v>
      </c>
      <c r="T882" s="31">
        <f>IF(OR(G882="",F882=""),"",IFERROR(INDEX(Config!$M$5:$R$16,MATCH(G882,Config!$J$5:$J$16,0),MATCH(F882,Config!$H$5:$H$10,0)),""))</f>
        <v>400</v>
      </c>
      <c r="U882" s="47">
        <f>IF(AND(H882="Realizado",L882&lt;&gt;""),L882/60,0)</f>
        <v>0</v>
      </c>
      <c r="V882" s="47">
        <f>IF(AND(H882="Realizado",OR(L882="",M882="")),1,0)</f>
        <v>0</v>
      </c>
    </row>
    <row r="883">
      <c r="A883" s="43" t="n">
        <v>46261</v>
      </c>
      <c r="B883" s="44" t="n">
        <v>0.7361111111111112</v>
      </c>
      <c r="C883" s="38" t="inlineStr">
        <is>
          <t>Dr. Paulo Andrade</t>
        </is>
      </c>
      <c r="D883" s="38" t="inlineStr">
        <is>
          <t>Sala 2</t>
        </is>
      </c>
      <c r="E883" s="37" t="inlineStr">
        <is>
          <t>Wagner Carvalho</t>
        </is>
      </c>
      <c r="F883" s="38" t="inlineStr">
        <is>
          <t>Vida Care</t>
        </is>
      </c>
      <c r="G883" s="38" t="inlineStr">
        <is>
          <t>Retorno</t>
        </is>
      </c>
      <c r="H883" s="38" t="inlineStr">
        <is>
          <t>Realizado</t>
        </is>
      </c>
      <c r="I883" s="38" t="inlineStr">
        <is>
          <t>Sem cobrança</t>
        </is>
      </c>
      <c r="J883" s="38" t="n"/>
      <c r="K883" s="37" t="n"/>
      <c r="L883" s="39" t="n">
        <v>20</v>
      </c>
      <c r="M883" s="40" t="n">
        <v>0</v>
      </c>
      <c r="N883" s="30">
        <f>IF(A883="","",MONTH(A883))</f>
        <v>8</v>
      </c>
      <c r="O883" s="30">
        <f>IF(A883="","",YEAR(A883))</f>
        <v>2026</v>
      </c>
      <c r="P883" s="30" t="str">
        <f>IF(A883="","",CHOOSE(WEEKDAY(A883,2),"Segunda","Terça","Quarta","Quinta","Sexta","Sábado","Domingo"))</f>
        <v>Quinta</v>
      </c>
      <c r="Q883" s="30" t="str">
        <f>IF(B883="","",IF(B883&lt;TIME(12,0,0),"Manhã",IF(B883&lt;TIME(18,0,0),"Tarde","Noite")))</f>
        <v>Tarde</v>
      </c>
      <c r="R883" s="46">
        <f>IF(AND(H883="Realizado",L883&lt;&gt;"",A883&lt;=Config!$B$9),L883/60,0)</f>
        <v>0.333333333333333</v>
      </c>
      <c r="S883" s="45">
        <f>IF(G883="","",IFERROR(INDEX(Config!$K$5:$K$16,MATCH(G883,Config!$J$5:$J$16,0)),""))</f>
        <v>20</v>
      </c>
      <c r="T883" s="31">
        <f>IF(OR(G883="",F883=""),"",IFERROR(INDEX(Config!$M$5:$R$16,MATCH(G883,Config!$J$5:$J$16,0),MATCH(F883,Config!$H$5:$H$10,0)),""))</f>
        <v>0</v>
      </c>
      <c r="U883" s="47">
        <f>IF(AND(H883="Realizado",L883&lt;&gt;""),L883/60,0)</f>
        <v>0.333333333333333</v>
      </c>
      <c r="V883" s="47">
        <f>IF(AND(H883="Realizado",OR(L883="",M883="")),1,0)</f>
        <v>0</v>
      </c>
    </row>
    <row r="884">
      <c r="A884" s="43" t="n">
        <v>46262</v>
      </c>
      <c r="B884" s="44" t="n">
        <v>0.3333333333333333</v>
      </c>
      <c r="C884" s="38" t="inlineStr">
        <is>
          <t>Dr. Paulo Andrade</t>
        </is>
      </c>
      <c r="D884" s="38" t="inlineStr">
        <is>
          <t>Sala 2</t>
        </is>
      </c>
      <c r="E884" s="37" t="inlineStr">
        <is>
          <t>Vanessa Carvalho</t>
        </is>
      </c>
      <c r="F884" s="38" t="inlineStr">
        <is>
          <t>Saúde Total</t>
        </is>
      </c>
      <c r="G884" s="38" t="inlineStr">
        <is>
          <t>Consulta</t>
        </is>
      </c>
      <c r="H884" s="38" t="inlineStr">
        <is>
          <t>Realizado</t>
        </is>
      </c>
      <c r="I884" s="38" t="inlineStr">
        <is>
          <t>Convênio</t>
        </is>
      </c>
      <c r="J884" s="38" t="n"/>
      <c r="K884" s="37" t="n"/>
      <c r="L884" s="39" t="n">
        <v>30</v>
      </c>
      <c r="M884" s="40" t="n">
        <v>120</v>
      </c>
      <c r="N884" s="30">
        <f>IF(A884="","",MONTH(A884))</f>
        <v>8</v>
      </c>
      <c r="O884" s="30">
        <f>IF(A884="","",YEAR(A884))</f>
        <v>2026</v>
      </c>
      <c r="P884" s="30" t="str">
        <f>IF(A884="","",CHOOSE(WEEKDAY(A884,2),"Segunda","Terça","Quarta","Quinta","Sexta","Sábado","Domingo"))</f>
        <v>Sexta</v>
      </c>
      <c r="Q884" s="30" t="str">
        <f>IF(B884="","",IF(B884&lt;TIME(12,0,0),"Manhã",IF(B884&lt;TIME(18,0,0),"Tarde","Noite")))</f>
        <v>Manhã</v>
      </c>
      <c r="R884" s="46">
        <f>IF(AND(H884="Realizado",L884&lt;&gt;"",A884&lt;=Config!$B$9),L884/60,0)</f>
        <v>0.5</v>
      </c>
      <c r="S884" s="45">
        <f>IF(G884="","",IFERROR(INDEX(Config!$K$5:$K$16,MATCH(G884,Config!$J$5:$J$16,0)),""))</f>
        <v>30</v>
      </c>
      <c r="T884" s="31">
        <f>IF(OR(G884="",F884=""),"",IFERROR(INDEX(Config!$M$5:$R$16,MATCH(G884,Config!$J$5:$J$16,0),MATCH(F884,Config!$H$5:$H$10,0)),""))</f>
        <v>120</v>
      </c>
      <c r="U884" s="47">
        <f>IF(AND(H884="Realizado",L884&lt;&gt;""),L884/60,0)</f>
        <v>0.5</v>
      </c>
      <c r="V884" s="47">
        <f>IF(AND(H884="Realizado",OR(L884="",M884="")),1,0)</f>
        <v>0</v>
      </c>
    </row>
    <row r="885">
      <c r="A885" s="43" t="n">
        <v>46262</v>
      </c>
      <c r="B885" s="44" t="n">
        <v>0.3541666666666667</v>
      </c>
      <c r="C885" s="38" t="inlineStr">
        <is>
          <t>Dr. Paulo Andrade</t>
        </is>
      </c>
      <c r="D885" s="38" t="inlineStr">
        <is>
          <t>Sala 2</t>
        </is>
      </c>
      <c r="E885" s="37" t="inlineStr">
        <is>
          <t>Mateus Martins</t>
        </is>
      </c>
      <c r="F885" s="38" t="inlineStr">
        <is>
          <t>Vida Care</t>
        </is>
      </c>
      <c r="G885" s="38" t="inlineStr">
        <is>
          <t>Consulta</t>
        </is>
      </c>
      <c r="H885" s="38" t="inlineStr">
        <is>
          <t>Realizado</t>
        </is>
      </c>
      <c r="I885" s="38" t="inlineStr">
        <is>
          <t>Convênio</t>
        </is>
      </c>
      <c r="J885" s="38" t="n"/>
      <c r="K885" s="37" t="n"/>
      <c r="L885" s="39" t="n">
        <v>30</v>
      </c>
      <c r="M885" s="40" t="n">
        <v>90</v>
      </c>
      <c r="N885" s="30">
        <f>IF(A885="","",MONTH(A885))</f>
        <v>8</v>
      </c>
      <c r="O885" s="30">
        <f>IF(A885="","",YEAR(A885))</f>
        <v>2026</v>
      </c>
      <c r="P885" s="30" t="str">
        <f>IF(A885="","",CHOOSE(WEEKDAY(A885,2),"Segunda","Terça","Quarta","Quinta","Sexta","Sábado","Domingo"))</f>
        <v>Sexta</v>
      </c>
      <c r="Q885" s="30" t="str">
        <f>IF(B885="","",IF(B885&lt;TIME(12,0,0),"Manhã",IF(B885&lt;TIME(18,0,0),"Tarde","Noite")))</f>
        <v>Manhã</v>
      </c>
      <c r="R885" s="46">
        <f>IF(AND(H885="Realizado",L885&lt;&gt;"",A885&lt;=Config!$B$9),L885/60,0)</f>
        <v>0.5</v>
      </c>
      <c r="S885" s="45">
        <f>IF(G885="","",IFERROR(INDEX(Config!$K$5:$K$16,MATCH(G885,Config!$J$5:$J$16,0)),""))</f>
        <v>30</v>
      </c>
      <c r="T885" s="31">
        <f>IF(OR(G885="",F885=""),"",IFERROR(INDEX(Config!$M$5:$R$16,MATCH(G885,Config!$J$5:$J$16,0),MATCH(F885,Config!$H$5:$H$10,0)),""))</f>
        <v>90</v>
      </c>
      <c r="U885" s="47">
        <f>IF(AND(H885="Realizado",L885&lt;&gt;""),L885/60,0)</f>
        <v>0.5</v>
      </c>
      <c r="V885" s="47">
        <f>IF(AND(H885="Realizado",OR(L885="",M885="")),1,0)</f>
        <v>0</v>
      </c>
    </row>
    <row r="886">
      <c r="A886" s="43" t="n">
        <v>46262</v>
      </c>
      <c r="B886" s="44" t="n">
        <v>0.3958333333333333</v>
      </c>
      <c r="C886" s="38" t="inlineStr">
        <is>
          <t>Dr. Paulo Andrade</t>
        </is>
      </c>
      <c r="D886" s="38" t="inlineStr">
        <is>
          <t>Sala 2</t>
        </is>
      </c>
      <c r="E886" s="37" t="inlineStr">
        <is>
          <t>Henrique Santos</t>
        </is>
      </c>
      <c r="F886" s="38" t="inlineStr">
        <is>
          <t>Vida Care</t>
        </is>
      </c>
      <c r="G886" s="38" t="inlineStr">
        <is>
          <t>Consulta</t>
        </is>
      </c>
      <c r="H886" s="38" t="inlineStr">
        <is>
          <t>Realizado</t>
        </is>
      </c>
      <c r="I886" s="38" t="inlineStr">
        <is>
          <t>Convênio</t>
        </is>
      </c>
      <c r="J886" s="38" t="n"/>
      <c r="K886" s="37" t="n"/>
      <c r="L886" s="39" t="n">
        <v>30</v>
      </c>
      <c r="M886" s="40" t="n">
        <v>90</v>
      </c>
      <c r="N886" s="30">
        <f>IF(A886="","",MONTH(A886))</f>
        <v>8</v>
      </c>
      <c r="O886" s="30">
        <f>IF(A886="","",YEAR(A886))</f>
        <v>2026</v>
      </c>
      <c r="P886" s="30" t="str">
        <f>IF(A886="","",CHOOSE(WEEKDAY(A886,2),"Segunda","Terça","Quarta","Quinta","Sexta","Sábado","Domingo"))</f>
        <v>Sexta</v>
      </c>
      <c r="Q886" s="30" t="str">
        <f>IF(B886="","",IF(B886&lt;TIME(12,0,0),"Manhã",IF(B886&lt;TIME(18,0,0),"Tarde","Noite")))</f>
        <v>Manhã</v>
      </c>
      <c r="R886" s="46">
        <f>IF(AND(H886="Realizado",L886&lt;&gt;"",A886&lt;=Config!$B$9),L886/60,0)</f>
        <v>0.5</v>
      </c>
      <c r="S886" s="45">
        <f>IF(G886="","",IFERROR(INDEX(Config!$K$5:$K$16,MATCH(G886,Config!$J$5:$J$16,0)),""))</f>
        <v>30</v>
      </c>
      <c r="T886" s="31">
        <f>IF(OR(G886="",F886=""),"",IFERROR(INDEX(Config!$M$5:$R$16,MATCH(G886,Config!$J$5:$J$16,0),MATCH(F886,Config!$H$5:$H$10,0)),""))</f>
        <v>90</v>
      </c>
      <c r="U886" s="47">
        <f>IF(AND(H886="Realizado",L886&lt;&gt;""),L886/60,0)</f>
        <v>0.5</v>
      </c>
      <c r="V886" s="47">
        <f>IF(AND(H886="Realizado",OR(L886="",M886="")),1,0)</f>
        <v>0</v>
      </c>
    </row>
    <row r="887">
      <c r="A887" s="43" t="n">
        <v>46262</v>
      </c>
      <c r="B887" s="44" t="n">
        <v>0.4375</v>
      </c>
      <c r="C887" s="38" t="inlineStr">
        <is>
          <t>Dr. Paulo Andrade</t>
        </is>
      </c>
      <c r="D887" s="38" t="inlineStr">
        <is>
          <t>Sala 2</t>
        </is>
      </c>
      <c r="E887" s="37" t="inlineStr">
        <is>
          <t>Paulo Nascimento</t>
        </is>
      </c>
      <c r="F887" s="38" t="inlineStr">
        <is>
          <t>MediPlan</t>
        </is>
      </c>
      <c r="G887" s="38" t="inlineStr">
        <is>
          <t>Consulta</t>
        </is>
      </c>
      <c r="H887" s="38" t="inlineStr">
        <is>
          <t>Realizado</t>
        </is>
      </c>
      <c r="I887" s="38" t="inlineStr">
        <is>
          <t>Convênio</t>
        </is>
      </c>
      <c r="J887" s="38" t="n"/>
      <c r="K887" s="37" t="n"/>
      <c r="L887" s="39" t="n">
        <v>30</v>
      </c>
      <c r="M887" s="40" t="n">
        <v>100</v>
      </c>
      <c r="N887" s="30">
        <f>IF(A887="","",MONTH(A887))</f>
        <v>8</v>
      </c>
      <c r="O887" s="30">
        <f>IF(A887="","",YEAR(A887))</f>
        <v>2026</v>
      </c>
      <c r="P887" s="30" t="str">
        <f>IF(A887="","",CHOOSE(WEEKDAY(A887,2),"Segunda","Terça","Quarta","Quinta","Sexta","Sábado","Domingo"))</f>
        <v>Sexta</v>
      </c>
      <c r="Q887" s="30" t="str">
        <f>IF(B887="","",IF(B887&lt;TIME(12,0,0),"Manhã",IF(B887&lt;TIME(18,0,0),"Tarde","Noite")))</f>
        <v>Manhã</v>
      </c>
      <c r="R887" s="46">
        <f>IF(AND(H887="Realizado",L887&lt;&gt;"",A887&lt;=Config!$B$9),L887/60,0)</f>
        <v>0.5</v>
      </c>
      <c r="S887" s="45">
        <f>IF(G887="","",IFERROR(INDEX(Config!$K$5:$K$16,MATCH(G887,Config!$J$5:$J$16,0)),""))</f>
        <v>30</v>
      </c>
      <c r="T887" s="31">
        <f>IF(OR(G887="",F887=""),"",IFERROR(INDEX(Config!$M$5:$R$16,MATCH(G887,Config!$J$5:$J$16,0),MATCH(F887,Config!$H$5:$H$10,0)),""))</f>
        <v>100</v>
      </c>
      <c r="U887" s="47">
        <f>IF(AND(H887="Realizado",L887&lt;&gt;""),L887/60,0)</f>
        <v>0.5</v>
      </c>
      <c r="V887" s="47">
        <f>IF(AND(H887="Realizado",OR(L887="",M887="")),1,0)</f>
        <v>0</v>
      </c>
    </row>
    <row r="888">
      <c r="A888" s="43" t="n">
        <v>46262</v>
      </c>
      <c r="B888" s="44" t="n">
        <v>0.4583333333333333</v>
      </c>
      <c r="C888" s="38" t="inlineStr">
        <is>
          <t>Dr. Paulo Andrade</t>
        </is>
      </c>
      <c r="D888" s="38" t="inlineStr">
        <is>
          <t>Sala 2</t>
        </is>
      </c>
      <c r="E888" s="37" t="inlineStr">
        <is>
          <t>Eduardo Reis</t>
        </is>
      </c>
      <c r="F888" s="38" t="inlineStr">
        <is>
          <t>Vida Care</t>
        </is>
      </c>
      <c r="G888" s="38" t="inlineStr">
        <is>
          <t>ECG</t>
        </is>
      </c>
      <c r="H888" s="38" t="inlineStr">
        <is>
          <t>Realizado</t>
        </is>
      </c>
      <c r="I888" s="38" t="inlineStr">
        <is>
          <t>Convênio</t>
        </is>
      </c>
      <c r="J888" s="38" t="n"/>
      <c r="K888" s="37" t="n"/>
      <c r="L888" s="39" t="n">
        <v>20</v>
      </c>
      <c r="M888" s="40" t="n">
        <v>32</v>
      </c>
      <c r="N888" s="30">
        <f>IF(A888="","",MONTH(A888))</f>
        <v>8</v>
      </c>
      <c r="O888" s="30">
        <f>IF(A888="","",YEAR(A888))</f>
        <v>2026</v>
      </c>
      <c r="P888" s="30" t="str">
        <f>IF(A888="","",CHOOSE(WEEKDAY(A888,2),"Segunda","Terça","Quarta","Quinta","Sexta","Sábado","Domingo"))</f>
        <v>Sexta</v>
      </c>
      <c r="Q888" s="30" t="str">
        <f>IF(B888="","",IF(B888&lt;TIME(12,0,0),"Manhã",IF(B888&lt;TIME(18,0,0),"Tarde","Noite")))</f>
        <v>Manhã</v>
      </c>
      <c r="R888" s="46">
        <f>IF(AND(H888="Realizado",L888&lt;&gt;"",A888&lt;=Config!$B$9),L888/60,0)</f>
        <v>0.333333333333333</v>
      </c>
      <c r="S888" s="45">
        <f>IF(G888="","",IFERROR(INDEX(Config!$K$5:$K$16,MATCH(G888,Config!$J$5:$J$16,0)),""))</f>
        <v>20</v>
      </c>
      <c r="T888" s="31">
        <f>IF(OR(G888="",F888=""),"",IFERROR(INDEX(Config!$M$5:$R$16,MATCH(G888,Config!$J$5:$J$16,0),MATCH(F888,Config!$H$5:$H$10,0)),""))</f>
        <v>32</v>
      </c>
      <c r="U888" s="47">
        <f>IF(AND(H888="Realizado",L888&lt;&gt;""),L888/60,0)</f>
        <v>0.333333333333333</v>
      </c>
      <c r="V888" s="47">
        <f>IF(AND(H888="Realizado",OR(L888="",M888="")),1,0)</f>
        <v>0</v>
      </c>
    </row>
    <row r="889">
      <c r="A889" s="43" t="n">
        <v>46262</v>
      </c>
      <c r="B889" s="44" t="n">
        <v>0.4722222222222222</v>
      </c>
      <c r="C889" s="38" t="inlineStr">
        <is>
          <t>Dr. Paulo Andrade</t>
        </is>
      </c>
      <c r="D889" s="38" t="inlineStr">
        <is>
          <t>Sala 2</t>
        </is>
      </c>
      <c r="E889" s="37" t="inlineStr">
        <is>
          <t>Sandra Cardoso</t>
        </is>
      </c>
      <c r="F889" s="38" t="inlineStr">
        <is>
          <t>Saúde Total</t>
        </is>
      </c>
      <c r="G889" s="38" t="inlineStr">
        <is>
          <t>Retorno</t>
        </is>
      </c>
      <c r="H889" s="38" t="inlineStr">
        <is>
          <t>Falta</t>
        </is>
      </c>
      <c r="I889" s="38" t="n"/>
      <c r="J889" s="38" t="n"/>
      <c r="K889" s="37" t="n"/>
      <c r="L889" s="39" t="n">
        <v>20</v>
      </c>
      <c r="M889" s="40" t="n">
        <v>0</v>
      </c>
      <c r="N889" s="30">
        <f>IF(A889="","",MONTH(A889))</f>
        <v>8</v>
      </c>
      <c r="O889" s="30">
        <f>IF(A889="","",YEAR(A889))</f>
        <v>2026</v>
      </c>
      <c r="P889" s="30" t="str">
        <f>IF(A889="","",CHOOSE(WEEKDAY(A889,2),"Segunda","Terça","Quarta","Quinta","Sexta","Sábado","Domingo"))</f>
        <v>Sexta</v>
      </c>
      <c r="Q889" s="30" t="str">
        <f>IF(B889="","",IF(B889&lt;TIME(12,0,0),"Manhã",IF(B889&lt;TIME(18,0,0),"Tarde","Noite")))</f>
        <v>Manhã</v>
      </c>
      <c r="R889" s="46">
        <f>IF(AND(H889="Realizado",L889&lt;&gt;"",A889&lt;=Config!$B$9),L889/60,0)</f>
        <v>0</v>
      </c>
      <c r="S889" s="45">
        <f>IF(G889="","",IFERROR(INDEX(Config!$K$5:$K$16,MATCH(G889,Config!$J$5:$J$16,0)),""))</f>
        <v>20</v>
      </c>
      <c r="T889" s="31">
        <f>IF(OR(G889="",F889=""),"",IFERROR(INDEX(Config!$M$5:$R$16,MATCH(G889,Config!$J$5:$J$16,0),MATCH(F889,Config!$H$5:$H$10,0)),""))</f>
        <v>0</v>
      </c>
      <c r="U889" s="47">
        <f>IF(AND(H889="Realizado",L889&lt;&gt;""),L889/60,0)</f>
        <v>0</v>
      </c>
      <c r="V889" s="47">
        <f>IF(AND(H889="Realizado",OR(L889="",M889="")),1,0)</f>
        <v>0</v>
      </c>
    </row>
    <row r="890">
      <c r="A890" s="43" t="n">
        <v>46262</v>
      </c>
      <c r="B890" s="44" t="n">
        <v>0.4861111111111111</v>
      </c>
      <c r="C890" s="38" t="inlineStr">
        <is>
          <t>Dr. Paulo Andrade</t>
        </is>
      </c>
      <c r="D890" s="38" t="inlineStr">
        <is>
          <t>Sala 2</t>
        </is>
      </c>
      <c r="E890" s="37" t="inlineStr">
        <is>
          <t>Gisele Pinto</t>
        </is>
      </c>
      <c r="F890" s="38" t="inlineStr">
        <is>
          <t>Saúde Total</t>
        </is>
      </c>
      <c r="G890" s="38" t="inlineStr">
        <is>
          <t>Retorno</t>
        </is>
      </c>
      <c r="H890" s="38" t="inlineStr">
        <is>
          <t>Realizado</t>
        </is>
      </c>
      <c r="I890" s="38" t="inlineStr">
        <is>
          <t>Sem cobrança</t>
        </is>
      </c>
      <c r="J890" s="38" t="n"/>
      <c r="K890" s="37" t="n"/>
      <c r="L890" s="39" t="n">
        <v>20</v>
      </c>
      <c r="M890" s="40" t="n">
        <v>0</v>
      </c>
      <c r="N890" s="30">
        <f>IF(A890="","",MONTH(A890))</f>
        <v>8</v>
      </c>
      <c r="O890" s="30">
        <f>IF(A890="","",YEAR(A890))</f>
        <v>2026</v>
      </c>
      <c r="P890" s="30" t="str">
        <f>IF(A890="","",CHOOSE(WEEKDAY(A890,2),"Segunda","Terça","Quarta","Quinta","Sexta","Sábado","Domingo"))</f>
        <v>Sexta</v>
      </c>
      <c r="Q890" s="30" t="str">
        <f>IF(B890="","",IF(B890&lt;TIME(12,0,0),"Manhã",IF(B890&lt;TIME(18,0,0),"Tarde","Noite")))</f>
        <v>Manhã</v>
      </c>
      <c r="R890" s="46">
        <f>IF(AND(H890="Realizado",L890&lt;&gt;"",A890&lt;=Config!$B$9),L890/60,0)</f>
        <v>0.333333333333333</v>
      </c>
      <c r="S890" s="45">
        <f>IF(G890="","",IFERROR(INDEX(Config!$K$5:$K$16,MATCH(G890,Config!$J$5:$J$16,0)),""))</f>
        <v>20</v>
      </c>
      <c r="T890" s="31">
        <f>IF(OR(G890="",F890=""),"",IFERROR(INDEX(Config!$M$5:$R$16,MATCH(G890,Config!$J$5:$J$16,0),MATCH(F890,Config!$H$5:$H$10,0)),""))</f>
        <v>0</v>
      </c>
      <c r="U890" s="47">
        <f>IF(AND(H890="Realizado",L890&lt;&gt;""),L890/60,0)</f>
        <v>0.333333333333333</v>
      </c>
      <c r="V890" s="47">
        <f>IF(AND(H890="Realizado",OR(L890="",M890="")),1,0)</f>
        <v>0</v>
      </c>
    </row>
    <row r="891">
      <c r="A891" s="43" t="n">
        <v>46265</v>
      </c>
      <c r="B891" s="44" t="n">
        <v>0.3333333333333333</v>
      </c>
      <c r="C891" s="38" t="inlineStr">
        <is>
          <t>Dra. Carolina Mendes</t>
        </is>
      </c>
      <c r="D891" s="38" t="inlineStr">
        <is>
          <t>Sala 1</t>
        </is>
      </c>
      <c r="E891" s="37" t="inlineStr">
        <is>
          <t>Elaine Cardoso</t>
        </is>
      </c>
      <c r="F891" s="38" t="inlineStr">
        <is>
          <t>Particular</t>
        </is>
      </c>
      <c r="G891" s="38" t="inlineStr">
        <is>
          <t>Retorno</t>
        </is>
      </c>
      <c r="H891" s="38" t="inlineStr">
        <is>
          <t>Realizado</t>
        </is>
      </c>
      <c r="I891" s="38" t="inlineStr">
        <is>
          <t>Sem cobrança</t>
        </is>
      </c>
      <c r="J891" s="38" t="n"/>
      <c r="K891" s="37" t="n"/>
      <c r="L891" s="39" t="n">
        <v>20</v>
      </c>
      <c r="M891" s="40" t="n">
        <v>0</v>
      </c>
      <c r="N891" s="30">
        <f>IF(A891="","",MONTH(A891))</f>
        <v>8</v>
      </c>
      <c r="O891" s="30">
        <f>IF(A891="","",YEAR(A891))</f>
        <v>2026</v>
      </c>
      <c r="P891" s="30" t="str">
        <f>IF(A891="","",CHOOSE(WEEKDAY(A891,2),"Segunda","Terça","Quarta","Quinta","Sexta","Sábado","Domingo"))</f>
        <v>Segunda</v>
      </c>
      <c r="Q891" s="30" t="str">
        <f>IF(B891="","",IF(B891&lt;TIME(12,0,0),"Manhã",IF(B891&lt;TIME(18,0,0),"Tarde","Noite")))</f>
        <v>Manhã</v>
      </c>
      <c r="R891" s="46">
        <f>IF(AND(H891="Realizado",L891&lt;&gt;"",A891&lt;=Config!$B$9),L891/60,0)</f>
        <v>0.333333333333333</v>
      </c>
      <c r="S891" s="45">
        <f>IF(G891="","",IFERROR(INDEX(Config!$K$5:$K$16,MATCH(G891,Config!$J$5:$J$16,0)),""))</f>
        <v>20</v>
      </c>
      <c r="T891" s="31">
        <f>IF(OR(G891="",F891=""),"",IFERROR(INDEX(Config!$M$5:$R$16,MATCH(G891,Config!$J$5:$J$16,0),MATCH(F891,Config!$H$5:$H$10,0)),""))</f>
        <v>0</v>
      </c>
      <c r="U891" s="47">
        <f>IF(AND(H891="Realizado",L891&lt;&gt;""),L891/60,0)</f>
        <v>0.333333333333333</v>
      </c>
      <c r="V891" s="47">
        <f>IF(AND(H891="Realizado",OR(L891="",M891="")),1,0)</f>
        <v>0</v>
      </c>
    </row>
    <row r="892">
      <c r="A892" s="43" t="n">
        <v>46265</v>
      </c>
      <c r="B892" s="44" t="n">
        <v>0.3472222222222222</v>
      </c>
      <c r="C892" s="38" t="inlineStr">
        <is>
          <t>Dra. Carolina Mendes</t>
        </is>
      </c>
      <c r="D892" s="38" t="inlineStr">
        <is>
          <t>Sala 1</t>
        </is>
      </c>
      <c r="E892" s="37" t="inlineStr">
        <is>
          <t>Lucas Xavier</t>
        </is>
      </c>
      <c r="F892" s="38" t="inlineStr">
        <is>
          <t>Saúde Total</t>
        </is>
      </c>
      <c r="G892" s="38" t="inlineStr">
        <is>
          <t>Consulta</t>
        </is>
      </c>
      <c r="H892" s="38" t="inlineStr">
        <is>
          <t>Realizado</t>
        </is>
      </c>
      <c r="I892" s="38" t="inlineStr">
        <is>
          <t>Convênio</t>
        </is>
      </c>
      <c r="J892" s="38" t="n"/>
      <c r="K892" s="37" t="n"/>
      <c r="L892" s="39" t="n">
        <v>30</v>
      </c>
      <c r="M892" s="40" t="n">
        <v>120</v>
      </c>
      <c r="N892" s="30">
        <f>IF(A892="","",MONTH(A892))</f>
        <v>8</v>
      </c>
      <c r="O892" s="30">
        <f>IF(A892="","",YEAR(A892))</f>
        <v>2026</v>
      </c>
      <c r="P892" s="30" t="str">
        <f>IF(A892="","",CHOOSE(WEEKDAY(A892,2),"Segunda","Terça","Quarta","Quinta","Sexta","Sábado","Domingo"))</f>
        <v>Segunda</v>
      </c>
      <c r="Q892" s="30" t="str">
        <f>IF(B892="","",IF(B892&lt;TIME(12,0,0),"Manhã",IF(B892&lt;TIME(18,0,0),"Tarde","Noite")))</f>
        <v>Manhã</v>
      </c>
      <c r="R892" s="46">
        <f>IF(AND(H892="Realizado",L892&lt;&gt;"",A892&lt;=Config!$B$9),L892/60,0)</f>
        <v>0.5</v>
      </c>
      <c r="S892" s="45">
        <f>IF(G892="","",IFERROR(INDEX(Config!$K$5:$K$16,MATCH(G892,Config!$J$5:$J$16,0)),""))</f>
        <v>30</v>
      </c>
      <c r="T892" s="31">
        <f>IF(OR(G892="",F892=""),"",IFERROR(INDEX(Config!$M$5:$R$16,MATCH(G892,Config!$J$5:$J$16,0),MATCH(F892,Config!$H$5:$H$10,0)),""))</f>
        <v>120</v>
      </c>
      <c r="U892" s="47">
        <f>IF(AND(H892="Realizado",L892&lt;&gt;""),L892/60,0)</f>
        <v>0.5</v>
      </c>
      <c r="V892" s="47">
        <f>IF(AND(H892="Realizado",OR(L892="",M892="")),1,0)</f>
        <v>0</v>
      </c>
    </row>
    <row r="893">
      <c r="A893" s="43" t="n">
        <v>46265</v>
      </c>
      <c r="B893" s="44" t="n">
        <v>0.3680555555555556</v>
      </c>
      <c r="C893" s="38" t="inlineStr">
        <is>
          <t>Dra. Carolina Mendes</t>
        </is>
      </c>
      <c r="D893" s="38" t="inlineStr">
        <is>
          <t>Sala 1</t>
        </is>
      </c>
      <c r="E893" s="37" t="inlineStr">
        <is>
          <t>Eduardo Nunes</t>
        </is>
      </c>
      <c r="F893" s="38" t="inlineStr">
        <is>
          <t>MediPlan</t>
        </is>
      </c>
      <c r="G893" s="38" t="inlineStr">
        <is>
          <t>Consulta</t>
        </is>
      </c>
      <c r="H893" s="38" t="inlineStr">
        <is>
          <t>Realizado</t>
        </is>
      </c>
      <c r="I893" s="38" t="inlineStr">
        <is>
          <t>Convênio</t>
        </is>
      </c>
      <c r="J893" s="38" t="n"/>
      <c r="K893" s="37" t="n"/>
      <c r="L893" s="39" t="n">
        <v>30</v>
      </c>
      <c r="M893" s="40" t="n">
        <v>100</v>
      </c>
      <c r="N893" s="30">
        <f>IF(A893="","",MONTH(A893))</f>
        <v>8</v>
      </c>
      <c r="O893" s="30">
        <f>IF(A893="","",YEAR(A893))</f>
        <v>2026</v>
      </c>
      <c r="P893" s="30" t="str">
        <f>IF(A893="","",CHOOSE(WEEKDAY(A893,2),"Segunda","Terça","Quarta","Quinta","Sexta","Sábado","Domingo"))</f>
        <v>Segunda</v>
      </c>
      <c r="Q893" s="30" t="str">
        <f>IF(B893="","",IF(B893&lt;TIME(12,0,0),"Manhã",IF(B893&lt;TIME(18,0,0),"Tarde","Noite")))</f>
        <v>Manhã</v>
      </c>
      <c r="R893" s="46">
        <f>IF(AND(H893="Realizado",L893&lt;&gt;"",A893&lt;=Config!$B$9),L893/60,0)</f>
        <v>0.5</v>
      </c>
      <c r="S893" s="45">
        <f>IF(G893="","",IFERROR(INDEX(Config!$K$5:$K$16,MATCH(G893,Config!$J$5:$J$16,0)),""))</f>
        <v>30</v>
      </c>
      <c r="T893" s="31">
        <f>IF(OR(G893="",F893=""),"",IFERROR(INDEX(Config!$M$5:$R$16,MATCH(G893,Config!$J$5:$J$16,0),MATCH(F893,Config!$H$5:$H$10,0)),""))</f>
        <v>100</v>
      </c>
      <c r="U893" s="47">
        <f>IF(AND(H893="Realizado",L893&lt;&gt;""),L893/60,0)</f>
        <v>0.5</v>
      </c>
      <c r="V893" s="47">
        <f>IF(AND(H893="Realizado",OR(L893="",M893="")),1,0)</f>
        <v>0</v>
      </c>
    </row>
    <row r="894">
      <c r="A894" s="43" t="n">
        <v>46265</v>
      </c>
      <c r="B894" s="44" t="n">
        <v>0.4097222222222222</v>
      </c>
      <c r="C894" s="38" t="inlineStr">
        <is>
          <t>Dra. Carolina Mendes</t>
        </is>
      </c>
      <c r="D894" s="38" t="inlineStr">
        <is>
          <t>Sala 1</t>
        </is>
      </c>
      <c r="E894" s="37" t="inlineStr">
        <is>
          <t>Simone Monteiro</t>
        </is>
      </c>
      <c r="F894" s="38" t="inlineStr">
        <is>
          <t>Vida Care</t>
        </is>
      </c>
      <c r="G894" s="38" t="inlineStr">
        <is>
          <t>Consulta</t>
        </is>
      </c>
      <c r="H894" s="38" t="inlineStr">
        <is>
          <t>Realizado</t>
        </is>
      </c>
      <c r="I894" s="38" t="inlineStr">
        <is>
          <t>Convênio</t>
        </is>
      </c>
      <c r="J894" s="38" t="n"/>
      <c r="K894" s="37" t="n"/>
      <c r="L894" s="39" t="n">
        <v>30</v>
      </c>
      <c r="M894" s="40" t="n">
        <v>90</v>
      </c>
      <c r="N894" s="30">
        <f>IF(A894="","",MONTH(A894))</f>
        <v>8</v>
      </c>
      <c r="O894" s="30">
        <f>IF(A894="","",YEAR(A894))</f>
        <v>2026</v>
      </c>
      <c r="P894" s="30" t="str">
        <f>IF(A894="","",CHOOSE(WEEKDAY(A894,2),"Segunda","Terça","Quarta","Quinta","Sexta","Sábado","Domingo"))</f>
        <v>Segunda</v>
      </c>
      <c r="Q894" s="30" t="str">
        <f>IF(B894="","",IF(B894&lt;TIME(12,0,0),"Manhã",IF(B894&lt;TIME(18,0,0),"Tarde","Noite")))</f>
        <v>Manhã</v>
      </c>
      <c r="R894" s="46">
        <f>IF(AND(H894="Realizado",L894&lt;&gt;"",A894&lt;=Config!$B$9),L894/60,0)</f>
        <v>0.5</v>
      </c>
      <c r="S894" s="45">
        <f>IF(G894="","",IFERROR(INDEX(Config!$K$5:$K$16,MATCH(G894,Config!$J$5:$J$16,0)),""))</f>
        <v>30</v>
      </c>
      <c r="T894" s="31">
        <f>IF(OR(G894="",F894=""),"",IFERROR(INDEX(Config!$M$5:$R$16,MATCH(G894,Config!$J$5:$J$16,0),MATCH(F894,Config!$H$5:$H$10,0)),""))</f>
        <v>90</v>
      </c>
      <c r="U894" s="47">
        <f>IF(AND(H894="Realizado",L894&lt;&gt;""),L894/60,0)</f>
        <v>0.5</v>
      </c>
      <c r="V894" s="47">
        <f>IF(AND(H894="Realizado",OR(L894="",M894="")),1,0)</f>
        <v>0</v>
      </c>
    </row>
    <row r="895">
      <c r="A895" s="43" t="n">
        <v>46265</v>
      </c>
      <c r="B895" s="44" t="n">
        <v>0.4305555555555556</v>
      </c>
      <c r="C895" s="38" t="inlineStr">
        <is>
          <t>Dra. Carolina Mendes</t>
        </is>
      </c>
      <c r="D895" s="38" t="inlineStr">
        <is>
          <t>Sala 1</t>
        </is>
      </c>
      <c r="E895" s="37" t="inlineStr">
        <is>
          <t>Isabela Nascimento</t>
        </is>
      </c>
      <c r="F895" s="38" t="inlineStr">
        <is>
          <t>Vida Care</t>
        </is>
      </c>
      <c r="G895" s="38" t="inlineStr">
        <is>
          <t>Consulta</t>
        </is>
      </c>
      <c r="H895" s="38" t="inlineStr">
        <is>
          <t>Realizado</t>
        </is>
      </c>
      <c r="I895" s="38" t="inlineStr">
        <is>
          <t>Convênio</t>
        </is>
      </c>
      <c r="J895" s="38" t="n"/>
      <c r="K895" s="37" t="n"/>
      <c r="L895" s="39" t="n">
        <v>30</v>
      </c>
      <c r="M895" s="40" t="n">
        <v>90</v>
      </c>
      <c r="N895" s="30">
        <f>IF(A895="","",MONTH(A895))</f>
        <v>8</v>
      </c>
      <c r="O895" s="30">
        <f>IF(A895="","",YEAR(A895))</f>
        <v>2026</v>
      </c>
      <c r="P895" s="30" t="str">
        <f>IF(A895="","",CHOOSE(WEEKDAY(A895,2),"Segunda","Terça","Quarta","Quinta","Sexta","Sábado","Domingo"))</f>
        <v>Segunda</v>
      </c>
      <c r="Q895" s="30" t="str">
        <f>IF(B895="","",IF(B895&lt;TIME(12,0,0),"Manhã",IF(B895&lt;TIME(18,0,0),"Tarde","Noite")))</f>
        <v>Manhã</v>
      </c>
      <c r="R895" s="46">
        <f>IF(AND(H895="Realizado",L895&lt;&gt;"",A895&lt;=Config!$B$9),L895/60,0)</f>
        <v>0.5</v>
      </c>
      <c r="S895" s="45">
        <f>IF(G895="","",IFERROR(INDEX(Config!$K$5:$K$16,MATCH(G895,Config!$J$5:$J$16,0)),""))</f>
        <v>30</v>
      </c>
      <c r="T895" s="31">
        <f>IF(OR(G895="",F895=""),"",IFERROR(INDEX(Config!$M$5:$R$16,MATCH(G895,Config!$J$5:$J$16,0),MATCH(F895,Config!$H$5:$H$10,0)),""))</f>
        <v>90</v>
      </c>
      <c r="U895" s="47">
        <f>IF(AND(H895="Realizado",L895&lt;&gt;""),L895/60,0)</f>
        <v>0.5</v>
      </c>
      <c r="V895" s="47">
        <f>IF(AND(H895="Realizado",OR(L895="",M895="")),1,0)</f>
        <v>0</v>
      </c>
    </row>
    <row r="896">
      <c r="A896" s="43" t="n">
        <v>46265</v>
      </c>
      <c r="B896" s="44" t="n">
        <v>0.4513888888888889</v>
      </c>
      <c r="C896" s="38" t="inlineStr">
        <is>
          <t>Dra. Carolina Mendes</t>
        </is>
      </c>
      <c r="D896" s="38" t="inlineStr">
        <is>
          <t>Sala 1</t>
        </is>
      </c>
      <c r="E896" s="37" t="inlineStr">
        <is>
          <t>Renato Dias</t>
        </is>
      </c>
      <c r="F896" s="38" t="inlineStr">
        <is>
          <t>Particular</t>
        </is>
      </c>
      <c r="G896" s="38" t="inlineStr">
        <is>
          <t>Consulta</t>
        </is>
      </c>
      <c r="H896" s="38" t="inlineStr">
        <is>
          <t>Realizado</t>
        </is>
      </c>
      <c r="I896" s="38" t="inlineStr">
        <is>
          <t>Cartão de débito</t>
        </is>
      </c>
      <c r="J896" s="38" t="n"/>
      <c r="K896" s="37" t="n"/>
      <c r="L896" s="39" t="n">
        <v>30</v>
      </c>
      <c r="M896" s="40" t="n">
        <v>380</v>
      </c>
      <c r="N896" s="30">
        <f>IF(A896="","",MONTH(A896))</f>
        <v>8</v>
      </c>
      <c r="O896" s="30">
        <f>IF(A896="","",YEAR(A896))</f>
        <v>2026</v>
      </c>
      <c r="P896" s="30" t="str">
        <f>IF(A896="","",CHOOSE(WEEKDAY(A896,2),"Segunda","Terça","Quarta","Quinta","Sexta","Sábado","Domingo"))</f>
        <v>Segunda</v>
      </c>
      <c r="Q896" s="30" t="str">
        <f>IF(B896="","",IF(B896&lt;TIME(12,0,0),"Manhã",IF(B896&lt;TIME(18,0,0),"Tarde","Noite")))</f>
        <v>Manhã</v>
      </c>
      <c r="R896" s="46">
        <f>IF(AND(H896="Realizado",L896&lt;&gt;"",A896&lt;=Config!$B$9),L896/60,0)</f>
        <v>0.5</v>
      </c>
      <c r="S896" s="45">
        <f>IF(G896="","",IFERROR(INDEX(Config!$K$5:$K$16,MATCH(G896,Config!$J$5:$J$16,0)),""))</f>
        <v>30</v>
      </c>
      <c r="T896" s="31">
        <f>IF(OR(G896="",F896=""),"",IFERROR(INDEX(Config!$M$5:$R$16,MATCH(G896,Config!$J$5:$J$16,0),MATCH(F896,Config!$H$5:$H$10,0)),""))</f>
        <v>380</v>
      </c>
      <c r="U896" s="47">
        <f>IF(AND(H896="Realizado",L896&lt;&gt;""),L896/60,0)</f>
        <v>0.5</v>
      </c>
      <c r="V896" s="47">
        <f>IF(AND(H896="Realizado",OR(L896="",M896="")),1,0)</f>
        <v>0</v>
      </c>
    </row>
    <row r="897">
      <c r="A897" s="43" t="n">
        <v>46265</v>
      </c>
      <c r="B897" s="44" t="n">
        <v>0.4722222222222222</v>
      </c>
      <c r="C897" s="38" t="inlineStr">
        <is>
          <t>Dra. Carolina Mendes</t>
        </is>
      </c>
      <c r="D897" s="38" t="inlineStr">
        <is>
          <t>Sala 1</t>
        </is>
      </c>
      <c r="E897" s="37" t="inlineStr">
        <is>
          <t>Mônica Teixeira</t>
        </is>
      </c>
      <c r="F897" s="38" t="inlineStr">
        <is>
          <t>Vida Care</t>
        </is>
      </c>
      <c r="G897" s="38" t="inlineStr">
        <is>
          <t>Consulta</t>
        </is>
      </c>
      <c r="H897" s="38" t="inlineStr">
        <is>
          <t>Cancelado</t>
        </is>
      </c>
      <c r="I897" s="38" t="n"/>
      <c r="J897" s="38" t="n"/>
      <c r="K897" s="37" t="n"/>
      <c r="L897" s="39" t="n">
        <v>30</v>
      </c>
      <c r="M897" s="40" t="n">
        <v>90</v>
      </c>
      <c r="N897" s="30">
        <f>IF(A897="","",MONTH(A897))</f>
        <v>8</v>
      </c>
      <c r="O897" s="30">
        <f>IF(A897="","",YEAR(A897))</f>
        <v>2026</v>
      </c>
      <c r="P897" s="30" t="str">
        <f>IF(A897="","",CHOOSE(WEEKDAY(A897,2),"Segunda","Terça","Quarta","Quinta","Sexta","Sábado","Domingo"))</f>
        <v>Segunda</v>
      </c>
      <c r="Q897" s="30" t="str">
        <f>IF(B897="","",IF(B897&lt;TIME(12,0,0),"Manhã",IF(B897&lt;TIME(18,0,0),"Tarde","Noite")))</f>
        <v>Manhã</v>
      </c>
      <c r="R897" s="46">
        <f>IF(AND(H897="Realizado",L897&lt;&gt;"",A897&lt;=Config!$B$9),L897/60,0)</f>
        <v>0</v>
      </c>
      <c r="S897" s="45">
        <f>IF(G897="","",IFERROR(INDEX(Config!$K$5:$K$16,MATCH(G897,Config!$J$5:$J$16,0)),""))</f>
        <v>30</v>
      </c>
      <c r="T897" s="31">
        <f>IF(OR(G897="",F897=""),"",IFERROR(INDEX(Config!$M$5:$R$16,MATCH(G897,Config!$J$5:$J$16,0),MATCH(F897,Config!$H$5:$H$10,0)),""))</f>
        <v>90</v>
      </c>
      <c r="U897" s="47">
        <f>IF(AND(H897="Realizado",L897&lt;&gt;""),L897/60,0)</f>
        <v>0</v>
      </c>
      <c r="V897" s="47">
        <f>IF(AND(H897="Realizado",OR(L897="",M897="")),1,0)</f>
        <v>0</v>
      </c>
    </row>
    <row r="898">
      <c r="A898" s="43" t="n">
        <v>46265</v>
      </c>
      <c r="B898" s="44" t="n">
        <v>0.5833333333333334</v>
      </c>
      <c r="C898" s="38" t="inlineStr">
        <is>
          <t>Dr. Paulo Andrade</t>
        </is>
      </c>
      <c r="D898" s="38" t="inlineStr">
        <is>
          <t>Sala 2</t>
        </is>
      </c>
      <c r="E898" s="37" t="inlineStr">
        <is>
          <t>Henrique Ribeiro</t>
        </is>
      </c>
      <c r="F898" s="38" t="inlineStr">
        <is>
          <t>Particular</t>
        </is>
      </c>
      <c r="G898" s="38" t="inlineStr">
        <is>
          <t>Consulta</t>
        </is>
      </c>
      <c r="H898" s="38" t="inlineStr">
        <is>
          <t>Realizado</t>
        </is>
      </c>
      <c r="I898" s="38" t="inlineStr">
        <is>
          <t>Pix</t>
        </is>
      </c>
      <c r="J898" s="38" t="n"/>
      <c r="K898" s="37" t="n"/>
      <c r="L898" s="39" t="n">
        <v>30</v>
      </c>
      <c r="M898" s="40" t="n">
        <v>380</v>
      </c>
      <c r="N898" s="30">
        <f>IF(A898="","",MONTH(A898))</f>
        <v>8</v>
      </c>
      <c r="O898" s="30">
        <f>IF(A898="","",YEAR(A898))</f>
        <v>2026</v>
      </c>
      <c r="P898" s="30" t="str">
        <f>IF(A898="","",CHOOSE(WEEKDAY(A898,2),"Segunda","Terça","Quarta","Quinta","Sexta","Sábado","Domingo"))</f>
        <v>Segunda</v>
      </c>
      <c r="Q898" s="30" t="str">
        <f>IF(B898="","",IF(B898&lt;TIME(12,0,0),"Manhã",IF(B898&lt;TIME(18,0,0),"Tarde","Noite")))</f>
        <v>Tarde</v>
      </c>
      <c r="R898" s="46">
        <f>IF(AND(H898="Realizado",L898&lt;&gt;"",A898&lt;=Config!$B$9),L898/60,0)</f>
        <v>0.5</v>
      </c>
      <c r="S898" s="45">
        <f>IF(G898="","",IFERROR(INDEX(Config!$K$5:$K$16,MATCH(G898,Config!$J$5:$J$16,0)),""))</f>
        <v>30</v>
      </c>
      <c r="T898" s="31">
        <f>IF(OR(G898="",F898=""),"",IFERROR(INDEX(Config!$M$5:$R$16,MATCH(G898,Config!$J$5:$J$16,0),MATCH(F898,Config!$H$5:$H$10,0)),""))</f>
        <v>380</v>
      </c>
      <c r="U898" s="47">
        <f>IF(AND(H898="Realizado",L898&lt;&gt;""),L898/60,0)</f>
        <v>0.5</v>
      </c>
      <c r="V898" s="47">
        <f>IF(AND(H898="Realizado",OR(L898="",M898="")),1,0)</f>
        <v>0</v>
      </c>
    </row>
    <row r="899">
      <c r="A899" s="43" t="n">
        <v>46265</v>
      </c>
      <c r="B899" s="44" t="n">
        <v>0.625</v>
      </c>
      <c r="C899" s="38" t="inlineStr">
        <is>
          <t>Dr. Paulo Andrade</t>
        </is>
      </c>
      <c r="D899" s="38" t="inlineStr">
        <is>
          <t>Sala 2</t>
        </is>
      </c>
      <c r="E899" s="37" t="inlineStr">
        <is>
          <t>Rafael Correia</t>
        </is>
      </c>
      <c r="F899" s="38" t="inlineStr">
        <is>
          <t>Particular</t>
        </is>
      </c>
      <c r="G899" s="38" t="inlineStr">
        <is>
          <t>Retorno</t>
        </is>
      </c>
      <c r="H899" s="38" t="inlineStr">
        <is>
          <t>Realizado</t>
        </is>
      </c>
      <c r="I899" s="38" t="inlineStr">
        <is>
          <t>Sem cobrança</t>
        </is>
      </c>
      <c r="J899" s="38" t="n"/>
      <c r="K899" s="37" t="n"/>
      <c r="L899" s="39" t="n">
        <v>20</v>
      </c>
      <c r="M899" s="40" t="n">
        <v>0</v>
      </c>
      <c r="N899" s="30">
        <f>IF(A899="","",MONTH(A899))</f>
        <v>8</v>
      </c>
      <c r="O899" s="30">
        <f>IF(A899="","",YEAR(A899))</f>
        <v>2026</v>
      </c>
      <c r="P899" s="30" t="str">
        <f>IF(A899="","",CHOOSE(WEEKDAY(A899,2),"Segunda","Terça","Quarta","Quinta","Sexta","Sábado","Domingo"))</f>
        <v>Segunda</v>
      </c>
      <c r="Q899" s="30" t="str">
        <f>IF(B899="","",IF(B899&lt;TIME(12,0,0),"Manhã",IF(B899&lt;TIME(18,0,0),"Tarde","Noite")))</f>
        <v>Tarde</v>
      </c>
      <c r="R899" s="46">
        <f>IF(AND(H899="Realizado",L899&lt;&gt;"",A899&lt;=Config!$B$9),L899/60,0)</f>
        <v>0.333333333333333</v>
      </c>
      <c r="S899" s="45">
        <f>IF(G899="","",IFERROR(INDEX(Config!$K$5:$K$16,MATCH(G899,Config!$J$5:$J$16,0)),""))</f>
        <v>20</v>
      </c>
      <c r="T899" s="31">
        <f>IF(OR(G899="",F899=""),"",IFERROR(INDEX(Config!$M$5:$R$16,MATCH(G899,Config!$J$5:$J$16,0),MATCH(F899,Config!$H$5:$H$10,0)),""))</f>
        <v>0</v>
      </c>
      <c r="U899" s="47">
        <f>IF(AND(H899="Realizado",L899&lt;&gt;""),L899/60,0)</f>
        <v>0.333333333333333</v>
      </c>
      <c r="V899" s="47">
        <f>IF(AND(H899="Realizado",OR(L899="",M899="")),1,0)</f>
        <v>0</v>
      </c>
    </row>
    <row r="900">
      <c r="A900" s="43" t="n">
        <v>46265</v>
      </c>
      <c r="B900" s="44" t="n">
        <v>0.6597222222222222</v>
      </c>
      <c r="C900" s="38" t="inlineStr">
        <is>
          <t>Dr. Paulo Andrade</t>
        </is>
      </c>
      <c r="D900" s="38" t="inlineStr">
        <is>
          <t>Sala 2</t>
        </is>
      </c>
      <c r="E900" s="37" t="inlineStr">
        <is>
          <t>Sandra Martins</t>
        </is>
      </c>
      <c r="F900" s="38" t="inlineStr">
        <is>
          <t>MediPlan</t>
        </is>
      </c>
      <c r="G900" s="38" t="inlineStr">
        <is>
          <t>Retorno</t>
        </is>
      </c>
      <c r="H900" s="38" t="inlineStr">
        <is>
          <t>Realizado</t>
        </is>
      </c>
      <c r="I900" s="38" t="inlineStr">
        <is>
          <t>Sem cobrança</t>
        </is>
      </c>
      <c r="J900" s="38" t="n"/>
      <c r="K900" s="37" t="n"/>
      <c r="L900" s="39" t="n">
        <v>20</v>
      </c>
      <c r="M900" s="40" t="n">
        <v>0</v>
      </c>
      <c r="N900" s="30">
        <f>IF(A900="","",MONTH(A900))</f>
        <v>8</v>
      </c>
      <c r="O900" s="30">
        <f>IF(A900="","",YEAR(A900))</f>
        <v>2026</v>
      </c>
      <c r="P900" s="30" t="str">
        <f>IF(A900="","",CHOOSE(WEEKDAY(A900,2),"Segunda","Terça","Quarta","Quinta","Sexta","Sábado","Domingo"))</f>
        <v>Segunda</v>
      </c>
      <c r="Q900" s="30" t="str">
        <f>IF(B900="","",IF(B900&lt;TIME(12,0,0),"Manhã",IF(B900&lt;TIME(18,0,0),"Tarde","Noite")))</f>
        <v>Tarde</v>
      </c>
      <c r="R900" s="46">
        <f>IF(AND(H900="Realizado",L900&lt;&gt;"",A900&lt;=Config!$B$9),L900/60,0)</f>
        <v>0.333333333333333</v>
      </c>
      <c r="S900" s="45">
        <f>IF(G900="","",IFERROR(INDEX(Config!$K$5:$K$16,MATCH(G900,Config!$J$5:$J$16,0)),""))</f>
        <v>20</v>
      </c>
      <c r="T900" s="31">
        <f>IF(OR(G900="",F900=""),"",IFERROR(INDEX(Config!$M$5:$R$16,MATCH(G900,Config!$J$5:$J$16,0),MATCH(F900,Config!$H$5:$H$10,0)),""))</f>
        <v>0</v>
      </c>
      <c r="U900" s="47">
        <f>IF(AND(H900="Realizado",L900&lt;&gt;""),L900/60,0)</f>
        <v>0.333333333333333</v>
      </c>
      <c r="V900" s="47">
        <f>IF(AND(H900="Realizado",OR(L900="",M900="")),1,0)</f>
        <v>0</v>
      </c>
    </row>
    <row r="901">
      <c r="A901" s="43" t="n">
        <v>46265</v>
      </c>
      <c r="B901" s="44" t="n">
        <v>0.6736111111111112</v>
      </c>
      <c r="C901" s="38" t="inlineStr">
        <is>
          <t>Dr. Paulo Andrade</t>
        </is>
      </c>
      <c r="D901" s="38" t="inlineStr">
        <is>
          <t>Sala 2</t>
        </is>
      </c>
      <c r="E901" s="37" t="inlineStr">
        <is>
          <t>Leandro Cardoso</t>
        </is>
      </c>
      <c r="F901" s="38" t="inlineStr">
        <is>
          <t>MediPlan</t>
        </is>
      </c>
      <c r="G901" s="38" t="inlineStr">
        <is>
          <t>Consulta</t>
        </is>
      </c>
      <c r="H901" s="38" t="inlineStr">
        <is>
          <t>Realizado</t>
        </is>
      </c>
      <c r="I901" s="38" t="inlineStr">
        <is>
          <t>Convênio</t>
        </is>
      </c>
      <c r="J901" s="38" t="n"/>
      <c r="K901" s="37" t="n"/>
      <c r="L901" s="39" t="n">
        <v>30</v>
      </c>
      <c r="M901" s="40" t="n">
        <v>100</v>
      </c>
      <c r="N901" s="30">
        <f>IF(A901="","",MONTH(A901))</f>
        <v>8</v>
      </c>
      <c r="O901" s="30">
        <f>IF(A901="","",YEAR(A901))</f>
        <v>2026</v>
      </c>
      <c r="P901" s="30" t="str">
        <f>IF(A901="","",CHOOSE(WEEKDAY(A901,2),"Segunda","Terça","Quarta","Quinta","Sexta","Sábado","Domingo"))</f>
        <v>Segunda</v>
      </c>
      <c r="Q901" s="30" t="str">
        <f>IF(B901="","",IF(B901&lt;TIME(12,0,0),"Manhã",IF(B901&lt;TIME(18,0,0),"Tarde","Noite")))</f>
        <v>Tarde</v>
      </c>
      <c r="R901" s="46">
        <f>IF(AND(H901="Realizado",L901&lt;&gt;"",A901&lt;=Config!$B$9),L901/60,0)</f>
        <v>0.5</v>
      </c>
      <c r="S901" s="45">
        <f>IF(G901="","",IFERROR(INDEX(Config!$K$5:$K$16,MATCH(G901,Config!$J$5:$J$16,0)),""))</f>
        <v>30</v>
      </c>
      <c r="T901" s="31">
        <f>IF(OR(G901="",F901=""),"",IFERROR(INDEX(Config!$M$5:$R$16,MATCH(G901,Config!$J$5:$J$16,0),MATCH(F901,Config!$H$5:$H$10,0)),""))</f>
        <v>100</v>
      </c>
      <c r="U901" s="47">
        <f>IF(AND(H901="Realizado",L901&lt;&gt;""),L901/60,0)</f>
        <v>0.5</v>
      </c>
      <c r="V901" s="47">
        <f>IF(AND(H901="Realizado",OR(L901="",M901="")),1,0)</f>
        <v>0</v>
      </c>
    </row>
    <row r="902">
      <c r="A902" s="43" t="n">
        <v>46265</v>
      </c>
      <c r="B902" s="44" t="n">
        <v>0.6944444444444444</v>
      </c>
      <c r="C902" s="38" t="inlineStr">
        <is>
          <t>Dr. Paulo Andrade</t>
        </is>
      </c>
      <c r="D902" s="38" t="inlineStr">
        <is>
          <t>Sala 2</t>
        </is>
      </c>
      <c r="E902" s="37" t="inlineStr">
        <is>
          <t>Marcelo Ferreira</t>
        </is>
      </c>
      <c r="F902" s="38" t="inlineStr">
        <is>
          <t>Particular</t>
        </is>
      </c>
      <c r="G902" s="38" t="inlineStr">
        <is>
          <t>Retorno</t>
        </is>
      </c>
      <c r="H902" s="38" t="inlineStr">
        <is>
          <t>Realizado</t>
        </is>
      </c>
      <c r="I902" s="38" t="inlineStr">
        <is>
          <t>Sem cobrança</t>
        </is>
      </c>
      <c r="J902" s="38" t="n"/>
      <c r="K902" s="37" t="n"/>
      <c r="L902" s="39" t="n">
        <v>20</v>
      </c>
      <c r="M902" s="40" t="n">
        <v>0</v>
      </c>
      <c r="N902" s="30">
        <f>IF(A902="","",MONTH(A902))</f>
        <v>8</v>
      </c>
      <c r="O902" s="30">
        <f>IF(A902="","",YEAR(A902))</f>
        <v>2026</v>
      </c>
      <c r="P902" s="30" t="str">
        <f>IF(A902="","",CHOOSE(WEEKDAY(A902,2),"Segunda","Terça","Quarta","Quinta","Sexta","Sábado","Domingo"))</f>
        <v>Segunda</v>
      </c>
      <c r="Q902" s="30" t="str">
        <f>IF(B902="","",IF(B902&lt;TIME(12,0,0),"Manhã",IF(B902&lt;TIME(18,0,0),"Tarde","Noite")))</f>
        <v>Tarde</v>
      </c>
      <c r="R902" s="46">
        <f>IF(AND(H902="Realizado",L902&lt;&gt;"",A902&lt;=Config!$B$9),L902/60,0)</f>
        <v>0.333333333333333</v>
      </c>
      <c r="S902" s="45">
        <f>IF(G902="","",IFERROR(INDEX(Config!$K$5:$K$16,MATCH(G902,Config!$J$5:$J$16,0)),""))</f>
        <v>20</v>
      </c>
      <c r="T902" s="31">
        <f>IF(OR(G902="",F902=""),"",IFERROR(INDEX(Config!$M$5:$R$16,MATCH(G902,Config!$J$5:$J$16,0),MATCH(F902,Config!$H$5:$H$10,0)),""))</f>
        <v>0</v>
      </c>
      <c r="U902" s="47">
        <f>IF(AND(H902="Realizado",L902&lt;&gt;""),L902/60,0)</f>
        <v>0.333333333333333</v>
      </c>
      <c r="V902" s="47">
        <f>IF(AND(H902="Realizado",OR(L902="",M902="")),1,0)</f>
        <v>0</v>
      </c>
    </row>
    <row r="903">
      <c r="A903" s="43" t="n">
        <v>46265</v>
      </c>
      <c r="B903" s="44" t="n">
        <v>0.7083333333333334</v>
      </c>
      <c r="C903" s="38" t="inlineStr">
        <is>
          <t>Dr. Paulo Andrade</t>
        </is>
      </c>
      <c r="D903" s="38" t="inlineStr">
        <is>
          <t>Sala 2</t>
        </is>
      </c>
      <c r="E903" s="37" t="inlineStr">
        <is>
          <t>Sandra Cardoso</t>
        </is>
      </c>
      <c r="F903" s="38" t="inlineStr">
        <is>
          <t>Saúde Total</t>
        </is>
      </c>
      <c r="G903" s="38" t="inlineStr">
        <is>
          <t>ECG</t>
        </is>
      </c>
      <c r="H903" s="38" t="inlineStr">
        <is>
          <t>Realizado</t>
        </is>
      </c>
      <c r="I903" s="38" t="inlineStr">
        <is>
          <t>Convênio</t>
        </is>
      </c>
      <c r="J903" s="38" t="n"/>
      <c r="K903" s="37" t="n"/>
      <c r="L903" s="39" t="n">
        <v>20</v>
      </c>
      <c r="M903" s="40" t="n">
        <v>40</v>
      </c>
      <c r="N903" s="30">
        <f>IF(A903="","",MONTH(A903))</f>
        <v>8</v>
      </c>
      <c r="O903" s="30">
        <f>IF(A903="","",YEAR(A903))</f>
        <v>2026</v>
      </c>
      <c r="P903" s="30" t="str">
        <f>IF(A903="","",CHOOSE(WEEKDAY(A903,2),"Segunda","Terça","Quarta","Quinta","Sexta","Sábado","Domingo"))</f>
        <v>Segunda</v>
      </c>
      <c r="Q903" s="30" t="str">
        <f>IF(B903="","",IF(B903&lt;TIME(12,0,0),"Manhã",IF(B903&lt;TIME(18,0,0),"Tarde","Noite")))</f>
        <v>Tarde</v>
      </c>
      <c r="R903" s="46">
        <f>IF(AND(H903="Realizado",L903&lt;&gt;"",A903&lt;=Config!$B$9),L903/60,0)</f>
        <v>0.333333333333333</v>
      </c>
      <c r="S903" s="45">
        <f>IF(G903="","",IFERROR(INDEX(Config!$K$5:$K$16,MATCH(G903,Config!$J$5:$J$16,0)),""))</f>
        <v>20</v>
      </c>
      <c r="T903" s="31">
        <f>IF(OR(G903="",F903=""),"",IFERROR(INDEX(Config!$M$5:$R$16,MATCH(G903,Config!$J$5:$J$16,0),MATCH(F903,Config!$H$5:$H$10,0)),""))</f>
        <v>40</v>
      </c>
      <c r="U903" s="47">
        <f>IF(AND(H903="Realizado",L903&lt;&gt;""),L903/60,0)</f>
        <v>0.333333333333333</v>
      </c>
      <c r="V903" s="47">
        <f>IF(AND(H903="Realizado",OR(L903="",M903="")),1,0)</f>
        <v>0</v>
      </c>
    </row>
    <row r="904">
      <c r="A904" s="43" t="n">
        <v>46265</v>
      </c>
      <c r="B904" s="44" t="n">
        <v>0.7222222222222222</v>
      </c>
      <c r="C904" s="38" t="inlineStr">
        <is>
          <t>Dr. Paulo Andrade</t>
        </is>
      </c>
      <c r="D904" s="38" t="inlineStr">
        <is>
          <t>Sala 2</t>
        </is>
      </c>
      <c r="E904" s="37" t="inlineStr">
        <is>
          <t>Débora Ramos</t>
        </is>
      </c>
      <c r="F904" s="38" t="inlineStr">
        <is>
          <t>Particular</t>
        </is>
      </c>
      <c r="G904" s="38" t="inlineStr">
        <is>
          <t>ECG</t>
        </is>
      </c>
      <c r="H904" s="38" t="inlineStr">
        <is>
          <t>Realizado</t>
        </is>
      </c>
      <c r="I904" s="38" t="inlineStr">
        <is>
          <t>Cartão de débito</t>
        </is>
      </c>
      <c r="J904" s="38" t="n"/>
      <c r="K904" s="37" t="n"/>
      <c r="L904" s="39" t="n">
        <v>20</v>
      </c>
      <c r="M904" s="40" t="n">
        <v>130</v>
      </c>
      <c r="N904" s="30">
        <f>IF(A904="","",MONTH(A904))</f>
        <v>8</v>
      </c>
      <c r="O904" s="30">
        <f>IF(A904="","",YEAR(A904))</f>
        <v>2026</v>
      </c>
      <c r="P904" s="30" t="str">
        <f>IF(A904="","",CHOOSE(WEEKDAY(A904,2),"Segunda","Terça","Quarta","Quinta","Sexta","Sábado","Domingo"))</f>
        <v>Segunda</v>
      </c>
      <c r="Q904" s="30" t="str">
        <f>IF(B904="","",IF(B904&lt;TIME(12,0,0),"Manhã",IF(B904&lt;TIME(18,0,0),"Tarde","Noite")))</f>
        <v>Tarde</v>
      </c>
      <c r="R904" s="46">
        <f>IF(AND(H904="Realizado",L904&lt;&gt;"",A904&lt;=Config!$B$9),L904/60,0)</f>
        <v>0.333333333333333</v>
      </c>
      <c r="S904" s="45">
        <f>IF(G904="","",IFERROR(INDEX(Config!$K$5:$K$16,MATCH(G904,Config!$J$5:$J$16,0)),""))</f>
        <v>20</v>
      </c>
      <c r="T904" s="31">
        <f>IF(OR(G904="",F904=""),"",IFERROR(INDEX(Config!$M$5:$R$16,MATCH(G904,Config!$J$5:$J$16,0),MATCH(F904,Config!$H$5:$H$10,0)),""))</f>
        <v>130</v>
      </c>
      <c r="U904" s="47">
        <f>IF(AND(H904="Realizado",L904&lt;&gt;""),L904/60,0)</f>
        <v>0.333333333333333</v>
      </c>
      <c r="V904" s="47">
        <f>IF(AND(H904="Realizado",OR(L904="",M904="")),1,0)</f>
        <v>0</v>
      </c>
    </row>
    <row r="905">
      <c r="A905" s="43" t="n">
        <v>46265</v>
      </c>
      <c r="B905" s="44" t="n">
        <v>0.7361111111111112</v>
      </c>
      <c r="C905" s="38" t="inlineStr">
        <is>
          <t>Dr. Paulo Andrade</t>
        </is>
      </c>
      <c r="D905" s="38" t="inlineStr">
        <is>
          <t>Sala 2</t>
        </is>
      </c>
      <c r="E905" s="37" t="inlineStr">
        <is>
          <t>Priscila Nunes</t>
        </is>
      </c>
      <c r="F905" s="38" t="inlineStr">
        <is>
          <t>MediPlan</t>
        </is>
      </c>
      <c r="G905" s="38" t="inlineStr">
        <is>
          <t>Holter</t>
        </is>
      </c>
      <c r="H905" s="38" t="inlineStr">
        <is>
          <t>Realizado</t>
        </is>
      </c>
      <c r="I905" s="38" t="inlineStr">
        <is>
          <t>Convênio</t>
        </is>
      </c>
      <c r="J905" s="38" t="n"/>
      <c r="K905" s="37" t="n"/>
      <c r="L905" s="39" t="n">
        <v>20</v>
      </c>
      <c r="M905" s="40" t="n">
        <v>95</v>
      </c>
      <c r="N905" s="30">
        <f>IF(A905="","",MONTH(A905))</f>
        <v>8</v>
      </c>
      <c r="O905" s="30">
        <f>IF(A905="","",YEAR(A905))</f>
        <v>2026</v>
      </c>
      <c r="P905" s="30" t="str">
        <f>IF(A905="","",CHOOSE(WEEKDAY(A905,2),"Segunda","Terça","Quarta","Quinta","Sexta","Sábado","Domingo"))</f>
        <v>Segunda</v>
      </c>
      <c r="Q905" s="30" t="str">
        <f>IF(B905="","",IF(B905&lt;TIME(12,0,0),"Manhã",IF(B905&lt;TIME(18,0,0),"Tarde","Noite")))</f>
        <v>Tarde</v>
      </c>
      <c r="R905" s="46">
        <f>IF(AND(H905="Realizado",L905&lt;&gt;"",A905&lt;=Config!$B$9),L905/60,0)</f>
        <v>0.333333333333333</v>
      </c>
      <c r="S905" s="45">
        <f>IF(G905="","",IFERROR(INDEX(Config!$K$5:$K$16,MATCH(G905,Config!$J$5:$J$16,0)),""))</f>
        <v>20</v>
      </c>
      <c r="T905" s="31">
        <f>IF(OR(G905="",F905=""),"",IFERROR(INDEX(Config!$M$5:$R$16,MATCH(G905,Config!$J$5:$J$16,0),MATCH(F905,Config!$H$5:$H$10,0)),""))</f>
        <v>95</v>
      </c>
      <c r="U905" s="47">
        <f>IF(AND(H905="Realizado",L905&lt;&gt;""),L905/60,0)</f>
        <v>0.333333333333333</v>
      </c>
      <c r="V905" s="47">
        <f>IF(AND(H905="Realizado",OR(L905="",M905="")),1,0)</f>
        <v>0</v>
      </c>
    </row>
    <row r="906">
      <c r="A906" s="43" t="n">
        <v>46266</v>
      </c>
      <c r="B906" s="44" t="n">
        <v>0.3333333333333333</v>
      </c>
      <c r="C906" s="38" t="inlineStr">
        <is>
          <t>Dra. Carolina Mendes</t>
        </is>
      </c>
      <c r="D906" s="38" t="inlineStr">
        <is>
          <t>Sala 1</t>
        </is>
      </c>
      <c r="E906" s="37" t="inlineStr">
        <is>
          <t>Ana Costa</t>
        </is>
      </c>
      <c r="F906" s="38" t="inlineStr">
        <is>
          <t>Particular</t>
        </is>
      </c>
      <c r="G906" s="38" t="inlineStr">
        <is>
          <t>Consulta</t>
        </is>
      </c>
      <c r="H906" s="38" t="inlineStr">
        <is>
          <t>Realizado</t>
        </is>
      </c>
      <c r="I906" s="38" t="inlineStr">
        <is>
          <t>Cartão de crédito</t>
        </is>
      </c>
      <c r="J906" s="38" t="n"/>
      <c r="K906" s="37" t="n"/>
      <c r="L906" s="39" t="n">
        <v>30</v>
      </c>
      <c r="M906" s="40" t="n">
        <v>380</v>
      </c>
      <c r="N906" s="30">
        <f>IF(A906="","",MONTH(A906))</f>
        <v>9</v>
      </c>
      <c r="O906" s="30">
        <f>IF(A906="","",YEAR(A906))</f>
        <v>2026</v>
      </c>
      <c r="P906" s="30" t="str">
        <f>IF(A906="","",CHOOSE(WEEKDAY(A906,2),"Segunda","Terça","Quarta","Quinta","Sexta","Sábado","Domingo"))</f>
        <v>Terça</v>
      </c>
      <c r="Q906" s="30" t="str">
        <f>IF(B906="","",IF(B906&lt;TIME(12,0,0),"Manhã",IF(B906&lt;TIME(18,0,0),"Tarde","Noite")))</f>
        <v>Manhã</v>
      </c>
      <c r="R906" s="46">
        <f>IF(AND(H906="Realizado",L906&lt;&gt;"",A906&lt;=Config!$B$9),L906/60,0)</f>
        <v>0.5</v>
      </c>
      <c r="S906" s="45">
        <f>IF(G906="","",IFERROR(INDEX(Config!$K$5:$K$16,MATCH(G906,Config!$J$5:$J$16,0)),""))</f>
        <v>30</v>
      </c>
      <c r="T906" s="31">
        <f>IF(OR(G906="",F906=""),"",IFERROR(INDEX(Config!$M$5:$R$16,MATCH(G906,Config!$J$5:$J$16,0),MATCH(F906,Config!$H$5:$H$10,0)),""))</f>
        <v>380</v>
      </c>
      <c r="U906" s="47">
        <f>IF(AND(H906="Realizado",L906&lt;&gt;""),L906/60,0)</f>
        <v>0.5</v>
      </c>
      <c r="V906" s="47">
        <f>IF(AND(H906="Realizado",OR(L906="",M906="")),1,0)</f>
        <v>0</v>
      </c>
    </row>
    <row r="907">
      <c r="A907" s="43" t="n">
        <v>46266</v>
      </c>
      <c r="B907" s="44" t="n">
        <v>0.3541666666666667</v>
      </c>
      <c r="C907" s="38" t="inlineStr">
        <is>
          <t>Dra. Carolina Mendes</t>
        </is>
      </c>
      <c r="D907" s="38" t="inlineStr">
        <is>
          <t>Sala 1</t>
        </is>
      </c>
      <c r="E907" s="37" t="inlineStr">
        <is>
          <t>Gustavo Ferreira</t>
        </is>
      </c>
      <c r="F907" s="38" t="inlineStr">
        <is>
          <t>Particular</t>
        </is>
      </c>
      <c r="G907" s="38" t="inlineStr">
        <is>
          <t>Consulta</t>
        </is>
      </c>
      <c r="H907" s="38" t="inlineStr">
        <is>
          <t>Realizado</t>
        </is>
      </c>
      <c r="I907" s="38" t="inlineStr">
        <is>
          <t>Cartão de crédito</t>
        </is>
      </c>
      <c r="J907" s="38" t="n"/>
      <c r="K907" s="37" t="n"/>
      <c r="L907" s="39" t="n">
        <v>30</v>
      </c>
      <c r="M907" s="40" t="n">
        <v>380</v>
      </c>
      <c r="N907" s="30">
        <f>IF(A907="","",MONTH(A907))</f>
        <v>9</v>
      </c>
      <c r="O907" s="30">
        <f>IF(A907="","",YEAR(A907))</f>
        <v>2026</v>
      </c>
      <c r="P907" s="30" t="str">
        <f>IF(A907="","",CHOOSE(WEEKDAY(A907,2),"Segunda","Terça","Quarta","Quinta","Sexta","Sábado","Domingo"))</f>
        <v>Terça</v>
      </c>
      <c r="Q907" s="30" t="str">
        <f>IF(B907="","",IF(B907&lt;TIME(12,0,0),"Manhã",IF(B907&lt;TIME(18,0,0),"Tarde","Noite")))</f>
        <v>Manhã</v>
      </c>
      <c r="R907" s="46">
        <f>IF(AND(H907="Realizado",L907&lt;&gt;"",A907&lt;=Config!$B$9),L907/60,0)</f>
        <v>0.5</v>
      </c>
      <c r="S907" s="45">
        <f>IF(G907="","",IFERROR(INDEX(Config!$K$5:$K$16,MATCH(G907,Config!$J$5:$J$16,0)),""))</f>
        <v>30</v>
      </c>
      <c r="T907" s="31">
        <f>IF(OR(G907="",F907=""),"",IFERROR(INDEX(Config!$M$5:$R$16,MATCH(G907,Config!$J$5:$J$16,0),MATCH(F907,Config!$H$5:$H$10,0)),""))</f>
        <v>380</v>
      </c>
      <c r="U907" s="47">
        <f>IF(AND(H907="Realizado",L907&lt;&gt;""),L907/60,0)</f>
        <v>0.5</v>
      </c>
      <c r="V907" s="47">
        <f>IF(AND(H907="Realizado",OR(L907="",M907="")),1,0)</f>
        <v>0</v>
      </c>
    </row>
    <row r="908">
      <c r="A908" s="43" t="n">
        <v>46266</v>
      </c>
      <c r="B908" s="44" t="n">
        <v>0.375</v>
      </c>
      <c r="C908" s="38" t="inlineStr">
        <is>
          <t>Dra. Carolina Mendes</t>
        </is>
      </c>
      <c r="D908" s="38" t="inlineStr">
        <is>
          <t>Sala 1</t>
        </is>
      </c>
      <c r="E908" s="37" t="inlineStr">
        <is>
          <t>Rodrigo Moreira</t>
        </is>
      </c>
      <c r="F908" s="38" t="inlineStr">
        <is>
          <t>Particular</t>
        </is>
      </c>
      <c r="G908" s="38" t="inlineStr">
        <is>
          <t>Retorno</t>
        </is>
      </c>
      <c r="H908" s="38" t="inlineStr">
        <is>
          <t>Realizado</t>
        </is>
      </c>
      <c r="I908" s="38" t="inlineStr">
        <is>
          <t>Sem cobrança</t>
        </is>
      </c>
      <c r="J908" s="38" t="n"/>
      <c r="K908" s="37" t="n"/>
      <c r="L908" s="39" t="n">
        <v>20</v>
      </c>
      <c r="M908" s="40" t="n">
        <v>0</v>
      </c>
      <c r="N908" s="30">
        <f>IF(A908="","",MONTH(A908))</f>
        <v>9</v>
      </c>
      <c r="O908" s="30">
        <f>IF(A908="","",YEAR(A908))</f>
        <v>2026</v>
      </c>
      <c r="P908" s="30" t="str">
        <f>IF(A908="","",CHOOSE(WEEKDAY(A908,2),"Segunda","Terça","Quarta","Quinta","Sexta","Sábado","Domingo"))</f>
        <v>Terça</v>
      </c>
      <c r="Q908" s="30" t="str">
        <f>IF(B908="","",IF(B908&lt;TIME(12,0,0),"Manhã",IF(B908&lt;TIME(18,0,0),"Tarde","Noite")))</f>
        <v>Manhã</v>
      </c>
      <c r="R908" s="46">
        <f>IF(AND(H908="Realizado",L908&lt;&gt;"",A908&lt;=Config!$B$9),L908/60,0)</f>
        <v>0.333333333333333</v>
      </c>
      <c r="S908" s="45">
        <f>IF(G908="","",IFERROR(INDEX(Config!$K$5:$K$16,MATCH(G908,Config!$J$5:$J$16,0)),""))</f>
        <v>20</v>
      </c>
      <c r="T908" s="31">
        <f>IF(OR(G908="",F908=""),"",IFERROR(INDEX(Config!$M$5:$R$16,MATCH(G908,Config!$J$5:$J$16,0),MATCH(F908,Config!$H$5:$H$10,0)),""))</f>
        <v>0</v>
      </c>
      <c r="U908" s="47">
        <f>IF(AND(H908="Realizado",L908&lt;&gt;""),L908/60,0)</f>
        <v>0.333333333333333</v>
      </c>
      <c r="V908" s="47">
        <f>IF(AND(H908="Realizado",OR(L908="",M908="")),1,0)</f>
        <v>0</v>
      </c>
    </row>
    <row r="909">
      <c r="A909" s="43" t="n">
        <v>46266</v>
      </c>
      <c r="B909" s="44" t="n">
        <v>0.4097222222222222</v>
      </c>
      <c r="C909" s="38" t="inlineStr">
        <is>
          <t>Dra. Carolina Mendes</t>
        </is>
      </c>
      <c r="D909" s="38" t="inlineStr">
        <is>
          <t>Sala 1</t>
        </is>
      </c>
      <c r="E909" s="37" t="inlineStr">
        <is>
          <t>Daniel Melo</t>
        </is>
      </c>
      <c r="F909" s="38" t="inlineStr">
        <is>
          <t>Saúde Total</t>
        </is>
      </c>
      <c r="G909" s="38" t="inlineStr">
        <is>
          <t>Consulta</t>
        </is>
      </c>
      <c r="H909" s="38" t="inlineStr">
        <is>
          <t>Realizado</t>
        </is>
      </c>
      <c r="I909" s="38" t="inlineStr">
        <is>
          <t>Convênio</t>
        </is>
      </c>
      <c r="J909" s="38" t="n"/>
      <c r="K909" s="37" t="n"/>
      <c r="L909" s="39" t="n">
        <v>30</v>
      </c>
      <c r="M909" s="40" t="n">
        <v>120</v>
      </c>
      <c r="N909" s="30">
        <f>IF(A909="","",MONTH(A909))</f>
        <v>9</v>
      </c>
      <c r="O909" s="30">
        <f>IF(A909="","",YEAR(A909))</f>
        <v>2026</v>
      </c>
      <c r="P909" s="30" t="str">
        <f>IF(A909="","",CHOOSE(WEEKDAY(A909,2),"Segunda","Terça","Quarta","Quinta","Sexta","Sábado","Domingo"))</f>
        <v>Terça</v>
      </c>
      <c r="Q909" s="30" t="str">
        <f>IF(B909="","",IF(B909&lt;TIME(12,0,0),"Manhã",IF(B909&lt;TIME(18,0,0),"Tarde","Noite")))</f>
        <v>Manhã</v>
      </c>
      <c r="R909" s="46">
        <f>IF(AND(H909="Realizado",L909&lt;&gt;"",A909&lt;=Config!$B$9),L909/60,0)</f>
        <v>0.5</v>
      </c>
      <c r="S909" s="45">
        <f>IF(G909="","",IFERROR(INDEX(Config!$K$5:$K$16,MATCH(G909,Config!$J$5:$J$16,0)),""))</f>
        <v>30</v>
      </c>
      <c r="T909" s="31">
        <f>IF(OR(G909="",F909=""),"",IFERROR(INDEX(Config!$M$5:$R$16,MATCH(G909,Config!$J$5:$J$16,0),MATCH(F909,Config!$H$5:$H$10,0)),""))</f>
        <v>120</v>
      </c>
      <c r="U909" s="47">
        <f>IF(AND(H909="Realizado",L909&lt;&gt;""),L909/60,0)</f>
        <v>0.5</v>
      </c>
      <c r="V909" s="47">
        <f>IF(AND(H909="Realizado",OR(L909="",M909="")),1,0)</f>
        <v>0</v>
      </c>
    </row>
    <row r="910">
      <c r="A910" s="43" t="n">
        <v>46266</v>
      </c>
      <c r="B910" s="44" t="n">
        <v>0.4305555555555556</v>
      </c>
      <c r="C910" s="38" t="inlineStr">
        <is>
          <t>Dra. Carolina Mendes</t>
        </is>
      </c>
      <c r="D910" s="38" t="inlineStr">
        <is>
          <t>Sala 1</t>
        </is>
      </c>
      <c r="E910" s="37" t="inlineStr">
        <is>
          <t>Otávio Nascimento</t>
        </is>
      </c>
      <c r="F910" s="38" t="inlineStr">
        <is>
          <t>Particular</t>
        </is>
      </c>
      <c r="G910" s="38" t="inlineStr">
        <is>
          <t>Consulta</t>
        </is>
      </c>
      <c r="H910" s="38" t="inlineStr">
        <is>
          <t>Realizado</t>
        </is>
      </c>
      <c r="I910" s="38" t="inlineStr">
        <is>
          <t>Cartão de crédito</t>
        </is>
      </c>
      <c r="J910" s="38" t="n">
        <v>2</v>
      </c>
      <c r="K910" s="37" t="n"/>
      <c r="L910" s="39" t="n">
        <v>30</v>
      </c>
      <c r="M910" s="40" t="n">
        <v>380</v>
      </c>
      <c r="N910" s="30">
        <f>IF(A910="","",MONTH(A910))</f>
        <v>9</v>
      </c>
      <c r="O910" s="30">
        <f>IF(A910="","",YEAR(A910))</f>
        <v>2026</v>
      </c>
      <c r="P910" s="30" t="str">
        <f>IF(A910="","",CHOOSE(WEEKDAY(A910,2),"Segunda","Terça","Quarta","Quinta","Sexta","Sábado","Domingo"))</f>
        <v>Terça</v>
      </c>
      <c r="Q910" s="30" t="str">
        <f>IF(B910="","",IF(B910&lt;TIME(12,0,0),"Manhã",IF(B910&lt;TIME(18,0,0),"Tarde","Noite")))</f>
        <v>Manhã</v>
      </c>
      <c r="R910" s="46">
        <f>IF(AND(H910="Realizado",L910&lt;&gt;"",A910&lt;=Config!$B$9),L910/60,0)</f>
        <v>0.5</v>
      </c>
      <c r="S910" s="45">
        <f>IF(G910="","",IFERROR(INDEX(Config!$K$5:$K$16,MATCH(G910,Config!$J$5:$J$16,0)),""))</f>
        <v>30</v>
      </c>
      <c r="T910" s="31">
        <f>IF(OR(G910="",F910=""),"",IFERROR(INDEX(Config!$M$5:$R$16,MATCH(G910,Config!$J$5:$J$16,0),MATCH(F910,Config!$H$5:$H$10,0)),""))</f>
        <v>380</v>
      </c>
      <c r="U910" s="47">
        <f>IF(AND(H910="Realizado",L910&lt;&gt;""),L910/60,0)</f>
        <v>0.5</v>
      </c>
      <c r="V910" s="47">
        <f>IF(AND(H910="Realizado",OR(L910="",M910="")),1,0)</f>
        <v>0</v>
      </c>
    </row>
    <row r="911">
      <c r="A911" s="43" t="n">
        <v>46266</v>
      </c>
      <c r="B911" s="44" t="n">
        <v>0.4513888888888889</v>
      </c>
      <c r="C911" s="38" t="inlineStr">
        <is>
          <t>Dra. Carolina Mendes</t>
        </is>
      </c>
      <c r="D911" s="38" t="inlineStr">
        <is>
          <t>Sala 1</t>
        </is>
      </c>
      <c r="E911" s="37" t="inlineStr">
        <is>
          <t>Mariana Nascimento</t>
        </is>
      </c>
      <c r="F911" s="38" t="inlineStr">
        <is>
          <t>Particular</t>
        </is>
      </c>
      <c r="G911" s="38" t="inlineStr">
        <is>
          <t>Consulta</t>
        </is>
      </c>
      <c r="H911" s="38" t="inlineStr">
        <is>
          <t>Realizado</t>
        </is>
      </c>
      <c r="I911" s="38" t="inlineStr">
        <is>
          <t>Cartão de crédito</t>
        </is>
      </c>
      <c r="J911" s="38" t="n"/>
      <c r="K911" s="37" t="n"/>
      <c r="L911" s="39" t="n">
        <v>30</v>
      </c>
      <c r="M911" s="40" t="n">
        <v>380</v>
      </c>
      <c r="N911" s="30">
        <f>IF(A911="","",MONTH(A911))</f>
        <v>9</v>
      </c>
      <c r="O911" s="30">
        <f>IF(A911="","",YEAR(A911))</f>
        <v>2026</v>
      </c>
      <c r="P911" s="30" t="str">
        <f>IF(A911="","",CHOOSE(WEEKDAY(A911,2),"Segunda","Terça","Quarta","Quinta","Sexta","Sábado","Domingo"))</f>
        <v>Terça</v>
      </c>
      <c r="Q911" s="30" t="str">
        <f>IF(B911="","",IF(B911&lt;TIME(12,0,0),"Manhã",IF(B911&lt;TIME(18,0,0),"Tarde","Noite")))</f>
        <v>Manhã</v>
      </c>
      <c r="R911" s="46">
        <f>IF(AND(H911="Realizado",L911&lt;&gt;"",A911&lt;=Config!$B$9),L911/60,0)</f>
        <v>0.5</v>
      </c>
      <c r="S911" s="45">
        <f>IF(G911="","",IFERROR(INDEX(Config!$K$5:$K$16,MATCH(G911,Config!$J$5:$J$16,0)),""))</f>
        <v>30</v>
      </c>
      <c r="T911" s="31">
        <f>IF(OR(G911="",F911=""),"",IFERROR(INDEX(Config!$M$5:$R$16,MATCH(G911,Config!$J$5:$J$16,0),MATCH(F911,Config!$H$5:$H$10,0)),""))</f>
        <v>380</v>
      </c>
      <c r="U911" s="47">
        <f>IF(AND(H911="Realizado",L911&lt;&gt;""),L911/60,0)</f>
        <v>0.5</v>
      </c>
      <c r="V911" s="47">
        <f>IF(AND(H911="Realizado",OR(L911="",M911="")),1,0)</f>
        <v>0</v>
      </c>
    </row>
    <row r="912">
      <c r="A912" s="43" t="n">
        <v>46266</v>
      </c>
      <c r="B912" s="44" t="n">
        <v>0.4722222222222222</v>
      </c>
      <c r="C912" s="38" t="inlineStr">
        <is>
          <t>Dra. Carolina Mendes</t>
        </is>
      </c>
      <c r="D912" s="38" t="inlineStr">
        <is>
          <t>Sala 1</t>
        </is>
      </c>
      <c r="E912" s="37" t="inlineStr">
        <is>
          <t>Carlos Barros</t>
        </is>
      </c>
      <c r="F912" s="38" t="inlineStr">
        <is>
          <t>MediPlan</t>
        </is>
      </c>
      <c r="G912" s="38" t="inlineStr">
        <is>
          <t>Retorno</t>
        </is>
      </c>
      <c r="H912" s="38" t="inlineStr">
        <is>
          <t>Realizado</t>
        </is>
      </c>
      <c r="I912" s="38" t="inlineStr">
        <is>
          <t>Sem cobrança</t>
        </is>
      </c>
      <c r="J912" s="38" t="n"/>
      <c r="K912" s="37" t="n"/>
      <c r="L912" s="39" t="n">
        <v>20</v>
      </c>
      <c r="M912" s="40" t="n">
        <v>0</v>
      </c>
      <c r="N912" s="30">
        <f>IF(A912="","",MONTH(A912))</f>
        <v>9</v>
      </c>
      <c r="O912" s="30">
        <f>IF(A912="","",YEAR(A912))</f>
        <v>2026</v>
      </c>
      <c r="P912" s="30" t="str">
        <f>IF(A912="","",CHOOSE(WEEKDAY(A912,2),"Segunda","Terça","Quarta","Quinta","Sexta","Sábado","Domingo"))</f>
        <v>Terça</v>
      </c>
      <c r="Q912" s="30" t="str">
        <f>IF(B912="","",IF(B912&lt;TIME(12,0,0),"Manhã",IF(B912&lt;TIME(18,0,0),"Tarde","Noite")))</f>
        <v>Manhã</v>
      </c>
      <c r="R912" s="46">
        <f>IF(AND(H912="Realizado",L912&lt;&gt;"",A912&lt;=Config!$B$9),L912/60,0)</f>
        <v>0.333333333333333</v>
      </c>
      <c r="S912" s="45">
        <f>IF(G912="","",IFERROR(INDEX(Config!$K$5:$K$16,MATCH(G912,Config!$J$5:$J$16,0)),""))</f>
        <v>20</v>
      </c>
      <c r="T912" s="31">
        <f>IF(OR(G912="",F912=""),"",IFERROR(INDEX(Config!$M$5:$R$16,MATCH(G912,Config!$J$5:$J$16,0),MATCH(F912,Config!$H$5:$H$10,0)),""))</f>
        <v>0</v>
      </c>
      <c r="U912" s="47">
        <f>IF(AND(H912="Realizado",L912&lt;&gt;""),L912/60,0)</f>
        <v>0.333333333333333</v>
      </c>
      <c r="V912" s="47">
        <f>IF(AND(H912="Realizado",OR(L912="",M912="")),1,0)</f>
        <v>0</v>
      </c>
    </row>
    <row r="913">
      <c r="A913" s="43" t="n">
        <v>46266</v>
      </c>
      <c r="B913" s="44" t="n">
        <v>0.4861111111111111</v>
      </c>
      <c r="C913" s="38" t="inlineStr">
        <is>
          <t>Dra. Carolina Mendes</t>
        </is>
      </c>
      <c r="D913" s="38" t="inlineStr">
        <is>
          <t>Sala 1</t>
        </is>
      </c>
      <c r="E913" s="37" t="inlineStr">
        <is>
          <t>Gustavo Barbosa</t>
        </is>
      </c>
      <c r="F913" s="38" t="inlineStr">
        <is>
          <t>Saúde Total</t>
        </is>
      </c>
      <c r="G913" s="38" t="inlineStr">
        <is>
          <t>Consulta</t>
        </is>
      </c>
      <c r="H913" s="38" t="inlineStr">
        <is>
          <t>Realizado</t>
        </is>
      </c>
      <c r="I913" s="38" t="inlineStr">
        <is>
          <t>Convênio</t>
        </is>
      </c>
      <c r="J913" s="38" t="n"/>
      <c r="K913" s="37" t="n"/>
      <c r="L913" s="39" t="n">
        <v>30</v>
      </c>
      <c r="M913" s="40" t="n">
        <v>120</v>
      </c>
      <c r="N913" s="30">
        <f>IF(A913="","",MONTH(A913))</f>
        <v>9</v>
      </c>
      <c r="O913" s="30">
        <f>IF(A913="","",YEAR(A913))</f>
        <v>2026</v>
      </c>
      <c r="P913" s="30" t="str">
        <f>IF(A913="","",CHOOSE(WEEKDAY(A913,2),"Segunda","Terça","Quarta","Quinta","Sexta","Sábado","Domingo"))</f>
        <v>Terça</v>
      </c>
      <c r="Q913" s="30" t="str">
        <f>IF(B913="","",IF(B913&lt;TIME(12,0,0),"Manhã",IF(B913&lt;TIME(18,0,0),"Tarde","Noite")))</f>
        <v>Manhã</v>
      </c>
      <c r="R913" s="46">
        <f>IF(AND(H913="Realizado",L913&lt;&gt;"",A913&lt;=Config!$B$9),L913/60,0)</f>
        <v>0.5</v>
      </c>
      <c r="S913" s="45">
        <f>IF(G913="","",IFERROR(INDEX(Config!$K$5:$K$16,MATCH(G913,Config!$J$5:$J$16,0)),""))</f>
        <v>30</v>
      </c>
      <c r="T913" s="31">
        <f>IF(OR(G913="",F913=""),"",IFERROR(INDEX(Config!$M$5:$R$16,MATCH(G913,Config!$J$5:$J$16,0),MATCH(F913,Config!$H$5:$H$10,0)),""))</f>
        <v>120</v>
      </c>
      <c r="U913" s="47">
        <f>IF(AND(H913="Realizado",L913&lt;&gt;""),L913/60,0)</f>
        <v>0.5</v>
      </c>
      <c r="V913" s="47">
        <f>IF(AND(H913="Realizado",OR(L913="",M913="")),1,0)</f>
        <v>0</v>
      </c>
    </row>
    <row r="914">
      <c r="A914" s="43" t="n">
        <v>46266</v>
      </c>
      <c r="B914" s="44" t="n">
        <v>0.5833333333333334</v>
      </c>
      <c r="C914" s="38" t="inlineStr">
        <is>
          <t>Dra. Renata Sousa</t>
        </is>
      </c>
      <c r="D914" s="38" t="inlineStr">
        <is>
          <t>Sala 1</t>
        </is>
      </c>
      <c r="E914" s="37" t="inlineStr">
        <is>
          <t>Paulo Fernandes</t>
        </is>
      </c>
      <c r="F914" s="38" t="inlineStr">
        <is>
          <t>Particular</t>
        </is>
      </c>
      <c r="G914" s="38" t="inlineStr">
        <is>
          <t>Avaliação endócrina</t>
        </is>
      </c>
      <c r="H914" s="38" t="inlineStr">
        <is>
          <t>Realizado</t>
        </is>
      </c>
      <c r="I914" s="38" t="inlineStr">
        <is>
          <t>Cartão de débito</t>
        </is>
      </c>
      <c r="J914" s="38" t="n"/>
      <c r="K914" s="37" t="n"/>
      <c r="L914" s="39" t="n">
        <v>40</v>
      </c>
      <c r="M914" s="40" t="n">
        <v>400</v>
      </c>
      <c r="N914" s="30">
        <f>IF(A914="","",MONTH(A914))</f>
        <v>9</v>
      </c>
      <c r="O914" s="30">
        <f>IF(A914="","",YEAR(A914))</f>
        <v>2026</v>
      </c>
      <c r="P914" s="30" t="str">
        <f>IF(A914="","",CHOOSE(WEEKDAY(A914,2),"Segunda","Terça","Quarta","Quinta","Sexta","Sábado","Domingo"))</f>
        <v>Terça</v>
      </c>
      <c r="Q914" s="30" t="str">
        <f>IF(B914="","",IF(B914&lt;TIME(12,0,0),"Manhã",IF(B914&lt;TIME(18,0,0),"Tarde","Noite")))</f>
        <v>Tarde</v>
      </c>
      <c r="R914" s="46">
        <f>IF(AND(H914="Realizado",L914&lt;&gt;"",A914&lt;=Config!$B$9),L914/60,0)</f>
        <v>0.666666666666667</v>
      </c>
      <c r="S914" s="45">
        <f>IF(G914="","",IFERROR(INDEX(Config!$K$5:$K$16,MATCH(G914,Config!$J$5:$J$16,0)),""))</f>
        <v>40</v>
      </c>
      <c r="T914" s="31">
        <f>IF(OR(G914="",F914=""),"",IFERROR(INDEX(Config!$M$5:$R$16,MATCH(G914,Config!$J$5:$J$16,0),MATCH(F914,Config!$H$5:$H$10,0)),""))</f>
        <v>400</v>
      </c>
      <c r="U914" s="47">
        <f>IF(AND(H914="Realizado",L914&lt;&gt;""),L914/60,0)</f>
        <v>0.666666666666667</v>
      </c>
      <c r="V914" s="47">
        <f>IF(AND(H914="Realizado",OR(L914="",M914="")),1,0)</f>
        <v>0</v>
      </c>
    </row>
    <row r="915">
      <c r="A915" s="43" t="n">
        <v>46266</v>
      </c>
      <c r="B915" s="44" t="n">
        <v>0.5833333333333334</v>
      </c>
      <c r="C915" s="38" t="inlineStr">
        <is>
          <t>Dr. Paulo Andrade</t>
        </is>
      </c>
      <c r="D915" s="38" t="inlineStr">
        <is>
          <t>Sala 2</t>
        </is>
      </c>
      <c r="E915" s="37" t="inlineStr">
        <is>
          <t>Mateus Dias</t>
        </is>
      </c>
      <c r="F915" s="38" t="inlineStr">
        <is>
          <t>Saúde Total</t>
        </is>
      </c>
      <c r="G915" s="38" t="inlineStr">
        <is>
          <t>Consulta</t>
        </is>
      </c>
      <c r="H915" s="38" t="inlineStr">
        <is>
          <t>Realizado</t>
        </is>
      </c>
      <c r="I915" s="38" t="inlineStr">
        <is>
          <t>Convênio</t>
        </is>
      </c>
      <c r="J915" s="38" t="n"/>
      <c r="K915" s="37" t="n"/>
      <c r="L915" s="39" t="n">
        <v>30</v>
      </c>
      <c r="M915" s="40" t="n">
        <v>120</v>
      </c>
      <c r="N915" s="30">
        <f>IF(A915="","",MONTH(A915))</f>
        <v>9</v>
      </c>
      <c r="O915" s="30">
        <f>IF(A915="","",YEAR(A915))</f>
        <v>2026</v>
      </c>
      <c r="P915" s="30" t="str">
        <f>IF(A915="","",CHOOSE(WEEKDAY(A915,2),"Segunda","Terça","Quarta","Quinta","Sexta","Sábado","Domingo"))</f>
        <v>Terça</v>
      </c>
      <c r="Q915" s="30" t="str">
        <f>IF(B915="","",IF(B915&lt;TIME(12,0,0),"Manhã",IF(B915&lt;TIME(18,0,0),"Tarde","Noite")))</f>
        <v>Tarde</v>
      </c>
      <c r="R915" s="46">
        <f>IF(AND(H915="Realizado",L915&lt;&gt;"",A915&lt;=Config!$B$9),L915/60,0)</f>
        <v>0.5</v>
      </c>
      <c r="S915" s="45">
        <f>IF(G915="","",IFERROR(INDEX(Config!$K$5:$K$16,MATCH(G915,Config!$J$5:$J$16,0)),""))</f>
        <v>30</v>
      </c>
      <c r="T915" s="31">
        <f>IF(OR(G915="",F915=""),"",IFERROR(INDEX(Config!$M$5:$R$16,MATCH(G915,Config!$J$5:$J$16,0),MATCH(F915,Config!$H$5:$H$10,0)),""))</f>
        <v>120</v>
      </c>
      <c r="U915" s="47">
        <f>IF(AND(H915="Realizado",L915&lt;&gt;""),L915/60,0)</f>
        <v>0.5</v>
      </c>
      <c r="V915" s="47">
        <f>IF(AND(H915="Realizado",OR(L915="",M915="")),1,0)</f>
        <v>0</v>
      </c>
    </row>
    <row r="916">
      <c r="A916" s="43" t="n">
        <v>46266</v>
      </c>
      <c r="B916" s="44" t="n">
        <v>0.6111111111111112</v>
      </c>
      <c r="C916" s="38" t="inlineStr">
        <is>
          <t>Dra. Renata Sousa</t>
        </is>
      </c>
      <c r="D916" s="38" t="inlineStr">
        <is>
          <t>Sala 1</t>
        </is>
      </c>
      <c r="E916" s="37" t="inlineStr">
        <is>
          <t>Gabriel Reis</t>
        </is>
      </c>
      <c r="F916" s="38" t="inlineStr">
        <is>
          <t>Particular</t>
        </is>
      </c>
      <c r="G916" s="38" t="inlineStr">
        <is>
          <t>Avaliação endócrina</t>
        </is>
      </c>
      <c r="H916" s="38" t="inlineStr">
        <is>
          <t>Realizado</t>
        </is>
      </c>
      <c r="I916" s="38" t="inlineStr">
        <is>
          <t>Pix</t>
        </is>
      </c>
      <c r="J916" s="38" t="n"/>
      <c r="K916" s="37" t="n"/>
      <c r="L916" s="39" t="n">
        <v>40</v>
      </c>
      <c r="M916" s="40" t="n">
        <v>400</v>
      </c>
      <c r="N916" s="30">
        <f>IF(A916="","",MONTH(A916))</f>
        <v>9</v>
      </c>
      <c r="O916" s="30">
        <f>IF(A916="","",YEAR(A916))</f>
        <v>2026</v>
      </c>
      <c r="P916" s="30" t="str">
        <f>IF(A916="","",CHOOSE(WEEKDAY(A916,2),"Segunda","Terça","Quarta","Quinta","Sexta","Sábado","Domingo"))</f>
        <v>Terça</v>
      </c>
      <c r="Q916" s="30" t="str">
        <f>IF(B916="","",IF(B916&lt;TIME(12,0,0),"Manhã",IF(B916&lt;TIME(18,0,0),"Tarde","Noite")))</f>
        <v>Tarde</v>
      </c>
      <c r="R916" s="46">
        <f>IF(AND(H916="Realizado",L916&lt;&gt;"",A916&lt;=Config!$B$9),L916/60,0)</f>
        <v>0.666666666666667</v>
      </c>
      <c r="S916" s="45">
        <f>IF(G916="","",IFERROR(INDEX(Config!$K$5:$K$16,MATCH(G916,Config!$J$5:$J$16,0)),""))</f>
        <v>40</v>
      </c>
      <c r="T916" s="31">
        <f>IF(OR(G916="",F916=""),"",IFERROR(INDEX(Config!$M$5:$R$16,MATCH(G916,Config!$J$5:$J$16,0),MATCH(F916,Config!$H$5:$H$10,0)),""))</f>
        <v>400</v>
      </c>
      <c r="U916" s="47">
        <f>IF(AND(H916="Realizado",L916&lt;&gt;""),L916/60,0)</f>
        <v>0.666666666666667</v>
      </c>
      <c r="V916" s="47">
        <f>IF(AND(H916="Realizado",OR(L916="",M916="")),1,0)</f>
        <v>0</v>
      </c>
    </row>
    <row r="917">
      <c r="A917" s="43" t="n">
        <v>46266</v>
      </c>
      <c r="B917" s="44" t="n">
        <v>0.625</v>
      </c>
      <c r="C917" s="38" t="inlineStr">
        <is>
          <t>Dr. Paulo Andrade</t>
        </is>
      </c>
      <c r="D917" s="38" t="inlineStr">
        <is>
          <t>Sala 2</t>
        </is>
      </c>
      <c r="E917" s="37" t="inlineStr">
        <is>
          <t>Sandra Barros</t>
        </is>
      </c>
      <c r="F917" s="38" t="inlineStr">
        <is>
          <t>Saúde Total</t>
        </is>
      </c>
      <c r="G917" s="38" t="inlineStr">
        <is>
          <t>Teste ergométrico</t>
        </is>
      </c>
      <c r="H917" s="38" t="inlineStr">
        <is>
          <t>Realizado</t>
        </is>
      </c>
      <c r="I917" s="38" t="inlineStr">
        <is>
          <t>Convênio</t>
        </is>
      </c>
      <c r="J917" s="38" t="n"/>
      <c r="K917" s="37" t="n"/>
      <c r="L917" s="39" t="n">
        <v>40</v>
      </c>
      <c r="M917" s="40" t="n">
        <v>140</v>
      </c>
      <c r="N917" s="30">
        <f>IF(A917="","",MONTH(A917))</f>
        <v>9</v>
      </c>
      <c r="O917" s="30">
        <f>IF(A917="","",YEAR(A917))</f>
        <v>2026</v>
      </c>
      <c r="P917" s="30" t="str">
        <f>IF(A917="","",CHOOSE(WEEKDAY(A917,2),"Segunda","Terça","Quarta","Quinta","Sexta","Sábado","Domingo"))</f>
        <v>Terça</v>
      </c>
      <c r="Q917" s="30" t="str">
        <f>IF(B917="","",IF(B917&lt;TIME(12,0,0),"Manhã",IF(B917&lt;TIME(18,0,0),"Tarde","Noite")))</f>
        <v>Tarde</v>
      </c>
      <c r="R917" s="46">
        <f>IF(AND(H917="Realizado",L917&lt;&gt;"",A917&lt;=Config!$B$9),L917/60,0)</f>
        <v>0.666666666666667</v>
      </c>
      <c r="S917" s="45">
        <f>IF(G917="","",IFERROR(INDEX(Config!$K$5:$K$16,MATCH(G917,Config!$J$5:$J$16,0)),""))</f>
        <v>40</v>
      </c>
      <c r="T917" s="31">
        <f>IF(OR(G917="",F917=""),"",IFERROR(INDEX(Config!$M$5:$R$16,MATCH(G917,Config!$J$5:$J$16,0),MATCH(F917,Config!$H$5:$H$10,0)),""))</f>
        <v>140</v>
      </c>
      <c r="U917" s="47">
        <f>IF(AND(H917="Realizado",L917&lt;&gt;""),L917/60,0)</f>
        <v>0.666666666666667</v>
      </c>
      <c r="V917" s="47">
        <f>IF(AND(H917="Realizado",OR(L917="",M917="")),1,0)</f>
        <v>0</v>
      </c>
    </row>
    <row r="918">
      <c r="A918" s="43" t="n">
        <v>46266</v>
      </c>
      <c r="B918" s="44" t="n">
        <v>0.6388888888888888</v>
      </c>
      <c r="C918" s="38" t="inlineStr">
        <is>
          <t>Dra. Renata Sousa</t>
        </is>
      </c>
      <c r="D918" s="38" t="inlineStr">
        <is>
          <t>Sala 1</t>
        </is>
      </c>
      <c r="E918" s="37" t="inlineStr">
        <is>
          <t>Rodrigo Cardoso</t>
        </is>
      </c>
      <c r="F918" s="38" t="inlineStr">
        <is>
          <t>Saúde Total</t>
        </is>
      </c>
      <c r="G918" s="38" t="inlineStr">
        <is>
          <t>Avaliação endócrina</t>
        </is>
      </c>
      <c r="H918" s="38" t="inlineStr">
        <is>
          <t>Realizado</t>
        </is>
      </c>
      <c r="I918" s="38" t="inlineStr">
        <is>
          <t>Convênio</t>
        </is>
      </c>
      <c r="J918" s="38" t="n"/>
      <c r="K918" s="37" t="n"/>
      <c r="L918" s="39" t="n">
        <v>40</v>
      </c>
      <c r="M918" s="40" t="n">
        <v>130</v>
      </c>
      <c r="N918" s="30">
        <f>IF(A918="","",MONTH(A918))</f>
        <v>9</v>
      </c>
      <c r="O918" s="30">
        <f>IF(A918="","",YEAR(A918))</f>
        <v>2026</v>
      </c>
      <c r="P918" s="30" t="str">
        <f>IF(A918="","",CHOOSE(WEEKDAY(A918,2),"Segunda","Terça","Quarta","Quinta","Sexta","Sábado","Domingo"))</f>
        <v>Terça</v>
      </c>
      <c r="Q918" s="30" t="str">
        <f>IF(B918="","",IF(B918&lt;TIME(12,0,0),"Manhã",IF(B918&lt;TIME(18,0,0),"Tarde","Noite")))</f>
        <v>Tarde</v>
      </c>
      <c r="R918" s="46">
        <f>IF(AND(H918="Realizado",L918&lt;&gt;"",A918&lt;=Config!$B$9),L918/60,0)</f>
        <v>0.666666666666667</v>
      </c>
      <c r="S918" s="45">
        <f>IF(G918="","",IFERROR(INDEX(Config!$K$5:$K$16,MATCH(G918,Config!$J$5:$J$16,0)),""))</f>
        <v>40</v>
      </c>
      <c r="T918" s="31">
        <f>IF(OR(G918="",F918=""),"",IFERROR(INDEX(Config!$M$5:$R$16,MATCH(G918,Config!$J$5:$J$16,0),MATCH(F918,Config!$H$5:$H$10,0)),""))</f>
        <v>130</v>
      </c>
      <c r="U918" s="47">
        <f>IF(AND(H918="Realizado",L918&lt;&gt;""),L918/60,0)</f>
        <v>0.666666666666667</v>
      </c>
      <c r="V918" s="47">
        <f>IF(AND(H918="Realizado",OR(L918="",M918="")),1,0)</f>
        <v>0</v>
      </c>
    </row>
    <row r="919">
      <c r="A919" s="43" t="n">
        <v>46266</v>
      </c>
      <c r="B919" s="44" t="n">
        <v>0.6527777777777778</v>
      </c>
      <c r="C919" s="38" t="inlineStr">
        <is>
          <t>Dr. Paulo Andrade</t>
        </is>
      </c>
      <c r="D919" s="38" t="inlineStr">
        <is>
          <t>Sala 2</t>
        </is>
      </c>
      <c r="E919" s="37" t="inlineStr">
        <is>
          <t>Juliana Ribeiro</t>
        </is>
      </c>
      <c r="F919" s="38" t="inlineStr">
        <is>
          <t>Saúde Total</t>
        </is>
      </c>
      <c r="G919" s="38" t="inlineStr">
        <is>
          <t>Teste ergométrico</t>
        </is>
      </c>
      <c r="H919" s="38" t="inlineStr">
        <is>
          <t>Realizado</t>
        </is>
      </c>
      <c r="I919" s="38" t="inlineStr">
        <is>
          <t>Convênio</t>
        </is>
      </c>
      <c r="J919" s="38" t="n"/>
      <c r="K919" s="37" t="n"/>
      <c r="L919" s="39" t="n">
        <v>40</v>
      </c>
      <c r="M919" s="40" t="n">
        <v>140</v>
      </c>
      <c r="N919" s="30">
        <f>IF(A919="","",MONTH(A919))</f>
        <v>9</v>
      </c>
      <c r="O919" s="30">
        <f>IF(A919="","",YEAR(A919))</f>
        <v>2026</v>
      </c>
      <c r="P919" s="30" t="str">
        <f>IF(A919="","",CHOOSE(WEEKDAY(A919,2),"Segunda","Terça","Quarta","Quinta","Sexta","Sábado","Domingo"))</f>
        <v>Terça</v>
      </c>
      <c r="Q919" s="30" t="str">
        <f>IF(B919="","",IF(B919&lt;TIME(12,0,0),"Manhã",IF(B919&lt;TIME(18,0,0),"Tarde","Noite")))</f>
        <v>Tarde</v>
      </c>
      <c r="R919" s="46">
        <f>IF(AND(H919="Realizado",L919&lt;&gt;"",A919&lt;=Config!$B$9),L919/60,0)</f>
        <v>0.666666666666667</v>
      </c>
      <c r="S919" s="45">
        <f>IF(G919="","",IFERROR(INDEX(Config!$K$5:$K$16,MATCH(G919,Config!$J$5:$J$16,0)),""))</f>
        <v>40</v>
      </c>
      <c r="T919" s="31">
        <f>IF(OR(G919="",F919=""),"",IFERROR(INDEX(Config!$M$5:$R$16,MATCH(G919,Config!$J$5:$J$16,0),MATCH(F919,Config!$H$5:$H$10,0)),""))</f>
        <v>140</v>
      </c>
      <c r="U919" s="47">
        <f>IF(AND(H919="Realizado",L919&lt;&gt;""),L919/60,0)</f>
        <v>0.666666666666667</v>
      </c>
      <c r="V919" s="47">
        <f>IF(AND(H919="Realizado",OR(L919="",M919="")),1,0)</f>
        <v>0</v>
      </c>
    </row>
    <row r="920">
      <c r="A920" s="43" t="n">
        <v>46266</v>
      </c>
      <c r="B920" s="44" t="n">
        <v>0.6805555555555556</v>
      </c>
      <c r="C920" s="38" t="inlineStr">
        <is>
          <t>Dr. Paulo Andrade</t>
        </is>
      </c>
      <c r="D920" s="38" t="inlineStr">
        <is>
          <t>Sala 2</t>
        </is>
      </c>
      <c r="E920" s="37" t="inlineStr">
        <is>
          <t>Helena Ribeiro</t>
        </is>
      </c>
      <c r="F920" s="38" t="inlineStr">
        <is>
          <t>MediPlan</t>
        </is>
      </c>
      <c r="G920" s="38" t="inlineStr">
        <is>
          <t>Retorno</t>
        </is>
      </c>
      <c r="H920" s="38" t="inlineStr">
        <is>
          <t>Realizado</t>
        </is>
      </c>
      <c r="I920" s="38" t="inlineStr">
        <is>
          <t>Sem cobrança</t>
        </is>
      </c>
      <c r="J920" s="38" t="n"/>
      <c r="K920" s="37" t="n"/>
      <c r="L920" s="39" t="n">
        <v>20</v>
      </c>
      <c r="M920" s="40" t="n">
        <v>0</v>
      </c>
      <c r="N920" s="30">
        <f>IF(A920="","",MONTH(A920))</f>
        <v>9</v>
      </c>
      <c r="O920" s="30">
        <f>IF(A920="","",YEAR(A920))</f>
        <v>2026</v>
      </c>
      <c r="P920" s="30" t="str">
        <f>IF(A920="","",CHOOSE(WEEKDAY(A920,2),"Segunda","Terça","Quarta","Quinta","Sexta","Sábado","Domingo"))</f>
        <v>Terça</v>
      </c>
      <c r="Q920" s="30" t="str">
        <f>IF(B920="","",IF(B920&lt;TIME(12,0,0),"Manhã",IF(B920&lt;TIME(18,0,0),"Tarde","Noite")))</f>
        <v>Tarde</v>
      </c>
      <c r="R920" s="46">
        <f>IF(AND(H920="Realizado",L920&lt;&gt;"",A920&lt;=Config!$B$9),L920/60,0)</f>
        <v>0.333333333333333</v>
      </c>
      <c r="S920" s="45">
        <f>IF(G920="","",IFERROR(INDEX(Config!$K$5:$K$16,MATCH(G920,Config!$J$5:$J$16,0)),""))</f>
        <v>20</v>
      </c>
      <c r="T920" s="31">
        <f>IF(OR(G920="",F920=""),"",IFERROR(INDEX(Config!$M$5:$R$16,MATCH(G920,Config!$J$5:$J$16,0),MATCH(F920,Config!$H$5:$H$10,0)),""))</f>
        <v>0</v>
      </c>
      <c r="U920" s="47">
        <f>IF(AND(H920="Realizado",L920&lt;&gt;""),L920/60,0)</f>
        <v>0.333333333333333</v>
      </c>
      <c r="V920" s="47">
        <f>IF(AND(H920="Realizado",OR(L920="",M920="")),1,0)</f>
        <v>0</v>
      </c>
    </row>
    <row r="921">
      <c r="A921" s="43" t="n">
        <v>46266</v>
      </c>
      <c r="B921" s="44" t="n">
        <v>0.6875</v>
      </c>
      <c r="C921" s="38" t="inlineStr">
        <is>
          <t>Dra. Renata Sousa</t>
        </is>
      </c>
      <c r="D921" s="38" t="inlineStr">
        <is>
          <t>Sala 1</t>
        </is>
      </c>
      <c r="E921" s="37" t="inlineStr">
        <is>
          <t>Fábio Gomes</t>
        </is>
      </c>
      <c r="F921" s="38" t="inlineStr">
        <is>
          <t>Particular</t>
        </is>
      </c>
      <c r="G921" s="38" t="inlineStr">
        <is>
          <t>Retorno</t>
        </is>
      </c>
      <c r="H921" s="38" t="inlineStr">
        <is>
          <t>Realizado</t>
        </is>
      </c>
      <c r="I921" s="38" t="inlineStr">
        <is>
          <t>Sem cobrança</t>
        </is>
      </c>
      <c r="J921" s="38" t="n"/>
      <c r="K921" s="37" t="n"/>
      <c r="L921" s="39" t="n">
        <v>20</v>
      </c>
      <c r="M921" s="40" t="n">
        <v>0</v>
      </c>
      <c r="N921" s="30">
        <f>IF(A921="","",MONTH(A921))</f>
        <v>9</v>
      </c>
      <c r="O921" s="30">
        <f>IF(A921="","",YEAR(A921))</f>
        <v>2026</v>
      </c>
      <c r="P921" s="30" t="str">
        <f>IF(A921="","",CHOOSE(WEEKDAY(A921,2),"Segunda","Terça","Quarta","Quinta","Sexta","Sábado","Domingo"))</f>
        <v>Terça</v>
      </c>
      <c r="Q921" s="30" t="str">
        <f>IF(B921="","",IF(B921&lt;TIME(12,0,0),"Manhã",IF(B921&lt;TIME(18,0,0),"Tarde","Noite")))</f>
        <v>Tarde</v>
      </c>
      <c r="R921" s="46">
        <f>IF(AND(H921="Realizado",L921&lt;&gt;"",A921&lt;=Config!$B$9),L921/60,0)</f>
        <v>0.333333333333333</v>
      </c>
      <c r="S921" s="45">
        <f>IF(G921="","",IFERROR(INDEX(Config!$K$5:$K$16,MATCH(G921,Config!$J$5:$J$16,0)),""))</f>
        <v>20</v>
      </c>
      <c r="T921" s="31">
        <f>IF(OR(G921="",F921=""),"",IFERROR(INDEX(Config!$M$5:$R$16,MATCH(G921,Config!$J$5:$J$16,0),MATCH(F921,Config!$H$5:$H$10,0)),""))</f>
        <v>0</v>
      </c>
      <c r="U921" s="47">
        <f>IF(AND(H921="Realizado",L921&lt;&gt;""),L921/60,0)</f>
        <v>0.333333333333333</v>
      </c>
      <c r="V921" s="47">
        <f>IF(AND(H921="Realizado",OR(L921="",M921="")),1,0)</f>
        <v>0</v>
      </c>
    </row>
    <row r="922">
      <c r="A922" s="43" t="n">
        <v>46266</v>
      </c>
      <c r="B922" s="44" t="n">
        <v>0.6944444444444444</v>
      </c>
      <c r="C922" s="38" t="inlineStr">
        <is>
          <t>Dr. Paulo Andrade</t>
        </is>
      </c>
      <c r="D922" s="38" t="inlineStr">
        <is>
          <t>Sala 2</t>
        </is>
      </c>
      <c r="E922" s="37" t="inlineStr">
        <is>
          <t>Sérgio Teixeira</t>
        </is>
      </c>
      <c r="F922" s="38" t="inlineStr">
        <is>
          <t>MediPlan</t>
        </is>
      </c>
      <c r="G922" s="38" t="inlineStr">
        <is>
          <t>Consulta</t>
        </is>
      </c>
      <c r="H922" s="38" t="inlineStr">
        <is>
          <t>Realizado</t>
        </is>
      </c>
      <c r="I922" s="38" t="inlineStr">
        <is>
          <t>Convênio</t>
        </is>
      </c>
      <c r="J922" s="38" t="n"/>
      <c r="K922" s="37" t="n"/>
      <c r="L922" s="39" t="n">
        <v>30</v>
      </c>
      <c r="M922" s="40" t="n">
        <v>100</v>
      </c>
      <c r="N922" s="30">
        <f>IF(A922="","",MONTH(A922))</f>
        <v>9</v>
      </c>
      <c r="O922" s="30">
        <f>IF(A922="","",YEAR(A922))</f>
        <v>2026</v>
      </c>
      <c r="P922" s="30" t="str">
        <f>IF(A922="","",CHOOSE(WEEKDAY(A922,2),"Segunda","Terça","Quarta","Quinta","Sexta","Sábado","Domingo"))</f>
        <v>Terça</v>
      </c>
      <c r="Q922" s="30" t="str">
        <f>IF(B922="","",IF(B922&lt;TIME(12,0,0),"Manhã",IF(B922&lt;TIME(18,0,0),"Tarde","Noite")))</f>
        <v>Tarde</v>
      </c>
      <c r="R922" s="46">
        <f>IF(AND(H922="Realizado",L922&lt;&gt;"",A922&lt;=Config!$B$9),L922/60,0)</f>
        <v>0.5</v>
      </c>
      <c r="S922" s="45">
        <f>IF(G922="","",IFERROR(INDEX(Config!$K$5:$K$16,MATCH(G922,Config!$J$5:$J$16,0)),""))</f>
        <v>30</v>
      </c>
      <c r="T922" s="31">
        <f>IF(OR(G922="",F922=""),"",IFERROR(INDEX(Config!$M$5:$R$16,MATCH(G922,Config!$J$5:$J$16,0),MATCH(F922,Config!$H$5:$H$10,0)),""))</f>
        <v>100</v>
      </c>
      <c r="U922" s="47">
        <f>IF(AND(H922="Realizado",L922&lt;&gt;""),L922/60,0)</f>
        <v>0.5</v>
      </c>
      <c r="V922" s="47">
        <f>IF(AND(H922="Realizado",OR(L922="",M922="")),1,0)</f>
        <v>0</v>
      </c>
    </row>
    <row r="923">
      <c r="A923" s="43" t="n">
        <v>46266</v>
      </c>
      <c r="B923" s="44" t="n">
        <v>0.7013888888888888</v>
      </c>
      <c r="C923" s="38" t="inlineStr">
        <is>
          <t>Dra. Renata Sousa</t>
        </is>
      </c>
      <c r="D923" s="38" t="inlineStr">
        <is>
          <t>Sala 1</t>
        </is>
      </c>
      <c r="E923" s="37" t="inlineStr">
        <is>
          <t>Isabela Xavier</t>
        </is>
      </c>
      <c r="F923" s="38" t="inlineStr">
        <is>
          <t>Particular</t>
        </is>
      </c>
      <c r="G923" s="38" t="inlineStr">
        <is>
          <t>Avaliação endócrina</t>
        </is>
      </c>
      <c r="H923" s="38" t="inlineStr">
        <is>
          <t>Realizado</t>
        </is>
      </c>
      <c r="I923" s="38" t="inlineStr">
        <is>
          <t>Cartão de crédito</t>
        </is>
      </c>
      <c r="J923" s="38" t="n"/>
      <c r="K923" s="37" t="n"/>
      <c r="L923" s="39" t="n">
        <v>40</v>
      </c>
      <c r="M923" s="40" t="n">
        <v>400</v>
      </c>
      <c r="N923" s="30">
        <f>IF(A923="","",MONTH(A923))</f>
        <v>9</v>
      </c>
      <c r="O923" s="30">
        <f>IF(A923="","",YEAR(A923))</f>
        <v>2026</v>
      </c>
      <c r="P923" s="30" t="str">
        <f>IF(A923="","",CHOOSE(WEEKDAY(A923,2),"Segunda","Terça","Quarta","Quinta","Sexta","Sábado","Domingo"))</f>
        <v>Terça</v>
      </c>
      <c r="Q923" s="30" t="str">
        <f>IF(B923="","",IF(B923&lt;TIME(12,0,0),"Manhã",IF(B923&lt;TIME(18,0,0),"Tarde","Noite")))</f>
        <v>Tarde</v>
      </c>
      <c r="R923" s="46">
        <f>IF(AND(H923="Realizado",L923&lt;&gt;"",A923&lt;=Config!$B$9),L923/60,0)</f>
        <v>0.666666666666667</v>
      </c>
      <c r="S923" s="45">
        <f>IF(G923="","",IFERROR(INDEX(Config!$K$5:$K$16,MATCH(G923,Config!$J$5:$J$16,0)),""))</f>
        <v>40</v>
      </c>
      <c r="T923" s="31">
        <f>IF(OR(G923="",F923=""),"",IFERROR(INDEX(Config!$M$5:$R$16,MATCH(G923,Config!$J$5:$J$16,0),MATCH(F923,Config!$H$5:$H$10,0)),""))</f>
        <v>400</v>
      </c>
      <c r="U923" s="47">
        <f>IF(AND(H923="Realizado",L923&lt;&gt;""),L923/60,0)</f>
        <v>0.666666666666667</v>
      </c>
      <c r="V923" s="47">
        <f>IF(AND(H923="Realizado",OR(L923="",M923="")),1,0)</f>
        <v>0</v>
      </c>
    </row>
    <row r="924">
      <c r="A924" s="43" t="n">
        <v>46266</v>
      </c>
      <c r="B924" s="44" t="n">
        <v>0.7152777777777778</v>
      </c>
      <c r="C924" s="38" t="inlineStr">
        <is>
          <t>Dr. Paulo Andrade</t>
        </is>
      </c>
      <c r="D924" s="38" t="inlineStr">
        <is>
          <t>Sala 2</t>
        </is>
      </c>
      <c r="E924" s="37" t="inlineStr">
        <is>
          <t>Viviane Duarte</t>
        </is>
      </c>
      <c r="F924" s="38" t="inlineStr">
        <is>
          <t>MediPlan</t>
        </is>
      </c>
      <c r="G924" s="38" t="inlineStr">
        <is>
          <t>Consulta</t>
        </is>
      </c>
      <c r="H924" s="38" t="inlineStr">
        <is>
          <t>Realizado</t>
        </is>
      </c>
      <c r="I924" s="38" t="inlineStr">
        <is>
          <t>Convênio</t>
        </is>
      </c>
      <c r="J924" s="38" t="n"/>
      <c r="K924" s="37" t="n"/>
      <c r="L924" s="39" t="n">
        <v>30</v>
      </c>
      <c r="M924" s="40" t="n">
        <v>100</v>
      </c>
      <c r="N924" s="30">
        <f>IF(A924="","",MONTH(A924))</f>
        <v>9</v>
      </c>
      <c r="O924" s="30">
        <f>IF(A924="","",YEAR(A924))</f>
        <v>2026</v>
      </c>
      <c r="P924" s="30" t="str">
        <f>IF(A924="","",CHOOSE(WEEKDAY(A924,2),"Segunda","Terça","Quarta","Quinta","Sexta","Sábado","Domingo"))</f>
        <v>Terça</v>
      </c>
      <c r="Q924" s="30" t="str">
        <f>IF(B924="","",IF(B924&lt;TIME(12,0,0),"Manhã",IF(B924&lt;TIME(18,0,0),"Tarde","Noite")))</f>
        <v>Tarde</v>
      </c>
      <c r="R924" s="46">
        <f>IF(AND(H924="Realizado",L924&lt;&gt;"",A924&lt;=Config!$B$9),L924/60,0)</f>
        <v>0.5</v>
      </c>
      <c r="S924" s="45">
        <f>IF(G924="","",IFERROR(INDEX(Config!$K$5:$K$16,MATCH(G924,Config!$J$5:$J$16,0)),""))</f>
        <v>30</v>
      </c>
      <c r="T924" s="31">
        <f>IF(OR(G924="",F924=""),"",IFERROR(INDEX(Config!$M$5:$R$16,MATCH(G924,Config!$J$5:$J$16,0),MATCH(F924,Config!$H$5:$H$10,0)),""))</f>
        <v>100</v>
      </c>
      <c r="U924" s="47">
        <f>IF(AND(H924="Realizado",L924&lt;&gt;""),L924/60,0)</f>
        <v>0.5</v>
      </c>
      <c r="V924" s="47">
        <f>IF(AND(H924="Realizado",OR(L924="",M924="")),1,0)</f>
        <v>0</v>
      </c>
    </row>
    <row r="925">
      <c r="A925" s="43" t="n">
        <v>46266</v>
      </c>
      <c r="B925" s="44" t="n">
        <v>0.7291666666666666</v>
      </c>
      <c r="C925" s="38" t="inlineStr">
        <is>
          <t>Dra. Renata Sousa</t>
        </is>
      </c>
      <c r="D925" s="38" t="inlineStr">
        <is>
          <t>Sala 1</t>
        </is>
      </c>
      <c r="E925" s="37" t="inlineStr">
        <is>
          <t>Mariana Reis</t>
        </is>
      </c>
      <c r="F925" s="38" t="inlineStr">
        <is>
          <t>Particular</t>
        </is>
      </c>
      <c r="G925" s="38" t="inlineStr">
        <is>
          <t>Retorno</t>
        </is>
      </c>
      <c r="H925" s="38" t="inlineStr">
        <is>
          <t>Realizado</t>
        </is>
      </c>
      <c r="I925" s="38" t="inlineStr">
        <is>
          <t>Sem cobrança</t>
        </is>
      </c>
      <c r="J925" s="38" t="n"/>
      <c r="K925" s="37" t="n"/>
      <c r="L925" s="39" t="n">
        <v>20</v>
      </c>
      <c r="M925" s="40" t="n">
        <v>0</v>
      </c>
      <c r="N925" s="30">
        <f>IF(A925="","",MONTH(A925))</f>
        <v>9</v>
      </c>
      <c r="O925" s="30">
        <f>IF(A925="","",YEAR(A925))</f>
        <v>2026</v>
      </c>
      <c r="P925" s="30" t="str">
        <f>IF(A925="","",CHOOSE(WEEKDAY(A925,2),"Segunda","Terça","Quarta","Quinta","Sexta","Sábado","Domingo"))</f>
        <v>Terça</v>
      </c>
      <c r="Q925" s="30" t="str">
        <f>IF(B925="","",IF(B925&lt;TIME(12,0,0),"Manhã",IF(B925&lt;TIME(18,0,0),"Tarde","Noite")))</f>
        <v>Tarde</v>
      </c>
      <c r="R925" s="46">
        <f>IF(AND(H925="Realizado",L925&lt;&gt;"",A925&lt;=Config!$B$9),L925/60,0)</f>
        <v>0.333333333333333</v>
      </c>
      <c r="S925" s="45">
        <f>IF(G925="","",IFERROR(INDEX(Config!$K$5:$K$16,MATCH(G925,Config!$J$5:$J$16,0)),""))</f>
        <v>20</v>
      </c>
      <c r="T925" s="31">
        <f>IF(OR(G925="",F925=""),"",IFERROR(INDEX(Config!$M$5:$R$16,MATCH(G925,Config!$J$5:$J$16,0),MATCH(F925,Config!$H$5:$H$10,0)),""))</f>
        <v>0</v>
      </c>
      <c r="U925" s="47">
        <f>IF(AND(H925="Realizado",L925&lt;&gt;""),L925/60,0)</f>
        <v>0.333333333333333</v>
      </c>
      <c r="V925" s="47">
        <f>IF(AND(H925="Realizado",OR(L925="",M925="")),1,0)</f>
        <v>0</v>
      </c>
    </row>
    <row r="926">
      <c r="A926" s="43" t="n">
        <v>46266</v>
      </c>
      <c r="B926" s="44" t="n">
        <v>0.7361111111111112</v>
      </c>
      <c r="C926" s="38" t="inlineStr">
        <is>
          <t>Dr. Paulo Andrade</t>
        </is>
      </c>
      <c r="D926" s="38" t="inlineStr">
        <is>
          <t>Sala 2</t>
        </is>
      </c>
      <c r="E926" s="37" t="inlineStr">
        <is>
          <t>Natália Xavier</t>
        </is>
      </c>
      <c r="F926" s="38" t="inlineStr">
        <is>
          <t>MediPlan</t>
        </is>
      </c>
      <c r="G926" s="38" t="inlineStr">
        <is>
          <t>Retorno</t>
        </is>
      </c>
      <c r="H926" s="38" t="inlineStr">
        <is>
          <t>Realizado</t>
        </is>
      </c>
      <c r="I926" s="38" t="inlineStr">
        <is>
          <t>Sem cobrança</t>
        </is>
      </c>
      <c r="J926" s="38" t="n"/>
      <c r="K926" s="37" t="n"/>
      <c r="L926" s="39" t="n">
        <v>20</v>
      </c>
      <c r="M926" s="40" t="n">
        <v>0</v>
      </c>
      <c r="N926" s="30">
        <f>IF(A926="","",MONTH(A926))</f>
        <v>9</v>
      </c>
      <c r="O926" s="30">
        <f>IF(A926="","",YEAR(A926))</f>
        <v>2026</v>
      </c>
      <c r="P926" s="30" t="str">
        <f>IF(A926="","",CHOOSE(WEEKDAY(A926,2),"Segunda","Terça","Quarta","Quinta","Sexta","Sábado","Domingo"))</f>
        <v>Terça</v>
      </c>
      <c r="Q926" s="30" t="str">
        <f>IF(B926="","",IF(B926&lt;TIME(12,0,0),"Manhã",IF(B926&lt;TIME(18,0,0),"Tarde","Noite")))</f>
        <v>Tarde</v>
      </c>
      <c r="R926" s="46">
        <f>IF(AND(H926="Realizado",L926&lt;&gt;"",A926&lt;=Config!$B$9),L926/60,0)</f>
        <v>0.333333333333333</v>
      </c>
      <c r="S926" s="45">
        <f>IF(G926="","",IFERROR(INDEX(Config!$K$5:$K$16,MATCH(G926,Config!$J$5:$J$16,0)),""))</f>
        <v>20</v>
      </c>
      <c r="T926" s="31">
        <f>IF(OR(G926="",F926=""),"",IFERROR(INDEX(Config!$M$5:$R$16,MATCH(G926,Config!$J$5:$J$16,0),MATCH(F926,Config!$H$5:$H$10,0)),""))</f>
        <v>0</v>
      </c>
      <c r="U926" s="47">
        <f>IF(AND(H926="Realizado",L926&lt;&gt;""),L926/60,0)</f>
        <v>0.333333333333333</v>
      </c>
      <c r="V926" s="47">
        <f>IF(AND(H926="Realizado",OR(L926="",M926="")),1,0)</f>
        <v>0</v>
      </c>
    </row>
    <row r="927">
      <c r="A927" s="43" t="n">
        <v>46267</v>
      </c>
      <c r="B927" s="44" t="n">
        <v>0.5833333333333334</v>
      </c>
      <c r="C927" s="38" t="inlineStr">
        <is>
          <t>Dra. Carolina Mendes</t>
        </is>
      </c>
      <c r="D927" s="38" t="inlineStr">
        <is>
          <t>Sala 1</t>
        </is>
      </c>
      <c r="E927" s="37" t="inlineStr">
        <is>
          <t>Isabela Pinto</t>
        </is>
      </c>
      <c r="F927" s="38" t="inlineStr">
        <is>
          <t>Saúde Total</t>
        </is>
      </c>
      <c r="G927" s="38" t="inlineStr">
        <is>
          <t>Retorno</t>
        </is>
      </c>
      <c r="H927" s="38" t="inlineStr">
        <is>
          <t>Realizado</t>
        </is>
      </c>
      <c r="I927" s="38" t="inlineStr">
        <is>
          <t>Sem cobrança</t>
        </is>
      </c>
      <c r="J927" s="38" t="n"/>
      <c r="K927" s="37" t="n"/>
      <c r="L927" s="39" t="n">
        <v>20</v>
      </c>
      <c r="M927" s="40" t="n">
        <v>0</v>
      </c>
      <c r="N927" s="30">
        <f>IF(A927="","",MONTH(A927))</f>
        <v>9</v>
      </c>
      <c r="O927" s="30">
        <f>IF(A927="","",YEAR(A927))</f>
        <v>2026</v>
      </c>
      <c r="P927" s="30" t="str">
        <f>IF(A927="","",CHOOSE(WEEKDAY(A927,2),"Segunda","Terça","Quarta","Quinta","Sexta","Sábado","Domingo"))</f>
        <v>Quarta</v>
      </c>
      <c r="Q927" s="30" t="str">
        <f>IF(B927="","",IF(B927&lt;TIME(12,0,0),"Manhã",IF(B927&lt;TIME(18,0,0),"Tarde","Noite")))</f>
        <v>Tarde</v>
      </c>
      <c r="R927" s="46">
        <f>IF(AND(H927="Realizado",L927&lt;&gt;"",A927&lt;=Config!$B$9),L927/60,0)</f>
        <v>0.333333333333333</v>
      </c>
      <c r="S927" s="45">
        <f>IF(G927="","",IFERROR(INDEX(Config!$K$5:$K$16,MATCH(G927,Config!$J$5:$J$16,0)),""))</f>
        <v>20</v>
      </c>
      <c r="T927" s="31">
        <f>IF(OR(G927="",F927=""),"",IFERROR(INDEX(Config!$M$5:$R$16,MATCH(G927,Config!$J$5:$J$16,0),MATCH(F927,Config!$H$5:$H$10,0)),""))</f>
        <v>0</v>
      </c>
      <c r="U927" s="47">
        <f>IF(AND(H927="Realizado",L927&lt;&gt;""),L927/60,0)</f>
        <v>0.333333333333333</v>
      </c>
      <c r="V927" s="47">
        <f>IF(AND(H927="Realizado",OR(L927="",M927="")),1,0)</f>
        <v>0</v>
      </c>
    </row>
    <row r="928">
      <c r="A928" s="43" t="n">
        <v>46267</v>
      </c>
      <c r="B928" s="44" t="n">
        <v>0.5972222222222222</v>
      </c>
      <c r="C928" s="38" t="inlineStr">
        <is>
          <t>Dra. Carolina Mendes</t>
        </is>
      </c>
      <c r="D928" s="38" t="inlineStr">
        <is>
          <t>Sala 1</t>
        </is>
      </c>
      <c r="E928" s="37" t="inlineStr">
        <is>
          <t>Mônica Batista</t>
        </is>
      </c>
      <c r="F928" s="38" t="inlineStr">
        <is>
          <t>MediPlan</t>
        </is>
      </c>
      <c r="G928" s="38" t="inlineStr">
        <is>
          <t>Retorno</t>
        </is>
      </c>
      <c r="H928" s="38" t="inlineStr">
        <is>
          <t>Realizado</t>
        </is>
      </c>
      <c r="I928" s="38" t="inlineStr">
        <is>
          <t>Sem cobrança</t>
        </is>
      </c>
      <c r="J928" s="38" t="n"/>
      <c r="K928" s="37" t="n"/>
      <c r="L928" s="39" t="n">
        <v>20</v>
      </c>
      <c r="M928" s="40" t="n">
        <v>0</v>
      </c>
      <c r="N928" s="30">
        <f>IF(A928="","",MONTH(A928))</f>
        <v>9</v>
      </c>
      <c r="O928" s="30">
        <f>IF(A928="","",YEAR(A928))</f>
        <v>2026</v>
      </c>
      <c r="P928" s="30" t="str">
        <f>IF(A928="","",CHOOSE(WEEKDAY(A928,2),"Segunda","Terça","Quarta","Quinta","Sexta","Sábado","Domingo"))</f>
        <v>Quarta</v>
      </c>
      <c r="Q928" s="30" t="str">
        <f>IF(B928="","",IF(B928&lt;TIME(12,0,0),"Manhã",IF(B928&lt;TIME(18,0,0),"Tarde","Noite")))</f>
        <v>Tarde</v>
      </c>
      <c r="R928" s="46">
        <f>IF(AND(H928="Realizado",L928&lt;&gt;"",A928&lt;=Config!$B$9),L928/60,0)</f>
        <v>0.333333333333333</v>
      </c>
      <c r="S928" s="45">
        <f>IF(G928="","",IFERROR(INDEX(Config!$K$5:$K$16,MATCH(G928,Config!$J$5:$J$16,0)),""))</f>
        <v>20</v>
      </c>
      <c r="T928" s="31">
        <f>IF(OR(G928="",F928=""),"",IFERROR(INDEX(Config!$M$5:$R$16,MATCH(G928,Config!$J$5:$J$16,0),MATCH(F928,Config!$H$5:$H$10,0)),""))</f>
        <v>0</v>
      </c>
      <c r="U928" s="47">
        <f>IF(AND(H928="Realizado",L928&lt;&gt;""),L928/60,0)</f>
        <v>0.333333333333333</v>
      </c>
      <c r="V928" s="47">
        <f>IF(AND(H928="Realizado",OR(L928="",M928="")),1,0)</f>
        <v>0</v>
      </c>
    </row>
    <row r="929">
      <c r="A929" s="43" t="n">
        <v>46267</v>
      </c>
      <c r="B929" s="44" t="n">
        <v>0.6111111111111112</v>
      </c>
      <c r="C929" s="38" t="inlineStr">
        <is>
          <t>Dra. Carolina Mendes</t>
        </is>
      </c>
      <c r="D929" s="38" t="inlineStr">
        <is>
          <t>Sala 1</t>
        </is>
      </c>
      <c r="E929" s="37" t="inlineStr">
        <is>
          <t>Helena Moreira</t>
        </is>
      </c>
      <c r="F929" s="38" t="inlineStr">
        <is>
          <t>Particular</t>
        </is>
      </c>
      <c r="G929" s="38" t="inlineStr">
        <is>
          <t>Consulta</t>
        </is>
      </c>
      <c r="H929" s="38" t="inlineStr">
        <is>
          <t>Realizado</t>
        </is>
      </c>
      <c r="I929" s="38" t="inlineStr">
        <is>
          <t>Cartão de débito</t>
        </is>
      </c>
      <c r="J929" s="38" t="n"/>
      <c r="K929" s="37" t="n"/>
      <c r="L929" s="39" t="n">
        <v>30</v>
      </c>
      <c r="M929" s="40" t="n">
        <v>380</v>
      </c>
      <c r="N929" s="30">
        <f>IF(A929="","",MONTH(A929))</f>
        <v>9</v>
      </c>
      <c r="O929" s="30">
        <f>IF(A929="","",YEAR(A929))</f>
        <v>2026</v>
      </c>
      <c r="P929" s="30" t="str">
        <f>IF(A929="","",CHOOSE(WEEKDAY(A929,2),"Segunda","Terça","Quarta","Quinta","Sexta","Sábado","Domingo"))</f>
        <v>Quarta</v>
      </c>
      <c r="Q929" s="30" t="str">
        <f>IF(B929="","",IF(B929&lt;TIME(12,0,0),"Manhã",IF(B929&lt;TIME(18,0,0),"Tarde","Noite")))</f>
        <v>Tarde</v>
      </c>
      <c r="R929" s="46">
        <f>IF(AND(H929="Realizado",L929&lt;&gt;"",A929&lt;=Config!$B$9),L929/60,0)</f>
        <v>0.5</v>
      </c>
      <c r="S929" s="45">
        <f>IF(G929="","",IFERROR(INDEX(Config!$K$5:$K$16,MATCH(G929,Config!$J$5:$J$16,0)),""))</f>
        <v>30</v>
      </c>
      <c r="T929" s="31">
        <f>IF(OR(G929="",F929=""),"",IFERROR(INDEX(Config!$M$5:$R$16,MATCH(G929,Config!$J$5:$J$16,0),MATCH(F929,Config!$H$5:$H$10,0)),""))</f>
        <v>380</v>
      </c>
      <c r="U929" s="47">
        <f>IF(AND(H929="Realizado",L929&lt;&gt;""),L929/60,0)</f>
        <v>0.5</v>
      </c>
      <c r="V929" s="47">
        <f>IF(AND(H929="Realizado",OR(L929="",M929="")),1,0)</f>
        <v>0</v>
      </c>
    </row>
    <row r="930">
      <c r="A930" s="43" t="n">
        <v>46267</v>
      </c>
      <c r="B930" s="44" t="n">
        <v>0.6319444444444444</v>
      </c>
      <c r="C930" s="38" t="inlineStr">
        <is>
          <t>Dra. Carolina Mendes</t>
        </is>
      </c>
      <c r="D930" s="38" t="inlineStr">
        <is>
          <t>Sala 1</t>
        </is>
      </c>
      <c r="E930" s="37" t="inlineStr">
        <is>
          <t>Rafael Dias</t>
        </is>
      </c>
      <c r="F930" s="38" t="inlineStr">
        <is>
          <t>Particular</t>
        </is>
      </c>
      <c r="G930" s="38" t="inlineStr">
        <is>
          <t>Consulta</t>
        </is>
      </c>
      <c r="H930" s="38" t="inlineStr">
        <is>
          <t>Realizado</t>
        </is>
      </c>
      <c r="I930" s="38" t="inlineStr">
        <is>
          <t>Pix</t>
        </is>
      </c>
      <c r="J930" s="38" t="n"/>
      <c r="K930" s="37" t="n"/>
      <c r="L930" s="39" t="n">
        <v>30</v>
      </c>
      <c r="M930" s="40" t="n">
        <v>380</v>
      </c>
      <c r="N930" s="30">
        <f>IF(A930="","",MONTH(A930))</f>
        <v>9</v>
      </c>
      <c r="O930" s="30">
        <f>IF(A930="","",YEAR(A930))</f>
        <v>2026</v>
      </c>
      <c r="P930" s="30" t="str">
        <f>IF(A930="","",CHOOSE(WEEKDAY(A930,2),"Segunda","Terça","Quarta","Quinta","Sexta","Sábado","Domingo"))</f>
        <v>Quarta</v>
      </c>
      <c r="Q930" s="30" t="str">
        <f>IF(B930="","",IF(B930&lt;TIME(12,0,0),"Manhã",IF(B930&lt;TIME(18,0,0),"Tarde","Noite")))</f>
        <v>Tarde</v>
      </c>
      <c r="R930" s="46">
        <f>IF(AND(H930="Realizado",L930&lt;&gt;"",A930&lt;=Config!$B$9),L930/60,0)</f>
        <v>0.5</v>
      </c>
      <c r="S930" s="45">
        <f>IF(G930="","",IFERROR(INDEX(Config!$K$5:$K$16,MATCH(G930,Config!$J$5:$J$16,0)),""))</f>
        <v>30</v>
      </c>
      <c r="T930" s="31">
        <f>IF(OR(G930="",F930=""),"",IFERROR(INDEX(Config!$M$5:$R$16,MATCH(G930,Config!$J$5:$J$16,0),MATCH(F930,Config!$H$5:$H$10,0)),""))</f>
        <v>380</v>
      </c>
      <c r="U930" s="47">
        <f>IF(AND(H930="Realizado",L930&lt;&gt;""),L930/60,0)</f>
        <v>0.5</v>
      </c>
      <c r="V930" s="47">
        <f>IF(AND(H930="Realizado",OR(L930="",M930="")),1,0)</f>
        <v>0</v>
      </c>
    </row>
    <row r="931">
      <c r="A931" s="43" t="n">
        <v>46267</v>
      </c>
      <c r="B931" s="44" t="n">
        <v>0.6527777777777778</v>
      </c>
      <c r="C931" s="38" t="inlineStr">
        <is>
          <t>Dra. Carolina Mendes</t>
        </is>
      </c>
      <c r="D931" s="38" t="inlineStr">
        <is>
          <t>Sala 1</t>
        </is>
      </c>
      <c r="E931" s="37" t="inlineStr">
        <is>
          <t>Camila Batista</t>
        </is>
      </c>
      <c r="F931" s="38" t="inlineStr">
        <is>
          <t>MediPlan</t>
        </is>
      </c>
      <c r="G931" s="38" t="inlineStr">
        <is>
          <t>Consulta</t>
        </is>
      </c>
      <c r="H931" s="38" t="inlineStr">
        <is>
          <t>Realizado</t>
        </is>
      </c>
      <c r="I931" s="38" t="inlineStr">
        <is>
          <t>Convênio</t>
        </is>
      </c>
      <c r="J931" s="38" t="n"/>
      <c r="K931" s="37" t="n"/>
      <c r="L931" s="39" t="n">
        <v>30</v>
      </c>
      <c r="M931" s="40" t="n">
        <v>100</v>
      </c>
      <c r="N931" s="30">
        <f>IF(A931="","",MONTH(A931))</f>
        <v>9</v>
      </c>
      <c r="O931" s="30">
        <f>IF(A931="","",YEAR(A931))</f>
        <v>2026</v>
      </c>
      <c r="P931" s="30" t="str">
        <f>IF(A931="","",CHOOSE(WEEKDAY(A931,2),"Segunda","Terça","Quarta","Quinta","Sexta","Sábado","Domingo"))</f>
        <v>Quarta</v>
      </c>
      <c r="Q931" s="30" t="str">
        <f>IF(B931="","",IF(B931&lt;TIME(12,0,0),"Manhã",IF(B931&lt;TIME(18,0,0),"Tarde","Noite")))</f>
        <v>Tarde</v>
      </c>
      <c r="R931" s="46">
        <f>IF(AND(H931="Realizado",L931&lt;&gt;"",A931&lt;=Config!$B$9),L931/60,0)</f>
        <v>0.5</v>
      </c>
      <c r="S931" s="45">
        <f>IF(G931="","",IFERROR(INDEX(Config!$K$5:$K$16,MATCH(G931,Config!$J$5:$J$16,0)),""))</f>
        <v>30</v>
      </c>
      <c r="T931" s="31">
        <f>IF(OR(G931="",F931=""),"",IFERROR(INDEX(Config!$M$5:$R$16,MATCH(G931,Config!$J$5:$J$16,0),MATCH(F931,Config!$H$5:$H$10,0)),""))</f>
        <v>100</v>
      </c>
      <c r="U931" s="47">
        <f>IF(AND(H931="Realizado",L931&lt;&gt;""),L931/60,0)</f>
        <v>0.5</v>
      </c>
      <c r="V931" s="47">
        <f>IF(AND(H931="Realizado",OR(L931="",M931="")),1,0)</f>
        <v>0</v>
      </c>
    </row>
    <row r="932">
      <c r="A932" s="43" t="n">
        <v>46267</v>
      </c>
      <c r="B932" s="44" t="n">
        <v>0.6736111111111112</v>
      </c>
      <c r="C932" s="38" t="inlineStr">
        <is>
          <t>Dra. Carolina Mendes</t>
        </is>
      </c>
      <c r="D932" s="38" t="inlineStr">
        <is>
          <t>Sala 1</t>
        </is>
      </c>
      <c r="E932" s="37" t="inlineStr">
        <is>
          <t>Cláudia Santos</t>
        </is>
      </c>
      <c r="F932" s="38" t="inlineStr">
        <is>
          <t>Particular</t>
        </is>
      </c>
      <c r="G932" s="38" t="inlineStr">
        <is>
          <t>Consulta</t>
        </is>
      </c>
      <c r="H932" s="38" t="inlineStr">
        <is>
          <t>Realizado</t>
        </is>
      </c>
      <c r="I932" s="38" t="inlineStr">
        <is>
          <t>Cartão de crédito</t>
        </is>
      </c>
      <c r="J932" s="38" t="n">
        <v>2</v>
      </c>
      <c r="K932" s="37" t="n"/>
      <c r="L932" s="39" t="n">
        <v>30</v>
      </c>
      <c r="M932" s="40" t="n">
        <v>380</v>
      </c>
      <c r="N932" s="30">
        <f>IF(A932="","",MONTH(A932))</f>
        <v>9</v>
      </c>
      <c r="O932" s="30">
        <f>IF(A932="","",YEAR(A932))</f>
        <v>2026</v>
      </c>
      <c r="P932" s="30" t="str">
        <f>IF(A932="","",CHOOSE(WEEKDAY(A932,2),"Segunda","Terça","Quarta","Quinta","Sexta","Sábado","Domingo"))</f>
        <v>Quarta</v>
      </c>
      <c r="Q932" s="30" t="str">
        <f>IF(B932="","",IF(B932&lt;TIME(12,0,0),"Manhã",IF(B932&lt;TIME(18,0,0),"Tarde","Noite")))</f>
        <v>Tarde</v>
      </c>
      <c r="R932" s="46">
        <f>IF(AND(H932="Realizado",L932&lt;&gt;"",A932&lt;=Config!$B$9),L932/60,0)</f>
        <v>0.5</v>
      </c>
      <c r="S932" s="45">
        <f>IF(G932="","",IFERROR(INDEX(Config!$K$5:$K$16,MATCH(G932,Config!$J$5:$J$16,0)),""))</f>
        <v>30</v>
      </c>
      <c r="T932" s="31">
        <f>IF(OR(G932="",F932=""),"",IFERROR(INDEX(Config!$M$5:$R$16,MATCH(G932,Config!$J$5:$J$16,0),MATCH(F932,Config!$H$5:$H$10,0)),""))</f>
        <v>380</v>
      </c>
      <c r="U932" s="47">
        <f>IF(AND(H932="Realizado",L932&lt;&gt;""),L932/60,0)</f>
        <v>0.5</v>
      </c>
      <c r="V932" s="47">
        <f>IF(AND(H932="Realizado",OR(L932="",M932="")),1,0)</f>
        <v>0</v>
      </c>
    </row>
    <row r="933">
      <c r="A933" s="43" t="n">
        <v>46267</v>
      </c>
      <c r="B933" s="44" t="n">
        <v>0.6944444444444444</v>
      </c>
      <c r="C933" s="38" t="inlineStr">
        <is>
          <t>Dra. Carolina Mendes</t>
        </is>
      </c>
      <c r="D933" s="38" t="inlineStr">
        <is>
          <t>Sala 1</t>
        </is>
      </c>
      <c r="E933" s="37" t="inlineStr">
        <is>
          <t>Sérgio Batista</t>
        </is>
      </c>
      <c r="F933" s="38" t="inlineStr">
        <is>
          <t>MediPlan</t>
        </is>
      </c>
      <c r="G933" s="38" t="inlineStr">
        <is>
          <t>Consulta</t>
        </is>
      </c>
      <c r="H933" s="38" t="inlineStr">
        <is>
          <t>Realizado</t>
        </is>
      </c>
      <c r="I933" s="38" t="inlineStr">
        <is>
          <t>Convênio</t>
        </is>
      </c>
      <c r="J933" s="38" t="n"/>
      <c r="K933" s="37" t="n"/>
      <c r="L933" s="39" t="n">
        <v>30</v>
      </c>
      <c r="M933" s="40" t="n">
        <v>100</v>
      </c>
      <c r="N933" s="30">
        <f>IF(A933="","",MONTH(A933))</f>
        <v>9</v>
      </c>
      <c r="O933" s="30">
        <f>IF(A933="","",YEAR(A933))</f>
        <v>2026</v>
      </c>
      <c r="P933" s="30" t="str">
        <f>IF(A933="","",CHOOSE(WEEKDAY(A933,2),"Segunda","Terça","Quarta","Quinta","Sexta","Sábado","Domingo"))</f>
        <v>Quarta</v>
      </c>
      <c r="Q933" s="30" t="str">
        <f>IF(B933="","",IF(B933&lt;TIME(12,0,0),"Manhã",IF(B933&lt;TIME(18,0,0),"Tarde","Noite")))</f>
        <v>Tarde</v>
      </c>
      <c r="R933" s="46">
        <f>IF(AND(H933="Realizado",L933&lt;&gt;"",A933&lt;=Config!$B$9),L933/60,0)</f>
        <v>0.5</v>
      </c>
      <c r="S933" s="45">
        <f>IF(G933="","",IFERROR(INDEX(Config!$K$5:$K$16,MATCH(G933,Config!$J$5:$J$16,0)),""))</f>
        <v>30</v>
      </c>
      <c r="T933" s="31">
        <f>IF(OR(G933="",F933=""),"",IFERROR(INDEX(Config!$M$5:$R$16,MATCH(G933,Config!$J$5:$J$16,0),MATCH(F933,Config!$H$5:$H$10,0)),""))</f>
        <v>100</v>
      </c>
      <c r="U933" s="47">
        <f>IF(AND(H933="Realizado",L933&lt;&gt;""),L933/60,0)</f>
        <v>0.5</v>
      </c>
      <c r="V933" s="47">
        <f>IF(AND(H933="Realizado",OR(L933="",M933="")),1,0)</f>
        <v>0</v>
      </c>
    </row>
    <row r="934">
      <c r="A934" s="43" t="n">
        <v>46267</v>
      </c>
      <c r="B934" s="44" t="n">
        <v>0.7152777777777778</v>
      </c>
      <c r="C934" s="38" t="inlineStr">
        <is>
          <t>Dra. Carolina Mendes</t>
        </is>
      </c>
      <c r="D934" s="38" t="inlineStr">
        <is>
          <t>Sala 1</t>
        </is>
      </c>
      <c r="E934" s="37" t="inlineStr">
        <is>
          <t>Mônica Teixeira</t>
        </is>
      </c>
      <c r="F934" s="38" t="inlineStr">
        <is>
          <t>Vida Care</t>
        </is>
      </c>
      <c r="G934" s="38" t="inlineStr">
        <is>
          <t>Consulta</t>
        </is>
      </c>
      <c r="H934" s="38" t="inlineStr">
        <is>
          <t>Realizado</t>
        </is>
      </c>
      <c r="I934" s="38" t="inlineStr">
        <is>
          <t>Convênio</t>
        </is>
      </c>
      <c r="J934" s="38" t="n"/>
      <c r="K934" s="37" t="n"/>
      <c r="L934" s="39" t="n">
        <v>30</v>
      </c>
      <c r="M934" s="40" t="n">
        <v>90</v>
      </c>
      <c r="N934" s="30">
        <f>IF(A934="","",MONTH(A934))</f>
        <v>9</v>
      </c>
      <c r="O934" s="30">
        <f>IF(A934="","",YEAR(A934))</f>
        <v>2026</v>
      </c>
      <c r="P934" s="30" t="str">
        <f>IF(A934="","",CHOOSE(WEEKDAY(A934,2),"Segunda","Terça","Quarta","Quinta","Sexta","Sábado","Domingo"))</f>
        <v>Quarta</v>
      </c>
      <c r="Q934" s="30" t="str">
        <f>IF(B934="","",IF(B934&lt;TIME(12,0,0),"Manhã",IF(B934&lt;TIME(18,0,0),"Tarde","Noite")))</f>
        <v>Tarde</v>
      </c>
      <c r="R934" s="46">
        <f>IF(AND(H934="Realizado",L934&lt;&gt;"",A934&lt;=Config!$B$9),L934/60,0)</f>
        <v>0.5</v>
      </c>
      <c r="S934" s="45">
        <f>IF(G934="","",IFERROR(INDEX(Config!$K$5:$K$16,MATCH(G934,Config!$J$5:$J$16,0)),""))</f>
        <v>30</v>
      </c>
      <c r="T934" s="31">
        <f>IF(OR(G934="",F934=""),"",IFERROR(INDEX(Config!$M$5:$R$16,MATCH(G934,Config!$J$5:$J$16,0),MATCH(F934,Config!$H$5:$H$10,0)),""))</f>
        <v>90</v>
      </c>
      <c r="U934" s="47">
        <f>IF(AND(H934="Realizado",L934&lt;&gt;""),L934/60,0)</f>
        <v>0.5</v>
      </c>
      <c r="V934" s="47">
        <f>IF(AND(H934="Realizado",OR(L934="",M934="")),1,0)</f>
        <v>0</v>
      </c>
    </row>
    <row r="935">
      <c r="A935" s="43" t="n">
        <v>46267</v>
      </c>
      <c r="B935" s="44" t="n">
        <v>0.7361111111111112</v>
      </c>
      <c r="C935" s="38" t="inlineStr">
        <is>
          <t>Dra. Carolina Mendes</t>
        </is>
      </c>
      <c r="D935" s="38" t="inlineStr">
        <is>
          <t>Sala 1</t>
        </is>
      </c>
      <c r="E935" s="37" t="inlineStr">
        <is>
          <t>Carlos Castro</t>
        </is>
      </c>
      <c r="F935" s="38" t="inlineStr">
        <is>
          <t>Saúde Total</t>
        </is>
      </c>
      <c r="G935" s="38" t="inlineStr">
        <is>
          <t>Consulta</t>
        </is>
      </c>
      <c r="H935" s="38" t="inlineStr">
        <is>
          <t>Realizado</t>
        </is>
      </c>
      <c r="I935" s="38" t="inlineStr">
        <is>
          <t>Convênio</t>
        </is>
      </c>
      <c r="J935" s="38" t="n"/>
      <c r="K935" s="37" t="n"/>
      <c r="L935" s="39" t="n">
        <v>30</v>
      </c>
      <c r="M935" s="40" t="n">
        <v>120</v>
      </c>
      <c r="N935" s="30">
        <f>IF(A935="","",MONTH(A935))</f>
        <v>9</v>
      </c>
      <c r="O935" s="30">
        <f>IF(A935="","",YEAR(A935))</f>
        <v>2026</v>
      </c>
      <c r="P935" s="30" t="str">
        <f>IF(A935="","",CHOOSE(WEEKDAY(A935,2),"Segunda","Terça","Quarta","Quinta","Sexta","Sábado","Domingo"))</f>
        <v>Quarta</v>
      </c>
      <c r="Q935" s="30" t="str">
        <f>IF(B935="","",IF(B935&lt;TIME(12,0,0),"Manhã",IF(B935&lt;TIME(18,0,0),"Tarde","Noite")))</f>
        <v>Tarde</v>
      </c>
      <c r="R935" s="46">
        <f>IF(AND(H935="Realizado",L935&lt;&gt;"",A935&lt;=Config!$B$9),L935/60,0)</f>
        <v>0.5</v>
      </c>
      <c r="S935" s="45">
        <f>IF(G935="","",IFERROR(INDEX(Config!$K$5:$K$16,MATCH(G935,Config!$J$5:$J$16,0)),""))</f>
        <v>30</v>
      </c>
      <c r="T935" s="31">
        <f>IF(OR(G935="",F935=""),"",IFERROR(INDEX(Config!$M$5:$R$16,MATCH(G935,Config!$J$5:$J$16,0),MATCH(F935,Config!$H$5:$H$10,0)),""))</f>
        <v>120</v>
      </c>
      <c r="U935" s="47">
        <f>IF(AND(H935="Realizado",L935&lt;&gt;""),L935/60,0)</f>
        <v>0.5</v>
      </c>
      <c r="V935" s="47">
        <f>IF(AND(H935="Realizado",OR(L935="",M935="")),1,0)</f>
        <v>0</v>
      </c>
    </row>
    <row r="936">
      <c r="A936" s="43" t="n">
        <v>46268</v>
      </c>
      <c r="B936" s="44" t="n">
        <v>0.3333333333333333</v>
      </c>
      <c r="C936" s="38" t="inlineStr">
        <is>
          <t>Dra. Carolina Mendes</t>
        </is>
      </c>
      <c r="D936" s="38" t="inlineStr">
        <is>
          <t>Sala 1</t>
        </is>
      </c>
      <c r="E936" s="37" t="inlineStr">
        <is>
          <t>Gisele Xavier</t>
        </is>
      </c>
      <c r="F936" s="38" t="inlineStr">
        <is>
          <t>Particular</t>
        </is>
      </c>
      <c r="G936" s="38" t="inlineStr">
        <is>
          <t>Consulta</t>
        </is>
      </c>
      <c r="H936" s="38" t="inlineStr">
        <is>
          <t>Realizado</t>
        </is>
      </c>
      <c r="I936" s="38" t="inlineStr">
        <is>
          <t>Cartão de crédito</t>
        </is>
      </c>
      <c r="J936" s="38" t="n"/>
      <c r="K936" s="37" t="n"/>
      <c r="L936" s="39" t="n">
        <v>30</v>
      </c>
      <c r="M936" s="40" t="n">
        <v>380</v>
      </c>
      <c r="N936" s="30">
        <f>IF(A936="","",MONTH(A936))</f>
        <v>9</v>
      </c>
      <c r="O936" s="30">
        <f>IF(A936="","",YEAR(A936))</f>
        <v>2026</v>
      </c>
      <c r="P936" s="30" t="str">
        <f>IF(A936="","",CHOOSE(WEEKDAY(A936,2),"Segunda","Terça","Quarta","Quinta","Sexta","Sábado","Domingo"))</f>
        <v>Quinta</v>
      </c>
      <c r="Q936" s="30" t="str">
        <f>IF(B936="","",IF(B936&lt;TIME(12,0,0),"Manhã",IF(B936&lt;TIME(18,0,0),"Tarde","Noite")))</f>
        <v>Manhã</v>
      </c>
      <c r="R936" s="46">
        <f>IF(AND(H936="Realizado",L936&lt;&gt;"",A936&lt;=Config!$B$9),L936/60,0)</f>
        <v>0.5</v>
      </c>
      <c r="S936" s="45">
        <f>IF(G936="","",IFERROR(INDEX(Config!$K$5:$K$16,MATCH(G936,Config!$J$5:$J$16,0)),""))</f>
        <v>30</v>
      </c>
      <c r="T936" s="31">
        <f>IF(OR(G936="",F936=""),"",IFERROR(INDEX(Config!$M$5:$R$16,MATCH(G936,Config!$J$5:$J$16,0),MATCH(F936,Config!$H$5:$H$10,0)),""))</f>
        <v>380</v>
      </c>
      <c r="U936" s="47">
        <f>IF(AND(H936="Realizado",L936&lt;&gt;""),L936/60,0)</f>
        <v>0.5</v>
      </c>
      <c r="V936" s="47">
        <f>IF(AND(H936="Realizado",OR(L936="",M936="")),1,0)</f>
        <v>0</v>
      </c>
    </row>
    <row r="937">
      <c r="A937" s="43" t="n">
        <v>46268</v>
      </c>
      <c r="B937" s="44" t="n">
        <v>0.3541666666666667</v>
      </c>
      <c r="C937" s="38" t="inlineStr">
        <is>
          <t>Dra. Carolina Mendes</t>
        </is>
      </c>
      <c r="D937" s="38" t="inlineStr">
        <is>
          <t>Sala 1</t>
        </is>
      </c>
      <c r="E937" s="37" t="inlineStr">
        <is>
          <t>Regina Macedo</t>
        </is>
      </c>
      <c r="F937" s="38" t="inlineStr">
        <is>
          <t>Particular</t>
        </is>
      </c>
      <c r="G937" s="38" t="inlineStr">
        <is>
          <t>Retorno</t>
        </is>
      </c>
      <c r="H937" s="38" t="inlineStr">
        <is>
          <t>Realizado</t>
        </is>
      </c>
      <c r="I937" s="38" t="inlineStr">
        <is>
          <t>Sem cobrança</t>
        </is>
      </c>
      <c r="J937" s="38" t="n"/>
      <c r="K937" s="37" t="n"/>
      <c r="L937" s="39" t="n">
        <v>20</v>
      </c>
      <c r="M937" s="40" t="n">
        <v>0</v>
      </c>
      <c r="N937" s="30">
        <f>IF(A937="","",MONTH(A937))</f>
        <v>9</v>
      </c>
      <c r="O937" s="30">
        <f>IF(A937="","",YEAR(A937))</f>
        <v>2026</v>
      </c>
      <c r="P937" s="30" t="str">
        <f>IF(A937="","",CHOOSE(WEEKDAY(A937,2),"Segunda","Terça","Quarta","Quinta","Sexta","Sábado","Domingo"))</f>
        <v>Quinta</v>
      </c>
      <c r="Q937" s="30" t="str">
        <f>IF(B937="","",IF(B937&lt;TIME(12,0,0),"Manhã",IF(B937&lt;TIME(18,0,0),"Tarde","Noite")))</f>
        <v>Manhã</v>
      </c>
      <c r="R937" s="46">
        <f>IF(AND(H937="Realizado",L937&lt;&gt;"",A937&lt;=Config!$B$9),L937/60,0)</f>
        <v>0.333333333333333</v>
      </c>
      <c r="S937" s="45">
        <f>IF(G937="","",IFERROR(INDEX(Config!$K$5:$K$16,MATCH(G937,Config!$J$5:$J$16,0)),""))</f>
        <v>20</v>
      </c>
      <c r="T937" s="31">
        <f>IF(OR(G937="",F937=""),"",IFERROR(INDEX(Config!$M$5:$R$16,MATCH(G937,Config!$J$5:$J$16,0),MATCH(F937,Config!$H$5:$H$10,0)),""))</f>
        <v>0</v>
      </c>
      <c r="U937" s="47">
        <f>IF(AND(H937="Realizado",L937&lt;&gt;""),L937/60,0)</f>
        <v>0.333333333333333</v>
      </c>
      <c r="V937" s="47">
        <f>IF(AND(H937="Realizado",OR(L937="",M937="")),1,0)</f>
        <v>0</v>
      </c>
    </row>
    <row r="938">
      <c r="A938" s="43" t="n">
        <v>46268</v>
      </c>
      <c r="B938" s="44" t="n">
        <v>0.3680555555555556</v>
      </c>
      <c r="C938" s="38" t="inlineStr">
        <is>
          <t>Dra. Carolina Mendes</t>
        </is>
      </c>
      <c r="D938" s="38" t="inlineStr">
        <is>
          <t>Sala 1</t>
        </is>
      </c>
      <c r="E938" s="37" t="inlineStr">
        <is>
          <t>Priscila Castro</t>
        </is>
      </c>
      <c r="F938" s="38" t="inlineStr">
        <is>
          <t>Saúde Total</t>
        </is>
      </c>
      <c r="G938" s="38" t="inlineStr">
        <is>
          <t>Consulta</t>
        </is>
      </c>
      <c r="H938" s="38" t="inlineStr">
        <is>
          <t>Realizado</t>
        </is>
      </c>
      <c r="I938" s="38" t="inlineStr">
        <is>
          <t>Convênio</t>
        </is>
      </c>
      <c r="J938" s="38" t="n"/>
      <c r="K938" s="37" t="n"/>
      <c r="L938" s="39" t="n">
        <v>30</v>
      </c>
      <c r="M938" s="40" t="n">
        <v>120</v>
      </c>
      <c r="N938" s="30">
        <f>IF(A938="","",MONTH(A938))</f>
        <v>9</v>
      </c>
      <c r="O938" s="30">
        <f>IF(A938="","",YEAR(A938))</f>
        <v>2026</v>
      </c>
      <c r="P938" s="30" t="str">
        <f>IF(A938="","",CHOOSE(WEEKDAY(A938,2),"Segunda","Terça","Quarta","Quinta","Sexta","Sábado","Domingo"))</f>
        <v>Quinta</v>
      </c>
      <c r="Q938" s="30" t="str">
        <f>IF(B938="","",IF(B938&lt;TIME(12,0,0),"Manhã",IF(B938&lt;TIME(18,0,0),"Tarde","Noite")))</f>
        <v>Manhã</v>
      </c>
      <c r="R938" s="46">
        <f>IF(AND(H938="Realizado",L938&lt;&gt;"",A938&lt;=Config!$B$9),L938/60,0)</f>
        <v>0.5</v>
      </c>
      <c r="S938" s="45">
        <f>IF(G938="","",IFERROR(INDEX(Config!$K$5:$K$16,MATCH(G938,Config!$J$5:$J$16,0)),""))</f>
        <v>30</v>
      </c>
      <c r="T938" s="31">
        <f>IF(OR(G938="",F938=""),"",IFERROR(INDEX(Config!$M$5:$R$16,MATCH(G938,Config!$J$5:$J$16,0),MATCH(F938,Config!$H$5:$H$10,0)),""))</f>
        <v>120</v>
      </c>
      <c r="U938" s="47">
        <f>IF(AND(H938="Realizado",L938&lt;&gt;""),L938/60,0)</f>
        <v>0.5</v>
      </c>
      <c r="V938" s="47">
        <f>IF(AND(H938="Realizado",OR(L938="",M938="")),1,0)</f>
        <v>0</v>
      </c>
    </row>
    <row r="939">
      <c r="A939" s="43" t="n">
        <v>46268</v>
      </c>
      <c r="B939" s="44" t="n">
        <v>0.3888888888888889</v>
      </c>
      <c r="C939" s="38" t="inlineStr">
        <is>
          <t>Dra. Carolina Mendes</t>
        </is>
      </c>
      <c r="D939" s="38" t="inlineStr">
        <is>
          <t>Sala 1</t>
        </is>
      </c>
      <c r="E939" s="37" t="inlineStr">
        <is>
          <t>Larissa Costa</t>
        </is>
      </c>
      <c r="F939" s="38" t="inlineStr">
        <is>
          <t>Particular</t>
        </is>
      </c>
      <c r="G939" s="38" t="inlineStr">
        <is>
          <t>Consulta</t>
        </is>
      </c>
      <c r="H939" s="38" t="inlineStr">
        <is>
          <t>Realizado</t>
        </is>
      </c>
      <c r="I939" s="38" t="inlineStr">
        <is>
          <t>A prazo</t>
        </is>
      </c>
      <c r="J939" s="38" t="n"/>
      <c r="K939" s="37" t="n"/>
      <c r="L939" s="39" t="n">
        <v>30</v>
      </c>
      <c r="M939" s="40" t="n">
        <v>380</v>
      </c>
      <c r="N939" s="30">
        <f>IF(A939="","",MONTH(A939))</f>
        <v>9</v>
      </c>
      <c r="O939" s="30">
        <f>IF(A939="","",YEAR(A939))</f>
        <v>2026</v>
      </c>
      <c r="P939" s="30" t="str">
        <f>IF(A939="","",CHOOSE(WEEKDAY(A939,2),"Segunda","Terça","Quarta","Quinta","Sexta","Sábado","Domingo"))</f>
        <v>Quinta</v>
      </c>
      <c r="Q939" s="30" t="str">
        <f>IF(B939="","",IF(B939&lt;TIME(12,0,0),"Manhã",IF(B939&lt;TIME(18,0,0),"Tarde","Noite")))</f>
        <v>Manhã</v>
      </c>
      <c r="R939" s="46">
        <f>IF(AND(H939="Realizado",L939&lt;&gt;"",A939&lt;=Config!$B$9),L939/60,0)</f>
        <v>0.5</v>
      </c>
      <c r="S939" s="45">
        <f>IF(G939="","",IFERROR(INDEX(Config!$K$5:$K$16,MATCH(G939,Config!$J$5:$J$16,0)),""))</f>
        <v>30</v>
      </c>
      <c r="T939" s="31">
        <f>IF(OR(G939="",F939=""),"",IFERROR(INDEX(Config!$M$5:$R$16,MATCH(G939,Config!$J$5:$J$16,0),MATCH(F939,Config!$H$5:$H$10,0)),""))</f>
        <v>380</v>
      </c>
      <c r="U939" s="47">
        <f>IF(AND(H939="Realizado",L939&lt;&gt;""),L939/60,0)</f>
        <v>0.5</v>
      </c>
      <c r="V939" s="47">
        <f>IF(AND(H939="Realizado",OR(L939="",M939="")),1,0)</f>
        <v>0</v>
      </c>
    </row>
    <row r="940">
      <c r="A940" s="43" t="n">
        <v>46268</v>
      </c>
      <c r="B940" s="44" t="n">
        <v>0.4097222222222222</v>
      </c>
      <c r="C940" s="38" t="inlineStr">
        <is>
          <t>Dra. Carolina Mendes</t>
        </is>
      </c>
      <c r="D940" s="38" t="inlineStr">
        <is>
          <t>Sala 1</t>
        </is>
      </c>
      <c r="E940" s="37" t="inlineStr">
        <is>
          <t>Marcelo Santos</t>
        </is>
      </c>
      <c r="F940" s="38" t="inlineStr">
        <is>
          <t>Particular</t>
        </is>
      </c>
      <c r="G940" s="38" t="inlineStr">
        <is>
          <t>Consulta</t>
        </is>
      </c>
      <c r="H940" s="38" t="inlineStr">
        <is>
          <t>Realizado</t>
        </is>
      </c>
      <c r="I940" s="38" t="inlineStr">
        <is>
          <t>Cartão de débito</t>
        </is>
      </c>
      <c r="J940" s="38" t="n"/>
      <c r="K940" s="37" t="n"/>
      <c r="L940" s="39" t="n">
        <v>30</v>
      </c>
      <c r="M940" s="40" t="n">
        <v>380</v>
      </c>
      <c r="N940" s="30">
        <f>IF(A940="","",MONTH(A940))</f>
        <v>9</v>
      </c>
      <c r="O940" s="30">
        <f>IF(A940="","",YEAR(A940))</f>
        <v>2026</v>
      </c>
      <c r="P940" s="30" t="str">
        <f>IF(A940="","",CHOOSE(WEEKDAY(A940,2),"Segunda","Terça","Quarta","Quinta","Sexta","Sábado","Domingo"))</f>
        <v>Quinta</v>
      </c>
      <c r="Q940" s="30" t="str">
        <f>IF(B940="","",IF(B940&lt;TIME(12,0,0),"Manhã",IF(B940&lt;TIME(18,0,0),"Tarde","Noite")))</f>
        <v>Manhã</v>
      </c>
      <c r="R940" s="46">
        <f>IF(AND(H940="Realizado",L940&lt;&gt;"",A940&lt;=Config!$B$9),L940/60,0)</f>
        <v>0.5</v>
      </c>
      <c r="S940" s="45">
        <f>IF(G940="","",IFERROR(INDEX(Config!$K$5:$K$16,MATCH(G940,Config!$J$5:$J$16,0)),""))</f>
        <v>30</v>
      </c>
      <c r="T940" s="31">
        <f>IF(OR(G940="",F940=""),"",IFERROR(INDEX(Config!$M$5:$R$16,MATCH(G940,Config!$J$5:$J$16,0),MATCH(F940,Config!$H$5:$H$10,0)),""))</f>
        <v>380</v>
      </c>
      <c r="U940" s="47">
        <f>IF(AND(H940="Realizado",L940&lt;&gt;""),L940/60,0)</f>
        <v>0.5</v>
      </c>
      <c r="V940" s="47">
        <f>IF(AND(H940="Realizado",OR(L940="",M940="")),1,0)</f>
        <v>0</v>
      </c>
    </row>
    <row r="941">
      <c r="A941" s="43" t="n">
        <v>46268</v>
      </c>
      <c r="B941" s="44" t="n">
        <v>0.4513888888888889</v>
      </c>
      <c r="C941" s="38" t="inlineStr">
        <is>
          <t>Dra. Carolina Mendes</t>
        </is>
      </c>
      <c r="D941" s="38" t="inlineStr">
        <is>
          <t>Sala 1</t>
        </is>
      </c>
      <c r="E941" s="37" t="inlineStr">
        <is>
          <t>Regina Duarte</t>
        </is>
      </c>
      <c r="F941" s="38" t="inlineStr">
        <is>
          <t>Particular</t>
        </is>
      </c>
      <c r="G941" s="38" t="inlineStr">
        <is>
          <t>Consulta</t>
        </is>
      </c>
      <c r="H941" s="38" t="inlineStr">
        <is>
          <t>Realizado</t>
        </is>
      </c>
      <c r="I941" s="38" t="inlineStr">
        <is>
          <t>Pix</t>
        </is>
      </c>
      <c r="J941" s="38" t="n"/>
      <c r="K941" s="37" t="n"/>
      <c r="L941" s="39" t="n">
        <v>30</v>
      </c>
      <c r="M941" s="40" t="n">
        <v>380</v>
      </c>
      <c r="N941" s="30">
        <f>IF(A941="","",MONTH(A941))</f>
        <v>9</v>
      </c>
      <c r="O941" s="30">
        <f>IF(A941="","",YEAR(A941))</f>
        <v>2026</v>
      </c>
      <c r="P941" s="30" t="str">
        <f>IF(A941="","",CHOOSE(WEEKDAY(A941,2),"Segunda","Terça","Quarta","Quinta","Sexta","Sábado","Domingo"))</f>
        <v>Quinta</v>
      </c>
      <c r="Q941" s="30" t="str">
        <f>IF(B941="","",IF(B941&lt;TIME(12,0,0),"Manhã",IF(B941&lt;TIME(18,0,0),"Tarde","Noite")))</f>
        <v>Manhã</v>
      </c>
      <c r="R941" s="46">
        <f>IF(AND(H941="Realizado",L941&lt;&gt;"",A941&lt;=Config!$B$9),L941/60,0)</f>
        <v>0.5</v>
      </c>
      <c r="S941" s="45">
        <f>IF(G941="","",IFERROR(INDEX(Config!$K$5:$K$16,MATCH(G941,Config!$J$5:$J$16,0)),""))</f>
        <v>30</v>
      </c>
      <c r="T941" s="31">
        <f>IF(OR(G941="",F941=""),"",IFERROR(INDEX(Config!$M$5:$R$16,MATCH(G941,Config!$J$5:$J$16,0),MATCH(F941,Config!$H$5:$H$10,0)),""))</f>
        <v>380</v>
      </c>
      <c r="U941" s="47">
        <f>IF(AND(H941="Realizado",L941&lt;&gt;""),L941/60,0)</f>
        <v>0.5</v>
      </c>
      <c r="V941" s="47">
        <f>IF(AND(H941="Realizado",OR(L941="",M941="")),1,0)</f>
        <v>0</v>
      </c>
    </row>
    <row r="942">
      <c r="A942" s="43" t="n">
        <v>46268</v>
      </c>
      <c r="B942" s="44" t="n">
        <v>0.4722222222222222</v>
      </c>
      <c r="C942" s="38" t="inlineStr">
        <is>
          <t>Dra. Carolina Mendes</t>
        </is>
      </c>
      <c r="D942" s="38" t="inlineStr">
        <is>
          <t>Sala 1</t>
        </is>
      </c>
      <c r="E942" s="37" t="inlineStr">
        <is>
          <t>Mateus Lima</t>
        </is>
      </c>
      <c r="F942" s="38" t="inlineStr">
        <is>
          <t>MediPlan</t>
        </is>
      </c>
      <c r="G942" s="38" t="inlineStr">
        <is>
          <t>Consulta</t>
        </is>
      </c>
      <c r="H942" s="38" t="inlineStr">
        <is>
          <t>Realizado</t>
        </is>
      </c>
      <c r="I942" s="38" t="inlineStr">
        <is>
          <t>Convênio</t>
        </is>
      </c>
      <c r="J942" s="38" t="n"/>
      <c r="K942" s="37" t="n"/>
      <c r="L942" s="39" t="n">
        <v>30</v>
      </c>
      <c r="M942" s="40" t="n">
        <v>100</v>
      </c>
      <c r="N942" s="30">
        <f>IF(A942="","",MONTH(A942))</f>
        <v>9</v>
      </c>
      <c r="O942" s="30">
        <f>IF(A942="","",YEAR(A942))</f>
        <v>2026</v>
      </c>
      <c r="P942" s="30" t="str">
        <f>IF(A942="","",CHOOSE(WEEKDAY(A942,2),"Segunda","Terça","Quarta","Quinta","Sexta","Sábado","Domingo"))</f>
        <v>Quinta</v>
      </c>
      <c r="Q942" s="30" t="str">
        <f>IF(B942="","",IF(B942&lt;TIME(12,0,0),"Manhã",IF(B942&lt;TIME(18,0,0),"Tarde","Noite")))</f>
        <v>Manhã</v>
      </c>
      <c r="R942" s="46">
        <f>IF(AND(H942="Realizado",L942&lt;&gt;"",A942&lt;=Config!$B$9),L942/60,0)</f>
        <v>0.5</v>
      </c>
      <c r="S942" s="45">
        <f>IF(G942="","",IFERROR(INDEX(Config!$K$5:$K$16,MATCH(G942,Config!$J$5:$J$16,0)),""))</f>
        <v>30</v>
      </c>
      <c r="T942" s="31">
        <f>IF(OR(G942="",F942=""),"",IFERROR(INDEX(Config!$M$5:$R$16,MATCH(G942,Config!$J$5:$J$16,0),MATCH(F942,Config!$H$5:$H$10,0)),""))</f>
        <v>100</v>
      </c>
      <c r="U942" s="47">
        <f>IF(AND(H942="Realizado",L942&lt;&gt;""),L942/60,0)</f>
        <v>0.5</v>
      </c>
      <c r="V942" s="47">
        <f>IF(AND(H942="Realizado",OR(L942="",M942="")),1,0)</f>
        <v>0</v>
      </c>
    </row>
    <row r="943">
      <c r="A943" s="43" t="n">
        <v>46268</v>
      </c>
      <c r="B943" s="44" t="n">
        <v>0.5833333333333334</v>
      </c>
      <c r="C943" s="38" t="inlineStr">
        <is>
          <t>Dra. Renata Sousa</t>
        </is>
      </c>
      <c r="D943" s="38" t="inlineStr">
        <is>
          <t>Sala 1</t>
        </is>
      </c>
      <c r="E943" s="37" t="inlineStr">
        <is>
          <t>Cláudia Melo</t>
        </is>
      </c>
      <c r="F943" s="38" t="inlineStr">
        <is>
          <t>Particular</t>
        </is>
      </c>
      <c r="G943" s="38" t="inlineStr">
        <is>
          <t>Avaliação endócrina</t>
        </is>
      </c>
      <c r="H943" s="38" t="inlineStr">
        <is>
          <t>Realizado</t>
        </is>
      </c>
      <c r="I943" s="38" t="inlineStr">
        <is>
          <t>Pix</t>
        </is>
      </c>
      <c r="J943" s="38" t="n"/>
      <c r="K943" s="37" t="n"/>
      <c r="L943" s="39" t="n">
        <v>40</v>
      </c>
      <c r="M943" s="40" t="n">
        <v>400</v>
      </c>
      <c r="N943" s="30">
        <f>IF(A943="","",MONTH(A943))</f>
        <v>9</v>
      </c>
      <c r="O943" s="30">
        <f>IF(A943="","",YEAR(A943))</f>
        <v>2026</v>
      </c>
      <c r="P943" s="30" t="str">
        <f>IF(A943="","",CHOOSE(WEEKDAY(A943,2),"Segunda","Terça","Quarta","Quinta","Sexta","Sábado","Domingo"))</f>
        <v>Quinta</v>
      </c>
      <c r="Q943" s="30" t="str">
        <f>IF(B943="","",IF(B943&lt;TIME(12,0,0),"Manhã",IF(B943&lt;TIME(18,0,0),"Tarde","Noite")))</f>
        <v>Tarde</v>
      </c>
      <c r="R943" s="46">
        <f>IF(AND(H943="Realizado",L943&lt;&gt;"",A943&lt;=Config!$B$9),L943/60,0)</f>
        <v>0.666666666666667</v>
      </c>
      <c r="S943" s="45">
        <f>IF(G943="","",IFERROR(INDEX(Config!$K$5:$K$16,MATCH(G943,Config!$J$5:$J$16,0)),""))</f>
        <v>40</v>
      </c>
      <c r="T943" s="31">
        <f>IF(OR(G943="",F943=""),"",IFERROR(INDEX(Config!$M$5:$R$16,MATCH(G943,Config!$J$5:$J$16,0),MATCH(F943,Config!$H$5:$H$10,0)),""))</f>
        <v>400</v>
      </c>
      <c r="U943" s="47">
        <f>IF(AND(H943="Realizado",L943&lt;&gt;""),L943/60,0)</f>
        <v>0.666666666666667</v>
      </c>
      <c r="V943" s="47">
        <f>IF(AND(H943="Realizado",OR(L943="",M943="")),1,0)</f>
        <v>0</v>
      </c>
    </row>
    <row r="944">
      <c r="A944" s="43" t="n">
        <v>46268</v>
      </c>
      <c r="B944" s="44" t="n">
        <v>0.5833333333333334</v>
      </c>
      <c r="C944" s="38" t="inlineStr">
        <is>
          <t>Dr. Paulo Andrade</t>
        </is>
      </c>
      <c r="D944" s="38" t="inlineStr">
        <is>
          <t>Sala 2</t>
        </is>
      </c>
      <c r="E944" s="37" t="inlineStr">
        <is>
          <t>Vinícius Cardoso</t>
        </is>
      </c>
      <c r="F944" s="38" t="inlineStr">
        <is>
          <t>MediPlan</t>
        </is>
      </c>
      <c r="G944" s="38" t="inlineStr">
        <is>
          <t>Consulta</t>
        </is>
      </c>
      <c r="H944" s="38" t="inlineStr">
        <is>
          <t>Realizado</t>
        </is>
      </c>
      <c r="I944" s="38" t="inlineStr">
        <is>
          <t>Convênio</t>
        </is>
      </c>
      <c r="J944" s="38" t="n"/>
      <c r="K944" s="37" t="n"/>
      <c r="L944" s="39" t="n">
        <v>30</v>
      </c>
      <c r="M944" s="40" t="n">
        <v>100</v>
      </c>
      <c r="N944" s="30">
        <f>IF(A944="","",MONTH(A944))</f>
        <v>9</v>
      </c>
      <c r="O944" s="30">
        <f>IF(A944="","",YEAR(A944))</f>
        <v>2026</v>
      </c>
      <c r="P944" s="30" t="str">
        <f>IF(A944="","",CHOOSE(WEEKDAY(A944,2),"Segunda","Terça","Quarta","Quinta","Sexta","Sábado","Domingo"))</f>
        <v>Quinta</v>
      </c>
      <c r="Q944" s="30" t="str">
        <f>IF(B944="","",IF(B944&lt;TIME(12,0,0),"Manhã",IF(B944&lt;TIME(18,0,0),"Tarde","Noite")))</f>
        <v>Tarde</v>
      </c>
      <c r="R944" s="46">
        <f>IF(AND(H944="Realizado",L944&lt;&gt;"",A944&lt;=Config!$B$9),L944/60,0)</f>
        <v>0.5</v>
      </c>
      <c r="S944" s="45">
        <f>IF(G944="","",IFERROR(INDEX(Config!$K$5:$K$16,MATCH(G944,Config!$J$5:$J$16,0)),""))</f>
        <v>30</v>
      </c>
      <c r="T944" s="31">
        <f>IF(OR(G944="",F944=""),"",IFERROR(INDEX(Config!$M$5:$R$16,MATCH(G944,Config!$J$5:$J$16,0),MATCH(F944,Config!$H$5:$H$10,0)),""))</f>
        <v>100</v>
      </c>
      <c r="U944" s="47">
        <f>IF(AND(H944="Realizado",L944&lt;&gt;""),L944/60,0)</f>
        <v>0.5</v>
      </c>
      <c r="V944" s="47">
        <f>IF(AND(H944="Realizado",OR(L944="",M944="")),1,0)</f>
        <v>0</v>
      </c>
    </row>
    <row r="945">
      <c r="A945" s="43" t="n">
        <v>46268</v>
      </c>
      <c r="B945" s="44" t="n">
        <v>0.6041666666666666</v>
      </c>
      <c r="C945" s="38" t="inlineStr">
        <is>
          <t>Dr. Paulo Andrade</t>
        </is>
      </c>
      <c r="D945" s="38" t="inlineStr">
        <is>
          <t>Sala 2</t>
        </is>
      </c>
      <c r="E945" s="37" t="inlineStr">
        <is>
          <t>Elaine Cardoso</t>
        </is>
      </c>
      <c r="F945" s="38" t="inlineStr">
        <is>
          <t>Particular</t>
        </is>
      </c>
      <c r="G945" s="38" t="inlineStr">
        <is>
          <t>ECG</t>
        </is>
      </c>
      <c r="H945" s="38" t="inlineStr">
        <is>
          <t>Realizado</t>
        </is>
      </c>
      <c r="I945" s="38" t="inlineStr">
        <is>
          <t>Cartão de débito</t>
        </is>
      </c>
      <c r="J945" s="38" t="n"/>
      <c r="K945" s="37" t="n"/>
      <c r="L945" s="39" t="n">
        <v>20</v>
      </c>
      <c r="M945" s="40" t="n">
        <v>130</v>
      </c>
      <c r="N945" s="30">
        <f>IF(A945="","",MONTH(A945))</f>
        <v>9</v>
      </c>
      <c r="O945" s="30">
        <f>IF(A945="","",YEAR(A945))</f>
        <v>2026</v>
      </c>
      <c r="P945" s="30" t="str">
        <f>IF(A945="","",CHOOSE(WEEKDAY(A945,2),"Segunda","Terça","Quarta","Quinta","Sexta","Sábado","Domingo"))</f>
        <v>Quinta</v>
      </c>
      <c r="Q945" s="30" t="str">
        <f>IF(B945="","",IF(B945&lt;TIME(12,0,0),"Manhã",IF(B945&lt;TIME(18,0,0),"Tarde","Noite")))</f>
        <v>Tarde</v>
      </c>
      <c r="R945" s="46">
        <f>IF(AND(H945="Realizado",L945&lt;&gt;"",A945&lt;=Config!$B$9),L945/60,0)</f>
        <v>0.333333333333333</v>
      </c>
      <c r="S945" s="45">
        <f>IF(G945="","",IFERROR(INDEX(Config!$K$5:$K$16,MATCH(G945,Config!$J$5:$J$16,0)),""))</f>
        <v>20</v>
      </c>
      <c r="T945" s="31">
        <f>IF(OR(G945="",F945=""),"",IFERROR(INDEX(Config!$M$5:$R$16,MATCH(G945,Config!$J$5:$J$16,0),MATCH(F945,Config!$H$5:$H$10,0)),""))</f>
        <v>130</v>
      </c>
      <c r="U945" s="47">
        <f>IF(AND(H945="Realizado",L945&lt;&gt;""),L945/60,0)</f>
        <v>0.333333333333333</v>
      </c>
      <c r="V945" s="47">
        <f>IF(AND(H945="Realizado",OR(L945="",M945="")),1,0)</f>
        <v>0</v>
      </c>
    </row>
    <row r="946">
      <c r="A946" s="43" t="n">
        <v>46268</v>
      </c>
      <c r="B946" s="44" t="n">
        <v>0.6111111111111112</v>
      </c>
      <c r="C946" s="38" t="inlineStr">
        <is>
          <t>Dra. Renata Sousa</t>
        </is>
      </c>
      <c r="D946" s="38" t="inlineStr">
        <is>
          <t>Sala 1</t>
        </is>
      </c>
      <c r="E946" s="37" t="inlineStr">
        <is>
          <t>Carlos Gonçalves</t>
        </is>
      </c>
      <c r="F946" s="38" t="inlineStr">
        <is>
          <t>Saúde Total</t>
        </is>
      </c>
      <c r="G946" s="38" t="inlineStr">
        <is>
          <t>Retorno</t>
        </is>
      </c>
      <c r="H946" s="38" t="inlineStr">
        <is>
          <t>Realizado</t>
        </is>
      </c>
      <c r="I946" s="38" t="inlineStr">
        <is>
          <t>Sem cobrança</t>
        </is>
      </c>
      <c r="J946" s="38" t="n"/>
      <c r="K946" s="37" t="n"/>
      <c r="L946" s="39" t="n">
        <v>20</v>
      </c>
      <c r="M946" s="40" t="n">
        <v>0</v>
      </c>
      <c r="N946" s="30">
        <f>IF(A946="","",MONTH(A946))</f>
        <v>9</v>
      </c>
      <c r="O946" s="30">
        <f>IF(A946="","",YEAR(A946))</f>
        <v>2026</v>
      </c>
      <c r="P946" s="30" t="str">
        <f>IF(A946="","",CHOOSE(WEEKDAY(A946,2),"Segunda","Terça","Quarta","Quinta","Sexta","Sábado","Domingo"))</f>
        <v>Quinta</v>
      </c>
      <c r="Q946" s="30" t="str">
        <f>IF(B946="","",IF(B946&lt;TIME(12,0,0),"Manhã",IF(B946&lt;TIME(18,0,0),"Tarde","Noite")))</f>
        <v>Tarde</v>
      </c>
      <c r="R946" s="46">
        <f>IF(AND(H946="Realizado",L946&lt;&gt;"",A946&lt;=Config!$B$9),L946/60,0)</f>
        <v>0.333333333333333</v>
      </c>
      <c r="S946" s="45">
        <f>IF(G946="","",IFERROR(INDEX(Config!$K$5:$K$16,MATCH(G946,Config!$J$5:$J$16,0)),""))</f>
        <v>20</v>
      </c>
      <c r="T946" s="31">
        <f>IF(OR(G946="",F946=""),"",IFERROR(INDEX(Config!$M$5:$R$16,MATCH(G946,Config!$J$5:$J$16,0),MATCH(F946,Config!$H$5:$H$10,0)),""))</f>
        <v>0</v>
      </c>
      <c r="U946" s="47">
        <f>IF(AND(H946="Realizado",L946&lt;&gt;""),L946/60,0)</f>
        <v>0.333333333333333</v>
      </c>
      <c r="V946" s="47">
        <f>IF(AND(H946="Realizado",OR(L946="",M946="")),1,0)</f>
        <v>0</v>
      </c>
    </row>
    <row r="947">
      <c r="A947" s="43" t="n">
        <v>46268</v>
      </c>
      <c r="B947" s="44" t="n">
        <v>0.6180555555555556</v>
      </c>
      <c r="C947" s="38" t="inlineStr">
        <is>
          <t>Dr. Paulo Andrade</t>
        </is>
      </c>
      <c r="D947" s="38" t="inlineStr">
        <is>
          <t>Sala 2</t>
        </is>
      </c>
      <c r="E947" s="37" t="inlineStr">
        <is>
          <t>Camila Batista</t>
        </is>
      </c>
      <c r="F947" s="38" t="inlineStr">
        <is>
          <t>MediPlan</t>
        </is>
      </c>
      <c r="G947" s="38" t="inlineStr">
        <is>
          <t>Holter</t>
        </is>
      </c>
      <c r="H947" s="38" t="inlineStr">
        <is>
          <t>Falta</t>
        </is>
      </c>
      <c r="I947" s="38" t="n"/>
      <c r="J947" s="38" t="n"/>
      <c r="K947" s="37" t="n"/>
      <c r="L947" s="39" t="n">
        <v>20</v>
      </c>
      <c r="M947" s="40" t="n">
        <v>95</v>
      </c>
      <c r="N947" s="30">
        <f>IF(A947="","",MONTH(A947))</f>
        <v>9</v>
      </c>
      <c r="O947" s="30">
        <f>IF(A947="","",YEAR(A947))</f>
        <v>2026</v>
      </c>
      <c r="P947" s="30" t="str">
        <f>IF(A947="","",CHOOSE(WEEKDAY(A947,2),"Segunda","Terça","Quarta","Quinta","Sexta","Sábado","Domingo"))</f>
        <v>Quinta</v>
      </c>
      <c r="Q947" s="30" t="str">
        <f>IF(B947="","",IF(B947&lt;TIME(12,0,0),"Manhã",IF(B947&lt;TIME(18,0,0),"Tarde","Noite")))</f>
        <v>Tarde</v>
      </c>
      <c r="R947" s="46">
        <f>IF(AND(H947="Realizado",L947&lt;&gt;"",A947&lt;=Config!$B$9),L947/60,0)</f>
        <v>0</v>
      </c>
      <c r="S947" s="45">
        <f>IF(G947="","",IFERROR(INDEX(Config!$K$5:$K$16,MATCH(G947,Config!$J$5:$J$16,0)),""))</f>
        <v>20</v>
      </c>
      <c r="T947" s="31">
        <f>IF(OR(G947="",F947=""),"",IFERROR(INDEX(Config!$M$5:$R$16,MATCH(G947,Config!$J$5:$J$16,0),MATCH(F947,Config!$H$5:$H$10,0)),""))</f>
        <v>95</v>
      </c>
      <c r="U947" s="47">
        <f>IF(AND(H947="Realizado",L947&lt;&gt;""),L947/60,0)</f>
        <v>0</v>
      </c>
      <c r="V947" s="47">
        <f>IF(AND(H947="Realizado",OR(L947="",M947="")),1,0)</f>
        <v>0</v>
      </c>
    </row>
    <row r="948">
      <c r="A948" s="43" t="n">
        <v>46268</v>
      </c>
      <c r="B948" s="44" t="n">
        <v>0.625</v>
      </c>
      <c r="C948" s="38" t="inlineStr">
        <is>
          <t>Dra. Renata Sousa</t>
        </is>
      </c>
      <c r="D948" s="38" t="inlineStr">
        <is>
          <t>Sala 1</t>
        </is>
      </c>
      <c r="E948" s="37" t="inlineStr">
        <is>
          <t>Carlos Gomes</t>
        </is>
      </c>
      <c r="F948" s="38" t="inlineStr">
        <is>
          <t>Saúde Total</t>
        </is>
      </c>
      <c r="G948" s="38" t="inlineStr">
        <is>
          <t>Avaliação endócrina</t>
        </is>
      </c>
      <c r="H948" s="38" t="inlineStr">
        <is>
          <t>Realizado</t>
        </is>
      </c>
      <c r="I948" s="38" t="inlineStr">
        <is>
          <t>Convênio</t>
        </is>
      </c>
      <c r="J948" s="38" t="n"/>
      <c r="K948" s="37" t="n"/>
      <c r="L948" s="39" t="n">
        <v>40</v>
      </c>
      <c r="M948" s="40" t="n">
        <v>130</v>
      </c>
      <c r="N948" s="30">
        <f>IF(A948="","",MONTH(A948))</f>
        <v>9</v>
      </c>
      <c r="O948" s="30">
        <f>IF(A948="","",YEAR(A948))</f>
        <v>2026</v>
      </c>
      <c r="P948" s="30" t="str">
        <f>IF(A948="","",CHOOSE(WEEKDAY(A948,2),"Segunda","Terça","Quarta","Quinta","Sexta","Sábado","Domingo"))</f>
        <v>Quinta</v>
      </c>
      <c r="Q948" s="30" t="str">
        <f>IF(B948="","",IF(B948&lt;TIME(12,0,0),"Manhã",IF(B948&lt;TIME(18,0,0),"Tarde","Noite")))</f>
        <v>Tarde</v>
      </c>
      <c r="R948" s="46">
        <f>IF(AND(H948="Realizado",L948&lt;&gt;"",A948&lt;=Config!$B$9),L948/60,0)</f>
        <v>0.666666666666667</v>
      </c>
      <c r="S948" s="45">
        <f>IF(G948="","",IFERROR(INDEX(Config!$K$5:$K$16,MATCH(G948,Config!$J$5:$J$16,0)),""))</f>
        <v>40</v>
      </c>
      <c r="T948" s="31">
        <f>IF(OR(G948="",F948=""),"",IFERROR(INDEX(Config!$M$5:$R$16,MATCH(G948,Config!$J$5:$J$16,0),MATCH(F948,Config!$H$5:$H$10,0)),""))</f>
        <v>130</v>
      </c>
      <c r="U948" s="47">
        <f>IF(AND(H948="Realizado",L948&lt;&gt;""),L948/60,0)</f>
        <v>0.666666666666667</v>
      </c>
      <c r="V948" s="47">
        <f>IF(AND(H948="Realizado",OR(L948="",M948="")),1,0)</f>
        <v>0</v>
      </c>
    </row>
    <row r="949">
      <c r="A949" s="43" t="n">
        <v>46268</v>
      </c>
      <c r="B949" s="44" t="n">
        <v>0.6319444444444444</v>
      </c>
      <c r="C949" s="38" t="inlineStr">
        <is>
          <t>Dr. Paulo Andrade</t>
        </is>
      </c>
      <c r="D949" s="38" t="inlineStr">
        <is>
          <t>Sala 2</t>
        </is>
      </c>
      <c r="E949" s="37" t="inlineStr">
        <is>
          <t>Paulo Ribeiro</t>
        </is>
      </c>
      <c r="F949" s="38" t="inlineStr">
        <is>
          <t>Saúde Total</t>
        </is>
      </c>
      <c r="G949" s="38" t="inlineStr">
        <is>
          <t>Consulta</t>
        </is>
      </c>
      <c r="H949" s="38" t="inlineStr">
        <is>
          <t>Realizado</t>
        </is>
      </c>
      <c r="I949" s="38" t="inlineStr">
        <is>
          <t>Convênio</t>
        </is>
      </c>
      <c r="J949" s="38" t="n"/>
      <c r="K949" s="37" t="n"/>
      <c r="L949" s="39" t="n">
        <v>30</v>
      </c>
      <c r="M949" s="40" t="n">
        <v>120</v>
      </c>
      <c r="N949" s="30">
        <f>IF(A949="","",MONTH(A949))</f>
        <v>9</v>
      </c>
      <c r="O949" s="30">
        <f>IF(A949="","",YEAR(A949))</f>
        <v>2026</v>
      </c>
      <c r="P949" s="30" t="str">
        <f>IF(A949="","",CHOOSE(WEEKDAY(A949,2),"Segunda","Terça","Quarta","Quinta","Sexta","Sábado","Domingo"))</f>
        <v>Quinta</v>
      </c>
      <c r="Q949" s="30" t="str">
        <f>IF(B949="","",IF(B949&lt;TIME(12,0,0),"Manhã",IF(B949&lt;TIME(18,0,0),"Tarde","Noite")))</f>
        <v>Tarde</v>
      </c>
      <c r="R949" s="46">
        <f>IF(AND(H949="Realizado",L949&lt;&gt;"",A949&lt;=Config!$B$9),L949/60,0)</f>
        <v>0.5</v>
      </c>
      <c r="S949" s="45">
        <f>IF(G949="","",IFERROR(INDEX(Config!$K$5:$K$16,MATCH(G949,Config!$J$5:$J$16,0)),""))</f>
        <v>30</v>
      </c>
      <c r="T949" s="31">
        <f>IF(OR(G949="",F949=""),"",IFERROR(INDEX(Config!$M$5:$R$16,MATCH(G949,Config!$J$5:$J$16,0),MATCH(F949,Config!$H$5:$H$10,0)),""))</f>
        <v>120</v>
      </c>
      <c r="U949" s="47">
        <f>IF(AND(H949="Realizado",L949&lt;&gt;""),L949/60,0)</f>
        <v>0.5</v>
      </c>
      <c r="V949" s="47">
        <f>IF(AND(H949="Realizado",OR(L949="",M949="")),1,0)</f>
        <v>0</v>
      </c>
    </row>
    <row r="950">
      <c r="A950" s="43" t="n">
        <v>46268</v>
      </c>
      <c r="B950" s="44" t="n">
        <v>0.6527777777777778</v>
      </c>
      <c r="C950" s="38" t="inlineStr">
        <is>
          <t>Dra. Renata Sousa</t>
        </is>
      </c>
      <c r="D950" s="38" t="inlineStr">
        <is>
          <t>Sala 1</t>
        </is>
      </c>
      <c r="E950" s="37" t="inlineStr">
        <is>
          <t>Patrícia Dias</t>
        </is>
      </c>
      <c r="F950" s="38" t="inlineStr">
        <is>
          <t>Particular</t>
        </is>
      </c>
      <c r="G950" s="38" t="inlineStr">
        <is>
          <t>Retorno</t>
        </is>
      </c>
      <c r="H950" s="38" t="inlineStr">
        <is>
          <t>Realizado</t>
        </is>
      </c>
      <c r="I950" s="38" t="inlineStr">
        <is>
          <t>Sem cobrança</t>
        </is>
      </c>
      <c r="J950" s="38" t="n"/>
      <c r="K950" s="37" t="n"/>
      <c r="L950" s="39" t="n">
        <v>20</v>
      </c>
      <c r="M950" s="40" t="n">
        <v>0</v>
      </c>
      <c r="N950" s="30">
        <f>IF(A950="","",MONTH(A950))</f>
        <v>9</v>
      </c>
      <c r="O950" s="30">
        <f>IF(A950="","",YEAR(A950))</f>
        <v>2026</v>
      </c>
      <c r="P950" s="30" t="str">
        <f>IF(A950="","",CHOOSE(WEEKDAY(A950,2),"Segunda","Terça","Quarta","Quinta","Sexta","Sábado","Domingo"))</f>
        <v>Quinta</v>
      </c>
      <c r="Q950" s="30" t="str">
        <f>IF(B950="","",IF(B950&lt;TIME(12,0,0),"Manhã",IF(B950&lt;TIME(18,0,0),"Tarde","Noite")))</f>
        <v>Tarde</v>
      </c>
      <c r="R950" s="46">
        <f>IF(AND(H950="Realizado",L950&lt;&gt;"",A950&lt;=Config!$B$9),L950/60,0)</f>
        <v>0.333333333333333</v>
      </c>
      <c r="S950" s="45">
        <f>IF(G950="","",IFERROR(INDEX(Config!$K$5:$K$16,MATCH(G950,Config!$J$5:$J$16,0)),""))</f>
        <v>20</v>
      </c>
      <c r="T950" s="31">
        <f>IF(OR(G950="",F950=""),"",IFERROR(INDEX(Config!$M$5:$R$16,MATCH(G950,Config!$J$5:$J$16,0),MATCH(F950,Config!$H$5:$H$10,0)),""))</f>
        <v>0</v>
      </c>
      <c r="U950" s="47">
        <f>IF(AND(H950="Realizado",L950&lt;&gt;""),L950/60,0)</f>
        <v>0.333333333333333</v>
      </c>
      <c r="V950" s="47">
        <f>IF(AND(H950="Realizado",OR(L950="",M950="")),1,0)</f>
        <v>0</v>
      </c>
    </row>
    <row r="951">
      <c r="A951" s="43" t="n">
        <v>46268</v>
      </c>
      <c r="B951" s="44" t="n">
        <v>0.6527777777777778</v>
      </c>
      <c r="C951" s="38" t="inlineStr">
        <is>
          <t>Dr. Paulo Andrade</t>
        </is>
      </c>
      <c r="D951" s="38" t="inlineStr">
        <is>
          <t>Sala 2</t>
        </is>
      </c>
      <c r="E951" s="37" t="inlineStr">
        <is>
          <t>Regina Teixeira</t>
        </is>
      </c>
      <c r="F951" s="38" t="inlineStr">
        <is>
          <t>Particular</t>
        </is>
      </c>
      <c r="G951" s="38" t="inlineStr">
        <is>
          <t>Retorno</t>
        </is>
      </c>
      <c r="H951" s="38" t="inlineStr">
        <is>
          <t>Realizado</t>
        </is>
      </c>
      <c r="I951" s="38" t="inlineStr">
        <is>
          <t>Sem cobrança</t>
        </is>
      </c>
      <c r="J951" s="38" t="n"/>
      <c r="K951" s="37" t="n"/>
      <c r="L951" s="39" t="n">
        <v>20</v>
      </c>
      <c r="M951" s="40" t="n">
        <v>0</v>
      </c>
      <c r="N951" s="30">
        <f>IF(A951="","",MONTH(A951))</f>
        <v>9</v>
      </c>
      <c r="O951" s="30">
        <f>IF(A951="","",YEAR(A951))</f>
        <v>2026</v>
      </c>
      <c r="P951" s="30" t="str">
        <f>IF(A951="","",CHOOSE(WEEKDAY(A951,2),"Segunda","Terça","Quarta","Quinta","Sexta","Sábado","Domingo"))</f>
        <v>Quinta</v>
      </c>
      <c r="Q951" s="30" t="str">
        <f>IF(B951="","",IF(B951&lt;TIME(12,0,0),"Manhã",IF(B951&lt;TIME(18,0,0),"Tarde","Noite")))</f>
        <v>Tarde</v>
      </c>
      <c r="R951" s="46">
        <f>IF(AND(H951="Realizado",L951&lt;&gt;"",A951&lt;=Config!$B$9),L951/60,0)</f>
        <v>0.333333333333333</v>
      </c>
      <c r="S951" s="45">
        <f>IF(G951="","",IFERROR(INDEX(Config!$K$5:$K$16,MATCH(G951,Config!$J$5:$J$16,0)),""))</f>
        <v>20</v>
      </c>
      <c r="T951" s="31">
        <f>IF(OR(G951="",F951=""),"",IFERROR(INDEX(Config!$M$5:$R$16,MATCH(G951,Config!$J$5:$J$16,0),MATCH(F951,Config!$H$5:$H$10,0)),""))</f>
        <v>0</v>
      </c>
      <c r="U951" s="47">
        <f>IF(AND(H951="Realizado",L951&lt;&gt;""),L951/60,0)</f>
        <v>0.333333333333333</v>
      </c>
      <c r="V951" s="47">
        <f>IF(AND(H951="Realizado",OR(L951="",M951="")),1,0)</f>
        <v>0</v>
      </c>
    </row>
    <row r="952">
      <c r="A952" s="43" t="n">
        <v>46268</v>
      </c>
      <c r="B952" s="44" t="n">
        <v>0.6666666666666666</v>
      </c>
      <c r="C952" s="38" t="inlineStr">
        <is>
          <t>Dra. Renata Sousa</t>
        </is>
      </c>
      <c r="D952" s="38" t="inlineStr">
        <is>
          <t>Sala 1</t>
        </is>
      </c>
      <c r="E952" s="37" t="inlineStr">
        <is>
          <t>Rafael Pereira</t>
        </is>
      </c>
      <c r="F952" s="38" t="inlineStr">
        <is>
          <t>Particular</t>
        </is>
      </c>
      <c r="G952" s="38" t="inlineStr">
        <is>
          <t>Avaliação endócrina</t>
        </is>
      </c>
      <c r="H952" s="38" t="inlineStr">
        <is>
          <t>Realizado</t>
        </is>
      </c>
      <c r="I952" s="38" t="inlineStr">
        <is>
          <t>Cartão de crédito</t>
        </is>
      </c>
      <c r="J952" s="38" t="n">
        <v>2</v>
      </c>
      <c r="K952" s="37" t="n"/>
      <c r="L952" s="39" t="n">
        <v>40</v>
      </c>
      <c r="M952" s="40" t="n">
        <v>400</v>
      </c>
      <c r="N952" s="30">
        <f>IF(A952="","",MONTH(A952))</f>
        <v>9</v>
      </c>
      <c r="O952" s="30">
        <f>IF(A952="","",YEAR(A952))</f>
        <v>2026</v>
      </c>
      <c r="P952" s="30" t="str">
        <f>IF(A952="","",CHOOSE(WEEKDAY(A952,2),"Segunda","Terça","Quarta","Quinta","Sexta","Sábado","Domingo"))</f>
        <v>Quinta</v>
      </c>
      <c r="Q952" s="30" t="str">
        <f>IF(B952="","",IF(B952&lt;TIME(12,0,0),"Manhã",IF(B952&lt;TIME(18,0,0),"Tarde","Noite")))</f>
        <v>Tarde</v>
      </c>
      <c r="R952" s="46">
        <f>IF(AND(H952="Realizado",L952&lt;&gt;"",A952&lt;=Config!$B$9),L952/60,0)</f>
        <v>0.666666666666667</v>
      </c>
      <c r="S952" s="45">
        <f>IF(G952="","",IFERROR(INDEX(Config!$K$5:$K$16,MATCH(G952,Config!$J$5:$J$16,0)),""))</f>
        <v>40</v>
      </c>
      <c r="T952" s="31">
        <f>IF(OR(G952="",F952=""),"",IFERROR(INDEX(Config!$M$5:$R$16,MATCH(G952,Config!$J$5:$J$16,0),MATCH(F952,Config!$H$5:$H$10,0)),""))</f>
        <v>400</v>
      </c>
      <c r="U952" s="47">
        <f>IF(AND(H952="Realizado",L952&lt;&gt;""),L952/60,0)</f>
        <v>0.666666666666667</v>
      </c>
      <c r="V952" s="47">
        <f>IF(AND(H952="Realizado",OR(L952="",M952="")),1,0)</f>
        <v>0</v>
      </c>
    </row>
    <row r="953">
      <c r="A953" s="43" t="n">
        <v>46268</v>
      </c>
      <c r="B953" s="44" t="n">
        <v>0.6666666666666666</v>
      </c>
      <c r="C953" s="38" t="inlineStr">
        <is>
          <t>Dr. Paulo Andrade</t>
        </is>
      </c>
      <c r="D953" s="38" t="inlineStr">
        <is>
          <t>Sala 2</t>
        </is>
      </c>
      <c r="E953" s="37" t="inlineStr">
        <is>
          <t>Isabela Pinto</t>
        </is>
      </c>
      <c r="F953" s="38" t="inlineStr">
        <is>
          <t>Saúde Total</t>
        </is>
      </c>
      <c r="G953" s="38" t="inlineStr">
        <is>
          <t>ECG</t>
        </is>
      </c>
      <c r="H953" s="38" t="inlineStr">
        <is>
          <t>Realizado</t>
        </is>
      </c>
      <c r="I953" s="38" t="inlineStr">
        <is>
          <t>Convênio</t>
        </is>
      </c>
      <c r="J953" s="38" t="n"/>
      <c r="K953" s="37" t="n"/>
      <c r="L953" s="39" t="n">
        <v>20</v>
      </c>
      <c r="M953" s="40" t="n">
        <v>40</v>
      </c>
      <c r="N953" s="30">
        <f>IF(A953="","",MONTH(A953))</f>
        <v>9</v>
      </c>
      <c r="O953" s="30">
        <f>IF(A953="","",YEAR(A953))</f>
        <v>2026</v>
      </c>
      <c r="P953" s="30" t="str">
        <f>IF(A953="","",CHOOSE(WEEKDAY(A953,2),"Segunda","Terça","Quarta","Quinta","Sexta","Sábado","Domingo"))</f>
        <v>Quinta</v>
      </c>
      <c r="Q953" s="30" t="str">
        <f>IF(B953="","",IF(B953&lt;TIME(12,0,0),"Manhã",IF(B953&lt;TIME(18,0,0),"Tarde","Noite")))</f>
        <v>Tarde</v>
      </c>
      <c r="R953" s="46">
        <f>IF(AND(H953="Realizado",L953&lt;&gt;"",A953&lt;=Config!$B$9),L953/60,0)</f>
        <v>0.333333333333333</v>
      </c>
      <c r="S953" s="45">
        <f>IF(G953="","",IFERROR(INDEX(Config!$K$5:$K$16,MATCH(G953,Config!$J$5:$J$16,0)),""))</f>
        <v>20</v>
      </c>
      <c r="T953" s="31">
        <f>IF(OR(G953="",F953=""),"",IFERROR(INDEX(Config!$M$5:$R$16,MATCH(G953,Config!$J$5:$J$16,0),MATCH(F953,Config!$H$5:$H$10,0)),""))</f>
        <v>40</v>
      </c>
      <c r="U953" s="47">
        <f>IF(AND(H953="Realizado",L953&lt;&gt;""),L953/60,0)</f>
        <v>0.333333333333333</v>
      </c>
      <c r="V953" s="47">
        <f>IF(AND(H953="Realizado",OR(L953="",M953="")),1,0)</f>
        <v>0</v>
      </c>
    </row>
    <row r="954">
      <c r="A954" s="43" t="n">
        <v>46268</v>
      </c>
      <c r="B954" s="44" t="n">
        <v>0.6805555555555556</v>
      </c>
      <c r="C954" s="38" t="inlineStr">
        <is>
          <t>Dr. Paulo Andrade</t>
        </is>
      </c>
      <c r="D954" s="38" t="inlineStr">
        <is>
          <t>Sala 2</t>
        </is>
      </c>
      <c r="E954" s="37" t="inlineStr">
        <is>
          <t>Rafael Barros</t>
        </is>
      </c>
      <c r="F954" s="38" t="inlineStr">
        <is>
          <t>Particular</t>
        </is>
      </c>
      <c r="G954" s="38" t="inlineStr">
        <is>
          <t>Teste ergométrico</t>
        </is>
      </c>
      <c r="H954" s="38" t="inlineStr">
        <is>
          <t>Realizado</t>
        </is>
      </c>
      <c r="I954" s="38" t="inlineStr">
        <is>
          <t>Cartão de débito</t>
        </is>
      </c>
      <c r="J954" s="38" t="n"/>
      <c r="K954" s="37" t="n"/>
      <c r="L954" s="39" t="n">
        <v>40</v>
      </c>
      <c r="M954" s="40" t="n">
        <v>450</v>
      </c>
      <c r="N954" s="30">
        <f>IF(A954="","",MONTH(A954))</f>
        <v>9</v>
      </c>
      <c r="O954" s="30">
        <f>IF(A954="","",YEAR(A954))</f>
        <v>2026</v>
      </c>
      <c r="P954" s="30" t="str">
        <f>IF(A954="","",CHOOSE(WEEKDAY(A954,2),"Segunda","Terça","Quarta","Quinta","Sexta","Sábado","Domingo"))</f>
        <v>Quinta</v>
      </c>
      <c r="Q954" s="30" t="str">
        <f>IF(B954="","",IF(B954&lt;TIME(12,0,0),"Manhã",IF(B954&lt;TIME(18,0,0),"Tarde","Noite")))</f>
        <v>Tarde</v>
      </c>
      <c r="R954" s="46">
        <f>IF(AND(H954="Realizado",L954&lt;&gt;"",A954&lt;=Config!$B$9),L954/60,0)</f>
        <v>0.666666666666667</v>
      </c>
      <c r="S954" s="45">
        <f>IF(G954="","",IFERROR(INDEX(Config!$K$5:$K$16,MATCH(G954,Config!$J$5:$J$16,0)),""))</f>
        <v>40</v>
      </c>
      <c r="T954" s="31">
        <f>IF(OR(G954="",F954=""),"",IFERROR(INDEX(Config!$M$5:$R$16,MATCH(G954,Config!$J$5:$J$16,0),MATCH(F954,Config!$H$5:$H$10,0)),""))</f>
        <v>450</v>
      </c>
      <c r="U954" s="47">
        <f>IF(AND(H954="Realizado",L954&lt;&gt;""),L954/60,0)</f>
        <v>0.666666666666667</v>
      </c>
      <c r="V954" s="47">
        <f>IF(AND(H954="Realizado",OR(L954="",M954="")),1,0)</f>
        <v>0</v>
      </c>
    </row>
    <row r="955">
      <c r="A955" s="43" t="n">
        <v>46268</v>
      </c>
      <c r="B955" s="44" t="n">
        <v>0.6944444444444444</v>
      </c>
      <c r="C955" s="38" t="inlineStr">
        <is>
          <t>Dra. Renata Sousa</t>
        </is>
      </c>
      <c r="D955" s="38" t="inlineStr">
        <is>
          <t>Sala 1</t>
        </is>
      </c>
      <c r="E955" s="37" t="inlineStr">
        <is>
          <t>Tatiana Macedo</t>
        </is>
      </c>
      <c r="F955" s="38" t="inlineStr">
        <is>
          <t>Particular</t>
        </is>
      </c>
      <c r="G955" s="38" t="inlineStr">
        <is>
          <t>Avaliação endócrina</t>
        </is>
      </c>
      <c r="H955" s="38" t="inlineStr">
        <is>
          <t>Realizado</t>
        </is>
      </c>
      <c r="I955" s="38" t="inlineStr">
        <is>
          <t>Pix</t>
        </is>
      </c>
      <c r="J955" s="38" t="n"/>
      <c r="K955" s="37" t="n"/>
      <c r="L955" s="39" t="n">
        <v>40</v>
      </c>
      <c r="M955" s="40" t="n">
        <v>400</v>
      </c>
      <c r="N955" s="30">
        <f>IF(A955="","",MONTH(A955))</f>
        <v>9</v>
      </c>
      <c r="O955" s="30">
        <f>IF(A955="","",YEAR(A955))</f>
        <v>2026</v>
      </c>
      <c r="P955" s="30" t="str">
        <f>IF(A955="","",CHOOSE(WEEKDAY(A955,2),"Segunda","Terça","Quarta","Quinta","Sexta","Sábado","Domingo"))</f>
        <v>Quinta</v>
      </c>
      <c r="Q955" s="30" t="str">
        <f>IF(B955="","",IF(B955&lt;TIME(12,0,0),"Manhã",IF(B955&lt;TIME(18,0,0),"Tarde","Noite")))</f>
        <v>Tarde</v>
      </c>
      <c r="R955" s="46">
        <f>IF(AND(H955="Realizado",L955&lt;&gt;"",A955&lt;=Config!$B$9),L955/60,0)</f>
        <v>0.666666666666667</v>
      </c>
      <c r="S955" s="45">
        <f>IF(G955="","",IFERROR(INDEX(Config!$K$5:$K$16,MATCH(G955,Config!$J$5:$J$16,0)),""))</f>
        <v>40</v>
      </c>
      <c r="T955" s="31">
        <f>IF(OR(G955="",F955=""),"",IFERROR(INDEX(Config!$M$5:$R$16,MATCH(G955,Config!$J$5:$J$16,0),MATCH(F955,Config!$H$5:$H$10,0)),""))</f>
        <v>400</v>
      </c>
      <c r="U955" s="47">
        <f>IF(AND(H955="Realizado",L955&lt;&gt;""),L955/60,0)</f>
        <v>0.666666666666667</v>
      </c>
      <c r="V955" s="47">
        <f>IF(AND(H955="Realizado",OR(L955="",M955="")),1,0)</f>
        <v>0</v>
      </c>
    </row>
    <row r="956">
      <c r="A956" s="43" t="n">
        <v>46268</v>
      </c>
      <c r="B956" s="44" t="n">
        <v>0.7083333333333334</v>
      </c>
      <c r="C956" s="38" t="inlineStr">
        <is>
          <t>Dr. Paulo Andrade</t>
        </is>
      </c>
      <c r="D956" s="38" t="inlineStr">
        <is>
          <t>Sala 2</t>
        </is>
      </c>
      <c r="E956" s="37" t="inlineStr">
        <is>
          <t>Fábio Correia</t>
        </is>
      </c>
      <c r="F956" s="38" t="inlineStr">
        <is>
          <t>Particular</t>
        </is>
      </c>
      <c r="G956" s="38" t="inlineStr">
        <is>
          <t>Retorno</t>
        </is>
      </c>
      <c r="H956" s="38" t="inlineStr">
        <is>
          <t>Realizado</t>
        </is>
      </c>
      <c r="I956" s="38" t="inlineStr">
        <is>
          <t>Sem cobrança</t>
        </is>
      </c>
      <c r="J956" s="38" t="n"/>
      <c r="K956" s="37" t="n"/>
      <c r="L956" s="39" t="n">
        <v>20</v>
      </c>
      <c r="M956" s="40" t="n">
        <v>0</v>
      </c>
      <c r="N956" s="30">
        <f>IF(A956="","",MONTH(A956))</f>
        <v>9</v>
      </c>
      <c r="O956" s="30">
        <f>IF(A956="","",YEAR(A956))</f>
        <v>2026</v>
      </c>
      <c r="P956" s="30" t="str">
        <f>IF(A956="","",CHOOSE(WEEKDAY(A956,2),"Segunda","Terça","Quarta","Quinta","Sexta","Sábado","Domingo"))</f>
        <v>Quinta</v>
      </c>
      <c r="Q956" s="30" t="str">
        <f>IF(B956="","",IF(B956&lt;TIME(12,0,0),"Manhã",IF(B956&lt;TIME(18,0,0),"Tarde","Noite")))</f>
        <v>Tarde</v>
      </c>
      <c r="R956" s="46">
        <f>IF(AND(H956="Realizado",L956&lt;&gt;"",A956&lt;=Config!$B$9),L956/60,0)</f>
        <v>0.333333333333333</v>
      </c>
      <c r="S956" s="45">
        <f>IF(G956="","",IFERROR(INDEX(Config!$K$5:$K$16,MATCH(G956,Config!$J$5:$J$16,0)),""))</f>
        <v>20</v>
      </c>
      <c r="T956" s="31">
        <f>IF(OR(G956="",F956=""),"",IFERROR(INDEX(Config!$M$5:$R$16,MATCH(G956,Config!$J$5:$J$16,0),MATCH(F956,Config!$H$5:$H$10,0)),""))</f>
        <v>0</v>
      </c>
      <c r="U956" s="47">
        <f>IF(AND(H956="Realizado",L956&lt;&gt;""),L956/60,0)</f>
        <v>0.333333333333333</v>
      </c>
      <c r="V956" s="47">
        <f>IF(AND(H956="Realizado",OR(L956="",M956="")),1,0)</f>
        <v>0</v>
      </c>
    </row>
    <row r="957">
      <c r="A957" s="43" t="n">
        <v>46268</v>
      </c>
      <c r="B957" s="44" t="n">
        <v>0.7222222222222222</v>
      </c>
      <c r="C957" s="38" t="inlineStr">
        <is>
          <t>Dra. Renata Sousa</t>
        </is>
      </c>
      <c r="D957" s="38" t="inlineStr">
        <is>
          <t>Sala 1</t>
        </is>
      </c>
      <c r="E957" s="37" t="inlineStr">
        <is>
          <t>Mônica Almeida</t>
        </is>
      </c>
      <c r="F957" s="38" t="inlineStr">
        <is>
          <t>Particular</t>
        </is>
      </c>
      <c r="G957" s="38" t="inlineStr">
        <is>
          <t>Avaliação endócrina</t>
        </is>
      </c>
      <c r="H957" s="38" t="inlineStr">
        <is>
          <t>Realizado</t>
        </is>
      </c>
      <c r="I957" s="38" t="inlineStr">
        <is>
          <t>Pix</t>
        </is>
      </c>
      <c r="J957" s="38" t="n"/>
      <c r="K957" s="37" t="n"/>
      <c r="L957" s="39" t="n">
        <v>40</v>
      </c>
      <c r="M957" s="40" t="n">
        <v>400</v>
      </c>
      <c r="N957" s="30">
        <f>IF(A957="","",MONTH(A957))</f>
        <v>9</v>
      </c>
      <c r="O957" s="30">
        <f>IF(A957="","",YEAR(A957))</f>
        <v>2026</v>
      </c>
      <c r="P957" s="30" t="str">
        <f>IF(A957="","",CHOOSE(WEEKDAY(A957,2),"Segunda","Terça","Quarta","Quinta","Sexta","Sábado","Domingo"))</f>
        <v>Quinta</v>
      </c>
      <c r="Q957" s="30" t="str">
        <f>IF(B957="","",IF(B957&lt;TIME(12,0,0),"Manhã",IF(B957&lt;TIME(18,0,0),"Tarde","Noite")))</f>
        <v>Tarde</v>
      </c>
      <c r="R957" s="46">
        <f>IF(AND(H957="Realizado",L957&lt;&gt;"",A957&lt;=Config!$B$9),L957/60,0)</f>
        <v>0.666666666666667</v>
      </c>
      <c r="S957" s="45">
        <f>IF(G957="","",IFERROR(INDEX(Config!$K$5:$K$16,MATCH(G957,Config!$J$5:$J$16,0)),""))</f>
        <v>40</v>
      </c>
      <c r="T957" s="31">
        <f>IF(OR(G957="",F957=""),"",IFERROR(INDEX(Config!$M$5:$R$16,MATCH(G957,Config!$J$5:$J$16,0),MATCH(F957,Config!$H$5:$H$10,0)),""))</f>
        <v>400</v>
      </c>
      <c r="U957" s="47">
        <f>IF(AND(H957="Realizado",L957&lt;&gt;""),L957/60,0)</f>
        <v>0.666666666666667</v>
      </c>
      <c r="V957" s="47">
        <f>IF(AND(H957="Realizado",OR(L957="",M957="")),1,0)</f>
        <v>0</v>
      </c>
    </row>
    <row r="958">
      <c r="A958" s="43" t="n">
        <v>46269</v>
      </c>
      <c r="B958" s="44" t="n">
        <v>0.3333333333333333</v>
      </c>
      <c r="C958" s="38" t="inlineStr">
        <is>
          <t>Dr. Paulo Andrade</t>
        </is>
      </c>
      <c r="D958" s="38" t="inlineStr">
        <is>
          <t>Sala 2</t>
        </is>
      </c>
      <c r="E958" s="37" t="inlineStr">
        <is>
          <t>Eduardo Nunes</t>
        </is>
      </c>
      <c r="F958" s="38" t="inlineStr">
        <is>
          <t>MediPlan</t>
        </is>
      </c>
      <c r="G958" s="38" t="inlineStr">
        <is>
          <t>MAPA</t>
        </is>
      </c>
      <c r="H958" s="38" t="inlineStr">
        <is>
          <t>Realizado</t>
        </is>
      </c>
      <c r="I958" s="38" t="inlineStr">
        <is>
          <t>Convênio</t>
        </is>
      </c>
      <c r="J958" s="38" t="n"/>
      <c r="K958" s="37" t="n"/>
      <c r="L958" s="39" t="n">
        <v>20</v>
      </c>
      <c r="M958" s="40" t="n">
        <v>85</v>
      </c>
      <c r="N958" s="30">
        <f>IF(A958="","",MONTH(A958))</f>
        <v>9</v>
      </c>
      <c r="O958" s="30">
        <f>IF(A958="","",YEAR(A958))</f>
        <v>2026</v>
      </c>
      <c r="P958" s="30" t="str">
        <f>IF(A958="","",CHOOSE(WEEKDAY(A958,2),"Segunda","Terça","Quarta","Quinta","Sexta","Sábado","Domingo"))</f>
        <v>Sexta</v>
      </c>
      <c r="Q958" s="30" t="str">
        <f>IF(B958="","",IF(B958&lt;TIME(12,0,0),"Manhã",IF(B958&lt;TIME(18,0,0),"Tarde","Noite")))</f>
        <v>Manhã</v>
      </c>
      <c r="R958" s="46">
        <f>IF(AND(H958="Realizado",L958&lt;&gt;"",A958&lt;=Config!$B$9),L958/60,0)</f>
        <v>0.333333333333333</v>
      </c>
      <c r="S958" s="45">
        <f>IF(G958="","",IFERROR(INDEX(Config!$K$5:$K$16,MATCH(G958,Config!$J$5:$J$16,0)),""))</f>
        <v>20</v>
      </c>
      <c r="T958" s="31">
        <f>IF(OR(G958="",F958=""),"",IFERROR(INDEX(Config!$M$5:$R$16,MATCH(G958,Config!$J$5:$J$16,0),MATCH(F958,Config!$H$5:$H$10,0)),""))</f>
        <v>85</v>
      </c>
      <c r="U958" s="47">
        <f>IF(AND(H958="Realizado",L958&lt;&gt;""),L958/60,0)</f>
        <v>0.333333333333333</v>
      </c>
      <c r="V958" s="47">
        <f>IF(AND(H958="Realizado",OR(L958="",M958="")),1,0)</f>
        <v>0</v>
      </c>
    </row>
    <row r="959">
      <c r="A959" s="43" t="n">
        <v>46269</v>
      </c>
      <c r="B959" s="44" t="n">
        <v>0.3472222222222222</v>
      </c>
      <c r="C959" s="38" t="inlineStr">
        <is>
          <t>Dr. Paulo Andrade</t>
        </is>
      </c>
      <c r="D959" s="38" t="inlineStr">
        <is>
          <t>Sala 2</t>
        </is>
      </c>
      <c r="E959" s="37" t="inlineStr">
        <is>
          <t>Camila Batista</t>
        </is>
      </c>
      <c r="F959" s="38" t="inlineStr">
        <is>
          <t>MediPlan</t>
        </is>
      </c>
      <c r="G959" s="38" t="inlineStr">
        <is>
          <t>Teste ergométrico</t>
        </is>
      </c>
      <c r="H959" s="38" t="inlineStr">
        <is>
          <t>Realizado</t>
        </is>
      </c>
      <c r="I959" s="38" t="inlineStr">
        <is>
          <t>Convênio</t>
        </is>
      </c>
      <c r="J959" s="38" t="n"/>
      <c r="K959" s="37" t="n"/>
      <c r="L959" s="39" t="n">
        <v>40</v>
      </c>
      <c r="M959" s="40" t="n">
        <v>125</v>
      </c>
      <c r="N959" s="30">
        <f>IF(A959="","",MONTH(A959))</f>
        <v>9</v>
      </c>
      <c r="O959" s="30">
        <f>IF(A959="","",YEAR(A959))</f>
        <v>2026</v>
      </c>
      <c r="P959" s="30" t="str">
        <f>IF(A959="","",CHOOSE(WEEKDAY(A959,2),"Segunda","Terça","Quarta","Quinta","Sexta","Sábado","Domingo"))</f>
        <v>Sexta</v>
      </c>
      <c r="Q959" s="30" t="str">
        <f>IF(B959="","",IF(B959&lt;TIME(12,0,0),"Manhã",IF(B959&lt;TIME(18,0,0),"Tarde","Noite")))</f>
        <v>Manhã</v>
      </c>
      <c r="R959" s="46">
        <f>IF(AND(H959="Realizado",L959&lt;&gt;"",A959&lt;=Config!$B$9),L959/60,0)</f>
        <v>0.666666666666667</v>
      </c>
      <c r="S959" s="45">
        <f>IF(G959="","",IFERROR(INDEX(Config!$K$5:$K$16,MATCH(G959,Config!$J$5:$J$16,0)),""))</f>
        <v>40</v>
      </c>
      <c r="T959" s="31">
        <f>IF(OR(G959="",F959=""),"",IFERROR(INDEX(Config!$M$5:$R$16,MATCH(G959,Config!$J$5:$J$16,0),MATCH(F959,Config!$H$5:$H$10,0)),""))</f>
        <v>125</v>
      </c>
      <c r="U959" s="47">
        <f>IF(AND(H959="Realizado",L959&lt;&gt;""),L959/60,0)</f>
        <v>0.666666666666667</v>
      </c>
      <c r="V959" s="47">
        <f>IF(AND(H959="Realizado",OR(L959="",M959="")),1,0)</f>
        <v>0</v>
      </c>
    </row>
    <row r="960">
      <c r="A960" s="43" t="n">
        <v>46269</v>
      </c>
      <c r="B960" s="44" t="n">
        <v>0.375</v>
      </c>
      <c r="C960" s="38" t="inlineStr">
        <is>
          <t>Dr. Paulo Andrade</t>
        </is>
      </c>
      <c r="D960" s="38" t="inlineStr">
        <is>
          <t>Sala 2</t>
        </is>
      </c>
      <c r="E960" s="37" t="inlineStr">
        <is>
          <t>Ricardo Melo</t>
        </is>
      </c>
      <c r="F960" s="38" t="inlineStr">
        <is>
          <t>Saúde Total</t>
        </is>
      </c>
      <c r="G960" s="38" t="inlineStr">
        <is>
          <t>Holter</t>
        </is>
      </c>
      <c r="H960" s="38" t="inlineStr">
        <is>
          <t>Falta</t>
        </is>
      </c>
      <c r="I960" s="38" t="n"/>
      <c r="J960" s="38" t="n"/>
      <c r="K960" s="37" t="n"/>
      <c r="L960" s="39" t="n">
        <v>20</v>
      </c>
      <c r="M960" s="40" t="n">
        <v>105</v>
      </c>
      <c r="N960" s="30">
        <f>IF(A960="","",MONTH(A960))</f>
        <v>9</v>
      </c>
      <c r="O960" s="30">
        <f>IF(A960="","",YEAR(A960))</f>
        <v>2026</v>
      </c>
      <c r="P960" s="30" t="str">
        <f>IF(A960="","",CHOOSE(WEEKDAY(A960,2),"Segunda","Terça","Quarta","Quinta","Sexta","Sábado","Domingo"))</f>
        <v>Sexta</v>
      </c>
      <c r="Q960" s="30" t="str">
        <f>IF(B960="","",IF(B960&lt;TIME(12,0,0),"Manhã",IF(B960&lt;TIME(18,0,0),"Tarde","Noite")))</f>
        <v>Manhã</v>
      </c>
      <c r="R960" s="46">
        <f>IF(AND(H960="Realizado",L960&lt;&gt;"",A960&lt;=Config!$B$9),L960/60,0)</f>
        <v>0</v>
      </c>
      <c r="S960" s="45">
        <f>IF(G960="","",IFERROR(INDEX(Config!$K$5:$K$16,MATCH(G960,Config!$J$5:$J$16,0)),""))</f>
        <v>20</v>
      </c>
      <c r="T960" s="31">
        <f>IF(OR(G960="",F960=""),"",IFERROR(INDEX(Config!$M$5:$R$16,MATCH(G960,Config!$J$5:$J$16,0),MATCH(F960,Config!$H$5:$H$10,0)),""))</f>
        <v>105</v>
      </c>
      <c r="U960" s="47">
        <f>IF(AND(H960="Realizado",L960&lt;&gt;""),L960/60,0)</f>
        <v>0</v>
      </c>
      <c r="V960" s="47">
        <f>IF(AND(H960="Realizado",OR(L960="",M960="")),1,0)</f>
        <v>0</v>
      </c>
    </row>
    <row r="961">
      <c r="A961" s="43" t="n">
        <v>46269</v>
      </c>
      <c r="B961" s="44" t="n">
        <v>0.3888888888888889</v>
      </c>
      <c r="C961" s="38" t="inlineStr">
        <is>
          <t>Dr. Paulo Andrade</t>
        </is>
      </c>
      <c r="D961" s="38" t="inlineStr">
        <is>
          <t>Sala 2</t>
        </is>
      </c>
      <c r="E961" s="37" t="inlineStr">
        <is>
          <t>Wagner Costa</t>
        </is>
      </c>
      <c r="F961" s="38" t="inlineStr">
        <is>
          <t>Particular</t>
        </is>
      </c>
      <c r="G961" s="38" t="inlineStr">
        <is>
          <t>Retorno</t>
        </is>
      </c>
      <c r="H961" s="38" t="inlineStr">
        <is>
          <t>Realizado</t>
        </is>
      </c>
      <c r="I961" s="38" t="inlineStr">
        <is>
          <t>Sem cobrança</t>
        </is>
      </c>
      <c r="J961" s="38" t="n"/>
      <c r="K961" s="37" t="n"/>
      <c r="L961" s="39" t="n">
        <v>20</v>
      </c>
      <c r="M961" s="40" t="n">
        <v>0</v>
      </c>
      <c r="N961" s="30">
        <f>IF(A961="","",MONTH(A961))</f>
        <v>9</v>
      </c>
      <c r="O961" s="30">
        <f>IF(A961="","",YEAR(A961))</f>
        <v>2026</v>
      </c>
      <c r="P961" s="30" t="str">
        <f>IF(A961="","",CHOOSE(WEEKDAY(A961,2),"Segunda","Terça","Quarta","Quinta","Sexta","Sábado","Domingo"))</f>
        <v>Sexta</v>
      </c>
      <c r="Q961" s="30" t="str">
        <f>IF(B961="","",IF(B961&lt;TIME(12,0,0),"Manhã",IF(B961&lt;TIME(18,0,0),"Tarde","Noite")))</f>
        <v>Manhã</v>
      </c>
      <c r="R961" s="46">
        <f>IF(AND(H961="Realizado",L961&lt;&gt;"",A961&lt;=Config!$B$9),L961/60,0)</f>
        <v>0.333333333333333</v>
      </c>
      <c r="S961" s="45">
        <f>IF(G961="","",IFERROR(INDEX(Config!$K$5:$K$16,MATCH(G961,Config!$J$5:$J$16,0)),""))</f>
        <v>20</v>
      </c>
      <c r="T961" s="31">
        <f>IF(OR(G961="",F961=""),"",IFERROR(INDEX(Config!$M$5:$R$16,MATCH(G961,Config!$J$5:$J$16,0),MATCH(F961,Config!$H$5:$H$10,0)),""))</f>
        <v>0</v>
      </c>
      <c r="U961" s="47">
        <f>IF(AND(H961="Realizado",L961&lt;&gt;""),L961/60,0)</f>
        <v>0.333333333333333</v>
      </c>
      <c r="V961" s="47">
        <f>IF(AND(H961="Realizado",OR(L961="",M961="")),1,0)</f>
        <v>0</v>
      </c>
    </row>
    <row r="962">
      <c r="A962" s="43" t="n">
        <v>46269</v>
      </c>
      <c r="B962" s="44" t="n">
        <v>0.4027777777777778</v>
      </c>
      <c r="C962" s="38" t="inlineStr">
        <is>
          <t>Dr. Paulo Andrade</t>
        </is>
      </c>
      <c r="D962" s="38" t="inlineStr">
        <is>
          <t>Sala 2</t>
        </is>
      </c>
      <c r="E962" s="37" t="inlineStr">
        <is>
          <t>Vanessa Carvalho</t>
        </is>
      </c>
      <c r="F962" s="38" t="inlineStr">
        <is>
          <t>Saúde Total</t>
        </is>
      </c>
      <c r="G962" s="38" t="inlineStr">
        <is>
          <t>Consulta</t>
        </is>
      </c>
      <c r="H962" s="38" t="inlineStr">
        <is>
          <t>Realizado</t>
        </is>
      </c>
      <c r="I962" s="38" t="inlineStr">
        <is>
          <t>Convênio</t>
        </is>
      </c>
      <c r="J962" s="38" t="n"/>
      <c r="K962" s="37" t="n"/>
      <c r="L962" s="39" t="n">
        <v>30</v>
      </c>
      <c r="M962" s="40" t="n">
        <v>120</v>
      </c>
      <c r="N962" s="30">
        <f>IF(A962="","",MONTH(A962))</f>
        <v>9</v>
      </c>
      <c r="O962" s="30">
        <f>IF(A962="","",YEAR(A962))</f>
        <v>2026</v>
      </c>
      <c r="P962" s="30" t="str">
        <f>IF(A962="","",CHOOSE(WEEKDAY(A962,2),"Segunda","Terça","Quarta","Quinta","Sexta","Sábado","Domingo"))</f>
        <v>Sexta</v>
      </c>
      <c r="Q962" s="30" t="str">
        <f>IF(B962="","",IF(B962&lt;TIME(12,0,0),"Manhã",IF(B962&lt;TIME(18,0,0),"Tarde","Noite")))</f>
        <v>Manhã</v>
      </c>
      <c r="R962" s="46">
        <f>IF(AND(H962="Realizado",L962&lt;&gt;"",A962&lt;=Config!$B$9),L962/60,0)</f>
        <v>0.5</v>
      </c>
      <c r="S962" s="45">
        <f>IF(G962="","",IFERROR(INDEX(Config!$K$5:$K$16,MATCH(G962,Config!$J$5:$J$16,0)),""))</f>
        <v>30</v>
      </c>
      <c r="T962" s="31">
        <f>IF(OR(G962="",F962=""),"",IFERROR(INDEX(Config!$M$5:$R$16,MATCH(G962,Config!$J$5:$J$16,0),MATCH(F962,Config!$H$5:$H$10,0)),""))</f>
        <v>120</v>
      </c>
      <c r="U962" s="47">
        <f>IF(AND(H962="Realizado",L962&lt;&gt;""),L962/60,0)</f>
        <v>0.5</v>
      </c>
      <c r="V962" s="47">
        <f>IF(AND(H962="Realizado",OR(L962="",M962="")),1,0)</f>
        <v>0</v>
      </c>
    </row>
    <row r="963">
      <c r="A963" s="43" t="n">
        <v>46269</v>
      </c>
      <c r="B963" s="44" t="n">
        <v>0.4236111111111111</v>
      </c>
      <c r="C963" s="38" t="inlineStr">
        <is>
          <t>Dr. Paulo Andrade</t>
        </is>
      </c>
      <c r="D963" s="38" t="inlineStr">
        <is>
          <t>Sala 2</t>
        </is>
      </c>
      <c r="E963" s="37" t="inlineStr">
        <is>
          <t>Gabriel Oliveira</t>
        </is>
      </c>
      <c r="F963" s="38" t="inlineStr">
        <is>
          <t>Particular</t>
        </is>
      </c>
      <c r="G963" s="38" t="inlineStr">
        <is>
          <t>Consulta</t>
        </is>
      </c>
      <c r="H963" s="38" t="inlineStr">
        <is>
          <t>Falta</t>
        </is>
      </c>
      <c r="I963" s="38" t="n"/>
      <c r="J963" s="38" t="n"/>
      <c r="K963" s="37" t="n"/>
      <c r="L963" s="39" t="n">
        <v>30</v>
      </c>
      <c r="M963" s="40" t="n">
        <v>380</v>
      </c>
      <c r="N963" s="30">
        <f>IF(A963="","",MONTH(A963))</f>
        <v>9</v>
      </c>
      <c r="O963" s="30">
        <f>IF(A963="","",YEAR(A963))</f>
        <v>2026</v>
      </c>
      <c r="P963" s="30" t="str">
        <f>IF(A963="","",CHOOSE(WEEKDAY(A963,2),"Segunda","Terça","Quarta","Quinta","Sexta","Sábado","Domingo"))</f>
        <v>Sexta</v>
      </c>
      <c r="Q963" s="30" t="str">
        <f>IF(B963="","",IF(B963&lt;TIME(12,0,0),"Manhã",IF(B963&lt;TIME(18,0,0),"Tarde","Noite")))</f>
        <v>Manhã</v>
      </c>
      <c r="R963" s="46">
        <f>IF(AND(H963="Realizado",L963&lt;&gt;"",A963&lt;=Config!$B$9),L963/60,0)</f>
        <v>0</v>
      </c>
      <c r="S963" s="45">
        <f>IF(G963="","",IFERROR(INDEX(Config!$K$5:$K$16,MATCH(G963,Config!$J$5:$J$16,0)),""))</f>
        <v>30</v>
      </c>
      <c r="T963" s="31">
        <f>IF(OR(G963="",F963=""),"",IFERROR(INDEX(Config!$M$5:$R$16,MATCH(G963,Config!$J$5:$J$16,0),MATCH(F963,Config!$H$5:$H$10,0)),""))</f>
        <v>380</v>
      </c>
      <c r="U963" s="47">
        <f>IF(AND(H963="Realizado",L963&lt;&gt;""),L963/60,0)</f>
        <v>0</v>
      </c>
      <c r="V963" s="47">
        <f>IF(AND(H963="Realizado",OR(L963="",M963="")),1,0)</f>
        <v>0</v>
      </c>
    </row>
    <row r="964">
      <c r="A964" s="43" t="n">
        <v>46269</v>
      </c>
      <c r="B964" s="44" t="n">
        <v>0.4444444444444444</v>
      </c>
      <c r="C964" s="38" t="inlineStr">
        <is>
          <t>Dr. Paulo Andrade</t>
        </is>
      </c>
      <c r="D964" s="38" t="inlineStr">
        <is>
          <t>Sala 2</t>
        </is>
      </c>
      <c r="E964" s="37" t="inlineStr">
        <is>
          <t>Fernanda Freitas</t>
        </is>
      </c>
      <c r="F964" s="38" t="inlineStr">
        <is>
          <t>Particular</t>
        </is>
      </c>
      <c r="G964" s="38" t="inlineStr">
        <is>
          <t>Teste ergométrico</t>
        </is>
      </c>
      <c r="H964" s="38" t="inlineStr">
        <is>
          <t>Realizado</t>
        </is>
      </c>
      <c r="I964" s="38" t="inlineStr">
        <is>
          <t>A prazo</t>
        </is>
      </c>
      <c r="J964" s="38" t="n"/>
      <c r="K964" s="37" t="n"/>
      <c r="L964" s="39" t="n">
        <v>40</v>
      </c>
      <c r="M964" s="40" t="n">
        <v>450</v>
      </c>
      <c r="N964" s="30">
        <f>IF(A964="","",MONTH(A964))</f>
        <v>9</v>
      </c>
      <c r="O964" s="30">
        <f>IF(A964="","",YEAR(A964))</f>
        <v>2026</v>
      </c>
      <c r="P964" s="30" t="str">
        <f>IF(A964="","",CHOOSE(WEEKDAY(A964,2),"Segunda","Terça","Quarta","Quinta","Sexta","Sábado","Domingo"))</f>
        <v>Sexta</v>
      </c>
      <c r="Q964" s="30" t="str">
        <f>IF(B964="","",IF(B964&lt;TIME(12,0,0),"Manhã",IF(B964&lt;TIME(18,0,0),"Tarde","Noite")))</f>
        <v>Manhã</v>
      </c>
      <c r="R964" s="46">
        <f>IF(AND(H964="Realizado",L964&lt;&gt;"",A964&lt;=Config!$B$9),L964/60,0)</f>
        <v>0.666666666666667</v>
      </c>
      <c r="S964" s="45">
        <f>IF(G964="","",IFERROR(INDEX(Config!$K$5:$K$16,MATCH(G964,Config!$J$5:$J$16,0)),""))</f>
        <v>40</v>
      </c>
      <c r="T964" s="31">
        <f>IF(OR(G964="",F964=""),"",IFERROR(INDEX(Config!$M$5:$R$16,MATCH(G964,Config!$J$5:$J$16,0),MATCH(F964,Config!$H$5:$H$10,0)),""))</f>
        <v>450</v>
      </c>
      <c r="U964" s="47">
        <f>IF(AND(H964="Realizado",L964&lt;&gt;""),L964/60,0)</f>
        <v>0.666666666666667</v>
      </c>
      <c r="V964" s="47">
        <f>IF(AND(H964="Realizado",OR(L964="",M964="")),1,0)</f>
        <v>0</v>
      </c>
    </row>
    <row r="965">
      <c r="A965" s="43" t="n">
        <v>46269</v>
      </c>
      <c r="B965" s="44" t="n">
        <v>0.4722222222222222</v>
      </c>
      <c r="C965" s="38" t="inlineStr">
        <is>
          <t>Dr. Paulo Andrade</t>
        </is>
      </c>
      <c r="D965" s="38" t="inlineStr">
        <is>
          <t>Sala 2</t>
        </is>
      </c>
      <c r="E965" s="37" t="inlineStr">
        <is>
          <t>Rafael Dias</t>
        </is>
      </c>
      <c r="F965" s="38" t="inlineStr">
        <is>
          <t>Particular</t>
        </is>
      </c>
      <c r="G965" s="38" t="inlineStr">
        <is>
          <t>MAPA</t>
        </is>
      </c>
      <c r="H965" s="38" t="inlineStr">
        <is>
          <t>Realizado</t>
        </is>
      </c>
      <c r="I965" s="38" t="inlineStr">
        <is>
          <t>Dinheiro</t>
        </is>
      </c>
      <c r="J965" s="38" t="n"/>
      <c r="K965" s="37" t="n"/>
      <c r="L965" s="39" t="n">
        <v>20</v>
      </c>
      <c r="M965" s="40" t="n">
        <v>300</v>
      </c>
      <c r="N965" s="30">
        <f>IF(A965="","",MONTH(A965))</f>
        <v>9</v>
      </c>
      <c r="O965" s="30">
        <f>IF(A965="","",YEAR(A965))</f>
        <v>2026</v>
      </c>
      <c r="P965" s="30" t="str">
        <f>IF(A965="","",CHOOSE(WEEKDAY(A965,2),"Segunda","Terça","Quarta","Quinta","Sexta","Sábado","Domingo"))</f>
        <v>Sexta</v>
      </c>
      <c r="Q965" s="30" t="str">
        <f>IF(B965="","",IF(B965&lt;TIME(12,0,0),"Manhã",IF(B965&lt;TIME(18,0,0),"Tarde","Noite")))</f>
        <v>Manhã</v>
      </c>
      <c r="R965" s="46">
        <f>IF(AND(H965="Realizado",L965&lt;&gt;"",A965&lt;=Config!$B$9),L965/60,0)</f>
        <v>0.333333333333333</v>
      </c>
      <c r="S965" s="45">
        <f>IF(G965="","",IFERROR(INDEX(Config!$K$5:$K$16,MATCH(G965,Config!$J$5:$J$16,0)),""))</f>
        <v>20</v>
      </c>
      <c r="T965" s="31">
        <f>IF(OR(G965="",F965=""),"",IFERROR(INDEX(Config!$M$5:$R$16,MATCH(G965,Config!$J$5:$J$16,0),MATCH(F965,Config!$H$5:$H$10,0)),""))</f>
        <v>300</v>
      </c>
      <c r="U965" s="47">
        <f>IF(AND(H965="Realizado",L965&lt;&gt;""),L965/60,0)</f>
        <v>0.333333333333333</v>
      </c>
      <c r="V965" s="47">
        <f>IF(AND(H965="Realizado",OR(L965="",M965="")),1,0)</f>
        <v>0</v>
      </c>
    </row>
    <row r="966">
      <c r="A966" s="43" t="n">
        <v>46269</v>
      </c>
      <c r="B966" s="44" t="n">
        <v>0.4861111111111111</v>
      </c>
      <c r="C966" s="38" t="inlineStr">
        <is>
          <t>Dr. Paulo Andrade</t>
        </is>
      </c>
      <c r="D966" s="38" t="inlineStr">
        <is>
          <t>Sala 2</t>
        </is>
      </c>
      <c r="E966" s="37" t="inlineStr">
        <is>
          <t>Camila Martins</t>
        </is>
      </c>
      <c r="F966" s="38" t="inlineStr">
        <is>
          <t>Vida Care</t>
        </is>
      </c>
      <c r="G966" s="38" t="inlineStr">
        <is>
          <t>Consulta</t>
        </is>
      </c>
      <c r="H966" s="38" t="inlineStr">
        <is>
          <t>Realizado</t>
        </is>
      </c>
      <c r="I966" s="38" t="inlineStr">
        <is>
          <t>Convênio</t>
        </is>
      </c>
      <c r="J966" s="38" t="n"/>
      <c r="K966" s="37" t="n"/>
      <c r="L966" s="39" t="n">
        <v>30</v>
      </c>
      <c r="M966" s="40" t="n">
        <v>90</v>
      </c>
      <c r="N966" s="30">
        <f>IF(A966="","",MONTH(A966))</f>
        <v>9</v>
      </c>
      <c r="O966" s="30">
        <f>IF(A966="","",YEAR(A966))</f>
        <v>2026</v>
      </c>
      <c r="P966" s="30" t="str">
        <f>IF(A966="","",CHOOSE(WEEKDAY(A966,2),"Segunda","Terça","Quarta","Quinta","Sexta","Sábado","Domingo"))</f>
        <v>Sexta</v>
      </c>
      <c r="Q966" s="30" t="str">
        <f>IF(B966="","",IF(B966&lt;TIME(12,0,0),"Manhã",IF(B966&lt;TIME(18,0,0),"Tarde","Noite")))</f>
        <v>Manhã</v>
      </c>
      <c r="R966" s="46">
        <f>IF(AND(H966="Realizado",L966&lt;&gt;"",A966&lt;=Config!$B$9),L966/60,0)</f>
        <v>0.5</v>
      </c>
      <c r="S966" s="45">
        <f>IF(G966="","",IFERROR(INDEX(Config!$K$5:$K$16,MATCH(G966,Config!$J$5:$J$16,0)),""))</f>
        <v>30</v>
      </c>
      <c r="T966" s="31">
        <f>IF(OR(G966="",F966=""),"",IFERROR(INDEX(Config!$M$5:$R$16,MATCH(G966,Config!$J$5:$J$16,0),MATCH(F966,Config!$H$5:$H$10,0)),""))</f>
        <v>90</v>
      </c>
      <c r="U966" s="47">
        <f>IF(AND(H966="Realizado",L966&lt;&gt;""),L966/60,0)</f>
        <v>0.5</v>
      </c>
      <c r="V966" s="47">
        <f>IF(AND(H966="Realizado",OR(L966="",M966="")),1,0)</f>
        <v>0</v>
      </c>
    </row>
    <row r="967">
      <c r="A967" s="43" t="n">
        <v>46273</v>
      </c>
      <c r="B967" s="44" t="n">
        <v>0.3333333333333333</v>
      </c>
      <c r="C967" s="38" t="inlineStr">
        <is>
          <t>Dra. Carolina Mendes</t>
        </is>
      </c>
      <c r="D967" s="38" t="inlineStr">
        <is>
          <t>Sala 1</t>
        </is>
      </c>
      <c r="E967" s="37" t="inlineStr">
        <is>
          <t>Gustavo Barbosa</t>
        </is>
      </c>
      <c r="F967" s="38" t="inlineStr">
        <is>
          <t>Saúde Total</t>
        </is>
      </c>
      <c r="G967" s="38" t="inlineStr">
        <is>
          <t>Consulta</t>
        </is>
      </c>
      <c r="H967" s="38" t="inlineStr">
        <is>
          <t>Realizado</t>
        </is>
      </c>
      <c r="I967" s="38" t="inlineStr">
        <is>
          <t>Convênio</t>
        </is>
      </c>
      <c r="J967" s="38" t="n"/>
      <c r="K967" s="37" t="n"/>
      <c r="L967" s="39" t="n">
        <v>30</v>
      </c>
      <c r="M967" s="40" t="n">
        <v>120</v>
      </c>
      <c r="N967" s="30">
        <f>IF(A967="","",MONTH(A967))</f>
        <v>9</v>
      </c>
      <c r="O967" s="30">
        <f>IF(A967="","",YEAR(A967))</f>
        <v>2026</v>
      </c>
      <c r="P967" s="30" t="str">
        <f>IF(A967="","",CHOOSE(WEEKDAY(A967,2),"Segunda","Terça","Quarta","Quinta","Sexta","Sábado","Domingo"))</f>
        <v>Terça</v>
      </c>
      <c r="Q967" s="30" t="str">
        <f>IF(B967="","",IF(B967&lt;TIME(12,0,0),"Manhã",IF(B967&lt;TIME(18,0,0),"Tarde","Noite")))</f>
        <v>Manhã</v>
      </c>
      <c r="R967" s="46">
        <f>IF(AND(H967="Realizado",L967&lt;&gt;"",A967&lt;=Config!$B$9),L967/60,0)</f>
        <v>0.5</v>
      </c>
      <c r="S967" s="45">
        <f>IF(G967="","",IFERROR(INDEX(Config!$K$5:$K$16,MATCH(G967,Config!$J$5:$J$16,0)),""))</f>
        <v>30</v>
      </c>
      <c r="T967" s="31">
        <f>IF(OR(G967="",F967=""),"",IFERROR(INDEX(Config!$M$5:$R$16,MATCH(G967,Config!$J$5:$J$16,0),MATCH(F967,Config!$H$5:$H$10,0)),""))</f>
        <v>120</v>
      </c>
      <c r="U967" s="47">
        <f>IF(AND(H967="Realizado",L967&lt;&gt;""),L967/60,0)</f>
        <v>0.5</v>
      </c>
      <c r="V967" s="47">
        <f>IF(AND(H967="Realizado",OR(L967="",M967="")),1,0)</f>
        <v>0</v>
      </c>
    </row>
    <row r="968">
      <c r="A968" s="43" t="n">
        <v>46273</v>
      </c>
      <c r="B968" s="44" t="n">
        <v>0.3541666666666667</v>
      </c>
      <c r="C968" s="38" t="inlineStr">
        <is>
          <t>Dra. Carolina Mendes</t>
        </is>
      </c>
      <c r="D968" s="38" t="inlineStr">
        <is>
          <t>Sala 1</t>
        </is>
      </c>
      <c r="E968" s="37" t="inlineStr">
        <is>
          <t>Wagner Lima</t>
        </is>
      </c>
      <c r="F968" s="38" t="inlineStr">
        <is>
          <t>Particular</t>
        </is>
      </c>
      <c r="G968" s="38" t="inlineStr">
        <is>
          <t>Retorno</t>
        </is>
      </c>
      <c r="H968" s="38" t="inlineStr">
        <is>
          <t>Realizado</t>
        </is>
      </c>
      <c r="I968" s="38" t="inlineStr">
        <is>
          <t>Sem cobrança</t>
        </is>
      </c>
      <c r="J968" s="38" t="n"/>
      <c r="K968" s="37" t="n"/>
      <c r="L968" s="39" t="n">
        <v>20</v>
      </c>
      <c r="M968" s="40" t="n">
        <v>0</v>
      </c>
      <c r="N968" s="30">
        <f>IF(A968="","",MONTH(A968))</f>
        <v>9</v>
      </c>
      <c r="O968" s="30">
        <f>IF(A968="","",YEAR(A968))</f>
        <v>2026</v>
      </c>
      <c r="P968" s="30" t="str">
        <f>IF(A968="","",CHOOSE(WEEKDAY(A968,2),"Segunda","Terça","Quarta","Quinta","Sexta","Sábado","Domingo"))</f>
        <v>Terça</v>
      </c>
      <c r="Q968" s="30" t="str">
        <f>IF(B968="","",IF(B968&lt;TIME(12,0,0),"Manhã",IF(B968&lt;TIME(18,0,0),"Tarde","Noite")))</f>
        <v>Manhã</v>
      </c>
      <c r="R968" s="46">
        <f>IF(AND(H968="Realizado",L968&lt;&gt;"",A968&lt;=Config!$B$9),L968/60,0)</f>
        <v>0.333333333333333</v>
      </c>
      <c r="S968" s="45">
        <f>IF(G968="","",IFERROR(INDEX(Config!$K$5:$K$16,MATCH(G968,Config!$J$5:$J$16,0)),""))</f>
        <v>20</v>
      </c>
      <c r="T968" s="31">
        <f>IF(OR(G968="",F968=""),"",IFERROR(INDEX(Config!$M$5:$R$16,MATCH(G968,Config!$J$5:$J$16,0),MATCH(F968,Config!$H$5:$H$10,0)),""))</f>
        <v>0</v>
      </c>
      <c r="U968" s="47">
        <f>IF(AND(H968="Realizado",L968&lt;&gt;""),L968/60,0)</f>
        <v>0.333333333333333</v>
      </c>
      <c r="V968" s="47">
        <f>IF(AND(H968="Realizado",OR(L968="",M968="")),1,0)</f>
        <v>0</v>
      </c>
    </row>
    <row r="969">
      <c r="A969" s="43" t="n">
        <v>46273</v>
      </c>
      <c r="B969" s="44" t="n">
        <v>0.3680555555555556</v>
      </c>
      <c r="C969" s="38" t="inlineStr">
        <is>
          <t>Dra. Carolina Mendes</t>
        </is>
      </c>
      <c r="D969" s="38" t="inlineStr">
        <is>
          <t>Sala 1</t>
        </is>
      </c>
      <c r="E969" s="37" t="inlineStr">
        <is>
          <t>Otávio Cardoso</t>
        </is>
      </c>
      <c r="F969" s="38" t="inlineStr">
        <is>
          <t>Particular</t>
        </is>
      </c>
      <c r="G969" s="38" t="inlineStr">
        <is>
          <t>Consulta</t>
        </is>
      </c>
      <c r="H969" s="38" t="inlineStr">
        <is>
          <t>Realizado</t>
        </is>
      </c>
      <c r="I969" s="38" t="inlineStr">
        <is>
          <t>Cartão de crédito</t>
        </is>
      </c>
      <c r="J969" s="38" t="n">
        <v>2</v>
      </c>
      <c r="K969" s="37" t="n"/>
      <c r="L969" s="39" t="n">
        <v>30</v>
      </c>
      <c r="M969" s="40" t="n">
        <v>380</v>
      </c>
      <c r="N969" s="30">
        <f>IF(A969="","",MONTH(A969))</f>
        <v>9</v>
      </c>
      <c r="O969" s="30">
        <f>IF(A969="","",YEAR(A969))</f>
        <v>2026</v>
      </c>
      <c r="P969" s="30" t="str">
        <f>IF(A969="","",CHOOSE(WEEKDAY(A969,2),"Segunda","Terça","Quarta","Quinta","Sexta","Sábado","Domingo"))</f>
        <v>Terça</v>
      </c>
      <c r="Q969" s="30" t="str">
        <f>IF(B969="","",IF(B969&lt;TIME(12,0,0),"Manhã",IF(B969&lt;TIME(18,0,0),"Tarde","Noite")))</f>
        <v>Manhã</v>
      </c>
      <c r="R969" s="46">
        <f>IF(AND(H969="Realizado",L969&lt;&gt;"",A969&lt;=Config!$B$9),L969/60,0)</f>
        <v>0.5</v>
      </c>
      <c r="S969" s="45">
        <f>IF(G969="","",IFERROR(INDEX(Config!$K$5:$K$16,MATCH(G969,Config!$J$5:$J$16,0)),""))</f>
        <v>30</v>
      </c>
      <c r="T969" s="31">
        <f>IF(OR(G969="",F969=""),"",IFERROR(INDEX(Config!$M$5:$R$16,MATCH(G969,Config!$J$5:$J$16,0),MATCH(F969,Config!$H$5:$H$10,0)),""))</f>
        <v>380</v>
      </c>
      <c r="U969" s="47">
        <f>IF(AND(H969="Realizado",L969&lt;&gt;""),L969/60,0)</f>
        <v>0.5</v>
      </c>
      <c r="V969" s="47">
        <f>IF(AND(H969="Realizado",OR(L969="",M969="")),1,0)</f>
        <v>0</v>
      </c>
    </row>
    <row r="970">
      <c r="A970" s="43" t="n">
        <v>46273</v>
      </c>
      <c r="B970" s="44" t="n">
        <v>0.3888888888888889</v>
      </c>
      <c r="C970" s="38" t="inlineStr">
        <is>
          <t>Dra. Carolina Mendes</t>
        </is>
      </c>
      <c r="D970" s="38" t="inlineStr">
        <is>
          <t>Sala 1</t>
        </is>
      </c>
      <c r="E970" s="37" t="inlineStr">
        <is>
          <t>Priscila Castro</t>
        </is>
      </c>
      <c r="F970" s="38" t="inlineStr">
        <is>
          <t>Saúde Total</t>
        </is>
      </c>
      <c r="G970" s="38" t="inlineStr">
        <is>
          <t>Retorno</t>
        </is>
      </c>
      <c r="H970" s="38" t="inlineStr">
        <is>
          <t>Realizado</t>
        </is>
      </c>
      <c r="I970" s="38" t="inlineStr">
        <is>
          <t>Sem cobrança</t>
        </is>
      </c>
      <c r="J970" s="38" t="n"/>
      <c r="K970" s="37" t="n"/>
      <c r="L970" s="39" t="n">
        <v>20</v>
      </c>
      <c r="M970" s="40" t="n">
        <v>0</v>
      </c>
      <c r="N970" s="30">
        <f>IF(A970="","",MONTH(A970))</f>
        <v>9</v>
      </c>
      <c r="O970" s="30">
        <f>IF(A970="","",YEAR(A970))</f>
        <v>2026</v>
      </c>
      <c r="P970" s="30" t="str">
        <f>IF(A970="","",CHOOSE(WEEKDAY(A970,2),"Segunda","Terça","Quarta","Quinta","Sexta","Sábado","Domingo"))</f>
        <v>Terça</v>
      </c>
      <c r="Q970" s="30" t="str">
        <f>IF(B970="","",IF(B970&lt;TIME(12,0,0),"Manhã",IF(B970&lt;TIME(18,0,0),"Tarde","Noite")))</f>
        <v>Manhã</v>
      </c>
      <c r="R970" s="46">
        <f>IF(AND(H970="Realizado",L970&lt;&gt;"",A970&lt;=Config!$B$9),L970/60,0)</f>
        <v>0.333333333333333</v>
      </c>
      <c r="S970" s="45">
        <f>IF(G970="","",IFERROR(INDEX(Config!$K$5:$K$16,MATCH(G970,Config!$J$5:$J$16,0)),""))</f>
        <v>20</v>
      </c>
      <c r="T970" s="31">
        <f>IF(OR(G970="",F970=""),"",IFERROR(INDEX(Config!$M$5:$R$16,MATCH(G970,Config!$J$5:$J$16,0),MATCH(F970,Config!$H$5:$H$10,0)),""))</f>
        <v>0</v>
      </c>
      <c r="U970" s="47">
        <f>IF(AND(H970="Realizado",L970&lt;&gt;""),L970/60,0)</f>
        <v>0.333333333333333</v>
      </c>
      <c r="V970" s="47">
        <f>IF(AND(H970="Realizado",OR(L970="",M970="")),1,0)</f>
        <v>0</v>
      </c>
    </row>
    <row r="971">
      <c r="A971" s="43" t="n">
        <v>46273</v>
      </c>
      <c r="B971" s="44" t="n">
        <v>0.4027777777777778</v>
      </c>
      <c r="C971" s="38" t="inlineStr">
        <is>
          <t>Dra. Carolina Mendes</t>
        </is>
      </c>
      <c r="D971" s="38" t="inlineStr">
        <is>
          <t>Sala 1</t>
        </is>
      </c>
      <c r="E971" s="37" t="inlineStr">
        <is>
          <t>Daniel Melo</t>
        </is>
      </c>
      <c r="F971" s="38" t="inlineStr">
        <is>
          <t>Saúde Total</t>
        </is>
      </c>
      <c r="G971" s="38" t="inlineStr">
        <is>
          <t>Retorno</t>
        </is>
      </c>
      <c r="H971" s="38" t="inlineStr">
        <is>
          <t>Falta</t>
        </is>
      </c>
      <c r="I971" s="38" t="n"/>
      <c r="J971" s="38" t="n"/>
      <c r="K971" s="37" t="n"/>
      <c r="L971" s="39" t="n">
        <v>20</v>
      </c>
      <c r="M971" s="40" t="n">
        <v>0</v>
      </c>
      <c r="N971" s="30">
        <f>IF(A971="","",MONTH(A971))</f>
        <v>9</v>
      </c>
      <c r="O971" s="30">
        <f>IF(A971="","",YEAR(A971))</f>
        <v>2026</v>
      </c>
      <c r="P971" s="30" t="str">
        <f>IF(A971="","",CHOOSE(WEEKDAY(A971,2),"Segunda","Terça","Quarta","Quinta","Sexta","Sábado","Domingo"))</f>
        <v>Terça</v>
      </c>
      <c r="Q971" s="30" t="str">
        <f>IF(B971="","",IF(B971&lt;TIME(12,0,0),"Manhã",IF(B971&lt;TIME(18,0,0),"Tarde","Noite")))</f>
        <v>Manhã</v>
      </c>
      <c r="R971" s="46">
        <f>IF(AND(H971="Realizado",L971&lt;&gt;"",A971&lt;=Config!$B$9),L971/60,0)</f>
        <v>0</v>
      </c>
      <c r="S971" s="45">
        <f>IF(G971="","",IFERROR(INDEX(Config!$K$5:$K$16,MATCH(G971,Config!$J$5:$J$16,0)),""))</f>
        <v>20</v>
      </c>
      <c r="T971" s="31">
        <f>IF(OR(G971="",F971=""),"",IFERROR(INDEX(Config!$M$5:$R$16,MATCH(G971,Config!$J$5:$J$16,0),MATCH(F971,Config!$H$5:$H$10,0)),""))</f>
        <v>0</v>
      </c>
      <c r="U971" s="47">
        <f>IF(AND(H971="Realizado",L971&lt;&gt;""),L971/60,0)</f>
        <v>0</v>
      </c>
      <c r="V971" s="47">
        <f>IF(AND(H971="Realizado",OR(L971="",M971="")),1,0)</f>
        <v>0</v>
      </c>
    </row>
    <row r="972">
      <c r="A972" s="43" t="n">
        <v>46273</v>
      </c>
      <c r="B972" s="44" t="n">
        <v>0.4166666666666667</v>
      </c>
      <c r="C972" s="38" t="inlineStr">
        <is>
          <t>Dra. Carolina Mendes</t>
        </is>
      </c>
      <c r="D972" s="38" t="inlineStr">
        <is>
          <t>Sala 1</t>
        </is>
      </c>
      <c r="E972" s="37" t="inlineStr">
        <is>
          <t>Isabela Nascimento</t>
        </is>
      </c>
      <c r="F972" s="38" t="inlineStr">
        <is>
          <t>Vida Care</t>
        </is>
      </c>
      <c r="G972" s="38" t="inlineStr">
        <is>
          <t>Consulta</t>
        </is>
      </c>
      <c r="H972" s="38" t="inlineStr">
        <is>
          <t>Cancelado</t>
        </is>
      </c>
      <c r="I972" s="38" t="n"/>
      <c r="J972" s="38" t="n"/>
      <c r="K972" s="37" t="n"/>
      <c r="L972" s="39" t="n">
        <v>30</v>
      </c>
      <c r="M972" s="40" t="n">
        <v>90</v>
      </c>
      <c r="N972" s="30">
        <f>IF(A972="","",MONTH(A972))</f>
        <v>9</v>
      </c>
      <c r="O972" s="30">
        <f>IF(A972="","",YEAR(A972))</f>
        <v>2026</v>
      </c>
      <c r="P972" s="30" t="str">
        <f>IF(A972="","",CHOOSE(WEEKDAY(A972,2),"Segunda","Terça","Quarta","Quinta","Sexta","Sábado","Domingo"))</f>
        <v>Terça</v>
      </c>
      <c r="Q972" s="30" t="str">
        <f>IF(B972="","",IF(B972&lt;TIME(12,0,0),"Manhã",IF(B972&lt;TIME(18,0,0),"Tarde","Noite")))</f>
        <v>Manhã</v>
      </c>
      <c r="R972" s="46">
        <f>IF(AND(H972="Realizado",L972&lt;&gt;"",A972&lt;=Config!$B$9),L972/60,0)</f>
        <v>0</v>
      </c>
      <c r="S972" s="45">
        <f>IF(G972="","",IFERROR(INDEX(Config!$K$5:$K$16,MATCH(G972,Config!$J$5:$J$16,0)),""))</f>
        <v>30</v>
      </c>
      <c r="T972" s="31">
        <f>IF(OR(G972="",F972=""),"",IFERROR(INDEX(Config!$M$5:$R$16,MATCH(G972,Config!$J$5:$J$16,0),MATCH(F972,Config!$H$5:$H$10,0)),""))</f>
        <v>90</v>
      </c>
      <c r="U972" s="47">
        <f>IF(AND(H972="Realizado",L972&lt;&gt;""),L972/60,0)</f>
        <v>0</v>
      </c>
      <c r="V972" s="47">
        <f>IF(AND(H972="Realizado",OR(L972="",M972="")),1,0)</f>
        <v>0</v>
      </c>
    </row>
    <row r="973">
      <c r="A973" s="43" t="n">
        <v>46273</v>
      </c>
      <c r="B973" s="44" t="n">
        <v>0.4375</v>
      </c>
      <c r="C973" s="38" t="inlineStr">
        <is>
          <t>Dra. Carolina Mendes</t>
        </is>
      </c>
      <c r="D973" s="38" t="inlineStr">
        <is>
          <t>Sala 1</t>
        </is>
      </c>
      <c r="E973" s="37" t="inlineStr">
        <is>
          <t>Carlos Barros</t>
        </is>
      </c>
      <c r="F973" s="38" t="inlineStr">
        <is>
          <t>MediPlan</t>
        </is>
      </c>
      <c r="G973" s="38" t="inlineStr">
        <is>
          <t>Consulta</t>
        </is>
      </c>
      <c r="H973" s="38" t="inlineStr">
        <is>
          <t>Realizado</t>
        </is>
      </c>
      <c r="I973" s="38" t="inlineStr">
        <is>
          <t>Convênio</t>
        </is>
      </c>
      <c r="J973" s="38" t="n"/>
      <c r="K973" s="37" t="n"/>
      <c r="L973" s="39" t="n">
        <v>30</v>
      </c>
      <c r="M973" s="40" t="n">
        <v>100</v>
      </c>
      <c r="N973" s="30">
        <f>IF(A973="","",MONTH(A973))</f>
        <v>9</v>
      </c>
      <c r="O973" s="30">
        <f>IF(A973="","",YEAR(A973))</f>
        <v>2026</v>
      </c>
      <c r="P973" s="30" t="str">
        <f>IF(A973="","",CHOOSE(WEEKDAY(A973,2),"Segunda","Terça","Quarta","Quinta","Sexta","Sábado","Domingo"))</f>
        <v>Terça</v>
      </c>
      <c r="Q973" s="30" t="str">
        <f>IF(B973="","",IF(B973&lt;TIME(12,0,0),"Manhã",IF(B973&lt;TIME(18,0,0),"Tarde","Noite")))</f>
        <v>Manhã</v>
      </c>
      <c r="R973" s="46">
        <f>IF(AND(H973="Realizado",L973&lt;&gt;"",A973&lt;=Config!$B$9),L973/60,0)</f>
        <v>0.5</v>
      </c>
      <c r="S973" s="45">
        <f>IF(G973="","",IFERROR(INDEX(Config!$K$5:$K$16,MATCH(G973,Config!$J$5:$J$16,0)),""))</f>
        <v>30</v>
      </c>
      <c r="T973" s="31">
        <f>IF(OR(G973="",F973=""),"",IFERROR(INDEX(Config!$M$5:$R$16,MATCH(G973,Config!$J$5:$J$16,0),MATCH(F973,Config!$H$5:$H$10,0)),""))</f>
        <v>100</v>
      </c>
      <c r="U973" s="47">
        <f>IF(AND(H973="Realizado",L973&lt;&gt;""),L973/60,0)</f>
        <v>0.5</v>
      </c>
      <c r="V973" s="47">
        <f>IF(AND(H973="Realizado",OR(L973="",M973="")),1,0)</f>
        <v>0</v>
      </c>
    </row>
    <row r="974">
      <c r="A974" s="43" t="n">
        <v>46273</v>
      </c>
      <c r="B974" s="44" t="n">
        <v>0.4583333333333333</v>
      </c>
      <c r="C974" s="38" t="inlineStr">
        <is>
          <t>Dra. Carolina Mendes</t>
        </is>
      </c>
      <c r="D974" s="38" t="inlineStr">
        <is>
          <t>Sala 1</t>
        </is>
      </c>
      <c r="E974" s="37" t="inlineStr">
        <is>
          <t>Otávio Nascimento</t>
        </is>
      </c>
      <c r="F974" s="38" t="inlineStr">
        <is>
          <t>Particular</t>
        </is>
      </c>
      <c r="G974" s="38" t="inlineStr">
        <is>
          <t>Consulta</t>
        </is>
      </c>
      <c r="H974" s="38" t="inlineStr">
        <is>
          <t>Realizado</t>
        </is>
      </c>
      <c r="I974" s="38" t="inlineStr">
        <is>
          <t>Cartão de crédito</t>
        </is>
      </c>
      <c r="J974" s="38" t="n">
        <v>2</v>
      </c>
      <c r="K974" s="37" t="n"/>
      <c r="L974" s="39" t="n">
        <v>30</v>
      </c>
      <c r="M974" s="40" t="n">
        <v>380</v>
      </c>
      <c r="N974" s="30">
        <f>IF(A974="","",MONTH(A974))</f>
        <v>9</v>
      </c>
      <c r="O974" s="30">
        <f>IF(A974="","",YEAR(A974))</f>
        <v>2026</v>
      </c>
      <c r="P974" s="30" t="str">
        <f>IF(A974="","",CHOOSE(WEEKDAY(A974,2),"Segunda","Terça","Quarta","Quinta","Sexta","Sábado","Domingo"))</f>
        <v>Terça</v>
      </c>
      <c r="Q974" s="30" t="str">
        <f>IF(B974="","",IF(B974&lt;TIME(12,0,0),"Manhã",IF(B974&lt;TIME(18,0,0),"Tarde","Noite")))</f>
        <v>Manhã</v>
      </c>
      <c r="R974" s="46">
        <f>IF(AND(H974="Realizado",L974&lt;&gt;"",A974&lt;=Config!$B$9),L974/60,0)</f>
        <v>0.5</v>
      </c>
      <c r="S974" s="45">
        <f>IF(G974="","",IFERROR(INDEX(Config!$K$5:$K$16,MATCH(G974,Config!$J$5:$J$16,0)),""))</f>
        <v>30</v>
      </c>
      <c r="T974" s="31">
        <f>IF(OR(G974="",F974=""),"",IFERROR(INDEX(Config!$M$5:$R$16,MATCH(G974,Config!$J$5:$J$16,0),MATCH(F974,Config!$H$5:$H$10,0)),""))</f>
        <v>380</v>
      </c>
      <c r="U974" s="47">
        <f>IF(AND(H974="Realizado",L974&lt;&gt;""),L974/60,0)</f>
        <v>0.5</v>
      </c>
      <c r="V974" s="47">
        <f>IF(AND(H974="Realizado",OR(L974="",M974="")),1,0)</f>
        <v>0</v>
      </c>
    </row>
    <row r="975">
      <c r="A975" s="43" t="n">
        <v>46273</v>
      </c>
      <c r="B975" s="44" t="n">
        <v>0.4791666666666667</v>
      </c>
      <c r="C975" s="38" t="inlineStr">
        <is>
          <t>Dra. Carolina Mendes</t>
        </is>
      </c>
      <c r="D975" s="38" t="inlineStr">
        <is>
          <t>Sala 1</t>
        </is>
      </c>
      <c r="E975" s="37" t="inlineStr">
        <is>
          <t>Mariana Nascimento</t>
        </is>
      </c>
      <c r="F975" s="38" t="inlineStr">
        <is>
          <t>Particular</t>
        </is>
      </c>
      <c r="G975" s="38" t="inlineStr">
        <is>
          <t>Consulta</t>
        </is>
      </c>
      <c r="H975" s="38" t="inlineStr">
        <is>
          <t>Realizado</t>
        </is>
      </c>
      <c r="I975" s="38" t="inlineStr">
        <is>
          <t>Cartão de crédito</t>
        </is>
      </c>
      <c r="J975" s="38" t="n"/>
      <c r="K975" s="37" t="n"/>
      <c r="L975" s="39" t="n">
        <v>30</v>
      </c>
      <c r="M975" s="40" t="n">
        <v>380</v>
      </c>
      <c r="N975" s="30">
        <f>IF(A975="","",MONTH(A975))</f>
        <v>9</v>
      </c>
      <c r="O975" s="30">
        <f>IF(A975="","",YEAR(A975))</f>
        <v>2026</v>
      </c>
      <c r="P975" s="30" t="str">
        <f>IF(A975="","",CHOOSE(WEEKDAY(A975,2),"Segunda","Terça","Quarta","Quinta","Sexta","Sábado","Domingo"))</f>
        <v>Terça</v>
      </c>
      <c r="Q975" s="30" t="str">
        <f>IF(B975="","",IF(B975&lt;TIME(12,0,0),"Manhã",IF(B975&lt;TIME(18,0,0),"Tarde","Noite")))</f>
        <v>Manhã</v>
      </c>
      <c r="R975" s="46">
        <f>IF(AND(H975="Realizado",L975&lt;&gt;"",A975&lt;=Config!$B$9),L975/60,0)</f>
        <v>0.5</v>
      </c>
      <c r="S975" s="45">
        <f>IF(G975="","",IFERROR(INDEX(Config!$K$5:$K$16,MATCH(G975,Config!$J$5:$J$16,0)),""))</f>
        <v>30</v>
      </c>
      <c r="T975" s="31">
        <f>IF(OR(G975="",F975=""),"",IFERROR(INDEX(Config!$M$5:$R$16,MATCH(G975,Config!$J$5:$J$16,0),MATCH(F975,Config!$H$5:$H$10,0)),""))</f>
        <v>380</v>
      </c>
      <c r="U975" s="47">
        <f>IF(AND(H975="Realizado",L975&lt;&gt;""),L975/60,0)</f>
        <v>0.5</v>
      </c>
      <c r="V975" s="47">
        <f>IF(AND(H975="Realizado",OR(L975="",M975="")),1,0)</f>
        <v>0</v>
      </c>
    </row>
    <row r="976">
      <c r="A976" s="43" t="n">
        <v>46273</v>
      </c>
      <c r="B976" s="44" t="n">
        <v>0.5833333333333334</v>
      </c>
      <c r="C976" s="38" t="inlineStr">
        <is>
          <t>Dra. Renata Sousa</t>
        </is>
      </c>
      <c r="D976" s="38" t="inlineStr">
        <is>
          <t>Sala 1</t>
        </is>
      </c>
      <c r="E976" s="37" t="inlineStr">
        <is>
          <t>Beatriz Gomes</t>
        </is>
      </c>
      <c r="F976" s="38" t="inlineStr">
        <is>
          <t>Particular</t>
        </is>
      </c>
      <c r="G976" s="38" t="inlineStr">
        <is>
          <t>Avaliação endócrina</t>
        </is>
      </c>
      <c r="H976" s="38" t="inlineStr">
        <is>
          <t>Realizado</t>
        </is>
      </c>
      <c r="I976" s="38" t="inlineStr">
        <is>
          <t>Cartão de crédito</t>
        </is>
      </c>
      <c r="J976" s="38" t="n"/>
      <c r="K976" s="37" t="n"/>
      <c r="L976" s="39" t="n">
        <v>40</v>
      </c>
      <c r="M976" s="40" t="n">
        <v>400</v>
      </c>
      <c r="N976" s="30">
        <f>IF(A976="","",MONTH(A976))</f>
        <v>9</v>
      </c>
      <c r="O976" s="30">
        <f>IF(A976="","",YEAR(A976))</f>
        <v>2026</v>
      </c>
      <c r="P976" s="30" t="str">
        <f>IF(A976="","",CHOOSE(WEEKDAY(A976,2),"Segunda","Terça","Quarta","Quinta","Sexta","Sábado","Domingo"))</f>
        <v>Terça</v>
      </c>
      <c r="Q976" s="30" t="str">
        <f>IF(B976="","",IF(B976&lt;TIME(12,0,0),"Manhã",IF(B976&lt;TIME(18,0,0),"Tarde","Noite")))</f>
        <v>Tarde</v>
      </c>
      <c r="R976" s="46">
        <f>IF(AND(H976="Realizado",L976&lt;&gt;"",A976&lt;=Config!$B$9),L976/60,0)</f>
        <v>0.666666666666667</v>
      </c>
      <c r="S976" s="45">
        <f>IF(G976="","",IFERROR(INDEX(Config!$K$5:$K$16,MATCH(G976,Config!$J$5:$J$16,0)),""))</f>
        <v>40</v>
      </c>
      <c r="T976" s="31">
        <f>IF(OR(G976="",F976=""),"",IFERROR(INDEX(Config!$M$5:$R$16,MATCH(G976,Config!$J$5:$J$16,0),MATCH(F976,Config!$H$5:$H$10,0)),""))</f>
        <v>400</v>
      </c>
      <c r="U976" s="47">
        <f>IF(AND(H976="Realizado",L976&lt;&gt;""),L976/60,0)</f>
        <v>0.666666666666667</v>
      </c>
      <c r="V976" s="47">
        <f>IF(AND(H976="Realizado",OR(L976="",M976="")),1,0)</f>
        <v>0</v>
      </c>
    </row>
    <row r="977">
      <c r="A977" s="43" t="n">
        <v>46273</v>
      </c>
      <c r="B977" s="44" t="n">
        <v>0.5833333333333334</v>
      </c>
      <c r="C977" s="38" t="inlineStr">
        <is>
          <t>Dr. Paulo Andrade</t>
        </is>
      </c>
      <c r="D977" s="38" t="inlineStr">
        <is>
          <t>Sala 2</t>
        </is>
      </c>
      <c r="E977" s="37" t="inlineStr">
        <is>
          <t>Gisele Xavier</t>
        </is>
      </c>
      <c r="F977" s="38" t="inlineStr">
        <is>
          <t>Particular</t>
        </is>
      </c>
      <c r="G977" s="38" t="inlineStr">
        <is>
          <t>MAPA</t>
        </is>
      </c>
      <c r="H977" s="38" t="inlineStr">
        <is>
          <t>Realizado</t>
        </is>
      </c>
      <c r="I977" s="38" t="inlineStr">
        <is>
          <t>Pix</t>
        </is>
      </c>
      <c r="J977" s="38" t="n"/>
      <c r="K977" s="37" t="n"/>
      <c r="L977" s="39" t="n">
        <v>20</v>
      </c>
      <c r="M977" s="40" t="n">
        <v>300</v>
      </c>
      <c r="N977" s="30">
        <f>IF(A977="","",MONTH(A977))</f>
        <v>9</v>
      </c>
      <c r="O977" s="30">
        <f>IF(A977="","",YEAR(A977))</f>
        <v>2026</v>
      </c>
      <c r="P977" s="30" t="str">
        <f>IF(A977="","",CHOOSE(WEEKDAY(A977,2),"Segunda","Terça","Quarta","Quinta","Sexta","Sábado","Domingo"))</f>
        <v>Terça</v>
      </c>
      <c r="Q977" s="30" t="str">
        <f>IF(B977="","",IF(B977&lt;TIME(12,0,0),"Manhã",IF(B977&lt;TIME(18,0,0),"Tarde","Noite")))</f>
        <v>Tarde</v>
      </c>
      <c r="R977" s="46">
        <f>IF(AND(H977="Realizado",L977&lt;&gt;"",A977&lt;=Config!$B$9),L977/60,0)</f>
        <v>0.333333333333333</v>
      </c>
      <c r="S977" s="45">
        <f>IF(G977="","",IFERROR(INDEX(Config!$K$5:$K$16,MATCH(G977,Config!$J$5:$J$16,0)),""))</f>
        <v>20</v>
      </c>
      <c r="T977" s="31">
        <f>IF(OR(G977="",F977=""),"",IFERROR(INDEX(Config!$M$5:$R$16,MATCH(G977,Config!$J$5:$J$16,0),MATCH(F977,Config!$H$5:$H$10,0)),""))</f>
        <v>300</v>
      </c>
      <c r="U977" s="47">
        <f>IF(AND(H977="Realizado",L977&lt;&gt;""),L977/60,0)</f>
        <v>0.333333333333333</v>
      </c>
      <c r="V977" s="47">
        <f>IF(AND(H977="Realizado",OR(L977="",M977="")),1,0)</f>
        <v>0</v>
      </c>
    </row>
    <row r="978">
      <c r="A978" s="43" t="n">
        <v>46273</v>
      </c>
      <c r="B978" s="44" t="n">
        <v>0.5972222222222222</v>
      </c>
      <c r="C978" s="38" t="inlineStr">
        <is>
          <t>Dr. Paulo Andrade</t>
        </is>
      </c>
      <c r="D978" s="38" t="inlineStr">
        <is>
          <t>Sala 2</t>
        </is>
      </c>
      <c r="E978" s="37" t="inlineStr">
        <is>
          <t>Regina Duarte</t>
        </is>
      </c>
      <c r="F978" s="38" t="inlineStr">
        <is>
          <t>Particular</t>
        </is>
      </c>
      <c r="G978" s="38" t="inlineStr">
        <is>
          <t>ECG</t>
        </is>
      </c>
      <c r="H978" s="38" t="inlineStr">
        <is>
          <t>Cancelado</t>
        </is>
      </c>
      <c r="I978" s="38" t="n"/>
      <c r="J978" s="38" t="n"/>
      <c r="K978" s="37" t="n"/>
      <c r="L978" s="39" t="n">
        <v>20</v>
      </c>
      <c r="M978" s="40" t="n">
        <v>130</v>
      </c>
      <c r="N978" s="30">
        <f>IF(A978="","",MONTH(A978))</f>
        <v>9</v>
      </c>
      <c r="O978" s="30">
        <f>IF(A978="","",YEAR(A978))</f>
        <v>2026</v>
      </c>
      <c r="P978" s="30" t="str">
        <f>IF(A978="","",CHOOSE(WEEKDAY(A978,2),"Segunda","Terça","Quarta","Quinta","Sexta","Sábado","Domingo"))</f>
        <v>Terça</v>
      </c>
      <c r="Q978" s="30" t="str">
        <f>IF(B978="","",IF(B978&lt;TIME(12,0,0),"Manhã",IF(B978&lt;TIME(18,0,0),"Tarde","Noite")))</f>
        <v>Tarde</v>
      </c>
      <c r="R978" s="46">
        <f>IF(AND(H978="Realizado",L978&lt;&gt;"",A978&lt;=Config!$B$9),L978/60,0)</f>
        <v>0</v>
      </c>
      <c r="S978" s="45">
        <f>IF(G978="","",IFERROR(INDEX(Config!$K$5:$K$16,MATCH(G978,Config!$J$5:$J$16,0)),""))</f>
        <v>20</v>
      </c>
      <c r="T978" s="31">
        <f>IF(OR(G978="",F978=""),"",IFERROR(INDEX(Config!$M$5:$R$16,MATCH(G978,Config!$J$5:$J$16,0),MATCH(F978,Config!$H$5:$H$10,0)),""))</f>
        <v>130</v>
      </c>
      <c r="U978" s="47">
        <f>IF(AND(H978="Realizado",L978&lt;&gt;""),L978/60,0)</f>
        <v>0</v>
      </c>
      <c r="V978" s="47">
        <f>IF(AND(H978="Realizado",OR(L978="",M978="")),1,0)</f>
        <v>0</v>
      </c>
    </row>
    <row r="979">
      <c r="A979" s="43" t="n">
        <v>46273</v>
      </c>
      <c r="B979" s="44" t="n">
        <v>0.6111111111111112</v>
      </c>
      <c r="C979" s="38" t="inlineStr">
        <is>
          <t>Dra. Renata Sousa</t>
        </is>
      </c>
      <c r="D979" s="38" t="inlineStr">
        <is>
          <t>Sala 1</t>
        </is>
      </c>
      <c r="E979" s="37" t="inlineStr">
        <is>
          <t>Rafael Pereira</t>
        </is>
      </c>
      <c r="F979" s="38" t="inlineStr">
        <is>
          <t>Particular</t>
        </is>
      </c>
      <c r="G979" s="38" t="inlineStr">
        <is>
          <t>Retorno</t>
        </is>
      </c>
      <c r="H979" s="38" t="inlineStr">
        <is>
          <t>Falta</t>
        </is>
      </c>
      <c r="I979" s="38" t="n"/>
      <c r="J979" s="38" t="n"/>
      <c r="K979" s="37" t="n"/>
      <c r="L979" s="39" t="n">
        <v>20</v>
      </c>
      <c r="M979" s="40" t="n">
        <v>0</v>
      </c>
      <c r="N979" s="30">
        <f>IF(A979="","",MONTH(A979))</f>
        <v>9</v>
      </c>
      <c r="O979" s="30">
        <f>IF(A979="","",YEAR(A979))</f>
        <v>2026</v>
      </c>
      <c r="P979" s="30" t="str">
        <f>IF(A979="","",CHOOSE(WEEKDAY(A979,2),"Segunda","Terça","Quarta","Quinta","Sexta","Sábado","Domingo"))</f>
        <v>Terça</v>
      </c>
      <c r="Q979" s="30" t="str">
        <f>IF(B979="","",IF(B979&lt;TIME(12,0,0),"Manhã",IF(B979&lt;TIME(18,0,0),"Tarde","Noite")))</f>
        <v>Tarde</v>
      </c>
      <c r="R979" s="46">
        <f>IF(AND(H979="Realizado",L979&lt;&gt;"",A979&lt;=Config!$B$9),L979/60,0)</f>
        <v>0</v>
      </c>
      <c r="S979" s="45">
        <f>IF(G979="","",IFERROR(INDEX(Config!$K$5:$K$16,MATCH(G979,Config!$J$5:$J$16,0)),""))</f>
        <v>20</v>
      </c>
      <c r="T979" s="31">
        <f>IF(OR(G979="",F979=""),"",IFERROR(INDEX(Config!$M$5:$R$16,MATCH(G979,Config!$J$5:$J$16,0),MATCH(F979,Config!$H$5:$H$10,0)),""))</f>
        <v>0</v>
      </c>
      <c r="U979" s="47">
        <f>IF(AND(H979="Realizado",L979&lt;&gt;""),L979/60,0)</f>
        <v>0</v>
      </c>
      <c r="V979" s="47">
        <f>IF(AND(H979="Realizado",OR(L979="",M979="")),1,0)</f>
        <v>0</v>
      </c>
    </row>
    <row r="980">
      <c r="A980" s="43" t="n">
        <v>46273</v>
      </c>
      <c r="B980" s="44" t="n">
        <v>0.6111111111111112</v>
      </c>
      <c r="C980" s="38" t="inlineStr">
        <is>
          <t>Dr. Paulo Andrade</t>
        </is>
      </c>
      <c r="D980" s="38" t="inlineStr">
        <is>
          <t>Sala 2</t>
        </is>
      </c>
      <c r="E980" s="37" t="inlineStr">
        <is>
          <t>Rafael Barros</t>
        </is>
      </c>
      <c r="F980" s="38" t="inlineStr">
        <is>
          <t>Particular</t>
        </is>
      </c>
      <c r="G980" s="38" t="inlineStr">
        <is>
          <t>Retorno</t>
        </is>
      </c>
      <c r="H980" s="38" t="inlineStr">
        <is>
          <t>Realizado</t>
        </is>
      </c>
      <c r="I980" s="38" t="inlineStr">
        <is>
          <t>Sem cobrança</t>
        </is>
      </c>
      <c r="J980" s="38" t="n"/>
      <c r="K980" s="37" t="n"/>
      <c r="L980" s="39" t="n">
        <v>20</v>
      </c>
      <c r="M980" s="40" t="n">
        <v>0</v>
      </c>
      <c r="N980" s="30">
        <f>IF(A980="","",MONTH(A980))</f>
        <v>9</v>
      </c>
      <c r="O980" s="30">
        <f>IF(A980="","",YEAR(A980))</f>
        <v>2026</v>
      </c>
      <c r="P980" s="30" t="str">
        <f>IF(A980="","",CHOOSE(WEEKDAY(A980,2),"Segunda","Terça","Quarta","Quinta","Sexta","Sábado","Domingo"))</f>
        <v>Terça</v>
      </c>
      <c r="Q980" s="30" t="str">
        <f>IF(B980="","",IF(B980&lt;TIME(12,0,0),"Manhã",IF(B980&lt;TIME(18,0,0),"Tarde","Noite")))</f>
        <v>Tarde</v>
      </c>
      <c r="R980" s="46">
        <f>IF(AND(H980="Realizado",L980&lt;&gt;"",A980&lt;=Config!$B$9),L980/60,0)</f>
        <v>0.333333333333333</v>
      </c>
      <c r="S980" s="45">
        <f>IF(G980="","",IFERROR(INDEX(Config!$K$5:$K$16,MATCH(G980,Config!$J$5:$J$16,0)),""))</f>
        <v>20</v>
      </c>
      <c r="T980" s="31">
        <f>IF(OR(G980="",F980=""),"",IFERROR(INDEX(Config!$M$5:$R$16,MATCH(G980,Config!$J$5:$J$16,0),MATCH(F980,Config!$H$5:$H$10,0)),""))</f>
        <v>0</v>
      </c>
      <c r="U980" s="47">
        <f>IF(AND(H980="Realizado",L980&lt;&gt;""),L980/60,0)</f>
        <v>0.333333333333333</v>
      </c>
      <c r="V980" s="47">
        <f>IF(AND(H980="Realizado",OR(L980="",M980="")),1,0)</f>
        <v>0</v>
      </c>
    </row>
    <row r="981">
      <c r="A981" s="43" t="n">
        <v>46273</v>
      </c>
      <c r="B981" s="44" t="n">
        <v>0.625</v>
      </c>
      <c r="C981" s="38" t="inlineStr">
        <is>
          <t>Dra. Renata Sousa</t>
        </is>
      </c>
      <c r="D981" s="38" t="inlineStr">
        <is>
          <t>Sala 1</t>
        </is>
      </c>
      <c r="E981" s="37" t="inlineStr">
        <is>
          <t>Carlos Gomes</t>
        </is>
      </c>
      <c r="F981" s="38" t="inlineStr">
        <is>
          <t>Saúde Total</t>
        </is>
      </c>
      <c r="G981" s="38" t="inlineStr">
        <is>
          <t>Retorno</t>
        </is>
      </c>
      <c r="H981" s="38" t="inlineStr">
        <is>
          <t>Realizado</t>
        </is>
      </c>
      <c r="I981" s="38" t="inlineStr">
        <is>
          <t>Sem cobrança</t>
        </is>
      </c>
      <c r="J981" s="38" t="n"/>
      <c r="K981" s="37" t="n"/>
      <c r="L981" s="39" t="n">
        <v>20</v>
      </c>
      <c r="M981" s="40" t="n">
        <v>0</v>
      </c>
      <c r="N981" s="30">
        <f>IF(A981="","",MONTH(A981))</f>
        <v>9</v>
      </c>
      <c r="O981" s="30">
        <f>IF(A981="","",YEAR(A981))</f>
        <v>2026</v>
      </c>
      <c r="P981" s="30" t="str">
        <f>IF(A981="","",CHOOSE(WEEKDAY(A981,2),"Segunda","Terça","Quarta","Quinta","Sexta","Sábado","Domingo"))</f>
        <v>Terça</v>
      </c>
      <c r="Q981" s="30" t="str">
        <f>IF(B981="","",IF(B981&lt;TIME(12,0,0),"Manhã",IF(B981&lt;TIME(18,0,0),"Tarde","Noite")))</f>
        <v>Tarde</v>
      </c>
      <c r="R981" s="46">
        <f>IF(AND(H981="Realizado",L981&lt;&gt;"",A981&lt;=Config!$B$9),L981/60,0)</f>
        <v>0.333333333333333</v>
      </c>
      <c r="S981" s="45">
        <f>IF(G981="","",IFERROR(INDEX(Config!$K$5:$K$16,MATCH(G981,Config!$J$5:$J$16,0)),""))</f>
        <v>20</v>
      </c>
      <c r="T981" s="31">
        <f>IF(OR(G981="",F981=""),"",IFERROR(INDEX(Config!$M$5:$R$16,MATCH(G981,Config!$J$5:$J$16,0),MATCH(F981,Config!$H$5:$H$10,0)),""))</f>
        <v>0</v>
      </c>
      <c r="U981" s="47">
        <f>IF(AND(H981="Realizado",L981&lt;&gt;""),L981/60,0)</f>
        <v>0.333333333333333</v>
      </c>
      <c r="V981" s="47">
        <f>IF(AND(H981="Realizado",OR(L981="",M981="")),1,0)</f>
        <v>0</v>
      </c>
    </row>
    <row r="982">
      <c r="A982" s="43" t="n">
        <v>46273</v>
      </c>
      <c r="B982" s="44" t="n">
        <v>0.625</v>
      </c>
      <c r="C982" s="38" t="inlineStr">
        <is>
          <t>Dr. Paulo Andrade</t>
        </is>
      </c>
      <c r="D982" s="38" t="inlineStr">
        <is>
          <t>Sala 2</t>
        </is>
      </c>
      <c r="E982" s="37" t="inlineStr">
        <is>
          <t>Gabriel Oliveira</t>
        </is>
      </c>
      <c r="F982" s="38" t="inlineStr">
        <is>
          <t>Particular</t>
        </is>
      </c>
      <c r="G982" s="38" t="inlineStr">
        <is>
          <t>Retorno</t>
        </is>
      </c>
      <c r="H982" s="38" t="inlineStr">
        <is>
          <t>Realizado</t>
        </is>
      </c>
      <c r="I982" s="38" t="inlineStr">
        <is>
          <t>Sem cobrança</t>
        </is>
      </c>
      <c r="J982" s="38" t="n"/>
      <c r="K982" s="37" t="n"/>
      <c r="L982" s="39" t="n">
        <v>20</v>
      </c>
      <c r="M982" s="40" t="n">
        <v>0</v>
      </c>
      <c r="N982" s="30">
        <f>IF(A982="","",MONTH(A982))</f>
        <v>9</v>
      </c>
      <c r="O982" s="30">
        <f>IF(A982="","",YEAR(A982))</f>
        <v>2026</v>
      </c>
      <c r="P982" s="30" t="str">
        <f>IF(A982="","",CHOOSE(WEEKDAY(A982,2),"Segunda","Terça","Quarta","Quinta","Sexta","Sábado","Domingo"))</f>
        <v>Terça</v>
      </c>
      <c r="Q982" s="30" t="str">
        <f>IF(B982="","",IF(B982&lt;TIME(12,0,0),"Manhã",IF(B982&lt;TIME(18,0,0),"Tarde","Noite")))</f>
        <v>Tarde</v>
      </c>
      <c r="R982" s="46">
        <f>IF(AND(H982="Realizado",L982&lt;&gt;"",A982&lt;=Config!$B$9),L982/60,0)</f>
        <v>0.333333333333333</v>
      </c>
      <c r="S982" s="45">
        <f>IF(G982="","",IFERROR(INDEX(Config!$K$5:$K$16,MATCH(G982,Config!$J$5:$J$16,0)),""))</f>
        <v>20</v>
      </c>
      <c r="T982" s="31">
        <f>IF(OR(G982="",F982=""),"",IFERROR(INDEX(Config!$M$5:$R$16,MATCH(G982,Config!$J$5:$J$16,0),MATCH(F982,Config!$H$5:$H$10,0)),""))</f>
        <v>0</v>
      </c>
      <c r="U982" s="47">
        <f>IF(AND(H982="Realizado",L982&lt;&gt;""),L982/60,0)</f>
        <v>0.333333333333333</v>
      </c>
      <c r="V982" s="47">
        <f>IF(AND(H982="Realizado",OR(L982="",M982="")),1,0)</f>
        <v>0</v>
      </c>
    </row>
    <row r="983">
      <c r="A983" s="43" t="n">
        <v>46273</v>
      </c>
      <c r="B983" s="44" t="n">
        <v>0.6388888888888888</v>
      </c>
      <c r="C983" s="38" t="inlineStr">
        <is>
          <t>Dra. Renata Sousa</t>
        </is>
      </c>
      <c r="D983" s="38" t="inlineStr">
        <is>
          <t>Sala 1</t>
        </is>
      </c>
      <c r="E983" s="37" t="inlineStr">
        <is>
          <t>Gabriel Lopes</t>
        </is>
      </c>
      <c r="F983" s="38" t="inlineStr">
        <is>
          <t>Saúde Total</t>
        </is>
      </c>
      <c r="G983" s="38" t="inlineStr">
        <is>
          <t>Avaliação endócrina</t>
        </is>
      </c>
      <c r="H983" s="38" t="inlineStr">
        <is>
          <t>Realizado</t>
        </is>
      </c>
      <c r="I983" s="38" t="inlineStr">
        <is>
          <t>Convênio</t>
        </is>
      </c>
      <c r="J983" s="38" t="n"/>
      <c r="K983" s="37" t="n"/>
      <c r="L983" s="39" t="n">
        <v>40</v>
      </c>
      <c r="M983" s="40" t="n">
        <v>130</v>
      </c>
      <c r="N983" s="30">
        <f>IF(A983="","",MONTH(A983))</f>
        <v>9</v>
      </c>
      <c r="O983" s="30">
        <f>IF(A983="","",YEAR(A983))</f>
        <v>2026</v>
      </c>
      <c r="P983" s="30" t="str">
        <f>IF(A983="","",CHOOSE(WEEKDAY(A983,2),"Segunda","Terça","Quarta","Quinta","Sexta","Sábado","Domingo"))</f>
        <v>Terça</v>
      </c>
      <c r="Q983" s="30" t="str">
        <f>IF(B983="","",IF(B983&lt;TIME(12,0,0),"Manhã",IF(B983&lt;TIME(18,0,0),"Tarde","Noite")))</f>
        <v>Tarde</v>
      </c>
      <c r="R983" s="46">
        <f>IF(AND(H983="Realizado",L983&lt;&gt;"",A983&lt;=Config!$B$9),L983/60,0)</f>
        <v>0.666666666666667</v>
      </c>
      <c r="S983" s="45">
        <f>IF(G983="","",IFERROR(INDEX(Config!$K$5:$K$16,MATCH(G983,Config!$J$5:$J$16,0)),""))</f>
        <v>40</v>
      </c>
      <c r="T983" s="31">
        <f>IF(OR(G983="",F983=""),"",IFERROR(INDEX(Config!$M$5:$R$16,MATCH(G983,Config!$J$5:$J$16,0),MATCH(F983,Config!$H$5:$H$10,0)),""))</f>
        <v>130</v>
      </c>
      <c r="U983" s="47">
        <f>IF(AND(H983="Realizado",L983&lt;&gt;""),L983/60,0)</f>
        <v>0.666666666666667</v>
      </c>
      <c r="V983" s="47">
        <f>IF(AND(H983="Realizado",OR(L983="",M983="")),1,0)</f>
        <v>0</v>
      </c>
    </row>
    <row r="984">
      <c r="A984" s="43" t="n">
        <v>46273</v>
      </c>
      <c r="B984" s="44" t="n">
        <v>0.6388888888888888</v>
      </c>
      <c r="C984" s="38" t="inlineStr">
        <is>
          <t>Dr. Paulo Andrade</t>
        </is>
      </c>
      <c r="D984" s="38" t="inlineStr">
        <is>
          <t>Sala 2</t>
        </is>
      </c>
      <c r="E984" s="37" t="inlineStr">
        <is>
          <t>Débora Machado</t>
        </is>
      </c>
      <c r="F984" s="38" t="inlineStr">
        <is>
          <t>Saúde Total</t>
        </is>
      </c>
      <c r="G984" s="38" t="inlineStr">
        <is>
          <t>ECG</t>
        </is>
      </c>
      <c r="H984" s="38" t="inlineStr">
        <is>
          <t>Realizado</t>
        </is>
      </c>
      <c r="I984" s="38" t="inlineStr">
        <is>
          <t>Convênio</t>
        </is>
      </c>
      <c r="J984" s="38" t="n"/>
      <c r="K984" s="37" t="n"/>
      <c r="L984" s="39" t="n">
        <v>20</v>
      </c>
      <c r="M984" s="40" t="n">
        <v>40</v>
      </c>
      <c r="N984" s="30">
        <f>IF(A984="","",MONTH(A984))</f>
        <v>9</v>
      </c>
      <c r="O984" s="30">
        <f>IF(A984="","",YEAR(A984))</f>
        <v>2026</v>
      </c>
      <c r="P984" s="30" t="str">
        <f>IF(A984="","",CHOOSE(WEEKDAY(A984,2),"Segunda","Terça","Quarta","Quinta","Sexta","Sábado","Domingo"))</f>
        <v>Terça</v>
      </c>
      <c r="Q984" s="30" t="str">
        <f>IF(B984="","",IF(B984&lt;TIME(12,0,0),"Manhã",IF(B984&lt;TIME(18,0,0),"Tarde","Noite")))</f>
        <v>Tarde</v>
      </c>
      <c r="R984" s="46">
        <f>IF(AND(H984="Realizado",L984&lt;&gt;"",A984&lt;=Config!$B$9),L984/60,0)</f>
        <v>0.333333333333333</v>
      </c>
      <c r="S984" s="45">
        <f>IF(G984="","",IFERROR(INDEX(Config!$K$5:$K$16,MATCH(G984,Config!$J$5:$J$16,0)),""))</f>
        <v>20</v>
      </c>
      <c r="T984" s="31">
        <f>IF(OR(G984="",F984=""),"",IFERROR(INDEX(Config!$M$5:$R$16,MATCH(G984,Config!$J$5:$J$16,0),MATCH(F984,Config!$H$5:$H$10,0)),""))</f>
        <v>40</v>
      </c>
      <c r="U984" s="47">
        <f>IF(AND(H984="Realizado",L984&lt;&gt;""),L984/60,0)</f>
        <v>0.333333333333333</v>
      </c>
      <c r="V984" s="47">
        <f>IF(AND(H984="Realizado",OR(L984="",M984="")),1,0)</f>
        <v>0</v>
      </c>
    </row>
    <row r="985">
      <c r="A985" s="43" t="n">
        <v>46273</v>
      </c>
      <c r="B985" s="44" t="n">
        <v>0.6666666666666666</v>
      </c>
      <c r="C985" s="38" t="inlineStr">
        <is>
          <t>Dra. Renata Sousa</t>
        </is>
      </c>
      <c r="D985" s="38" t="inlineStr">
        <is>
          <t>Sala 1</t>
        </is>
      </c>
      <c r="E985" s="37" t="inlineStr">
        <is>
          <t>Gabriel Reis</t>
        </is>
      </c>
      <c r="F985" s="38" t="inlineStr">
        <is>
          <t>Particular</t>
        </is>
      </c>
      <c r="G985" s="38" t="inlineStr">
        <is>
          <t>Avaliação endócrina</t>
        </is>
      </c>
      <c r="H985" s="38" t="inlineStr">
        <is>
          <t>Realizado</t>
        </is>
      </c>
      <c r="I985" s="38" t="inlineStr">
        <is>
          <t>Pix</t>
        </is>
      </c>
      <c r="J985" s="38" t="n"/>
      <c r="K985" s="37" t="n"/>
      <c r="L985" s="39" t="n">
        <v>40</v>
      </c>
      <c r="M985" s="40" t="n">
        <v>400</v>
      </c>
      <c r="N985" s="30">
        <f>IF(A985="","",MONTH(A985))</f>
        <v>9</v>
      </c>
      <c r="O985" s="30">
        <f>IF(A985="","",YEAR(A985))</f>
        <v>2026</v>
      </c>
      <c r="P985" s="30" t="str">
        <f>IF(A985="","",CHOOSE(WEEKDAY(A985,2),"Segunda","Terça","Quarta","Quinta","Sexta","Sábado","Domingo"))</f>
        <v>Terça</v>
      </c>
      <c r="Q985" s="30" t="str">
        <f>IF(B985="","",IF(B985&lt;TIME(12,0,0),"Manhã",IF(B985&lt;TIME(18,0,0),"Tarde","Noite")))</f>
        <v>Tarde</v>
      </c>
      <c r="R985" s="46">
        <f>IF(AND(H985="Realizado",L985&lt;&gt;"",A985&lt;=Config!$B$9),L985/60,0)</f>
        <v>0.666666666666667</v>
      </c>
      <c r="S985" s="45">
        <f>IF(G985="","",IFERROR(INDEX(Config!$K$5:$K$16,MATCH(G985,Config!$J$5:$J$16,0)),""))</f>
        <v>40</v>
      </c>
      <c r="T985" s="31">
        <f>IF(OR(G985="",F985=""),"",IFERROR(INDEX(Config!$M$5:$R$16,MATCH(G985,Config!$J$5:$J$16,0),MATCH(F985,Config!$H$5:$H$10,0)),""))</f>
        <v>400</v>
      </c>
      <c r="U985" s="47">
        <f>IF(AND(H985="Realizado",L985&lt;&gt;""),L985/60,0)</f>
        <v>0.666666666666667</v>
      </c>
      <c r="V985" s="47">
        <f>IF(AND(H985="Realizado",OR(L985="",M985="")),1,0)</f>
        <v>0</v>
      </c>
    </row>
    <row r="986">
      <c r="A986" s="43" t="n">
        <v>46273</v>
      </c>
      <c r="B986" s="44" t="n">
        <v>0.6736111111111112</v>
      </c>
      <c r="C986" s="38" t="inlineStr">
        <is>
          <t>Dr. Paulo Andrade</t>
        </is>
      </c>
      <c r="D986" s="38" t="inlineStr">
        <is>
          <t>Sala 2</t>
        </is>
      </c>
      <c r="E986" s="37" t="inlineStr">
        <is>
          <t>Priscila Nascimento</t>
        </is>
      </c>
      <c r="F986" s="38" t="inlineStr">
        <is>
          <t>MediPlan</t>
        </is>
      </c>
      <c r="G986" s="38" t="inlineStr">
        <is>
          <t>ECG</t>
        </is>
      </c>
      <c r="H986" s="38" t="inlineStr">
        <is>
          <t>Realizado</t>
        </is>
      </c>
      <c r="I986" s="38" t="inlineStr">
        <is>
          <t>Convênio</t>
        </is>
      </c>
      <c r="J986" s="38" t="n"/>
      <c r="K986" s="37" t="n"/>
      <c r="L986" s="39" t="n">
        <v>20</v>
      </c>
      <c r="M986" s="40" t="n">
        <v>35</v>
      </c>
      <c r="N986" s="30">
        <f>IF(A986="","",MONTH(A986))</f>
        <v>9</v>
      </c>
      <c r="O986" s="30">
        <f>IF(A986="","",YEAR(A986))</f>
        <v>2026</v>
      </c>
      <c r="P986" s="30" t="str">
        <f>IF(A986="","",CHOOSE(WEEKDAY(A986,2),"Segunda","Terça","Quarta","Quinta","Sexta","Sábado","Domingo"))</f>
        <v>Terça</v>
      </c>
      <c r="Q986" s="30" t="str">
        <f>IF(B986="","",IF(B986&lt;TIME(12,0,0),"Manhã",IF(B986&lt;TIME(18,0,0),"Tarde","Noite")))</f>
        <v>Tarde</v>
      </c>
      <c r="R986" s="46">
        <f>IF(AND(H986="Realizado",L986&lt;&gt;"",A986&lt;=Config!$B$9),L986/60,0)</f>
        <v>0.333333333333333</v>
      </c>
      <c r="S986" s="45">
        <f>IF(G986="","",IFERROR(INDEX(Config!$K$5:$K$16,MATCH(G986,Config!$J$5:$J$16,0)),""))</f>
        <v>20</v>
      </c>
      <c r="T986" s="31">
        <f>IF(OR(G986="",F986=""),"",IFERROR(INDEX(Config!$M$5:$R$16,MATCH(G986,Config!$J$5:$J$16,0),MATCH(F986,Config!$H$5:$H$10,0)),""))</f>
        <v>35</v>
      </c>
      <c r="U986" s="47">
        <f>IF(AND(H986="Realizado",L986&lt;&gt;""),L986/60,0)</f>
        <v>0.333333333333333</v>
      </c>
      <c r="V986" s="47">
        <f>IF(AND(H986="Realizado",OR(L986="",M986="")),1,0)</f>
        <v>0</v>
      </c>
    </row>
    <row r="987">
      <c r="A987" s="43" t="n">
        <v>46273</v>
      </c>
      <c r="B987" s="44" t="n">
        <v>0.6875</v>
      </c>
      <c r="C987" s="38" t="inlineStr">
        <is>
          <t>Dr. Paulo Andrade</t>
        </is>
      </c>
      <c r="D987" s="38" t="inlineStr">
        <is>
          <t>Sala 2</t>
        </is>
      </c>
      <c r="E987" s="37" t="inlineStr">
        <is>
          <t>Beatriz Gonçalves</t>
        </is>
      </c>
      <c r="F987" s="38" t="inlineStr">
        <is>
          <t>Saúde Total</t>
        </is>
      </c>
      <c r="G987" s="38" t="inlineStr">
        <is>
          <t>Consulta</t>
        </is>
      </c>
      <c r="H987" s="38" t="inlineStr">
        <is>
          <t>Realizado</t>
        </is>
      </c>
      <c r="I987" s="38" t="inlineStr">
        <is>
          <t>Convênio</t>
        </is>
      </c>
      <c r="J987" s="38" t="n"/>
      <c r="K987" s="37" t="n"/>
      <c r="L987" s="39" t="n">
        <v>30</v>
      </c>
      <c r="M987" s="40" t="n">
        <v>120</v>
      </c>
      <c r="N987" s="30">
        <f>IF(A987="","",MONTH(A987))</f>
        <v>9</v>
      </c>
      <c r="O987" s="30">
        <f>IF(A987="","",YEAR(A987))</f>
        <v>2026</v>
      </c>
      <c r="P987" s="30" t="str">
        <f>IF(A987="","",CHOOSE(WEEKDAY(A987,2),"Segunda","Terça","Quarta","Quinta","Sexta","Sábado","Domingo"))</f>
        <v>Terça</v>
      </c>
      <c r="Q987" s="30" t="str">
        <f>IF(B987="","",IF(B987&lt;TIME(12,0,0),"Manhã",IF(B987&lt;TIME(18,0,0),"Tarde","Noite")))</f>
        <v>Tarde</v>
      </c>
      <c r="R987" s="46">
        <f>IF(AND(H987="Realizado",L987&lt;&gt;"",A987&lt;=Config!$B$9),L987/60,0)</f>
        <v>0.5</v>
      </c>
      <c r="S987" s="45">
        <f>IF(G987="","",IFERROR(INDEX(Config!$K$5:$K$16,MATCH(G987,Config!$J$5:$J$16,0)),""))</f>
        <v>30</v>
      </c>
      <c r="T987" s="31">
        <f>IF(OR(G987="",F987=""),"",IFERROR(INDEX(Config!$M$5:$R$16,MATCH(G987,Config!$J$5:$J$16,0),MATCH(F987,Config!$H$5:$H$10,0)),""))</f>
        <v>120</v>
      </c>
      <c r="U987" s="47">
        <f>IF(AND(H987="Realizado",L987&lt;&gt;""),L987/60,0)</f>
        <v>0.5</v>
      </c>
      <c r="V987" s="47">
        <f>IF(AND(H987="Realizado",OR(L987="",M987="")),1,0)</f>
        <v>0</v>
      </c>
    </row>
    <row r="988">
      <c r="A988" s="43" t="n">
        <v>46273</v>
      </c>
      <c r="B988" s="44" t="n">
        <v>0.7083333333333334</v>
      </c>
      <c r="C988" s="38" t="inlineStr">
        <is>
          <t>Dr. Paulo Andrade</t>
        </is>
      </c>
      <c r="D988" s="38" t="inlineStr">
        <is>
          <t>Sala 2</t>
        </is>
      </c>
      <c r="E988" s="37" t="inlineStr">
        <is>
          <t>Paulo Nascimento</t>
        </is>
      </c>
      <c r="F988" s="38" t="inlineStr">
        <is>
          <t>MediPlan</t>
        </is>
      </c>
      <c r="G988" s="38" t="inlineStr">
        <is>
          <t>Consulta</t>
        </is>
      </c>
      <c r="H988" s="38" t="inlineStr">
        <is>
          <t>Realizado</t>
        </is>
      </c>
      <c r="I988" s="38" t="inlineStr">
        <is>
          <t>Convênio</t>
        </is>
      </c>
      <c r="J988" s="38" t="n"/>
      <c r="K988" s="37" t="n"/>
      <c r="L988" s="39" t="n">
        <v>30</v>
      </c>
      <c r="M988" s="40" t="n">
        <v>100</v>
      </c>
      <c r="N988" s="30">
        <f>IF(A988="","",MONTH(A988))</f>
        <v>9</v>
      </c>
      <c r="O988" s="30">
        <f>IF(A988="","",YEAR(A988))</f>
        <v>2026</v>
      </c>
      <c r="P988" s="30" t="str">
        <f>IF(A988="","",CHOOSE(WEEKDAY(A988,2),"Segunda","Terça","Quarta","Quinta","Sexta","Sábado","Domingo"))</f>
        <v>Terça</v>
      </c>
      <c r="Q988" s="30" t="str">
        <f>IF(B988="","",IF(B988&lt;TIME(12,0,0),"Manhã",IF(B988&lt;TIME(18,0,0),"Tarde","Noite")))</f>
        <v>Tarde</v>
      </c>
      <c r="R988" s="46">
        <f>IF(AND(H988="Realizado",L988&lt;&gt;"",A988&lt;=Config!$B$9),L988/60,0)</f>
        <v>0.5</v>
      </c>
      <c r="S988" s="45">
        <f>IF(G988="","",IFERROR(INDEX(Config!$K$5:$K$16,MATCH(G988,Config!$J$5:$J$16,0)),""))</f>
        <v>30</v>
      </c>
      <c r="T988" s="31">
        <f>IF(OR(G988="",F988=""),"",IFERROR(INDEX(Config!$M$5:$R$16,MATCH(G988,Config!$J$5:$J$16,0),MATCH(F988,Config!$H$5:$H$10,0)),""))</f>
        <v>100</v>
      </c>
      <c r="U988" s="47">
        <f>IF(AND(H988="Realizado",L988&lt;&gt;""),L988/60,0)</f>
        <v>0.5</v>
      </c>
      <c r="V988" s="47">
        <f>IF(AND(H988="Realizado",OR(L988="",M988="")),1,0)</f>
        <v>0</v>
      </c>
    </row>
    <row r="989">
      <c r="A989" s="43" t="n">
        <v>46273</v>
      </c>
      <c r="B989" s="44" t="n">
        <v>0.7152777777777778</v>
      </c>
      <c r="C989" s="38" t="inlineStr">
        <is>
          <t>Dra. Renata Sousa</t>
        </is>
      </c>
      <c r="D989" s="38" t="inlineStr">
        <is>
          <t>Sala 1</t>
        </is>
      </c>
      <c r="E989" s="37" t="inlineStr">
        <is>
          <t>Fábio Gomes</t>
        </is>
      </c>
      <c r="F989" s="38" t="inlineStr">
        <is>
          <t>Particular</t>
        </is>
      </c>
      <c r="G989" s="38" t="inlineStr">
        <is>
          <t>Avaliação endócrina</t>
        </is>
      </c>
      <c r="H989" s="38" t="inlineStr">
        <is>
          <t>Realizado</t>
        </is>
      </c>
      <c r="I989" s="38" t="inlineStr">
        <is>
          <t>Cartão de crédito</t>
        </is>
      </c>
      <c r="J989" s="38" t="n">
        <v>2</v>
      </c>
      <c r="K989" s="37" t="n"/>
      <c r="L989" s="39" t="n">
        <v>40</v>
      </c>
      <c r="M989" s="40" t="n">
        <v>400</v>
      </c>
      <c r="N989" s="30">
        <f>IF(A989="","",MONTH(A989))</f>
        <v>9</v>
      </c>
      <c r="O989" s="30">
        <f>IF(A989="","",YEAR(A989))</f>
        <v>2026</v>
      </c>
      <c r="P989" s="30" t="str">
        <f>IF(A989="","",CHOOSE(WEEKDAY(A989,2),"Segunda","Terça","Quarta","Quinta","Sexta","Sábado","Domingo"))</f>
        <v>Terça</v>
      </c>
      <c r="Q989" s="30" t="str">
        <f>IF(B989="","",IF(B989&lt;TIME(12,0,0),"Manhã",IF(B989&lt;TIME(18,0,0),"Tarde","Noite")))</f>
        <v>Tarde</v>
      </c>
      <c r="R989" s="46">
        <f>IF(AND(H989="Realizado",L989&lt;&gt;"",A989&lt;=Config!$B$9),L989/60,0)</f>
        <v>0.666666666666667</v>
      </c>
      <c r="S989" s="45">
        <f>IF(G989="","",IFERROR(INDEX(Config!$K$5:$K$16,MATCH(G989,Config!$J$5:$J$16,0)),""))</f>
        <v>40</v>
      </c>
      <c r="T989" s="31">
        <f>IF(OR(G989="",F989=""),"",IFERROR(INDEX(Config!$M$5:$R$16,MATCH(G989,Config!$J$5:$J$16,0),MATCH(F989,Config!$H$5:$H$10,0)),""))</f>
        <v>400</v>
      </c>
      <c r="U989" s="47">
        <f>IF(AND(H989="Realizado",L989&lt;&gt;""),L989/60,0)</f>
        <v>0.666666666666667</v>
      </c>
      <c r="V989" s="47">
        <f>IF(AND(H989="Realizado",OR(L989="",M989="")),1,0)</f>
        <v>0</v>
      </c>
    </row>
    <row r="990">
      <c r="A990" s="43" t="n">
        <v>46273</v>
      </c>
      <c r="B990" s="44" t="n">
        <v>0.7291666666666666</v>
      </c>
      <c r="C990" s="38" t="inlineStr">
        <is>
          <t>Dr. Paulo Andrade</t>
        </is>
      </c>
      <c r="D990" s="38" t="inlineStr">
        <is>
          <t>Sala 2</t>
        </is>
      </c>
      <c r="E990" s="37" t="inlineStr">
        <is>
          <t>Gisele Pinto</t>
        </is>
      </c>
      <c r="F990" s="38" t="inlineStr">
        <is>
          <t>Saúde Total</t>
        </is>
      </c>
      <c r="G990" s="38" t="inlineStr">
        <is>
          <t>Consulta</t>
        </is>
      </c>
      <c r="H990" s="38" t="inlineStr">
        <is>
          <t>Realizado</t>
        </is>
      </c>
      <c r="I990" s="38" t="inlineStr">
        <is>
          <t>Convênio</t>
        </is>
      </c>
      <c r="J990" s="38" t="n"/>
      <c r="K990" s="37" t="n"/>
      <c r="L990" s="39" t="n">
        <v>30</v>
      </c>
      <c r="M990" s="40" t="n">
        <v>120</v>
      </c>
      <c r="N990" s="30">
        <f>IF(A990="","",MONTH(A990))</f>
        <v>9</v>
      </c>
      <c r="O990" s="30">
        <f>IF(A990="","",YEAR(A990))</f>
        <v>2026</v>
      </c>
      <c r="P990" s="30" t="str">
        <f>IF(A990="","",CHOOSE(WEEKDAY(A990,2),"Segunda","Terça","Quarta","Quinta","Sexta","Sábado","Domingo"))</f>
        <v>Terça</v>
      </c>
      <c r="Q990" s="30" t="str">
        <f>IF(B990="","",IF(B990&lt;TIME(12,0,0),"Manhã",IF(B990&lt;TIME(18,0,0),"Tarde","Noite")))</f>
        <v>Tarde</v>
      </c>
      <c r="R990" s="46">
        <f>IF(AND(H990="Realizado",L990&lt;&gt;"",A990&lt;=Config!$B$9),L990/60,0)</f>
        <v>0.5</v>
      </c>
      <c r="S990" s="45">
        <f>IF(G990="","",IFERROR(INDEX(Config!$K$5:$K$16,MATCH(G990,Config!$J$5:$J$16,0)),""))</f>
        <v>30</v>
      </c>
      <c r="T990" s="31">
        <f>IF(OR(G990="",F990=""),"",IFERROR(INDEX(Config!$M$5:$R$16,MATCH(G990,Config!$J$5:$J$16,0),MATCH(F990,Config!$H$5:$H$10,0)),""))</f>
        <v>120</v>
      </c>
      <c r="U990" s="47">
        <f>IF(AND(H990="Realizado",L990&lt;&gt;""),L990/60,0)</f>
        <v>0.5</v>
      </c>
      <c r="V990" s="47">
        <f>IF(AND(H990="Realizado",OR(L990="",M990="")),1,0)</f>
        <v>0</v>
      </c>
    </row>
    <row r="991">
      <c r="A991" s="43" t="n">
        <v>46274</v>
      </c>
      <c r="B991" s="44" t="n">
        <v>0.5833333333333334</v>
      </c>
      <c r="C991" s="38" t="inlineStr">
        <is>
          <t>Dra. Carolina Mendes</t>
        </is>
      </c>
      <c r="D991" s="38" t="inlineStr">
        <is>
          <t>Sala 1</t>
        </is>
      </c>
      <c r="E991" s="37" t="inlineStr">
        <is>
          <t>Ana Costa</t>
        </is>
      </c>
      <c r="F991" s="38" t="inlineStr">
        <is>
          <t>Particular</t>
        </is>
      </c>
      <c r="G991" s="38" t="inlineStr">
        <is>
          <t>Consulta</t>
        </is>
      </c>
      <c r="H991" s="38" t="inlineStr">
        <is>
          <t>Realizado</t>
        </is>
      </c>
      <c r="I991" s="38" t="inlineStr">
        <is>
          <t>A prazo</t>
        </is>
      </c>
      <c r="J991" s="38" t="n"/>
      <c r="K991" s="37" t="n"/>
      <c r="L991" s="39" t="n">
        <v>30</v>
      </c>
      <c r="M991" s="40" t="n">
        <v>380</v>
      </c>
      <c r="N991" s="30">
        <f>IF(A991="","",MONTH(A991))</f>
        <v>9</v>
      </c>
      <c r="O991" s="30">
        <f>IF(A991="","",YEAR(A991))</f>
        <v>2026</v>
      </c>
      <c r="P991" s="30" t="str">
        <f>IF(A991="","",CHOOSE(WEEKDAY(A991,2),"Segunda","Terça","Quarta","Quinta","Sexta","Sábado","Domingo"))</f>
        <v>Quarta</v>
      </c>
      <c r="Q991" s="30" t="str">
        <f>IF(B991="","",IF(B991&lt;TIME(12,0,0),"Manhã",IF(B991&lt;TIME(18,0,0),"Tarde","Noite")))</f>
        <v>Tarde</v>
      </c>
      <c r="R991" s="46">
        <f>IF(AND(H991="Realizado",L991&lt;&gt;"",A991&lt;=Config!$B$9),L991/60,0)</f>
        <v>0.5</v>
      </c>
      <c r="S991" s="45">
        <f>IF(G991="","",IFERROR(INDEX(Config!$K$5:$K$16,MATCH(G991,Config!$J$5:$J$16,0)),""))</f>
        <v>30</v>
      </c>
      <c r="T991" s="31">
        <f>IF(OR(G991="",F991=""),"",IFERROR(INDEX(Config!$M$5:$R$16,MATCH(G991,Config!$J$5:$J$16,0),MATCH(F991,Config!$H$5:$H$10,0)),""))</f>
        <v>380</v>
      </c>
      <c r="U991" s="47">
        <f>IF(AND(H991="Realizado",L991&lt;&gt;""),L991/60,0)</f>
        <v>0.5</v>
      </c>
      <c r="V991" s="47">
        <f>IF(AND(H991="Realizado",OR(L991="",M991="")),1,0)</f>
        <v>0</v>
      </c>
    </row>
    <row r="992">
      <c r="A992" s="43" t="n">
        <v>46274</v>
      </c>
      <c r="B992" s="44" t="n">
        <v>0.6041666666666666</v>
      </c>
      <c r="C992" s="38" t="inlineStr">
        <is>
          <t>Dra. Carolina Mendes</t>
        </is>
      </c>
      <c r="D992" s="38" t="inlineStr">
        <is>
          <t>Sala 1</t>
        </is>
      </c>
      <c r="E992" s="37" t="inlineStr">
        <is>
          <t>Carlos Castro</t>
        </is>
      </c>
      <c r="F992" s="38" t="inlineStr">
        <is>
          <t>Saúde Total</t>
        </is>
      </c>
      <c r="G992" s="38" t="inlineStr">
        <is>
          <t>Retorno</t>
        </is>
      </c>
      <c r="H992" s="38" t="inlineStr">
        <is>
          <t>Realizado</t>
        </is>
      </c>
      <c r="I992" s="38" t="inlineStr">
        <is>
          <t>Sem cobrança</t>
        </is>
      </c>
      <c r="J992" s="38" t="n"/>
      <c r="K992" s="37" t="n"/>
      <c r="L992" s="39" t="n">
        <v>20</v>
      </c>
      <c r="M992" s="40" t="n">
        <v>0</v>
      </c>
      <c r="N992" s="30">
        <f>IF(A992="","",MONTH(A992))</f>
        <v>9</v>
      </c>
      <c r="O992" s="30">
        <f>IF(A992="","",YEAR(A992))</f>
        <v>2026</v>
      </c>
      <c r="P992" s="30" t="str">
        <f>IF(A992="","",CHOOSE(WEEKDAY(A992,2),"Segunda","Terça","Quarta","Quinta","Sexta","Sábado","Domingo"))</f>
        <v>Quarta</v>
      </c>
      <c r="Q992" s="30" t="str">
        <f>IF(B992="","",IF(B992&lt;TIME(12,0,0),"Manhã",IF(B992&lt;TIME(18,0,0),"Tarde","Noite")))</f>
        <v>Tarde</v>
      </c>
      <c r="R992" s="46">
        <f>IF(AND(H992="Realizado",L992&lt;&gt;"",A992&lt;=Config!$B$9),L992/60,0)</f>
        <v>0.333333333333333</v>
      </c>
      <c r="S992" s="45">
        <f>IF(G992="","",IFERROR(INDEX(Config!$K$5:$K$16,MATCH(G992,Config!$J$5:$J$16,0)),""))</f>
        <v>20</v>
      </c>
      <c r="T992" s="31">
        <f>IF(OR(G992="",F992=""),"",IFERROR(INDEX(Config!$M$5:$R$16,MATCH(G992,Config!$J$5:$J$16,0),MATCH(F992,Config!$H$5:$H$10,0)),""))</f>
        <v>0</v>
      </c>
      <c r="U992" s="47">
        <f>IF(AND(H992="Realizado",L992&lt;&gt;""),L992/60,0)</f>
        <v>0.333333333333333</v>
      </c>
      <c r="V992" s="47">
        <f>IF(AND(H992="Realizado",OR(L992="",M992="")),1,0)</f>
        <v>0</v>
      </c>
    </row>
    <row r="993">
      <c r="A993" s="43" t="n">
        <v>46274</v>
      </c>
      <c r="B993" s="44" t="n">
        <v>0.6180555555555556</v>
      </c>
      <c r="C993" s="38" t="inlineStr">
        <is>
          <t>Dra. Carolina Mendes</t>
        </is>
      </c>
      <c r="D993" s="38" t="inlineStr">
        <is>
          <t>Sala 1</t>
        </is>
      </c>
      <c r="E993" s="37" t="inlineStr">
        <is>
          <t>Sérgio Martins</t>
        </is>
      </c>
      <c r="F993" s="38" t="inlineStr">
        <is>
          <t>Particular</t>
        </is>
      </c>
      <c r="G993" s="38" t="inlineStr">
        <is>
          <t>Retorno</t>
        </is>
      </c>
      <c r="H993" s="38" t="inlineStr">
        <is>
          <t>Realizado</t>
        </is>
      </c>
      <c r="I993" s="38" t="inlineStr">
        <is>
          <t>Sem cobrança</t>
        </is>
      </c>
      <c r="J993" s="38" t="n"/>
      <c r="K993" s="37" t="n"/>
      <c r="L993" s="39" t="n">
        <v>20</v>
      </c>
      <c r="M993" s="40" t="n">
        <v>0</v>
      </c>
      <c r="N993" s="30">
        <f>IF(A993="","",MONTH(A993))</f>
        <v>9</v>
      </c>
      <c r="O993" s="30">
        <f>IF(A993="","",YEAR(A993))</f>
        <v>2026</v>
      </c>
      <c r="P993" s="30" t="str">
        <f>IF(A993="","",CHOOSE(WEEKDAY(A993,2),"Segunda","Terça","Quarta","Quinta","Sexta","Sábado","Domingo"))</f>
        <v>Quarta</v>
      </c>
      <c r="Q993" s="30" t="str">
        <f>IF(B993="","",IF(B993&lt;TIME(12,0,0),"Manhã",IF(B993&lt;TIME(18,0,0),"Tarde","Noite")))</f>
        <v>Tarde</v>
      </c>
      <c r="R993" s="46">
        <f>IF(AND(H993="Realizado",L993&lt;&gt;"",A993&lt;=Config!$B$9),L993/60,0)</f>
        <v>0.333333333333333</v>
      </c>
      <c r="S993" s="45">
        <f>IF(G993="","",IFERROR(INDEX(Config!$K$5:$K$16,MATCH(G993,Config!$J$5:$J$16,0)),""))</f>
        <v>20</v>
      </c>
      <c r="T993" s="31">
        <f>IF(OR(G993="",F993=""),"",IFERROR(INDEX(Config!$M$5:$R$16,MATCH(G993,Config!$J$5:$J$16,0),MATCH(F993,Config!$H$5:$H$10,0)),""))</f>
        <v>0</v>
      </c>
      <c r="U993" s="47">
        <f>IF(AND(H993="Realizado",L993&lt;&gt;""),L993/60,0)</f>
        <v>0.333333333333333</v>
      </c>
      <c r="V993" s="47">
        <f>IF(AND(H993="Realizado",OR(L993="",M993="")),1,0)</f>
        <v>0</v>
      </c>
    </row>
    <row r="994">
      <c r="A994" s="43" t="n">
        <v>46274</v>
      </c>
      <c r="B994" s="44" t="n">
        <v>0.6319444444444444</v>
      </c>
      <c r="C994" s="38" t="inlineStr">
        <is>
          <t>Dra. Carolina Mendes</t>
        </is>
      </c>
      <c r="D994" s="38" t="inlineStr">
        <is>
          <t>Sala 1</t>
        </is>
      </c>
      <c r="E994" s="37" t="inlineStr">
        <is>
          <t>Simone Monteiro</t>
        </is>
      </c>
      <c r="F994" s="38" t="inlineStr">
        <is>
          <t>Vida Care</t>
        </is>
      </c>
      <c r="G994" s="38" t="inlineStr">
        <is>
          <t>Consulta</t>
        </is>
      </c>
      <c r="H994" s="38" t="inlineStr">
        <is>
          <t>Realizado</t>
        </is>
      </c>
      <c r="I994" s="38" t="inlineStr">
        <is>
          <t>Convênio</t>
        </is>
      </c>
      <c r="J994" s="38" t="n"/>
      <c r="K994" s="37" t="n"/>
      <c r="L994" s="39" t="n">
        <v>30</v>
      </c>
      <c r="M994" s="40" t="n">
        <v>90</v>
      </c>
      <c r="N994" s="30">
        <f>IF(A994="","",MONTH(A994))</f>
        <v>9</v>
      </c>
      <c r="O994" s="30">
        <f>IF(A994="","",YEAR(A994))</f>
        <v>2026</v>
      </c>
      <c r="P994" s="30" t="str">
        <f>IF(A994="","",CHOOSE(WEEKDAY(A994,2),"Segunda","Terça","Quarta","Quinta","Sexta","Sábado","Domingo"))</f>
        <v>Quarta</v>
      </c>
      <c r="Q994" s="30" t="str">
        <f>IF(B994="","",IF(B994&lt;TIME(12,0,0),"Manhã",IF(B994&lt;TIME(18,0,0),"Tarde","Noite")))</f>
        <v>Tarde</v>
      </c>
      <c r="R994" s="46">
        <f>IF(AND(H994="Realizado",L994&lt;&gt;"",A994&lt;=Config!$B$9),L994/60,0)</f>
        <v>0.5</v>
      </c>
      <c r="S994" s="45">
        <f>IF(G994="","",IFERROR(INDEX(Config!$K$5:$K$16,MATCH(G994,Config!$J$5:$J$16,0)),""))</f>
        <v>30</v>
      </c>
      <c r="T994" s="31">
        <f>IF(OR(G994="",F994=""),"",IFERROR(INDEX(Config!$M$5:$R$16,MATCH(G994,Config!$J$5:$J$16,0),MATCH(F994,Config!$H$5:$H$10,0)),""))</f>
        <v>90</v>
      </c>
      <c r="U994" s="47">
        <f>IF(AND(H994="Realizado",L994&lt;&gt;""),L994/60,0)</f>
        <v>0.5</v>
      </c>
      <c r="V994" s="47">
        <f>IF(AND(H994="Realizado",OR(L994="",M994="")),1,0)</f>
        <v>0</v>
      </c>
    </row>
    <row r="995">
      <c r="A995" s="43" t="n">
        <v>46274</v>
      </c>
      <c r="B995" s="44" t="n">
        <v>0.6527777777777778</v>
      </c>
      <c r="C995" s="38" t="inlineStr">
        <is>
          <t>Dra. Carolina Mendes</t>
        </is>
      </c>
      <c r="D995" s="38" t="inlineStr">
        <is>
          <t>Sala 1</t>
        </is>
      </c>
      <c r="E995" s="37" t="inlineStr">
        <is>
          <t>Gisele Ribeiro</t>
        </is>
      </c>
      <c r="F995" s="38" t="inlineStr">
        <is>
          <t>Particular</t>
        </is>
      </c>
      <c r="G995" s="38" t="inlineStr">
        <is>
          <t>Consulta</t>
        </is>
      </c>
      <c r="H995" s="38" t="inlineStr">
        <is>
          <t>Realizado</t>
        </is>
      </c>
      <c r="I995" s="38" t="inlineStr">
        <is>
          <t>Cartão de crédito</t>
        </is>
      </c>
      <c r="J995" s="38" t="n">
        <v>2</v>
      </c>
      <c r="K995" s="37" t="n"/>
      <c r="L995" s="39" t="n">
        <v>30</v>
      </c>
      <c r="M995" s="40" t="n">
        <v>380</v>
      </c>
      <c r="N995" s="30">
        <f>IF(A995="","",MONTH(A995))</f>
        <v>9</v>
      </c>
      <c r="O995" s="30">
        <f>IF(A995="","",YEAR(A995))</f>
        <v>2026</v>
      </c>
      <c r="P995" s="30" t="str">
        <f>IF(A995="","",CHOOSE(WEEKDAY(A995,2),"Segunda","Terça","Quarta","Quinta","Sexta","Sábado","Domingo"))</f>
        <v>Quarta</v>
      </c>
      <c r="Q995" s="30" t="str">
        <f>IF(B995="","",IF(B995&lt;TIME(12,0,0),"Manhã",IF(B995&lt;TIME(18,0,0),"Tarde","Noite")))</f>
        <v>Tarde</v>
      </c>
      <c r="R995" s="46">
        <f>IF(AND(H995="Realizado",L995&lt;&gt;"",A995&lt;=Config!$B$9),L995/60,0)</f>
        <v>0.5</v>
      </c>
      <c r="S995" s="45">
        <f>IF(G995="","",IFERROR(INDEX(Config!$K$5:$K$16,MATCH(G995,Config!$J$5:$J$16,0)),""))</f>
        <v>30</v>
      </c>
      <c r="T995" s="31">
        <f>IF(OR(G995="",F995=""),"",IFERROR(INDEX(Config!$M$5:$R$16,MATCH(G995,Config!$J$5:$J$16,0),MATCH(F995,Config!$H$5:$H$10,0)),""))</f>
        <v>380</v>
      </c>
      <c r="U995" s="47">
        <f>IF(AND(H995="Realizado",L995&lt;&gt;""),L995/60,0)</f>
        <v>0.5</v>
      </c>
      <c r="V995" s="47">
        <f>IF(AND(H995="Realizado",OR(L995="",M995="")),1,0)</f>
        <v>0</v>
      </c>
    </row>
    <row r="996">
      <c r="A996" s="43" t="n">
        <v>46274</v>
      </c>
      <c r="B996" s="44" t="n">
        <v>0.6736111111111112</v>
      </c>
      <c r="C996" s="38" t="inlineStr">
        <is>
          <t>Dra. Carolina Mendes</t>
        </is>
      </c>
      <c r="D996" s="38" t="inlineStr">
        <is>
          <t>Sala 1</t>
        </is>
      </c>
      <c r="E996" s="37" t="inlineStr">
        <is>
          <t>Roberta Fernandes</t>
        </is>
      </c>
      <c r="F996" s="38" t="inlineStr">
        <is>
          <t>Saúde Total</t>
        </is>
      </c>
      <c r="G996" s="38" t="inlineStr">
        <is>
          <t>Consulta</t>
        </is>
      </c>
      <c r="H996" s="38" t="inlineStr">
        <is>
          <t>Realizado</t>
        </is>
      </c>
      <c r="I996" s="38" t="inlineStr">
        <is>
          <t>Convênio</t>
        </is>
      </c>
      <c r="J996" s="38" t="n"/>
      <c r="K996" s="37" t="n"/>
      <c r="L996" s="39" t="n">
        <v>30</v>
      </c>
      <c r="M996" s="40" t="n">
        <v>120</v>
      </c>
      <c r="N996" s="30">
        <f>IF(A996="","",MONTH(A996))</f>
        <v>9</v>
      </c>
      <c r="O996" s="30">
        <f>IF(A996="","",YEAR(A996))</f>
        <v>2026</v>
      </c>
      <c r="P996" s="30" t="str">
        <f>IF(A996="","",CHOOSE(WEEKDAY(A996,2),"Segunda","Terça","Quarta","Quinta","Sexta","Sábado","Domingo"))</f>
        <v>Quarta</v>
      </c>
      <c r="Q996" s="30" t="str">
        <f>IF(B996="","",IF(B996&lt;TIME(12,0,0),"Manhã",IF(B996&lt;TIME(18,0,0),"Tarde","Noite")))</f>
        <v>Tarde</v>
      </c>
      <c r="R996" s="46">
        <f>IF(AND(H996="Realizado",L996&lt;&gt;"",A996&lt;=Config!$B$9),L996/60,0)</f>
        <v>0.5</v>
      </c>
      <c r="S996" s="45">
        <f>IF(G996="","",IFERROR(INDEX(Config!$K$5:$K$16,MATCH(G996,Config!$J$5:$J$16,0)),""))</f>
        <v>30</v>
      </c>
      <c r="T996" s="31">
        <f>IF(OR(G996="",F996=""),"",IFERROR(INDEX(Config!$M$5:$R$16,MATCH(G996,Config!$J$5:$J$16,0),MATCH(F996,Config!$H$5:$H$10,0)),""))</f>
        <v>120</v>
      </c>
      <c r="U996" s="47">
        <f>IF(AND(H996="Realizado",L996&lt;&gt;""),L996/60,0)</f>
        <v>0.5</v>
      </c>
      <c r="V996" s="47">
        <f>IF(AND(H996="Realizado",OR(L996="",M996="")),1,0)</f>
        <v>0</v>
      </c>
    </row>
    <row r="997">
      <c r="A997" s="43" t="n">
        <v>46274</v>
      </c>
      <c r="B997" s="44" t="n">
        <v>0.6944444444444444</v>
      </c>
      <c r="C997" s="38" t="inlineStr">
        <is>
          <t>Dra. Carolina Mendes</t>
        </is>
      </c>
      <c r="D997" s="38" t="inlineStr">
        <is>
          <t>Sala 1</t>
        </is>
      </c>
      <c r="E997" s="37" t="inlineStr">
        <is>
          <t>Gustavo Ferreira</t>
        </is>
      </c>
      <c r="F997" s="38" t="inlineStr">
        <is>
          <t>Particular</t>
        </is>
      </c>
      <c r="G997" s="38" t="inlineStr">
        <is>
          <t>Consulta</t>
        </is>
      </c>
      <c r="H997" s="38" t="inlineStr">
        <is>
          <t>Realizado</t>
        </is>
      </c>
      <c r="I997" s="38" t="inlineStr">
        <is>
          <t>Pix</t>
        </is>
      </c>
      <c r="J997" s="38" t="n"/>
      <c r="K997" s="37" t="n"/>
      <c r="L997" s="39" t="n">
        <v>30</v>
      </c>
      <c r="M997" s="40" t="n">
        <v>380</v>
      </c>
      <c r="N997" s="30">
        <f>IF(A997="","",MONTH(A997))</f>
        <v>9</v>
      </c>
      <c r="O997" s="30">
        <f>IF(A997="","",YEAR(A997))</f>
        <v>2026</v>
      </c>
      <c r="P997" s="30" t="str">
        <f>IF(A997="","",CHOOSE(WEEKDAY(A997,2),"Segunda","Terça","Quarta","Quinta","Sexta","Sábado","Domingo"))</f>
        <v>Quarta</v>
      </c>
      <c r="Q997" s="30" t="str">
        <f>IF(B997="","",IF(B997&lt;TIME(12,0,0),"Manhã",IF(B997&lt;TIME(18,0,0),"Tarde","Noite")))</f>
        <v>Tarde</v>
      </c>
      <c r="R997" s="46">
        <f>IF(AND(H997="Realizado",L997&lt;&gt;"",A997&lt;=Config!$B$9),L997/60,0)</f>
        <v>0.5</v>
      </c>
      <c r="S997" s="45">
        <f>IF(G997="","",IFERROR(INDEX(Config!$K$5:$K$16,MATCH(G997,Config!$J$5:$J$16,0)),""))</f>
        <v>30</v>
      </c>
      <c r="T997" s="31">
        <f>IF(OR(G997="",F997=""),"",IFERROR(INDEX(Config!$M$5:$R$16,MATCH(G997,Config!$J$5:$J$16,0),MATCH(F997,Config!$H$5:$H$10,0)),""))</f>
        <v>380</v>
      </c>
      <c r="U997" s="47">
        <f>IF(AND(H997="Realizado",L997&lt;&gt;""),L997/60,0)</f>
        <v>0.5</v>
      </c>
      <c r="V997" s="47">
        <f>IF(AND(H997="Realizado",OR(L997="",M997="")),1,0)</f>
        <v>0</v>
      </c>
    </row>
    <row r="998">
      <c r="A998" s="43" t="n">
        <v>46274</v>
      </c>
      <c r="B998" s="44" t="n">
        <v>0.7152777777777778</v>
      </c>
      <c r="C998" s="38" t="inlineStr">
        <is>
          <t>Dra. Carolina Mendes</t>
        </is>
      </c>
      <c r="D998" s="38" t="inlineStr">
        <is>
          <t>Sala 1</t>
        </is>
      </c>
      <c r="E998" s="37" t="inlineStr">
        <is>
          <t>Cláudia Santos</t>
        </is>
      </c>
      <c r="F998" s="38" t="inlineStr">
        <is>
          <t>Particular</t>
        </is>
      </c>
      <c r="G998" s="38" t="inlineStr">
        <is>
          <t>Consulta</t>
        </is>
      </c>
      <c r="H998" s="38" t="inlineStr">
        <is>
          <t>Realizado</t>
        </is>
      </c>
      <c r="I998" s="38" t="inlineStr">
        <is>
          <t>Cartão de débito</t>
        </is>
      </c>
      <c r="J998" s="38" t="n"/>
      <c r="K998" s="37" t="n"/>
      <c r="L998" s="39" t="n">
        <v>30</v>
      </c>
      <c r="M998" s="40" t="n">
        <v>380</v>
      </c>
      <c r="N998" s="30">
        <f>IF(A998="","",MONTH(A998))</f>
        <v>9</v>
      </c>
      <c r="O998" s="30">
        <f>IF(A998="","",YEAR(A998))</f>
        <v>2026</v>
      </c>
      <c r="P998" s="30" t="str">
        <f>IF(A998="","",CHOOSE(WEEKDAY(A998,2),"Segunda","Terça","Quarta","Quinta","Sexta","Sábado","Domingo"))</f>
        <v>Quarta</v>
      </c>
      <c r="Q998" s="30" t="str">
        <f>IF(B998="","",IF(B998&lt;TIME(12,0,0),"Manhã",IF(B998&lt;TIME(18,0,0),"Tarde","Noite")))</f>
        <v>Tarde</v>
      </c>
      <c r="R998" s="46">
        <f>IF(AND(H998="Realizado",L998&lt;&gt;"",A998&lt;=Config!$B$9),L998/60,0)</f>
        <v>0.5</v>
      </c>
      <c r="S998" s="45">
        <f>IF(G998="","",IFERROR(INDEX(Config!$K$5:$K$16,MATCH(G998,Config!$J$5:$J$16,0)),""))</f>
        <v>30</v>
      </c>
      <c r="T998" s="31">
        <f>IF(OR(G998="",F998=""),"",IFERROR(INDEX(Config!$M$5:$R$16,MATCH(G998,Config!$J$5:$J$16,0),MATCH(F998,Config!$H$5:$H$10,0)),""))</f>
        <v>380</v>
      </c>
      <c r="U998" s="47">
        <f>IF(AND(H998="Realizado",L998&lt;&gt;""),L998/60,0)</f>
        <v>0.5</v>
      </c>
      <c r="V998" s="47">
        <f>IF(AND(H998="Realizado",OR(L998="",M998="")),1,0)</f>
        <v>0</v>
      </c>
    </row>
    <row r="999">
      <c r="A999" s="43" t="n">
        <v>46275</v>
      </c>
      <c r="B999" s="44" t="n">
        <v>0.3333333333333333</v>
      </c>
      <c r="C999" s="38" t="inlineStr">
        <is>
          <t>Dra. Carolina Mendes</t>
        </is>
      </c>
      <c r="D999" s="38" t="inlineStr">
        <is>
          <t>Sala 1</t>
        </is>
      </c>
      <c r="E999" s="37" t="inlineStr">
        <is>
          <t>Helena Moreira</t>
        </is>
      </c>
      <c r="F999" s="38" t="inlineStr">
        <is>
          <t>Particular</t>
        </is>
      </c>
      <c r="G999" s="38" t="inlineStr">
        <is>
          <t>Consulta</t>
        </is>
      </c>
      <c r="H999" s="38" t="inlineStr">
        <is>
          <t>Realizado</t>
        </is>
      </c>
      <c r="I999" s="38" t="inlineStr">
        <is>
          <t>Cartão de crédito</t>
        </is>
      </c>
      <c r="J999" s="38" t="n"/>
      <c r="K999" s="37" t="n"/>
      <c r="L999" s="39" t="n">
        <v>30</v>
      </c>
      <c r="M999" s="40" t="n">
        <v>380</v>
      </c>
      <c r="N999" s="30">
        <f>IF(A999="","",MONTH(A999))</f>
        <v>9</v>
      </c>
      <c r="O999" s="30">
        <f>IF(A999="","",YEAR(A999))</f>
        <v>2026</v>
      </c>
      <c r="P999" s="30" t="str">
        <f>IF(A999="","",CHOOSE(WEEKDAY(A999,2),"Segunda","Terça","Quarta","Quinta","Sexta","Sábado","Domingo"))</f>
        <v>Quinta</v>
      </c>
      <c r="Q999" s="30" t="str">
        <f>IF(B999="","",IF(B999&lt;TIME(12,0,0),"Manhã",IF(B999&lt;TIME(18,0,0),"Tarde","Noite")))</f>
        <v>Manhã</v>
      </c>
      <c r="R999" s="46">
        <f>IF(AND(H999="Realizado",L999&lt;&gt;"",A999&lt;=Config!$B$9),L999/60,0)</f>
        <v>0.5</v>
      </c>
      <c r="S999" s="45">
        <f>IF(G999="","",IFERROR(INDEX(Config!$K$5:$K$16,MATCH(G999,Config!$J$5:$J$16,0)),""))</f>
        <v>30</v>
      </c>
      <c r="T999" s="31">
        <f>IF(OR(G999="",F999=""),"",IFERROR(INDEX(Config!$M$5:$R$16,MATCH(G999,Config!$J$5:$J$16,0),MATCH(F999,Config!$H$5:$H$10,0)),""))</f>
        <v>380</v>
      </c>
      <c r="U999" s="47">
        <f>IF(AND(H999="Realizado",L999&lt;&gt;""),L999/60,0)</f>
        <v>0.5</v>
      </c>
      <c r="V999" s="47">
        <f>IF(AND(H999="Realizado",OR(L999="",M999="")),1,0)</f>
        <v>0</v>
      </c>
    </row>
    <row r="1000">
      <c r="A1000" s="43" t="n">
        <v>46275</v>
      </c>
      <c r="B1000" s="44" t="n">
        <v>0.3541666666666667</v>
      </c>
      <c r="C1000" s="38" t="inlineStr">
        <is>
          <t>Dra. Carolina Mendes</t>
        </is>
      </c>
      <c r="D1000" s="38" t="inlineStr">
        <is>
          <t>Sala 1</t>
        </is>
      </c>
      <c r="E1000" s="37" t="inlineStr">
        <is>
          <t>Regina Macedo</t>
        </is>
      </c>
      <c r="F1000" s="38" t="inlineStr">
        <is>
          <t>Particular</t>
        </is>
      </c>
      <c r="G1000" s="38" t="inlineStr">
        <is>
          <t>Consulta</t>
        </is>
      </c>
      <c r="H1000" s="38" t="inlineStr">
        <is>
          <t>Realizado</t>
        </is>
      </c>
      <c r="I1000" s="38" t="inlineStr">
        <is>
          <t>Pix</t>
        </is>
      </c>
      <c r="J1000" s="38" t="n"/>
      <c r="K1000" s="37" t="n"/>
      <c r="L1000" s="39" t="n">
        <v>30</v>
      </c>
      <c r="M1000" s="40" t="n">
        <v>380</v>
      </c>
      <c r="N1000" s="30">
        <f>IF(A1000="","",MONTH(A1000))</f>
        <v>9</v>
      </c>
      <c r="O1000" s="30">
        <f>IF(A1000="","",YEAR(A1000))</f>
        <v>2026</v>
      </c>
      <c r="P1000" s="30" t="str">
        <f>IF(A1000="","",CHOOSE(WEEKDAY(A1000,2),"Segunda","Terça","Quarta","Quinta","Sexta","Sábado","Domingo"))</f>
        <v>Quinta</v>
      </c>
      <c r="Q1000" s="30" t="str">
        <f>IF(B1000="","",IF(B1000&lt;TIME(12,0,0),"Manhã",IF(B1000&lt;TIME(18,0,0),"Tarde","Noite")))</f>
        <v>Manhã</v>
      </c>
      <c r="R1000" s="46">
        <f>IF(AND(H1000="Realizado",L1000&lt;&gt;"",A1000&lt;=Config!$B$9),L1000/60,0)</f>
        <v>0.5</v>
      </c>
      <c r="S1000" s="45">
        <f>IF(G1000="","",IFERROR(INDEX(Config!$K$5:$K$16,MATCH(G1000,Config!$J$5:$J$16,0)),""))</f>
        <v>30</v>
      </c>
      <c r="T1000" s="31">
        <f>IF(OR(G1000="",F1000=""),"",IFERROR(INDEX(Config!$M$5:$R$16,MATCH(G1000,Config!$J$5:$J$16,0),MATCH(F1000,Config!$H$5:$H$10,0)),""))</f>
        <v>380</v>
      </c>
      <c r="U1000" s="47">
        <f>IF(AND(H1000="Realizado",L1000&lt;&gt;""),L1000/60,0)</f>
        <v>0.5</v>
      </c>
      <c r="V1000" s="47">
        <f>IF(AND(H1000="Realizado",OR(L1000="",M1000="")),1,0)</f>
        <v>0</v>
      </c>
    </row>
    <row r="1001">
      <c r="A1001" s="43" t="n">
        <v>46275</v>
      </c>
      <c r="B1001" s="44" t="n">
        <v>0.375</v>
      </c>
      <c r="C1001" s="38" t="inlineStr">
        <is>
          <t>Dra. Carolina Mendes</t>
        </is>
      </c>
      <c r="D1001" s="38" t="inlineStr">
        <is>
          <t>Sala 1</t>
        </is>
      </c>
      <c r="E1001" s="37" t="inlineStr">
        <is>
          <t>Rafael Dias</t>
        </is>
      </c>
      <c r="F1001" s="38" t="inlineStr">
        <is>
          <t>Particular</t>
        </is>
      </c>
      <c r="G1001" s="38" t="inlineStr">
        <is>
          <t>Consulta</t>
        </is>
      </c>
      <c r="H1001" s="38" t="inlineStr">
        <is>
          <t>Realizado</t>
        </is>
      </c>
      <c r="I1001" s="38" t="inlineStr">
        <is>
          <t>Cartão de débito</t>
        </is>
      </c>
      <c r="J1001" s="38" t="n"/>
      <c r="K1001" s="37" t="n"/>
      <c r="L1001" s="39" t="n">
        <v>30</v>
      </c>
      <c r="M1001" s="40" t="n">
        <v>380</v>
      </c>
      <c r="N1001" s="30">
        <f>IF(A1001="","",MONTH(A1001))</f>
        <v>9</v>
      </c>
      <c r="O1001" s="30">
        <f>IF(A1001="","",YEAR(A1001))</f>
        <v>2026</v>
      </c>
      <c r="P1001" s="30" t="str">
        <f>IF(A1001="","",CHOOSE(WEEKDAY(A1001,2),"Segunda","Terça","Quarta","Quinta","Sexta","Sábado","Domingo"))</f>
        <v>Quinta</v>
      </c>
      <c r="Q1001" s="30" t="str">
        <f>IF(B1001="","",IF(B1001&lt;TIME(12,0,0),"Manhã",IF(B1001&lt;TIME(18,0,0),"Tarde","Noite")))</f>
        <v>Manhã</v>
      </c>
      <c r="R1001" s="46">
        <f>IF(AND(H1001="Realizado",L1001&lt;&gt;"",A1001&lt;=Config!$B$9),L1001/60,0)</f>
        <v>0.5</v>
      </c>
      <c r="S1001" s="45">
        <f>IF(G1001="","",IFERROR(INDEX(Config!$K$5:$K$16,MATCH(G1001,Config!$J$5:$J$16,0)),""))</f>
        <v>30</v>
      </c>
      <c r="T1001" s="31">
        <f>IF(OR(G1001="",F1001=""),"",IFERROR(INDEX(Config!$M$5:$R$16,MATCH(G1001,Config!$J$5:$J$16,0),MATCH(F1001,Config!$H$5:$H$10,0)),""))</f>
        <v>380</v>
      </c>
      <c r="U1001" s="47">
        <f>IF(AND(H1001="Realizado",L1001&lt;&gt;""),L1001/60,0)</f>
        <v>0.5</v>
      </c>
      <c r="V1001" s="47">
        <f>IF(AND(H1001="Realizado",OR(L1001="",M1001="")),1,0)</f>
        <v>0</v>
      </c>
    </row>
    <row r="1002">
      <c r="A1002" s="43" t="n">
        <v>46275</v>
      </c>
      <c r="B1002" s="44" t="n">
        <v>0.3958333333333333</v>
      </c>
      <c r="C1002" s="38" t="inlineStr">
        <is>
          <t>Dra. Carolina Mendes</t>
        </is>
      </c>
      <c r="D1002" s="38" t="inlineStr">
        <is>
          <t>Sala 1</t>
        </is>
      </c>
      <c r="E1002" s="37" t="inlineStr">
        <is>
          <t>Isabela Nascimento</t>
        </is>
      </c>
      <c r="F1002" s="38" t="inlineStr">
        <is>
          <t>Vida Care</t>
        </is>
      </c>
      <c r="G1002" s="38" t="inlineStr">
        <is>
          <t>Consulta</t>
        </is>
      </c>
      <c r="H1002" s="38" t="inlineStr">
        <is>
          <t>Realizado</t>
        </is>
      </c>
      <c r="I1002" s="38" t="inlineStr">
        <is>
          <t>Convênio</t>
        </is>
      </c>
      <c r="J1002" s="38" t="n"/>
      <c r="K1002" s="37" t="n"/>
      <c r="L1002" s="39" t="n">
        <v>30</v>
      </c>
      <c r="M1002" s="40" t="n">
        <v>90</v>
      </c>
      <c r="N1002" s="30">
        <f>IF(A1002="","",MONTH(A1002))</f>
        <v>9</v>
      </c>
      <c r="O1002" s="30">
        <f>IF(A1002="","",YEAR(A1002))</f>
        <v>2026</v>
      </c>
      <c r="P1002" s="30" t="str">
        <f>IF(A1002="","",CHOOSE(WEEKDAY(A1002,2),"Segunda","Terça","Quarta","Quinta","Sexta","Sábado","Domingo"))</f>
        <v>Quinta</v>
      </c>
      <c r="Q1002" s="30" t="str">
        <f>IF(B1002="","",IF(B1002&lt;TIME(12,0,0),"Manhã",IF(B1002&lt;TIME(18,0,0),"Tarde","Noite")))</f>
        <v>Manhã</v>
      </c>
      <c r="R1002" s="46">
        <f>IF(AND(H1002="Realizado",L1002&lt;&gt;"",A1002&lt;=Config!$B$9),L1002/60,0)</f>
        <v>0.5</v>
      </c>
      <c r="S1002" s="45">
        <f>IF(G1002="","",IFERROR(INDEX(Config!$K$5:$K$16,MATCH(G1002,Config!$J$5:$J$16,0)),""))</f>
        <v>30</v>
      </c>
      <c r="T1002" s="31">
        <f>IF(OR(G1002="",F1002=""),"",IFERROR(INDEX(Config!$M$5:$R$16,MATCH(G1002,Config!$J$5:$J$16,0),MATCH(F1002,Config!$H$5:$H$10,0)),""))</f>
        <v>90</v>
      </c>
      <c r="U1002" s="47">
        <f>IF(AND(H1002="Realizado",L1002&lt;&gt;""),L1002/60,0)</f>
        <v>0.5</v>
      </c>
      <c r="V1002" s="47">
        <f>IF(AND(H1002="Realizado",OR(L1002="",M1002="")),1,0)</f>
        <v>0</v>
      </c>
    </row>
    <row r="1003">
      <c r="A1003" s="43" t="n">
        <v>46275</v>
      </c>
      <c r="B1003" s="44" t="n">
        <v>0.4166666666666667</v>
      </c>
      <c r="C1003" s="38" t="inlineStr">
        <is>
          <t>Dra. Carolina Mendes</t>
        </is>
      </c>
      <c r="D1003" s="38" t="inlineStr">
        <is>
          <t>Sala 1</t>
        </is>
      </c>
      <c r="E1003" s="37" t="inlineStr">
        <is>
          <t>Larissa Costa</t>
        </is>
      </c>
      <c r="F1003" s="38" t="inlineStr">
        <is>
          <t>Particular</t>
        </is>
      </c>
      <c r="G1003" s="38" t="inlineStr">
        <is>
          <t>Consulta</t>
        </is>
      </c>
      <c r="H1003" s="38" t="inlineStr">
        <is>
          <t>Realizado</t>
        </is>
      </c>
      <c r="I1003" s="38" t="inlineStr">
        <is>
          <t>A prazo</t>
        </is>
      </c>
      <c r="J1003" s="38" t="n"/>
      <c r="K1003" s="37" t="n"/>
      <c r="L1003" s="39" t="n">
        <v>30</v>
      </c>
      <c r="M1003" s="40" t="n">
        <v>380</v>
      </c>
      <c r="N1003" s="30">
        <f>IF(A1003="","",MONTH(A1003))</f>
        <v>9</v>
      </c>
      <c r="O1003" s="30">
        <f>IF(A1003="","",YEAR(A1003))</f>
        <v>2026</v>
      </c>
      <c r="P1003" s="30" t="str">
        <f>IF(A1003="","",CHOOSE(WEEKDAY(A1003,2),"Segunda","Terça","Quarta","Quinta","Sexta","Sábado","Domingo"))</f>
        <v>Quinta</v>
      </c>
      <c r="Q1003" s="30" t="str">
        <f>IF(B1003="","",IF(B1003&lt;TIME(12,0,0),"Manhã",IF(B1003&lt;TIME(18,0,0),"Tarde","Noite")))</f>
        <v>Manhã</v>
      </c>
      <c r="R1003" s="46">
        <f>IF(AND(H1003="Realizado",L1003&lt;&gt;"",A1003&lt;=Config!$B$9),L1003/60,0)</f>
        <v>0.5</v>
      </c>
      <c r="S1003" s="45">
        <f>IF(G1003="","",IFERROR(INDEX(Config!$K$5:$K$16,MATCH(G1003,Config!$J$5:$J$16,0)),""))</f>
        <v>30</v>
      </c>
      <c r="T1003" s="31">
        <f>IF(OR(G1003="",F1003=""),"",IFERROR(INDEX(Config!$M$5:$R$16,MATCH(G1003,Config!$J$5:$J$16,0),MATCH(F1003,Config!$H$5:$H$10,0)),""))</f>
        <v>380</v>
      </c>
      <c r="U1003" s="47">
        <f>IF(AND(H1003="Realizado",L1003&lt;&gt;""),L1003/60,0)</f>
        <v>0.5</v>
      </c>
      <c r="V1003" s="47">
        <f>IF(AND(H1003="Realizado",OR(L1003="",M1003="")),1,0)</f>
        <v>0</v>
      </c>
    </row>
    <row r="1004">
      <c r="A1004" s="43" t="n">
        <v>46275</v>
      </c>
      <c r="B1004" s="44" t="n">
        <v>0.4375</v>
      </c>
      <c r="C1004" s="38" t="inlineStr">
        <is>
          <t>Dra. Carolina Mendes</t>
        </is>
      </c>
      <c r="D1004" s="38" t="inlineStr">
        <is>
          <t>Sala 1</t>
        </is>
      </c>
      <c r="E1004" s="37" t="inlineStr">
        <is>
          <t>Sérgio Batista</t>
        </is>
      </c>
      <c r="F1004" s="38" t="inlineStr">
        <is>
          <t>MediPlan</t>
        </is>
      </c>
      <c r="G1004" s="38" t="inlineStr">
        <is>
          <t>Consulta</t>
        </is>
      </c>
      <c r="H1004" s="38" t="inlineStr">
        <is>
          <t>Realizado</t>
        </is>
      </c>
      <c r="I1004" s="38" t="inlineStr">
        <is>
          <t>Convênio</t>
        </is>
      </c>
      <c r="J1004" s="38" t="n"/>
      <c r="K1004" s="37" t="n"/>
      <c r="L1004" s="39" t="n">
        <v>30</v>
      </c>
      <c r="M1004" s="40" t="n">
        <v>100</v>
      </c>
      <c r="N1004" s="30">
        <f>IF(A1004="","",MONTH(A1004))</f>
        <v>9</v>
      </c>
      <c r="O1004" s="30">
        <f>IF(A1004="","",YEAR(A1004))</f>
        <v>2026</v>
      </c>
      <c r="P1004" s="30" t="str">
        <f>IF(A1004="","",CHOOSE(WEEKDAY(A1004,2),"Segunda","Terça","Quarta","Quinta","Sexta","Sábado","Domingo"))</f>
        <v>Quinta</v>
      </c>
      <c r="Q1004" s="30" t="str">
        <f>IF(B1004="","",IF(B1004&lt;TIME(12,0,0),"Manhã",IF(B1004&lt;TIME(18,0,0),"Tarde","Noite")))</f>
        <v>Manhã</v>
      </c>
      <c r="R1004" s="46">
        <f>IF(AND(H1004="Realizado",L1004&lt;&gt;"",A1004&lt;=Config!$B$9),L1004/60,0)</f>
        <v>0.5</v>
      </c>
      <c r="S1004" s="45">
        <f>IF(G1004="","",IFERROR(INDEX(Config!$K$5:$K$16,MATCH(G1004,Config!$J$5:$J$16,0)),""))</f>
        <v>30</v>
      </c>
      <c r="T1004" s="31">
        <f>IF(OR(G1004="",F1004=""),"",IFERROR(INDEX(Config!$M$5:$R$16,MATCH(G1004,Config!$J$5:$J$16,0),MATCH(F1004,Config!$H$5:$H$10,0)),""))</f>
        <v>100</v>
      </c>
      <c r="U1004" s="47">
        <f>IF(AND(H1004="Realizado",L1004&lt;&gt;""),L1004/60,0)</f>
        <v>0.5</v>
      </c>
      <c r="V1004" s="47">
        <f>IF(AND(H1004="Realizado",OR(L1004="",M1004="")),1,0)</f>
        <v>0</v>
      </c>
    </row>
    <row r="1005">
      <c r="A1005" s="43" t="n">
        <v>46275</v>
      </c>
      <c r="B1005" s="44" t="n">
        <v>0.4583333333333333</v>
      </c>
      <c r="C1005" s="38" t="inlineStr">
        <is>
          <t>Dra. Carolina Mendes</t>
        </is>
      </c>
      <c r="D1005" s="38" t="inlineStr">
        <is>
          <t>Sala 1</t>
        </is>
      </c>
      <c r="E1005" s="37" t="inlineStr">
        <is>
          <t>Mateus Lima</t>
        </is>
      </c>
      <c r="F1005" s="38" t="inlineStr">
        <is>
          <t>MediPlan</t>
        </is>
      </c>
      <c r="G1005" s="38" t="inlineStr">
        <is>
          <t>Consulta</t>
        </is>
      </c>
      <c r="H1005" s="38" t="inlineStr">
        <is>
          <t>Realizado</t>
        </is>
      </c>
      <c r="I1005" s="38" t="inlineStr">
        <is>
          <t>Convênio</t>
        </is>
      </c>
      <c r="J1005" s="38" t="n"/>
      <c r="K1005" s="37" t="n"/>
      <c r="L1005" s="39" t="n">
        <v>30</v>
      </c>
      <c r="M1005" s="40" t="n">
        <v>100</v>
      </c>
      <c r="N1005" s="30">
        <f>IF(A1005="","",MONTH(A1005))</f>
        <v>9</v>
      </c>
      <c r="O1005" s="30">
        <f>IF(A1005="","",YEAR(A1005))</f>
        <v>2026</v>
      </c>
      <c r="P1005" s="30" t="str">
        <f>IF(A1005="","",CHOOSE(WEEKDAY(A1005,2),"Segunda","Terça","Quarta","Quinta","Sexta","Sábado","Domingo"))</f>
        <v>Quinta</v>
      </c>
      <c r="Q1005" s="30" t="str">
        <f>IF(B1005="","",IF(B1005&lt;TIME(12,0,0),"Manhã",IF(B1005&lt;TIME(18,0,0),"Tarde","Noite")))</f>
        <v>Manhã</v>
      </c>
      <c r="R1005" s="46">
        <f>IF(AND(H1005="Realizado",L1005&lt;&gt;"",A1005&lt;=Config!$B$9),L1005/60,0)</f>
        <v>0.5</v>
      </c>
      <c r="S1005" s="45">
        <f>IF(G1005="","",IFERROR(INDEX(Config!$K$5:$K$16,MATCH(G1005,Config!$J$5:$J$16,0)),""))</f>
        <v>30</v>
      </c>
      <c r="T1005" s="31">
        <f>IF(OR(G1005="",F1005=""),"",IFERROR(INDEX(Config!$M$5:$R$16,MATCH(G1005,Config!$J$5:$J$16,0),MATCH(F1005,Config!$H$5:$H$10,0)),""))</f>
        <v>100</v>
      </c>
      <c r="U1005" s="47">
        <f>IF(AND(H1005="Realizado",L1005&lt;&gt;""),L1005/60,0)</f>
        <v>0.5</v>
      </c>
      <c r="V1005" s="47">
        <f>IF(AND(H1005="Realizado",OR(L1005="",M1005="")),1,0)</f>
        <v>0</v>
      </c>
    </row>
    <row r="1006">
      <c r="A1006" s="43" t="n">
        <v>46275</v>
      </c>
      <c r="B1006" s="44" t="n">
        <v>0.4791666666666667</v>
      </c>
      <c r="C1006" s="38" t="inlineStr">
        <is>
          <t>Dra. Carolina Mendes</t>
        </is>
      </c>
      <c r="D1006" s="38" t="inlineStr">
        <is>
          <t>Sala 1</t>
        </is>
      </c>
      <c r="E1006" s="37" t="inlineStr">
        <is>
          <t>Mônica Batista</t>
        </is>
      </c>
      <c r="F1006" s="38" t="inlineStr">
        <is>
          <t>MediPlan</t>
        </is>
      </c>
      <c r="G1006" s="38" t="inlineStr">
        <is>
          <t>Consulta</t>
        </is>
      </c>
      <c r="H1006" s="38" t="inlineStr">
        <is>
          <t>Realizado</t>
        </is>
      </c>
      <c r="I1006" s="38" t="inlineStr">
        <is>
          <t>Convênio</t>
        </is>
      </c>
      <c r="J1006" s="38" t="n"/>
      <c r="K1006" s="37" t="n"/>
      <c r="L1006" s="39" t="n">
        <v>30</v>
      </c>
      <c r="M1006" s="40" t="n">
        <v>100</v>
      </c>
      <c r="N1006" s="30">
        <f>IF(A1006="","",MONTH(A1006))</f>
        <v>9</v>
      </c>
      <c r="O1006" s="30">
        <f>IF(A1006="","",YEAR(A1006))</f>
        <v>2026</v>
      </c>
      <c r="P1006" s="30" t="str">
        <f>IF(A1006="","",CHOOSE(WEEKDAY(A1006,2),"Segunda","Terça","Quarta","Quinta","Sexta","Sábado","Domingo"))</f>
        <v>Quinta</v>
      </c>
      <c r="Q1006" s="30" t="str">
        <f>IF(B1006="","",IF(B1006&lt;TIME(12,0,0),"Manhã",IF(B1006&lt;TIME(18,0,0),"Tarde","Noite")))</f>
        <v>Manhã</v>
      </c>
      <c r="R1006" s="46">
        <f>IF(AND(H1006="Realizado",L1006&lt;&gt;"",A1006&lt;=Config!$B$9),L1006/60,0)</f>
        <v>0.5</v>
      </c>
      <c r="S1006" s="45">
        <f>IF(G1006="","",IFERROR(INDEX(Config!$K$5:$K$16,MATCH(G1006,Config!$J$5:$J$16,0)),""))</f>
        <v>30</v>
      </c>
      <c r="T1006" s="31">
        <f>IF(OR(G1006="",F1006=""),"",IFERROR(INDEX(Config!$M$5:$R$16,MATCH(G1006,Config!$J$5:$J$16,0),MATCH(F1006,Config!$H$5:$H$10,0)),""))</f>
        <v>100</v>
      </c>
      <c r="U1006" s="47">
        <f>IF(AND(H1006="Realizado",L1006&lt;&gt;""),L1006/60,0)</f>
        <v>0.5</v>
      </c>
      <c r="V1006" s="47">
        <f>IF(AND(H1006="Realizado",OR(L1006="",M1006="")),1,0)</f>
        <v>0</v>
      </c>
    </row>
    <row r="1007">
      <c r="A1007" s="43" t="n">
        <v>46275</v>
      </c>
      <c r="B1007" s="44" t="n">
        <v>0.5833333333333334</v>
      </c>
      <c r="C1007" s="38" t="inlineStr">
        <is>
          <t>Dra. Renata Sousa</t>
        </is>
      </c>
      <c r="D1007" s="38" t="inlineStr">
        <is>
          <t>Sala 1</t>
        </is>
      </c>
      <c r="E1007" s="37" t="inlineStr">
        <is>
          <t>Priscila Reis</t>
        </is>
      </c>
      <c r="F1007" s="38" t="inlineStr">
        <is>
          <t>Particular</t>
        </is>
      </c>
      <c r="G1007" s="38" t="inlineStr">
        <is>
          <t>Retorno</t>
        </is>
      </c>
      <c r="H1007" s="38" t="inlineStr">
        <is>
          <t>Realizado</t>
        </is>
      </c>
      <c r="I1007" s="38" t="inlineStr">
        <is>
          <t>Sem cobrança</t>
        </is>
      </c>
      <c r="J1007" s="38" t="n"/>
      <c r="K1007" s="37" t="n"/>
      <c r="L1007" s="39" t="n">
        <v>20</v>
      </c>
      <c r="M1007" s="40" t="n">
        <v>0</v>
      </c>
      <c r="N1007" s="30">
        <f>IF(A1007="","",MONTH(A1007))</f>
        <v>9</v>
      </c>
      <c r="O1007" s="30">
        <f>IF(A1007="","",YEAR(A1007))</f>
        <v>2026</v>
      </c>
      <c r="P1007" s="30" t="str">
        <f>IF(A1007="","",CHOOSE(WEEKDAY(A1007,2),"Segunda","Terça","Quarta","Quinta","Sexta","Sábado","Domingo"))</f>
        <v>Quinta</v>
      </c>
      <c r="Q1007" s="30" t="str">
        <f>IF(B1007="","",IF(B1007&lt;TIME(12,0,0),"Manhã",IF(B1007&lt;TIME(18,0,0),"Tarde","Noite")))</f>
        <v>Tarde</v>
      </c>
      <c r="R1007" s="46">
        <f>IF(AND(H1007="Realizado",L1007&lt;&gt;"",A1007&lt;=Config!$B$9),L1007/60,0)</f>
        <v>0.333333333333333</v>
      </c>
      <c r="S1007" s="45">
        <f>IF(G1007="","",IFERROR(INDEX(Config!$K$5:$K$16,MATCH(G1007,Config!$J$5:$J$16,0)),""))</f>
        <v>20</v>
      </c>
      <c r="T1007" s="31">
        <f>IF(OR(G1007="",F1007=""),"",IFERROR(INDEX(Config!$M$5:$R$16,MATCH(G1007,Config!$J$5:$J$16,0),MATCH(F1007,Config!$H$5:$H$10,0)),""))</f>
        <v>0</v>
      </c>
      <c r="U1007" s="47">
        <f>IF(AND(H1007="Realizado",L1007&lt;&gt;""),L1007/60,0)</f>
        <v>0.333333333333333</v>
      </c>
      <c r="V1007" s="47">
        <f>IF(AND(H1007="Realizado",OR(L1007="",M1007="")),1,0)</f>
        <v>0</v>
      </c>
    </row>
    <row r="1008">
      <c r="A1008" s="43" t="n">
        <v>46275</v>
      </c>
      <c r="B1008" s="44" t="n">
        <v>0.5833333333333334</v>
      </c>
      <c r="C1008" s="38" t="inlineStr">
        <is>
          <t>Dr. Paulo Andrade</t>
        </is>
      </c>
      <c r="D1008" s="38" t="inlineStr">
        <is>
          <t>Sala 2</t>
        </is>
      </c>
      <c r="E1008" s="37" t="inlineStr">
        <is>
          <t>Gabriel Vieira</t>
        </is>
      </c>
      <c r="F1008" s="38" t="inlineStr">
        <is>
          <t>Vida Care</t>
        </is>
      </c>
      <c r="G1008" s="38" t="inlineStr">
        <is>
          <t>Retorno</t>
        </is>
      </c>
      <c r="H1008" s="38" t="inlineStr">
        <is>
          <t>Realizado</t>
        </is>
      </c>
      <c r="I1008" s="38" t="inlineStr">
        <is>
          <t>Sem cobrança</t>
        </is>
      </c>
      <c r="J1008" s="38" t="n"/>
      <c r="K1008" s="37" t="n"/>
      <c r="L1008" s="39" t="n">
        <v>20</v>
      </c>
      <c r="M1008" s="40" t="n">
        <v>0</v>
      </c>
      <c r="N1008" s="30">
        <f>IF(A1008="","",MONTH(A1008))</f>
        <v>9</v>
      </c>
      <c r="O1008" s="30">
        <f>IF(A1008="","",YEAR(A1008))</f>
        <v>2026</v>
      </c>
      <c r="P1008" s="30" t="str">
        <f>IF(A1008="","",CHOOSE(WEEKDAY(A1008,2),"Segunda","Terça","Quarta","Quinta","Sexta","Sábado","Domingo"))</f>
        <v>Quinta</v>
      </c>
      <c r="Q1008" s="30" t="str">
        <f>IF(B1008="","",IF(B1008&lt;TIME(12,0,0),"Manhã",IF(B1008&lt;TIME(18,0,0),"Tarde","Noite")))</f>
        <v>Tarde</v>
      </c>
      <c r="R1008" s="46">
        <f>IF(AND(H1008="Realizado",L1008&lt;&gt;"",A1008&lt;=Config!$B$9),L1008/60,0)</f>
        <v>0.333333333333333</v>
      </c>
      <c r="S1008" s="45">
        <f>IF(G1008="","",IFERROR(INDEX(Config!$K$5:$K$16,MATCH(G1008,Config!$J$5:$J$16,0)),""))</f>
        <v>20</v>
      </c>
      <c r="T1008" s="31">
        <f>IF(OR(G1008="",F1008=""),"",IFERROR(INDEX(Config!$M$5:$R$16,MATCH(G1008,Config!$J$5:$J$16,0),MATCH(F1008,Config!$H$5:$H$10,0)),""))</f>
        <v>0</v>
      </c>
      <c r="U1008" s="47">
        <f>IF(AND(H1008="Realizado",L1008&lt;&gt;""),L1008/60,0)</f>
        <v>0.333333333333333</v>
      </c>
      <c r="V1008" s="47">
        <f>IF(AND(H1008="Realizado",OR(L1008="",M1008="")),1,0)</f>
        <v>0</v>
      </c>
    </row>
    <row r="1009">
      <c r="A1009" s="43" t="n">
        <v>46275</v>
      </c>
      <c r="B1009" s="44" t="n">
        <v>0.5972222222222222</v>
      </c>
      <c r="C1009" s="38" t="inlineStr">
        <is>
          <t>Dra. Renata Sousa</t>
        </is>
      </c>
      <c r="D1009" s="38" t="inlineStr">
        <is>
          <t>Sala 1</t>
        </is>
      </c>
      <c r="E1009" s="37" t="inlineStr">
        <is>
          <t>Rodrigo Cardoso</t>
        </is>
      </c>
      <c r="F1009" s="38" t="inlineStr">
        <is>
          <t>Saúde Total</t>
        </is>
      </c>
      <c r="G1009" s="38" t="inlineStr">
        <is>
          <t>Avaliação endócrina</t>
        </is>
      </c>
      <c r="H1009" s="38" t="inlineStr">
        <is>
          <t>Realizado</t>
        </is>
      </c>
      <c r="I1009" s="38" t="inlineStr">
        <is>
          <t>Convênio</t>
        </is>
      </c>
      <c r="J1009" s="38" t="n"/>
      <c r="K1009" s="37" t="n"/>
      <c r="L1009" s="39" t="n">
        <v>40</v>
      </c>
      <c r="M1009" s="40" t="n">
        <v>130</v>
      </c>
      <c r="N1009" s="30">
        <f>IF(A1009="","",MONTH(A1009))</f>
        <v>9</v>
      </c>
      <c r="O1009" s="30">
        <f>IF(A1009="","",YEAR(A1009))</f>
        <v>2026</v>
      </c>
      <c r="P1009" s="30" t="str">
        <f>IF(A1009="","",CHOOSE(WEEKDAY(A1009,2),"Segunda","Terça","Quarta","Quinta","Sexta","Sábado","Domingo"))</f>
        <v>Quinta</v>
      </c>
      <c r="Q1009" s="30" t="str">
        <f>IF(B1009="","",IF(B1009&lt;TIME(12,0,0),"Manhã",IF(B1009&lt;TIME(18,0,0),"Tarde","Noite")))</f>
        <v>Tarde</v>
      </c>
      <c r="R1009" s="46">
        <f>IF(AND(H1009="Realizado",L1009&lt;&gt;"",A1009&lt;=Config!$B$9),L1009/60,0)</f>
        <v>0.666666666666667</v>
      </c>
      <c r="S1009" s="45">
        <f>IF(G1009="","",IFERROR(INDEX(Config!$K$5:$K$16,MATCH(G1009,Config!$J$5:$J$16,0)),""))</f>
        <v>40</v>
      </c>
      <c r="T1009" s="31">
        <f>IF(OR(G1009="",F1009=""),"",IFERROR(INDEX(Config!$M$5:$R$16,MATCH(G1009,Config!$J$5:$J$16,0),MATCH(F1009,Config!$H$5:$H$10,0)),""))</f>
        <v>130</v>
      </c>
      <c r="U1009" s="47">
        <f>IF(AND(H1009="Realizado",L1009&lt;&gt;""),L1009/60,0)</f>
        <v>0.666666666666667</v>
      </c>
      <c r="V1009" s="47">
        <f>IF(AND(H1009="Realizado",OR(L1009="",M1009="")),1,0)</f>
        <v>0</v>
      </c>
    </row>
    <row r="1010">
      <c r="A1010" s="43" t="n">
        <v>46275</v>
      </c>
      <c r="B1010" s="44" t="n">
        <v>0.625</v>
      </c>
      <c r="C1010" s="38" t="inlineStr">
        <is>
          <t>Dra. Renata Sousa</t>
        </is>
      </c>
      <c r="D1010" s="38" t="inlineStr">
        <is>
          <t>Sala 1</t>
        </is>
      </c>
      <c r="E1010" s="37" t="inlineStr">
        <is>
          <t>Mônica Almeida</t>
        </is>
      </c>
      <c r="F1010" s="38" t="inlineStr">
        <is>
          <t>Particular</t>
        </is>
      </c>
      <c r="G1010" s="38" t="inlineStr">
        <is>
          <t>Avaliação endócrina</t>
        </is>
      </c>
      <c r="H1010" s="38" t="inlineStr">
        <is>
          <t>Realizado</t>
        </is>
      </c>
      <c r="I1010" s="38" t="inlineStr">
        <is>
          <t>Pix</t>
        </is>
      </c>
      <c r="J1010" s="38" t="n"/>
      <c r="K1010" s="37" t="n"/>
      <c r="L1010" s="39" t="n">
        <v>40</v>
      </c>
      <c r="M1010" s="40" t="n">
        <v>400</v>
      </c>
      <c r="N1010" s="30">
        <f>IF(A1010="","",MONTH(A1010))</f>
        <v>9</v>
      </c>
      <c r="O1010" s="30">
        <f>IF(A1010="","",YEAR(A1010))</f>
        <v>2026</v>
      </c>
      <c r="P1010" s="30" t="str">
        <f>IF(A1010="","",CHOOSE(WEEKDAY(A1010,2),"Segunda","Terça","Quarta","Quinta","Sexta","Sábado","Domingo"))</f>
        <v>Quinta</v>
      </c>
      <c r="Q1010" s="30" t="str">
        <f>IF(B1010="","",IF(B1010&lt;TIME(12,0,0),"Manhã",IF(B1010&lt;TIME(18,0,0),"Tarde","Noite")))</f>
        <v>Tarde</v>
      </c>
      <c r="R1010" s="46">
        <f>IF(AND(H1010="Realizado",L1010&lt;&gt;"",A1010&lt;=Config!$B$9),L1010/60,0)</f>
        <v>0.666666666666667</v>
      </c>
      <c r="S1010" s="45">
        <f>IF(G1010="","",IFERROR(INDEX(Config!$K$5:$K$16,MATCH(G1010,Config!$J$5:$J$16,0)),""))</f>
        <v>40</v>
      </c>
      <c r="T1010" s="31">
        <f>IF(OR(G1010="",F1010=""),"",IFERROR(INDEX(Config!$M$5:$R$16,MATCH(G1010,Config!$J$5:$J$16,0),MATCH(F1010,Config!$H$5:$H$10,0)),""))</f>
        <v>400</v>
      </c>
      <c r="U1010" s="47">
        <f>IF(AND(H1010="Realizado",L1010&lt;&gt;""),L1010/60,0)</f>
        <v>0.666666666666667</v>
      </c>
      <c r="V1010" s="47">
        <f>IF(AND(H1010="Realizado",OR(L1010="",M1010="")),1,0)</f>
        <v>0</v>
      </c>
    </row>
    <row r="1011">
      <c r="A1011" s="43" t="n">
        <v>46275</v>
      </c>
      <c r="B1011" s="44" t="n">
        <v>0.6527777777777778</v>
      </c>
      <c r="C1011" s="38" t="inlineStr">
        <is>
          <t>Dra. Renata Sousa</t>
        </is>
      </c>
      <c r="D1011" s="38" t="inlineStr">
        <is>
          <t>Sala 1</t>
        </is>
      </c>
      <c r="E1011" s="37" t="inlineStr">
        <is>
          <t>Tatiana Macedo</t>
        </is>
      </c>
      <c r="F1011" s="38" t="inlineStr">
        <is>
          <t>Particular</t>
        </is>
      </c>
      <c r="G1011" s="38" t="inlineStr">
        <is>
          <t>Avaliação endócrina</t>
        </is>
      </c>
      <c r="H1011" s="38" t="inlineStr">
        <is>
          <t>Realizado</t>
        </is>
      </c>
      <c r="I1011" s="38" t="inlineStr">
        <is>
          <t>A prazo</t>
        </is>
      </c>
      <c r="J1011" s="38" t="n"/>
      <c r="K1011" s="37" t="n"/>
      <c r="L1011" s="39" t="n">
        <v>40</v>
      </c>
      <c r="M1011" s="40" t="n">
        <v>400</v>
      </c>
      <c r="N1011" s="30">
        <f>IF(A1011="","",MONTH(A1011))</f>
        <v>9</v>
      </c>
      <c r="O1011" s="30">
        <f>IF(A1011="","",YEAR(A1011))</f>
        <v>2026</v>
      </c>
      <c r="P1011" s="30" t="str">
        <f>IF(A1011="","",CHOOSE(WEEKDAY(A1011,2),"Segunda","Terça","Quarta","Quinta","Sexta","Sábado","Domingo"))</f>
        <v>Quinta</v>
      </c>
      <c r="Q1011" s="30" t="str">
        <f>IF(B1011="","",IF(B1011&lt;TIME(12,0,0),"Manhã",IF(B1011&lt;TIME(18,0,0),"Tarde","Noite")))</f>
        <v>Tarde</v>
      </c>
      <c r="R1011" s="46">
        <f>IF(AND(H1011="Realizado",L1011&lt;&gt;"",A1011&lt;=Config!$B$9),L1011/60,0)</f>
        <v>0.666666666666667</v>
      </c>
      <c r="S1011" s="45">
        <f>IF(G1011="","",IFERROR(INDEX(Config!$K$5:$K$16,MATCH(G1011,Config!$J$5:$J$16,0)),""))</f>
        <v>40</v>
      </c>
      <c r="T1011" s="31">
        <f>IF(OR(G1011="",F1011=""),"",IFERROR(INDEX(Config!$M$5:$R$16,MATCH(G1011,Config!$J$5:$J$16,0),MATCH(F1011,Config!$H$5:$H$10,0)),""))</f>
        <v>400</v>
      </c>
      <c r="U1011" s="47">
        <f>IF(AND(H1011="Realizado",L1011&lt;&gt;""),L1011/60,0)</f>
        <v>0.666666666666667</v>
      </c>
      <c r="V1011" s="47">
        <f>IF(AND(H1011="Realizado",OR(L1011="",M1011="")),1,0)</f>
        <v>0</v>
      </c>
    </row>
    <row r="1012">
      <c r="A1012" s="43" t="n">
        <v>46275</v>
      </c>
      <c r="B1012" s="44" t="n">
        <v>0.6805555555555556</v>
      </c>
      <c r="C1012" s="38" t="inlineStr">
        <is>
          <t>Dra. Renata Sousa</t>
        </is>
      </c>
      <c r="D1012" s="38" t="inlineStr">
        <is>
          <t>Sala 1</t>
        </is>
      </c>
      <c r="E1012" s="37" t="inlineStr">
        <is>
          <t>Cláudia Melo</t>
        </is>
      </c>
      <c r="F1012" s="38" t="inlineStr">
        <is>
          <t>Particular</t>
        </is>
      </c>
      <c r="G1012" s="38" t="inlineStr">
        <is>
          <t>Avaliação endócrina</t>
        </is>
      </c>
      <c r="H1012" s="38" t="inlineStr">
        <is>
          <t>Realizado</t>
        </is>
      </c>
      <c r="I1012" s="38" t="inlineStr">
        <is>
          <t>Cartão de crédito</t>
        </is>
      </c>
      <c r="J1012" s="38" t="n"/>
      <c r="K1012" s="37" t="n"/>
      <c r="L1012" s="39" t="n">
        <v>40</v>
      </c>
      <c r="M1012" s="40" t="n">
        <v>400</v>
      </c>
      <c r="N1012" s="30">
        <f>IF(A1012="","",MONTH(A1012))</f>
        <v>9</v>
      </c>
      <c r="O1012" s="30">
        <f>IF(A1012="","",YEAR(A1012))</f>
        <v>2026</v>
      </c>
      <c r="P1012" s="30" t="str">
        <f>IF(A1012="","",CHOOSE(WEEKDAY(A1012,2),"Segunda","Terça","Quarta","Quinta","Sexta","Sábado","Domingo"))</f>
        <v>Quinta</v>
      </c>
      <c r="Q1012" s="30" t="str">
        <f>IF(B1012="","",IF(B1012&lt;TIME(12,0,0),"Manhã",IF(B1012&lt;TIME(18,0,0),"Tarde","Noite")))</f>
        <v>Tarde</v>
      </c>
      <c r="R1012" s="46">
        <f>IF(AND(H1012="Realizado",L1012&lt;&gt;"",A1012&lt;=Config!$B$9),L1012/60,0)</f>
        <v>0.666666666666667</v>
      </c>
      <c r="S1012" s="45">
        <f>IF(G1012="","",IFERROR(INDEX(Config!$K$5:$K$16,MATCH(G1012,Config!$J$5:$J$16,0)),""))</f>
        <v>40</v>
      </c>
      <c r="T1012" s="31">
        <f>IF(OR(G1012="",F1012=""),"",IFERROR(INDEX(Config!$M$5:$R$16,MATCH(G1012,Config!$J$5:$J$16,0),MATCH(F1012,Config!$H$5:$H$10,0)),""))</f>
        <v>400</v>
      </c>
      <c r="U1012" s="47">
        <f>IF(AND(H1012="Realizado",L1012&lt;&gt;""),L1012/60,0)</f>
        <v>0.666666666666667</v>
      </c>
      <c r="V1012" s="47">
        <f>IF(AND(H1012="Realizado",OR(L1012="",M1012="")),1,0)</f>
        <v>0</v>
      </c>
    </row>
    <row r="1013">
      <c r="A1013" s="43" t="n">
        <v>46275</v>
      </c>
      <c r="B1013" s="44" t="n">
        <v>0.7013888888888888</v>
      </c>
      <c r="C1013" s="38" t="inlineStr">
        <is>
          <t>Dr. Paulo Andrade</t>
        </is>
      </c>
      <c r="D1013" s="38" t="inlineStr">
        <is>
          <t>Sala 2</t>
        </is>
      </c>
      <c r="E1013" s="37" t="inlineStr">
        <is>
          <t>Wagner Carvalho</t>
        </is>
      </c>
      <c r="F1013" s="38" t="inlineStr">
        <is>
          <t>Vida Care</t>
        </is>
      </c>
      <c r="G1013" s="38" t="inlineStr">
        <is>
          <t>Consulta</t>
        </is>
      </c>
      <c r="H1013" s="38" t="inlineStr">
        <is>
          <t>Falta</t>
        </is>
      </c>
      <c r="I1013" s="38" t="n"/>
      <c r="J1013" s="38" t="n"/>
      <c r="K1013" s="37" t="n"/>
      <c r="L1013" s="39" t="n">
        <v>30</v>
      </c>
      <c r="M1013" s="40" t="n">
        <v>90</v>
      </c>
      <c r="N1013" s="30">
        <f>IF(A1013="","",MONTH(A1013))</f>
        <v>9</v>
      </c>
      <c r="O1013" s="30">
        <f>IF(A1013="","",YEAR(A1013))</f>
        <v>2026</v>
      </c>
      <c r="P1013" s="30" t="str">
        <f>IF(A1013="","",CHOOSE(WEEKDAY(A1013,2),"Segunda","Terça","Quarta","Quinta","Sexta","Sábado","Domingo"))</f>
        <v>Quinta</v>
      </c>
      <c r="Q1013" s="30" t="str">
        <f>IF(B1013="","",IF(B1013&lt;TIME(12,0,0),"Manhã",IF(B1013&lt;TIME(18,0,0),"Tarde","Noite")))</f>
        <v>Tarde</v>
      </c>
      <c r="R1013" s="46">
        <f>IF(AND(H1013="Realizado",L1013&lt;&gt;"",A1013&lt;=Config!$B$9),L1013/60,0)</f>
        <v>0</v>
      </c>
      <c r="S1013" s="45">
        <f>IF(G1013="","",IFERROR(INDEX(Config!$K$5:$K$16,MATCH(G1013,Config!$J$5:$J$16,0)),""))</f>
        <v>30</v>
      </c>
      <c r="T1013" s="31">
        <f>IF(OR(G1013="",F1013=""),"",IFERROR(INDEX(Config!$M$5:$R$16,MATCH(G1013,Config!$J$5:$J$16,0),MATCH(F1013,Config!$H$5:$H$10,0)),""))</f>
        <v>90</v>
      </c>
      <c r="U1013" s="47">
        <f>IF(AND(H1013="Realizado",L1013&lt;&gt;""),L1013/60,0)</f>
        <v>0</v>
      </c>
      <c r="V1013" s="47">
        <f>IF(AND(H1013="Realizado",OR(L1013="",M1013="")),1,0)</f>
        <v>0</v>
      </c>
    </row>
    <row r="1014">
      <c r="A1014" s="43" t="n">
        <v>46275</v>
      </c>
      <c r="B1014" s="44" t="n">
        <v>0.7222222222222222</v>
      </c>
      <c r="C1014" s="38" t="inlineStr">
        <is>
          <t>Dr. Paulo Andrade</t>
        </is>
      </c>
      <c r="D1014" s="38" t="inlineStr">
        <is>
          <t>Sala 2</t>
        </is>
      </c>
      <c r="E1014" s="37" t="inlineStr">
        <is>
          <t>Eduardo Lima</t>
        </is>
      </c>
      <c r="F1014" s="38" t="inlineStr">
        <is>
          <t>Particular</t>
        </is>
      </c>
      <c r="G1014" s="38" t="inlineStr">
        <is>
          <t>MAPA</t>
        </is>
      </c>
      <c r="H1014" s="38" t="inlineStr">
        <is>
          <t>Realizado</t>
        </is>
      </c>
      <c r="I1014" s="38" t="inlineStr">
        <is>
          <t>Cartão de débito</t>
        </is>
      </c>
      <c r="J1014" s="38" t="n"/>
      <c r="K1014" s="37" t="n"/>
      <c r="L1014" s="39" t="n">
        <v>20</v>
      </c>
      <c r="M1014" s="40" t="n">
        <v>300</v>
      </c>
      <c r="N1014" s="30">
        <f>IF(A1014="","",MONTH(A1014))</f>
        <v>9</v>
      </c>
      <c r="O1014" s="30">
        <f>IF(A1014="","",YEAR(A1014))</f>
        <v>2026</v>
      </c>
      <c r="P1014" s="30" t="str">
        <f>IF(A1014="","",CHOOSE(WEEKDAY(A1014,2),"Segunda","Terça","Quarta","Quinta","Sexta","Sábado","Domingo"))</f>
        <v>Quinta</v>
      </c>
      <c r="Q1014" s="30" t="str">
        <f>IF(B1014="","",IF(B1014&lt;TIME(12,0,0),"Manhã",IF(B1014&lt;TIME(18,0,0),"Tarde","Noite")))</f>
        <v>Tarde</v>
      </c>
      <c r="R1014" s="46">
        <f>IF(AND(H1014="Realizado",L1014&lt;&gt;"",A1014&lt;=Config!$B$9),L1014/60,0)</f>
        <v>0.333333333333333</v>
      </c>
      <c r="S1014" s="45">
        <f>IF(G1014="","",IFERROR(INDEX(Config!$K$5:$K$16,MATCH(G1014,Config!$J$5:$J$16,0)),""))</f>
        <v>20</v>
      </c>
      <c r="T1014" s="31">
        <f>IF(OR(G1014="",F1014=""),"",IFERROR(INDEX(Config!$M$5:$R$16,MATCH(G1014,Config!$J$5:$J$16,0),MATCH(F1014,Config!$H$5:$H$10,0)),""))</f>
        <v>300</v>
      </c>
      <c r="U1014" s="47">
        <f>IF(AND(H1014="Realizado",L1014&lt;&gt;""),L1014/60,0)</f>
        <v>0.333333333333333</v>
      </c>
      <c r="V1014" s="47">
        <f>IF(AND(H1014="Realizado",OR(L1014="",M1014="")),1,0)</f>
        <v>0</v>
      </c>
    </row>
    <row r="1015">
      <c r="A1015" s="43" t="n">
        <v>46275</v>
      </c>
      <c r="B1015" s="44" t="n">
        <v>0.7291666666666666</v>
      </c>
      <c r="C1015" s="38" t="inlineStr">
        <is>
          <t>Dra. Renata Sousa</t>
        </is>
      </c>
      <c r="D1015" s="38" t="inlineStr">
        <is>
          <t>Sala 1</t>
        </is>
      </c>
      <c r="E1015" s="37" t="inlineStr">
        <is>
          <t>Carlos Gonçalves</t>
        </is>
      </c>
      <c r="F1015" s="38" t="inlineStr">
        <is>
          <t>Saúde Total</t>
        </is>
      </c>
      <c r="G1015" s="38" t="inlineStr">
        <is>
          <t>Avaliação endócrina</t>
        </is>
      </c>
      <c r="H1015" s="38" t="inlineStr">
        <is>
          <t>Realizado</t>
        </is>
      </c>
      <c r="I1015" s="38" t="inlineStr">
        <is>
          <t>Convênio</t>
        </is>
      </c>
      <c r="J1015" s="38" t="n"/>
      <c r="K1015" s="37" t="n"/>
      <c r="L1015" s="39" t="n">
        <v>40</v>
      </c>
      <c r="M1015" s="40" t="n">
        <v>130</v>
      </c>
      <c r="N1015" s="30">
        <f>IF(A1015="","",MONTH(A1015))</f>
        <v>9</v>
      </c>
      <c r="O1015" s="30">
        <f>IF(A1015="","",YEAR(A1015))</f>
        <v>2026</v>
      </c>
      <c r="P1015" s="30" t="str">
        <f>IF(A1015="","",CHOOSE(WEEKDAY(A1015,2),"Segunda","Terça","Quarta","Quinta","Sexta","Sábado","Domingo"))</f>
        <v>Quinta</v>
      </c>
      <c r="Q1015" s="30" t="str">
        <f>IF(B1015="","",IF(B1015&lt;TIME(12,0,0),"Manhã",IF(B1015&lt;TIME(18,0,0),"Tarde","Noite")))</f>
        <v>Tarde</v>
      </c>
      <c r="R1015" s="46">
        <f>IF(AND(H1015="Realizado",L1015&lt;&gt;"",A1015&lt;=Config!$B$9),L1015/60,0)</f>
        <v>0.666666666666667</v>
      </c>
      <c r="S1015" s="45">
        <f>IF(G1015="","",IFERROR(INDEX(Config!$K$5:$K$16,MATCH(G1015,Config!$J$5:$J$16,0)),""))</f>
        <v>40</v>
      </c>
      <c r="T1015" s="31">
        <f>IF(OR(G1015="",F1015=""),"",IFERROR(INDEX(Config!$M$5:$R$16,MATCH(G1015,Config!$J$5:$J$16,0),MATCH(F1015,Config!$H$5:$H$10,0)),""))</f>
        <v>130</v>
      </c>
      <c r="U1015" s="47">
        <f>IF(AND(H1015="Realizado",L1015&lt;&gt;""),L1015/60,0)</f>
        <v>0.666666666666667</v>
      </c>
      <c r="V1015" s="47">
        <f>IF(AND(H1015="Realizado",OR(L1015="",M1015="")),1,0)</f>
        <v>0</v>
      </c>
    </row>
    <row r="1016">
      <c r="A1016" s="43" t="n">
        <v>46275</v>
      </c>
      <c r="B1016" s="44" t="n">
        <v>0.7361111111111112</v>
      </c>
      <c r="C1016" s="38" t="inlineStr">
        <is>
          <t>Dr. Paulo Andrade</t>
        </is>
      </c>
      <c r="D1016" s="38" t="inlineStr">
        <is>
          <t>Sala 2</t>
        </is>
      </c>
      <c r="E1016" s="37" t="inlineStr">
        <is>
          <t>Juliana Silva</t>
        </is>
      </c>
      <c r="F1016" s="38" t="inlineStr">
        <is>
          <t>Vida Care</t>
        </is>
      </c>
      <c r="G1016" s="38" t="inlineStr">
        <is>
          <t>MAPA</t>
        </is>
      </c>
      <c r="H1016" s="38" t="inlineStr">
        <is>
          <t>Realizado</t>
        </is>
      </c>
      <c r="I1016" s="38" t="inlineStr">
        <is>
          <t>Convênio</t>
        </is>
      </c>
      <c r="J1016" s="38" t="n"/>
      <c r="K1016" s="37" t="n"/>
      <c r="L1016" s="39" t="n">
        <v>20</v>
      </c>
      <c r="M1016" s="40" t="n">
        <v>75</v>
      </c>
      <c r="N1016" s="30">
        <f>IF(A1016="","",MONTH(A1016))</f>
        <v>9</v>
      </c>
      <c r="O1016" s="30">
        <f>IF(A1016="","",YEAR(A1016))</f>
        <v>2026</v>
      </c>
      <c r="P1016" s="30" t="str">
        <f>IF(A1016="","",CHOOSE(WEEKDAY(A1016,2),"Segunda","Terça","Quarta","Quinta","Sexta","Sábado","Domingo"))</f>
        <v>Quinta</v>
      </c>
      <c r="Q1016" s="30" t="str">
        <f>IF(B1016="","",IF(B1016&lt;TIME(12,0,0),"Manhã",IF(B1016&lt;TIME(18,0,0),"Tarde","Noite")))</f>
        <v>Tarde</v>
      </c>
      <c r="R1016" s="46">
        <f>IF(AND(H1016="Realizado",L1016&lt;&gt;"",A1016&lt;=Config!$B$9),L1016/60,0)</f>
        <v>0.333333333333333</v>
      </c>
      <c r="S1016" s="45">
        <f>IF(G1016="","",IFERROR(INDEX(Config!$K$5:$K$16,MATCH(G1016,Config!$J$5:$J$16,0)),""))</f>
        <v>20</v>
      </c>
      <c r="T1016" s="31">
        <f>IF(OR(G1016="",F1016=""),"",IFERROR(INDEX(Config!$M$5:$R$16,MATCH(G1016,Config!$J$5:$J$16,0),MATCH(F1016,Config!$H$5:$H$10,0)),""))</f>
        <v>75</v>
      </c>
      <c r="U1016" s="47">
        <f>IF(AND(H1016="Realizado",L1016&lt;&gt;""),L1016/60,0)</f>
        <v>0.333333333333333</v>
      </c>
      <c r="V1016" s="47">
        <f>IF(AND(H1016="Realizado",OR(L1016="",M1016="")),1,0)</f>
        <v>0</v>
      </c>
    </row>
    <row r="1017">
      <c r="A1017" s="43" t="n">
        <v>46276</v>
      </c>
      <c r="B1017" s="44" t="n">
        <v>0.3333333333333333</v>
      </c>
      <c r="C1017" s="38" t="inlineStr">
        <is>
          <t>Dr. Paulo Andrade</t>
        </is>
      </c>
      <c r="D1017" s="38" t="inlineStr">
        <is>
          <t>Sala 2</t>
        </is>
      </c>
      <c r="E1017" s="37" t="inlineStr">
        <is>
          <t>Fernanda Nunes</t>
        </is>
      </c>
      <c r="F1017" s="38" t="inlineStr">
        <is>
          <t>MediPlan</t>
        </is>
      </c>
      <c r="G1017" s="38" t="inlineStr">
        <is>
          <t>Consulta</t>
        </is>
      </c>
      <c r="H1017" s="38" t="inlineStr">
        <is>
          <t>Realizado</t>
        </is>
      </c>
      <c r="I1017" s="38" t="inlineStr">
        <is>
          <t>Convênio</t>
        </is>
      </c>
      <c r="J1017" s="38" t="n"/>
      <c r="K1017" s="37" t="n"/>
      <c r="L1017" s="39" t="n">
        <v>30</v>
      </c>
      <c r="M1017" s="40" t="n">
        <v>100</v>
      </c>
      <c r="N1017" s="30">
        <f>IF(A1017="","",MONTH(A1017))</f>
        <v>9</v>
      </c>
      <c r="O1017" s="30">
        <f>IF(A1017="","",YEAR(A1017))</f>
        <v>2026</v>
      </c>
      <c r="P1017" s="30" t="str">
        <f>IF(A1017="","",CHOOSE(WEEKDAY(A1017,2),"Segunda","Terça","Quarta","Quinta","Sexta","Sábado","Domingo"))</f>
        <v>Sexta</v>
      </c>
      <c r="Q1017" s="30" t="str">
        <f>IF(B1017="","",IF(B1017&lt;TIME(12,0,0),"Manhã",IF(B1017&lt;TIME(18,0,0),"Tarde","Noite")))</f>
        <v>Manhã</v>
      </c>
      <c r="R1017" s="46">
        <f>IF(AND(H1017="Realizado",L1017&lt;&gt;"",A1017&lt;=Config!$B$9),L1017/60,0)</f>
        <v>0.5</v>
      </c>
      <c r="S1017" s="45">
        <f>IF(G1017="","",IFERROR(INDEX(Config!$K$5:$K$16,MATCH(G1017,Config!$J$5:$J$16,0)),""))</f>
        <v>30</v>
      </c>
      <c r="T1017" s="31">
        <f>IF(OR(G1017="",F1017=""),"",IFERROR(INDEX(Config!$M$5:$R$16,MATCH(G1017,Config!$J$5:$J$16,0),MATCH(F1017,Config!$H$5:$H$10,0)),""))</f>
        <v>100</v>
      </c>
      <c r="U1017" s="47">
        <f>IF(AND(H1017="Realizado",L1017&lt;&gt;""),L1017/60,0)</f>
        <v>0.5</v>
      </c>
      <c r="V1017" s="47">
        <f>IF(AND(H1017="Realizado",OR(L1017="",M1017="")),1,0)</f>
        <v>0</v>
      </c>
    </row>
    <row r="1018">
      <c r="A1018" s="43" t="n">
        <v>46276</v>
      </c>
      <c r="B1018" s="44" t="n">
        <v>0.375</v>
      </c>
      <c r="C1018" s="38" t="inlineStr">
        <is>
          <t>Dr. Paulo Andrade</t>
        </is>
      </c>
      <c r="D1018" s="38" t="inlineStr">
        <is>
          <t>Sala 2</t>
        </is>
      </c>
      <c r="E1018" s="37" t="inlineStr">
        <is>
          <t>Mônica Pinto</t>
        </is>
      </c>
      <c r="F1018" s="38" t="inlineStr">
        <is>
          <t>Saúde Total</t>
        </is>
      </c>
      <c r="G1018" s="38" t="inlineStr">
        <is>
          <t>Holter</t>
        </is>
      </c>
      <c r="H1018" s="38" t="inlineStr">
        <is>
          <t>Realizado</t>
        </is>
      </c>
      <c r="I1018" s="38" t="inlineStr">
        <is>
          <t>Convênio</t>
        </is>
      </c>
      <c r="J1018" s="38" t="n"/>
      <c r="K1018" s="37" t="n"/>
      <c r="L1018" s="39" t="n">
        <v>20</v>
      </c>
      <c r="M1018" s="40" t="n">
        <v>105</v>
      </c>
      <c r="N1018" s="30">
        <f>IF(A1018="","",MONTH(A1018))</f>
        <v>9</v>
      </c>
      <c r="O1018" s="30">
        <f>IF(A1018="","",YEAR(A1018))</f>
        <v>2026</v>
      </c>
      <c r="P1018" s="30" t="str">
        <f>IF(A1018="","",CHOOSE(WEEKDAY(A1018,2),"Segunda","Terça","Quarta","Quinta","Sexta","Sábado","Domingo"))</f>
        <v>Sexta</v>
      </c>
      <c r="Q1018" s="30" t="str">
        <f>IF(B1018="","",IF(B1018&lt;TIME(12,0,0),"Manhã",IF(B1018&lt;TIME(18,0,0),"Tarde","Noite")))</f>
        <v>Manhã</v>
      </c>
      <c r="R1018" s="46">
        <f>IF(AND(H1018="Realizado",L1018&lt;&gt;"",A1018&lt;=Config!$B$9),L1018/60,0)</f>
        <v>0.333333333333333</v>
      </c>
      <c r="S1018" s="45">
        <f>IF(G1018="","",IFERROR(INDEX(Config!$K$5:$K$16,MATCH(G1018,Config!$J$5:$J$16,0)),""))</f>
        <v>20</v>
      </c>
      <c r="T1018" s="31">
        <f>IF(OR(G1018="",F1018=""),"",IFERROR(INDEX(Config!$M$5:$R$16,MATCH(G1018,Config!$J$5:$J$16,0),MATCH(F1018,Config!$H$5:$H$10,0)),""))</f>
        <v>105</v>
      </c>
      <c r="U1018" s="47">
        <f>IF(AND(H1018="Realizado",L1018&lt;&gt;""),L1018/60,0)</f>
        <v>0.333333333333333</v>
      </c>
      <c r="V1018" s="47">
        <f>IF(AND(H1018="Realizado",OR(L1018="",M1018="")),1,0)</f>
        <v>0</v>
      </c>
    </row>
    <row r="1019">
      <c r="A1019" s="43" t="n">
        <v>46276</v>
      </c>
      <c r="B1019" s="44" t="n">
        <v>0.3888888888888889</v>
      </c>
      <c r="C1019" s="38" t="inlineStr">
        <is>
          <t>Dr. Paulo Andrade</t>
        </is>
      </c>
      <c r="D1019" s="38" t="inlineStr">
        <is>
          <t>Sala 2</t>
        </is>
      </c>
      <c r="E1019" s="37" t="inlineStr">
        <is>
          <t>Regina Duarte</t>
        </is>
      </c>
      <c r="F1019" s="38" t="inlineStr">
        <is>
          <t>Particular</t>
        </is>
      </c>
      <c r="G1019" s="38" t="inlineStr">
        <is>
          <t>ECG</t>
        </is>
      </c>
      <c r="H1019" s="38" t="inlineStr">
        <is>
          <t>Realizado</t>
        </is>
      </c>
      <c r="I1019" s="38" t="inlineStr">
        <is>
          <t>Cartão de crédito</t>
        </is>
      </c>
      <c r="J1019" s="38" t="n"/>
      <c r="K1019" s="37" t="n"/>
      <c r="L1019" s="39" t="n">
        <v>20</v>
      </c>
      <c r="M1019" s="40" t="n">
        <v>130</v>
      </c>
      <c r="N1019" s="30">
        <f>IF(A1019="","",MONTH(A1019))</f>
        <v>9</v>
      </c>
      <c r="O1019" s="30">
        <f>IF(A1019="","",YEAR(A1019))</f>
        <v>2026</v>
      </c>
      <c r="P1019" s="30" t="str">
        <f>IF(A1019="","",CHOOSE(WEEKDAY(A1019,2),"Segunda","Terça","Quarta","Quinta","Sexta","Sábado","Domingo"))</f>
        <v>Sexta</v>
      </c>
      <c r="Q1019" s="30" t="str">
        <f>IF(B1019="","",IF(B1019&lt;TIME(12,0,0),"Manhã",IF(B1019&lt;TIME(18,0,0),"Tarde","Noite")))</f>
        <v>Manhã</v>
      </c>
      <c r="R1019" s="46">
        <f>IF(AND(H1019="Realizado",L1019&lt;&gt;"",A1019&lt;=Config!$B$9),L1019/60,0)</f>
        <v>0.333333333333333</v>
      </c>
      <c r="S1019" s="45">
        <f>IF(G1019="","",IFERROR(INDEX(Config!$K$5:$K$16,MATCH(G1019,Config!$J$5:$J$16,0)),""))</f>
        <v>20</v>
      </c>
      <c r="T1019" s="31">
        <f>IF(OR(G1019="",F1019=""),"",IFERROR(INDEX(Config!$M$5:$R$16,MATCH(G1019,Config!$J$5:$J$16,0),MATCH(F1019,Config!$H$5:$H$10,0)),""))</f>
        <v>130</v>
      </c>
      <c r="U1019" s="47">
        <f>IF(AND(H1019="Realizado",L1019&lt;&gt;""),L1019/60,0)</f>
        <v>0.333333333333333</v>
      </c>
      <c r="V1019" s="47">
        <f>IF(AND(H1019="Realizado",OR(L1019="",M1019="")),1,0)</f>
        <v>0</v>
      </c>
    </row>
    <row r="1020">
      <c r="A1020" s="43" t="n">
        <v>46276</v>
      </c>
      <c r="B1020" s="44" t="n">
        <v>0.4027777777777778</v>
      </c>
      <c r="C1020" s="38" t="inlineStr">
        <is>
          <t>Dr. Paulo Andrade</t>
        </is>
      </c>
      <c r="D1020" s="38" t="inlineStr">
        <is>
          <t>Sala 2</t>
        </is>
      </c>
      <c r="E1020" s="37" t="inlineStr">
        <is>
          <t>Mônica Teixeira</t>
        </is>
      </c>
      <c r="F1020" s="38" t="inlineStr">
        <is>
          <t>Vida Care</t>
        </is>
      </c>
      <c r="G1020" s="38" t="inlineStr">
        <is>
          <t>Teste ergométrico</t>
        </is>
      </c>
      <c r="H1020" s="38" t="inlineStr">
        <is>
          <t>Realizado</t>
        </is>
      </c>
      <c r="I1020" s="38" t="inlineStr">
        <is>
          <t>Convênio</t>
        </is>
      </c>
      <c r="J1020" s="38" t="n"/>
      <c r="K1020" s="37" t="n"/>
      <c r="L1020" s="39" t="n">
        <v>40</v>
      </c>
      <c r="M1020" s="40" t="n">
        <v>110</v>
      </c>
      <c r="N1020" s="30">
        <f>IF(A1020="","",MONTH(A1020))</f>
        <v>9</v>
      </c>
      <c r="O1020" s="30">
        <f>IF(A1020="","",YEAR(A1020))</f>
        <v>2026</v>
      </c>
      <c r="P1020" s="30" t="str">
        <f>IF(A1020="","",CHOOSE(WEEKDAY(A1020,2),"Segunda","Terça","Quarta","Quinta","Sexta","Sábado","Domingo"))</f>
        <v>Sexta</v>
      </c>
      <c r="Q1020" s="30" t="str">
        <f>IF(B1020="","",IF(B1020&lt;TIME(12,0,0),"Manhã",IF(B1020&lt;TIME(18,0,0),"Tarde","Noite")))</f>
        <v>Manhã</v>
      </c>
      <c r="R1020" s="46">
        <f>IF(AND(H1020="Realizado",L1020&lt;&gt;"",A1020&lt;=Config!$B$9),L1020/60,0)</f>
        <v>0.666666666666667</v>
      </c>
      <c r="S1020" s="45">
        <f>IF(G1020="","",IFERROR(INDEX(Config!$K$5:$K$16,MATCH(G1020,Config!$J$5:$J$16,0)),""))</f>
        <v>40</v>
      </c>
      <c r="T1020" s="31">
        <f>IF(OR(G1020="",F1020=""),"",IFERROR(INDEX(Config!$M$5:$R$16,MATCH(G1020,Config!$J$5:$J$16,0),MATCH(F1020,Config!$H$5:$H$10,0)),""))</f>
        <v>110</v>
      </c>
      <c r="U1020" s="47">
        <f>IF(AND(H1020="Realizado",L1020&lt;&gt;""),L1020/60,0)</f>
        <v>0.666666666666667</v>
      </c>
      <c r="V1020" s="47">
        <f>IF(AND(H1020="Realizado",OR(L1020="",M1020="")),1,0)</f>
        <v>0</v>
      </c>
    </row>
    <row r="1021">
      <c r="A1021" s="43" t="n">
        <v>46276</v>
      </c>
      <c r="B1021" s="44" t="n">
        <v>0.4513888888888889</v>
      </c>
      <c r="C1021" s="38" t="inlineStr">
        <is>
          <t>Dr. Paulo Andrade</t>
        </is>
      </c>
      <c r="D1021" s="38" t="inlineStr">
        <is>
          <t>Sala 2</t>
        </is>
      </c>
      <c r="E1021" s="37" t="inlineStr">
        <is>
          <t>Leandro Cardoso</t>
        </is>
      </c>
      <c r="F1021" s="38" t="inlineStr">
        <is>
          <t>MediPlan</t>
        </is>
      </c>
      <c r="G1021" s="38" t="inlineStr">
        <is>
          <t>Consulta</t>
        </is>
      </c>
      <c r="H1021" s="38" t="inlineStr">
        <is>
          <t>Cancelado</t>
        </is>
      </c>
      <c r="I1021" s="38" t="n"/>
      <c r="J1021" s="38" t="n"/>
      <c r="K1021" s="37" t="n"/>
      <c r="L1021" s="39" t="n">
        <v>30</v>
      </c>
      <c r="M1021" s="40" t="n">
        <v>100</v>
      </c>
      <c r="N1021" s="30">
        <f>IF(A1021="","",MONTH(A1021))</f>
        <v>9</v>
      </c>
      <c r="O1021" s="30">
        <f>IF(A1021="","",YEAR(A1021))</f>
        <v>2026</v>
      </c>
      <c r="P1021" s="30" t="str">
        <f>IF(A1021="","",CHOOSE(WEEKDAY(A1021,2),"Segunda","Terça","Quarta","Quinta","Sexta","Sábado","Domingo"))</f>
        <v>Sexta</v>
      </c>
      <c r="Q1021" s="30" t="str">
        <f>IF(B1021="","",IF(B1021&lt;TIME(12,0,0),"Manhã",IF(B1021&lt;TIME(18,0,0),"Tarde","Noite")))</f>
        <v>Manhã</v>
      </c>
      <c r="R1021" s="46">
        <f>IF(AND(H1021="Realizado",L1021&lt;&gt;"",A1021&lt;=Config!$B$9),L1021/60,0)</f>
        <v>0</v>
      </c>
      <c r="S1021" s="45">
        <f>IF(G1021="","",IFERROR(INDEX(Config!$K$5:$K$16,MATCH(G1021,Config!$J$5:$J$16,0)),""))</f>
        <v>30</v>
      </c>
      <c r="T1021" s="31">
        <f>IF(OR(G1021="",F1021=""),"",IFERROR(INDEX(Config!$M$5:$R$16,MATCH(G1021,Config!$J$5:$J$16,0),MATCH(F1021,Config!$H$5:$H$10,0)),""))</f>
        <v>100</v>
      </c>
      <c r="U1021" s="47">
        <f>IF(AND(H1021="Realizado",L1021&lt;&gt;""),L1021/60,0)</f>
        <v>0</v>
      </c>
      <c r="V1021" s="47">
        <f>IF(AND(H1021="Realizado",OR(L1021="",M1021="")),1,0)</f>
        <v>0</v>
      </c>
    </row>
    <row r="1022">
      <c r="A1022" s="43" t="n">
        <v>46279</v>
      </c>
      <c r="B1022" s="44" t="n">
        <v>0.3333333333333333</v>
      </c>
      <c r="C1022" s="38" t="inlineStr">
        <is>
          <t>Dra. Carolina Mendes</t>
        </is>
      </c>
      <c r="D1022" s="38" t="inlineStr">
        <is>
          <t>Sala 1</t>
        </is>
      </c>
      <c r="E1022" s="37" t="inlineStr">
        <is>
          <t>Juliana Silva</t>
        </is>
      </c>
      <c r="F1022" s="38" t="inlineStr">
        <is>
          <t>Vida Care</t>
        </is>
      </c>
      <c r="G1022" s="38" t="inlineStr">
        <is>
          <t>Consulta</t>
        </is>
      </c>
      <c r="H1022" s="38" t="inlineStr">
        <is>
          <t>Agendado</t>
        </is>
      </c>
      <c r="I1022" s="38" t="n"/>
      <c r="J1022" s="38" t="n"/>
      <c r="K1022" s="37" t="n"/>
      <c r="L1022" s="39" t="n">
        <v>30</v>
      </c>
      <c r="M1022" s="40" t="n">
        <v>90</v>
      </c>
      <c r="N1022" s="30">
        <f>IF(A1022="","",MONTH(A1022))</f>
        <v>9</v>
      </c>
      <c r="O1022" s="30">
        <f>IF(A1022="","",YEAR(A1022))</f>
        <v>2026</v>
      </c>
      <c r="P1022" s="30" t="str">
        <f>IF(A1022="","",CHOOSE(WEEKDAY(A1022,2),"Segunda","Terça","Quarta","Quinta","Sexta","Sábado","Domingo"))</f>
        <v>Segunda</v>
      </c>
      <c r="Q1022" s="30" t="str">
        <f>IF(B1022="","",IF(B1022&lt;TIME(12,0,0),"Manhã",IF(B1022&lt;TIME(18,0,0),"Tarde","Noite")))</f>
        <v>Manhã</v>
      </c>
      <c r="R1022" s="46">
        <f>IF(AND(H1022="Realizado",L1022&lt;&gt;"",A1022&lt;=Config!$B$9),L1022/60,0)</f>
        <v>0</v>
      </c>
      <c r="S1022" s="45">
        <f>IF(G1022="","",IFERROR(INDEX(Config!$K$5:$K$16,MATCH(G1022,Config!$J$5:$J$16,0)),""))</f>
        <v>30</v>
      </c>
      <c r="T1022" s="31">
        <f>IF(OR(G1022="",F1022=""),"",IFERROR(INDEX(Config!$M$5:$R$16,MATCH(G1022,Config!$J$5:$J$16,0),MATCH(F1022,Config!$H$5:$H$10,0)),""))</f>
        <v>90</v>
      </c>
      <c r="U1022" s="47">
        <f>IF(AND(H1022="Realizado",L1022&lt;&gt;""),L1022/60,0)</f>
        <v>0</v>
      </c>
      <c r="V1022" s="47">
        <f>IF(AND(H1022="Realizado",OR(L1022="",M1022="")),1,0)</f>
        <v>0</v>
      </c>
    </row>
    <row r="1023">
      <c r="A1023" s="43" t="n">
        <v>46279</v>
      </c>
      <c r="B1023" s="44" t="n">
        <v>0.3541666666666667</v>
      </c>
      <c r="C1023" s="38" t="inlineStr">
        <is>
          <t>Dra. Carolina Mendes</t>
        </is>
      </c>
      <c r="D1023" s="38" t="inlineStr">
        <is>
          <t>Sala 1</t>
        </is>
      </c>
      <c r="E1023" s="37" t="inlineStr">
        <is>
          <t>Rodrigo Gomes</t>
        </is>
      </c>
      <c r="F1023" s="38" t="inlineStr">
        <is>
          <t>Vida Care</t>
        </is>
      </c>
      <c r="G1023" s="38" t="inlineStr">
        <is>
          <t>Consulta</t>
        </is>
      </c>
      <c r="H1023" s="38" t="inlineStr">
        <is>
          <t>Confirmado</t>
        </is>
      </c>
      <c r="I1023" s="38" t="n"/>
      <c r="J1023" s="38" t="n"/>
      <c r="K1023" s="37" t="n"/>
      <c r="L1023" s="39" t="n">
        <v>30</v>
      </c>
      <c r="M1023" s="40" t="n">
        <v>90</v>
      </c>
      <c r="N1023" s="30">
        <f>IF(A1023="","",MONTH(A1023))</f>
        <v>9</v>
      </c>
      <c r="O1023" s="30">
        <f>IF(A1023="","",YEAR(A1023))</f>
        <v>2026</v>
      </c>
      <c r="P1023" s="30" t="str">
        <f>IF(A1023="","",CHOOSE(WEEKDAY(A1023,2),"Segunda","Terça","Quarta","Quinta","Sexta","Sábado","Domingo"))</f>
        <v>Segunda</v>
      </c>
      <c r="Q1023" s="30" t="str">
        <f>IF(B1023="","",IF(B1023&lt;TIME(12,0,0),"Manhã",IF(B1023&lt;TIME(18,0,0),"Tarde","Noite")))</f>
        <v>Manhã</v>
      </c>
      <c r="R1023" s="46">
        <f>IF(AND(H1023="Realizado",L1023&lt;&gt;"",A1023&lt;=Config!$B$9),L1023/60,0)</f>
        <v>0</v>
      </c>
      <c r="S1023" s="45">
        <f>IF(G1023="","",IFERROR(INDEX(Config!$K$5:$K$16,MATCH(G1023,Config!$J$5:$J$16,0)),""))</f>
        <v>30</v>
      </c>
      <c r="T1023" s="31">
        <f>IF(OR(G1023="",F1023=""),"",IFERROR(INDEX(Config!$M$5:$R$16,MATCH(G1023,Config!$J$5:$J$16,0),MATCH(F1023,Config!$H$5:$H$10,0)),""))</f>
        <v>90</v>
      </c>
      <c r="U1023" s="47">
        <f>IF(AND(H1023="Realizado",L1023&lt;&gt;""),L1023/60,0)</f>
        <v>0</v>
      </c>
      <c r="V1023" s="47">
        <f>IF(AND(H1023="Realizado",OR(L1023="",M1023="")),1,0)</f>
        <v>0</v>
      </c>
    </row>
    <row r="1024">
      <c r="A1024" s="43" t="n">
        <v>46279</v>
      </c>
      <c r="B1024" s="44" t="n">
        <v>0.375</v>
      </c>
      <c r="C1024" s="38" t="inlineStr">
        <is>
          <t>Dra. Carolina Mendes</t>
        </is>
      </c>
      <c r="D1024" s="38" t="inlineStr">
        <is>
          <t>Sala 1</t>
        </is>
      </c>
      <c r="E1024" s="37" t="inlineStr">
        <is>
          <t>Camila Batista</t>
        </is>
      </c>
      <c r="F1024" s="38" t="inlineStr">
        <is>
          <t>MediPlan</t>
        </is>
      </c>
      <c r="G1024" s="38" t="inlineStr">
        <is>
          <t>Consulta</t>
        </is>
      </c>
      <c r="H1024" s="38" t="inlineStr">
        <is>
          <t>Confirmado</t>
        </is>
      </c>
      <c r="I1024" s="38" t="n"/>
      <c r="J1024" s="38" t="n"/>
      <c r="K1024" s="37" t="n"/>
      <c r="L1024" s="39" t="n">
        <v>30</v>
      </c>
      <c r="M1024" s="40" t="n">
        <v>100</v>
      </c>
      <c r="N1024" s="30">
        <f>IF(A1024="","",MONTH(A1024))</f>
        <v>9</v>
      </c>
      <c r="O1024" s="30">
        <f>IF(A1024="","",YEAR(A1024))</f>
        <v>2026</v>
      </c>
      <c r="P1024" s="30" t="str">
        <f>IF(A1024="","",CHOOSE(WEEKDAY(A1024,2),"Segunda","Terça","Quarta","Quinta","Sexta","Sábado","Domingo"))</f>
        <v>Segunda</v>
      </c>
      <c r="Q1024" s="30" t="str">
        <f>IF(B1024="","",IF(B1024&lt;TIME(12,0,0),"Manhã",IF(B1024&lt;TIME(18,0,0),"Tarde","Noite")))</f>
        <v>Manhã</v>
      </c>
      <c r="R1024" s="46">
        <f>IF(AND(H1024="Realizado",L1024&lt;&gt;"",A1024&lt;=Config!$B$9),L1024/60,0)</f>
        <v>0</v>
      </c>
      <c r="S1024" s="45">
        <f>IF(G1024="","",IFERROR(INDEX(Config!$K$5:$K$16,MATCH(G1024,Config!$J$5:$J$16,0)),""))</f>
        <v>30</v>
      </c>
      <c r="T1024" s="31">
        <f>IF(OR(G1024="",F1024=""),"",IFERROR(INDEX(Config!$M$5:$R$16,MATCH(G1024,Config!$J$5:$J$16,0),MATCH(F1024,Config!$H$5:$H$10,0)),""))</f>
        <v>100</v>
      </c>
      <c r="U1024" s="47">
        <f>IF(AND(H1024="Realizado",L1024&lt;&gt;""),L1024/60,0)</f>
        <v>0</v>
      </c>
      <c r="V1024" s="47">
        <f>IF(AND(H1024="Realizado",OR(L1024="",M1024="")),1,0)</f>
        <v>0</v>
      </c>
    </row>
    <row r="1025">
      <c r="A1025" s="43" t="n">
        <v>46279</v>
      </c>
      <c r="B1025" s="44" t="n">
        <v>0.3958333333333333</v>
      </c>
      <c r="C1025" s="38" t="inlineStr">
        <is>
          <t>Dra. Carolina Mendes</t>
        </is>
      </c>
      <c r="D1025" s="38" t="inlineStr">
        <is>
          <t>Sala 1</t>
        </is>
      </c>
      <c r="E1025" s="37" t="inlineStr">
        <is>
          <t>Gisele Xavier</t>
        </is>
      </c>
      <c r="F1025" s="38" t="inlineStr">
        <is>
          <t>Particular</t>
        </is>
      </c>
      <c r="G1025" s="38" t="inlineStr">
        <is>
          <t>Consulta</t>
        </is>
      </c>
      <c r="H1025" s="38" t="inlineStr">
        <is>
          <t>Confirmado</t>
        </is>
      </c>
      <c r="I1025" s="38" t="n"/>
      <c r="J1025" s="38" t="n"/>
      <c r="K1025" s="37" t="n"/>
      <c r="L1025" s="39" t="n">
        <v>30</v>
      </c>
      <c r="M1025" s="40" t="n">
        <v>380</v>
      </c>
      <c r="N1025" s="30">
        <f>IF(A1025="","",MONTH(A1025))</f>
        <v>9</v>
      </c>
      <c r="O1025" s="30">
        <f>IF(A1025="","",YEAR(A1025))</f>
        <v>2026</v>
      </c>
      <c r="P1025" s="30" t="str">
        <f>IF(A1025="","",CHOOSE(WEEKDAY(A1025,2),"Segunda","Terça","Quarta","Quinta","Sexta","Sábado","Domingo"))</f>
        <v>Segunda</v>
      </c>
      <c r="Q1025" s="30" t="str">
        <f>IF(B1025="","",IF(B1025&lt;TIME(12,0,0),"Manhã",IF(B1025&lt;TIME(18,0,0),"Tarde","Noite")))</f>
        <v>Manhã</v>
      </c>
      <c r="R1025" s="46">
        <f>IF(AND(H1025="Realizado",L1025&lt;&gt;"",A1025&lt;=Config!$B$9),L1025/60,0)</f>
        <v>0</v>
      </c>
      <c r="S1025" s="45">
        <f>IF(G1025="","",IFERROR(INDEX(Config!$K$5:$K$16,MATCH(G1025,Config!$J$5:$J$16,0)),""))</f>
        <v>30</v>
      </c>
      <c r="T1025" s="31">
        <f>IF(OR(G1025="",F1025=""),"",IFERROR(INDEX(Config!$M$5:$R$16,MATCH(G1025,Config!$J$5:$J$16,0),MATCH(F1025,Config!$H$5:$H$10,0)),""))</f>
        <v>380</v>
      </c>
      <c r="U1025" s="47">
        <f>IF(AND(H1025="Realizado",L1025&lt;&gt;""),L1025/60,0)</f>
        <v>0</v>
      </c>
      <c r="V1025" s="47">
        <f>IF(AND(H1025="Realizado",OR(L1025="",M1025="")),1,0)</f>
        <v>0</v>
      </c>
    </row>
    <row r="1026">
      <c r="A1026" s="43" t="n">
        <v>46279</v>
      </c>
      <c r="B1026" s="44" t="n">
        <v>0.4166666666666667</v>
      </c>
      <c r="C1026" s="38" t="inlineStr">
        <is>
          <t>Dra. Carolina Mendes</t>
        </is>
      </c>
      <c r="D1026" s="38" t="inlineStr">
        <is>
          <t>Sala 1</t>
        </is>
      </c>
      <c r="E1026" s="37" t="inlineStr">
        <is>
          <t>Renato Dias</t>
        </is>
      </c>
      <c r="F1026" s="38" t="inlineStr">
        <is>
          <t>Particular</t>
        </is>
      </c>
      <c r="G1026" s="38" t="inlineStr">
        <is>
          <t>Retorno</t>
        </is>
      </c>
      <c r="H1026" s="38" t="inlineStr">
        <is>
          <t>Confirmado</t>
        </is>
      </c>
      <c r="I1026" s="38" t="n"/>
      <c r="J1026" s="38" t="n"/>
      <c r="K1026" s="37" t="n"/>
      <c r="L1026" s="39" t="n">
        <v>20</v>
      </c>
      <c r="M1026" s="40" t="n">
        <v>0</v>
      </c>
      <c r="N1026" s="30">
        <f>IF(A1026="","",MONTH(A1026))</f>
        <v>9</v>
      </c>
      <c r="O1026" s="30">
        <f>IF(A1026="","",YEAR(A1026))</f>
        <v>2026</v>
      </c>
      <c r="P1026" s="30" t="str">
        <f>IF(A1026="","",CHOOSE(WEEKDAY(A1026,2),"Segunda","Terça","Quarta","Quinta","Sexta","Sábado","Domingo"))</f>
        <v>Segunda</v>
      </c>
      <c r="Q1026" s="30" t="str">
        <f>IF(B1026="","",IF(B1026&lt;TIME(12,0,0),"Manhã",IF(B1026&lt;TIME(18,0,0),"Tarde","Noite")))</f>
        <v>Manhã</v>
      </c>
      <c r="R1026" s="46">
        <f>IF(AND(H1026="Realizado",L1026&lt;&gt;"",A1026&lt;=Config!$B$9),L1026/60,0)</f>
        <v>0</v>
      </c>
      <c r="S1026" s="45">
        <f>IF(G1026="","",IFERROR(INDEX(Config!$K$5:$K$16,MATCH(G1026,Config!$J$5:$J$16,0)),""))</f>
        <v>20</v>
      </c>
      <c r="T1026" s="31">
        <f>IF(OR(G1026="",F1026=""),"",IFERROR(INDEX(Config!$M$5:$R$16,MATCH(G1026,Config!$J$5:$J$16,0),MATCH(F1026,Config!$H$5:$H$10,0)),""))</f>
        <v>0</v>
      </c>
      <c r="U1026" s="47">
        <f>IF(AND(H1026="Realizado",L1026&lt;&gt;""),L1026/60,0)</f>
        <v>0</v>
      </c>
      <c r="V1026" s="47">
        <f>IF(AND(H1026="Realizado",OR(L1026="",M1026="")),1,0)</f>
        <v>0</v>
      </c>
    </row>
    <row r="1027">
      <c r="A1027" s="43" t="n">
        <v>46279</v>
      </c>
      <c r="B1027" s="44" t="n">
        <v>0.4305555555555556</v>
      </c>
      <c r="C1027" s="38" t="inlineStr">
        <is>
          <t>Dra. Carolina Mendes</t>
        </is>
      </c>
      <c r="D1027" s="38" t="inlineStr">
        <is>
          <t>Sala 1</t>
        </is>
      </c>
      <c r="E1027" s="37" t="inlineStr">
        <is>
          <t>Marcelo Santos</t>
        </is>
      </c>
      <c r="F1027" s="38" t="inlineStr">
        <is>
          <t>Particular</t>
        </is>
      </c>
      <c r="G1027" s="38" t="inlineStr">
        <is>
          <t>Consulta</t>
        </is>
      </c>
      <c r="H1027" s="38" t="inlineStr">
        <is>
          <t>Confirmado</t>
        </is>
      </c>
      <c r="I1027" s="38" t="n"/>
      <c r="J1027" s="38" t="n"/>
      <c r="K1027" s="37" t="n"/>
      <c r="L1027" s="39" t="n">
        <v>30</v>
      </c>
      <c r="M1027" s="40" t="n">
        <v>380</v>
      </c>
      <c r="N1027" s="30">
        <f>IF(A1027="","",MONTH(A1027))</f>
        <v>9</v>
      </c>
      <c r="O1027" s="30">
        <f>IF(A1027="","",YEAR(A1027))</f>
        <v>2026</v>
      </c>
      <c r="P1027" s="30" t="str">
        <f>IF(A1027="","",CHOOSE(WEEKDAY(A1027,2),"Segunda","Terça","Quarta","Quinta","Sexta","Sábado","Domingo"))</f>
        <v>Segunda</v>
      </c>
      <c r="Q1027" s="30" t="str">
        <f>IF(B1027="","",IF(B1027&lt;TIME(12,0,0),"Manhã",IF(B1027&lt;TIME(18,0,0),"Tarde","Noite")))</f>
        <v>Manhã</v>
      </c>
      <c r="R1027" s="46">
        <f>IF(AND(H1027="Realizado",L1027&lt;&gt;"",A1027&lt;=Config!$B$9),L1027/60,0)</f>
        <v>0</v>
      </c>
      <c r="S1027" s="45">
        <f>IF(G1027="","",IFERROR(INDEX(Config!$K$5:$K$16,MATCH(G1027,Config!$J$5:$J$16,0)),""))</f>
        <v>30</v>
      </c>
      <c r="T1027" s="31">
        <f>IF(OR(G1027="",F1027=""),"",IFERROR(INDEX(Config!$M$5:$R$16,MATCH(G1027,Config!$J$5:$J$16,0),MATCH(F1027,Config!$H$5:$H$10,0)),""))</f>
        <v>380</v>
      </c>
      <c r="U1027" s="47">
        <f>IF(AND(H1027="Realizado",L1027&lt;&gt;""),L1027/60,0)</f>
        <v>0</v>
      </c>
      <c r="V1027" s="47">
        <f>IF(AND(H1027="Realizado",OR(L1027="",M1027="")),1,0)</f>
        <v>0</v>
      </c>
    </row>
    <row r="1028">
      <c r="A1028" s="43" t="n">
        <v>46279</v>
      </c>
      <c r="B1028" s="44" t="n">
        <v>0.4513888888888889</v>
      </c>
      <c r="C1028" s="38" t="inlineStr">
        <is>
          <t>Dra. Carolina Mendes</t>
        </is>
      </c>
      <c r="D1028" s="38" t="inlineStr">
        <is>
          <t>Sala 1</t>
        </is>
      </c>
      <c r="E1028" s="37" t="inlineStr">
        <is>
          <t>Eduardo Nunes</t>
        </is>
      </c>
      <c r="F1028" s="38" t="inlineStr">
        <is>
          <t>MediPlan</t>
        </is>
      </c>
      <c r="G1028" s="38" t="inlineStr">
        <is>
          <t>Consulta</t>
        </is>
      </c>
      <c r="H1028" s="38" t="inlineStr">
        <is>
          <t>Agendado</t>
        </is>
      </c>
      <c r="I1028" s="38" t="n"/>
      <c r="J1028" s="38" t="n"/>
      <c r="K1028" s="37" t="n"/>
      <c r="L1028" s="39" t="n">
        <v>30</v>
      </c>
      <c r="M1028" s="40" t="n">
        <v>100</v>
      </c>
      <c r="N1028" s="30">
        <f>IF(A1028="","",MONTH(A1028))</f>
        <v>9</v>
      </c>
      <c r="O1028" s="30">
        <f>IF(A1028="","",YEAR(A1028))</f>
        <v>2026</v>
      </c>
      <c r="P1028" s="30" t="str">
        <f>IF(A1028="","",CHOOSE(WEEKDAY(A1028,2),"Segunda","Terça","Quarta","Quinta","Sexta","Sábado","Domingo"))</f>
        <v>Segunda</v>
      </c>
      <c r="Q1028" s="30" t="str">
        <f>IF(B1028="","",IF(B1028&lt;TIME(12,0,0),"Manhã",IF(B1028&lt;TIME(18,0,0),"Tarde","Noite")))</f>
        <v>Manhã</v>
      </c>
      <c r="R1028" s="46">
        <f>IF(AND(H1028="Realizado",L1028&lt;&gt;"",A1028&lt;=Config!$B$9),L1028/60,0)</f>
        <v>0</v>
      </c>
      <c r="S1028" s="45">
        <f>IF(G1028="","",IFERROR(INDEX(Config!$K$5:$K$16,MATCH(G1028,Config!$J$5:$J$16,0)),""))</f>
        <v>30</v>
      </c>
      <c r="T1028" s="31">
        <f>IF(OR(G1028="",F1028=""),"",IFERROR(INDEX(Config!$M$5:$R$16,MATCH(G1028,Config!$J$5:$J$16,0),MATCH(F1028,Config!$H$5:$H$10,0)),""))</f>
        <v>100</v>
      </c>
      <c r="U1028" s="47">
        <f>IF(AND(H1028="Realizado",L1028&lt;&gt;""),L1028/60,0)</f>
        <v>0</v>
      </c>
      <c r="V1028" s="47">
        <f>IF(AND(H1028="Realizado",OR(L1028="",M1028="")),1,0)</f>
        <v>0</v>
      </c>
    </row>
    <row r="1029">
      <c r="A1029" s="43" t="n">
        <v>46279</v>
      </c>
      <c r="B1029" s="44" t="n">
        <v>0.4722222222222222</v>
      </c>
      <c r="C1029" s="38" t="inlineStr">
        <is>
          <t>Dra. Carolina Mendes</t>
        </is>
      </c>
      <c r="D1029" s="38" t="inlineStr">
        <is>
          <t>Sala 1</t>
        </is>
      </c>
      <c r="E1029" s="37" t="inlineStr">
        <is>
          <t>Regina Duarte</t>
        </is>
      </c>
      <c r="F1029" s="38" t="inlineStr">
        <is>
          <t>Particular</t>
        </is>
      </c>
      <c r="G1029" s="38" t="inlineStr">
        <is>
          <t>Consulta</t>
        </is>
      </c>
      <c r="H1029" s="38" t="inlineStr">
        <is>
          <t>Confirmado</t>
        </is>
      </c>
      <c r="I1029" s="38" t="n"/>
      <c r="J1029" s="38" t="n"/>
      <c r="K1029" s="37" t="n"/>
      <c r="L1029" s="39" t="n">
        <v>30</v>
      </c>
      <c r="M1029" s="40" t="n">
        <v>380</v>
      </c>
      <c r="N1029" s="30">
        <f>IF(A1029="","",MONTH(A1029))</f>
        <v>9</v>
      </c>
      <c r="O1029" s="30">
        <f>IF(A1029="","",YEAR(A1029))</f>
        <v>2026</v>
      </c>
      <c r="P1029" s="30" t="str">
        <f>IF(A1029="","",CHOOSE(WEEKDAY(A1029,2),"Segunda","Terça","Quarta","Quinta","Sexta","Sábado","Domingo"))</f>
        <v>Segunda</v>
      </c>
      <c r="Q1029" s="30" t="str">
        <f>IF(B1029="","",IF(B1029&lt;TIME(12,0,0),"Manhã",IF(B1029&lt;TIME(18,0,0),"Tarde","Noite")))</f>
        <v>Manhã</v>
      </c>
      <c r="R1029" s="46">
        <f>IF(AND(H1029="Realizado",L1029&lt;&gt;"",A1029&lt;=Config!$B$9),L1029/60,0)</f>
        <v>0</v>
      </c>
      <c r="S1029" s="45">
        <f>IF(G1029="","",IFERROR(INDEX(Config!$K$5:$K$16,MATCH(G1029,Config!$J$5:$J$16,0)),""))</f>
        <v>30</v>
      </c>
      <c r="T1029" s="31">
        <f>IF(OR(G1029="",F1029=""),"",IFERROR(INDEX(Config!$M$5:$R$16,MATCH(G1029,Config!$J$5:$J$16,0),MATCH(F1029,Config!$H$5:$H$10,0)),""))</f>
        <v>380</v>
      </c>
      <c r="U1029" s="47">
        <f>IF(AND(H1029="Realizado",L1029&lt;&gt;""),L1029/60,0)</f>
        <v>0</v>
      </c>
      <c r="V1029" s="47">
        <f>IF(AND(H1029="Realizado",OR(L1029="",M1029="")),1,0)</f>
        <v>0</v>
      </c>
    </row>
    <row r="1030">
      <c r="A1030" s="43" t="n">
        <v>46279</v>
      </c>
      <c r="B1030" s="44" t="n">
        <v>0.5833333333333334</v>
      </c>
      <c r="C1030" s="38" t="inlineStr">
        <is>
          <t>Dr. Paulo Andrade</t>
        </is>
      </c>
      <c r="D1030" s="38" t="inlineStr">
        <is>
          <t>Sala 2</t>
        </is>
      </c>
      <c r="E1030" s="37" t="inlineStr">
        <is>
          <t>Bruno Carvalho</t>
        </is>
      </c>
      <c r="F1030" s="38" t="inlineStr">
        <is>
          <t>Saúde Total</t>
        </is>
      </c>
      <c r="G1030" s="38" t="inlineStr">
        <is>
          <t>Retorno</t>
        </is>
      </c>
      <c r="H1030" s="38" t="inlineStr">
        <is>
          <t>Confirmado</t>
        </is>
      </c>
      <c r="I1030" s="38" t="n"/>
      <c r="J1030" s="38" t="n"/>
      <c r="K1030" s="37" t="n"/>
      <c r="L1030" s="39" t="n">
        <v>20</v>
      </c>
      <c r="M1030" s="40" t="n">
        <v>0</v>
      </c>
      <c r="N1030" s="30">
        <f>IF(A1030="","",MONTH(A1030))</f>
        <v>9</v>
      </c>
      <c r="O1030" s="30">
        <f>IF(A1030="","",YEAR(A1030))</f>
        <v>2026</v>
      </c>
      <c r="P1030" s="30" t="str">
        <f>IF(A1030="","",CHOOSE(WEEKDAY(A1030,2),"Segunda","Terça","Quarta","Quinta","Sexta","Sábado","Domingo"))</f>
        <v>Segunda</v>
      </c>
      <c r="Q1030" s="30" t="str">
        <f>IF(B1030="","",IF(B1030&lt;TIME(12,0,0),"Manhã",IF(B1030&lt;TIME(18,0,0),"Tarde","Noite")))</f>
        <v>Tarde</v>
      </c>
      <c r="R1030" s="46">
        <f>IF(AND(H1030="Realizado",L1030&lt;&gt;"",A1030&lt;=Config!$B$9),L1030/60,0)</f>
        <v>0</v>
      </c>
      <c r="S1030" s="45">
        <f>IF(G1030="","",IFERROR(INDEX(Config!$K$5:$K$16,MATCH(G1030,Config!$J$5:$J$16,0)),""))</f>
        <v>20</v>
      </c>
      <c r="T1030" s="31">
        <f>IF(OR(G1030="",F1030=""),"",IFERROR(INDEX(Config!$M$5:$R$16,MATCH(G1030,Config!$J$5:$J$16,0),MATCH(F1030,Config!$H$5:$H$10,0)),""))</f>
        <v>0</v>
      </c>
      <c r="U1030" s="47">
        <f>IF(AND(H1030="Realizado",L1030&lt;&gt;""),L1030/60,0)</f>
        <v>0</v>
      </c>
      <c r="V1030" s="47">
        <f>IF(AND(H1030="Realizado",OR(L1030="",M1030="")),1,0)</f>
        <v>0</v>
      </c>
    </row>
    <row r="1031">
      <c r="A1031" s="43" t="n">
        <v>46279</v>
      </c>
      <c r="B1031" s="44" t="n">
        <v>0.6180555555555556</v>
      </c>
      <c r="C1031" s="38" t="inlineStr">
        <is>
          <t>Dr. Paulo Andrade</t>
        </is>
      </c>
      <c r="D1031" s="38" t="inlineStr">
        <is>
          <t>Sala 2</t>
        </is>
      </c>
      <c r="E1031" s="37" t="inlineStr">
        <is>
          <t>Henrique Ribeiro</t>
        </is>
      </c>
      <c r="F1031" s="38" t="inlineStr">
        <is>
          <t>Particular</t>
        </is>
      </c>
      <c r="G1031" s="38" t="inlineStr">
        <is>
          <t>Retorno</t>
        </is>
      </c>
      <c r="H1031" s="38" t="inlineStr">
        <is>
          <t>Agendado</t>
        </is>
      </c>
      <c r="I1031" s="38" t="n"/>
      <c r="J1031" s="38" t="n"/>
      <c r="K1031" s="37" t="n"/>
      <c r="L1031" s="39" t="n">
        <v>20</v>
      </c>
      <c r="M1031" s="40" t="n">
        <v>0</v>
      </c>
      <c r="N1031" s="30">
        <f>IF(A1031="","",MONTH(A1031))</f>
        <v>9</v>
      </c>
      <c r="O1031" s="30">
        <f>IF(A1031="","",YEAR(A1031))</f>
        <v>2026</v>
      </c>
      <c r="P1031" s="30" t="str">
        <f>IF(A1031="","",CHOOSE(WEEKDAY(A1031,2),"Segunda","Terça","Quarta","Quinta","Sexta","Sábado","Domingo"))</f>
        <v>Segunda</v>
      </c>
      <c r="Q1031" s="30" t="str">
        <f>IF(B1031="","",IF(B1031&lt;TIME(12,0,0),"Manhã",IF(B1031&lt;TIME(18,0,0),"Tarde","Noite")))</f>
        <v>Tarde</v>
      </c>
      <c r="R1031" s="46">
        <f>IF(AND(H1031="Realizado",L1031&lt;&gt;"",A1031&lt;=Config!$B$9),L1031/60,0)</f>
        <v>0</v>
      </c>
      <c r="S1031" s="45">
        <f>IF(G1031="","",IFERROR(INDEX(Config!$K$5:$K$16,MATCH(G1031,Config!$J$5:$J$16,0)),""))</f>
        <v>20</v>
      </c>
      <c r="T1031" s="31">
        <f>IF(OR(G1031="",F1031=""),"",IFERROR(INDEX(Config!$M$5:$R$16,MATCH(G1031,Config!$J$5:$J$16,0),MATCH(F1031,Config!$H$5:$H$10,0)),""))</f>
        <v>0</v>
      </c>
      <c r="U1031" s="47">
        <f>IF(AND(H1031="Realizado",L1031&lt;&gt;""),L1031/60,0)</f>
        <v>0</v>
      </c>
      <c r="V1031" s="47">
        <f>IF(AND(H1031="Realizado",OR(L1031="",M1031="")),1,0)</f>
        <v>0</v>
      </c>
    </row>
    <row r="1032">
      <c r="A1032" s="43" t="n">
        <v>46279</v>
      </c>
      <c r="B1032" s="44" t="n">
        <v>0.6319444444444444</v>
      </c>
      <c r="C1032" s="38" t="inlineStr">
        <is>
          <t>Dr. Paulo Andrade</t>
        </is>
      </c>
      <c r="D1032" s="38" t="inlineStr">
        <is>
          <t>Sala 2</t>
        </is>
      </c>
      <c r="E1032" s="37" t="inlineStr">
        <is>
          <t>Regina Castro</t>
        </is>
      </c>
      <c r="F1032" s="38" t="inlineStr">
        <is>
          <t>Vida Care</t>
        </is>
      </c>
      <c r="G1032" s="38" t="inlineStr">
        <is>
          <t>Teste ergométrico</t>
        </is>
      </c>
      <c r="H1032" s="38" t="inlineStr">
        <is>
          <t>Confirmado</t>
        </is>
      </c>
      <c r="I1032" s="38" t="n"/>
      <c r="J1032" s="38" t="n"/>
      <c r="K1032" s="37" t="n"/>
      <c r="L1032" s="39" t="n">
        <v>40</v>
      </c>
      <c r="M1032" s="40" t="n">
        <v>110</v>
      </c>
      <c r="N1032" s="30">
        <f>IF(A1032="","",MONTH(A1032))</f>
        <v>9</v>
      </c>
      <c r="O1032" s="30">
        <f>IF(A1032="","",YEAR(A1032))</f>
        <v>2026</v>
      </c>
      <c r="P1032" s="30" t="str">
        <f>IF(A1032="","",CHOOSE(WEEKDAY(A1032,2),"Segunda","Terça","Quarta","Quinta","Sexta","Sábado","Domingo"))</f>
        <v>Segunda</v>
      </c>
      <c r="Q1032" s="30" t="str">
        <f>IF(B1032="","",IF(B1032&lt;TIME(12,0,0),"Manhã",IF(B1032&lt;TIME(18,0,0),"Tarde","Noite")))</f>
        <v>Tarde</v>
      </c>
      <c r="R1032" s="46">
        <f>IF(AND(H1032="Realizado",L1032&lt;&gt;"",A1032&lt;=Config!$B$9),L1032/60,0)</f>
        <v>0</v>
      </c>
      <c r="S1032" s="45">
        <f>IF(G1032="","",IFERROR(INDEX(Config!$K$5:$K$16,MATCH(G1032,Config!$J$5:$J$16,0)),""))</f>
        <v>40</v>
      </c>
      <c r="T1032" s="31">
        <f>IF(OR(G1032="",F1032=""),"",IFERROR(INDEX(Config!$M$5:$R$16,MATCH(G1032,Config!$J$5:$J$16,0),MATCH(F1032,Config!$H$5:$H$10,0)),""))</f>
        <v>110</v>
      </c>
      <c r="U1032" s="47">
        <f>IF(AND(H1032="Realizado",L1032&lt;&gt;""),L1032/60,0)</f>
        <v>0</v>
      </c>
      <c r="V1032" s="47">
        <f>IF(AND(H1032="Realizado",OR(L1032="",M1032="")),1,0)</f>
        <v>0</v>
      </c>
    </row>
    <row r="1033">
      <c r="A1033" s="43" t="n">
        <v>46279</v>
      </c>
      <c r="B1033" s="44" t="n">
        <v>0.6805555555555556</v>
      </c>
      <c r="C1033" s="38" t="inlineStr">
        <is>
          <t>Dr. Paulo Andrade</t>
        </is>
      </c>
      <c r="D1033" s="38" t="inlineStr">
        <is>
          <t>Sala 2</t>
        </is>
      </c>
      <c r="E1033" s="37" t="inlineStr">
        <is>
          <t>Mariana Nascimento</t>
        </is>
      </c>
      <c r="F1033" s="38" t="inlineStr">
        <is>
          <t>Particular</t>
        </is>
      </c>
      <c r="G1033" s="38" t="inlineStr">
        <is>
          <t>ECG</t>
        </is>
      </c>
      <c r="H1033" s="38" t="inlineStr">
        <is>
          <t>Agendado</t>
        </is>
      </c>
      <c r="I1033" s="38" t="n"/>
      <c r="J1033" s="38" t="n"/>
      <c r="K1033" s="37" t="n"/>
      <c r="L1033" s="39" t="n">
        <v>20</v>
      </c>
      <c r="M1033" s="40" t="n">
        <v>130</v>
      </c>
      <c r="N1033" s="30">
        <f>IF(A1033="","",MONTH(A1033))</f>
        <v>9</v>
      </c>
      <c r="O1033" s="30">
        <f>IF(A1033="","",YEAR(A1033))</f>
        <v>2026</v>
      </c>
      <c r="P1033" s="30" t="str">
        <f>IF(A1033="","",CHOOSE(WEEKDAY(A1033,2),"Segunda","Terça","Quarta","Quinta","Sexta","Sábado","Domingo"))</f>
        <v>Segunda</v>
      </c>
      <c r="Q1033" s="30" t="str">
        <f>IF(B1033="","",IF(B1033&lt;TIME(12,0,0),"Manhã",IF(B1033&lt;TIME(18,0,0),"Tarde","Noite")))</f>
        <v>Tarde</v>
      </c>
      <c r="R1033" s="46">
        <f>IF(AND(H1033="Realizado",L1033&lt;&gt;"",A1033&lt;=Config!$B$9),L1033/60,0)</f>
        <v>0</v>
      </c>
      <c r="S1033" s="45">
        <f>IF(G1033="","",IFERROR(INDEX(Config!$K$5:$K$16,MATCH(G1033,Config!$J$5:$J$16,0)),""))</f>
        <v>20</v>
      </c>
      <c r="T1033" s="31">
        <f>IF(OR(G1033="",F1033=""),"",IFERROR(INDEX(Config!$M$5:$R$16,MATCH(G1033,Config!$J$5:$J$16,0),MATCH(F1033,Config!$H$5:$H$10,0)),""))</f>
        <v>130</v>
      </c>
      <c r="U1033" s="47">
        <f>IF(AND(H1033="Realizado",L1033&lt;&gt;""),L1033/60,0)</f>
        <v>0</v>
      </c>
      <c r="V1033" s="47">
        <f>IF(AND(H1033="Realizado",OR(L1033="",M1033="")),1,0)</f>
        <v>0</v>
      </c>
    </row>
    <row r="1034">
      <c r="A1034" s="43" t="n">
        <v>46279</v>
      </c>
      <c r="B1034" s="44" t="n">
        <v>0.6944444444444444</v>
      </c>
      <c r="C1034" s="38" t="inlineStr">
        <is>
          <t>Dr. Paulo Andrade</t>
        </is>
      </c>
      <c r="D1034" s="38" t="inlineStr">
        <is>
          <t>Sala 2</t>
        </is>
      </c>
      <c r="E1034" s="37" t="inlineStr">
        <is>
          <t>Mateus Martins</t>
        </is>
      </c>
      <c r="F1034" s="38" t="inlineStr">
        <is>
          <t>Vida Care</t>
        </is>
      </c>
      <c r="G1034" s="38" t="inlineStr">
        <is>
          <t>Retorno</t>
        </is>
      </c>
      <c r="H1034" s="38" t="inlineStr">
        <is>
          <t>Confirmado</t>
        </is>
      </c>
      <c r="I1034" s="38" t="n"/>
      <c r="J1034" s="38" t="n"/>
      <c r="K1034" s="37" t="n"/>
      <c r="L1034" s="39" t="n">
        <v>20</v>
      </c>
      <c r="M1034" s="40" t="n">
        <v>0</v>
      </c>
      <c r="N1034" s="30">
        <f>IF(A1034="","",MONTH(A1034))</f>
        <v>9</v>
      </c>
      <c r="O1034" s="30">
        <f>IF(A1034="","",YEAR(A1034))</f>
        <v>2026</v>
      </c>
      <c r="P1034" s="30" t="str">
        <f>IF(A1034="","",CHOOSE(WEEKDAY(A1034,2),"Segunda","Terça","Quarta","Quinta","Sexta","Sábado","Domingo"))</f>
        <v>Segunda</v>
      </c>
      <c r="Q1034" s="30" t="str">
        <f>IF(B1034="","",IF(B1034&lt;TIME(12,0,0),"Manhã",IF(B1034&lt;TIME(18,0,0),"Tarde","Noite")))</f>
        <v>Tarde</v>
      </c>
      <c r="R1034" s="46">
        <f>IF(AND(H1034="Realizado",L1034&lt;&gt;"",A1034&lt;=Config!$B$9),L1034/60,0)</f>
        <v>0</v>
      </c>
      <c r="S1034" s="45">
        <f>IF(G1034="","",IFERROR(INDEX(Config!$K$5:$K$16,MATCH(G1034,Config!$J$5:$J$16,0)),""))</f>
        <v>20</v>
      </c>
      <c r="T1034" s="31">
        <f>IF(OR(G1034="",F1034=""),"",IFERROR(INDEX(Config!$M$5:$R$16,MATCH(G1034,Config!$J$5:$J$16,0),MATCH(F1034,Config!$H$5:$H$10,0)),""))</f>
        <v>0</v>
      </c>
      <c r="U1034" s="47">
        <f>IF(AND(H1034="Realizado",L1034&lt;&gt;""),L1034/60,0)</f>
        <v>0</v>
      </c>
      <c r="V1034" s="47">
        <f>IF(AND(H1034="Realizado",OR(L1034="",M1034="")),1,0)</f>
        <v>0</v>
      </c>
    </row>
    <row r="1035">
      <c r="A1035" s="43" t="n">
        <v>46279</v>
      </c>
      <c r="B1035" s="44" t="n">
        <v>0.7083333333333334</v>
      </c>
      <c r="C1035" s="38" t="inlineStr">
        <is>
          <t>Dr. Paulo Andrade</t>
        </is>
      </c>
      <c r="D1035" s="38" t="inlineStr">
        <is>
          <t>Sala 2</t>
        </is>
      </c>
      <c r="E1035" s="37" t="inlineStr">
        <is>
          <t>Priscila Carvalho</t>
        </is>
      </c>
      <c r="F1035" s="38" t="inlineStr">
        <is>
          <t>Vida Care</t>
        </is>
      </c>
      <c r="G1035" s="38" t="inlineStr">
        <is>
          <t>ECG</t>
        </is>
      </c>
      <c r="H1035" s="38" t="inlineStr">
        <is>
          <t>Confirmado</t>
        </is>
      </c>
      <c r="I1035" s="38" t="n"/>
      <c r="J1035" s="38" t="n"/>
      <c r="K1035" s="37" t="n"/>
      <c r="L1035" s="39" t="n">
        <v>20</v>
      </c>
      <c r="M1035" s="40" t="n">
        <v>32</v>
      </c>
      <c r="N1035" s="30">
        <f>IF(A1035="","",MONTH(A1035))</f>
        <v>9</v>
      </c>
      <c r="O1035" s="30">
        <f>IF(A1035="","",YEAR(A1035))</f>
        <v>2026</v>
      </c>
      <c r="P1035" s="30" t="str">
        <f>IF(A1035="","",CHOOSE(WEEKDAY(A1035,2),"Segunda","Terça","Quarta","Quinta","Sexta","Sábado","Domingo"))</f>
        <v>Segunda</v>
      </c>
      <c r="Q1035" s="30" t="str">
        <f>IF(B1035="","",IF(B1035&lt;TIME(12,0,0),"Manhã",IF(B1035&lt;TIME(18,0,0),"Tarde","Noite")))</f>
        <v>Tarde</v>
      </c>
      <c r="R1035" s="46">
        <f>IF(AND(H1035="Realizado",L1035&lt;&gt;"",A1035&lt;=Config!$B$9),L1035/60,0)</f>
        <v>0</v>
      </c>
      <c r="S1035" s="45">
        <f>IF(G1035="","",IFERROR(INDEX(Config!$K$5:$K$16,MATCH(G1035,Config!$J$5:$J$16,0)),""))</f>
        <v>20</v>
      </c>
      <c r="T1035" s="31">
        <f>IF(OR(G1035="",F1035=""),"",IFERROR(INDEX(Config!$M$5:$R$16,MATCH(G1035,Config!$J$5:$J$16,0),MATCH(F1035,Config!$H$5:$H$10,0)),""))</f>
        <v>32</v>
      </c>
      <c r="U1035" s="47">
        <f>IF(AND(H1035="Realizado",L1035&lt;&gt;""),L1035/60,0)</f>
        <v>0</v>
      </c>
      <c r="V1035" s="47">
        <f>IF(AND(H1035="Realizado",OR(L1035="",M1035="")),1,0)</f>
        <v>0</v>
      </c>
    </row>
    <row r="1036">
      <c r="A1036" s="43" t="n">
        <v>46279</v>
      </c>
      <c r="B1036" s="44" t="n">
        <v>0.7222222222222222</v>
      </c>
      <c r="C1036" s="38" t="inlineStr">
        <is>
          <t>Dr. Paulo Andrade</t>
        </is>
      </c>
      <c r="D1036" s="38" t="inlineStr">
        <is>
          <t>Sala 2</t>
        </is>
      </c>
      <c r="E1036" s="37" t="inlineStr">
        <is>
          <t>Priscila Rocha</t>
        </is>
      </c>
      <c r="F1036" s="38" t="inlineStr">
        <is>
          <t>MediPlan</t>
        </is>
      </c>
      <c r="G1036" s="38" t="inlineStr">
        <is>
          <t>Consulta</t>
        </is>
      </c>
      <c r="H1036" s="38" t="inlineStr">
        <is>
          <t>Confirmado</t>
        </is>
      </c>
      <c r="I1036" s="38" t="n"/>
      <c r="J1036" s="38" t="n"/>
      <c r="K1036" s="37" t="n"/>
      <c r="L1036" s="39" t="n">
        <v>30</v>
      </c>
      <c r="M1036" s="40" t="n">
        <v>100</v>
      </c>
      <c r="N1036" s="30">
        <f>IF(A1036="","",MONTH(A1036))</f>
        <v>9</v>
      </c>
      <c r="O1036" s="30">
        <f>IF(A1036="","",YEAR(A1036))</f>
        <v>2026</v>
      </c>
      <c r="P1036" s="30" t="str">
        <f>IF(A1036="","",CHOOSE(WEEKDAY(A1036,2),"Segunda","Terça","Quarta","Quinta","Sexta","Sábado","Domingo"))</f>
        <v>Segunda</v>
      </c>
      <c r="Q1036" s="30" t="str">
        <f>IF(B1036="","",IF(B1036&lt;TIME(12,0,0),"Manhã",IF(B1036&lt;TIME(18,0,0),"Tarde","Noite")))</f>
        <v>Tarde</v>
      </c>
      <c r="R1036" s="46">
        <f>IF(AND(H1036="Realizado",L1036&lt;&gt;"",A1036&lt;=Config!$B$9),L1036/60,0)</f>
        <v>0</v>
      </c>
      <c r="S1036" s="45">
        <f>IF(G1036="","",IFERROR(INDEX(Config!$K$5:$K$16,MATCH(G1036,Config!$J$5:$J$16,0)),""))</f>
        <v>30</v>
      </c>
      <c r="T1036" s="31">
        <f>IF(OR(G1036="",F1036=""),"",IFERROR(INDEX(Config!$M$5:$R$16,MATCH(G1036,Config!$J$5:$J$16,0),MATCH(F1036,Config!$H$5:$H$10,0)),""))</f>
        <v>100</v>
      </c>
      <c r="U1036" s="47">
        <f>IF(AND(H1036="Realizado",L1036&lt;&gt;""),L1036/60,0)</f>
        <v>0</v>
      </c>
      <c r="V1036" s="47">
        <f>IF(AND(H1036="Realizado",OR(L1036="",M1036="")),1,0)</f>
        <v>0</v>
      </c>
    </row>
    <row r="1037">
      <c r="A1037" s="43" t="n">
        <v>46280</v>
      </c>
      <c r="B1037" s="44" t="n">
        <v>0.3333333333333333</v>
      </c>
      <c r="C1037" s="38" t="inlineStr">
        <is>
          <t>Dra. Carolina Mendes</t>
        </is>
      </c>
      <c r="D1037" s="38" t="inlineStr">
        <is>
          <t>Sala 1</t>
        </is>
      </c>
      <c r="E1037" s="37" t="inlineStr">
        <is>
          <t>Gustavo Ferreira</t>
        </is>
      </c>
      <c r="F1037" s="38" t="inlineStr">
        <is>
          <t>Particular</t>
        </is>
      </c>
      <c r="G1037" s="38" t="inlineStr">
        <is>
          <t>Retorno</t>
        </is>
      </c>
      <c r="H1037" s="38" t="inlineStr">
        <is>
          <t>Confirmado</t>
        </is>
      </c>
      <c r="I1037" s="38" t="n"/>
      <c r="J1037" s="38" t="n"/>
      <c r="K1037" s="37" t="n"/>
      <c r="L1037" s="39" t="n">
        <v>20</v>
      </c>
      <c r="M1037" s="40" t="n">
        <v>0</v>
      </c>
      <c r="N1037" s="30">
        <f>IF(A1037="","",MONTH(A1037))</f>
        <v>9</v>
      </c>
      <c r="O1037" s="30">
        <f>IF(A1037="","",YEAR(A1037))</f>
        <v>2026</v>
      </c>
      <c r="P1037" s="30" t="str">
        <f>IF(A1037="","",CHOOSE(WEEKDAY(A1037,2),"Segunda","Terça","Quarta","Quinta","Sexta","Sábado","Domingo"))</f>
        <v>Terça</v>
      </c>
      <c r="Q1037" s="30" t="str">
        <f>IF(B1037="","",IF(B1037&lt;TIME(12,0,0),"Manhã",IF(B1037&lt;TIME(18,0,0),"Tarde","Noite")))</f>
        <v>Manhã</v>
      </c>
      <c r="R1037" s="46">
        <f>IF(AND(H1037="Realizado",L1037&lt;&gt;"",A1037&lt;=Config!$B$9),L1037/60,0)</f>
        <v>0</v>
      </c>
      <c r="S1037" s="45">
        <f>IF(G1037="","",IFERROR(INDEX(Config!$K$5:$K$16,MATCH(G1037,Config!$J$5:$J$16,0)),""))</f>
        <v>20</v>
      </c>
      <c r="T1037" s="31">
        <f>IF(OR(G1037="",F1037=""),"",IFERROR(INDEX(Config!$M$5:$R$16,MATCH(G1037,Config!$J$5:$J$16,0),MATCH(F1037,Config!$H$5:$H$10,0)),""))</f>
        <v>0</v>
      </c>
      <c r="U1037" s="47">
        <f>IF(AND(H1037="Realizado",L1037&lt;&gt;""),L1037/60,0)</f>
        <v>0</v>
      </c>
      <c r="V1037" s="47">
        <f>IF(AND(H1037="Realizado",OR(L1037="",M1037="")),1,0)</f>
        <v>0</v>
      </c>
    </row>
    <row r="1038">
      <c r="A1038" s="43" t="n">
        <v>46280</v>
      </c>
      <c r="B1038" s="44" t="n">
        <v>0.3472222222222222</v>
      </c>
      <c r="C1038" s="38" t="inlineStr">
        <is>
          <t>Dra. Carolina Mendes</t>
        </is>
      </c>
      <c r="D1038" s="38" t="inlineStr">
        <is>
          <t>Sala 1</t>
        </is>
      </c>
      <c r="E1038" s="37" t="inlineStr">
        <is>
          <t>Mônica Teixeira</t>
        </is>
      </c>
      <c r="F1038" s="38" t="inlineStr">
        <is>
          <t>Vida Care</t>
        </is>
      </c>
      <c r="G1038" s="38" t="inlineStr">
        <is>
          <t>Consulta</t>
        </is>
      </c>
      <c r="H1038" s="38" t="inlineStr">
        <is>
          <t>Agendado</t>
        </is>
      </c>
      <c r="I1038" s="38" t="n"/>
      <c r="J1038" s="38" t="n"/>
      <c r="K1038" s="37" t="n"/>
      <c r="L1038" s="39" t="n">
        <v>30</v>
      </c>
      <c r="M1038" s="40" t="n">
        <v>90</v>
      </c>
      <c r="N1038" s="30">
        <f>IF(A1038="","",MONTH(A1038))</f>
        <v>9</v>
      </c>
      <c r="O1038" s="30">
        <f>IF(A1038="","",YEAR(A1038))</f>
        <v>2026</v>
      </c>
      <c r="P1038" s="30" t="str">
        <f>IF(A1038="","",CHOOSE(WEEKDAY(A1038,2),"Segunda","Terça","Quarta","Quinta","Sexta","Sábado","Domingo"))</f>
        <v>Terça</v>
      </c>
      <c r="Q1038" s="30" t="str">
        <f>IF(B1038="","",IF(B1038&lt;TIME(12,0,0),"Manhã",IF(B1038&lt;TIME(18,0,0),"Tarde","Noite")))</f>
        <v>Manhã</v>
      </c>
      <c r="R1038" s="46">
        <f>IF(AND(H1038="Realizado",L1038&lt;&gt;"",A1038&lt;=Config!$B$9),L1038/60,0)</f>
        <v>0</v>
      </c>
      <c r="S1038" s="45">
        <f>IF(G1038="","",IFERROR(INDEX(Config!$K$5:$K$16,MATCH(G1038,Config!$J$5:$J$16,0)),""))</f>
        <v>30</v>
      </c>
      <c r="T1038" s="31">
        <f>IF(OR(G1038="",F1038=""),"",IFERROR(INDEX(Config!$M$5:$R$16,MATCH(G1038,Config!$J$5:$J$16,0),MATCH(F1038,Config!$H$5:$H$10,0)),""))</f>
        <v>90</v>
      </c>
      <c r="U1038" s="47">
        <f>IF(AND(H1038="Realizado",L1038&lt;&gt;""),L1038/60,0)</f>
        <v>0</v>
      </c>
      <c r="V1038" s="47">
        <f>IF(AND(H1038="Realizado",OR(L1038="",M1038="")),1,0)</f>
        <v>0</v>
      </c>
    </row>
    <row r="1039">
      <c r="A1039" s="43" t="n">
        <v>46280</v>
      </c>
      <c r="B1039" s="44" t="n">
        <v>0.3680555555555556</v>
      </c>
      <c r="C1039" s="38" t="inlineStr">
        <is>
          <t>Dra. Carolina Mendes</t>
        </is>
      </c>
      <c r="D1039" s="38" t="inlineStr">
        <is>
          <t>Sala 1</t>
        </is>
      </c>
      <c r="E1039" s="37" t="inlineStr">
        <is>
          <t>Gustavo Barbosa</t>
        </is>
      </c>
      <c r="F1039" s="38" t="inlineStr">
        <is>
          <t>Saúde Total</t>
        </is>
      </c>
      <c r="G1039" s="38" t="inlineStr">
        <is>
          <t>Consulta</t>
        </is>
      </c>
      <c r="H1039" s="38" t="inlineStr">
        <is>
          <t>Agendado</t>
        </is>
      </c>
      <c r="I1039" s="38" t="n"/>
      <c r="J1039" s="38" t="n"/>
      <c r="K1039" s="37" t="n"/>
      <c r="L1039" s="39" t="n">
        <v>30</v>
      </c>
      <c r="M1039" s="40" t="n">
        <v>120</v>
      </c>
      <c r="N1039" s="30">
        <f>IF(A1039="","",MONTH(A1039))</f>
        <v>9</v>
      </c>
      <c r="O1039" s="30">
        <f>IF(A1039="","",YEAR(A1039))</f>
        <v>2026</v>
      </c>
      <c r="P1039" s="30" t="str">
        <f>IF(A1039="","",CHOOSE(WEEKDAY(A1039,2),"Segunda","Terça","Quarta","Quinta","Sexta","Sábado","Domingo"))</f>
        <v>Terça</v>
      </c>
      <c r="Q1039" s="30" t="str">
        <f>IF(B1039="","",IF(B1039&lt;TIME(12,0,0),"Manhã",IF(B1039&lt;TIME(18,0,0),"Tarde","Noite")))</f>
        <v>Manhã</v>
      </c>
      <c r="R1039" s="46">
        <f>IF(AND(H1039="Realizado",L1039&lt;&gt;"",A1039&lt;=Config!$B$9),L1039/60,0)</f>
        <v>0</v>
      </c>
      <c r="S1039" s="45">
        <f>IF(G1039="","",IFERROR(INDEX(Config!$K$5:$K$16,MATCH(G1039,Config!$J$5:$J$16,0)),""))</f>
        <v>30</v>
      </c>
      <c r="T1039" s="31">
        <f>IF(OR(G1039="",F1039=""),"",IFERROR(INDEX(Config!$M$5:$R$16,MATCH(G1039,Config!$J$5:$J$16,0),MATCH(F1039,Config!$H$5:$H$10,0)),""))</f>
        <v>120</v>
      </c>
      <c r="U1039" s="47">
        <f>IF(AND(H1039="Realizado",L1039&lt;&gt;""),L1039/60,0)</f>
        <v>0</v>
      </c>
      <c r="V1039" s="47">
        <f>IF(AND(H1039="Realizado",OR(L1039="",M1039="")),1,0)</f>
        <v>0</v>
      </c>
    </row>
    <row r="1040">
      <c r="A1040" s="43" t="n">
        <v>46280</v>
      </c>
      <c r="B1040" s="44" t="n">
        <v>0.3888888888888889</v>
      </c>
      <c r="C1040" s="38" t="inlineStr">
        <is>
          <t>Dra. Carolina Mendes</t>
        </is>
      </c>
      <c r="D1040" s="38" t="inlineStr">
        <is>
          <t>Sala 1</t>
        </is>
      </c>
      <c r="E1040" s="37" t="inlineStr">
        <is>
          <t>Otávio Nascimento</t>
        </is>
      </c>
      <c r="F1040" s="38" t="inlineStr">
        <is>
          <t>Particular</t>
        </is>
      </c>
      <c r="G1040" s="38" t="inlineStr">
        <is>
          <t>Retorno</t>
        </is>
      </c>
      <c r="H1040" s="38" t="inlineStr">
        <is>
          <t>Agendado</t>
        </is>
      </c>
      <c r="I1040" s="38" t="n"/>
      <c r="J1040" s="38" t="n"/>
      <c r="K1040" s="37" t="n"/>
      <c r="L1040" s="39" t="n">
        <v>20</v>
      </c>
      <c r="M1040" s="40" t="n">
        <v>0</v>
      </c>
      <c r="N1040" s="30">
        <f>IF(A1040="","",MONTH(A1040))</f>
        <v>9</v>
      </c>
      <c r="O1040" s="30">
        <f>IF(A1040="","",YEAR(A1040))</f>
        <v>2026</v>
      </c>
      <c r="P1040" s="30" t="str">
        <f>IF(A1040="","",CHOOSE(WEEKDAY(A1040,2),"Segunda","Terça","Quarta","Quinta","Sexta","Sábado","Domingo"))</f>
        <v>Terça</v>
      </c>
      <c r="Q1040" s="30" t="str">
        <f>IF(B1040="","",IF(B1040&lt;TIME(12,0,0),"Manhã",IF(B1040&lt;TIME(18,0,0),"Tarde","Noite")))</f>
        <v>Manhã</v>
      </c>
      <c r="R1040" s="46">
        <f>IF(AND(H1040="Realizado",L1040&lt;&gt;"",A1040&lt;=Config!$B$9),L1040/60,0)</f>
        <v>0</v>
      </c>
      <c r="S1040" s="45">
        <f>IF(G1040="","",IFERROR(INDEX(Config!$K$5:$K$16,MATCH(G1040,Config!$J$5:$J$16,0)),""))</f>
        <v>20</v>
      </c>
      <c r="T1040" s="31">
        <f>IF(OR(G1040="",F1040=""),"",IFERROR(INDEX(Config!$M$5:$R$16,MATCH(G1040,Config!$J$5:$J$16,0),MATCH(F1040,Config!$H$5:$H$10,0)),""))</f>
        <v>0</v>
      </c>
      <c r="U1040" s="47">
        <f>IF(AND(H1040="Realizado",L1040&lt;&gt;""),L1040/60,0)</f>
        <v>0</v>
      </c>
      <c r="V1040" s="47">
        <f>IF(AND(H1040="Realizado",OR(L1040="",M1040="")),1,0)</f>
        <v>0</v>
      </c>
    </row>
    <row r="1041">
      <c r="A1041" s="43" t="n">
        <v>46280</v>
      </c>
      <c r="B1041" s="44" t="n">
        <v>0.4027777777777778</v>
      </c>
      <c r="C1041" s="38" t="inlineStr">
        <is>
          <t>Dra. Carolina Mendes</t>
        </is>
      </c>
      <c r="D1041" s="38" t="inlineStr">
        <is>
          <t>Sala 1</t>
        </is>
      </c>
      <c r="E1041" s="37" t="inlineStr">
        <is>
          <t>Eduardo Nunes</t>
        </is>
      </c>
      <c r="F1041" s="38" t="inlineStr">
        <is>
          <t>MediPlan</t>
        </is>
      </c>
      <c r="G1041" s="38" t="inlineStr">
        <is>
          <t>Retorno</t>
        </is>
      </c>
      <c r="H1041" s="38" t="inlineStr">
        <is>
          <t>Confirmado</t>
        </is>
      </c>
      <c r="I1041" s="38" t="n"/>
      <c r="J1041" s="38" t="n"/>
      <c r="K1041" s="37" t="n"/>
      <c r="L1041" s="39" t="n">
        <v>20</v>
      </c>
      <c r="M1041" s="40" t="n">
        <v>0</v>
      </c>
      <c r="N1041" s="30">
        <f>IF(A1041="","",MONTH(A1041))</f>
        <v>9</v>
      </c>
      <c r="O1041" s="30">
        <f>IF(A1041="","",YEAR(A1041))</f>
        <v>2026</v>
      </c>
      <c r="P1041" s="30" t="str">
        <f>IF(A1041="","",CHOOSE(WEEKDAY(A1041,2),"Segunda","Terça","Quarta","Quinta","Sexta","Sábado","Domingo"))</f>
        <v>Terça</v>
      </c>
      <c r="Q1041" s="30" t="str">
        <f>IF(B1041="","",IF(B1041&lt;TIME(12,0,0),"Manhã",IF(B1041&lt;TIME(18,0,0),"Tarde","Noite")))</f>
        <v>Manhã</v>
      </c>
      <c r="R1041" s="46">
        <f>IF(AND(H1041="Realizado",L1041&lt;&gt;"",A1041&lt;=Config!$B$9),L1041/60,0)</f>
        <v>0</v>
      </c>
      <c r="S1041" s="45">
        <f>IF(G1041="","",IFERROR(INDEX(Config!$K$5:$K$16,MATCH(G1041,Config!$J$5:$J$16,0)),""))</f>
        <v>20</v>
      </c>
      <c r="T1041" s="31">
        <f>IF(OR(G1041="",F1041=""),"",IFERROR(INDEX(Config!$M$5:$R$16,MATCH(G1041,Config!$J$5:$J$16,0),MATCH(F1041,Config!$H$5:$H$10,0)),""))</f>
        <v>0</v>
      </c>
      <c r="U1041" s="47">
        <f>IF(AND(H1041="Realizado",L1041&lt;&gt;""),L1041/60,0)</f>
        <v>0</v>
      </c>
      <c r="V1041" s="47">
        <f>IF(AND(H1041="Realizado",OR(L1041="",M1041="")),1,0)</f>
        <v>0</v>
      </c>
    </row>
    <row r="1042">
      <c r="A1042" s="43" t="n">
        <v>46280</v>
      </c>
      <c r="B1042" s="44" t="n">
        <v>0.4166666666666667</v>
      </c>
      <c r="C1042" s="38" t="inlineStr">
        <is>
          <t>Dra. Carolina Mendes</t>
        </is>
      </c>
      <c r="D1042" s="38" t="inlineStr">
        <is>
          <t>Sala 1</t>
        </is>
      </c>
      <c r="E1042" s="37" t="inlineStr">
        <is>
          <t>Mariana Nascimento</t>
        </is>
      </c>
      <c r="F1042" s="38" t="inlineStr">
        <is>
          <t>Particular</t>
        </is>
      </c>
      <c r="G1042" s="38" t="inlineStr">
        <is>
          <t>Consulta</t>
        </is>
      </c>
      <c r="H1042" s="38" t="inlineStr">
        <is>
          <t>Confirmado</t>
        </is>
      </c>
      <c r="I1042" s="38" t="n"/>
      <c r="J1042" s="38" t="n"/>
      <c r="K1042" s="37" t="n"/>
      <c r="L1042" s="39" t="n">
        <v>30</v>
      </c>
      <c r="M1042" s="40" t="n">
        <v>380</v>
      </c>
      <c r="N1042" s="30">
        <f>IF(A1042="","",MONTH(A1042))</f>
        <v>9</v>
      </c>
      <c r="O1042" s="30">
        <f>IF(A1042="","",YEAR(A1042))</f>
        <v>2026</v>
      </c>
      <c r="P1042" s="30" t="str">
        <f>IF(A1042="","",CHOOSE(WEEKDAY(A1042,2),"Segunda","Terça","Quarta","Quinta","Sexta","Sábado","Domingo"))</f>
        <v>Terça</v>
      </c>
      <c r="Q1042" s="30" t="str">
        <f>IF(B1042="","",IF(B1042&lt;TIME(12,0,0),"Manhã",IF(B1042&lt;TIME(18,0,0),"Tarde","Noite")))</f>
        <v>Manhã</v>
      </c>
      <c r="R1042" s="46">
        <f>IF(AND(H1042="Realizado",L1042&lt;&gt;"",A1042&lt;=Config!$B$9),L1042/60,0)</f>
        <v>0</v>
      </c>
      <c r="S1042" s="45">
        <f>IF(G1042="","",IFERROR(INDEX(Config!$K$5:$K$16,MATCH(G1042,Config!$J$5:$J$16,0)),""))</f>
        <v>30</v>
      </c>
      <c r="T1042" s="31">
        <f>IF(OR(G1042="",F1042=""),"",IFERROR(INDEX(Config!$M$5:$R$16,MATCH(G1042,Config!$J$5:$J$16,0),MATCH(F1042,Config!$H$5:$H$10,0)),""))</f>
        <v>380</v>
      </c>
      <c r="U1042" s="47">
        <f>IF(AND(H1042="Realizado",L1042&lt;&gt;""),L1042/60,0)</f>
        <v>0</v>
      </c>
      <c r="V1042" s="47">
        <f>IF(AND(H1042="Realizado",OR(L1042="",M1042="")),1,0)</f>
        <v>0</v>
      </c>
    </row>
    <row r="1043">
      <c r="A1043" s="43" t="n">
        <v>46280</v>
      </c>
      <c r="B1043" s="44" t="n">
        <v>0.4375</v>
      </c>
      <c r="C1043" s="38" t="inlineStr">
        <is>
          <t>Dra. Carolina Mendes</t>
        </is>
      </c>
      <c r="D1043" s="38" t="inlineStr">
        <is>
          <t>Sala 1</t>
        </is>
      </c>
      <c r="E1043" s="37" t="inlineStr">
        <is>
          <t>Wagner Lima</t>
        </is>
      </c>
      <c r="F1043" s="38" t="inlineStr">
        <is>
          <t>Particular</t>
        </is>
      </c>
      <c r="G1043" s="38" t="inlineStr">
        <is>
          <t>Consulta</t>
        </is>
      </c>
      <c r="H1043" s="38" t="inlineStr">
        <is>
          <t>Confirmado</t>
        </is>
      </c>
      <c r="I1043" s="38" t="n"/>
      <c r="J1043" s="38" t="n"/>
      <c r="K1043" s="37" t="n"/>
      <c r="L1043" s="39" t="n">
        <v>30</v>
      </c>
      <c r="M1043" s="40" t="n">
        <v>380</v>
      </c>
      <c r="N1043" s="30">
        <f>IF(A1043="","",MONTH(A1043))</f>
        <v>9</v>
      </c>
      <c r="O1043" s="30">
        <f>IF(A1043="","",YEAR(A1043))</f>
        <v>2026</v>
      </c>
      <c r="P1043" s="30" t="str">
        <f>IF(A1043="","",CHOOSE(WEEKDAY(A1043,2),"Segunda","Terça","Quarta","Quinta","Sexta","Sábado","Domingo"))</f>
        <v>Terça</v>
      </c>
      <c r="Q1043" s="30" t="str">
        <f>IF(B1043="","",IF(B1043&lt;TIME(12,0,0),"Manhã",IF(B1043&lt;TIME(18,0,0),"Tarde","Noite")))</f>
        <v>Manhã</v>
      </c>
      <c r="R1043" s="46">
        <f>IF(AND(H1043="Realizado",L1043&lt;&gt;"",A1043&lt;=Config!$B$9),L1043/60,0)</f>
        <v>0</v>
      </c>
      <c r="S1043" s="45">
        <f>IF(G1043="","",IFERROR(INDEX(Config!$K$5:$K$16,MATCH(G1043,Config!$J$5:$J$16,0)),""))</f>
        <v>30</v>
      </c>
      <c r="T1043" s="31">
        <f>IF(OR(G1043="",F1043=""),"",IFERROR(INDEX(Config!$M$5:$R$16,MATCH(G1043,Config!$J$5:$J$16,0),MATCH(F1043,Config!$H$5:$H$10,0)),""))</f>
        <v>380</v>
      </c>
      <c r="U1043" s="47">
        <f>IF(AND(H1043="Realizado",L1043&lt;&gt;""),L1043/60,0)</f>
        <v>0</v>
      </c>
      <c r="V1043" s="47">
        <f>IF(AND(H1043="Realizado",OR(L1043="",M1043="")),1,0)</f>
        <v>0</v>
      </c>
    </row>
    <row r="1044">
      <c r="A1044" s="43" t="n">
        <v>46280</v>
      </c>
      <c r="B1044" s="44" t="n">
        <v>0.4583333333333333</v>
      </c>
      <c r="C1044" s="38" t="inlineStr">
        <is>
          <t>Dra. Carolina Mendes</t>
        </is>
      </c>
      <c r="D1044" s="38" t="inlineStr">
        <is>
          <t>Sala 1</t>
        </is>
      </c>
      <c r="E1044" s="37" t="inlineStr">
        <is>
          <t>Carlos Barros</t>
        </is>
      </c>
      <c r="F1044" s="38" t="inlineStr">
        <is>
          <t>MediPlan</t>
        </is>
      </c>
      <c r="G1044" s="38" t="inlineStr">
        <is>
          <t>Consulta</t>
        </is>
      </c>
      <c r="H1044" s="38" t="inlineStr">
        <is>
          <t>Confirmado</t>
        </is>
      </c>
      <c r="I1044" s="38" t="n"/>
      <c r="J1044" s="38" t="n"/>
      <c r="K1044" s="37" t="n"/>
      <c r="L1044" s="39" t="n">
        <v>30</v>
      </c>
      <c r="M1044" s="40" t="n">
        <v>100</v>
      </c>
      <c r="N1044" s="30">
        <f>IF(A1044="","",MONTH(A1044))</f>
        <v>9</v>
      </c>
      <c r="O1044" s="30">
        <f>IF(A1044="","",YEAR(A1044))</f>
        <v>2026</v>
      </c>
      <c r="P1044" s="30" t="str">
        <f>IF(A1044="","",CHOOSE(WEEKDAY(A1044,2),"Segunda","Terça","Quarta","Quinta","Sexta","Sábado","Domingo"))</f>
        <v>Terça</v>
      </c>
      <c r="Q1044" s="30" t="str">
        <f>IF(B1044="","",IF(B1044&lt;TIME(12,0,0),"Manhã",IF(B1044&lt;TIME(18,0,0),"Tarde","Noite")))</f>
        <v>Manhã</v>
      </c>
      <c r="R1044" s="46">
        <f>IF(AND(H1044="Realizado",L1044&lt;&gt;"",A1044&lt;=Config!$B$9),L1044/60,0)</f>
        <v>0</v>
      </c>
      <c r="S1044" s="45">
        <f>IF(G1044="","",IFERROR(INDEX(Config!$K$5:$K$16,MATCH(G1044,Config!$J$5:$J$16,0)),""))</f>
        <v>30</v>
      </c>
      <c r="T1044" s="31">
        <f>IF(OR(G1044="",F1044=""),"",IFERROR(INDEX(Config!$M$5:$R$16,MATCH(G1044,Config!$J$5:$J$16,0),MATCH(F1044,Config!$H$5:$H$10,0)),""))</f>
        <v>100</v>
      </c>
      <c r="U1044" s="47">
        <f>IF(AND(H1044="Realizado",L1044&lt;&gt;""),L1044/60,0)</f>
        <v>0</v>
      </c>
      <c r="V1044" s="47">
        <f>IF(AND(H1044="Realizado",OR(L1044="",M1044="")),1,0)</f>
        <v>0</v>
      </c>
    </row>
    <row r="1045">
      <c r="A1045" s="43" t="n">
        <v>46280</v>
      </c>
      <c r="B1045" s="44" t="n">
        <v>0.4791666666666667</v>
      </c>
      <c r="C1045" s="38" t="inlineStr">
        <is>
          <t>Dra. Carolina Mendes</t>
        </is>
      </c>
      <c r="D1045" s="38" t="inlineStr">
        <is>
          <t>Sala 1</t>
        </is>
      </c>
      <c r="E1045" s="37" t="inlineStr">
        <is>
          <t>Otávio Cardoso</t>
        </is>
      </c>
      <c r="F1045" s="38" t="inlineStr">
        <is>
          <t>Particular</t>
        </is>
      </c>
      <c r="G1045" s="38" t="inlineStr">
        <is>
          <t>Consulta</t>
        </is>
      </c>
      <c r="H1045" s="38" t="inlineStr">
        <is>
          <t>Confirmado</t>
        </is>
      </c>
      <c r="I1045" s="38" t="n"/>
      <c r="J1045" s="38" t="n"/>
      <c r="K1045" s="37" t="n"/>
      <c r="L1045" s="39" t="n">
        <v>30</v>
      </c>
      <c r="M1045" s="40" t="n">
        <v>380</v>
      </c>
      <c r="N1045" s="30">
        <f>IF(A1045="","",MONTH(A1045))</f>
        <v>9</v>
      </c>
      <c r="O1045" s="30">
        <f>IF(A1045="","",YEAR(A1045))</f>
        <v>2026</v>
      </c>
      <c r="P1045" s="30" t="str">
        <f>IF(A1045="","",CHOOSE(WEEKDAY(A1045,2),"Segunda","Terça","Quarta","Quinta","Sexta","Sábado","Domingo"))</f>
        <v>Terça</v>
      </c>
      <c r="Q1045" s="30" t="str">
        <f>IF(B1045="","",IF(B1045&lt;TIME(12,0,0),"Manhã",IF(B1045&lt;TIME(18,0,0),"Tarde","Noite")))</f>
        <v>Manhã</v>
      </c>
      <c r="R1045" s="46">
        <f>IF(AND(H1045="Realizado",L1045&lt;&gt;"",A1045&lt;=Config!$B$9),L1045/60,0)</f>
        <v>0</v>
      </c>
      <c r="S1045" s="45">
        <f>IF(G1045="","",IFERROR(INDEX(Config!$K$5:$K$16,MATCH(G1045,Config!$J$5:$J$16,0)),""))</f>
        <v>30</v>
      </c>
      <c r="T1045" s="31">
        <f>IF(OR(G1045="",F1045=""),"",IFERROR(INDEX(Config!$M$5:$R$16,MATCH(G1045,Config!$J$5:$J$16,0),MATCH(F1045,Config!$H$5:$H$10,0)),""))</f>
        <v>380</v>
      </c>
      <c r="U1045" s="47">
        <f>IF(AND(H1045="Realizado",L1045&lt;&gt;""),L1045/60,0)</f>
        <v>0</v>
      </c>
      <c r="V1045" s="47">
        <f>IF(AND(H1045="Realizado",OR(L1045="",M1045="")),1,0)</f>
        <v>0</v>
      </c>
    </row>
    <row r="1046">
      <c r="A1046" s="43" t="n">
        <v>46280</v>
      </c>
      <c r="B1046" s="44" t="n">
        <v>0.5833333333333334</v>
      </c>
      <c r="C1046" s="38" t="inlineStr">
        <is>
          <t>Dra. Renata Sousa</t>
        </is>
      </c>
      <c r="D1046" s="38" t="inlineStr">
        <is>
          <t>Sala 1</t>
        </is>
      </c>
      <c r="E1046" s="37" t="inlineStr">
        <is>
          <t>Thiago Melo</t>
        </is>
      </c>
      <c r="F1046" s="38" t="inlineStr">
        <is>
          <t>Particular</t>
        </is>
      </c>
      <c r="G1046" s="38" t="inlineStr">
        <is>
          <t>Avaliação endócrina</t>
        </is>
      </c>
      <c r="H1046" s="38" t="inlineStr">
        <is>
          <t>Confirmado</t>
        </is>
      </c>
      <c r="I1046" s="38" t="n"/>
      <c r="J1046" s="38" t="n"/>
      <c r="K1046" s="37" t="n"/>
      <c r="L1046" s="39" t="n">
        <v>40</v>
      </c>
      <c r="M1046" s="40" t="n">
        <v>400</v>
      </c>
      <c r="N1046" s="30">
        <f>IF(A1046="","",MONTH(A1046))</f>
        <v>9</v>
      </c>
      <c r="O1046" s="30">
        <f>IF(A1046="","",YEAR(A1046))</f>
        <v>2026</v>
      </c>
      <c r="P1046" s="30" t="str">
        <f>IF(A1046="","",CHOOSE(WEEKDAY(A1046,2),"Segunda","Terça","Quarta","Quinta","Sexta","Sábado","Domingo"))</f>
        <v>Terça</v>
      </c>
      <c r="Q1046" s="30" t="str">
        <f>IF(B1046="","",IF(B1046&lt;TIME(12,0,0),"Manhã",IF(B1046&lt;TIME(18,0,0),"Tarde","Noite")))</f>
        <v>Tarde</v>
      </c>
      <c r="R1046" s="46">
        <f>IF(AND(H1046="Realizado",L1046&lt;&gt;"",A1046&lt;=Config!$B$9),L1046/60,0)</f>
        <v>0</v>
      </c>
      <c r="S1046" s="45">
        <f>IF(G1046="","",IFERROR(INDEX(Config!$K$5:$K$16,MATCH(G1046,Config!$J$5:$J$16,0)),""))</f>
        <v>40</v>
      </c>
      <c r="T1046" s="31">
        <f>IF(OR(G1046="",F1046=""),"",IFERROR(INDEX(Config!$M$5:$R$16,MATCH(G1046,Config!$J$5:$J$16,0),MATCH(F1046,Config!$H$5:$H$10,0)),""))</f>
        <v>400</v>
      </c>
      <c r="U1046" s="47">
        <f>IF(AND(H1046="Realizado",L1046&lt;&gt;""),L1046/60,0)</f>
        <v>0</v>
      </c>
      <c r="V1046" s="47">
        <f>IF(AND(H1046="Realizado",OR(L1046="",M1046="")),1,0)</f>
        <v>0</v>
      </c>
    </row>
    <row r="1047">
      <c r="A1047" s="43" t="n">
        <v>46280</v>
      </c>
      <c r="B1047" s="44" t="n">
        <v>0.5833333333333334</v>
      </c>
      <c r="C1047" s="38" t="inlineStr">
        <is>
          <t>Dr. Paulo Andrade</t>
        </is>
      </c>
      <c r="D1047" s="38" t="inlineStr">
        <is>
          <t>Sala 2</t>
        </is>
      </c>
      <c r="E1047" s="37" t="inlineStr">
        <is>
          <t>Letícia Vieira</t>
        </is>
      </c>
      <c r="F1047" s="38" t="inlineStr">
        <is>
          <t>Saúde Total</t>
        </is>
      </c>
      <c r="G1047" s="38" t="inlineStr">
        <is>
          <t>ECG</t>
        </is>
      </c>
      <c r="H1047" s="38" t="inlineStr">
        <is>
          <t>Confirmado</t>
        </is>
      </c>
      <c r="I1047" s="38" t="n"/>
      <c r="J1047" s="38" t="n"/>
      <c r="K1047" s="37" t="n"/>
      <c r="L1047" s="39" t="n">
        <v>20</v>
      </c>
      <c r="M1047" s="40" t="n">
        <v>40</v>
      </c>
      <c r="N1047" s="30">
        <f>IF(A1047="","",MONTH(A1047))</f>
        <v>9</v>
      </c>
      <c r="O1047" s="30">
        <f>IF(A1047="","",YEAR(A1047))</f>
        <v>2026</v>
      </c>
      <c r="P1047" s="30" t="str">
        <f>IF(A1047="","",CHOOSE(WEEKDAY(A1047,2),"Segunda","Terça","Quarta","Quinta","Sexta","Sábado","Domingo"))</f>
        <v>Terça</v>
      </c>
      <c r="Q1047" s="30" t="str">
        <f>IF(B1047="","",IF(B1047&lt;TIME(12,0,0),"Manhã",IF(B1047&lt;TIME(18,0,0),"Tarde","Noite")))</f>
        <v>Tarde</v>
      </c>
      <c r="R1047" s="46">
        <f>IF(AND(H1047="Realizado",L1047&lt;&gt;"",A1047&lt;=Config!$B$9),L1047/60,0)</f>
        <v>0</v>
      </c>
      <c r="S1047" s="45">
        <f>IF(G1047="","",IFERROR(INDEX(Config!$K$5:$K$16,MATCH(G1047,Config!$J$5:$J$16,0)),""))</f>
        <v>20</v>
      </c>
      <c r="T1047" s="31">
        <f>IF(OR(G1047="",F1047=""),"",IFERROR(INDEX(Config!$M$5:$R$16,MATCH(G1047,Config!$J$5:$J$16,0),MATCH(F1047,Config!$H$5:$H$10,0)),""))</f>
        <v>40</v>
      </c>
      <c r="U1047" s="47">
        <f>IF(AND(H1047="Realizado",L1047&lt;&gt;""),L1047/60,0)</f>
        <v>0</v>
      </c>
      <c r="V1047" s="47">
        <f>IF(AND(H1047="Realizado",OR(L1047="",M1047="")),1,0)</f>
        <v>0</v>
      </c>
    </row>
    <row r="1048">
      <c r="A1048" s="43" t="n">
        <v>46280</v>
      </c>
      <c r="B1048" s="44" t="n">
        <v>0.5972222222222222</v>
      </c>
      <c r="C1048" s="38" t="inlineStr">
        <is>
          <t>Dr. Paulo Andrade</t>
        </is>
      </c>
      <c r="D1048" s="38" t="inlineStr">
        <is>
          <t>Sala 2</t>
        </is>
      </c>
      <c r="E1048" s="37" t="inlineStr">
        <is>
          <t>Sérgio Batista</t>
        </is>
      </c>
      <c r="F1048" s="38" t="inlineStr">
        <is>
          <t>MediPlan</t>
        </is>
      </c>
      <c r="G1048" s="38" t="inlineStr">
        <is>
          <t>ECG</t>
        </is>
      </c>
      <c r="H1048" s="38" t="inlineStr">
        <is>
          <t>Confirmado</t>
        </is>
      </c>
      <c r="I1048" s="38" t="n"/>
      <c r="J1048" s="38" t="n"/>
      <c r="K1048" s="37" t="n"/>
      <c r="L1048" s="39" t="n">
        <v>20</v>
      </c>
      <c r="M1048" s="40" t="n">
        <v>35</v>
      </c>
      <c r="N1048" s="30">
        <f>IF(A1048="","",MONTH(A1048))</f>
        <v>9</v>
      </c>
      <c r="O1048" s="30">
        <f>IF(A1048="","",YEAR(A1048))</f>
        <v>2026</v>
      </c>
      <c r="P1048" s="30" t="str">
        <f>IF(A1048="","",CHOOSE(WEEKDAY(A1048,2),"Segunda","Terça","Quarta","Quinta","Sexta","Sábado","Domingo"))</f>
        <v>Terça</v>
      </c>
      <c r="Q1048" s="30" t="str">
        <f>IF(B1048="","",IF(B1048&lt;TIME(12,0,0),"Manhã",IF(B1048&lt;TIME(18,0,0),"Tarde","Noite")))</f>
        <v>Tarde</v>
      </c>
      <c r="R1048" s="46">
        <f>IF(AND(H1048="Realizado",L1048&lt;&gt;"",A1048&lt;=Config!$B$9),L1048/60,0)</f>
        <v>0</v>
      </c>
      <c r="S1048" s="45">
        <f>IF(G1048="","",IFERROR(INDEX(Config!$K$5:$K$16,MATCH(G1048,Config!$J$5:$J$16,0)),""))</f>
        <v>20</v>
      </c>
      <c r="T1048" s="31">
        <f>IF(OR(G1048="",F1048=""),"",IFERROR(INDEX(Config!$M$5:$R$16,MATCH(G1048,Config!$J$5:$J$16,0),MATCH(F1048,Config!$H$5:$H$10,0)),""))</f>
        <v>35</v>
      </c>
      <c r="U1048" s="47">
        <f>IF(AND(H1048="Realizado",L1048&lt;&gt;""),L1048/60,0)</f>
        <v>0</v>
      </c>
      <c r="V1048" s="47">
        <f>IF(AND(H1048="Realizado",OR(L1048="",M1048="")),1,0)</f>
        <v>0</v>
      </c>
    </row>
    <row r="1049">
      <c r="A1049" s="43" t="n">
        <v>46280</v>
      </c>
      <c r="B1049" s="44" t="n">
        <v>0.6111111111111112</v>
      </c>
      <c r="C1049" s="38" t="inlineStr">
        <is>
          <t>Dra. Renata Sousa</t>
        </is>
      </c>
      <c r="D1049" s="38" t="inlineStr">
        <is>
          <t>Sala 1</t>
        </is>
      </c>
      <c r="E1049" s="37" t="inlineStr">
        <is>
          <t>Isabela Xavier</t>
        </is>
      </c>
      <c r="F1049" s="38" t="inlineStr">
        <is>
          <t>Particular</t>
        </is>
      </c>
      <c r="G1049" s="38" t="inlineStr">
        <is>
          <t>Retorno</t>
        </is>
      </c>
      <c r="H1049" s="38" t="inlineStr">
        <is>
          <t>Agendado</t>
        </is>
      </c>
      <c r="I1049" s="38" t="n"/>
      <c r="J1049" s="38" t="n"/>
      <c r="K1049" s="37" t="n"/>
      <c r="L1049" s="39" t="n">
        <v>20</v>
      </c>
      <c r="M1049" s="40" t="n">
        <v>0</v>
      </c>
      <c r="N1049" s="30">
        <f>IF(A1049="","",MONTH(A1049))</f>
        <v>9</v>
      </c>
      <c r="O1049" s="30">
        <f>IF(A1049="","",YEAR(A1049))</f>
        <v>2026</v>
      </c>
      <c r="P1049" s="30" t="str">
        <f>IF(A1049="","",CHOOSE(WEEKDAY(A1049,2),"Segunda","Terça","Quarta","Quinta","Sexta","Sábado","Domingo"))</f>
        <v>Terça</v>
      </c>
      <c r="Q1049" s="30" t="str">
        <f>IF(B1049="","",IF(B1049&lt;TIME(12,0,0),"Manhã",IF(B1049&lt;TIME(18,0,0),"Tarde","Noite")))</f>
        <v>Tarde</v>
      </c>
      <c r="R1049" s="46">
        <f>IF(AND(H1049="Realizado",L1049&lt;&gt;"",A1049&lt;=Config!$B$9),L1049/60,0)</f>
        <v>0</v>
      </c>
      <c r="S1049" s="45">
        <f>IF(G1049="","",IFERROR(INDEX(Config!$K$5:$K$16,MATCH(G1049,Config!$J$5:$J$16,0)),""))</f>
        <v>20</v>
      </c>
      <c r="T1049" s="31">
        <f>IF(OR(G1049="",F1049=""),"",IFERROR(INDEX(Config!$M$5:$R$16,MATCH(G1049,Config!$J$5:$J$16,0),MATCH(F1049,Config!$H$5:$H$10,0)),""))</f>
        <v>0</v>
      </c>
      <c r="U1049" s="47">
        <f>IF(AND(H1049="Realizado",L1049&lt;&gt;""),L1049/60,0)</f>
        <v>0</v>
      </c>
      <c r="V1049" s="47">
        <f>IF(AND(H1049="Realizado",OR(L1049="",M1049="")),1,0)</f>
        <v>0</v>
      </c>
    </row>
    <row r="1050">
      <c r="A1050" s="43" t="n">
        <v>46280</v>
      </c>
      <c r="B1050" s="44" t="n">
        <v>0.6111111111111112</v>
      </c>
      <c r="C1050" s="38" t="inlineStr">
        <is>
          <t>Dr. Paulo Andrade</t>
        </is>
      </c>
      <c r="D1050" s="38" t="inlineStr">
        <is>
          <t>Sala 2</t>
        </is>
      </c>
      <c r="E1050" s="37" t="inlineStr">
        <is>
          <t>Lucas Cardoso</t>
        </is>
      </c>
      <c r="F1050" s="38" t="inlineStr">
        <is>
          <t>Particular</t>
        </is>
      </c>
      <c r="G1050" s="38" t="inlineStr">
        <is>
          <t>Retorno</t>
        </is>
      </c>
      <c r="H1050" s="38" t="inlineStr">
        <is>
          <t>Confirmado</t>
        </is>
      </c>
      <c r="I1050" s="38" t="n"/>
      <c r="J1050" s="38" t="n"/>
      <c r="K1050" s="37" t="n"/>
      <c r="L1050" s="39" t="n">
        <v>20</v>
      </c>
      <c r="M1050" s="40" t="n">
        <v>0</v>
      </c>
      <c r="N1050" s="30">
        <f>IF(A1050="","",MONTH(A1050))</f>
        <v>9</v>
      </c>
      <c r="O1050" s="30">
        <f>IF(A1050="","",YEAR(A1050))</f>
        <v>2026</v>
      </c>
      <c r="P1050" s="30" t="str">
        <f>IF(A1050="","",CHOOSE(WEEKDAY(A1050,2),"Segunda","Terça","Quarta","Quinta","Sexta","Sábado","Domingo"))</f>
        <v>Terça</v>
      </c>
      <c r="Q1050" s="30" t="str">
        <f>IF(B1050="","",IF(B1050&lt;TIME(12,0,0),"Manhã",IF(B1050&lt;TIME(18,0,0),"Tarde","Noite")))</f>
        <v>Tarde</v>
      </c>
      <c r="R1050" s="46">
        <f>IF(AND(H1050="Realizado",L1050&lt;&gt;"",A1050&lt;=Config!$B$9),L1050/60,0)</f>
        <v>0</v>
      </c>
      <c r="S1050" s="45">
        <f>IF(G1050="","",IFERROR(INDEX(Config!$K$5:$K$16,MATCH(G1050,Config!$J$5:$J$16,0)),""))</f>
        <v>20</v>
      </c>
      <c r="T1050" s="31">
        <f>IF(OR(G1050="",F1050=""),"",IFERROR(INDEX(Config!$M$5:$R$16,MATCH(G1050,Config!$J$5:$J$16,0),MATCH(F1050,Config!$H$5:$H$10,0)),""))</f>
        <v>0</v>
      </c>
      <c r="U1050" s="47">
        <f>IF(AND(H1050="Realizado",L1050&lt;&gt;""),L1050/60,0)</f>
        <v>0</v>
      </c>
      <c r="V1050" s="47">
        <f>IF(AND(H1050="Realizado",OR(L1050="",M1050="")),1,0)</f>
        <v>0</v>
      </c>
    </row>
    <row r="1051">
      <c r="A1051" s="43" t="n">
        <v>46280</v>
      </c>
      <c r="B1051" s="44" t="n">
        <v>0.625</v>
      </c>
      <c r="C1051" s="38" t="inlineStr">
        <is>
          <t>Dra. Renata Sousa</t>
        </is>
      </c>
      <c r="D1051" s="38" t="inlineStr">
        <is>
          <t>Sala 1</t>
        </is>
      </c>
      <c r="E1051" s="37" t="inlineStr">
        <is>
          <t>Beatriz Gomes</t>
        </is>
      </c>
      <c r="F1051" s="38" t="inlineStr">
        <is>
          <t>Particular</t>
        </is>
      </c>
      <c r="G1051" s="38" t="inlineStr">
        <is>
          <t>Avaliação endócrina</t>
        </is>
      </c>
      <c r="H1051" s="38" t="inlineStr">
        <is>
          <t>Confirmado</t>
        </is>
      </c>
      <c r="I1051" s="38" t="n"/>
      <c r="J1051" s="38" t="n"/>
      <c r="K1051" s="37" t="n"/>
      <c r="L1051" s="39" t="n">
        <v>40</v>
      </c>
      <c r="M1051" s="40" t="n">
        <v>400</v>
      </c>
      <c r="N1051" s="30">
        <f>IF(A1051="","",MONTH(A1051))</f>
        <v>9</v>
      </c>
      <c r="O1051" s="30">
        <f>IF(A1051="","",YEAR(A1051))</f>
        <v>2026</v>
      </c>
      <c r="P1051" s="30" t="str">
        <f>IF(A1051="","",CHOOSE(WEEKDAY(A1051,2),"Segunda","Terça","Quarta","Quinta","Sexta","Sábado","Domingo"))</f>
        <v>Terça</v>
      </c>
      <c r="Q1051" s="30" t="str">
        <f>IF(B1051="","",IF(B1051&lt;TIME(12,0,0),"Manhã",IF(B1051&lt;TIME(18,0,0),"Tarde","Noite")))</f>
        <v>Tarde</v>
      </c>
      <c r="R1051" s="46">
        <f>IF(AND(H1051="Realizado",L1051&lt;&gt;"",A1051&lt;=Config!$B$9),L1051/60,0)</f>
        <v>0</v>
      </c>
      <c r="S1051" s="45">
        <f>IF(G1051="","",IFERROR(INDEX(Config!$K$5:$K$16,MATCH(G1051,Config!$J$5:$J$16,0)),""))</f>
        <v>40</v>
      </c>
      <c r="T1051" s="31">
        <f>IF(OR(G1051="",F1051=""),"",IFERROR(INDEX(Config!$M$5:$R$16,MATCH(G1051,Config!$J$5:$J$16,0),MATCH(F1051,Config!$H$5:$H$10,0)),""))</f>
        <v>400</v>
      </c>
      <c r="U1051" s="47">
        <f>IF(AND(H1051="Realizado",L1051&lt;&gt;""),L1051/60,0)</f>
        <v>0</v>
      </c>
      <c r="V1051" s="47">
        <f>IF(AND(H1051="Realizado",OR(L1051="",M1051="")),1,0)</f>
        <v>0</v>
      </c>
    </row>
    <row r="1052">
      <c r="A1052" s="43" t="n">
        <v>46280</v>
      </c>
      <c r="B1052" s="44" t="n">
        <v>0.625</v>
      </c>
      <c r="C1052" s="38" t="inlineStr">
        <is>
          <t>Dr. Paulo Andrade</t>
        </is>
      </c>
      <c r="D1052" s="38" t="inlineStr">
        <is>
          <t>Sala 2</t>
        </is>
      </c>
      <c r="E1052" s="37" t="inlineStr">
        <is>
          <t>Carlos Oliveira</t>
        </is>
      </c>
      <c r="F1052" s="38" t="inlineStr">
        <is>
          <t>Particular</t>
        </is>
      </c>
      <c r="G1052" s="38" t="inlineStr">
        <is>
          <t>Consulta</t>
        </is>
      </c>
      <c r="H1052" s="38" t="inlineStr">
        <is>
          <t>Confirmado</t>
        </is>
      </c>
      <c r="I1052" s="38" t="n"/>
      <c r="J1052" s="38" t="n"/>
      <c r="K1052" s="37" t="n"/>
      <c r="L1052" s="39" t="n">
        <v>30</v>
      </c>
      <c r="M1052" s="40" t="n">
        <v>380</v>
      </c>
      <c r="N1052" s="30">
        <f>IF(A1052="","",MONTH(A1052))</f>
        <v>9</v>
      </c>
      <c r="O1052" s="30">
        <f>IF(A1052="","",YEAR(A1052))</f>
        <v>2026</v>
      </c>
      <c r="P1052" s="30" t="str">
        <f>IF(A1052="","",CHOOSE(WEEKDAY(A1052,2),"Segunda","Terça","Quarta","Quinta","Sexta","Sábado","Domingo"))</f>
        <v>Terça</v>
      </c>
      <c r="Q1052" s="30" t="str">
        <f>IF(B1052="","",IF(B1052&lt;TIME(12,0,0),"Manhã",IF(B1052&lt;TIME(18,0,0),"Tarde","Noite")))</f>
        <v>Tarde</v>
      </c>
      <c r="R1052" s="46">
        <f>IF(AND(H1052="Realizado",L1052&lt;&gt;"",A1052&lt;=Config!$B$9),L1052/60,0)</f>
        <v>0</v>
      </c>
      <c r="S1052" s="45">
        <f>IF(G1052="","",IFERROR(INDEX(Config!$K$5:$K$16,MATCH(G1052,Config!$J$5:$J$16,0)),""))</f>
        <v>30</v>
      </c>
      <c r="T1052" s="31">
        <f>IF(OR(G1052="",F1052=""),"",IFERROR(INDEX(Config!$M$5:$R$16,MATCH(G1052,Config!$J$5:$J$16,0),MATCH(F1052,Config!$H$5:$H$10,0)),""))</f>
        <v>380</v>
      </c>
      <c r="U1052" s="47">
        <f>IF(AND(H1052="Realizado",L1052&lt;&gt;""),L1052/60,0)</f>
        <v>0</v>
      </c>
      <c r="V1052" s="47">
        <f>IF(AND(H1052="Realizado",OR(L1052="",M1052="")),1,0)</f>
        <v>0</v>
      </c>
    </row>
    <row r="1053">
      <c r="A1053" s="43" t="n">
        <v>46280</v>
      </c>
      <c r="B1053" s="44" t="n">
        <v>0.6458333333333334</v>
      </c>
      <c r="C1053" s="38" t="inlineStr">
        <is>
          <t>Dr. Paulo Andrade</t>
        </is>
      </c>
      <c r="D1053" s="38" t="inlineStr">
        <is>
          <t>Sala 2</t>
        </is>
      </c>
      <c r="E1053" s="37" t="inlineStr">
        <is>
          <t>Rafael Correia</t>
        </is>
      </c>
      <c r="F1053" s="38" t="inlineStr">
        <is>
          <t>Particular</t>
        </is>
      </c>
      <c r="G1053" s="38" t="inlineStr">
        <is>
          <t>Consulta</t>
        </is>
      </c>
      <c r="H1053" s="38" t="inlineStr">
        <is>
          <t>Confirmado</t>
        </is>
      </c>
      <c r="I1053" s="38" t="n"/>
      <c r="J1053" s="38" t="n"/>
      <c r="K1053" s="37" t="n"/>
      <c r="L1053" s="39" t="n">
        <v>30</v>
      </c>
      <c r="M1053" s="40" t="n">
        <v>380</v>
      </c>
      <c r="N1053" s="30">
        <f>IF(A1053="","",MONTH(A1053))</f>
        <v>9</v>
      </c>
      <c r="O1053" s="30">
        <f>IF(A1053="","",YEAR(A1053))</f>
        <v>2026</v>
      </c>
      <c r="P1053" s="30" t="str">
        <f>IF(A1053="","",CHOOSE(WEEKDAY(A1053,2),"Segunda","Terça","Quarta","Quinta","Sexta","Sábado","Domingo"))</f>
        <v>Terça</v>
      </c>
      <c r="Q1053" s="30" t="str">
        <f>IF(B1053="","",IF(B1053&lt;TIME(12,0,0),"Manhã",IF(B1053&lt;TIME(18,0,0),"Tarde","Noite")))</f>
        <v>Tarde</v>
      </c>
      <c r="R1053" s="46">
        <f>IF(AND(H1053="Realizado",L1053&lt;&gt;"",A1053&lt;=Config!$B$9),L1053/60,0)</f>
        <v>0</v>
      </c>
      <c r="S1053" s="45">
        <f>IF(G1053="","",IFERROR(INDEX(Config!$K$5:$K$16,MATCH(G1053,Config!$J$5:$J$16,0)),""))</f>
        <v>30</v>
      </c>
      <c r="T1053" s="31">
        <f>IF(OR(G1053="",F1053=""),"",IFERROR(INDEX(Config!$M$5:$R$16,MATCH(G1053,Config!$J$5:$J$16,0),MATCH(F1053,Config!$H$5:$H$10,0)),""))</f>
        <v>380</v>
      </c>
      <c r="U1053" s="47">
        <f>IF(AND(H1053="Realizado",L1053&lt;&gt;""),L1053/60,0)</f>
        <v>0</v>
      </c>
      <c r="V1053" s="47">
        <f>IF(AND(H1053="Realizado",OR(L1053="",M1053="")),1,0)</f>
        <v>0</v>
      </c>
    </row>
    <row r="1054">
      <c r="A1054" s="43" t="n">
        <v>46280</v>
      </c>
      <c r="B1054" s="44" t="n">
        <v>0.6527777777777778</v>
      </c>
      <c r="C1054" s="38" t="inlineStr">
        <is>
          <t>Dra. Renata Sousa</t>
        </is>
      </c>
      <c r="D1054" s="38" t="inlineStr">
        <is>
          <t>Sala 1</t>
        </is>
      </c>
      <c r="E1054" s="37" t="inlineStr">
        <is>
          <t>Fábio Gomes</t>
        </is>
      </c>
      <c r="F1054" s="38" t="inlineStr">
        <is>
          <t>Particular</t>
        </is>
      </c>
      <c r="G1054" s="38" t="inlineStr">
        <is>
          <t>Avaliação endócrina</t>
        </is>
      </c>
      <c r="H1054" s="38" t="inlineStr">
        <is>
          <t>Agendado</t>
        </is>
      </c>
      <c r="I1054" s="38" t="n"/>
      <c r="J1054" s="38" t="n"/>
      <c r="K1054" s="37" t="n"/>
      <c r="L1054" s="39" t="n">
        <v>40</v>
      </c>
      <c r="M1054" s="40" t="n">
        <v>400</v>
      </c>
      <c r="N1054" s="30">
        <f>IF(A1054="","",MONTH(A1054))</f>
        <v>9</v>
      </c>
      <c r="O1054" s="30">
        <f>IF(A1054="","",YEAR(A1054))</f>
        <v>2026</v>
      </c>
      <c r="P1054" s="30" t="str">
        <f>IF(A1054="","",CHOOSE(WEEKDAY(A1054,2),"Segunda","Terça","Quarta","Quinta","Sexta","Sábado","Domingo"))</f>
        <v>Terça</v>
      </c>
      <c r="Q1054" s="30" t="str">
        <f>IF(B1054="","",IF(B1054&lt;TIME(12,0,0),"Manhã",IF(B1054&lt;TIME(18,0,0),"Tarde","Noite")))</f>
        <v>Tarde</v>
      </c>
      <c r="R1054" s="46">
        <f>IF(AND(H1054="Realizado",L1054&lt;&gt;"",A1054&lt;=Config!$B$9),L1054/60,0)</f>
        <v>0</v>
      </c>
      <c r="S1054" s="45">
        <f>IF(G1054="","",IFERROR(INDEX(Config!$K$5:$K$16,MATCH(G1054,Config!$J$5:$J$16,0)),""))</f>
        <v>40</v>
      </c>
      <c r="T1054" s="31">
        <f>IF(OR(G1054="",F1054=""),"",IFERROR(INDEX(Config!$M$5:$R$16,MATCH(G1054,Config!$J$5:$J$16,0),MATCH(F1054,Config!$H$5:$H$10,0)),""))</f>
        <v>400</v>
      </c>
      <c r="U1054" s="47">
        <f>IF(AND(H1054="Realizado",L1054&lt;&gt;""),L1054/60,0)</f>
        <v>0</v>
      </c>
      <c r="V1054" s="47">
        <f>IF(AND(H1054="Realizado",OR(L1054="",M1054="")),1,0)</f>
        <v>0</v>
      </c>
    </row>
    <row r="1055">
      <c r="A1055" s="43" t="n">
        <v>46280</v>
      </c>
      <c r="B1055" s="44" t="n">
        <v>0.6666666666666666</v>
      </c>
      <c r="C1055" s="38" t="inlineStr">
        <is>
          <t>Dr. Paulo Andrade</t>
        </is>
      </c>
      <c r="D1055" s="38" t="inlineStr">
        <is>
          <t>Sala 2</t>
        </is>
      </c>
      <c r="E1055" s="37" t="inlineStr">
        <is>
          <t>Carlos Barros</t>
        </is>
      </c>
      <c r="F1055" s="38" t="inlineStr">
        <is>
          <t>MediPlan</t>
        </is>
      </c>
      <c r="G1055" s="38" t="inlineStr">
        <is>
          <t>ECG</t>
        </is>
      </c>
      <c r="H1055" s="38" t="inlineStr">
        <is>
          <t>Confirmado</t>
        </is>
      </c>
      <c r="I1055" s="38" t="n"/>
      <c r="J1055" s="38" t="n"/>
      <c r="K1055" s="37" t="n"/>
      <c r="L1055" s="39" t="n">
        <v>20</v>
      </c>
      <c r="M1055" s="40" t="n">
        <v>35</v>
      </c>
      <c r="N1055" s="30">
        <f>IF(A1055="","",MONTH(A1055))</f>
        <v>9</v>
      </c>
      <c r="O1055" s="30">
        <f>IF(A1055="","",YEAR(A1055))</f>
        <v>2026</v>
      </c>
      <c r="P1055" s="30" t="str">
        <f>IF(A1055="","",CHOOSE(WEEKDAY(A1055,2),"Segunda","Terça","Quarta","Quinta","Sexta","Sábado","Domingo"))</f>
        <v>Terça</v>
      </c>
      <c r="Q1055" s="30" t="str">
        <f>IF(B1055="","",IF(B1055&lt;TIME(12,0,0),"Manhã",IF(B1055&lt;TIME(18,0,0),"Tarde","Noite")))</f>
        <v>Tarde</v>
      </c>
      <c r="R1055" s="46">
        <f>IF(AND(H1055="Realizado",L1055&lt;&gt;"",A1055&lt;=Config!$B$9),L1055/60,0)</f>
        <v>0</v>
      </c>
      <c r="S1055" s="45">
        <f>IF(G1055="","",IFERROR(INDEX(Config!$K$5:$K$16,MATCH(G1055,Config!$J$5:$J$16,0)),""))</f>
        <v>20</v>
      </c>
      <c r="T1055" s="31">
        <f>IF(OR(G1055="",F1055=""),"",IFERROR(INDEX(Config!$M$5:$R$16,MATCH(G1055,Config!$J$5:$J$16,0),MATCH(F1055,Config!$H$5:$H$10,0)),""))</f>
        <v>35</v>
      </c>
      <c r="U1055" s="47">
        <f>IF(AND(H1055="Realizado",L1055&lt;&gt;""),L1055/60,0)</f>
        <v>0</v>
      </c>
      <c r="V1055" s="47">
        <f>IF(AND(H1055="Realizado",OR(L1055="",M1055="")),1,0)</f>
        <v>0</v>
      </c>
    </row>
    <row r="1056">
      <c r="A1056" s="43" t="n">
        <v>46280</v>
      </c>
      <c r="B1056" s="44" t="n">
        <v>0.6805555555555556</v>
      </c>
      <c r="C1056" s="38" t="inlineStr">
        <is>
          <t>Dr. Paulo Andrade</t>
        </is>
      </c>
      <c r="D1056" s="38" t="inlineStr">
        <is>
          <t>Sala 2</t>
        </is>
      </c>
      <c r="E1056" s="37" t="inlineStr">
        <is>
          <t>Priscila Castro</t>
        </is>
      </c>
      <c r="F1056" s="38" t="inlineStr">
        <is>
          <t>Saúde Total</t>
        </is>
      </c>
      <c r="G1056" s="38" t="inlineStr">
        <is>
          <t>Teste ergométrico</t>
        </is>
      </c>
      <c r="H1056" s="38" t="inlineStr">
        <is>
          <t>Confirmado</t>
        </is>
      </c>
      <c r="I1056" s="38" t="n"/>
      <c r="J1056" s="38" t="n"/>
      <c r="K1056" s="37" t="n"/>
      <c r="L1056" s="39" t="n">
        <v>40</v>
      </c>
      <c r="M1056" s="40" t="n">
        <v>140</v>
      </c>
      <c r="N1056" s="30">
        <f>IF(A1056="","",MONTH(A1056))</f>
        <v>9</v>
      </c>
      <c r="O1056" s="30">
        <f>IF(A1056="","",YEAR(A1056))</f>
        <v>2026</v>
      </c>
      <c r="P1056" s="30" t="str">
        <f>IF(A1056="","",CHOOSE(WEEKDAY(A1056,2),"Segunda","Terça","Quarta","Quinta","Sexta","Sábado","Domingo"))</f>
        <v>Terça</v>
      </c>
      <c r="Q1056" s="30" t="str">
        <f>IF(B1056="","",IF(B1056&lt;TIME(12,0,0),"Manhã",IF(B1056&lt;TIME(18,0,0),"Tarde","Noite")))</f>
        <v>Tarde</v>
      </c>
      <c r="R1056" s="46">
        <f>IF(AND(H1056="Realizado",L1056&lt;&gt;"",A1056&lt;=Config!$B$9),L1056/60,0)</f>
        <v>0</v>
      </c>
      <c r="S1056" s="45">
        <f>IF(G1056="","",IFERROR(INDEX(Config!$K$5:$K$16,MATCH(G1056,Config!$J$5:$J$16,0)),""))</f>
        <v>40</v>
      </c>
      <c r="T1056" s="31">
        <f>IF(OR(G1056="",F1056=""),"",IFERROR(INDEX(Config!$M$5:$R$16,MATCH(G1056,Config!$J$5:$J$16,0),MATCH(F1056,Config!$H$5:$H$10,0)),""))</f>
        <v>140</v>
      </c>
      <c r="U1056" s="47">
        <f>IF(AND(H1056="Realizado",L1056&lt;&gt;""),L1056/60,0)</f>
        <v>0</v>
      </c>
      <c r="V1056" s="47">
        <f>IF(AND(H1056="Realizado",OR(L1056="",M1056="")),1,0)</f>
        <v>0</v>
      </c>
    </row>
    <row r="1057">
      <c r="A1057" s="43" t="n">
        <v>46280</v>
      </c>
      <c r="B1057" s="44" t="n">
        <v>0.7013888888888888</v>
      </c>
      <c r="C1057" s="38" t="inlineStr">
        <is>
          <t>Dra. Renata Sousa</t>
        </is>
      </c>
      <c r="D1057" s="38" t="inlineStr">
        <is>
          <t>Sala 1</t>
        </is>
      </c>
      <c r="E1057" s="37" t="inlineStr">
        <is>
          <t>Gabriel Reis</t>
        </is>
      </c>
      <c r="F1057" s="38" t="inlineStr">
        <is>
          <t>Particular</t>
        </is>
      </c>
      <c r="G1057" s="38" t="inlineStr">
        <is>
          <t>Avaliação endócrina</t>
        </is>
      </c>
      <c r="H1057" s="38" t="inlineStr">
        <is>
          <t>Confirmado</t>
        </is>
      </c>
      <c r="I1057" s="38" t="n"/>
      <c r="J1057" s="38" t="n"/>
      <c r="K1057" s="37" t="n"/>
      <c r="L1057" s="39" t="n">
        <v>40</v>
      </c>
      <c r="M1057" s="40" t="n">
        <v>400</v>
      </c>
      <c r="N1057" s="30">
        <f>IF(A1057="","",MONTH(A1057))</f>
        <v>9</v>
      </c>
      <c r="O1057" s="30">
        <f>IF(A1057="","",YEAR(A1057))</f>
        <v>2026</v>
      </c>
      <c r="P1057" s="30" t="str">
        <f>IF(A1057="","",CHOOSE(WEEKDAY(A1057,2),"Segunda","Terça","Quarta","Quinta","Sexta","Sábado","Domingo"))</f>
        <v>Terça</v>
      </c>
      <c r="Q1057" s="30" t="str">
        <f>IF(B1057="","",IF(B1057&lt;TIME(12,0,0),"Manhã",IF(B1057&lt;TIME(18,0,0),"Tarde","Noite")))</f>
        <v>Tarde</v>
      </c>
      <c r="R1057" s="46">
        <f>IF(AND(H1057="Realizado",L1057&lt;&gt;"",A1057&lt;=Config!$B$9),L1057/60,0)</f>
        <v>0</v>
      </c>
      <c r="S1057" s="45">
        <f>IF(G1057="","",IFERROR(INDEX(Config!$K$5:$K$16,MATCH(G1057,Config!$J$5:$J$16,0)),""))</f>
        <v>40</v>
      </c>
      <c r="T1057" s="31">
        <f>IF(OR(G1057="",F1057=""),"",IFERROR(INDEX(Config!$M$5:$R$16,MATCH(G1057,Config!$J$5:$J$16,0),MATCH(F1057,Config!$H$5:$H$10,0)),""))</f>
        <v>400</v>
      </c>
      <c r="U1057" s="47">
        <f>IF(AND(H1057="Realizado",L1057&lt;&gt;""),L1057/60,0)</f>
        <v>0</v>
      </c>
      <c r="V1057" s="47">
        <f>IF(AND(H1057="Realizado",OR(L1057="",M1057="")),1,0)</f>
        <v>0</v>
      </c>
    </row>
    <row r="1058">
      <c r="A1058" s="43" t="n">
        <v>46280</v>
      </c>
      <c r="B1058" s="44" t="n">
        <v>0.7291666666666666</v>
      </c>
      <c r="C1058" s="38" t="inlineStr">
        <is>
          <t>Dra. Renata Sousa</t>
        </is>
      </c>
      <c r="D1058" s="38" t="inlineStr">
        <is>
          <t>Sala 1</t>
        </is>
      </c>
      <c r="E1058" s="37" t="inlineStr">
        <is>
          <t>Gabriel Lopes</t>
        </is>
      </c>
      <c r="F1058" s="38" t="inlineStr">
        <is>
          <t>Saúde Total</t>
        </is>
      </c>
      <c r="G1058" s="38" t="inlineStr">
        <is>
          <t>Avaliação endócrina</t>
        </is>
      </c>
      <c r="H1058" s="38" t="inlineStr">
        <is>
          <t>Confirmado</t>
        </is>
      </c>
      <c r="I1058" s="38" t="n"/>
      <c r="J1058" s="38" t="n"/>
      <c r="K1058" s="37" t="n"/>
      <c r="L1058" s="39" t="n">
        <v>40</v>
      </c>
      <c r="M1058" s="40" t="n">
        <v>130</v>
      </c>
      <c r="N1058" s="30">
        <f>IF(A1058="","",MONTH(A1058))</f>
        <v>9</v>
      </c>
      <c r="O1058" s="30">
        <f>IF(A1058="","",YEAR(A1058))</f>
        <v>2026</v>
      </c>
      <c r="P1058" s="30" t="str">
        <f>IF(A1058="","",CHOOSE(WEEKDAY(A1058,2),"Segunda","Terça","Quarta","Quinta","Sexta","Sábado","Domingo"))</f>
        <v>Terça</v>
      </c>
      <c r="Q1058" s="30" t="str">
        <f>IF(B1058="","",IF(B1058&lt;TIME(12,0,0),"Manhã",IF(B1058&lt;TIME(18,0,0),"Tarde","Noite")))</f>
        <v>Tarde</v>
      </c>
      <c r="R1058" s="46">
        <f>IF(AND(H1058="Realizado",L1058&lt;&gt;"",A1058&lt;=Config!$B$9),L1058/60,0)</f>
        <v>0</v>
      </c>
      <c r="S1058" s="45">
        <f>IF(G1058="","",IFERROR(INDEX(Config!$K$5:$K$16,MATCH(G1058,Config!$J$5:$J$16,0)),""))</f>
        <v>40</v>
      </c>
      <c r="T1058" s="31">
        <f>IF(OR(G1058="",F1058=""),"",IFERROR(INDEX(Config!$M$5:$R$16,MATCH(G1058,Config!$J$5:$J$16,0),MATCH(F1058,Config!$H$5:$H$10,0)),""))</f>
        <v>130</v>
      </c>
      <c r="U1058" s="47">
        <f>IF(AND(H1058="Realizado",L1058&lt;&gt;""),L1058/60,0)</f>
        <v>0</v>
      </c>
      <c r="V1058" s="47">
        <f>IF(AND(H1058="Realizado",OR(L1058="",M1058="")),1,0)</f>
        <v>0</v>
      </c>
    </row>
    <row r="1059">
      <c r="A1059" s="43" t="n">
        <v>46281</v>
      </c>
      <c r="B1059" s="44" t="n">
        <v>0.5833333333333334</v>
      </c>
      <c r="C1059" s="38" t="inlineStr">
        <is>
          <t>Dra. Carolina Mendes</t>
        </is>
      </c>
      <c r="D1059" s="38" t="inlineStr">
        <is>
          <t>Sala 1</t>
        </is>
      </c>
      <c r="E1059" s="37" t="inlineStr">
        <is>
          <t>Rafael Dias</t>
        </is>
      </c>
      <c r="F1059" s="38" t="inlineStr">
        <is>
          <t>Particular</t>
        </is>
      </c>
      <c r="G1059" s="38" t="inlineStr">
        <is>
          <t>Retorno</t>
        </is>
      </c>
      <c r="H1059" s="38" t="inlineStr">
        <is>
          <t>Confirmado</t>
        </is>
      </c>
      <c r="I1059" s="38" t="n"/>
      <c r="J1059" s="38" t="n"/>
      <c r="K1059" s="37" t="n"/>
      <c r="L1059" s="39" t="n">
        <v>20</v>
      </c>
      <c r="M1059" s="40" t="n">
        <v>0</v>
      </c>
      <c r="N1059" s="30">
        <f>IF(A1059="","",MONTH(A1059))</f>
        <v>9</v>
      </c>
      <c r="O1059" s="30">
        <f>IF(A1059="","",YEAR(A1059))</f>
        <v>2026</v>
      </c>
      <c r="P1059" s="30" t="str">
        <f>IF(A1059="","",CHOOSE(WEEKDAY(A1059,2),"Segunda","Terça","Quarta","Quinta","Sexta","Sábado","Domingo"))</f>
        <v>Quarta</v>
      </c>
      <c r="Q1059" s="30" t="str">
        <f>IF(B1059="","",IF(B1059&lt;TIME(12,0,0),"Manhã",IF(B1059&lt;TIME(18,0,0),"Tarde","Noite")))</f>
        <v>Tarde</v>
      </c>
      <c r="R1059" s="46">
        <f>IF(AND(H1059="Realizado",L1059&lt;&gt;"",A1059&lt;=Config!$B$9),L1059/60,0)</f>
        <v>0</v>
      </c>
      <c r="S1059" s="45">
        <f>IF(G1059="","",IFERROR(INDEX(Config!$K$5:$K$16,MATCH(G1059,Config!$J$5:$J$16,0)),""))</f>
        <v>20</v>
      </c>
      <c r="T1059" s="31">
        <f>IF(OR(G1059="",F1059=""),"",IFERROR(INDEX(Config!$M$5:$R$16,MATCH(G1059,Config!$J$5:$J$16,0),MATCH(F1059,Config!$H$5:$H$10,0)),""))</f>
        <v>0</v>
      </c>
      <c r="U1059" s="47">
        <f>IF(AND(H1059="Realizado",L1059&lt;&gt;""),L1059/60,0)</f>
        <v>0</v>
      </c>
      <c r="V1059" s="47">
        <f>IF(AND(H1059="Realizado",OR(L1059="",M1059="")),1,0)</f>
        <v>0</v>
      </c>
    </row>
    <row r="1060">
      <c r="A1060" s="43" t="n">
        <v>46281</v>
      </c>
      <c r="B1060" s="44" t="n">
        <v>0.6180555555555556</v>
      </c>
      <c r="C1060" s="38" t="inlineStr">
        <is>
          <t>Dra. Carolina Mendes</t>
        </is>
      </c>
      <c r="D1060" s="38" t="inlineStr">
        <is>
          <t>Sala 1</t>
        </is>
      </c>
      <c r="E1060" s="37" t="inlineStr">
        <is>
          <t>Sandra Barros</t>
        </is>
      </c>
      <c r="F1060" s="38" t="inlineStr">
        <is>
          <t>Saúde Total</t>
        </is>
      </c>
      <c r="G1060" s="38" t="inlineStr">
        <is>
          <t>Consulta</t>
        </is>
      </c>
      <c r="H1060" s="38" t="inlineStr">
        <is>
          <t>Confirmado</t>
        </is>
      </c>
      <c r="I1060" s="38" t="n"/>
      <c r="J1060" s="38" t="n"/>
      <c r="K1060" s="37" t="n"/>
      <c r="L1060" s="39" t="n">
        <v>30</v>
      </c>
      <c r="M1060" s="40" t="n">
        <v>120</v>
      </c>
      <c r="N1060" s="30">
        <f>IF(A1060="","",MONTH(A1060))</f>
        <v>9</v>
      </c>
      <c r="O1060" s="30">
        <f>IF(A1060="","",YEAR(A1060))</f>
        <v>2026</v>
      </c>
      <c r="P1060" s="30" t="str">
        <f>IF(A1060="","",CHOOSE(WEEKDAY(A1060,2),"Segunda","Terça","Quarta","Quinta","Sexta","Sábado","Domingo"))</f>
        <v>Quarta</v>
      </c>
      <c r="Q1060" s="30" t="str">
        <f>IF(B1060="","",IF(B1060&lt;TIME(12,0,0),"Manhã",IF(B1060&lt;TIME(18,0,0),"Tarde","Noite")))</f>
        <v>Tarde</v>
      </c>
      <c r="R1060" s="46">
        <f>IF(AND(H1060="Realizado",L1060&lt;&gt;"",A1060&lt;=Config!$B$9),L1060/60,0)</f>
        <v>0</v>
      </c>
      <c r="S1060" s="45">
        <f>IF(G1060="","",IFERROR(INDEX(Config!$K$5:$K$16,MATCH(G1060,Config!$J$5:$J$16,0)),""))</f>
        <v>30</v>
      </c>
      <c r="T1060" s="31">
        <f>IF(OR(G1060="",F1060=""),"",IFERROR(INDEX(Config!$M$5:$R$16,MATCH(G1060,Config!$J$5:$J$16,0),MATCH(F1060,Config!$H$5:$H$10,0)),""))</f>
        <v>120</v>
      </c>
      <c r="U1060" s="47">
        <f>IF(AND(H1060="Realizado",L1060&lt;&gt;""),L1060/60,0)</f>
        <v>0</v>
      </c>
      <c r="V1060" s="47">
        <f>IF(AND(H1060="Realizado",OR(L1060="",M1060="")),1,0)</f>
        <v>0</v>
      </c>
    </row>
    <row r="1061">
      <c r="A1061" s="43" t="n">
        <v>46281</v>
      </c>
      <c r="B1061" s="44" t="n">
        <v>0.6388888888888888</v>
      </c>
      <c r="C1061" s="38" t="inlineStr">
        <is>
          <t>Dra. Carolina Mendes</t>
        </is>
      </c>
      <c r="D1061" s="38" t="inlineStr">
        <is>
          <t>Sala 1</t>
        </is>
      </c>
      <c r="E1061" s="37" t="inlineStr">
        <is>
          <t>Cláudia Santos</t>
        </is>
      </c>
      <c r="F1061" s="38" t="inlineStr">
        <is>
          <t>Particular</t>
        </is>
      </c>
      <c r="G1061" s="38" t="inlineStr">
        <is>
          <t>Consulta</t>
        </is>
      </c>
      <c r="H1061" s="38" t="inlineStr">
        <is>
          <t>Agendado</t>
        </is>
      </c>
      <c r="I1061" s="38" t="n"/>
      <c r="J1061" s="38" t="n"/>
      <c r="K1061" s="37" t="n"/>
      <c r="L1061" s="39" t="n">
        <v>30</v>
      </c>
      <c r="M1061" s="40" t="n">
        <v>380</v>
      </c>
      <c r="N1061" s="30">
        <f>IF(A1061="","",MONTH(A1061))</f>
        <v>9</v>
      </c>
      <c r="O1061" s="30">
        <f>IF(A1061="","",YEAR(A1061))</f>
        <v>2026</v>
      </c>
      <c r="P1061" s="30" t="str">
        <f>IF(A1061="","",CHOOSE(WEEKDAY(A1061,2),"Segunda","Terça","Quarta","Quinta","Sexta","Sábado","Domingo"))</f>
        <v>Quarta</v>
      </c>
      <c r="Q1061" s="30" t="str">
        <f>IF(B1061="","",IF(B1061&lt;TIME(12,0,0),"Manhã",IF(B1061&lt;TIME(18,0,0),"Tarde","Noite")))</f>
        <v>Tarde</v>
      </c>
      <c r="R1061" s="46">
        <f>IF(AND(H1061="Realizado",L1061&lt;&gt;"",A1061&lt;=Config!$B$9),L1061/60,0)</f>
        <v>0</v>
      </c>
      <c r="S1061" s="45">
        <f>IF(G1061="","",IFERROR(INDEX(Config!$K$5:$K$16,MATCH(G1061,Config!$J$5:$J$16,0)),""))</f>
        <v>30</v>
      </c>
      <c r="T1061" s="31">
        <f>IF(OR(G1061="",F1061=""),"",IFERROR(INDEX(Config!$M$5:$R$16,MATCH(G1061,Config!$J$5:$J$16,0),MATCH(F1061,Config!$H$5:$H$10,0)),""))</f>
        <v>380</v>
      </c>
      <c r="U1061" s="47">
        <f>IF(AND(H1061="Realizado",L1061&lt;&gt;""),L1061/60,0)</f>
        <v>0</v>
      </c>
      <c r="V1061" s="47">
        <f>IF(AND(H1061="Realizado",OR(L1061="",M1061="")),1,0)</f>
        <v>0</v>
      </c>
    </row>
    <row r="1062">
      <c r="A1062" s="43" t="n">
        <v>46281</v>
      </c>
      <c r="B1062" s="44" t="n">
        <v>0.6597222222222222</v>
      </c>
      <c r="C1062" s="38" t="inlineStr">
        <is>
          <t>Dra. Carolina Mendes</t>
        </is>
      </c>
      <c r="D1062" s="38" t="inlineStr">
        <is>
          <t>Sala 1</t>
        </is>
      </c>
      <c r="E1062" s="37" t="inlineStr">
        <is>
          <t>Simone Monteiro</t>
        </is>
      </c>
      <c r="F1062" s="38" t="inlineStr">
        <is>
          <t>Vida Care</t>
        </is>
      </c>
      <c r="G1062" s="38" t="inlineStr">
        <is>
          <t>Consulta</t>
        </is>
      </c>
      <c r="H1062" s="38" t="inlineStr">
        <is>
          <t>Agendado</t>
        </is>
      </c>
      <c r="I1062" s="38" t="n"/>
      <c r="J1062" s="38" t="n"/>
      <c r="K1062" s="37" t="n"/>
      <c r="L1062" s="39" t="n">
        <v>30</v>
      </c>
      <c r="M1062" s="40" t="n">
        <v>90</v>
      </c>
      <c r="N1062" s="30">
        <f>IF(A1062="","",MONTH(A1062))</f>
        <v>9</v>
      </c>
      <c r="O1062" s="30">
        <f>IF(A1062="","",YEAR(A1062))</f>
        <v>2026</v>
      </c>
      <c r="P1062" s="30" t="str">
        <f>IF(A1062="","",CHOOSE(WEEKDAY(A1062,2),"Segunda","Terça","Quarta","Quinta","Sexta","Sábado","Domingo"))</f>
        <v>Quarta</v>
      </c>
      <c r="Q1062" s="30" t="str">
        <f>IF(B1062="","",IF(B1062&lt;TIME(12,0,0),"Manhã",IF(B1062&lt;TIME(18,0,0),"Tarde","Noite")))</f>
        <v>Tarde</v>
      </c>
      <c r="R1062" s="46">
        <f>IF(AND(H1062="Realizado",L1062&lt;&gt;"",A1062&lt;=Config!$B$9),L1062/60,0)</f>
        <v>0</v>
      </c>
      <c r="S1062" s="45">
        <f>IF(G1062="","",IFERROR(INDEX(Config!$K$5:$K$16,MATCH(G1062,Config!$J$5:$J$16,0)),""))</f>
        <v>30</v>
      </c>
      <c r="T1062" s="31">
        <f>IF(OR(G1062="",F1062=""),"",IFERROR(INDEX(Config!$M$5:$R$16,MATCH(G1062,Config!$J$5:$J$16,0),MATCH(F1062,Config!$H$5:$H$10,0)),""))</f>
        <v>90</v>
      </c>
      <c r="U1062" s="47">
        <f>IF(AND(H1062="Realizado",L1062&lt;&gt;""),L1062/60,0)</f>
        <v>0</v>
      </c>
      <c r="V1062" s="47">
        <f>IF(AND(H1062="Realizado",OR(L1062="",M1062="")),1,0)</f>
        <v>0</v>
      </c>
    </row>
    <row r="1063">
      <c r="A1063" s="43" t="n">
        <v>46281</v>
      </c>
      <c r="B1063" s="44" t="n">
        <v>0.6805555555555556</v>
      </c>
      <c r="C1063" s="38" t="inlineStr">
        <is>
          <t>Dra. Carolina Mendes</t>
        </is>
      </c>
      <c r="D1063" s="38" t="inlineStr">
        <is>
          <t>Sala 1</t>
        </is>
      </c>
      <c r="E1063" s="37" t="inlineStr">
        <is>
          <t>Mônica Teixeira</t>
        </is>
      </c>
      <c r="F1063" s="38" t="inlineStr">
        <is>
          <t>Vida Care</t>
        </is>
      </c>
      <c r="G1063" s="38" t="inlineStr">
        <is>
          <t>Retorno</t>
        </is>
      </c>
      <c r="H1063" s="38" t="inlineStr">
        <is>
          <t>Confirmado</t>
        </is>
      </c>
      <c r="I1063" s="38" t="n"/>
      <c r="J1063" s="38" t="n"/>
      <c r="K1063" s="37" t="n"/>
      <c r="L1063" s="39" t="n">
        <v>20</v>
      </c>
      <c r="M1063" s="40" t="n">
        <v>0</v>
      </c>
      <c r="N1063" s="30">
        <f>IF(A1063="","",MONTH(A1063))</f>
        <v>9</v>
      </c>
      <c r="O1063" s="30">
        <f>IF(A1063="","",YEAR(A1063))</f>
        <v>2026</v>
      </c>
      <c r="P1063" s="30" t="str">
        <f>IF(A1063="","",CHOOSE(WEEKDAY(A1063,2),"Segunda","Terça","Quarta","Quinta","Sexta","Sábado","Domingo"))</f>
        <v>Quarta</v>
      </c>
      <c r="Q1063" s="30" t="str">
        <f>IF(B1063="","",IF(B1063&lt;TIME(12,0,0),"Manhã",IF(B1063&lt;TIME(18,0,0),"Tarde","Noite")))</f>
        <v>Tarde</v>
      </c>
      <c r="R1063" s="46">
        <f>IF(AND(H1063="Realizado",L1063&lt;&gt;"",A1063&lt;=Config!$B$9),L1063/60,0)</f>
        <v>0</v>
      </c>
      <c r="S1063" s="45">
        <f>IF(G1063="","",IFERROR(INDEX(Config!$K$5:$K$16,MATCH(G1063,Config!$J$5:$J$16,0)),""))</f>
        <v>20</v>
      </c>
      <c r="T1063" s="31">
        <f>IF(OR(G1063="",F1063=""),"",IFERROR(INDEX(Config!$M$5:$R$16,MATCH(G1063,Config!$J$5:$J$16,0),MATCH(F1063,Config!$H$5:$H$10,0)),""))</f>
        <v>0</v>
      </c>
      <c r="U1063" s="47">
        <f>IF(AND(H1063="Realizado",L1063&lt;&gt;""),L1063/60,0)</f>
        <v>0</v>
      </c>
      <c r="V1063" s="47">
        <f>IF(AND(H1063="Realizado",OR(L1063="",M1063="")),1,0)</f>
        <v>0</v>
      </c>
    </row>
    <row r="1064">
      <c r="A1064" s="43" t="n">
        <v>46281</v>
      </c>
      <c r="B1064" s="44" t="n">
        <v>0.7152777777777778</v>
      </c>
      <c r="C1064" s="38" t="inlineStr">
        <is>
          <t>Dra. Carolina Mendes</t>
        </is>
      </c>
      <c r="D1064" s="38" t="inlineStr">
        <is>
          <t>Sala 1</t>
        </is>
      </c>
      <c r="E1064" s="37" t="inlineStr">
        <is>
          <t>Camila Batista</t>
        </is>
      </c>
      <c r="F1064" s="38" t="inlineStr">
        <is>
          <t>MediPlan</t>
        </is>
      </c>
      <c r="G1064" s="38" t="inlineStr">
        <is>
          <t>Retorno</t>
        </is>
      </c>
      <c r="H1064" s="38" t="inlineStr">
        <is>
          <t>Confirmado</t>
        </is>
      </c>
      <c r="I1064" s="38" t="n"/>
      <c r="J1064" s="38" t="n"/>
      <c r="K1064" s="37" t="n"/>
      <c r="L1064" s="39" t="n">
        <v>20</v>
      </c>
      <c r="M1064" s="40" t="n">
        <v>0</v>
      </c>
      <c r="N1064" s="30">
        <f>IF(A1064="","",MONTH(A1064))</f>
        <v>9</v>
      </c>
      <c r="O1064" s="30">
        <f>IF(A1064="","",YEAR(A1064))</f>
        <v>2026</v>
      </c>
      <c r="P1064" s="30" t="str">
        <f>IF(A1064="","",CHOOSE(WEEKDAY(A1064,2),"Segunda","Terça","Quarta","Quinta","Sexta","Sábado","Domingo"))</f>
        <v>Quarta</v>
      </c>
      <c r="Q1064" s="30" t="str">
        <f>IF(B1064="","",IF(B1064&lt;TIME(12,0,0),"Manhã",IF(B1064&lt;TIME(18,0,0),"Tarde","Noite")))</f>
        <v>Tarde</v>
      </c>
      <c r="R1064" s="46">
        <f>IF(AND(H1064="Realizado",L1064&lt;&gt;"",A1064&lt;=Config!$B$9),L1064/60,0)</f>
        <v>0</v>
      </c>
      <c r="S1064" s="45">
        <f>IF(G1064="","",IFERROR(INDEX(Config!$K$5:$K$16,MATCH(G1064,Config!$J$5:$J$16,0)),""))</f>
        <v>20</v>
      </c>
      <c r="T1064" s="31">
        <f>IF(OR(G1064="",F1064=""),"",IFERROR(INDEX(Config!$M$5:$R$16,MATCH(G1064,Config!$J$5:$J$16,0),MATCH(F1064,Config!$H$5:$H$10,0)),""))</f>
        <v>0</v>
      </c>
      <c r="U1064" s="47">
        <f>IF(AND(H1064="Realizado",L1064&lt;&gt;""),L1064/60,0)</f>
        <v>0</v>
      </c>
      <c r="V1064" s="47">
        <f>IF(AND(H1064="Realizado",OR(L1064="",M1064="")),1,0)</f>
        <v>0</v>
      </c>
    </row>
    <row r="1065">
      <c r="A1065" s="43" t="n">
        <v>46281</v>
      </c>
      <c r="B1065" s="44" t="n">
        <v>0.7291666666666666</v>
      </c>
      <c r="C1065" s="38" t="inlineStr">
        <is>
          <t>Dra. Carolina Mendes</t>
        </is>
      </c>
      <c r="D1065" s="38" t="inlineStr">
        <is>
          <t>Sala 1</t>
        </is>
      </c>
      <c r="E1065" s="37" t="inlineStr">
        <is>
          <t>Ana Costa</t>
        </is>
      </c>
      <c r="F1065" s="38" t="inlineStr">
        <is>
          <t>Particular</t>
        </is>
      </c>
      <c r="G1065" s="38" t="inlineStr">
        <is>
          <t>Consulta</t>
        </is>
      </c>
      <c r="H1065" s="38" t="inlineStr">
        <is>
          <t>Confirmado</t>
        </is>
      </c>
      <c r="I1065" s="38" t="n"/>
      <c r="J1065" s="38" t="n"/>
      <c r="K1065" s="37" t="n"/>
      <c r="L1065" s="39" t="n">
        <v>30</v>
      </c>
      <c r="M1065" s="40" t="n">
        <v>380</v>
      </c>
      <c r="N1065" s="30">
        <f>IF(A1065="","",MONTH(A1065))</f>
        <v>9</v>
      </c>
      <c r="O1065" s="30">
        <f>IF(A1065="","",YEAR(A1065))</f>
        <v>2026</v>
      </c>
      <c r="P1065" s="30" t="str">
        <f>IF(A1065="","",CHOOSE(WEEKDAY(A1065,2),"Segunda","Terça","Quarta","Quinta","Sexta","Sábado","Domingo"))</f>
        <v>Quarta</v>
      </c>
      <c r="Q1065" s="30" t="str">
        <f>IF(B1065="","",IF(B1065&lt;TIME(12,0,0),"Manhã",IF(B1065&lt;TIME(18,0,0),"Tarde","Noite")))</f>
        <v>Tarde</v>
      </c>
      <c r="R1065" s="46">
        <f>IF(AND(H1065="Realizado",L1065&lt;&gt;"",A1065&lt;=Config!$B$9),L1065/60,0)</f>
        <v>0</v>
      </c>
      <c r="S1065" s="45">
        <f>IF(G1065="","",IFERROR(INDEX(Config!$K$5:$K$16,MATCH(G1065,Config!$J$5:$J$16,0)),""))</f>
        <v>30</v>
      </c>
      <c r="T1065" s="31">
        <f>IF(OR(G1065="",F1065=""),"",IFERROR(INDEX(Config!$M$5:$R$16,MATCH(G1065,Config!$J$5:$J$16,0),MATCH(F1065,Config!$H$5:$H$10,0)),""))</f>
        <v>380</v>
      </c>
      <c r="U1065" s="47">
        <f>IF(AND(H1065="Realizado",L1065&lt;&gt;""),L1065/60,0)</f>
        <v>0</v>
      </c>
      <c r="V1065" s="47">
        <f>IF(AND(H1065="Realizado",OR(L1065="",M1065="")),1,0)</f>
        <v>0</v>
      </c>
    </row>
    <row r="1066">
      <c r="A1066" s="43" t="n">
        <v>46282</v>
      </c>
      <c r="B1066" s="44" t="n">
        <v>0.3333333333333333</v>
      </c>
      <c r="C1066" s="38" t="inlineStr">
        <is>
          <t>Dra. Carolina Mendes</t>
        </is>
      </c>
      <c r="D1066" s="38" t="inlineStr">
        <is>
          <t>Sala 1</t>
        </is>
      </c>
      <c r="E1066" s="37" t="inlineStr">
        <is>
          <t>Larissa Costa</t>
        </is>
      </c>
      <c r="F1066" s="38" t="inlineStr">
        <is>
          <t>Particular</t>
        </is>
      </c>
      <c r="G1066" s="38" t="inlineStr">
        <is>
          <t>Retorno</t>
        </is>
      </c>
      <c r="H1066" s="38" t="inlineStr">
        <is>
          <t>Agendado</t>
        </is>
      </c>
      <c r="I1066" s="38" t="n"/>
      <c r="J1066" s="38" t="n"/>
      <c r="K1066" s="37" t="n"/>
      <c r="L1066" s="39" t="n">
        <v>20</v>
      </c>
      <c r="M1066" s="40" t="n">
        <v>0</v>
      </c>
      <c r="N1066" s="30">
        <f>IF(A1066="","",MONTH(A1066))</f>
        <v>9</v>
      </c>
      <c r="O1066" s="30">
        <f>IF(A1066="","",YEAR(A1066))</f>
        <v>2026</v>
      </c>
      <c r="P1066" s="30" t="str">
        <f>IF(A1066="","",CHOOSE(WEEKDAY(A1066,2),"Segunda","Terça","Quarta","Quinta","Sexta","Sábado","Domingo"))</f>
        <v>Quinta</v>
      </c>
      <c r="Q1066" s="30" t="str">
        <f>IF(B1066="","",IF(B1066&lt;TIME(12,0,0),"Manhã",IF(B1066&lt;TIME(18,0,0),"Tarde","Noite")))</f>
        <v>Manhã</v>
      </c>
      <c r="R1066" s="46">
        <f>IF(AND(H1066="Realizado",L1066&lt;&gt;"",A1066&lt;=Config!$B$9),L1066/60,0)</f>
        <v>0</v>
      </c>
      <c r="S1066" s="45">
        <f>IF(G1066="","",IFERROR(INDEX(Config!$K$5:$K$16,MATCH(G1066,Config!$J$5:$J$16,0)),""))</f>
        <v>20</v>
      </c>
      <c r="T1066" s="31">
        <f>IF(OR(G1066="",F1066=""),"",IFERROR(INDEX(Config!$M$5:$R$16,MATCH(G1066,Config!$J$5:$J$16,0),MATCH(F1066,Config!$H$5:$H$10,0)),""))</f>
        <v>0</v>
      </c>
      <c r="U1066" s="47">
        <f>IF(AND(H1066="Realizado",L1066&lt;&gt;""),L1066/60,0)</f>
        <v>0</v>
      </c>
      <c r="V1066" s="47">
        <f>IF(AND(H1066="Realizado",OR(L1066="",M1066="")),1,0)</f>
        <v>0</v>
      </c>
    </row>
    <row r="1067">
      <c r="A1067" s="43" t="n">
        <v>46282</v>
      </c>
      <c r="B1067" s="44" t="n">
        <v>0.3680555555555556</v>
      </c>
      <c r="C1067" s="38" t="inlineStr">
        <is>
          <t>Dra. Carolina Mendes</t>
        </is>
      </c>
      <c r="D1067" s="38" t="inlineStr">
        <is>
          <t>Sala 1</t>
        </is>
      </c>
      <c r="E1067" s="37" t="inlineStr">
        <is>
          <t>Regina Duarte</t>
        </is>
      </c>
      <c r="F1067" s="38" t="inlineStr">
        <is>
          <t>Particular</t>
        </is>
      </c>
      <c r="G1067" s="38" t="inlineStr">
        <is>
          <t>Retorno</t>
        </is>
      </c>
      <c r="H1067" s="38" t="inlineStr">
        <is>
          <t>Agendado</t>
        </is>
      </c>
      <c r="I1067" s="38" t="n"/>
      <c r="J1067" s="38" t="n"/>
      <c r="K1067" s="37" t="n"/>
      <c r="L1067" s="39" t="n">
        <v>20</v>
      </c>
      <c r="M1067" s="40" t="n">
        <v>0</v>
      </c>
      <c r="N1067" s="30">
        <f>IF(A1067="","",MONTH(A1067))</f>
        <v>9</v>
      </c>
      <c r="O1067" s="30">
        <f>IF(A1067="","",YEAR(A1067))</f>
        <v>2026</v>
      </c>
      <c r="P1067" s="30" t="str">
        <f>IF(A1067="","",CHOOSE(WEEKDAY(A1067,2),"Segunda","Terça","Quarta","Quinta","Sexta","Sábado","Domingo"))</f>
        <v>Quinta</v>
      </c>
      <c r="Q1067" s="30" t="str">
        <f>IF(B1067="","",IF(B1067&lt;TIME(12,0,0),"Manhã",IF(B1067&lt;TIME(18,0,0),"Tarde","Noite")))</f>
        <v>Manhã</v>
      </c>
      <c r="R1067" s="46">
        <f>IF(AND(H1067="Realizado",L1067&lt;&gt;"",A1067&lt;=Config!$B$9),L1067/60,0)</f>
        <v>0</v>
      </c>
      <c r="S1067" s="45">
        <f>IF(G1067="","",IFERROR(INDEX(Config!$K$5:$K$16,MATCH(G1067,Config!$J$5:$J$16,0)),""))</f>
        <v>20</v>
      </c>
      <c r="T1067" s="31">
        <f>IF(OR(G1067="",F1067=""),"",IFERROR(INDEX(Config!$M$5:$R$16,MATCH(G1067,Config!$J$5:$J$16,0),MATCH(F1067,Config!$H$5:$H$10,0)),""))</f>
        <v>0</v>
      </c>
      <c r="U1067" s="47">
        <f>IF(AND(H1067="Realizado",L1067&lt;&gt;""),L1067/60,0)</f>
        <v>0</v>
      </c>
      <c r="V1067" s="47">
        <f>IF(AND(H1067="Realizado",OR(L1067="",M1067="")),1,0)</f>
        <v>0</v>
      </c>
    </row>
    <row r="1068">
      <c r="A1068" s="43" t="n">
        <v>46282</v>
      </c>
      <c r="B1068" s="44" t="n">
        <v>0.3819444444444444</v>
      </c>
      <c r="C1068" s="38" t="inlineStr">
        <is>
          <t>Dra. Carolina Mendes</t>
        </is>
      </c>
      <c r="D1068" s="38" t="inlineStr">
        <is>
          <t>Sala 1</t>
        </is>
      </c>
      <c r="E1068" s="37" t="inlineStr">
        <is>
          <t>Mônica Batista</t>
        </is>
      </c>
      <c r="F1068" s="38" t="inlineStr">
        <is>
          <t>MediPlan</t>
        </is>
      </c>
      <c r="G1068" s="38" t="inlineStr">
        <is>
          <t>Consulta</t>
        </is>
      </c>
      <c r="H1068" s="38" t="inlineStr">
        <is>
          <t>Agendado</t>
        </is>
      </c>
      <c r="I1068" s="38" t="n"/>
      <c r="J1068" s="38" t="n"/>
      <c r="K1068" s="37" t="n"/>
      <c r="L1068" s="39" t="n">
        <v>30</v>
      </c>
      <c r="M1068" s="40" t="n">
        <v>100</v>
      </c>
      <c r="N1068" s="30">
        <f>IF(A1068="","",MONTH(A1068))</f>
        <v>9</v>
      </c>
      <c r="O1068" s="30">
        <f>IF(A1068="","",YEAR(A1068))</f>
        <v>2026</v>
      </c>
      <c r="P1068" s="30" t="str">
        <f>IF(A1068="","",CHOOSE(WEEKDAY(A1068,2),"Segunda","Terça","Quarta","Quinta","Sexta","Sábado","Domingo"))</f>
        <v>Quinta</v>
      </c>
      <c r="Q1068" s="30" t="str">
        <f>IF(B1068="","",IF(B1068&lt;TIME(12,0,0),"Manhã",IF(B1068&lt;TIME(18,0,0),"Tarde","Noite")))</f>
        <v>Manhã</v>
      </c>
      <c r="R1068" s="46">
        <f>IF(AND(H1068="Realizado",L1068&lt;&gt;"",A1068&lt;=Config!$B$9),L1068/60,0)</f>
        <v>0</v>
      </c>
      <c r="S1068" s="45">
        <f>IF(G1068="","",IFERROR(INDEX(Config!$K$5:$K$16,MATCH(G1068,Config!$J$5:$J$16,0)),""))</f>
        <v>30</v>
      </c>
      <c r="T1068" s="31">
        <f>IF(OR(G1068="",F1068=""),"",IFERROR(INDEX(Config!$M$5:$R$16,MATCH(G1068,Config!$J$5:$J$16,0),MATCH(F1068,Config!$H$5:$H$10,0)),""))</f>
        <v>100</v>
      </c>
      <c r="U1068" s="47">
        <f>IF(AND(H1068="Realizado",L1068&lt;&gt;""),L1068/60,0)</f>
        <v>0</v>
      </c>
      <c r="V1068" s="47">
        <f>IF(AND(H1068="Realizado",OR(L1068="",M1068="")),1,0)</f>
        <v>0</v>
      </c>
    </row>
    <row r="1069">
      <c r="A1069" s="43" t="n">
        <v>46282</v>
      </c>
      <c r="B1069" s="44" t="n">
        <v>0.4027777777777778</v>
      </c>
      <c r="C1069" s="38" t="inlineStr">
        <is>
          <t>Dra. Carolina Mendes</t>
        </is>
      </c>
      <c r="D1069" s="38" t="inlineStr">
        <is>
          <t>Sala 1</t>
        </is>
      </c>
      <c r="E1069" s="37" t="inlineStr">
        <is>
          <t>Marcelo Santos</t>
        </is>
      </c>
      <c r="F1069" s="38" t="inlineStr">
        <is>
          <t>Particular</t>
        </is>
      </c>
      <c r="G1069" s="38" t="inlineStr">
        <is>
          <t>Retorno</t>
        </is>
      </c>
      <c r="H1069" s="38" t="inlineStr">
        <is>
          <t>Agendado</t>
        </is>
      </c>
      <c r="I1069" s="38" t="n"/>
      <c r="J1069" s="38" t="n"/>
      <c r="K1069" s="37" t="n"/>
      <c r="L1069" s="39" t="n">
        <v>20</v>
      </c>
      <c r="M1069" s="40" t="n">
        <v>0</v>
      </c>
      <c r="N1069" s="30">
        <f>IF(A1069="","",MONTH(A1069))</f>
        <v>9</v>
      </c>
      <c r="O1069" s="30">
        <f>IF(A1069="","",YEAR(A1069))</f>
        <v>2026</v>
      </c>
      <c r="P1069" s="30" t="str">
        <f>IF(A1069="","",CHOOSE(WEEKDAY(A1069,2),"Segunda","Terça","Quarta","Quinta","Sexta","Sábado","Domingo"))</f>
        <v>Quinta</v>
      </c>
      <c r="Q1069" s="30" t="str">
        <f>IF(B1069="","",IF(B1069&lt;TIME(12,0,0),"Manhã",IF(B1069&lt;TIME(18,0,0),"Tarde","Noite")))</f>
        <v>Manhã</v>
      </c>
      <c r="R1069" s="46">
        <f>IF(AND(H1069="Realizado",L1069&lt;&gt;"",A1069&lt;=Config!$B$9),L1069/60,0)</f>
        <v>0</v>
      </c>
      <c r="S1069" s="45">
        <f>IF(G1069="","",IFERROR(INDEX(Config!$K$5:$K$16,MATCH(G1069,Config!$J$5:$J$16,0)),""))</f>
        <v>20</v>
      </c>
      <c r="T1069" s="31">
        <f>IF(OR(G1069="",F1069=""),"",IFERROR(INDEX(Config!$M$5:$R$16,MATCH(G1069,Config!$J$5:$J$16,0),MATCH(F1069,Config!$H$5:$H$10,0)),""))</f>
        <v>0</v>
      </c>
      <c r="U1069" s="47">
        <f>IF(AND(H1069="Realizado",L1069&lt;&gt;""),L1069/60,0)</f>
        <v>0</v>
      </c>
      <c r="V1069" s="47">
        <f>IF(AND(H1069="Realizado",OR(L1069="",M1069="")),1,0)</f>
        <v>0</v>
      </c>
    </row>
    <row r="1070">
      <c r="A1070" s="43" t="n">
        <v>46282</v>
      </c>
      <c r="B1070" s="44" t="n">
        <v>0.4166666666666667</v>
      </c>
      <c r="C1070" s="38" t="inlineStr">
        <is>
          <t>Dra. Carolina Mendes</t>
        </is>
      </c>
      <c r="D1070" s="38" t="inlineStr">
        <is>
          <t>Sala 1</t>
        </is>
      </c>
      <c r="E1070" s="37" t="inlineStr">
        <is>
          <t>Gisele Xavier</t>
        </is>
      </c>
      <c r="F1070" s="38" t="inlineStr">
        <is>
          <t>Particular</t>
        </is>
      </c>
      <c r="G1070" s="38" t="inlineStr">
        <is>
          <t>Retorno</t>
        </is>
      </c>
      <c r="H1070" s="38" t="inlineStr">
        <is>
          <t>Agendado</t>
        </is>
      </c>
      <c r="I1070" s="38" t="n"/>
      <c r="J1070" s="38" t="n"/>
      <c r="K1070" s="37" t="n"/>
      <c r="L1070" s="39" t="n">
        <v>20</v>
      </c>
      <c r="M1070" s="40" t="n">
        <v>0</v>
      </c>
      <c r="N1070" s="30">
        <f>IF(A1070="","",MONTH(A1070))</f>
        <v>9</v>
      </c>
      <c r="O1070" s="30">
        <f>IF(A1070="","",YEAR(A1070))</f>
        <v>2026</v>
      </c>
      <c r="P1070" s="30" t="str">
        <f>IF(A1070="","",CHOOSE(WEEKDAY(A1070,2),"Segunda","Terça","Quarta","Quinta","Sexta","Sábado","Domingo"))</f>
        <v>Quinta</v>
      </c>
      <c r="Q1070" s="30" t="str">
        <f>IF(B1070="","",IF(B1070&lt;TIME(12,0,0),"Manhã",IF(B1070&lt;TIME(18,0,0),"Tarde","Noite")))</f>
        <v>Manhã</v>
      </c>
      <c r="R1070" s="46">
        <f>IF(AND(H1070="Realizado",L1070&lt;&gt;"",A1070&lt;=Config!$B$9),L1070/60,0)</f>
        <v>0</v>
      </c>
      <c r="S1070" s="45">
        <f>IF(G1070="","",IFERROR(INDEX(Config!$K$5:$K$16,MATCH(G1070,Config!$J$5:$J$16,0)),""))</f>
        <v>20</v>
      </c>
      <c r="T1070" s="31">
        <f>IF(OR(G1070="",F1070=""),"",IFERROR(INDEX(Config!$M$5:$R$16,MATCH(G1070,Config!$J$5:$J$16,0),MATCH(F1070,Config!$H$5:$H$10,0)),""))</f>
        <v>0</v>
      </c>
      <c r="U1070" s="47">
        <f>IF(AND(H1070="Realizado",L1070&lt;&gt;""),L1070/60,0)</f>
        <v>0</v>
      </c>
      <c r="V1070" s="47">
        <f>IF(AND(H1070="Realizado",OR(L1070="",M1070="")),1,0)</f>
        <v>0</v>
      </c>
    </row>
    <row r="1071">
      <c r="A1071" s="43" t="n">
        <v>46282</v>
      </c>
      <c r="B1071" s="44" t="n">
        <v>0.4305555555555556</v>
      </c>
      <c r="C1071" s="38" t="inlineStr">
        <is>
          <t>Dra. Carolina Mendes</t>
        </is>
      </c>
      <c r="D1071" s="38" t="inlineStr">
        <is>
          <t>Sala 1</t>
        </is>
      </c>
      <c r="E1071" s="37" t="inlineStr">
        <is>
          <t>Sérgio Batista</t>
        </is>
      </c>
      <c r="F1071" s="38" t="inlineStr">
        <is>
          <t>MediPlan</t>
        </is>
      </c>
      <c r="G1071" s="38" t="inlineStr">
        <is>
          <t>Consulta</t>
        </is>
      </c>
      <c r="H1071" s="38" t="inlineStr">
        <is>
          <t>Agendado</t>
        </is>
      </c>
      <c r="I1071" s="38" t="n"/>
      <c r="J1071" s="38" t="n"/>
      <c r="K1071" s="37" t="n"/>
      <c r="L1071" s="39" t="n">
        <v>30</v>
      </c>
      <c r="M1071" s="40" t="n">
        <v>100</v>
      </c>
      <c r="N1071" s="30">
        <f>IF(A1071="","",MONTH(A1071))</f>
        <v>9</v>
      </c>
      <c r="O1071" s="30">
        <f>IF(A1071="","",YEAR(A1071))</f>
        <v>2026</v>
      </c>
      <c r="P1071" s="30" t="str">
        <f>IF(A1071="","",CHOOSE(WEEKDAY(A1071,2),"Segunda","Terça","Quarta","Quinta","Sexta","Sábado","Domingo"))</f>
        <v>Quinta</v>
      </c>
      <c r="Q1071" s="30" t="str">
        <f>IF(B1071="","",IF(B1071&lt;TIME(12,0,0),"Manhã",IF(B1071&lt;TIME(18,0,0),"Tarde","Noite")))</f>
        <v>Manhã</v>
      </c>
      <c r="R1071" s="46">
        <f>IF(AND(H1071="Realizado",L1071&lt;&gt;"",A1071&lt;=Config!$B$9),L1071/60,0)</f>
        <v>0</v>
      </c>
      <c r="S1071" s="45">
        <f>IF(G1071="","",IFERROR(INDEX(Config!$K$5:$K$16,MATCH(G1071,Config!$J$5:$J$16,0)),""))</f>
        <v>30</v>
      </c>
      <c r="T1071" s="31">
        <f>IF(OR(G1071="",F1071=""),"",IFERROR(INDEX(Config!$M$5:$R$16,MATCH(G1071,Config!$J$5:$J$16,0),MATCH(F1071,Config!$H$5:$H$10,0)),""))</f>
        <v>100</v>
      </c>
      <c r="U1071" s="47">
        <f>IF(AND(H1071="Realizado",L1071&lt;&gt;""),L1071/60,0)</f>
        <v>0</v>
      </c>
      <c r="V1071" s="47">
        <f>IF(AND(H1071="Realizado",OR(L1071="",M1071="")),1,0)</f>
        <v>0</v>
      </c>
    </row>
    <row r="1072">
      <c r="A1072" s="43" t="n">
        <v>46282</v>
      </c>
      <c r="B1072" s="44" t="n">
        <v>0.4513888888888889</v>
      </c>
      <c r="C1072" s="38" t="inlineStr">
        <is>
          <t>Dra. Carolina Mendes</t>
        </is>
      </c>
      <c r="D1072" s="38" t="inlineStr">
        <is>
          <t>Sala 1</t>
        </is>
      </c>
      <c r="E1072" s="37" t="inlineStr">
        <is>
          <t>Roberta Fernandes</t>
        </is>
      </c>
      <c r="F1072" s="38" t="inlineStr">
        <is>
          <t>Saúde Total</t>
        </is>
      </c>
      <c r="G1072" s="38" t="inlineStr">
        <is>
          <t>Consulta</t>
        </is>
      </c>
      <c r="H1072" s="38" t="inlineStr">
        <is>
          <t>Agendado</t>
        </is>
      </c>
      <c r="I1072" s="38" t="n"/>
      <c r="J1072" s="38" t="n"/>
      <c r="K1072" s="37" t="n"/>
      <c r="L1072" s="39" t="n">
        <v>30</v>
      </c>
      <c r="M1072" s="40" t="n">
        <v>120</v>
      </c>
      <c r="N1072" s="30">
        <f>IF(A1072="","",MONTH(A1072))</f>
        <v>9</v>
      </c>
      <c r="O1072" s="30">
        <f>IF(A1072="","",YEAR(A1072))</f>
        <v>2026</v>
      </c>
      <c r="P1072" s="30" t="str">
        <f>IF(A1072="","",CHOOSE(WEEKDAY(A1072,2),"Segunda","Terça","Quarta","Quinta","Sexta","Sábado","Domingo"))</f>
        <v>Quinta</v>
      </c>
      <c r="Q1072" s="30" t="str">
        <f>IF(B1072="","",IF(B1072&lt;TIME(12,0,0),"Manhã",IF(B1072&lt;TIME(18,0,0),"Tarde","Noite")))</f>
        <v>Manhã</v>
      </c>
      <c r="R1072" s="46">
        <f>IF(AND(H1072="Realizado",L1072&lt;&gt;"",A1072&lt;=Config!$B$9),L1072/60,0)</f>
        <v>0</v>
      </c>
      <c r="S1072" s="45">
        <f>IF(G1072="","",IFERROR(INDEX(Config!$K$5:$K$16,MATCH(G1072,Config!$J$5:$J$16,0)),""))</f>
        <v>30</v>
      </c>
      <c r="T1072" s="31">
        <f>IF(OR(G1072="",F1072=""),"",IFERROR(INDEX(Config!$M$5:$R$16,MATCH(G1072,Config!$J$5:$J$16,0),MATCH(F1072,Config!$H$5:$H$10,0)),""))</f>
        <v>120</v>
      </c>
      <c r="U1072" s="47">
        <f>IF(AND(H1072="Realizado",L1072&lt;&gt;""),L1072/60,0)</f>
        <v>0</v>
      </c>
      <c r="V1072" s="47">
        <f>IF(AND(H1072="Realizado",OR(L1072="",M1072="")),1,0)</f>
        <v>0</v>
      </c>
    </row>
    <row r="1073">
      <c r="A1073" s="43" t="n">
        <v>46282</v>
      </c>
      <c r="B1073" s="44" t="n">
        <v>0.4722222222222222</v>
      </c>
      <c r="C1073" s="38" t="inlineStr">
        <is>
          <t>Dra. Carolina Mendes</t>
        </is>
      </c>
      <c r="D1073" s="38" t="inlineStr">
        <is>
          <t>Sala 1</t>
        </is>
      </c>
      <c r="E1073" s="37" t="inlineStr">
        <is>
          <t>Helena Moreira</t>
        </is>
      </c>
      <c r="F1073" s="38" t="inlineStr">
        <is>
          <t>Particular</t>
        </is>
      </c>
      <c r="G1073" s="38" t="inlineStr">
        <is>
          <t>Consulta</t>
        </is>
      </c>
      <c r="H1073" s="38" t="inlineStr">
        <is>
          <t>Agendado</t>
        </is>
      </c>
      <c r="I1073" s="38" t="n"/>
      <c r="J1073" s="38" t="n"/>
      <c r="K1073" s="37" t="n"/>
      <c r="L1073" s="39" t="n">
        <v>30</v>
      </c>
      <c r="M1073" s="40" t="n">
        <v>380</v>
      </c>
      <c r="N1073" s="30">
        <f>IF(A1073="","",MONTH(A1073))</f>
        <v>9</v>
      </c>
      <c r="O1073" s="30">
        <f>IF(A1073="","",YEAR(A1073))</f>
        <v>2026</v>
      </c>
      <c r="P1073" s="30" t="str">
        <f>IF(A1073="","",CHOOSE(WEEKDAY(A1073,2),"Segunda","Terça","Quarta","Quinta","Sexta","Sábado","Domingo"))</f>
        <v>Quinta</v>
      </c>
      <c r="Q1073" s="30" t="str">
        <f>IF(B1073="","",IF(B1073&lt;TIME(12,0,0),"Manhã",IF(B1073&lt;TIME(18,0,0),"Tarde","Noite")))</f>
        <v>Manhã</v>
      </c>
      <c r="R1073" s="46">
        <f>IF(AND(H1073="Realizado",L1073&lt;&gt;"",A1073&lt;=Config!$B$9),L1073/60,0)</f>
        <v>0</v>
      </c>
      <c r="S1073" s="45">
        <f>IF(G1073="","",IFERROR(INDEX(Config!$K$5:$K$16,MATCH(G1073,Config!$J$5:$J$16,0)),""))</f>
        <v>30</v>
      </c>
      <c r="T1073" s="31">
        <f>IF(OR(G1073="",F1073=""),"",IFERROR(INDEX(Config!$M$5:$R$16,MATCH(G1073,Config!$J$5:$J$16,0),MATCH(F1073,Config!$H$5:$H$10,0)),""))</f>
        <v>380</v>
      </c>
      <c r="U1073" s="47">
        <f>IF(AND(H1073="Realizado",L1073&lt;&gt;""),L1073/60,0)</f>
        <v>0</v>
      </c>
      <c r="V1073" s="47">
        <f>IF(AND(H1073="Realizado",OR(L1073="",M1073="")),1,0)</f>
        <v>0</v>
      </c>
    </row>
    <row r="1074">
      <c r="A1074" s="43" t="n">
        <v>46282</v>
      </c>
      <c r="B1074" s="44" t="n">
        <v>0.5833333333333334</v>
      </c>
      <c r="C1074" s="38" t="inlineStr">
        <is>
          <t>Dra. Renata Sousa</t>
        </is>
      </c>
      <c r="D1074" s="38" t="inlineStr">
        <is>
          <t>Sala 1</t>
        </is>
      </c>
      <c r="E1074" s="37" t="inlineStr">
        <is>
          <t>Rodrigo Cardoso</t>
        </is>
      </c>
      <c r="F1074" s="38" t="inlineStr">
        <is>
          <t>Saúde Total</t>
        </is>
      </c>
      <c r="G1074" s="38" t="inlineStr">
        <is>
          <t>Avaliação endócrina</t>
        </is>
      </c>
      <c r="H1074" s="38" t="inlineStr">
        <is>
          <t>Agendado</t>
        </is>
      </c>
      <c r="I1074" s="38" t="n"/>
      <c r="J1074" s="38" t="n"/>
      <c r="K1074" s="37" t="n"/>
      <c r="L1074" s="39" t="n">
        <v>40</v>
      </c>
      <c r="M1074" s="40" t="n">
        <v>130</v>
      </c>
      <c r="N1074" s="30">
        <f>IF(A1074="","",MONTH(A1074))</f>
        <v>9</v>
      </c>
      <c r="O1074" s="30">
        <f>IF(A1074="","",YEAR(A1074))</f>
        <v>2026</v>
      </c>
      <c r="P1074" s="30" t="str">
        <f>IF(A1074="","",CHOOSE(WEEKDAY(A1074,2),"Segunda","Terça","Quarta","Quinta","Sexta","Sábado","Domingo"))</f>
        <v>Quinta</v>
      </c>
      <c r="Q1074" s="30" t="str">
        <f>IF(B1074="","",IF(B1074&lt;TIME(12,0,0),"Manhã",IF(B1074&lt;TIME(18,0,0),"Tarde","Noite")))</f>
        <v>Tarde</v>
      </c>
      <c r="R1074" s="46">
        <f>IF(AND(H1074="Realizado",L1074&lt;&gt;"",A1074&lt;=Config!$B$9),L1074/60,0)</f>
        <v>0</v>
      </c>
      <c r="S1074" s="45">
        <f>IF(G1074="","",IFERROR(INDEX(Config!$K$5:$K$16,MATCH(G1074,Config!$J$5:$J$16,0)),""))</f>
        <v>40</v>
      </c>
      <c r="T1074" s="31">
        <f>IF(OR(G1074="",F1074=""),"",IFERROR(INDEX(Config!$M$5:$R$16,MATCH(G1074,Config!$J$5:$J$16,0),MATCH(F1074,Config!$H$5:$H$10,0)),""))</f>
        <v>130</v>
      </c>
      <c r="U1074" s="47">
        <f>IF(AND(H1074="Realizado",L1074&lt;&gt;""),L1074/60,0)</f>
        <v>0</v>
      </c>
      <c r="V1074" s="47">
        <f>IF(AND(H1074="Realizado",OR(L1074="",M1074="")),1,0)</f>
        <v>0</v>
      </c>
    </row>
    <row r="1075">
      <c r="A1075" s="43" t="n">
        <v>46282</v>
      </c>
      <c r="B1075" s="44" t="n">
        <v>0.6111111111111112</v>
      </c>
      <c r="C1075" s="38" t="inlineStr">
        <is>
          <t>Dra. Renata Sousa</t>
        </is>
      </c>
      <c r="D1075" s="38" t="inlineStr">
        <is>
          <t>Sala 1</t>
        </is>
      </c>
      <c r="E1075" s="37" t="inlineStr">
        <is>
          <t>Carlos Gonçalves</t>
        </is>
      </c>
      <c r="F1075" s="38" t="inlineStr">
        <is>
          <t>Saúde Total</t>
        </is>
      </c>
      <c r="G1075" s="38" t="inlineStr">
        <is>
          <t>Avaliação endócrina</t>
        </is>
      </c>
      <c r="H1075" s="38" t="inlineStr">
        <is>
          <t>Agendado</t>
        </is>
      </c>
      <c r="I1075" s="38" t="n"/>
      <c r="J1075" s="38" t="n"/>
      <c r="K1075" s="37" t="n"/>
      <c r="L1075" s="39" t="n">
        <v>40</v>
      </c>
      <c r="M1075" s="40" t="n">
        <v>130</v>
      </c>
      <c r="N1075" s="30">
        <f>IF(A1075="","",MONTH(A1075))</f>
        <v>9</v>
      </c>
      <c r="O1075" s="30">
        <f>IF(A1075="","",YEAR(A1075))</f>
        <v>2026</v>
      </c>
      <c r="P1075" s="30" t="str">
        <f>IF(A1075="","",CHOOSE(WEEKDAY(A1075,2),"Segunda","Terça","Quarta","Quinta","Sexta","Sábado","Domingo"))</f>
        <v>Quinta</v>
      </c>
      <c r="Q1075" s="30" t="str">
        <f>IF(B1075="","",IF(B1075&lt;TIME(12,0,0),"Manhã",IF(B1075&lt;TIME(18,0,0),"Tarde","Noite")))</f>
        <v>Tarde</v>
      </c>
      <c r="R1075" s="46">
        <f>IF(AND(H1075="Realizado",L1075&lt;&gt;"",A1075&lt;=Config!$B$9),L1075/60,0)</f>
        <v>0</v>
      </c>
      <c r="S1075" s="45">
        <f>IF(G1075="","",IFERROR(INDEX(Config!$K$5:$K$16,MATCH(G1075,Config!$J$5:$J$16,0)),""))</f>
        <v>40</v>
      </c>
      <c r="T1075" s="31">
        <f>IF(OR(G1075="",F1075=""),"",IFERROR(INDEX(Config!$M$5:$R$16,MATCH(G1075,Config!$J$5:$J$16,0),MATCH(F1075,Config!$H$5:$H$10,0)),""))</f>
        <v>130</v>
      </c>
      <c r="U1075" s="47">
        <f>IF(AND(H1075="Realizado",L1075&lt;&gt;""),L1075/60,0)</f>
        <v>0</v>
      </c>
      <c r="V1075" s="47">
        <f>IF(AND(H1075="Realizado",OR(L1075="",M1075="")),1,0)</f>
        <v>0</v>
      </c>
    </row>
    <row r="1076">
      <c r="A1076" s="43" t="n">
        <v>46282</v>
      </c>
      <c r="B1076" s="44" t="n">
        <v>0.625</v>
      </c>
      <c r="C1076" s="38" t="inlineStr">
        <is>
          <t>Dr. Paulo Andrade</t>
        </is>
      </c>
      <c r="D1076" s="38" t="inlineStr">
        <is>
          <t>Sala 2</t>
        </is>
      </c>
      <c r="E1076" s="37" t="inlineStr">
        <is>
          <t>Sérgio Teixeira</t>
        </is>
      </c>
      <c r="F1076" s="38" t="inlineStr">
        <is>
          <t>MediPlan</t>
        </is>
      </c>
      <c r="G1076" s="38" t="inlineStr">
        <is>
          <t>Retorno</t>
        </is>
      </c>
      <c r="H1076" s="38" t="inlineStr">
        <is>
          <t>Agendado</t>
        </is>
      </c>
      <c r="I1076" s="38" t="n"/>
      <c r="J1076" s="38" t="n"/>
      <c r="K1076" s="37" t="n"/>
      <c r="L1076" s="39" t="n">
        <v>20</v>
      </c>
      <c r="M1076" s="40" t="n">
        <v>0</v>
      </c>
      <c r="N1076" s="30">
        <f>IF(A1076="","",MONTH(A1076))</f>
        <v>9</v>
      </c>
      <c r="O1076" s="30">
        <f>IF(A1076="","",YEAR(A1076))</f>
        <v>2026</v>
      </c>
      <c r="P1076" s="30" t="str">
        <f>IF(A1076="","",CHOOSE(WEEKDAY(A1076,2),"Segunda","Terça","Quarta","Quinta","Sexta","Sábado","Domingo"))</f>
        <v>Quinta</v>
      </c>
      <c r="Q1076" s="30" t="str">
        <f>IF(B1076="","",IF(B1076&lt;TIME(12,0,0),"Manhã",IF(B1076&lt;TIME(18,0,0),"Tarde","Noite")))</f>
        <v>Tarde</v>
      </c>
      <c r="R1076" s="46">
        <f>IF(AND(H1076="Realizado",L1076&lt;&gt;"",A1076&lt;=Config!$B$9),L1076/60,0)</f>
        <v>0</v>
      </c>
      <c r="S1076" s="45">
        <f>IF(G1076="","",IFERROR(INDEX(Config!$K$5:$K$16,MATCH(G1076,Config!$J$5:$J$16,0)),""))</f>
        <v>20</v>
      </c>
      <c r="T1076" s="31">
        <f>IF(OR(G1076="",F1076=""),"",IFERROR(INDEX(Config!$M$5:$R$16,MATCH(G1076,Config!$J$5:$J$16,0),MATCH(F1076,Config!$H$5:$H$10,0)),""))</f>
        <v>0</v>
      </c>
      <c r="U1076" s="47">
        <f>IF(AND(H1076="Realizado",L1076&lt;&gt;""),L1076/60,0)</f>
        <v>0</v>
      </c>
      <c r="V1076" s="47">
        <f>IF(AND(H1076="Realizado",OR(L1076="",M1076="")),1,0)</f>
        <v>0</v>
      </c>
    </row>
    <row r="1077">
      <c r="A1077" s="43" t="n">
        <v>46282</v>
      </c>
      <c r="B1077" s="44" t="n">
        <v>0.6388888888888888</v>
      </c>
      <c r="C1077" s="38" t="inlineStr">
        <is>
          <t>Dr. Paulo Andrade</t>
        </is>
      </c>
      <c r="D1077" s="38" t="inlineStr">
        <is>
          <t>Sala 2</t>
        </is>
      </c>
      <c r="E1077" s="37" t="inlineStr">
        <is>
          <t>Renato Pereira</t>
        </is>
      </c>
      <c r="F1077" s="38" t="inlineStr">
        <is>
          <t>MediPlan</t>
        </is>
      </c>
      <c r="G1077" s="38" t="inlineStr">
        <is>
          <t>Consulta</t>
        </is>
      </c>
      <c r="H1077" s="38" t="inlineStr">
        <is>
          <t>Agendado</t>
        </is>
      </c>
      <c r="I1077" s="38" t="n"/>
      <c r="J1077" s="38" t="n"/>
      <c r="K1077" s="37" t="n"/>
      <c r="L1077" s="39" t="n">
        <v>30</v>
      </c>
      <c r="M1077" s="40" t="n">
        <v>100</v>
      </c>
      <c r="N1077" s="30">
        <f>IF(A1077="","",MONTH(A1077))</f>
        <v>9</v>
      </c>
      <c r="O1077" s="30">
        <f>IF(A1077="","",YEAR(A1077))</f>
        <v>2026</v>
      </c>
      <c r="P1077" s="30" t="str">
        <f>IF(A1077="","",CHOOSE(WEEKDAY(A1077,2),"Segunda","Terça","Quarta","Quinta","Sexta","Sábado","Domingo"))</f>
        <v>Quinta</v>
      </c>
      <c r="Q1077" s="30" t="str">
        <f>IF(B1077="","",IF(B1077&lt;TIME(12,0,0),"Manhã",IF(B1077&lt;TIME(18,0,0),"Tarde","Noite")))</f>
        <v>Tarde</v>
      </c>
      <c r="R1077" s="46">
        <f>IF(AND(H1077="Realizado",L1077&lt;&gt;"",A1077&lt;=Config!$B$9),L1077/60,0)</f>
        <v>0</v>
      </c>
      <c r="S1077" s="45">
        <f>IF(G1077="","",IFERROR(INDEX(Config!$K$5:$K$16,MATCH(G1077,Config!$J$5:$J$16,0)),""))</f>
        <v>30</v>
      </c>
      <c r="T1077" s="31">
        <f>IF(OR(G1077="",F1077=""),"",IFERROR(INDEX(Config!$M$5:$R$16,MATCH(G1077,Config!$J$5:$J$16,0),MATCH(F1077,Config!$H$5:$H$10,0)),""))</f>
        <v>100</v>
      </c>
      <c r="U1077" s="47">
        <f>IF(AND(H1077="Realizado",L1077&lt;&gt;""),L1077/60,0)</f>
        <v>0</v>
      </c>
      <c r="V1077" s="47">
        <f>IF(AND(H1077="Realizado",OR(L1077="",M1077="")),1,0)</f>
        <v>0</v>
      </c>
    </row>
    <row r="1078">
      <c r="A1078" s="43" t="n">
        <v>46282</v>
      </c>
      <c r="B1078" s="44" t="n">
        <v>0.6597222222222222</v>
      </c>
      <c r="C1078" s="38" t="inlineStr">
        <is>
          <t>Dra. Renata Sousa</t>
        </is>
      </c>
      <c r="D1078" s="38" t="inlineStr">
        <is>
          <t>Sala 1</t>
        </is>
      </c>
      <c r="E1078" s="37" t="inlineStr">
        <is>
          <t>Mônica Almeida</t>
        </is>
      </c>
      <c r="F1078" s="38" t="inlineStr">
        <is>
          <t>Particular</t>
        </is>
      </c>
      <c r="G1078" s="38" t="inlineStr">
        <is>
          <t>Avaliação endócrina</t>
        </is>
      </c>
      <c r="H1078" s="38" t="inlineStr">
        <is>
          <t>Agendado</t>
        </is>
      </c>
      <c r="I1078" s="38" t="n"/>
      <c r="J1078" s="38" t="n"/>
      <c r="K1078" s="37" t="n"/>
      <c r="L1078" s="39" t="n">
        <v>40</v>
      </c>
      <c r="M1078" s="40" t="n">
        <v>400</v>
      </c>
      <c r="N1078" s="30">
        <f>IF(A1078="","",MONTH(A1078))</f>
        <v>9</v>
      </c>
      <c r="O1078" s="30">
        <f>IF(A1078="","",YEAR(A1078))</f>
        <v>2026</v>
      </c>
      <c r="P1078" s="30" t="str">
        <f>IF(A1078="","",CHOOSE(WEEKDAY(A1078,2),"Segunda","Terça","Quarta","Quinta","Sexta","Sábado","Domingo"))</f>
        <v>Quinta</v>
      </c>
      <c r="Q1078" s="30" t="str">
        <f>IF(B1078="","",IF(B1078&lt;TIME(12,0,0),"Manhã",IF(B1078&lt;TIME(18,0,0),"Tarde","Noite")))</f>
        <v>Tarde</v>
      </c>
      <c r="R1078" s="46">
        <f>IF(AND(H1078="Realizado",L1078&lt;&gt;"",A1078&lt;=Config!$B$9),L1078/60,0)</f>
        <v>0</v>
      </c>
      <c r="S1078" s="45">
        <f>IF(G1078="","",IFERROR(INDEX(Config!$K$5:$K$16,MATCH(G1078,Config!$J$5:$J$16,0)),""))</f>
        <v>40</v>
      </c>
      <c r="T1078" s="31">
        <f>IF(OR(G1078="",F1078=""),"",IFERROR(INDEX(Config!$M$5:$R$16,MATCH(G1078,Config!$J$5:$J$16,0),MATCH(F1078,Config!$H$5:$H$10,0)),""))</f>
        <v>400</v>
      </c>
      <c r="U1078" s="47">
        <f>IF(AND(H1078="Realizado",L1078&lt;&gt;""),L1078/60,0)</f>
        <v>0</v>
      </c>
      <c r="V1078" s="47">
        <f>IF(AND(H1078="Realizado",OR(L1078="",M1078="")),1,0)</f>
        <v>0</v>
      </c>
    </row>
    <row r="1079">
      <c r="A1079" s="43" t="n">
        <v>46282</v>
      </c>
      <c r="B1079" s="44" t="n">
        <v>0.6597222222222222</v>
      </c>
      <c r="C1079" s="38" t="inlineStr">
        <is>
          <t>Dr. Paulo Andrade</t>
        </is>
      </c>
      <c r="D1079" s="38" t="inlineStr">
        <is>
          <t>Sala 2</t>
        </is>
      </c>
      <c r="E1079" s="37" t="inlineStr">
        <is>
          <t>Viviane Duarte</t>
        </is>
      </c>
      <c r="F1079" s="38" t="inlineStr">
        <is>
          <t>MediPlan</t>
        </is>
      </c>
      <c r="G1079" s="38" t="inlineStr">
        <is>
          <t>Retorno</t>
        </is>
      </c>
      <c r="H1079" s="38" t="inlineStr">
        <is>
          <t>Agendado</t>
        </is>
      </c>
      <c r="I1079" s="38" t="n"/>
      <c r="J1079" s="38" t="n"/>
      <c r="K1079" s="37" t="n"/>
      <c r="L1079" s="39" t="n">
        <v>20</v>
      </c>
      <c r="M1079" s="40" t="n">
        <v>0</v>
      </c>
      <c r="N1079" s="30">
        <f>IF(A1079="","",MONTH(A1079))</f>
        <v>9</v>
      </c>
      <c r="O1079" s="30">
        <f>IF(A1079="","",YEAR(A1079))</f>
        <v>2026</v>
      </c>
      <c r="P1079" s="30" t="str">
        <f>IF(A1079="","",CHOOSE(WEEKDAY(A1079,2),"Segunda","Terça","Quarta","Quinta","Sexta","Sábado","Domingo"))</f>
        <v>Quinta</v>
      </c>
      <c r="Q1079" s="30" t="str">
        <f>IF(B1079="","",IF(B1079&lt;TIME(12,0,0),"Manhã",IF(B1079&lt;TIME(18,0,0),"Tarde","Noite")))</f>
        <v>Tarde</v>
      </c>
      <c r="R1079" s="46">
        <f>IF(AND(H1079="Realizado",L1079&lt;&gt;"",A1079&lt;=Config!$B$9),L1079/60,0)</f>
        <v>0</v>
      </c>
      <c r="S1079" s="45">
        <f>IF(G1079="","",IFERROR(INDEX(Config!$K$5:$K$16,MATCH(G1079,Config!$J$5:$J$16,0)),""))</f>
        <v>20</v>
      </c>
      <c r="T1079" s="31">
        <f>IF(OR(G1079="",F1079=""),"",IFERROR(INDEX(Config!$M$5:$R$16,MATCH(G1079,Config!$J$5:$J$16,0),MATCH(F1079,Config!$H$5:$H$10,0)),""))</f>
        <v>0</v>
      </c>
      <c r="U1079" s="47">
        <f>IF(AND(H1079="Realizado",L1079&lt;&gt;""),L1079/60,0)</f>
        <v>0</v>
      </c>
      <c r="V1079" s="47">
        <f>IF(AND(H1079="Realizado",OR(L1079="",M1079="")),1,0)</f>
        <v>0</v>
      </c>
    </row>
    <row r="1080">
      <c r="A1080" s="43" t="n">
        <v>46282</v>
      </c>
      <c r="B1080" s="44" t="n">
        <v>0.6736111111111112</v>
      </c>
      <c r="C1080" s="38" t="inlineStr">
        <is>
          <t>Dr. Paulo Andrade</t>
        </is>
      </c>
      <c r="D1080" s="38" t="inlineStr">
        <is>
          <t>Sala 2</t>
        </is>
      </c>
      <c r="E1080" s="37" t="inlineStr">
        <is>
          <t>Natália Martins</t>
        </is>
      </c>
      <c r="F1080" s="38" t="inlineStr">
        <is>
          <t>Particular</t>
        </is>
      </c>
      <c r="G1080" s="38" t="inlineStr">
        <is>
          <t>Consulta</t>
        </is>
      </c>
      <c r="H1080" s="38" t="inlineStr">
        <is>
          <t>Agendado</t>
        </is>
      </c>
      <c r="I1080" s="38" t="n"/>
      <c r="J1080" s="38" t="n"/>
      <c r="K1080" s="37" t="n"/>
      <c r="L1080" s="39" t="n">
        <v>30</v>
      </c>
      <c r="M1080" s="40" t="n">
        <v>380</v>
      </c>
      <c r="N1080" s="30">
        <f>IF(A1080="","",MONTH(A1080))</f>
        <v>9</v>
      </c>
      <c r="O1080" s="30">
        <f>IF(A1080="","",YEAR(A1080))</f>
        <v>2026</v>
      </c>
      <c r="P1080" s="30" t="str">
        <f>IF(A1080="","",CHOOSE(WEEKDAY(A1080,2),"Segunda","Terça","Quarta","Quinta","Sexta","Sábado","Domingo"))</f>
        <v>Quinta</v>
      </c>
      <c r="Q1080" s="30" t="str">
        <f>IF(B1080="","",IF(B1080&lt;TIME(12,0,0),"Manhã",IF(B1080&lt;TIME(18,0,0),"Tarde","Noite")))</f>
        <v>Tarde</v>
      </c>
      <c r="R1080" s="46">
        <f>IF(AND(H1080="Realizado",L1080&lt;&gt;"",A1080&lt;=Config!$B$9),L1080/60,0)</f>
        <v>0</v>
      </c>
      <c r="S1080" s="45">
        <f>IF(G1080="","",IFERROR(INDEX(Config!$K$5:$K$16,MATCH(G1080,Config!$J$5:$J$16,0)),""))</f>
        <v>30</v>
      </c>
      <c r="T1080" s="31">
        <f>IF(OR(G1080="",F1080=""),"",IFERROR(INDEX(Config!$M$5:$R$16,MATCH(G1080,Config!$J$5:$J$16,0),MATCH(F1080,Config!$H$5:$H$10,0)),""))</f>
        <v>380</v>
      </c>
      <c r="U1080" s="47">
        <f>IF(AND(H1080="Realizado",L1080&lt;&gt;""),L1080/60,0)</f>
        <v>0</v>
      </c>
      <c r="V1080" s="47">
        <f>IF(AND(H1080="Realizado",OR(L1080="",M1080="")),1,0)</f>
        <v>0</v>
      </c>
    </row>
    <row r="1081">
      <c r="A1081" s="43" t="n">
        <v>46282</v>
      </c>
      <c r="B1081" s="44" t="n">
        <v>0.6875</v>
      </c>
      <c r="C1081" s="38" t="inlineStr">
        <is>
          <t>Dra. Renata Sousa</t>
        </is>
      </c>
      <c r="D1081" s="38" t="inlineStr">
        <is>
          <t>Sala 1</t>
        </is>
      </c>
      <c r="E1081" s="37" t="inlineStr">
        <is>
          <t>Tatiana Macedo</t>
        </is>
      </c>
      <c r="F1081" s="38" t="inlineStr">
        <is>
          <t>Particular</t>
        </is>
      </c>
      <c r="G1081" s="38" t="inlineStr">
        <is>
          <t>Avaliação endócrina</t>
        </is>
      </c>
      <c r="H1081" s="38" t="inlineStr">
        <is>
          <t>Agendado</t>
        </is>
      </c>
      <c r="I1081" s="38" t="n"/>
      <c r="J1081" s="38" t="n"/>
      <c r="K1081" s="37" t="n"/>
      <c r="L1081" s="39" t="n">
        <v>40</v>
      </c>
      <c r="M1081" s="40" t="n">
        <v>400</v>
      </c>
      <c r="N1081" s="30">
        <f>IF(A1081="","",MONTH(A1081))</f>
        <v>9</v>
      </c>
      <c r="O1081" s="30">
        <f>IF(A1081="","",YEAR(A1081))</f>
        <v>2026</v>
      </c>
      <c r="P1081" s="30" t="str">
        <f>IF(A1081="","",CHOOSE(WEEKDAY(A1081,2),"Segunda","Terça","Quarta","Quinta","Sexta","Sábado","Domingo"))</f>
        <v>Quinta</v>
      </c>
      <c r="Q1081" s="30" t="str">
        <f>IF(B1081="","",IF(B1081&lt;TIME(12,0,0),"Manhã",IF(B1081&lt;TIME(18,0,0),"Tarde","Noite")))</f>
        <v>Tarde</v>
      </c>
      <c r="R1081" s="46">
        <f>IF(AND(H1081="Realizado",L1081&lt;&gt;"",A1081&lt;=Config!$B$9),L1081/60,0)</f>
        <v>0</v>
      </c>
      <c r="S1081" s="45">
        <f>IF(G1081="","",IFERROR(INDEX(Config!$K$5:$K$16,MATCH(G1081,Config!$J$5:$J$16,0)),""))</f>
        <v>40</v>
      </c>
      <c r="T1081" s="31">
        <f>IF(OR(G1081="",F1081=""),"",IFERROR(INDEX(Config!$M$5:$R$16,MATCH(G1081,Config!$J$5:$J$16,0),MATCH(F1081,Config!$H$5:$H$10,0)),""))</f>
        <v>400</v>
      </c>
      <c r="U1081" s="47">
        <f>IF(AND(H1081="Realizado",L1081&lt;&gt;""),L1081/60,0)</f>
        <v>0</v>
      </c>
      <c r="V1081" s="47">
        <f>IF(AND(H1081="Realizado",OR(L1081="",M1081="")),1,0)</f>
        <v>0</v>
      </c>
    </row>
    <row r="1082">
      <c r="A1082" s="43" t="n">
        <v>46282</v>
      </c>
      <c r="B1082" s="44" t="n">
        <v>0.7152777777777778</v>
      </c>
      <c r="C1082" s="38" t="inlineStr">
        <is>
          <t>Dra. Renata Sousa</t>
        </is>
      </c>
      <c r="D1082" s="38" t="inlineStr">
        <is>
          <t>Sala 1</t>
        </is>
      </c>
      <c r="E1082" s="37" t="inlineStr">
        <is>
          <t>Cláudia Melo</t>
        </is>
      </c>
      <c r="F1082" s="38" t="inlineStr">
        <is>
          <t>Particular</t>
        </is>
      </c>
      <c r="G1082" s="38" t="inlineStr">
        <is>
          <t>Avaliação endócrina</t>
        </is>
      </c>
      <c r="H1082" s="38" t="inlineStr">
        <is>
          <t>Agendado</t>
        </is>
      </c>
      <c r="I1082" s="38" t="n"/>
      <c r="J1082" s="38" t="n"/>
      <c r="K1082" s="37" t="n"/>
      <c r="L1082" s="39" t="n">
        <v>40</v>
      </c>
      <c r="M1082" s="40" t="n">
        <v>400</v>
      </c>
      <c r="N1082" s="30">
        <f>IF(A1082="","",MONTH(A1082))</f>
        <v>9</v>
      </c>
      <c r="O1082" s="30">
        <f>IF(A1082="","",YEAR(A1082))</f>
        <v>2026</v>
      </c>
      <c r="P1082" s="30" t="str">
        <f>IF(A1082="","",CHOOSE(WEEKDAY(A1082,2),"Segunda","Terça","Quarta","Quinta","Sexta","Sábado","Domingo"))</f>
        <v>Quinta</v>
      </c>
      <c r="Q1082" s="30" t="str">
        <f>IF(B1082="","",IF(B1082&lt;TIME(12,0,0),"Manhã",IF(B1082&lt;TIME(18,0,0),"Tarde","Noite")))</f>
        <v>Tarde</v>
      </c>
      <c r="R1082" s="46">
        <f>IF(AND(H1082="Realizado",L1082&lt;&gt;"",A1082&lt;=Config!$B$9),L1082/60,0)</f>
        <v>0</v>
      </c>
      <c r="S1082" s="45">
        <f>IF(G1082="","",IFERROR(INDEX(Config!$K$5:$K$16,MATCH(G1082,Config!$J$5:$J$16,0)),""))</f>
        <v>40</v>
      </c>
      <c r="T1082" s="31">
        <f>IF(OR(G1082="",F1082=""),"",IFERROR(INDEX(Config!$M$5:$R$16,MATCH(G1082,Config!$J$5:$J$16,0),MATCH(F1082,Config!$H$5:$H$10,0)),""))</f>
        <v>400</v>
      </c>
      <c r="U1082" s="47">
        <f>IF(AND(H1082="Realizado",L1082&lt;&gt;""),L1082/60,0)</f>
        <v>0</v>
      </c>
      <c r="V1082" s="47">
        <f>IF(AND(H1082="Realizado",OR(L1082="",M1082="")),1,0)</f>
        <v>0</v>
      </c>
    </row>
    <row r="1083">
      <c r="A1083" s="43" t="n">
        <v>46282</v>
      </c>
      <c r="B1083" s="44" t="n">
        <v>0.7152777777777778</v>
      </c>
      <c r="C1083" s="38" t="inlineStr">
        <is>
          <t>Dr. Paulo Andrade</t>
        </is>
      </c>
      <c r="D1083" s="38" t="inlineStr">
        <is>
          <t>Sala 2</t>
        </is>
      </c>
      <c r="E1083" s="37" t="inlineStr">
        <is>
          <t>Vinícius Cardoso</t>
        </is>
      </c>
      <c r="F1083" s="38" t="inlineStr">
        <is>
          <t>MediPlan</t>
        </is>
      </c>
      <c r="G1083" s="38" t="inlineStr">
        <is>
          <t>Consulta</t>
        </is>
      </c>
      <c r="H1083" s="38" t="inlineStr">
        <is>
          <t>Agendado</t>
        </is>
      </c>
      <c r="I1083" s="38" t="n"/>
      <c r="J1083" s="38" t="n"/>
      <c r="K1083" s="37" t="n"/>
      <c r="L1083" s="39" t="n">
        <v>30</v>
      </c>
      <c r="M1083" s="40" t="n">
        <v>100</v>
      </c>
      <c r="N1083" s="30">
        <f>IF(A1083="","",MONTH(A1083))</f>
        <v>9</v>
      </c>
      <c r="O1083" s="30">
        <f>IF(A1083="","",YEAR(A1083))</f>
        <v>2026</v>
      </c>
      <c r="P1083" s="30" t="str">
        <f>IF(A1083="","",CHOOSE(WEEKDAY(A1083,2),"Segunda","Terça","Quarta","Quinta","Sexta","Sábado","Domingo"))</f>
        <v>Quinta</v>
      </c>
      <c r="Q1083" s="30" t="str">
        <f>IF(B1083="","",IF(B1083&lt;TIME(12,0,0),"Manhã",IF(B1083&lt;TIME(18,0,0),"Tarde","Noite")))</f>
        <v>Tarde</v>
      </c>
      <c r="R1083" s="46">
        <f>IF(AND(H1083="Realizado",L1083&lt;&gt;"",A1083&lt;=Config!$B$9),L1083/60,0)</f>
        <v>0</v>
      </c>
      <c r="S1083" s="45">
        <f>IF(G1083="","",IFERROR(INDEX(Config!$K$5:$K$16,MATCH(G1083,Config!$J$5:$J$16,0)),""))</f>
        <v>30</v>
      </c>
      <c r="T1083" s="31">
        <f>IF(OR(G1083="",F1083=""),"",IFERROR(INDEX(Config!$M$5:$R$16,MATCH(G1083,Config!$J$5:$J$16,0),MATCH(F1083,Config!$H$5:$H$10,0)),""))</f>
        <v>100</v>
      </c>
      <c r="U1083" s="47">
        <f>IF(AND(H1083="Realizado",L1083&lt;&gt;""),L1083/60,0)</f>
        <v>0</v>
      </c>
      <c r="V1083" s="47">
        <f>IF(AND(H1083="Realizado",OR(L1083="",M1083="")),1,0)</f>
        <v>0</v>
      </c>
    </row>
    <row r="1084">
      <c r="A1084" s="43" t="n">
        <v>46282</v>
      </c>
      <c r="B1084" s="44" t="n">
        <v>0.7361111111111112</v>
      </c>
      <c r="C1084" s="38" t="inlineStr">
        <is>
          <t>Dr. Paulo Andrade</t>
        </is>
      </c>
      <c r="D1084" s="38" t="inlineStr">
        <is>
          <t>Sala 2</t>
        </is>
      </c>
      <c r="E1084" s="37" t="inlineStr">
        <is>
          <t>Paulo Reis</t>
        </is>
      </c>
      <c r="F1084" s="38" t="inlineStr">
        <is>
          <t>Particular</t>
        </is>
      </c>
      <c r="G1084" s="38" t="inlineStr">
        <is>
          <t>Holter</t>
        </is>
      </c>
      <c r="H1084" s="38" t="inlineStr">
        <is>
          <t>Agendado</t>
        </is>
      </c>
      <c r="I1084" s="38" t="n"/>
      <c r="J1084" s="38" t="n"/>
      <c r="K1084" s="37" t="n"/>
      <c r="L1084" s="39" t="n">
        <v>20</v>
      </c>
      <c r="M1084" s="40" t="n">
        <v>350</v>
      </c>
      <c r="N1084" s="30">
        <f>IF(A1084="","",MONTH(A1084))</f>
        <v>9</v>
      </c>
      <c r="O1084" s="30">
        <f>IF(A1084="","",YEAR(A1084))</f>
        <v>2026</v>
      </c>
      <c r="P1084" s="30" t="str">
        <f>IF(A1084="","",CHOOSE(WEEKDAY(A1084,2),"Segunda","Terça","Quarta","Quinta","Sexta","Sábado","Domingo"))</f>
        <v>Quinta</v>
      </c>
      <c r="Q1084" s="30" t="str">
        <f>IF(B1084="","",IF(B1084&lt;TIME(12,0,0),"Manhã",IF(B1084&lt;TIME(18,0,0),"Tarde","Noite")))</f>
        <v>Tarde</v>
      </c>
      <c r="R1084" s="46">
        <f>IF(AND(H1084="Realizado",L1084&lt;&gt;"",A1084&lt;=Config!$B$9),L1084/60,0)</f>
        <v>0</v>
      </c>
      <c r="S1084" s="45">
        <f>IF(G1084="","",IFERROR(INDEX(Config!$K$5:$K$16,MATCH(G1084,Config!$J$5:$J$16,0)),""))</f>
        <v>20</v>
      </c>
      <c r="T1084" s="31">
        <f>IF(OR(G1084="",F1084=""),"",IFERROR(INDEX(Config!$M$5:$R$16,MATCH(G1084,Config!$J$5:$J$16,0),MATCH(F1084,Config!$H$5:$H$10,0)),""))</f>
        <v>350</v>
      </c>
      <c r="U1084" s="47">
        <f>IF(AND(H1084="Realizado",L1084&lt;&gt;""),L1084/60,0)</f>
        <v>0</v>
      </c>
      <c r="V1084" s="47">
        <f>IF(AND(H1084="Realizado",OR(L1084="",M1084="")),1,0)</f>
        <v>0</v>
      </c>
    </row>
    <row r="1085">
      <c r="A1085" s="43" t="n">
        <v>46283</v>
      </c>
      <c r="B1085" s="44" t="n">
        <v>0.3333333333333333</v>
      </c>
      <c r="C1085" s="38" t="inlineStr">
        <is>
          <t>Dr. Paulo Andrade</t>
        </is>
      </c>
      <c r="D1085" s="38" t="inlineStr">
        <is>
          <t>Sala 2</t>
        </is>
      </c>
      <c r="E1085" s="37" t="inlineStr">
        <is>
          <t>Vanessa Carvalho</t>
        </is>
      </c>
      <c r="F1085" s="38" t="inlineStr">
        <is>
          <t>Saúde Total</t>
        </is>
      </c>
      <c r="G1085" s="38" t="inlineStr">
        <is>
          <t>Retorno</t>
        </is>
      </c>
      <c r="H1085" s="38" t="inlineStr">
        <is>
          <t>Agendado</t>
        </is>
      </c>
      <c r="I1085" s="38" t="n"/>
      <c r="J1085" s="38" t="n"/>
      <c r="K1085" s="37" t="n"/>
      <c r="L1085" s="39" t="n">
        <v>20</v>
      </c>
      <c r="M1085" s="40" t="n">
        <v>0</v>
      </c>
      <c r="N1085" s="30">
        <f>IF(A1085="","",MONTH(A1085))</f>
        <v>9</v>
      </c>
      <c r="O1085" s="30">
        <f>IF(A1085="","",YEAR(A1085))</f>
        <v>2026</v>
      </c>
      <c r="P1085" s="30" t="str">
        <f>IF(A1085="","",CHOOSE(WEEKDAY(A1085,2),"Segunda","Terça","Quarta","Quinta","Sexta","Sábado","Domingo"))</f>
        <v>Sexta</v>
      </c>
      <c r="Q1085" s="30" t="str">
        <f>IF(B1085="","",IF(B1085&lt;TIME(12,0,0),"Manhã",IF(B1085&lt;TIME(18,0,0),"Tarde","Noite")))</f>
        <v>Manhã</v>
      </c>
      <c r="R1085" s="46">
        <f>IF(AND(H1085="Realizado",L1085&lt;&gt;"",A1085&lt;=Config!$B$9),L1085/60,0)</f>
        <v>0</v>
      </c>
      <c r="S1085" s="45">
        <f>IF(G1085="","",IFERROR(INDEX(Config!$K$5:$K$16,MATCH(G1085,Config!$J$5:$J$16,0)),""))</f>
        <v>20</v>
      </c>
      <c r="T1085" s="31">
        <f>IF(OR(G1085="",F1085=""),"",IFERROR(INDEX(Config!$M$5:$R$16,MATCH(G1085,Config!$J$5:$J$16,0),MATCH(F1085,Config!$H$5:$H$10,0)),""))</f>
        <v>0</v>
      </c>
      <c r="U1085" s="47">
        <f>IF(AND(H1085="Realizado",L1085&lt;&gt;""),L1085/60,0)</f>
        <v>0</v>
      </c>
      <c r="V1085" s="47">
        <f>IF(AND(H1085="Realizado",OR(L1085="",M1085="")),1,0)</f>
        <v>0</v>
      </c>
    </row>
    <row r="1086">
      <c r="A1086" s="43" t="n">
        <v>46283</v>
      </c>
      <c r="B1086" s="44" t="n">
        <v>0.3472222222222222</v>
      </c>
      <c r="C1086" s="38" t="inlineStr">
        <is>
          <t>Dr. Paulo Andrade</t>
        </is>
      </c>
      <c r="D1086" s="38" t="inlineStr">
        <is>
          <t>Sala 2</t>
        </is>
      </c>
      <c r="E1086" s="37" t="inlineStr">
        <is>
          <t>Helena Ribeiro</t>
        </is>
      </c>
      <c r="F1086" s="38" t="inlineStr">
        <is>
          <t>MediPlan</t>
        </is>
      </c>
      <c r="G1086" s="38" t="inlineStr">
        <is>
          <t>ECG</t>
        </is>
      </c>
      <c r="H1086" s="38" t="inlineStr">
        <is>
          <t>Agendado</t>
        </is>
      </c>
      <c r="I1086" s="38" t="n"/>
      <c r="J1086" s="38" t="n"/>
      <c r="K1086" s="37" t="n"/>
      <c r="L1086" s="39" t="n">
        <v>20</v>
      </c>
      <c r="M1086" s="40" t="n">
        <v>35</v>
      </c>
      <c r="N1086" s="30">
        <f>IF(A1086="","",MONTH(A1086))</f>
        <v>9</v>
      </c>
      <c r="O1086" s="30">
        <f>IF(A1086="","",YEAR(A1086))</f>
        <v>2026</v>
      </c>
      <c r="P1086" s="30" t="str">
        <f>IF(A1086="","",CHOOSE(WEEKDAY(A1086,2),"Segunda","Terça","Quarta","Quinta","Sexta","Sábado","Domingo"))</f>
        <v>Sexta</v>
      </c>
      <c r="Q1086" s="30" t="str">
        <f>IF(B1086="","",IF(B1086&lt;TIME(12,0,0),"Manhã",IF(B1086&lt;TIME(18,0,0),"Tarde","Noite")))</f>
        <v>Manhã</v>
      </c>
      <c r="R1086" s="46">
        <f>IF(AND(H1086="Realizado",L1086&lt;&gt;"",A1086&lt;=Config!$B$9),L1086/60,0)</f>
        <v>0</v>
      </c>
      <c r="S1086" s="45">
        <f>IF(G1086="","",IFERROR(INDEX(Config!$K$5:$K$16,MATCH(G1086,Config!$J$5:$J$16,0)),""))</f>
        <v>20</v>
      </c>
      <c r="T1086" s="31">
        <f>IF(OR(G1086="",F1086=""),"",IFERROR(INDEX(Config!$M$5:$R$16,MATCH(G1086,Config!$J$5:$J$16,0),MATCH(F1086,Config!$H$5:$H$10,0)),""))</f>
        <v>35</v>
      </c>
      <c r="U1086" s="47">
        <f>IF(AND(H1086="Realizado",L1086&lt;&gt;""),L1086/60,0)</f>
        <v>0</v>
      </c>
      <c r="V1086" s="47">
        <f>IF(AND(H1086="Realizado",OR(L1086="",M1086="")),1,0)</f>
        <v>0</v>
      </c>
    </row>
    <row r="1087">
      <c r="A1087" s="43" t="n">
        <v>46283</v>
      </c>
      <c r="B1087" s="44" t="n">
        <v>0.3611111111111111</v>
      </c>
      <c r="C1087" s="38" t="inlineStr">
        <is>
          <t>Dr. Paulo Andrade</t>
        </is>
      </c>
      <c r="D1087" s="38" t="inlineStr">
        <is>
          <t>Sala 2</t>
        </is>
      </c>
      <c r="E1087" s="37" t="inlineStr">
        <is>
          <t>Daniel Almeida</t>
        </is>
      </c>
      <c r="F1087" s="38" t="inlineStr">
        <is>
          <t>Saúde Total</t>
        </is>
      </c>
      <c r="G1087" s="38" t="inlineStr">
        <is>
          <t>ECG</t>
        </is>
      </c>
      <c r="H1087" s="38" t="inlineStr">
        <is>
          <t>Agendado</t>
        </is>
      </c>
      <c r="I1087" s="38" t="n"/>
      <c r="J1087" s="38" t="n"/>
      <c r="K1087" s="37" t="n"/>
      <c r="L1087" s="39" t="n">
        <v>20</v>
      </c>
      <c r="M1087" s="40" t="n">
        <v>40</v>
      </c>
      <c r="N1087" s="30">
        <f>IF(A1087="","",MONTH(A1087))</f>
        <v>9</v>
      </c>
      <c r="O1087" s="30">
        <f>IF(A1087="","",YEAR(A1087))</f>
        <v>2026</v>
      </c>
      <c r="P1087" s="30" t="str">
        <f>IF(A1087="","",CHOOSE(WEEKDAY(A1087,2),"Segunda","Terça","Quarta","Quinta","Sexta","Sábado","Domingo"))</f>
        <v>Sexta</v>
      </c>
      <c r="Q1087" s="30" t="str">
        <f>IF(B1087="","",IF(B1087&lt;TIME(12,0,0),"Manhã",IF(B1087&lt;TIME(18,0,0),"Tarde","Noite")))</f>
        <v>Manhã</v>
      </c>
      <c r="R1087" s="46">
        <f>IF(AND(H1087="Realizado",L1087&lt;&gt;"",A1087&lt;=Config!$B$9),L1087/60,0)</f>
        <v>0</v>
      </c>
      <c r="S1087" s="45">
        <f>IF(G1087="","",IFERROR(INDEX(Config!$K$5:$K$16,MATCH(G1087,Config!$J$5:$J$16,0)),""))</f>
        <v>20</v>
      </c>
      <c r="T1087" s="31">
        <f>IF(OR(G1087="",F1087=""),"",IFERROR(INDEX(Config!$M$5:$R$16,MATCH(G1087,Config!$J$5:$J$16,0),MATCH(F1087,Config!$H$5:$H$10,0)),""))</f>
        <v>40</v>
      </c>
      <c r="U1087" s="47">
        <f>IF(AND(H1087="Realizado",L1087&lt;&gt;""),L1087/60,0)</f>
        <v>0</v>
      </c>
      <c r="V1087" s="47">
        <f>IF(AND(H1087="Realizado",OR(L1087="",M1087="")),1,0)</f>
        <v>0</v>
      </c>
    </row>
    <row r="1088">
      <c r="A1088" s="43" t="n">
        <v>46283</v>
      </c>
      <c r="B1088" s="44" t="n">
        <v>0.3958333333333333</v>
      </c>
      <c r="C1088" s="38" t="inlineStr">
        <is>
          <t>Dr. Paulo Andrade</t>
        </is>
      </c>
      <c r="D1088" s="38" t="inlineStr">
        <is>
          <t>Sala 2</t>
        </is>
      </c>
      <c r="E1088" s="37" t="inlineStr">
        <is>
          <t>Leandro Cardoso</t>
        </is>
      </c>
      <c r="F1088" s="38" t="inlineStr">
        <is>
          <t>MediPlan</t>
        </is>
      </c>
      <c r="G1088" s="38" t="inlineStr">
        <is>
          <t>Retorno</t>
        </is>
      </c>
      <c r="H1088" s="38" t="inlineStr">
        <is>
          <t>Agendado</t>
        </is>
      </c>
      <c r="I1088" s="38" t="n"/>
      <c r="J1088" s="38" t="n"/>
      <c r="K1088" s="37" t="n"/>
      <c r="L1088" s="39" t="n">
        <v>20</v>
      </c>
      <c r="M1088" s="40" t="n">
        <v>0</v>
      </c>
      <c r="N1088" s="30">
        <f>IF(A1088="","",MONTH(A1088))</f>
        <v>9</v>
      </c>
      <c r="O1088" s="30">
        <f>IF(A1088="","",YEAR(A1088))</f>
        <v>2026</v>
      </c>
      <c r="P1088" s="30" t="str">
        <f>IF(A1088="","",CHOOSE(WEEKDAY(A1088,2),"Segunda","Terça","Quarta","Quinta","Sexta","Sábado","Domingo"))</f>
        <v>Sexta</v>
      </c>
      <c r="Q1088" s="30" t="str">
        <f>IF(B1088="","",IF(B1088&lt;TIME(12,0,0),"Manhã",IF(B1088&lt;TIME(18,0,0),"Tarde","Noite")))</f>
        <v>Manhã</v>
      </c>
      <c r="R1088" s="46">
        <f>IF(AND(H1088="Realizado",L1088&lt;&gt;"",A1088&lt;=Config!$B$9),L1088/60,0)</f>
        <v>0</v>
      </c>
      <c r="S1088" s="45">
        <f>IF(G1088="","",IFERROR(INDEX(Config!$K$5:$K$16,MATCH(G1088,Config!$J$5:$J$16,0)),""))</f>
        <v>20</v>
      </c>
      <c r="T1088" s="31">
        <f>IF(OR(G1088="",F1088=""),"",IFERROR(INDEX(Config!$M$5:$R$16,MATCH(G1088,Config!$J$5:$J$16,0),MATCH(F1088,Config!$H$5:$H$10,0)),""))</f>
        <v>0</v>
      </c>
      <c r="U1088" s="47">
        <f>IF(AND(H1088="Realizado",L1088&lt;&gt;""),L1088/60,0)</f>
        <v>0</v>
      </c>
      <c r="V1088" s="47">
        <f>IF(AND(H1088="Realizado",OR(L1088="",M1088="")),1,0)</f>
        <v>0</v>
      </c>
    </row>
    <row r="1089">
      <c r="A1089" s="43" t="n">
        <v>46283</v>
      </c>
      <c r="B1089" s="44" t="n">
        <v>0.4097222222222222</v>
      </c>
      <c r="C1089" s="38" t="inlineStr">
        <is>
          <t>Dr. Paulo Andrade</t>
        </is>
      </c>
      <c r="D1089" s="38" t="inlineStr">
        <is>
          <t>Sala 2</t>
        </is>
      </c>
      <c r="E1089" s="37" t="inlineStr">
        <is>
          <t>Patrícia Fernandes</t>
        </is>
      </c>
      <c r="F1089" s="38" t="inlineStr">
        <is>
          <t>Particular</t>
        </is>
      </c>
      <c r="G1089" s="38" t="inlineStr">
        <is>
          <t>ECG</t>
        </is>
      </c>
      <c r="H1089" s="38" t="inlineStr">
        <is>
          <t>Agendado</t>
        </is>
      </c>
      <c r="I1089" s="38" t="n"/>
      <c r="J1089" s="38" t="n"/>
      <c r="K1089" s="37" t="n"/>
      <c r="L1089" s="39" t="n">
        <v>20</v>
      </c>
      <c r="M1089" s="40" t="n">
        <v>130</v>
      </c>
      <c r="N1089" s="30">
        <f>IF(A1089="","",MONTH(A1089))</f>
        <v>9</v>
      </c>
      <c r="O1089" s="30">
        <f>IF(A1089="","",YEAR(A1089))</f>
        <v>2026</v>
      </c>
      <c r="P1089" s="30" t="str">
        <f>IF(A1089="","",CHOOSE(WEEKDAY(A1089,2),"Segunda","Terça","Quarta","Quinta","Sexta","Sábado","Domingo"))</f>
        <v>Sexta</v>
      </c>
      <c r="Q1089" s="30" t="str">
        <f>IF(B1089="","",IF(B1089&lt;TIME(12,0,0),"Manhã",IF(B1089&lt;TIME(18,0,0),"Tarde","Noite")))</f>
        <v>Manhã</v>
      </c>
      <c r="R1089" s="46">
        <f>IF(AND(H1089="Realizado",L1089&lt;&gt;"",A1089&lt;=Config!$B$9),L1089/60,0)</f>
        <v>0</v>
      </c>
      <c r="S1089" s="45">
        <f>IF(G1089="","",IFERROR(INDEX(Config!$K$5:$K$16,MATCH(G1089,Config!$J$5:$J$16,0)),""))</f>
        <v>20</v>
      </c>
      <c r="T1089" s="31">
        <f>IF(OR(G1089="",F1089=""),"",IFERROR(INDEX(Config!$M$5:$R$16,MATCH(G1089,Config!$J$5:$J$16,0),MATCH(F1089,Config!$H$5:$H$10,0)),""))</f>
        <v>130</v>
      </c>
      <c r="U1089" s="47">
        <f>IF(AND(H1089="Realizado",L1089&lt;&gt;""),L1089/60,0)</f>
        <v>0</v>
      </c>
      <c r="V1089" s="47">
        <f>IF(AND(H1089="Realizado",OR(L1089="",M1089="")),1,0)</f>
        <v>0</v>
      </c>
    </row>
    <row r="1090">
      <c r="A1090" s="43" t="n">
        <v>46283</v>
      </c>
      <c r="B1090" s="44" t="n">
        <v>0.4236111111111111</v>
      </c>
      <c r="C1090" s="38" t="inlineStr">
        <is>
          <t>Dr. Paulo Andrade</t>
        </is>
      </c>
      <c r="D1090" s="38" t="inlineStr">
        <is>
          <t>Sala 2</t>
        </is>
      </c>
      <c r="E1090" s="37" t="inlineStr">
        <is>
          <t>Regina Macedo</t>
        </is>
      </c>
      <c r="F1090" s="38" t="inlineStr">
        <is>
          <t>Particular</t>
        </is>
      </c>
      <c r="G1090" s="38" t="inlineStr">
        <is>
          <t>ECG</t>
        </is>
      </c>
      <c r="H1090" s="38" t="inlineStr">
        <is>
          <t>Agendado</t>
        </is>
      </c>
      <c r="I1090" s="38" t="n"/>
      <c r="J1090" s="38" t="n"/>
      <c r="K1090" s="37" t="n"/>
      <c r="L1090" s="39" t="n">
        <v>20</v>
      </c>
      <c r="M1090" s="40" t="n">
        <v>130</v>
      </c>
      <c r="N1090" s="30">
        <f>IF(A1090="","",MONTH(A1090))</f>
        <v>9</v>
      </c>
      <c r="O1090" s="30">
        <f>IF(A1090="","",YEAR(A1090))</f>
        <v>2026</v>
      </c>
      <c r="P1090" s="30" t="str">
        <f>IF(A1090="","",CHOOSE(WEEKDAY(A1090,2),"Segunda","Terça","Quarta","Quinta","Sexta","Sábado","Domingo"))</f>
        <v>Sexta</v>
      </c>
      <c r="Q1090" s="30" t="str">
        <f>IF(B1090="","",IF(B1090&lt;TIME(12,0,0),"Manhã",IF(B1090&lt;TIME(18,0,0),"Tarde","Noite")))</f>
        <v>Manhã</v>
      </c>
      <c r="R1090" s="46">
        <f>IF(AND(H1090="Realizado",L1090&lt;&gt;"",A1090&lt;=Config!$B$9),L1090/60,0)</f>
        <v>0</v>
      </c>
      <c r="S1090" s="45">
        <f>IF(G1090="","",IFERROR(INDEX(Config!$K$5:$K$16,MATCH(G1090,Config!$J$5:$J$16,0)),""))</f>
        <v>20</v>
      </c>
      <c r="T1090" s="31">
        <f>IF(OR(G1090="",F1090=""),"",IFERROR(INDEX(Config!$M$5:$R$16,MATCH(G1090,Config!$J$5:$J$16,0),MATCH(F1090,Config!$H$5:$H$10,0)),""))</f>
        <v>130</v>
      </c>
      <c r="U1090" s="47">
        <f>IF(AND(H1090="Realizado",L1090&lt;&gt;""),L1090/60,0)</f>
        <v>0</v>
      </c>
      <c r="V1090" s="47">
        <f>IF(AND(H1090="Realizado",OR(L1090="",M1090="")),1,0)</f>
        <v>0</v>
      </c>
    </row>
    <row r="1091">
      <c r="A1091" s="43" t="n">
        <v>46283</v>
      </c>
      <c r="B1091" s="44" t="n">
        <v>0.4375</v>
      </c>
      <c r="C1091" s="38" t="inlineStr">
        <is>
          <t>Dr. Paulo Andrade</t>
        </is>
      </c>
      <c r="D1091" s="38" t="inlineStr">
        <is>
          <t>Sala 2</t>
        </is>
      </c>
      <c r="E1091" s="37" t="inlineStr">
        <is>
          <t>Marcelo Ferreira</t>
        </is>
      </c>
      <c r="F1091" s="38" t="inlineStr">
        <is>
          <t>Particular</t>
        </is>
      </c>
      <c r="G1091" s="38" t="inlineStr">
        <is>
          <t>Consulta</t>
        </is>
      </c>
      <c r="H1091" s="38" t="inlineStr">
        <is>
          <t>Agendado</t>
        </is>
      </c>
      <c r="I1091" s="38" t="n"/>
      <c r="J1091" s="38" t="n"/>
      <c r="K1091" s="37" t="n"/>
      <c r="L1091" s="39" t="n">
        <v>30</v>
      </c>
      <c r="M1091" s="40" t="n">
        <v>380</v>
      </c>
      <c r="N1091" s="30">
        <f>IF(A1091="","",MONTH(A1091))</f>
        <v>9</v>
      </c>
      <c r="O1091" s="30">
        <f>IF(A1091="","",YEAR(A1091))</f>
        <v>2026</v>
      </c>
      <c r="P1091" s="30" t="str">
        <f>IF(A1091="","",CHOOSE(WEEKDAY(A1091,2),"Segunda","Terça","Quarta","Quinta","Sexta","Sábado","Domingo"))</f>
        <v>Sexta</v>
      </c>
      <c r="Q1091" s="30" t="str">
        <f>IF(B1091="","",IF(B1091&lt;TIME(12,0,0),"Manhã",IF(B1091&lt;TIME(18,0,0),"Tarde","Noite")))</f>
        <v>Manhã</v>
      </c>
      <c r="R1091" s="46">
        <f>IF(AND(H1091="Realizado",L1091&lt;&gt;"",A1091&lt;=Config!$B$9),L1091/60,0)</f>
        <v>0</v>
      </c>
      <c r="S1091" s="45">
        <f>IF(G1091="","",IFERROR(INDEX(Config!$K$5:$K$16,MATCH(G1091,Config!$J$5:$J$16,0)),""))</f>
        <v>30</v>
      </c>
      <c r="T1091" s="31">
        <f>IF(OR(G1091="",F1091=""),"",IFERROR(INDEX(Config!$M$5:$R$16,MATCH(G1091,Config!$J$5:$J$16,0),MATCH(F1091,Config!$H$5:$H$10,0)),""))</f>
        <v>380</v>
      </c>
      <c r="U1091" s="47">
        <f>IF(AND(H1091="Realizado",L1091&lt;&gt;""),L1091/60,0)</f>
        <v>0</v>
      </c>
      <c r="V1091" s="47">
        <f>IF(AND(H1091="Realizado",OR(L1091="",M1091="")),1,0)</f>
        <v>0</v>
      </c>
    </row>
    <row r="1092">
      <c r="A1092" s="43" t="n">
        <v>46283</v>
      </c>
      <c r="B1092" s="44" t="n">
        <v>0.4583333333333333</v>
      </c>
      <c r="C1092" s="38" t="inlineStr">
        <is>
          <t>Dr. Paulo Andrade</t>
        </is>
      </c>
      <c r="D1092" s="38" t="inlineStr">
        <is>
          <t>Sala 2</t>
        </is>
      </c>
      <c r="E1092" s="37" t="inlineStr">
        <is>
          <t>Thiago Duarte</t>
        </is>
      </c>
      <c r="F1092" s="38" t="inlineStr">
        <is>
          <t>Saúde Total</t>
        </is>
      </c>
      <c r="G1092" s="38" t="inlineStr">
        <is>
          <t>Teste ergométrico</t>
        </is>
      </c>
      <c r="H1092" s="38" t="inlineStr">
        <is>
          <t>Agendado</t>
        </is>
      </c>
      <c r="I1092" s="38" t="n"/>
      <c r="J1092" s="38" t="n"/>
      <c r="K1092" s="37" t="n"/>
      <c r="L1092" s="39" t="n">
        <v>40</v>
      </c>
      <c r="M1092" s="40" t="n">
        <v>140</v>
      </c>
      <c r="N1092" s="30">
        <f>IF(A1092="","",MONTH(A1092))</f>
        <v>9</v>
      </c>
      <c r="O1092" s="30">
        <f>IF(A1092="","",YEAR(A1092))</f>
        <v>2026</v>
      </c>
      <c r="P1092" s="30" t="str">
        <f>IF(A1092="","",CHOOSE(WEEKDAY(A1092,2),"Segunda","Terça","Quarta","Quinta","Sexta","Sábado","Domingo"))</f>
        <v>Sexta</v>
      </c>
      <c r="Q1092" s="30" t="str">
        <f>IF(B1092="","",IF(B1092&lt;TIME(12,0,0),"Manhã",IF(B1092&lt;TIME(18,0,0),"Tarde","Noite")))</f>
        <v>Manhã</v>
      </c>
      <c r="R1092" s="46">
        <f>IF(AND(H1092="Realizado",L1092&lt;&gt;"",A1092&lt;=Config!$B$9),L1092/60,0)</f>
        <v>0</v>
      </c>
      <c r="S1092" s="45">
        <f>IF(G1092="","",IFERROR(INDEX(Config!$K$5:$K$16,MATCH(G1092,Config!$J$5:$J$16,0)),""))</f>
        <v>40</v>
      </c>
      <c r="T1092" s="31">
        <f>IF(OR(G1092="",F1092=""),"",IFERROR(INDEX(Config!$M$5:$R$16,MATCH(G1092,Config!$J$5:$J$16,0),MATCH(F1092,Config!$H$5:$H$10,0)),""))</f>
        <v>140</v>
      </c>
      <c r="U1092" s="47">
        <f>IF(AND(H1092="Realizado",L1092&lt;&gt;""),L1092/60,0)</f>
        <v>0</v>
      </c>
      <c r="V1092" s="47">
        <f>IF(AND(H1092="Realizado",OR(L1092="",M1092="")),1,0)</f>
        <v>0</v>
      </c>
    </row>
    <row r="1093">
      <c r="A1093" s="43" t="n">
        <v>46283</v>
      </c>
      <c r="B1093" s="44" t="n">
        <v>0.4861111111111111</v>
      </c>
      <c r="C1093" s="38" t="inlineStr">
        <is>
          <t>Dr. Paulo Andrade</t>
        </is>
      </c>
      <c r="D1093" s="38" t="inlineStr">
        <is>
          <t>Sala 2</t>
        </is>
      </c>
      <c r="E1093" s="37" t="inlineStr">
        <is>
          <t>Vinícius Cardoso</t>
        </is>
      </c>
      <c r="F1093" s="38" t="inlineStr">
        <is>
          <t>MediPlan</t>
        </is>
      </c>
      <c r="G1093" s="38" t="inlineStr">
        <is>
          <t>Retorno</t>
        </is>
      </c>
      <c r="H1093" s="38" t="inlineStr">
        <is>
          <t>Agendado</t>
        </is>
      </c>
      <c r="I1093" s="38" t="n"/>
      <c r="J1093" s="38" t="n"/>
      <c r="K1093" s="37" t="n"/>
      <c r="L1093" s="39" t="n">
        <v>20</v>
      </c>
      <c r="M1093" s="40" t="n">
        <v>0</v>
      </c>
      <c r="N1093" s="30">
        <f>IF(A1093="","",MONTH(A1093))</f>
        <v>9</v>
      </c>
      <c r="O1093" s="30">
        <f>IF(A1093="","",YEAR(A1093))</f>
        <v>2026</v>
      </c>
      <c r="P1093" s="30" t="str">
        <f>IF(A1093="","",CHOOSE(WEEKDAY(A1093,2),"Segunda","Terça","Quarta","Quinta","Sexta","Sábado","Domingo"))</f>
        <v>Sexta</v>
      </c>
      <c r="Q1093" s="30" t="str">
        <f>IF(B1093="","",IF(B1093&lt;TIME(12,0,0),"Manhã",IF(B1093&lt;TIME(18,0,0),"Tarde","Noite")))</f>
        <v>Manhã</v>
      </c>
      <c r="R1093" s="46">
        <f>IF(AND(H1093="Realizado",L1093&lt;&gt;"",A1093&lt;=Config!$B$9),L1093/60,0)</f>
        <v>0</v>
      </c>
      <c r="S1093" s="45">
        <f>IF(G1093="","",IFERROR(INDEX(Config!$K$5:$K$16,MATCH(G1093,Config!$J$5:$J$16,0)),""))</f>
        <v>20</v>
      </c>
      <c r="T1093" s="31">
        <f>IF(OR(G1093="",F1093=""),"",IFERROR(INDEX(Config!$M$5:$R$16,MATCH(G1093,Config!$J$5:$J$16,0),MATCH(F1093,Config!$H$5:$H$10,0)),""))</f>
        <v>0</v>
      </c>
      <c r="U1093" s="47">
        <f>IF(AND(H1093="Realizado",L1093&lt;&gt;""),L1093/60,0)</f>
        <v>0</v>
      </c>
      <c r="V1093" s="47">
        <f>IF(AND(H1093="Realizado",OR(L1093="",M1093="")),1,0)</f>
        <v>0</v>
      </c>
    </row>
    <row r="1094">
      <c r="A1094" s="43" t="n">
        <v>46286</v>
      </c>
      <c r="B1094" s="44" t="n">
        <v>0.3333333333333333</v>
      </c>
      <c r="C1094" s="38" t="inlineStr">
        <is>
          <t>Dra. Carolina Mendes</t>
        </is>
      </c>
      <c r="D1094" s="38" t="inlineStr">
        <is>
          <t>Sala 1</t>
        </is>
      </c>
      <c r="E1094" s="37" t="inlineStr">
        <is>
          <t>Sérgio Martins</t>
        </is>
      </c>
      <c r="F1094" s="38" t="inlineStr">
        <is>
          <t>Particular</t>
        </is>
      </c>
      <c r="G1094" s="38" t="inlineStr">
        <is>
          <t>Consulta</t>
        </is>
      </c>
      <c r="H1094" s="38" t="inlineStr">
        <is>
          <t>Agendado</t>
        </is>
      </c>
      <c r="I1094" s="38" t="n"/>
      <c r="J1094" s="38" t="n"/>
      <c r="K1094" s="37" t="n"/>
      <c r="L1094" s="39" t="n">
        <v>30</v>
      </c>
      <c r="M1094" s="40" t="n">
        <v>380</v>
      </c>
      <c r="N1094" s="30">
        <f>IF(A1094="","",MONTH(A1094))</f>
        <v>9</v>
      </c>
      <c r="O1094" s="30">
        <f>IF(A1094="","",YEAR(A1094))</f>
        <v>2026</v>
      </c>
      <c r="P1094" s="30" t="str">
        <f>IF(A1094="","",CHOOSE(WEEKDAY(A1094,2),"Segunda","Terça","Quarta","Quinta","Sexta","Sábado","Domingo"))</f>
        <v>Segunda</v>
      </c>
      <c r="Q1094" s="30" t="str">
        <f>IF(B1094="","",IF(B1094&lt;TIME(12,0,0),"Manhã",IF(B1094&lt;TIME(18,0,0),"Tarde","Noite")))</f>
        <v>Manhã</v>
      </c>
      <c r="R1094" s="46">
        <f>IF(AND(H1094="Realizado",L1094&lt;&gt;"",A1094&lt;=Config!$B$9),L1094/60,0)</f>
        <v>0</v>
      </c>
      <c r="S1094" s="45">
        <f>IF(G1094="","",IFERROR(INDEX(Config!$K$5:$K$16,MATCH(G1094,Config!$J$5:$J$16,0)),""))</f>
        <v>30</v>
      </c>
      <c r="T1094" s="31">
        <f>IF(OR(G1094="",F1094=""),"",IFERROR(INDEX(Config!$M$5:$R$16,MATCH(G1094,Config!$J$5:$J$16,0),MATCH(F1094,Config!$H$5:$H$10,0)),""))</f>
        <v>380</v>
      </c>
      <c r="U1094" s="47">
        <f>IF(AND(H1094="Realizado",L1094&lt;&gt;""),L1094/60,0)</f>
        <v>0</v>
      </c>
      <c r="V1094" s="47">
        <f>IF(AND(H1094="Realizado",OR(L1094="",M1094="")),1,0)</f>
        <v>0</v>
      </c>
    </row>
    <row r="1095">
      <c r="A1095" s="43" t="n">
        <v>46286</v>
      </c>
      <c r="B1095" s="44" t="n">
        <v>0.3541666666666667</v>
      </c>
      <c r="C1095" s="38" t="inlineStr">
        <is>
          <t>Dra. Carolina Mendes</t>
        </is>
      </c>
      <c r="D1095" s="38" t="inlineStr">
        <is>
          <t>Sala 1</t>
        </is>
      </c>
      <c r="E1095" s="37" t="inlineStr">
        <is>
          <t>Gisele Ribeiro</t>
        </is>
      </c>
      <c r="F1095" s="38" t="inlineStr">
        <is>
          <t>Particular</t>
        </is>
      </c>
      <c r="G1095" s="38" t="inlineStr">
        <is>
          <t>Consulta</t>
        </is>
      </c>
      <c r="H1095" s="38" t="inlineStr">
        <is>
          <t>Agendado</t>
        </is>
      </c>
      <c r="I1095" s="38" t="n"/>
      <c r="J1095" s="38" t="n"/>
      <c r="K1095" s="37" t="n"/>
      <c r="L1095" s="39" t="n">
        <v>30</v>
      </c>
      <c r="M1095" s="40" t="n">
        <v>380</v>
      </c>
      <c r="N1095" s="30">
        <f>IF(A1095="","",MONTH(A1095))</f>
        <v>9</v>
      </c>
      <c r="O1095" s="30">
        <f>IF(A1095="","",YEAR(A1095))</f>
        <v>2026</v>
      </c>
      <c r="P1095" s="30" t="str">
        <f>IF(A1095="","",CHOOSE(WEEKDAY(A1095,2),"Segunda","Terça","Quarta","Quinta","Sexta","Sábado","Domingo"))</f>
        <v>Segunda</v>
      </c>
      <c r="Q1095" s="30" t="str">
        <f>IF(B1095="","",IF(B1095&lt;TIME(12,0,0),"Manhã",IF(B1095&lt;TIME(18,0,0),"Tarde","Noite")))</f>
        <v>Manhã</v>
      </c>
      <c r="R1095" s="46">
        <f>IF(AND(H1095="Realizado",L1095&lt;&gt;"",A1095&lt;=Config!$B$9),L1095/60,0)</f>
        <v>0</v>
      </c>
      <c r="S1095" s="45">
        <f>IF(G1095="","",IFERROR(INDEX(Config!$K$5:$K$16,MATCH(G1095,Config!$J$5:$J$16,0)),""))</f>
        <v>30</v>
      </c>
      <c r="T1095" s="31">
        <f>IF(OR(G1095="",F1095=""),"",IFERROR(INDEX(Config!$M$5:$R$16,MATCH(G1095,Config!$J$5:$J$16,0),MATCH(F1095,Config!$H$5:$H$10,0)),""))</f>
        <v>380</v>
      </c>
      <c r="U1095" s="47">
        <f>IF(AND(H1095="Realizado",L1095&lt;&gt;""),L1095/60,0)</f>
        <v>0</v>
      </c>
      <c r="V1095" s="47">
        <f>IF(AND(H1095="Realizado",OR(L1095="",M1095="")),1,0)</f>
        <v>0</v>
      </c>
    </row>
    <row r="1096">
      <c r="A1096" s="43" t="n">
        <v>46286</v>
      </c>
      <c r="B1096" s="44" t="n">
        <v>0.3958333333333333</v>
      </c>
      <c r="C1096" s="38" t="inlineStr">
        <is>
          <t>Dra. Carolina Mendes</t>
        </is>
      </c>
      <c r="D1096" s="38" t="inlineStr">
        <is>
          <t>Sala 1</t>
        </is>
      </c>
      <c r="E1096" s="37" t="inlineStr">
        <is>
          <t>Regina Macedo</t>
        </is>
      </c>
      <c r="F1096" s="38" t="inlineStr">
        <is>
          <t>Particular</t>
        </is>
      </c>
      <c r="G1096" s="38" t="inlineStr">
        <is>
          <t>Consulta</t>
        </is>
      </c>
      <c r="H1096" s="38" t="inlineStr">
        <is>
          <t>Agendado</t>
        </is>
      </c>
      <c r="I1096" s="38" t="n"/>
      <c r="J1096" s="38" t="n"/>
      <c r="K1096" s="37" t="n"/>
      <c r="L1096" s="39" t="n">
        <v>30</v>
      </c>
      <c r="M1096" s="40" t="n">
        <v>380</v>
      </c>
      <c r="N1096" s="30">
        <f>IF(A1096="","",MONTH(A1096))</f>
        <v>9</v>
      </c>
      <c r="O1096" s="30">
        <f>IF(A1096="","",YEAR(A1096))</f>
        <v>2026</v>
      </c>
      <c r="P1096" s="30" t="str">
        <f>IF(A1096="","",CHOOSE(WEEKDAY(A1096,2),"Segunda","Terça","Quarta","Quinta","Sexta","Sábado","Domingo"))</f>
        <v>Segunda</v>
      </c>
      <c r="Q1096" s="30" t="str">
        <f>IF(B1096="","",IF(B1096&lt;TIME(12,0,0),"Manhã",IF(B1096&lt;TIME(18,0,0),"Tarde","Noite")))</f>
        <v>Manhã</v>
      </c>
      <c r="R1096" s="46">
        <f>IF(AND(H1096="Realizado",L1096&lt;&gt;"",A1096&lt;=Config!$B$9),L1096/60,0)</f>
        <v>0</v>
      </c>
      <c r="S1096" s="45">
        <f>IF(G1096="","",IFERROR(INDEX(Config!$K$5:$K$16,MATCH(G1096,Config!$J$5:$J$16,0)),""))</f>
        <v>30</v>
      </c>
      <c r="T1096" s="31">
        <f>IF(OR(G1096="",F1096=""),"",IFERROR(INDEX(Config!$M$5:$R$16,MATCH(G1096,Config!$J$5:$J$16,0),MATCH(F1096,Config!$H$5:$H$10,0)),""))</f>
        <v>380</v>
      </c>
      <c r="U1096" s="47">
        <f>IF(AND(H1096="Realizado",L1096&lt;&gt;""),L1096/60,0)</f>
        <v>0</v>
      </c>
      <c r="V1096" s="47">
        <f>IF(AND(H1096="Realizado",OR(L1096="",M1096="")),1,0)</f>
        <v>0</v>
      </c>
    </row>
    <row r="1097">
      <c r="A1097" s="43" t="n">
        <v>46286</v>
      </c>
      <c r="B1097" s="44" t="n">
        <v>0.4166666666666667</v>
      </c>
      <c r="C1097" s="38" t="inlineStr">
        <is>
          <t>Dra. Carolina Mendes</t>
        </is>
      </c>
      <c r="D1097" s="38" t="inlineStr">
        <is>
          <t>Sala 1</t>
        </is>
      </c>
      <c r="E1097" s="37" t="inlineStr">
        <is>
          <t>Mateus Lima</t>
        </is>
      </c>
      <c r="F1097" s="38" t="inlineStr">
        <is>
          <t>MediPlan</t>
        </is>
      </c>
      <c r="G1097" s="38" t="inlineStr">
        <is>
          <t>Consulta</t>
        </is>
      </c>
      <c r="H1097" s="38" t="inlineStr">
        <is>
          <t>Agendado</t>
        </is>
      </c>
      <c r="I1097" s="38" t="n"/>
      <c r="J1097" s="38" t="n"/>
      <c r="K1097" s="37" t="n"/>
      <c r="L1097" s="39" t="n">
        <v>30</v>
      </c>
      <c r="M1097" s="40" t="n">
        <v>100</v>
      </c>
      <c r="N1097" s="30">
        <f>IF(A1097="","",MONTH(A1097))</f>
        <v>9</v>
      </c>
      <c r="O1097" s="30">
        <f>IF(A1097="","",YEAR(A1097))</f>
        <v>2026</v>
      </c>
      <c r="P1097" s="30" t="str">
        <f>IF(A1097="","",CHOOSE(WEEKDAY(A1097,2),"Segunda","Terça","Quarta","Quinta","Sexta","Sábado","Domingo"))</f>
        <v>Segunda</v>
      </c>
      <c r="Q1097" s="30" t="str">
        <f>IF(B1097="","",IF(B1097&lt;TIME(12,0,0),"Manhã",IF(B1097&lt;TIME(18,0,0),"Tarde","Noite")))</f>
        <v>Manhã</v>
      </c>
      <c r="R1097" s="46">
        <f>IF(AND(H1097="Realizado",L1097&lt;&gt;"",A1097&lt;=Config!$B$9),L1097/60,0)</f>
        <v>0</v>
      </c>
      <c r="S1097" s="45">
        <f>IF(G1097="","",IFERROR(INDEX(Config!$K$5:$K$16,MATCH(G1097,Config!$J$5:$J$16,0)),""))</f>
        <v>30</v>
      </c>
      <c r="T1097" s="31">
        <f>IF(OR(G1097="",F1097=""),"",IFERROR(INDEX(Config!$M$5:$R$16,MATCH(G1097,Config!$J$5:$J$16,0),MATCH(F1097,Config!$H$5:$H$10,0)),""))</f>
        <v>100</v>
      </c>
      <c r="U1097" s="47">
        <f>IF(AND(H1097="Realizado",L1097&lt;&gt;""),L1097/60,0)</f>
        <v>0</v>
      </c>
      <c r="V1097" s="47">
        <f>IF(AND(H1097="Realizado",OR(L1097="",M1097="")),1,0)</f>
        <v>0</v>
      </c>
    </row>
    <row r="1098">
      <c r="A1098" s="43" t="n">
        <v>46286</v>
      </c>
      <c r="B1098" s="44" t="n">
        <v>0.4375</v>
      </c>
      <c r="C1098" s="38" t="inlineStr">
        <is>
          <t>Dra. Carolina Mendes</t>
        </is>
      </c>
      <c r="D1098" s="38" t="inlineStr">
        <is>
          <t>Sala 1</t>
        </is>
      </c>
      <c r="E1098" s="37" t="inlineStr">
        <is>
          <t>Rodrigo Gomes</t>
        </is>
      </c>
      <c r="F1098" s="38" t="inlineStr">
        <is>
          <t>Vida Care</t>
        </is>
      </c>
      <c r="G1098" s="38" t="inlineStr">
        <is>
          <t>Consulta</t>
        </is>
      </c>
      <c r="H1098" s="38" t="inlineStr">
        <is>
          <t>Agendado</t>
        </is>
      </c>
      <c r="I1098" s="38" t="n"/>
      <c r="J1098" s="38" t="n"/>
      <c r="K1098" s="37" t="n"/>
      <c r="L1098" s="39" t="n">
        <v>30</v>
      </c>
      <c r="M1098" s="40" t="n">
        <v>90</v>
      </c>
      <c r="N1098" s="30">
        <f>IF(A1098="","",MONTH(A1098))</f>
        <v>9</v>
      </c>
      <c r="O1098" s="30">
        <f>IF(A1098="","",YEAR(A1098))</f>
        <v>2026</v>
      </c>
      <c r="P1098" s="30" t="str">
        <f>IF(A1098="","",CHOOSE(WEEKDAY(A1098,2),"Segunda","Terça","Quarta","Quinta","Sexta","Sábado","Domingo"))</f>
        <v>Segunda</v>
      </c>
      <c r="Q1098" s="30" t="str">
        <f>IF(B1098="","",IF(B1098&lt;TIME(12,0,0),"Manhã",IF(B1098&lt;TIME(18,0,0),"Tarde","Noite")))</f>
        <v>Manhã</v>
      </c>
      <c r="R1098" s="46">
        <f>IF(AND(H1098="Realizado",L1098&lt;&gt;"",A1098&lt;=Config!$B$9),L1098/60,0)</f>
        <v>0</v>
      </c>
      <c r="S1098" s="45">
        <f>IF(G1098="","",IFERROR(INDEX(Config!$K$5:$K$16,MATCH(G1098,Config!$J$5:$J$16,0)),""))</f>
        <v>30</v>
      </c>
      <c r="T1098" s="31">
        <f>IF(OR(G1098="",F1098=""),"",IFERROR(INDEX(Config!$M$5:$R$16,MATCH(G1098,Config!$J$5:$J$16,0),MATCH(F1098,Config!$H$5:$H$10,0)),""))</f>
        <v>90</v>
      </c>
      <c r="U1098" s="47">
        <f>IF(AND(H1098="Realizado",L1098&lt;&gt;""),L1098/60,0)</f>
        <v>0</v>
      </c>
      <c r="V1098" s="47">
        <f>IF(AND(H1098="Realizado",OR(L1098="",M1098="")),1,0)</f>
        <v>0</v>
      </c>
    </row>
    <row r="1099">
      <c r="A1099" s="43" t="n">
        <v>46286</v>
      </c>
      <c r="B1099" s="44" t="n">
        <v>0.4583333333333333</v>
      </c>
      <c r="C1099" s="38" t="inlineStr">
        <is>
          <t>Dra. Carolina Mendes</t>
        </is>
      </c>
      <c r="D1099" s="38" t="inlineStr">
        <is>
          <t>Sala 1</t>
        </is>
      </c>
      <c r="E1099" s="37" t="inlineStr">
        <is>
          <t>Isabela Nascimento</t>
        </is>
      </c>
      <c r="F1099" s="38" t="inlineStr">
        <is>
          <t>Vida Care</t>
        </is>
      </c>
      <c r="G1099" s="38" t="inlineStr">
        <is>
          <t>Consulta</t>
        </is>
      </c>
      <c r="H1099" s="38" t="inlineStr">
        <is>
          <t>Agendado</t>
        </is>
      </c>
      <c r="I1099" s="38" t="n"/>
      <c r="J1099" s="38" t="n"/>
      <c r="K1099" s="37" t="n"/>
      <c r="L1099" s="39" t="n">
        <v>30</v>
      </c>
      <c r="M1099" s="40" t="n">
        <v>90</v>
      </c>
      <c r="N1099" s="30">
        <f>IF(A1099="","",MONTH(A1099))</f>
        <v>9</v>
      </c>
      <c r="O1099" s="30">
        <f>IF(A1099="","",YEAR(A1099))</f>
        <v>2026</v>
      </c>
      <c r="P1099" s="30" t="str">
        <f>IF(A1099="","",CHOOSE(WEEKDAY(A1099,2),"Segunda","Terça","Quarta","Quinta","Sexta","Sábado","Domingo"))</f>
        <v>Segunda</v>
      </c>
      <c r="Q1099" s="30" t="str">
        <f>IF(B1099="","",IF(B1099&lt;TIME(12,0,0),"Manhã",IF(B1099&lt;TIME(18,0,0),"Tarde","Noite")))</f>
        <v>Manhã</v>
      </c>
      <c r="R1099" s="46">
        <f>IF(AND(H1099="Realizado",L1099&lt;&gt;"",A1099&lt;=Config!$B$9),L1099/60,0)</f>
        <v>0</v>
      </c>
      <c r="S1099" s="45">
        <f>IF(G1099="","",IFERROR(INDEX(Config!$K$5:$K$16,MATCH(G1099,Config!$J$5:$J$16,0)),""))</f>
        <v>30</v>
      </c>
      <c r="T1099" s="31">
        <f>IF(OR(G1099="",F1099=""),"",IFERROR(INDEX(Config!$M$5:$R$16,MATCH(G1099,Config!$J$5:$J$16,0),MATCH(F1099,Config!$H$5:$H$10,0)),""))</f>
        <v>90</v>
      </c>
      <c r="U1099" s="47">
        <f>IF(AND(H1099="Realizado",L1099&lt;&gt;""),L1099/60,0)</f>
        <v>0</v>
      </c>
      <c r="V1099" s="47">
        <f>IF(AND(H1099="Realizado",OR(L1099="",M1099="")),1,0)</f>
        <v>0</v>
      </c>
    </row>
    <row r="1100">
      <c r="A1100" s="43" t="n">
        <v>46286</v>
      </c>
      <c r="B1100" s="44" t="n">
        <v>0.4791666666666667</v>
      </c>
      <c r="C1100" s="38" t="inlineStr">
        <is>
          <t>Dra. Carolina Mendes</t>
        </is>
      </c>
      <c r="D1100" s="38" t="inlineStr">
        <is>
          <t>Sala 1</t>
        </is>
      </c>
      <c r="E1100" s="37" t="inlineStr">
        <is>
          <t>Juliana Silva</t>
        </is>
      </c>
      <c r="F1100" s="38" t="inlineStr">
        <is>
          <t>Vida Care</t>
        </is>
      </c>
      <c r="G1100" s="38" t="inlineStr">
        <is>
          <t>Consulta</t>
        </is>
      </c>
      <c r="H1100" s="38" t="inlineStr">
        <is>
          <t>Agendado</t>
        </is>
      </c>
      <c r="I1100" s="38" t="n"/>
      <c r="J1100" s="38" t="n"/>
      <c r="K1100" s="37" t="n"/>
      <c r="L1100" s="39" t="n">
        <v>30</v>
      </c>
      <c r="M1100" s="40" t="n">
        <v>90</v>
      </c>
      <c r="N1100" s="30">
        <f>IF(A1100="","",MONTH(A1100))</f>
        <v>9</v>
      </c>
      <c r="O1100" s="30">
        <f>IF(A1100="","",YEAR(A1100))</f>
        <v>2026</v>
      </c>
      <c r="P1100" s="30" t="str">
        <f>IF(A1100="","",CHOOSE(WEEKDAY(A1100,2),"Segunda","Terça","Quarta","Quinta","Sexta","Sábado","Domingo"))</f>
        <v>Segunda</v>
      </c>
      <c r="Q1100" s="30" t="str">
        <f>IF(B1100="","",IF(B1100&lt;TIME(12,0,0),"Manhã",IF(B1100&lt;TIME(18,0,0),"Tarde","Noite")))</f>
        <v>Manhã</v>
      </c>
      <c r="R1100" s="46">
        <f>IF(AND(H1100="Realizado",L1100&lt;&gt;"",A1100&lt;=Config!$B$9),L1100/60,0)</f>
        <v>0</v>
      </c>
      <c r="S1100" s="45">
        <f>IF(G1100="","",IFERROR(INDEX(Config!$K$5:$K$16,MATCH(G1100,Config!$J$5:$J$16,0)),""))</f>
        <v>30</v>
      </c>
      <c r="T1100" s="31">
        <f>IF(OR(G1100="",F1100=""),"",IFERROR(INDEX(Config!$M$5:$R$16,MATCH(G1100,Config!$J$5:$J$16,0),MATCH(F1100,Config!$H$5:$H$10,0)),""))</f>
        <v>90</v>
      </c>
      <c r="U1100" s="47">
        <f>IF(AND(H1100="Realizado",L1100&lt;&gt;""),L1100/60,0)</f>
        <v>0</v>
      </c>
      <c r="V1100" s="47">
        <f>IF(AND(H1100="Realizado",OR(L1100="",M1100="")),1,0)</f>
        <v>0</v>
      </c>
    </row>
    <row r="1101">
      <c r="A1101" s="43" t="n">
        <v>46286</v>
      </c>
      <c r="B1101" s="44" t="n">
        <v>0.5833333333333334</v>
      </c>
      <c r="C1101" s="38" t="inlineStr">
        <is>
          <t>Dr. Paulo Andrade</t>
        </is>
      </c>
      <c r="D1101" s="38" t="inlineStr">
        <is>
          <t>Sala 2</t>
        </is>
      </c>
      <c r="E1101" s="37" t="inlineStr">
        <is>
          <t>Priscila Rocha</t>
        </is>
      </c>
      <c r="F1101" s="38" t="inlineStr">
        <is>
          <t>MediPlan</t>
        </is>
      </c>
      <c r="G1101" s="38" t="inlineStr">
        <is>
          <t>Teste ergométrico</t>
        </is>
      </c>
      <c r="H1101" s="38" t="inlineStr">
        <is>
          <t>Agendado</t>
        </is>
      </c>
      <c r="I1101" s="38" t="n"/>
      <c r="J1101" s="38" t="n"/>
      <c r="K1101" s="37" t="n"/>
      <c r="L1101" s="39" t="n">
        <v>40</v>
      </c>
      <c r="M1101" s="40" t="n">
        <v>125</v>
      </c>
      <c r="N1101" s="30">
        <f>IF(A1101="","",MONTH(A1101))</f>
        <v>9</v>
      </c>
      <c r="O1101" s="30">
        <f>IF(A1101="","",YEAR(A1101))</f>
        <v>2026</v>
      </c>
      <c r="P1101" s="30" t="str">
        <f>IF(A1101="","",CHOOSE(WEEKDAY(A1101,2),"Segunda","Terça","Quarta","Quinta","Sexta","Sábado","Domingo"))</f>
        <v>Segunda</v>
      </c>
      <c r="Q1101" s="30" t="str">
        <f>IF(B1101="","",IF(B1101&lt;TIME(12,0,0),"Manhã",IF(B1101&lt;TIME(18,0,0),"Tarde","Noite")))</f>
        <v>Tarde</v>
      </c>
      <c r="R1101" s="46">
        <f>IF(AND(H1101="Realizado",L1101&lt;&gt;"",A1101&lt;=Config!$B$9),L1101/60,0)</f>
        <v>0</v>
      </c>
      <c r="S1101" s="45">
        <f>IF(G1101="","",IFERROR(INDEX(Config!$K$5:$K$16,MATCH(G1101,Config!$J$5:$J$16,0)),""))</f>
        <v>40</v>
      </c>
      <c r="T1101" s="31">
        <f>IF(OR(G1101="",F1101=""),"",IFERROR(INDEX(Config!$M$5:$R$16,MATCH(G1101,Config!$J$5:$J$16,0),MATCH(F1101,Config!$H$5:$H$10,0)),""))</f>
        <v>125</v>
      </c>
      <c r="U1101" s="47">
        <f>IF(AND(H1101="Realizado",L1101&lt;&gt;""),L1101/60,0)</f>
        <v>0</v>
      </c>
      <c r="V1101" s="47">
        <f>IF(AND(H1101="Realizado",OR(L1101="",M1101="")),1,0)</f>
        <v>0</v>
      </c>
    </row>
    <row r="1102">
      <c r="A1102" s="43" t="n">
        <v>46286</v>
      </c>
      <c r="B1102" s="44" t="n">
        <v>0.6111111111111112</v>
      </c>
      <c r="C1102" s="38" t="inlineStr">
        <is>
          <t>Dr. Paulo Andrade</t>
        </is>
      </c>
      <c r="D1102" s="38" t="inlineStr">
        <is>
          <t>Sala 2</t>
        </is>
      </c>
      <c r="E1102" s="37" t="inlineStr">
        <is>
          <t>Otávio Martins</t>
        </is>
      </c>
      <c r="F1102" s="38" t="inlineStr">
        <is>
          <t>MediPlan</t>
        </is>
      </c>
      <c r="G1102" s="38" t="inlineStr">
        <is>
          <t>Consulta</t>
        </is>
      </c>
      <c r="H1102" s="38" t="inlineStr">
        <is>
          <t>Agendado</t>
        </is>
      </c>
      <c r="I1102" s="38" t="n"/>
      <c r="J1102" s="38" t="n"/>
      <c r="K1102" s="37" t="n"/>
      <c r="L1102" s="39" t="n">
        <v>30</v>
      </c>
      <c r="M1102" s="40" t="n">
        <v>100</v>
      </c>
      <c r="N1102" s="30">
        <f>IF(A1102="","",MONTH(A1102))</f>
        <v>9</v>
      </c>
      <c r="O1102" s="30">
        <f>IF(A1102="","",YEAR(A1102))</f>
        <v>2026</v>
      </c>
      <c r="P1102" s="30" t="str">
        <f>IF(A1102="","",CHOOSE(WEEKDAY(A1102,2),"Segunda","Terça","Quarta","Quinta","Sexta","Sábado","Domingo"))</f>
        <v>Segunda</v>
      </c>
      <c r="Q1102" s="30" t="str">
        <f>IF(B1102="","",IF(B1102&lt;TIME(12,0,0),"Manhã",IF(B1102&lt;TIME(18,0,0),"Tarde","Noite")))</f>
        <v>Tarde</v>
      </c>
      <c r="R1102" s="46">
        <f>IF(AND(H1102="Realizado",L1102&lt;&gt;"",A1102&lt;=Config!$B$9),L1102/60,0)</f>
        <v>0</v>
      </c>
      <c r="S1102" s="45">
        <f>IF(G1102="","",IFERROR(INDEX(Config!$K$5:$K$16,MATCH(G1102,Config!$J$5:$J$16,0)),""))</f>
        <v>30</v>
      </c>
      <c r="T1102" s="31">
        <f>IF(OR(G1102="",F1102=""),"",IFERROR(INDEX(Config!$M$5:$R$16,MATCH(G1102,Config!$J$5:$J$16,0),MATCH(F1102,Config!$H$5:$H$10,0)),""))</f>
        <v>100</v>
      </c>
      <c r="U1102" s="47">
        <f>IF(AND(H1102="Realizado",L1102&lt;&gt;""),L1102/60,0)</f>
        <v>0</v>
      </c>
      <c r="V1102" s="47">
        <f>IF(AND(H1102="Realizado",OR(L1102="",M1102="")),1,0)</f>
        <v>0</v>
      </c>
    </row>
    <row r="1103">
      <c r="A1103" s="43" t="n">
        <v>46286</v>
      </c>
      <c r="B1103" s="44" t="n">
        <v>0.6319444444444444</v>
      </c>
      <c r="C1103" s="38" t="inlineStr">
        <is>
          <t>Dr. Paulo Andrade</t>
        </is>
      </c>
      <c r="D1103" s="38" t="inlineStr">
        <is>
          <t>Sala 2</t>
        </is>
      </c>
      <c r="E1103" s="37" t="inlineStr">
        <is>
          <t>Débora Moreira</t>
        </is>
      </c>
      <c r="F1103" s="38" t="inlineStr">
        <is>
          <t>Particular</t>
        </is>
      </c>
      <c r="G1103" s="38" t="inlineStr">
        <is>
          <t>Consulta</t>
        </is>
      </c>
      <c r="H1103" s="38" t="inlineStr">
        <is>
          <t>Agendado</t>
        </is>
      </c>
      <c r="I1103" s="38" t="n"/>
      <c r="J1103" s="38" t="n"/>
      <c r="K1103" s="37" t="n"/>
      <c r="L1103" s="39" t="n">
        <v>30</v>
      </c>
      <c r="M1103" s="40" t="n">
        <v>380</v>
      </c>
      <c r="N1103" s="30">
        <f>IF(A1103="","",MONTH(A1103))</f>
        <v>9</v>
      </c>
      <c r="O1103" s="30">
        <f>IF(A1103="","",YEAR(A1103))</f>
        <v>2026</v>
      </c>
      <c r="P1103" s="30" t="str">
        <f>IF(A1103="","",CHOOSE(WEEKDAY(A1103,2),"Segunda","Terça","Quarta","Quinta","Sexta","Sábado","Domingo"))</f>
        <v>Segunda</v>
      </c>
      <c r="Q1103" s="30" t="str">
        <f>IF(B1103="","",IF(B1103&lt;TIME(12,0,0),"Manhã",IF(B1103&lt;TIME(18,0,0),"Tarde","Noite")))</f>
        <v>Tarde</v>
      </c>
      <c r="R1103" s="46">
        <f>IF(AND(H1103="Realizado",L1103&lt;&gt;"",A1103&lt;=Config!$B$9),L1103/60,0)</f>
        <v>0</v>
      </c>
      <c r="S1103" s="45">
        <f>IF(G1103="","",IFERROR(INDEX(Config!$K$5:$K$16,MATCH(G1103,Config!$J$5:$J$16,0)),""))</f>
        <v>30</v>
      </c>
      <c r="T1103" s="31">
        <f>IF(OR(G1103="",F1103=""),"",IFERROR(INDEX(Config!$M$5:$R$16,MATCH(G1103,Config!$J$5:$J$16,0),MATCH(F1103,Config!$H$5:$H$10,0)),""))</f>
        <v>380</v>
      </c>
      <c r="U1103" s="47">
        <f>IF(AND(H1103="Realizado",L1103&lt;&gt;""),L1103/60,0)</f>
        <v>0</v>
      </c>
      <c r="V1103" s="47">
        <f>IF(AND(H1103="Realizado",OR(L1103="",M1103="")),1,0)</f>
        <v>0</v>
      </c>
    </row>
    <row r="1104">
      <c r="A1104" s="43" t="n">
        <v>46286</v>
      </c>
      <c r="B1104" s="44" t="n">
        <v>0.6736111111111112</v>
      </c>
      <c r="C1104" s="38" t="inlineStr">
        <is>
          <t>Dr. Paulo Andrade</t>
        </is>
      </c>
      <c r="D1104" s="38" t="inlineStr">
        <is>
          <t>Sala 2</t>
        </is>
      </c>
      <c r="E1104" s="37" t="inlineStr">
        <is>
          <t>Ana Costa</t>
        </is>
      </c>
      <c r="F1104" s="38" t="inlineStr">
        <is>
          <t>Particular</t>
        </is>
      </c>
      <c r="G1104" s="38" t="inlineStr">
        <is>
          <t>Holter</t>
        </is>
      </c>
      <c r="H1104" s="38" t="inlineStr">
        <is>
          <t>Agendado</t>
        </is>
      </c>
      <c r="I1104" s="38" t="n"/>
      <c r="J1104" s="38" t="n"/>
      <c r="K1104" s="37" t="n"/>
      <c r="L1104" s="39" t="n">
        <v>20</v>
      </c>
      <c r="M1104" s="40" t="n">
        <v>350</v>
      </c>
      <c r="N1104" s="30">
        <f>IF(A1104="","",MONTH(A1104))</f>
        <v>9</v>
      </c>
      <c r="O1104" s="30">
        <f>IF(A1104="","",YEAR(A1104))</f>
        <v>2026</v>
      </c>
      <c r="P1104" s="30" t="str">
        <f>IF(A1104="","",CHOOSE(WEEKDAY(A1104,2),"Segunda","Terça","Quarta","Quinta","Sexta","Sábado","Domingo"))</f>
        <v>Segunda</v>
      </c>
      <c r="Q1104" s="30" t="str">
        <f>IF(B1104="","",IF(B1104&lt;TIME(12,0,0),"Manhã",IF(B1104&lt;TIME(18,0,0),"Tarde","Noite")))</f>
        <v>Tarde</v>
      </c>
      <c r="R1104" s="46">
        <f>IF(AND(H1104="Realizado",L1104&lt;&gt;"",A1104&lt;=Config!$B$9),L1104/60,0)</f>
        <v>0</v>
      </c>
      <c r="S1104" s="45">
        <f>IF(G1104="","",IFERROR(INDEX(Config!$K$5:$K$16,MATCH(G1104,Config!$J$5:$J$16,0)),""))</f>
        <v>20</v>
      </c>
      <c r="T1104" s="31">
        <f>IF(OR(G1104="",F1104=""),"",IFERROR(INDEX(Config!$M$5:$R$16,MATCH(G1104,Config!$J$5:$J$16,0),MATCH(F1104,Config!$H$5:$H$10,0)),""))</f>
        <v>350</v>
      </c>
      <c r="U1104" s="47">
        <f>IF(AND(H1104="Realizado",L1104&lt;&gt;""),L1104/60,0)</f>
        <v>0</v>
      </c>
      <c r="V1104" s="47">
        <f>IF(AND(H1104="Realizado",OR(L1104="",M1104="")),1,0)</f>
        <v>0</v>
      </c>
    </row>
    <row r="1105">
      <c r="A1105" s="43" t="n">
        <v>46286</v>
      </c>
      <c r="B1105" s="44" t="n">
        <v>0.6875</v>
      </c>
      <c r="C1105" s="38" t="inlineStr">
        <is>
          <t>Dr. Paulo Andrade</t>
        </is>
      </c>
      <c r="D1105" s="38" t="inlineStr">
        <is>
          <t>Sala 2</t>
        </is>
      </c>
      <c r="E1105" s="37" t="inlineStr">
        <is>
          <t>Tatiana Gonçalves</t>
        </is>
      </c>
      <c r="F1105" s="38" t="inlineStr">
        <is>
          <t>Saúde Total</t>
        </is>
      </c>
      <c r="G1105" s="38" t="inlineStr">
        <is>
          <t>Consulta</t>
        </is>
      </c>
      <c r="H1105" s="38" t="inlineStr">
        <is>
          <t>Agendado</t>
        </is>
      </c>
      <c r="I1105" s="38" t="n"/>
      <c r="J1105" s="38" t="n"/>
      <c r="K1105" s="37" t="n"/>
      <c r="L1105" s="39" t="n">
        <v>30</v>
      </c>
      <c r="M1105" s="40" t="n">
        <v>120</v>
      </c>
      <c r="N1105" s="30">
        <f>IF(A1105="","",MONTH(A1105))</f>
        <v>9</v>
      </c>
      <c r="O1105" s="30">
        <f>IF(A1105="","",YEAR(A1105))</f>
        <v>2026</v>
      </c>
      <c r="P1105" s="30" t="str">
        <f>IF(A1105="","",CHOOSE(WEEKDAY(A1105,2),"Segunda","Terça","Quarta","Quinta","Sexta","Sábado","Domingo"))</f>
        <v>Segunda</v>
      </c>
      <c r="Q1105" s="30" t="str">
        <f>IF(B1105="","",IF(B1105&lt;TIME(12,0,0),"Manhã",IF(B1105&lt;TIME(18,0,0),"Tarde","Noite")))</f>
        <v>Tarde</v>
      </c>
      <c r="R1105" s="46">
        <f>IF(AND(H1105="Realizado",L1105&lt;&gt;"",A1105&lt;=Config!$B$9),L1105/60,0)</f>
        <v>0</v>
      </c>
      <c r="S1105" s="45">
        <f>IF(G1105="","",IFERROR(INDEX(Config!$K$5:$K$16,MATCH(G1105,Config!$J$5:$J$16,0)),""))</f>
        <v>30</v>
      </c>
      <c r="T1105" s="31">
        <f>IF(OR(G1105="",F1105=""),"",IFERROR(INDEX(Config!$M$5:$R$16,MATCH(G1105,Config!$J$5:$J$16,0),MATCH(F1105,Config!$H$5:$H$10,0)),""))</f>
        <v>120</v>
      </c>
      <c r="U1105" s="47">
        <f>IF(AND(H1105="Realizado",L1105&lt;&gt;""),L1105/60,0)</f>
        <v>0</v>
      </c>
      <c r="V1105" s="47">
        <f>IF(AND(H1105="Realizado",OR(L1105="",M1105="")),1,0)</f>
        <v>0</v>
      </c>
    </row>
    <row r="1106">
      <c r="A1106" s="43" t="n">
        <v>46286</v>
      </c>
      <c r="B1106" s="44" t="n">
        <v>0.7083333333333334</v>
      </c>
      <c r="C1106" s="38" t="inlineStr">
        <is>
          <t>Dr. Paulo Andrade</t>
        </is>
      </c>
      <c r="D1106" s="38" t="inlineStr">
        <is>
          <t>Sala 2</t>
        </is>
      </c>
      <c r="E1106" s="37" t="inlineStr">
        <is>
          <t>Paulo Nascimento</t>
        </is>
      </c>
      <c r="F1106" s="38" t="inlineStr">
        <is>
          <t>MediPlan</t>
        </is>
      </c>
      <c r="G1106" s="38" t="inlineStr">
        <is>
          <t>Consulta</t>
        </is>
      </c>
      <c r="H1106" s="38" t="inlineStr">
        <is>
          <t>Agendado</t>
        </is>
      </c>
      <c r="I1106" s="38" t="n"/>
      <c r="J1106" s="38" t="n"/>
      <c r="K1106" s="37" t="n"/>
      <c r="L1106" s="39" t="n">
        <v>30</v>
      </c>
      <c r="M1106" s="40" t="n">
        <v>100</v>
      </c>
      <c r="N1106" s="30">
        <f>IF(A1106="","",MONTH(A1106))</f>
        <v>9</v>
      </c>
      <c r="O1106" s="30">
        <f>IF(A1106="","",YEAR(A1106))</f>
        <v>2026</v>
      </c>
      <c r="P1106" s="30" t="str">
        <f>IF(A1106="","",CHOOSE(WEEKDAY(A1106,2),"Segunda","Terça","Quarta","Quinta","Sexta","Sábado","Domingo"))</f>
        <v>Segunda</v>
      </c>
      <c r="Q1106" s="30" t="str">
        <f>IF(B1106="","",IF(B1106&lt;TIME(12,0,0),"Manhã",IF(B1106&lt;TIME(18,0,0),"Tarde","Noite")))</f>
        <v>Tarde</v>
      </c>
      <c r="R1106" s="46">
        <f>IF(AND(H1106="Realizado",L1106&lt;&gt;"",A1106&lt;=Config!$B$9),L1106/60,0)</f>
        <v>0</v>
      </c>
      <c r="S1106" s="45">
        <f>IF(G1106="","",IFERROR(INDEX(Config!$K$5:$K$16,MATCH(G1106,Config!$J$5:$J$16,0)),""))</f>
        <v>30</v>
      </c>
      <c r="T1106" s="31">
        <f>IF(OR(G1106="",F1106=""),"",IFERROR(INDEX(Config!$M$5:$R$16,MATCH(G1106,Config!$J$5:$J$16,0),MATCH(F1106,Config!$H$5:$H$10,0)),""))</f>
        <v>100</v>
      </c>
      <c r="U1106" s="47">
        <f>IF(AND(H1106="Realizado",L1106&lt;&gt;""),L1106/60,0)</f>
        <v>0</v>
      </c>
      <c r="V1106" s="47">
        <f>IF(AND(H1106="Realizado",OR(L1106="",M1106="")),1,0)</f>
        <v>0</v>
      </c>
    </row>
    <row r="1107">
      <c r="A1107" s="43" t="n">
        <v>46286</v>
      </c>
      <c r="B1107" s="44" t="n">
        <v>0.7291666666666666</v>
      </c>
      <c r="C1107" s="38" t="inlineStr">
        <is>
          <t>Dr. Paulo Andrade</t>
        </is>
      </c>
      <c r="D1107" s="38" t="inlineStr">
        <is>
          <t>Sala 2</t>
        </is>
      </c>
      <c r="E1107" s="37" t="inlineStr">
        <is>
          <t>Wagner Santos</t>
        </is>
      </c>
      <c r="F1107" s="38" t="inlineStr">
        <is>
          <t>Particular</t>
        </is>
      </c>
      <c r="G1107" s="38" t="inlineStr">
        <is>
          <t>ECG</t>
        </is>
      </c>
      <c r="H1107" s="38" t="inlineStr">
        <is>
          <t>Agendado</t>
        </is>
      </c>
      <c r="I1107" s="38" t="n"/>
      <c r="J1107" s="38" t="n"/>
      <c r="K1107" s="37" t="n"/>
      <c r="L1107" s="39" t="n">
        <v>20</v>
      </c>
      <c r="M1107" s="40" t="n">
        <v>130</v>
      </c>
      <c r="N1107" s="30">
        <f>IF(A1107="","",MONTH(A1107))</f>
        <v>9</v>
      </c>
      <c r="O1107" s="30">
        <f>IF(A1107="","",YEAR(A1107))</f>
        <v>2026</v>
      </c>
      <c r="P1107" s="30" t="str">
        <f>IF(A1107="","",CHOOSE(WEEKDAY(A1107,2),"Segunda","Terça","Quarta","Quinta","Sexta","Sábado","Domingo"))</f>
        <v>Segunda</v>
      </c>
      <c r="Q1107" s="30" t="str">
        <f>IF(B1107="","",IF(B1107&lt;TIME(12,0,0),"Manhã",IF(B1107&lt;TIME(18,0,0),"Tarde","Noite")))</f>
        <v>Tarde</v>
      </c>
      <c r="R1107" s="46">
        <f>IF(AND(H1107="Realizado",L1107&lt;&gt;"",A1107&lt;=Config!$B$9),L1107/60,0)</f>
        <v>0</v>
      </c>
      <c r="S1107" s="45">
        <f>IF(G1107="","",IFERROR(INDEX(Config!$K$5:$K$16,MATCH(G1107,Config!$J$5:$J$16,0)),""))</f>
        <v>20</v>
      </c>
      <c r="T1107" s="31">
        <f>IF(OR(G1107="",F1107=""),"",IFERROR(INDEX(Config!$M$5:$R$16,MATCH(G1107,Config!$J$5:$J$16,0),MATCH(F1107,Config!$H$5:$H$10,0)),""))</f>
        <v>130</v>
      </c>
      <c r="U1107" s="47">
        <f>IF(AND(H1107="Realizado",L1107&lt;&gt;""),L1107/60,0)</f>
        <v>0</v>
      </c>
      <c r="V1107" s="47">
        <f>IF(AND(H1107="Realizado",OR(L1107="",M1107="")),1,0)</f>
        <v>0</v>
      </c>
    </row>
    <row r="1108">
      <c r="A1108" s="43" t="n">
        <v>46287</v>
      </c>
      <c r="B1108" s="44" t="n">
        <v>0.3541666666666667</v>
      </c>
      <c r="C1108" s="38" t="inlineStr">
        <is>
          <t>Dra. Carolina Mendes</t>
        </is>
      </c>
      <c r="D1108" s="38" t="inlineStr">
        <is>
          <t>Sala 1</t>
        </is>
      </c>
      <c r="E1108" s="37" t="inlineStr">
        <is>
          <t>Fábio Machado</t>
        </is>
      </c>
      <c r="F1108" s="38" t="inlineStr">
        <is>
          <t>Particular</t>
        </is>
      </c>
      <c r="G1108" s="38" t="inlineStr">
        <is>
          <t>Consulta</t>
        </is>
      </c>
      <c r="H1108" s="38" t="inlineStr">
        <is>
          <t>Agendado</t>
        </is>
      </c>
      <c r="I1108" s="38" t="n"/>
      <c r="J1108" s="38" t="n"/>
      <c r="K1108" s="37" t="n"/>
      <c r="L1108" s="39" t="n">
        <v>30</v>
      </c>
      <c r="M1108" s="40" t="n">
        <v>380</v>
      </c>
      <c r="N1108" s="30">
        <f>IF(A1108="","",MONTH(A1108))</f>
        <v>9</v>
      </c>
      <c r="O1108" s="30">
        <f>IF(A1108="","",YEAR(A1108))</f>
        <v>2026</v>
      </c>
      <c r="P1108" s="30" t="str">
        <f>IF(A1108="","",CHOOSE(WEEKDAY(A1108,2),"Segunda","Terça","Quarta","Quinta","Sexta","Sábado","Domingo"))</f>
        <v>Terça</v>
      </c>
      <c r="Q1108" s="30" t="str">
        <f>IF(B1108="","",IF(B1108&lt;TIME(12,0,0),"Manhã",IF(B1108&lt;TIME(18,0,0),"Tarde","Noite")))</f>
        <v>Manhã</v>
      </c>
      <c r="R1108" s="46">
        <f>IF(AND(H1108="Realizado",L1108&lt;&gt;"",A1108&lt;=Config!$B$9),L1108/60,0)</f>
        <v>0</v>
      </c>
      <c r="S1108" s="45">
        <f>IF(G1108="","",IFERROR(INDEX(Config!$K$5:$K$16,MATCH(G1108,Config!$J$5:$J$16,0)),""))</f>
        <v>30</v>
      </c>
      <c r="T1108" s="31">
        <f>IF(OR(G1108="",F1108=""),"",IFERROR(INDEX(Config!$M$5:$R$16,MATCH(G1108,Config!$J$5:$J$16,0),MATCH(F1108,Config!$H$5:$H$10,0)),""))</f>
        <v>380</v>
      </c>
      <c r="U1108" s="47">
        <f>IF(AND(H1108="Realizado",L1108&lt;&gt;""),L1108/60,0)</f>
        <v>0</v>
      </c>
      <c r="V1108" s="47">
        <f>IF(AND(H1108="Realizado",OR(L1108="",M1108="")),1,0)</f>
        <v>0</v>
      </c>
    </row>
    <row r="1109">
      <c r="A1109" s="43" t="n">
        <v>46287</v>
      </c>
      <c r="B1109" s="44" t="n">
        <v>0.375</v>
      </c>
      <c r="C1109" s="38" t="inlineStr">
        <is>
          <t>Dra. Carolina Mendes</t>
        </is>
      </c>
      <c r="D1109" s="38" t="inlineStr">
        <is>
          <t>Sala 1</t>
        </is>
      </c>
      <c r="E1109" s="37" t="inlineStr">
        <is>
          <t>Wagner Lima</t>
        </is>
      </c>
      <c r="F1109" s="38" t="inlineStr">
        <is>
          <t>Particular</t>
        </is>
      </c>
      <c r="G1109" s="38" t="inlineStr">
        <is>
          <t>Consulta</t>
        </is>
      </c>
      <c r="H1109" s="38" t="inlineStr">
        <is>
          <t>Agendado</t>
        </is>
      </c>
      <c r="I1109" s="38" t="n"/>
      <c r="J1109" s="38" t="n"/>
      <c r="K1109" s="37" t="n"/>
      <c r="L1109" s="39" t="n">
        <v>30</v>
      </c>
      <c r="M1109" s="40" t="n">
        <v>380</v>
      </c>
      <c r="N1109" s="30">
        <f>IF(A1109="","",MONTH(A1109))</f>
        <v>9</v>
      </c>
      <c r="O1109" s="30">
        <f>IF(A1109="","",YEAR(A1109))</f>
        <v>2026</v>
      </c>
      <c r="P1109" s="30" t="str">
        <f>IF(A1109="","",CHOOSE(WEEKDAY(A1109,2),"Segunda","Terça","Quarta","Quinta","Sexta","Sábado","Domingo"))</f>
        <v>Terça</v>
      </c>
      <c r="Q1109" s="30" t="str">
        <f>IF(B1109="","",IF(B1109&lt;TIME(12,0,0),"Manhã",IF(B1109&lt;TIME(18,0,0),"Tarde","Noite")))</f>
        <v>Manhã</v>
      </c>
      <c r="R1109" s="46">
        <f>IF(AND(H1109="Realizado",L1109&lt;&gt;"",A1109&lt;=Config!$B$9),L1109/60,0)</f>
        <v>0</v>
      </c>
      <c r="S1109" s="45">
        <f>IF(G1109="","",IFERROR(INDEX(Config!$K$5:$K$16,MATCH(G1109,Config!$J$5:$J$16,0)),""))</f>
        <v>30</v>
      </c>
      <c r="T1109" s="31">
        <f>IF(OR(G1109="",F1109=""),"",IFERROR(INDEX(Config!$M$5:$R$16,MATCH(G1109,Config!$J$5:$J$16,0),MATCH(F1109,Config!$H$5:$H$10,0)),""))</f>
        <v>380</v>
      </c>
      <c r="U1109" s="47">
        <f>IF(AND(H1109="Realizado",L1109&lt;&gt;""),L1109/60,0)</f>
        <v>0</v>
      </c>
      <c r="V1109" s="47">
        <f>IF(AND(H1109="Realizado",OR(L1109="",M1109="")),1,0)</f>
        <v>0</v>
      </c>
    </row>
    <row r="1110">
      <c r="A1110" s="43" t="n">
        <v>46287</v>
      </c>
      <c r="B1110" s="44" t="n">
        <v>0.3958333333333333</v>
      </c>
      <c r="C1110" s="38" t="inlineStr">
        <is>
          <t>Dra. Carolina Mendes</t>
        </is>
      </c>
      <c r="D1110" s="38" t="inlineStr">
        <is>
          <t>Sala 1</t>
        </is>
      </c>
      <c r="E1110" s="37" t="inlineStr">
        <is>
          <t>Renato Dias</t>
        </is>
      </c>
      <c r="F1110" s="38" t="inlineStr">
        <is>
          <t>Particular</t>
        </is>
      </c>
      <c r="G1110" s="38" t="inlineStr">
        <is>
          <t>Consulta</t>
        </is>
      </c>
      <c r="H1110" s="38" t="inlineStr">
        <is>
          <t>Agendado</t>
        </is>
      </c>
      <c r="I1110" s="38" t="n"/>
      <c r="J1110" s="38" t="n"/>
      <c r="K1110" s="37" t="n"/>
      <c r="L1110" s="39" t="n">
        <v>30</v>
      </c>
      <c r="M1110" s="40" t="n">
        <v>380</v>
      </c>
      <c r="N1110" s="30">
        <f>IF(A1110="","",MONTH(A1110))</f>
        <v>9</v>
      </c>
      <c r="O1110" s="30">
        <f>IF(A1110="","",YEAR(A1110))</f>
        <v>2026</v>
      </c>
      <c r="P1110" s="30" t="str">
        <f>IF(A1110="","",CHOOSE(WEEKDAY(A1110,2),"Segunda","Terça","Quarta","Quinta","Sexta","Sábado","Domingo"))</f>
        <v>Terça</v>
      </c>
      <c r="Q1110" s="30" t="str">
        <f>IF(B1110="","",IF(B1110&lt;TIME(12,0,0),"Manhã",IF(B1110&lt;TIME(18,0,0),"Tarde","Noite")))</f>
        <v>Manhã</v>
      </c>
      <c r="R1110" s="46">
        <f>IF(AND(H1110="Realizado",L1110&lt;&gt;"",A1110&lt;=Config!$B$9),L1110/60,0)</f>
        <v>0</v>
      </c>
      <c r="S1110" s="45">
        <f>IF(G1110="","",IFERROR(INDEX(Config!$K$5:$K$16,MATCH(G1110,Config!$J$5:$J$16,0)),""))</f>
        <v>30</v>
      </c>
      <c r="T1110" s="31">
        <f>IF(OR(G1110="",F1110=""),"",IFERROR(INDEX(Config!$M$5:$R$16,MATCH(G1110,Config!$J$5:$J$16,0),MATCH(F1110,Config!$H$5:$H$10,0)),""))</f>
        <v>380</v>
      </c>
      <c r="U1110" s="47">
        <f>IF(AND(H1110="Realizado",L1110&lt;&gt;""),L1110/60,0)</f>
        <v>0</v>
      </c>
      <c r="V1110" s="47">
        <f>IF(AND(H1110="Realizado",OR(L1110="",M1110="")),1,0)</f>
        <v>0</v>
      </c>
    </row>
    <row r="1111">
      <c r="A1111" s="43" t="n">
        <v>46287</v>
      </c>
      <c r="B1111" s="44" t="n">
        <v>0.4166666666666667</v>
      </c>
      <c r="C1111" s="38" t="inlineStr">
        <is>
          <t>Dra. Carolina Mendes</t>
        </is>
      </c>
      <c r="D1111" s="38" t="inlineStr">
        <is>
          <t>Sala 1</t>
        </is>
      </c>
      <c r="E1111" s="37" t="inlineStr">
        <is>
          <t>Otávio Cardoso</t>
        </is>
      </c>
      <c r="F1111" s="38" t="inlineStr">
        <is>
          <t>Particular</t>
        </is>
      </c>
      <c r="G1111" s="38" t="inlineStr">
        <is>
          <t>Retorno</t>
        </is>
      </c>
      <c r="H1111" s="38" t="inlineStr">
        <is>
          <t>Agendado</t>
        </is>
      </c>
      <c r="I1111" s="38" t="n"/>
      <c r="J1111" s="38" t="n"/>
      <c r="K1111" s="37" t="n"/>
      <c r="L1111" s="39" t="n">
        <v>20</v>
      </c>
      <c r="M1111" s="40" t="n">
        <v>0</v>
      </c>
      <c r="N1111" s="30">
        <f>IF(A1111="","",MONTH(A1111))</f>
        <v>9</v>
      </c>
      <c r="O1111" s="30">
        <f>IF(A1111="","",YEAR(A1111))</f>
        <v>2026</v>
      </c>
      <c r="P1111" s="30" t="str">
        <f>IF(A1111="","",CHOOSE(WEEKDAY(A1111,2),"Segunda","Terça","Quarta","Quinta","Sexta","Sábado","Domingo"))</f>
        <v>Terça</v>
      </c>
      <c r="Q1111" s="30" t="str">
        <f>IF(B1111="","",IF(B1111&lt;TIME(12,0,0),"Manhã",IF(B1111&lt;TIME(18,0,0),"Tarde","Noite")))</f>
        <v>Manhã</v>
      </c>
      <c r="R1111" s="46">
        <f>IF(AND(H1111="Realizado",L1111&lt;&gt;"",A1111&lt;=Config!$B$9),L1111/60,0)</f>
        <v>0</v>
      </c>
      <c r="S1111" s="45">
        <f>IF(G1111="","",IFERROR(INDEX(Config!$K$5:$K$16,MATCH(G1111,Config!$J$5:$J$16,0)),""))</f>
        <v>20</v>
      </c>
      <c r="T1111" s="31">
        <f>IF(OR(G1111="",F1111=""),"",IFERROR(INDEX(Config!$M$5:$R$16,MATCH(G1111,Config!$J$5:$J$16,0),MATCH(F1111,Config!$H$5:$H$10,0)),""))</f>
        <v>0</v>
      </c>
      <c r="U1111" s="47">
        <f>IF(AND(H1111="Realizado",L1111&lt;&gt;""),L1111/60,0)</f>
        <v>0</v>
      </c>
      <c r="V1111" s="47">
        <f>IF(AND(H1111="Realizado",OR(L1111="",M1111="")),1,0)</f>
        <v>0</v>
      </c>
    </row>
    <row r="1112">
      <c r="A1112" s="43" t="n">
        <v>46287</v>
      </c>
      <c r="B1112" s="44" t="n">
        <v>0.4305555555555556</v>
      </c>
      <c r="C1112" s="38" t="inlineStr">
        <is>
          <t>Dra. Carolina Mendes</t>
        </is>
      </c>
      <c r="D1112" s="38" t="inlineStr">
        <is>
          <t>Sala 1</t>
        </is>
      </c>
      <c r="E1112" s="37" t="inlineStr">
        <is>
          <t>Eduardo Nunes</t>
        </is>
      </c>
      <c r="F1112" s="38" t="inlineStr">
        <is>
          <t>MediPlan</t>
        </is>
      </c>
      <c r="G1112" s="38" t="inlineStr">
        <is>
          <t>Consulta</t>
        </is>
      </c>
      <c r="H1112" s="38" t="inlineStr">
        <is>
          <t>Agendado</t>
        </is>
      </c>
      <c r="I1112" s="38" t="n"/>
      <c r="J1112" s="38" t="n"/>
      <c r="K1112" s="37" t="n"/>
      <c r="L1112" s="39" t="n">
        <v>30</v>
      </c>
      <c r="M1112" s="40" t="n">
        <v>100</v>
      </c>
      <c r="N1112" s="30">
        <f>IF(A1112="","",MONTH(A1112))</f>
        <v>9</v>
      </c>
      <c r="O1112" s="30">
        <f>IF(A1112="","",YEAR(A1112))</f>
        <v>2026</v>
      </c>
      <c r="P1112" s="30" t="str">
        <f>IF(A1112="","",CHOOSE(WEEKDAY(A1112,2),"Segunda","Terça","Quarta","Quinta","Sexta","Sábado","Domingo"))</f>
        <v>Terça</v>
      </c>
      <c r="Q1112" s="30" t="str">
        <f>IF(B1112="","",IF(B1112&lt;TIME(12,0,0),"Manhã",IF(B1112&lt;TIME(18,0,0),"Tarde","Noite")))</f>
        <v>Manhã</v>
      </c>
      <c r="R1112" s="46">
        <f>IF(AND(H1112="Realizado",L1112&lt;&gt;"",A1112&lt;=Config!$B$9),L1112/60,0)</f>
        <v>0</v>
      </c>
      <c r="S1112" s="45">
        <f>IF(G1112="","",IFERROR(INDEX(Config!$K$5:$K$16,MATCH(G1112,Config!$J$5:$J$16,0)),""))</f>
        <v>30</v>
      </c>
      <c r="T1112" s="31">
        <f>IF(OR(G1112="",F1112=""),"",IFERROR(INDEX(Config!$M$5:$R$16,MATCH(G1112,Config!$J$5:$J$16,0),MATCH(F1112,Config!$H$5:$H$10,0)),""))</f>
        <v>100</v>
      </c>
      <c r="U1112" s="47">
        <f>IF(AND(H1112="Realizado",L1112&lt;&gt;""),L1112/60,0)</f>
        <v>0</v>
      </c>
      <c r="V1112" s="47">
        <f>IF(AND(H1112="Realizado",OR(L1112="",M1112="")),1,0)</f>
        <v>0</v>
      </c>
    </row>
    <row r="1113">
      <c r="A1113" s="43" t="n">
        <v>46287</v>
      </c>
      <c r="B1113" s="44" t="n">
        <v>0.4513888888888889</v>
      </c>
      <c r="C1113" s="38" t="inlineStr">
        <is>
          <t>Dra. Carolina Mendes</t>
        </is>
      </c>
      <c r="D1113" s="38" t="inlineStr">
        <is>
          <t>Sala 1</t>
        </is>
      </c>
      <c r="E1113" s="37" t="inlineStr">
        <is>
          <t>Mariana Nascimento</t>
        </is>
      </c>
      <c r="F1113" s="38" t="inlineStr">
        <is>
          <t>Particular</t>
        </is>
      </c>
      <c r="G1113" s="38" t="inlineStr">
        <is>
          <t>Consulta</t>
        </is>
      </c>
      <c r="H1113" s="38" t="inlineStr">
        <is>
          <t>Agendado</t>
        </is>
      </c>
      <c r="I1113" s="38" t="n"/>
      <c r="J1113" s="38" t="n"/>
      <c r="K1113" s="37" t="n"/>
      <c r="L1113" s="39" t="n">
        <v>30</v>
      </c>
      <c r="M1113" s="40" t="n">
        <v>380</v>
      </c>
      <c r="N1113" s="30">
        <f>IF(A1113="","",MONTH(A1113))</f>
        <v>9</v>
      </c>
      <c r="O1113" s="30">
        <f>IF(A1113="","",YEAR(A1113))</f>
        <v>2026</v>
      </c>
      <c r="P1113" s="30" t="str">
        <f>IF(A1113="","",CHOOSE(WEEKDAY(A1113,2),"Segunda","Terça","Quarta","Quinta","Sexta","Sábado","Domingo"))</f>
        <v>Terça</v>
      </c>
      <c r="Q1113" s="30" t="str">
        <f>IF(B1113="","",IF(B1113&lt;TIME(12,0,0),"Manhã",IF(B1113&lt;TIME(18,0,0),"Tarde","Noite")))</f>
        <v>Manhã</v>
      </c>
      <c r="R1113" s="46">
        <f>IF(AND(H1113="Realizado",L1113&lt;&gt;"",A1113&lt;=Config!$B$9),L1113/60,0)</f>
        <v>0</v>
      </c>
      <c r="S1113" s="45">
        <f>IF(G1113="","",IFERROR(INDEX(Config!$K$5:$K$16,MATCH(G1113,Config!$J$5:$J$16,0)),""))</f>
        <v>30</v>
      </c>
      <c r="T1113" s="31">
        <f>IF(OR(G1113="",F1113=""),"",IFERROR(INDEX(Config!$M$5:$R$16,MATCH(G1113,Config!$J$5:$J$16,0),MATCH(F1113,Config!$H$5:$H$10,0)),""))</f>
        <v>380</v>
      </c>
      <c r="U1113" s="47">
        <f>IF(AND(H1113="Realizado",L1113&lt;&gt;""),L1113/60,0)</f>
        <v>0</v>
      </c>
      <c r="V1113" s="47">
        <f>IF(AND(H1113="Realizado",OR(L1113="",M1113="")),1,0)</f>
        <v>0</v>
      </c>
    </row>
    <row r="1114">
      <c r="A1114" s="43" t="n">
        <v>46287</v>
      </c>
      <c r="B1114" s="44" t="n">
        <v>0.4722222222222222</v>
      </c>
      <c r="C1114" s="38" t="inlineStr">
        <is>
          <t>Dra. Carolina Mendes</t>
        </is>
      </c>
      <c r="D1114" s="38" t="inlineStr">
        <is>
          <t>Sala 1</t>
        </is>
      </c>
      <c r="E1114" s="37" t="inlineStr">
        <is>
          <t>Gustavo Barbosa</t>
        </is>
      </c>
      <c r="F1114" s="38" t="inlineStr">
        <is>
          <t>Saúde Total</t>
        </is>
      </c>
      <c r="G1114" s="38" t="inlineStr">
        <is>
          <t>Retorno</t>
        </is>
      </c>
      <c r="H1114" s="38" t="inlineStr">
        <is>
          <t>Agendado</t>
        </is>
      </c>
      <c r="I1114" s="38" t="n"/>
      <c r="J1114" s="38" t="n"/>
      <c r="K1114" s="37" t="n"/>
      <c r="L1114" s="39" t="n">
        <v>20</v>
      </c>
      <c r="M1114" s="40" t="n">
        <v>0</v>
      </c>
      <c r="N1114" s="30">
        <f>IF(A1114="","",MONTH(A1114))</f>
        <v>9</v>
      </c>
      <c r="O1114" s="30">
        <f>IF(A1114="","",YEAR(A1114))</f>
        <v>2026</v>
      </c>
      <c r="P1114" s="30" t="str">
        <f>IF(A1114="","",CHOOSE(WEEKDAY(A1114,2),"Segunda","Terça","Quarta","Quinta","Sexta","Sábado","Domingo"))</f>
        <v>Terça</v>
      </c>
      <c r="Q1114" s="30" t="str">
        <f>IF(B1114="","",IF(B1114&lt;TIME(12,0,0),"Manhã",IF(B1114&lt;TIME(18,0,0),"Tarde","Noite")))</f>
        <v>Manhã</v>
      </c>
      <c r="R1114" s="46">
        <f>IF(AND(H1114="Realizado",L1114&lt;&gt;"",A1114&lt;=Config!$B$9),L1114/60,0)</f>
        <v>0</v>
      </c>
      <c r="S1114" s="45">
        <f>IF(G1114="","",IFERROR(INDEX(Config!$K$5:$K$16,MATCH(G1114,Config!$J$5:$J$16,0)),""))</f>
        <v>20</v>
      </c>
      <c r="T1114" s="31">
        <f>IF(OR(G1114="",F1114=""),"",IFERROR(INDEX(Config!$M$5:$R$16,MATCH(G1114,Config!$J$5:$J$16,0),MATCH(F1114,Config!$H$5:$H$10,0)),""))</f>
        <v>0</v>
      </c>
      <c r="U1114" s="47">
        <f>IF(AND(H1114="Realizado",L1114&lt;&gt;""),L1114/60,0)</f>
        <v>0</v>
      </c>
      <c r="V1114" s="47">
        <f>IF(AND(H1114="Realizado",OR(L1114="",M1114="")),1,0)</f>
        <v>0</v>
      </c>
    </row>
    <row r="1115">
      <c r="A1115" s="43" t="n">
        <v>46287</v>
      </c>
      <c r="B1115" s="44" t="n">
        <v>0.4861111111111111</v>
      </c>
      <c r="C1115" s="38" t="inlineStr">
        <is>
          <t>Dra. Carolina Mendes</t>
        </is>
      </c>
      <c r="D1115" s="38" t="inlineStr">
        <is>
          <t>Sala 1</t>
        </is>
      </c>
      <c r="E1115" s="37" t="inlineStr">
        <is>
          <t>Mariana Nascimento</t>
        </is>
      </c>
      <c r="F1115" s="38" t="inlineStr">
        <is>
          <t>Particular</t>
        </is>
      </c>
      <c r="G1115" s="38" t="inlineStr">
        <is>
          <t>Retorno</t>
        </is>
      </c>
      <c r="H1115" s="38" t="inlineStr">
        <is>
          <t>Agendado</t>
        </is>
      </c>
      <c r="I1115" s="38" t="n"/>
      <c r="J1115" s="38" t="n"/>
      <c r="K1115" s="37" t="n"/>
      <c r="L1115" s="39" t="n">
        <v>20</v>
      </c>
      <c r="M1115" s="40" t="n">
        <v>0</v>
      </c>
      <c r="N1115" s="30">
        <f>IF(A1115="","",MONTH(A1115))</f>
        <v>9</v>
      </c>
      <c r="O1115" s="30">
        <f>IF(A1115="","",YEAR(A1115))</f>
        <v>2026</v>
      </c>
      <c r="P1115" s="30" t="str">
        <f>IF(A1115="","",CHOOSE(WEEKDAY(A1115,2),"Segunda","Terça","Quarta","Quinta","Sexta","Sábado","Domingo"))</f>
        <v>Terça</v>
      </c>
      <c r="Q1115" s="30" t="str">
        <f>IF(B1115="","",IF(B1115&lt;TIME(12,0,0),"Manhã",IF(B1115&lt;TIME(18,0,0),"Tarde","Noite")))</f>
        <v>Manhã</v>
      </c>
      <c r="R1115" s="46">
        <f>IF(AND(H1115="Realizado",L1115&lt;&gt;"",A1115&lt;=Config!$B$9),L1115/60,0)</f>
        <v>0</v>
      </c>
      <c r="S1115" s="45">
        <f>IF(G1115="","",IFERROR(INDEX(Config!$K$5:$K$16,MATCH(G1115,Config!$J$5:$J$16,0)),""))</f>
        <v>20</v>
      </c>
      <c r="T1115" s="31">
        <f>IF(OR(G1115="",F1115=""),"",IFERROR(INDEX(Config!$M$5:$R$16,MATCH(G1115,Config!$J$5:$J$16,0),MATCH(F1115,Config!$H$5:$H$10,0)),""))</f>
        <v>0</v>
      </c>
      <c r="U1115" s="47">
        <f>IF(AND(H1115="Realizado",L1115&lt;&gt;""),L1115/60,0)</f>
        <v>0</v>
      </c>
      <c r="V1115" s="47">
        <f>IF(AND(H1115="Realizado",OR(L1115="",M1115="")),1,0)</f>
        <v>0</v>
      </c>
    </row>
    <row r="1116">
      <c r="A1116" s="43" t="n">
        <v>46287</v>
      </c>
      <c r="B1116" s="44" t="n">
        <v>0.5833333333333334</v>
      </c>
      <c r="C1116" s="38" t="inlineStr">
        <is>
          <t>Dra. Renata Sousa</t>
        </is>
      </c>
      <c r="D1116" s="38" t="inlineStr">
        <is>
          <t>Sala 1</t>
        </is>
      </c>
      <c r="E1116" s="37" t="inlineStr">
        <is>
          <t>Fernanda Gonçalves</t>
        </is>
      </c>
      <c r="F1116" s="38" t="inlineStr">
        <is>
          <t>Saúde Total</t>
        </is>
      </c>
      <c r="G1116" s="38" t="inlineStr">
        <is>
          <t>Avaliação endócrina</t>
        </is>
      </c>
      <c r="H1116" s="38" t="inlineStr">
        <is>
          <t>Agendado</t>
        </is>
      </c>
      <c r="I1116" s="38" t="n"/>
      <c r="J1116" s="38" t="n"/>
      <c r="K1116" s="37" t="n"/>
      <c r="L1116" s="39" t="n">
        <v>40</v>
      </c>
      <c r="M1116" s="40" t="n">
        <v>130</v>
      </c>
      <c r="N1116" s="30">
        <f>IF(A1116="","",MONTH(A1116))</f>
        <v>9</v>
      </c>
      <c r="O1116" s="30">
        <f>IF(A1116="","",YEAR(A1116))</f>
        <v>2026</v>
      </c>
      <c r="P1116" s="30" t="str">
        <f>IF(A1116="","",CHOOSE(WEEKDAY(A1116,2),"Segunda","Terça","Quarta","Quinta","Sexta","Sábado","Domingo"))</f>
        <v>Terça</v>
      </c>
      <c r="Q1116" s="30" t="str">
        <f>IF(B1116="","",IF(B1116&lt;TIME(12,0,0),"Manhã",IF(B1116&lt;TIME(18,0,0),"Tarde","Noite")))</f>
        <v>Tarde</v>
      </c>
      <c r="R1116" s="46">
        <f>IF(AND(H1116="Realizado",L1116&lt;&gt;"",A1116&lt;=Config!$B$9),L1116/60,0)</f>
        <v>0</v>
      </c>
      <c r="S1116" s="45">
        <f>IF(G1116="","",IFERROR(INDEX(Config!$K$5:$K$16,MATCH(G1116,Config!$J$5:$J$16,0)),""))</f>
        <v>40</v>
      </c>
      <c r="T1116" s="31">
        <f>IF(OR(G1116="",F1116=""),"",IFERROR(INDEX(Config!$M$5:$R$16,MATCH(G1116,Config!$J$5:$J$16,0),MATCH(F1116,Config!$H$5:$H$10,0)),""))</f>
        <v>130</v>
      </c>
      <c r="U1116" s="47">
        <f>IF(AND(H1116="Realizado",L1116&lt;&gt;""),L1116/60,0)</f>
        <v>0</v>
      </c>
      <c r="V1116" s="47">
        <f>IF(AND(H1116="Realizado",OR(L1116="",M1116="")),1,0)</f>
        <v>0</v>
      </c>
    </row>
    <row r="1117">
      <c r="A1117" s="43" t="n">
        <v>46287</v>
      </c>
      <c r="B1117" s="44" t="n">
        <v>0.5833333333333334</v>
      </c>
      <c r="C1117" s="38" t="inlineStr">
        <is>
          <t>Dr. Paulo Andrade</t>
        </is>
      </c>
      <c r="D1117" s="38" t="inlineStr">
        <is>
          <t>Sala 2</t>
        </is>
      </c>
      <c r="E1117" s="37" t="inlineStr">
        <is>
          <t>Beatriz Gonçalves</t>
        </is>
      </c>
      <c r="F1117" s="38" t="inlineStr">
        <is>
          <t>Saúde Total</t>
        </is>
      </c>
      <c r="G1117" s="38" t="inlineStr">
        <is>
          <t>Retorno</t>
        </is>
      </c>
      <c r="H1117" s="38" t="inlineStr">
        <is>
          <t>Agendado</t>
        </is>
      </c>
      <c r="I1117" s="38" t="n"/>
      <c r="J1117" s="38" t="n"/>
      <c r="K1117" s="37" t="n"/>
      <c r="L1117" s="39" t="n">
        <v>20</v>
      </c>
      <c r="M1117" s="40" t="n">
        <v>0</v>
      </c>
      <c r="N1117" s="30">
        <f>IF(A1117="","",MONTH(A1117))</f>
        <v>9</v>
      </c>
      <c r="O1117" s="30">
        <f>IF(A1117="","",YEAR(A1117))</f>
        <v>2026</v>
      </c>
      <c r="P1117" s="30" t="str">
        <f>IF(A1117="","",CHOOSE(WEEKDAY(A1117,2),"Segunda","Terça","Quarta","Quinta","Sexta","Sábado","Domingo"))</f>
        <v>Terça</v>
      </c>
      <c r="Q1117" s="30" t="str">
        <f>IF(B1117="","",IF(B1117&lt;TIME(12,0,0),"Manhã",IF(B1117&lt;TIME(18,0,0),"Tarde","Noite")))</f>
        <v>Tarde</v>
      </c>
      <c r="R1117" s="46">
        <f>IF(AND(H1117="Realizado",L1117&lt;&gt;"",A1117&lt;=Config!$B$9),L1117/60,0)</f>
        <v>0</v>
      </c>
      <c r="S1117" s="45">
        <f>IF(G1117="","",IFERROR(INDEX(Config!$K$5:$K$16,MATCH(G1117,Config!$J$5:$J$16,0)),""))</f>
        <v>20</v>
      </c>
      <c r="T1117" s="31">
        <f>IF(OR(G1117="",F1117=""),"",IFERROR(INDEX(Config!$M$5:$R$16,MATCH(G1117,Config!$J$5:$J$16,0),MATCH(F1117,Config!$H$5:$H$10,0)),""))</f>
        <v>0</v>
      </c>
      <c r="U1117" s="47">
        <f>IF(AND(H1117="Realizado",L1117&lt;&gt;""),L1117/60,0)</f>
        <v>0</v>
      </c>
      <c r="V1117" s="47">
        <f>IF(AND(H1117="Realizado",OR(L1117="",M1117="")),1,0)</f>
        <v>0</v>
      </c>
    </row>
    <row r="1118">
      <c r="A1118" s="43" t="n">
        <v>46287</v>
      </c>
      <c r="B1118" s="44" t="n">
        <v>0.6111111111111112</v>
      </c>
      <c r="C1118" s="38" t="inlineStr">
        <is>
          <t>Dra. Renata Sousa</t>
        </is>
      </c>
      <c r="D1118" s="38" t="inlineStr">
        <is>
          <t>Sala 1</t>
        </is>
      </c>
      <c r="E1118" s="37" t="inlineStr">
        <is>
          <t>Beatriz Gomes</t>
        </is>
      </c>
      <c r="F1118" s="38" t="inlineStr">
        <is>
          <t>Particular</t>
        </is>
      </c>
      <c r="G1118" s="38" t="inlineStr">
        <is>
          <t>Avaliação endócrina</t>
        </is>
      </c>
      <c r="H1118" s="38" t="inlineStr">
        <is>
          <t>Agendado</t>
        </is>
      </c>
      <c r="I1118" s="38" t="n"/>
      <c r="J1118" s="38" t="n"/>
      <c r="K1118" s="37" t="n"/>
      <c r="L1118" s="39" t="n">
        <v>40</v>
      </c>
      <c r="M1118" s="40" t="n">
        <v>400</v>
      </c>
      <c r="N1118" s="30">
        <f>IF(A1118="","",MONTH(A1118))</f>
        <v>9</v>
      </c>
      <c r="O1118" s="30">
        <f>IF(A1118="","",YEAR(A1118))</f>
        <v>2026</v>
      </c>
      <c r="P1118" s="30" t="str">
        <f>IF(A1118="","",CHOOSE(WEEKDAY(A1118,2),"Segunda","Terça","Quarta","Quinta","Sexta","Sábado","Domingo"))</f>
        <v>Terça</v>
      </c>
      <c r="Q1118" s="30" t="str">
        <f>IF(B1118="","",IF(B1118&lt;TIME(12,0,0),"Manhã",IF(B1118&lt;TIME(18,0,0),"Tarde","Noite")))</f>
        <v>Tarde</v>
      </c>
      <c r="R1118" s="46">
        <f>IF(AND(H1118="Realizado",L1118&lt;&gt;"",A1118&lt;=Config!$B$9),L1118/60,0)</f>
        <v>0</v>
      </c>
      <c r="S1118" s="45">
        <f>IF(G1118="","",IFERROR(INDEX(Config!$K$5:$K$16,MATCH(G1118,Config!$J$5:$J$16,0)),""))</f>
        <v>40</v>
      </c>
      <c r="T1118" s="31">
        <f>IF(OR(G1118="",F1118=""),"",IFERROR(INDEX(Config!$M$5:$R$16,MATCH(G1118,Config!$J$5:$J$16,0),MATCH(F1118,Config!$H$5:$H$10,0)),""))</f>
        <v>400</v>
      </c>
      <c r="U1118" s="47">
        <f>IF(AND(H1118="Realizado",L1118&lt;&gt;""),L1118/60,0)</f>
        <v>0</v>
      </c>
      <c r="V1118" s="47">
        <f>IF(AND(H1118="Realizado",OR(L1118="",M1118="")),1,0)</f>
        <v>0</v>
      </c>
    </row>
    <row r="1119">
      <c r="A1119" s="43" t="n">
        <v>46287</v>
      </c>
      <c r="B1119" s="44" t="n">
        <v>0.6180555555555556</v>
      </c>
      <c r="C1119" s="38" t="inlineStr">
        <is>
          <t>Dr. Paulo Andrade</t>
        </is>
      </c>
      <c r="D1119" s="38" t="inlineStr">
        <is>
          <t>Sala 2</t>
        </is>
      </c>
      <c r="E1119" s="37" t="inlineStr">
        <is>
          <t>Viviane Ribeiro</t>
        </is>
      </c>
      <c r="F1119" s="38" t="inlineStr">
        <is>
          <t>Particular</t>
        </is>
      </c>
      <c r="G1119" s="38" t="inlineStr">
        <is>
          <t>ECG</t>
        </is>
      </c>
      <c r="H1119" s="38" t="inlineStr">
        <is>
          <t>Agendado</t>
        </is>
      </c>
      <c r="I1119" s="38" t="n"/>
      <c r="J1119" s="38" t="n"/>
      <c r="K1119" s="37" t="n"/>
      <c r="L1119" s="39" t="n">
        <v>20</v>
      </c>
      <c r="M1119" s="40" t="n">
        <v>130</v>
      </c>
      <c r="N1119" s="30">
        <f>IF(A1119="","",MONTH(A1119))</f>
        <v>9</v>
      </c>
      <c r="O1119" s="30">
        <f>IF(A1119="","",YEAR(A1119))</f>
        <v>2026</v>
      </c>
      <c r="P1119" s="30" t="str">
        <f>IF(A1119="","",CHOOSE(WEEKDAY(A1119,2),"Segunda","Terça","Quarta","Quinta","Sexta","Sábado","Domingo"))</f>
        <v>Terça</v>
      </c>
      <c r="Q1119" s="30" t="str">
        <f>IF(B1119="","",IF(B1119&lt;TIME(12,0,0),"Manhã",IF(B1119&lt;TIME(18,0,0),"Tarde","Noite")))</f>
        <v>Tarde</v>
      </c>
      <c r="R1119" s="46">
        <f>IF(AND(H1119="Realizado",L1119&lt;&gt;"",A1119&lt;=Config!$B$9),L1119/60,0)</f>
        <v>0</v>
      </c>
      <c r="S1119" s="45">
        <f>IF(G1119="","",IFERROR(INDEX(Config!$K$5:$K$16,MATCH(G1119,Config!$J$5:$J$16,0)),""))</f>
        <v>20</v>
      </c>
      <c r="T1119" s="31">
        <f>IF(OR(G1119="",F1119=""),"",IFERROR(INDEX(Config!$M$5:$R$16,MATCH(G1119,Config!$J$5:$J$16,0),MATCH(F1119,Config!$H$5:$H$10,0)),""))</f>
        <v>130</v>
      </c>
      <c r="U1119" s="47">
        <f>IF(AND(H1119="Realizado",L1119&lt;&gt;""),L1119/60,0)</f>
        <v>0</v>
      </c>
      <c r="V1119" s="47">
        <f>IF(AND(H1119="Realizado",OR(L1119="",M1119="")),1,0)</f>
        <v>0</v>
      </c>
    </row>
    <row r="1120">
      <c r="A1120" s="43" t="n">
        <v>46287</v>
      </c>
      <c r="B1120" s="44" t="n">
        <v>0.6319444444444444</v>
      </c>
      <c r="C1120" s="38" t="inlineStr">
        <is>
          <t>Dr. Paulo Andrade</t>
        </is>
      </c>
      <c r="D1120" s="38" t="inlineStr">
        <is>
          <t>Sala 2</t>
        </is>
      </c>
      <c r="E1120" s="37" t="inlineStr">
        <is>
          <t>Leandro Oliveira</t>
        </is>
      </c>
      <c r="F1120" s="38" t="inlineStr">
        <is>
          <t>Particular</t>
        </is>
      </c>
      <c r="G1120" s="38" t="inlineStr">
        <is>
          <t>Teste ergométrico</t>
        </is>
      </c>
      <c r="H1120" s="38" t="inlineStr">
        <is>
          <t>Agendado</t>
        </is>
      </c>
      <c r="I1120" s="38" t="n"/>
      <c r="J1120" s="38" t="n"/>
      <c r="K1120" s="37" t="n"/>
      <c r="L1120" s="39" t="n">
        <v>40</v>
      </c>
      <c r="M1120" s="40" t="n">
        <v>450</v>
      </c>
      <c r="N1120" s="30">
        <f>IF(A1120="","",MONTH(A1120))</f>
        <v>9</v>
      </c>
      <c r="O1120" s="30">
        <f>IF(A1120="","",YEAR(A1120))</f>
        <v>2026</v>
      </c>
      <c r="P1120" s="30" t="str">
        <f>IF(A1120="","",CHOOSE(WEEKDAY(A1120,2),"Segunda","Terça","Quarta","Quinta","Sexta","Sábado","Domingo"))</f>
        <v>Terça</v>
      </c>
      <c r="Q1120" s="30" t="str">
        <f>IF(B1120="","",IF(B1120&lt;TIME(12,0,0),"Manhã",IF(B1120&lt;TIME(18,0,0),"Tarde","Noite")))</f>
        <v>Tarde</v>
      </c>
      <c r="R1120" s="46">
        <f>IF(AND(H1120="Realizado",L1120&lt;&gt;"",A1120&lt;=Config!$B$9),L1120/60,0)</f>
        <v>0</v>
      </c>
      <c r="S1120" s="45">
        <f>IF(G1120="","",IFERROR(INDEX(Config!$K$5:$K$16,MATCH(G1120,Config!$J$5:$J$16,0)),""))</f>
        <v>40</v>
      </c>
      <c r="T1120" s="31">
        <f>IF(OR(G1120="",F1120=""),"",IFERROR(INDEX(Config!$M$5:$R$16,MATCH(G1120,Config!$J$5:$J$16,0),MATCH(F1120,Config!$H$5:$H$10,0)),""))</f>
        <v>450</v>
      </c>
      <c r="U1120" s="47">
        <f>IF(AND(H1120="Realizado",L1120&lt;&gt;""),L1120/60,0)</f>
        <v>0</v>
      </c>
      <c r="V1120" s="47">
        <f>IF(AND(H1120="Realizado",OR(L1120="",M1120="")),1,0)</f>
        <v>0</v>
      </c>
    </row>
    <row r="1121">
      <c r="A1121" s="43" t="n">
        <v>46287</v>
      </c>
      <c r="B1121" s="44" t="n">
        <v>0.6388888888888888</v>
      </c>
      <c r="C1121" s="38" t="inlineStr">
        <is>
          <t>Dra. Renata Sousa</t>
        </is>
      </c>
      <c r="D1121" s="38" t="inlineStr">
        <is>
          <t>Sala 1</t>
        </is>
      </c>
      <c r="E1121" s="37" t="inlineStr">
        <is>
          <t>Priscila Reis</t>
        </is>
      </c>
      <c r="F1121" s="38" t="inlineStr">
        <is>
          <t>Particular</t>
        </is>
      </c>
      <c r="G1121" s="38" t="inlineStr">
        <is>
          <t>Avaliação endócrina</t>
        </is>
      </c>
      <c r="H1121" s="38" t="inlineStr">
        <is>
          <t>Agendado</t>
        </is>
      </c>
      <c r="I1121" s="38" t="n"/>
      <c r="J1121" s="38" t="n"/>
      <c r="K1121" s="37" t="n"/>
      <c r="L1121" s="39" t="n">
        <v>40</v>
      </c>
      <c r="M1121" s="40" t="n">
        <v>400</v>
      </c>
      <c r="N1121" s="30">
        <f>IF(A1121="","",MONTH(A1121))</f>
        <v>9</v>
      </c>
      <c r="O1121" s="30">
        <f>IF(A1121="","",YEAR(A1121))</f>
        <v>2026</v>
      </c>
      <c r="P1121" s="30" t="str">
        <f>IF(A1121="","",CHOOSE(WEEKDAY(A1121,2),"Segunda","Terça","Quarta","Quinta","Sexta","Sábado","Domingo"))</f>
        <v>Terça</v>
      </c>
      <c r="Q1121" s="30" t="str">
        <f>IF(B1121="","",IF(B1121&lt;TIME(12,0,0),"Manhã",IF(B1121&lt;TIME(18,0,0),"Tarde","Noite")))</f>
        <v>Tarde</v>
      </c>
      <c r="R1121" s="46">
        <f>IF(AND(H1121="Realizado",L1121&lt;&gt;"",A1121&lt;=Config!$B$9),L1121/60,0)</f>
        <v>0</v>
      </c>
      <c r="S1121" s="45">
        <f>IF(G1121="","",IFERROR(INDEX(Config!$K$5:$K$16,MATCH(G1121,Config!$J$5:$J$16,0)),""))</f>
        <v>40</v>
      </c>
      <c r="T1121" s="31">
        <f>IF(OR(G1121="",F1121=""),"",IFERROR(INDEX(Config!$M$5:$R$16,MATCH(G1121,Config!$J$5:$J$16,0),MATCH(F1121,Config!$H$5:$H$10,0)),""))</f>
        <v>400</v>
      </c>
      <c r="U1121" s="47">
        <f>IF(AND(H1121="Realizado",L1121&lt;&gt;""),L1121/60,0)</f>
        <v>0</v>
      </c>
      <c r="V1121" s="47">
        <f>IF(AND(H1121="Realizado",OR(L1121="",M1121="")),1,0)</f>
        <v>0</v>
      </c>
    </row>
    <row r="1122">
      <c r="A1122" s="43" t="n">
        <v>46287</v>
      </c>
      <c r="B1122" s="44" t="n">
        <v>0.6597222222222222</v>
      </c>
      <c r="C1122" s="38" t="inlineStr">
        <is>
          <t>Dr. Paulo Andrade</t>
        </is>
      </c>
      <c r="D1122" s="38" t="inlineStr">
        <is>
          <t>Sala 2</t>
        </is>
      </c>
      <c r="E1122" s="37" t="inlineStr">
        <is>
          <t>Wagner Lima</t>
        </is>
      </c>
      <c r="F1122" s="38" t="inlineStr">
        <is>
          <t>Particular</t>
        </is>
      </c>
      <c r="G1122" s="38" t="inlineStr">
        <is>
          <t>Holter</t>
        </is>
      </c>
      <c r="H1122" s="38" t="inlineStr">
        <is>
          <t>Agendado</t>
        </is>
      </c>
      <c r="I1122" s="38" t="n"/>
      <c r="J1122" s="38" t="n"/>
      <c r="K1122" s="37" t="n"/>
      <c r="L1122" s="39" t="n">
        <v>20</v>
      </c>
      <c r="M1122" s="40" t="n">
        <v>350</v>
      </c>
      <c r="N1122" s="30">
        <f>IF(A1122="","",MONTH(A1122))</f>
        <v>9</v>
      </c>
      <c r="O1122" s="30">
        <f>IF(A1122="","",YEAR(A1122))</f>
        <v>2026</v>
      </c>
      <c r="P1122" s="30" t="str">
        <f>IF(A1122="","",CHOOSE(WEEKDAY(A1122,2),"Segunda","Terça","Quarta","Quinta","Sexta","Sábado","Domingo"))</f>
        <v>Terça</v>
      </c>
      <c r="Q1122" s="30" t="str">
        <f>IF(B1122="","",IF(B1122&lt;TIME(12,0,0),"Manhã",IF(B1122&lt;TIME(18,0,0),"Tarde","Noite")))</f>
        <v>Tarde</v>
      </c>
      <c r="R1122" s="46">
        <f>IF(AND(H1122="Realizado",L1122&lt;&gt;"",A1122&lt;=Config!$B$9),L1122/60,0)</f>
        <v>0</v>
      </c>
      <c r="S1122" s="45">
        <f>IF(G1122="","",IFERROR(INDEX(Config!$K$5:$K$16,MATCH(G1122,Config!$J$5:$J$16,0)),""))</f>
        <v>20</v>
      </c>
      <c r="T1122" s="31">
        <f>IF(OR(G1122="",F1122=""),"",IFERROR(INDEX(Config!$M$5:$R$16,MATCH(G1122,Config!$J$5:$J$16,0),MATCH(F1122,Config!$H$5:$H$10,0)),""))</f>
        <v>350</v>
      </c>
      <c r="U1122" s="47">
        <f>IF(AND(H1122="Realizado",L1122&lt;&gt;""),L1122/60,0)</f>
        <v>0</v>
      </c>
      <c r="V1122" s="47">
        <f>IF(AND(H1122="Realizado",OR(L1122="",M1122="")),1,0)</f>
        <v>0</v>
      </c>
    </row>
    <row r="1123">
      <c r="A1123" s="43" t="n">
        <v>46287</v>
      </c>
      <c r="B1123" s="44" t="n">
        <v>0.6666666666666666</v>
      </c>
      <c r="C1123" s="38" t="inlineStr">
        <is>
          <t>Dra. Renata Sousa</t>
        </is>
      </c>
      <c r="D1123" s="38" t="inlineStr">
        <is>
          <t>Sala 1</t>
        </is>
      </c>
      <c r="E1123" s="37" t="inlineStr">
        <is>
          <t>Gabriel Reis</t>
        </is>
      </c>
      <c r="F1123" s="38" t="inlineStr">
        <is>
          <t>Particular</t>
        </is>
      </c>
      <c r="G1123" s="38" t="inlineStr">
        <is>
          <t>Avaliação endócrina</t>
        </is>
      </c>
      <c r="H1123" s="38" t="inlineStr">
        <is>
          <t>Agendado</t>
        </is>
      </c>
      <c r="I1123" s="38" t="n"/>
      <c r="J1123" s="38" t="n"/>
      <c r="K1123" s="37" t="n"/>
      <c r="L1123" s="39" t="n">
        <v>40</v>
      </c>
      <c r="M1123" s="40" t="n">
        <v>400</v>
      </c>
      <c r="N1123" s="30">
        <f>IF(A1123="","",MONTH(A1123))</f>
        <v>9</v>
      </c>
      <c r="O1123" s="30">
        <f>IF(A1123="","",YEAR(A1123))</f>
        <v>2026</v>
      </c>
      <c r="P1123" s="30" t="str">
        <f>IF(A1123="","",CHOOSE(WEEKDAY(A1123,2),"Segunda","Terça","Quarta","Quinta","Sexta","Sábado","Domingo"))</f>
        <v>Terça</v>
      </c>
      <c r="Q1123" s="30" t="str">
        <f>IF(B1123="","",IF(B1123&lt;TIME(12,0,0),"Manhã",IF(B1123&lt;TIME(18,0,0),"Tarde","Noite")))</f>
        <v>Tarde</v>
      </c>
      <c r="R1123" s="46">
        <f>IF(AND(H1123="Realizado",L1123&lt;&gt;"",A1123&lt;=Config!$B$9),L1123/60,0)</f>
        <v>0</v>
      </c>
      <c r="S1123" s="45">
        <f>IF(G1123="","",IFERROR(INDEX(Config!$K$5:$K$16,MATCH(G1123,Config!$J$5:$J$16,0)),""))</f>
        <v>40</v>
      </c>
      <c r="T1123" s="31">
        <f>IF(OR(G1123="",F1123=""),"",IFERROR(INDEX(Config!$M$5:$R$16,MATCH(G1123,Config!$J$5:$J$16,0),MATCH(F1123,Config!$H$5:$H$10,0)),""))</f>
        <v>400</v>
      </c>
      <c r="U1123" s="47">
        <f>IF(AND(H1123="Realizado",L1123&lt;&gt;""),L1123/60,0)</f>
        <v>0</v>
      </c>
      <c r="V1123" s="47">
        <f>IF(AND(H1123="Realizado",OR(L1123="",M1123="")),1,0)</f>
        <v>0</v>
      </c>
    </row>
    <row r="1124">
      <c r="A1124" s="43" t="n">
        <v>46287</v>
      </c>
      <c r="B1124" s="44" t="n">
        <v>0.6944444444444444</v>
      </c>
      <c r="C1124" s="38" t="inlineStr">
        <is>
          <t>Dra. Renata Sousa</t>
        </is>
      </c>
      <c r="D1124" s="38" t="inlineStr">
        <is>
          <t>Sala 1</t>
        </is>
      </c>
      <c r="E1124" s="37" t="inlineStr">
        <is>
          <t>Isabela Xavier</t>
        </is>
      </c>
      <c r="F1124" s="38" t="inlineStr">
        <is>
          <t>Particular</t>
        </is>
      </c>
      <c r="G1124" s="38" t="inlineStr">
        <is>
          <t>Avaliação endócrina</t>
        </is>
      </c>
      <c r="H1124" s="38" t="inlineStr">
        <is>
          <t>Agendado</t>
        </is>
      </c>
      <c r="I1124" s="38" t="n"/>
      <c r="J1124" s="38" t="n"/>
      <c r="K1124" s="37" t="n"/>
      <c r="L1124" s="39" t="n">
        <v>40</v>
      </c>
      <c r="M1124" s="40" t="n">
        <v>400</v>
      </c>
      <c r="N1124" s="30">
        <f>IF(A1124="","",MONTH(A1124))</f>
        <v>9</v>
      </c>
      <c r="O1124" s="30">
        <f>IF(A1124="","",YEAR(A1124))</f>
        <v>2026</v>
      </c>
      <c r="P1124" s="30" t="str">
        <f>IF(A1124="","",CHOOSE(WEEKDAY(A1124,2),"Segunda","Terça","Quarta","Quinta","Sexta","Sábado","Domingo"))</f>
        <v>Terça</v>
      </c>
      <c r="Q1124" s="30" t="str">
        <f>IF(B1124="","",IF(B1124&lt;TIME(12,0,0),"Manhã",IF(B1124&lt;TIME(18,0,0),"Tarde","Noite")))</f>
        <v>Tarde</v>
      </c>
      <c r="R1124" s="46">
        <f>IF(AND(H1124="Realizado",L1124&lt;&gt;"",A1124&lt;=Config!$B$9),L1124/60,0)</f>
        <v>0</v>
      </c>
      <c r="S1124" s="45">
        <f>IF(G1124="","",IFERROR(INDEX(Config!$K$5:$K$16,MATCH(G1124,Config!$J$5:$J$16,0)),""))</f>
        <v>40</v>
      </c>
      <c r="T1124" s="31">
        <f>IF(OR(G1124="",F1124=""),"",IFERROR(INDEX(Config!$M$5:$R$16,MATCH(G1124,Config!$J$5:$J$16,0),MATCH(F1124,Config!$H$5:$H$10,0)),""))</f>
        <v>400</v>
      </c>
      <c r="U1124" s="47">
        <f>IF(AND(H1124="Realizado",L1124&lt;&gt;""),L1124/60,0)</f>
        <v>0</v>
      </c>
      <c r="V1124" s="47">
        <f>IF(AND(H1124="Realizado",OR(L1124="",M1124="")),1,0)</f>
        <v>0</v>
      </c>
    </row>
    <row r="1125">
      <c r="A1125" s="43" t="n">
        <v>46287</v>
      </c>
      <c r="B1125" s="44" t="n">
        <v>0.6944444444444444</v>
      </c>
      <c r="C1125" s="38" t="inlineStr">
        <is>
          <t>Dr. Paulo Andrade</t>
        </is>
      </c>
      <c r="D1125" s="38" t="inlineStr">
        <is>
          <t>Sala 2</t>
        </is>
      </c>
      <c r="E1125" s="37" t="inlineStr">
        <is>
          <t>Gustavo Pinto</t>
        </is>
      </c>
      <c r="F1125" s="38" t="inlineStr">
        <is>
          <t>Particular</t>
        </is>
      </c>
      <c r="G1125" s="38" t="inlineStr">
        <is>
          <t>Consulta</t>
        </is>
      </c>
      <c r="H1125" s="38" t="inlineStr">
        <is>
          <t>Agendado</t>
        </is>
      </c>
      <c r="I1125" s="38" t="n"/>
      <c r="J1125" s="38" t="n"/>
      <c r="K1125" s="37" t="n"/>
      <c r="L1125" s="39" t="n">
        <v>30</v>
      </c>
      <c r="M1125" s="40" t="n">
        <v>380</v>
      </c>
      <c r="N1125" s="30">
        <f>IF(A1125="","",MONTH(A1125))</f>
        <v>9</v>
      </c>
      <c r="O1125" s="30">
        <f>IF(A1125="","",YEAR(A1125))</f>
        <v>2026</v>
      </c>
      <c r="P1125" s="30" t="str">
        <f>IF(A1125="","",CHOOSE(WEEKDAY(A1125,2),"Segunda","Terça","Quarta","Quinta","Sexta","Sábado","Domingo"))</f>
        <v>Terça</v>
      </c>
      <c r="Q1125" s="30" t="str">
        <f>IF(B1125="","",IF(B1125&lt;TIME(12,0,0),"Manhã",IF(B1125&lt;TIME(18,0,0),"Tarde","Noite")))</f>
        <v>Tarde</v>
      </c>
      <c r="R1125" s="46">
        <f>IF(AND(H1125="Realizado",L1125&lt;&gt;"",A1125&lt;=Config!$B$9),L1125/60,0)</f>
        <v>0</v>
      </c>
      <c r="S1125" s="45">
        <f>IF(G1125="","",IFERROR(INDEX(Config!$K$5:$K$16,MATCH(G1125,Config!$J$5:$J$16,0)),""))</f>
        <v>30</v>
      </c>
      <c r="T1125" s="31">
        <f>IF(OR(G1125="",F1125=""),"",IFERROR(INDEX(Config!$M$5:$R$16,MATCH(G1125,Config!$J$5:$J$16,0),MATCH(F1125,Config!$H$5:$H$10,0)),""))</f>
        <v>380</v>
      </c>
      <c r="U1125" s="47">
        <f>IF(AND(H1125="Realizado",L1125&lt;&gt;""),L1125/60,0)</f>
        <v>0</v>
      </c>
      <c r="V1125" s="47">
        <f>IF(AND(H1125="Realizado",OR(L1125="",M1125="")),1,0)</f>
        <v>0</v>
      </c>
    </row>
    <row r="1126">
      <c r="A1126" s="43" t="n">
        <v>46287</v>
      </c>
      <c r="B1126" s="44" t="n">
        <v>0.7152777777777778</v>
      </c>
      <c r="C1126" s="38" t="inlineStr">
        <is>
          <t>Dr. Paulo Andrade</t>
        </is>
      </c>
      <c r="D1126" s="38" t="inlineStr">
        <is>
          <t>Sala 2</t>
        </is>
      </c>
      <c r="E1126" s="37" t="inlineStr">
        <is>
          <t>Paulo Ribeiro</t>
        </is>
      </c>
      <c r="F1126" s="38" t="inlineStr">
        <is>
          <t>Saúde Total</t>
        </is>
      </c>
      <c r="G1126" s="38" t="inlineStr">
        <is>
          <t>Retorno</t>
        </is>
      </c>
      <c r="H1126" s="38" t="inlineStr">
        <is>
          <t>Agendado</t>
        </is>
      </c>
      <c r="I1126" s="38" t="n"/>
      <c r="J1126" s="38" t="n"/>
      <c r="K1126" s="37" t="n"/>
      <c r="L1126" s="39" t="n">
        <v>20</v>
      </c>
      <c r="M1126" s="40" t="n">
        <v>0</v>
      </c>
      <c r="N1126" s="30">
        <f>IF(A1126="","",MONTH(A1126))</f>
        <v>9</v>
      </c>
      <c r="O1126" s="30">
        <f>IF(A1126="","",YEAR(A1126))</f>
        <v>2026</v>
      </c>
      <c r="P1126" s="30" t="str">
        <f>IF(A1126="","",CHOOSE(WEEKDAY(A1126,2),"Segunda","Terça","Quarta","Quinta","Sexta","Sábado","Domingo"))</f>
        <v>Terça</v>
      </c>
      <c r="Q1126" s="30" t="str">
        <f>IF(B1126="","",IF(B1126&lt;TIME(12,0,0),"Manhã",IF(B1126&lt;TIME(18,0,0),"Tarde","Noite")))</f>
        <v>Tarde</v>
      </c>
      <c r="R1126" s="46">
        <f>IF(AND(H1126="Realizado",L1126&lt;&gt;"",A1126&lt;=Config!$B$9),L1126/60,0)</f>
        <v>0</v>
      </c>
      <c r="S1126" s="45">
        <f>IF(G1126="","",IFERROR(INDEX(Config!$K$5:$K$16,MATCH(G1126,Config!$J$5:$J$16,0)),""))</f>
        <v>20</v>
      </c>
      <c r="T1126" s="31">
        <f>IF(OR(G1126="",F1126=""),"",IFERROR(INDEX(Config!$M$5:$R$16,MATCH(G1126,Config!$J$5:$J$16,0),MATCH(F1126,Config!$H$5:$H$10,0)),""))</f>
        <v>0</v>
      </c>
      <c r="U1126" s="47">
        <f>IF(AND(H1126="Realizado",L1126&lt;&gt;""),L1126/60,0)</f>
        <v>0</v>
      </c>
      <c r="V1126" s="47">
        <f>IF(AND(H1126="Realizado",OR(L1126="",M1126="")),1,0)</f>
        <v>0</v>
      </c>
    </row>
    <row r="1127">
      <c r="A1127" s="43" t="n">
        <v>46287</v>
      </c>
      <c r="B1127" s="44" t="n">
        <v>0.7291666666666666</v>
      </c>
      <c r="C1127" s="38" t="inlineStr">
        <is>
          <t>Dr. Paulo Andrade</t>
        </is>
      </c>
      <c r="D1127" s="38" t="inlineStr">
        <is>
          <t>Sala 2</t>
        </is>
      </c>
      <c r="E1127" s="37" t="inlineStr">
        <is>
          <t>Patrícia Correia</t>
        </is>
      </c>
      <c r="F1127" s="38" t="inlineStr">
        <is>
          <t>Saúde Total</t>
        </is>
      </c>
      <c r="G1127" s="38" t="inlineStr">
        <is>
          <t>Consulta</t>
        </is>
      </c>
      <c r="H1127" s="38" t="inlineStr">
        <is>
          <t>Agendado</t>
        </is>
      </c>
      <c r="I1127" s="38" t="n"/>
      <c r="J1127" s="38" t="n"/>
      <c r="K1127" s="37" t="n"/>
      <c r="L1127" s="39" t="n">
        <v>30</v>
      </c>
      <c r="M1127" s="40" t="n">
        <v>120</v>
      </c>
      <c r="N1127" s="30">
        <f>IF(A1127="","",MONTH(A1127))</f>
        <v>9</v>
      </c>
      <c r="O1127" s="30">
        <f>IF(A1127="","",YEAR(A1127))</f>
        <v>2026</v>
      </c>
      <c r="P1127" s="30" t="str">
        <f>IF(A1127="","",CHOOSE(WEEKDAY(A1127,2),"Segunda","Terça","Quarta","Quinta","Sexta","Sábado","Domingo"))</f>
        <v>Terça</v>
      </c>
      <c r="Q1127" s="30" t="str">
        <f>IF(B1127="","",IF(B1127&lt;TIME(12,0,0),"Manhã",IF(B1127&lt;TIME(18,0,0),"Tarde","Noite")))</f>
        <v>Tarde</v>
      </c>
      <c r="R1127" s="46">
        <f>IF(AND(H1127="Realizado",L1127&lt;&gt;"",A1127&lt;=Config!$B$9),L1127/60,0)</f>
        <v>0</v>
      </c>
      <c r="S1127" s="45">
        <f>IF(G1127="","",IFERROR(INDEX(Config!$K$5:$K$16,MATCH(G1127,Config!$J$5:$J$16,0)),""))</f>
        <v>30</v>
      </c>
      <c r="T1127" s="31">
        <f>IF(OR(G1127="",F1127=""),"",IFERROR(INDEX(Config!$M$5:$R$16,MATCH(G1127,Config!$J$5:$J$16,0),MATCH(F1127,Config!$H$5:$H$10,0)),""))</f>
        <v>120</v>
      </c>
      <c r="U1127" s="47">
        <f>IF(AND(H1127="Realizado",L1127&lt;&gt;""),L1127/60,0)</f>
        <v>0</v>
      </c>
      <c r="V1127" s="47">
        <f>IF(AND(H1127="Realizado",OR(L1127="",M1127="")),1,0)</f>
        <v>0</v>
      </c>
    </row>
    <row r="1128">
      <c r="A1128" s="43" t="n">
        <v>46288</v>
      </c>
      <c r="B1128" s="44" t="n">
        <v>0.5833333333333334</v>
      </c>
      <c r="C1128" s="38" t="inlineStr">
        <is>
          <t>Dra. Carolina Mendes</t>
        </is>
      </c>
      <c r="D1128" s="38" t="inlineStr">
        <is>
          <t>Sala 1</t>
        </is>
      </c>
      <c r="E1128" s="37" t="inlineStr">
        <is>
          <t>Camila Batista</t>
        </is>
      </c>
      <c r="F1128" s="38" t="inlineStr">
        <is>
          <t>MediPlan</t>
        </is>
      </c>
      <c r="G1128" s="38" t="inlineStr">
        <is>
          <t>Consulta</t>
        </is>
      </c>
      <c r="H1128" s="38" t="inlineStr">
        <is>
          <t>Agendado</t>
        </is>
      </c>
      <c r="I1128" s="38" t="n"/>
      <c r="J1128" s="38" t="n"/>
      <c r="K1128" s="37" t="n"/>
      <c r="L1128" s="39" t="n">
        <v>30</v>
      </c>
      <c r="M1128" s="40" t="n">
        <v>100</v>
      </c>
      <c r="N1128" s="30">
        <f>IF(A1128="","",MONTH(A1128))</f>
        <v>9</v>
      </c>
      <c r="O1128" s="30">
        <f>IF(A1128="","",YEAR(A1128))</f>
        <v>2026</v>
      </c>
      <c r="P1128" s="30" t="str">
        <f>IF(A1128="","",CHOOSE(WEEKDAY(A1128,2),"Segunda","Terça","Quarta","Quinta","Sexta","Sábado","Domingo"))</f>
        <v>Quarta</v>
      </c>
      <c r="Q1128" s="30" t="str">
        <f>IF(B1128="","",IF(B1128&lt;TIME(12,0,0),"Manhã",IF(B1128&lt;TIME(18,0,0),"Tarde","Noite")))</f>
        <v>Tarde</v>
      </c>
      <c r="R1128" s="46">
        <f>IF(AND(H1128="Realizado",L1128&lt;&gt;"",A1128&lt;=Config!$B$9),L1128/60,0)</f>
        <v>0</v>
      </c>
      <c r="S1128" s="45">
        <f>IF(G1128="","",IFERROR(INDEX(Config!$K$5:$K$16,MATCH(G1128,Config!$J$5:$J$16,0)),""))</f>
        <v>30</v>
      </c>
      <c r="T1128" s="31">
        <f>IF(OR(G1128="",F1128=""),"",IFERROR(INDEX(Config!$M$5:$R$16,MATCH(G1128,Config!$J$5:$J$16,0),MATCH(F1128,Config!$H$5:$H$10,0)),""))</f>
        <v>100</v>
      </c>
      <c r="U1128" s="47">
        <f>IF(AND(H1128="Realizado",L1128&lt;&gt;""),L1128/60,0)</f>
        <v>0</v>
      </c>
      <c r="V1128" s="47">
        <f>IF(AND(H1128="Realizado",OR(L1128="",M1128="")),1,0)</f>
        <v>0</v>
      </c>
    </row>
    <row r="1129">
      <c r="A1129" s="43" t="n">
        <v>46288</v>
      </c>
      <c r="B1129" s="44" t="n">
        <v>0.6041666666666666</v>
      </c>
      <c r="C1129" s="38" t="inlineStr">
        <is>
          <t>Dra. Carolina Mendes</t>
        </is>
      </c>
      <c r="D1129" s="38" t="inlineStr">
        <is>
          <t>Sala 1</t>
        </is>
      </c>
      <c r="E1129" s="37" t="inlineStr">
        <is>
          <t>Gisele Ribeiro</t>
        </is>
      </c>
      <c r="F1129" s="38" t="inlineStr">
        <is>
          <t>Particular</t>
        </is>
      </c>
      <c r="G1129" s="38" t="inlineStr">
        <is>
          <t>Retorno</t>
        </is>
      </c>
      <c r="H1129" s="38" t="inlineStr">
        <is>
          <t>Agendado</t>
        </is>
      </c>
      <c r="I1129" s="38" t="n"/>
      <c r="J1129" s="38" t="n"/>
      <c r="K1129" s="37" t="n"/>
      <c r="L1129" s="39" t="n">
        <v>20</v>
      </c>
      <c r="M1129" s="40" t="n">
        <v>0</v>
      </c>
      <c r="N1129" s="30">
        <f>IF(A1129="","",MONTH(A1129))</f>
        <v>9</v>
      </c>
      <c r="O1129" s="30">
        <f>IF(A1129="","",YEAR(A1129))</f>
        <v>2026</v>
      </c>
      <c r="P1129" s="30" t="str">
        <f>IF(A1129="","",CHOOSE(WEEKDAY(A1129,2),"Segunda","Terça","Quarta","Quinta","Sexta","Sábado","Domingo"))</f>
        <v>Quarta</v>
      </c>
      <c r="Q1129" s="30" t="str">
        <f>IF(B1129="","",IF(B1129&lt;TIME(12,0,0),"Manhã",IF(B1129&lt;TIME(18,0,0),"Tarde","Noite")))</f>
        <v>Tarde</v>
      </c>
      <c r="R1129" s="46">
        <f>IF(AND(H1129="Realizado",L1129&lt;&gt;"",A1129&lt;=Config!$B$9),L1129/60,0)</f>
        <v>0</v>
      </c>
      <c r="S1129" s="45">
        <f>IF(G1129="","",IFERROR(INDEX(Config!$K$5:$K$16,MATCH(G1129,Config!$J$5:$J$16,0)),""))</f>
        <v>20</v>
      </c>
      <c r="T1129" s="31">
        <f>IF(OR(G1129="",F1129=""),"",IFERROR(INDEX(Config!$M$5:$R$16,MATCH(G1129,Config!$J$5:$J$16,0),MATCH(F1129,Config!$H$5:$H$10,0)),""))</f>
        <v>0</v>
      </c>
      <c r="U1129" s="47">
        <f>IF(AND(H1129="Realizado",L1129&lt;&gt;""),L1129/60,0)</f>
        <v>0</v>
      </c>
      <c r="V1129" s="47">
        <f>IF(AND(H1129="Realizado",OR(L1129="",M1129="")),1,0)</f>
        <v>0</v>
      </c>
    </row>
    <row r="1130">
      <c r="A1130" s="43" t="n">
        <v>46288</v>
      </c>
      <c r="B1130" s="44" t="n">
        <v>0.6388888888888888</v>
      </c>
      <c r="C1130" s="38" t="inlineStr">
        <is>
          <t>Dra. Carolina Mendes</t>
        </is>
      </c>
      <c r="D1130" s="38" t="inlineStr">
        <is>
          <t>Sala 1</t>
        </is>
      </c>
      <c r="E1130" s="37" t="inlineStr">
        <is>
          <t>Roberta Fernandes</t>
        </is>
      </c>
      <c r="F1130" s="38" t="inlineStr">
        <is>
          <t>Saúde Total</t>
        </is>
      </c>
      <c r="G1130" s="38" t="inlineStr">
        <is>
          <t>Retorno</t>
        </is>
      </c>
      <c r="H1130" s="38" t="inlineStr">
        <is>
          <t>Agendado</t>
        </is>
      </c>
      <c r="I1130" s="38" t="n"/>
      <c r="J1130" s="38" t="n"/>
      <c r="K1130" s="37" t="n"/>
      <c r="L1130" s="39" t="n">
        <v>20</v>
      </c>
      <c r="M1130" s="40" t="n">
        <v>0</v>
      </c>
      <c r="N1130" s="30">
        <f>IF(A1130="","",MONTH(A1130))</f>
        <v>9</v>
      </c>
      <c r="O1130" s="30">
        <f>IF(A1130="","",YEAR(A1130))</f>
        <v>2026</v>
      </c>
      <c r="P1130" s="30" t="str">
        <f>IF(A1130="","",CHOOSE(WEEKDAY(A1130,2),"Segunda","Terça","Quarta","Quinta","Sexta","Sábado","Domingo"))</f>
        <v>Quarta</v>
      </c>
      <c r="Q1130" s="30" t="str">
        <f>IF(B1130="","",IF(B1130&lt;TIME(12,0,0),"Manhã",IF(B1130&lt;TIME(18,0,0),"Tarde","Noite")))</f>
        <v>Tarde</v>
      </c>
      <c r="R1130" s="46">
        <f>IF(AND(H1130="Realizado",L1130&lt;&gt;"",A1130&lt;=Config!$B$9),L1130/60,0)</f>
        <v>0</v>
      </c>
      <c r="S1130" s="45">
        <f>IF(G1130="","",IFERROR(INDEX(Config!$K$5:$K$16,MATCH(G1130,Config!$J$5:$J$16,0)),""))</f>
        <v>20</v>
      </c>
      <c r="T1130" s="31">
        <f>IF(OR(G1130="",F1130=""),"",IFERROR(INDEX(Config!$M$5:$R$16,MATCH(G1130,Config!$J$5:$J$16,0),MATCH(F1130,Config!$H$5:$H$10,0)),""))</f>
        <v>0</v>
      </c>
      <c r="U1130" s="47">
        <f>IF(AND(H1130="Realizado",L1130&lt;&gt;""),L1130/60,0)</f>
        <v>0</v>
      </c>
      <c r="V1130" s="47">
        <f>IF(AND(H1130="Realizado",OR(L1130="",M1130="")),1,0)</f>
        <v>0</v>
      </c>
    </row>
    <row r="1131">
      <c r="A1131" s="43" t="n">
        <v>46288</v>
      </c>
      <c r="B1131" s="44" t="n">
        <v>0.6527777777777778</v>
      </c>
      <c r="C1131" s="38" t="inlineStr">
        <is>
          <t>Dra. Carolina Mendes</t>
        </is>
      </c>
      <c r="D1131" s="38" t="inlineStr">
        <is>
          <t>Sala 1</t>
        </is>
      </c>
      <c r="E1131" s="37" t="inlineStr">
        <is>
          <t>Sandra Barros</t>
        </is>
      </c>
      <c r="F1131" s="38" t="inlineStr">
        <is>
          <t>Saúde Total</t>
        </is>
      </c>
      <c r="G1131" s="38" t="inlineStr">
        <is>
          <t>Consulta</t>
        </is>
      </c>
      <c r="H1131" s="38" t="inlineStr">
        <is>
          <t>Agendado</t>
        </is>
      </c>
      <c r="I1131" s="38" t="n"/>
      <c r="J1131" s="38" t="n"/>
      <c r="K1131" s="37" t="n"/>
      <c r="L1131" s="39" t="n">
        <v>30</v>
      </c>
      <c r="M1131" s="40" t="n">
        <v>120</v>
      </c>
      <c r="N1131" s="30">
        <f>IF(A1131="","",MONTH(A1131))</f>
        <v>9</v>
      </c>
      <c r="O1131" s="30">
        <f>IF(A1131="","",YEAR(A1131))</f>
        <v>2026</v>
      </c>
      <c r="P1131" s="30" t="str">
        <f>IF(A1131="","",CHOOSE(WEEKDAY(A1131,2),"Segunda","Terça","Quarta","Quinta","Sexta","Sábado","Domingo"))</f>
        <v>Quarta</v>
      </c>
      <c r="Q1131" s="30" t="str">
        <f>IF(B1131="","",IF(B1131&lt;TIME(12,0,0),"Manhã",IF(B1131&lt;TIME(18,0,0),"Tarde","Noite")))</f>
        <v>Tarde</v>
      </c>
      <c r="R1131" s="46">
        <f>IF(AND(H1131="Realizado",L1131&lt;&gt;"",A1131&lt;=Config!$B$9),L1131/60,0)</f>
        <v>0</v>
      </c>
      <c r="S1131" s="45">
        <f>IF(G1131="","",IFERROR(INDEX(Config!$K$5:$K$16,MATCH(G1131,Config!$J$5:$J$16,0)),""))</f>
        <v>30</v>
      </c>
      <c r="T1131" s="31">
        <f>IF(OR(G1131="",F1131=""),"",IFERROR(INDEX(Config!$M$5:$R$16,MATCH(G1131,Config!$J$5:$J$16,0),MATCH(F1131,Config!$H$5:$H$10,0)),""))</f>
        <v>120</v>
      </c>
      <c r="U1131" s="47">
        <f>IF(AND(H1131="Realizado",L1131&lt;&gt;""),L1131/60,0)</f>
        <v>0</v>
      </c>
      <c r="V1131" s="47">
        <f>IF(AND(H1131="Realizado",OR(L1131="",M1131="")),1,0)</f>
        <v>0</v>
      </c>
    </row>
    <row r="1132">
      <c r="A1132" s="43" t="n">
        <v>46288</v>
      </c>
      <c r="B1132" s="44" t="n">
        <v>0.6736111111111112</v>
      </c>
      <c r="C1132" s="38" t="inlineStr">
        <is>
          <t>Dra. Carolina Mendes</t>
        </is>
      </c>
      <c r="D1132" s="38" t="inlineStr">
        <is>
          <t>Sala 1</t>
        </is>
      </c>
      <c r="E1132" s="37" t="inlineStr">
        <is>
          <t>Carlos Barros</t>
        </is>
      </c>
      <c r="F1132" s="38" t="inlineStr">
        <is>
          <t>MediPlan</t>
        </is>
      </c>
      <c r="G1132" s="38" t="inlineStr">
        <is>
          <t>Consulta</t>
        </is>
      </c>
      <c r="H1132" s="38" t="inlineStr">
        <is>
          <t>Agendado</t>
        </is>
      </c>
      <c r="I1132" s="38" t="n"/>
      <c r="J1132" s="38" t="n"/>
      <c r="K1132" s="37" t="n"/>
      <c r="L1132" s="39" t="n">
        <v>30</v>
      </c>
      <c r="M1132" s="40" t="n">
        <v>100</v>
      </c>
      <c r="N1132" s="30">
        <f>IF(A1132="","",MONTH(A1132))</f>
        <v>9</v>
      </c>
      <c r="O1132" s="30">
        <f>IF(A1132="","",YEAR(A1132))</f>
        <v>2026</v>
      </c>
      <c r="P1132" s="30" t="str">
        <f>IF(A1132="","",CHOOSE(WEEKDAY(A1132,2),"Segunda","Terça","Quarta","Quinta","Sexta","Sábado","Domingo"))</f>
        <v>Quarta</v>
      </c>
      <c r="Q1132" s="30" t="str">
        <f>IF(B1132="","",IF(B1132&lt;TIME(12,0,0),"Manhã",IF(B1132&lt;TIME(18,0,0),"Tarde","Noite")))</f>
        <v>Tarde</v>
      </c>
      <c r="R1132" s="46">
        <f>IF(AND(H1132="Realizado",L1132&lt;&gt;"",A1132&lt;=Config!$B$9),L1132/60,0)</f>
        <v>0</v>
      </c>
      <c r="S1132" s="45">
        <f>IF(G1132="","",IFERROR(INDEX(Config!$K$5:$K$16,MATCH(G1132,Config!$J$5:$J$16,0)),""))</f>
        <v>30</v>
      </c>
      <c r="T1132" s="31">
        <f>IF(OR(G1132="",F1132=""),"",IFERROR(INDEX(Config!$M$5:$R$16,MATCH(G1132,Config!$J$5:$J$16,0),MATCH(F1132,Config!$H$5:$H$10,0)),""))</f>
        <v>100</v>
      </c>
      <c r="U1132" s="47">
        <f>IF(AND(H1132="Realizado",L1132&lt;&gt;""),L1132/60,0)</f>
        <v>0</v>
      </c>
      <c r="V1132" s="47">
        <f>IF(AND(H1132="Realizado",OR(L1132="",M1132="")),1,0)</f>
        <v>0</v>
      </c>
    </row>
    <row r="1133">
      <c r="A1133" s="43" t="n">
        <v>46288</v>
      </c>
      <c r="B1133" s="44" t="n">
        <v>0.7152777777777778</v>
      </c>
      <c r="C1133" s="38" t="inlineStr">
        <is>
          <t>Dra. Carolina Mendes</t>
        </is>
      </c>
      <c r="D1133" s="38" t="inlineStr">
        <is>
          <t>Sala 1</t>
        </is>
      </c>
      <c r="E1133" s="37" t="inlineStr">
        <is>
          <t>Cláudia Santos</t>
        </is>
      </c>
      <c r="F1133" s="38" t="inlineStr">
        <is>
          <t>Particular</t>
        </is>
      </c>
      <c r="G1133" s="38" t="inlineStr">
        <is>
          <t>Retorno</t>
        </is>
      </c>
      <c r="H1133" s="38" t="inlineStr">
        <is>
          <t>Agendado</t>
        </is>
      </c>
      <c r="I1133" s="38" t="n"/>
      <c r="J1133" s="38" t="n"/>
      <c r="K1133" s="37" t="n"/>
      <c r="L1133" s="39" t="n">
        <v>20</v>
      </c>
      <c r="M1133" s="40" t="n">
        <v>0</v>
      </c>
      <c r="N1133" s="30">
        <f>IF(A1133="","",MONTH(A1133))</f>
        <v>9</v>
      </c>
      <c r="O1133" s="30">
        <f>IF(A1133="","",YEAR(A1133))</f>
        <v>2026</v>
      </c>
      <c r="P1133" s="30" t="str">
        <f>IF(A1133="","",CHOOSE(WEEKDAY(A1133,2),"Segunda","Terça","Quarta","Quinta","Sexta","Sábado","Domingo"))</f>
        <v>Quarta</v>
      </c>
      <c r="Q1133" s="30" t="str">
        <f>IF(B1133="","",IF(B1133&lt;TIME(12,0,0),"Manhã",IF(B1133&lt;TIME(18,0,0),"Tarde","Noite")))</f>
        <v>Tarde</v>
      </c>
      <c r="R1133" s="46">
        <f>IF(AND(H1133="Realizado",L1133&lt;&gt;"",A1133&lt;=Config!$B$9),L1133/60,0)</f>
        <v>0</v>
      </c>
      <c r="S1133" s="45">
        <f>IF(G1133="","",IFERROR(INDEX(Config!$K$5:$K$16,MATCH(G1133,Config!$J$5:$J$16,0)),""))</f>
        <v>20</v>
      </c>
      <c r="T1133" s="31">
        <f>IF(OR(G1133="",F1133=""),"",IFERROR(INDEX(Config!$M$5:$R$16,MATCH(G1133,Config!$J$5:$J$16,0),MATCH(F1133,Config!$H$5:$H$10,0)),""))</f>
        <v>0</v>
      </c>
      <c r="U1133" s="47">
        <f>IF(AND(H1133="Realizado",L1133&lt;&gt;""),L1133/60,0)</f>
        <v>0</v>
      </c>
      <c r="V1133" s="47">
        <f>IF(AND(H1133="Realizado",OR(L1133="",M1133="")),1,0)</f>
        <v>0</v>
      </c>
    </row>
    <row r="1134">
      <c r="A1134" s="43" t="n">
        <v>46288</v>
      </c>
      <c r="B1134" s="44" t="n">
        <v>0.7291666666666666</v>
      </c>
      <c r="C1134" s="38" t="inlineStr">
        <is>
          <t>Dra. Carolina Mendes</t>
        </is>
      </c>
      <c r="D1134" s="38" t="inlineStr">
        <is>
          <t>Sala 1</t>
        </is>
      </c>
      <c r="E1134" s="37" t="inlineStr">
        <is>
          <t>Simone Monteiro</t>
        </is>
      </c>
      <c r="F1134" s="38" t="inlineStr">
        <is>
          <t>Vida Care</t>
        </is>
      </c>
      <c r="G1134" s="38" t="inlineStr">
        <is>
          <t>Consulta</t>
        </is>
      </c>
      <c r="H1134" s="38" t="inlineStr">
        <is>
          <t>Agendado</t>
        </is>
      </c>
      <c r="I1134" s="38" t="n"/>
      <c r="J1134" s="38" t="n"/>
      <c r="K1134" s="37" t="n"/>
      <c r="L1134" s="39" t="n">
        <v>30</v>
      </c>
      <c r="M1134" s="40" t="n">
        <v>90</v>
      </c>
      <c r="N1134" s="30">
        <f>IF(A1134="","",MONTH(A1134))</f>
        <v>9</v>
      </c>
      <c r="O1134" s="30">
        <f>IF(A1134="","",YEAR(A1134))</f>
        <v>2026</v>
      </c>
      <c r="P1134" s="30" t="str">
        <f>IF(A1134="","",CHOOSE(WEEKDAY(A1134,2),"Segunda","Terça","Quarta","Quinta","Sexta","Sábado","Domingo"))</f>
        <v>Quarta</v>
      </c>
      <c r="Q1134" s="30" t="str">
        <f>IF(B1134="","",IF(B1134&lt;TIME(12,0,0),"Manhã",IF(B1134&lt;TIME(18,0,0),"Tarde","Noite")))</f>
        <v>Tarde</v>
      </c>
      <c r="R1134" s="46">
        <f>IF(AND(H1134="Realizado",L1134&lt;&gt;"",A1134&lt;=Config!$B$9),L1134/60,0)</f>
        <v>0</v>
      </c>
      <c r="S1134" s="45">
        <f>IF(G1134="","",IFERROR(INDEX(Config!$K$5:$K$16,MATCH(G1134,Config!$J$5:$J$16,0)),""))</f>
        <v>30</v>
      </c>
      <c r="T1134" s="31">
        <f>IF(OR(G1134="",F1134=""),"",IFERROR(INDEX(Config!$M$5:$R$16,MATCH(G1134,Config!$J$5:$J$16,0),MATCH(F1134,Config!$H$5:$H$10,0)),""))</f>
        <v>90</v>
      </c>
      <c r="U1134" s="47">
        <f>IF(AND(H1134="Realizado",L1134&lt;&gt;""),L1134/60,0)</f>
        <v>0</v>
      </c>
      <c r="V1134" s="47">
        <f>IF(AND(H1134="Realizado",OR(L1134="",M1134="")),1,0)</f>
        <v>0</v>
      </c>
    </row>
    <row r="1135">
      <c r="A1135" s="43" t="n">
        <v>46289</v>
      </c>
      <c r="B1135" s="44" t="n">
        <v>0.3541666666666667</v>
      </c>
      <c r="C1135" s="38" t="inlineStr">
        <is>
          <t>Dra. Carolina Mendes</t>
        </is>
      </c>
      <c r="D1135" s="38" t="inlineStr">
        <is>
          <t>Sala 1</t>
        </is>
      </c>
      <c r="E1135" s="37" t="inlineStr">
        <is>
          <t>Isabela Nascimento</t>
        </is>
      </c>
      <c r="F1135" s="38" t="inlineStr">
        <is>
          <t>Vida Care</t>
        </is>
      </c>
      <c r="G1135" s="38" t="inlineStr">
        <is>
          <t>Retorno</t>
        </is>
      </c>
      <c r="H1135" s="38" t="inlineStr">
        <is>
          <t>Agendado</t>
        </is>
      </c>
      <c r="I1135" s="38" t="n"/>
      <c r="J1135" s="38" t="n"/>
      <c r="K1135" s="37" t="n"/>
      <c r="L1135" s="39" t="n">
        <v>20</v>
      </c>
      <c r="M1135" s="40" t="n">
        <v>0</v>
      </c>
      <c r="N1135" s="30">
        <f>IF(A1135="","",MONTH(A1135))</f>
        <v>9</v>
      </c>
      <c r="O1135" s="30">
        <f>IF(A1135="","",YEAR(A1135))</f>
        <v>2026</v>
      </c>
      <c r="P1135" s="30" t="str">
        <f>IF(A1135="","",CHOOSE(WEEKDAY(A1135,2),"Segunda","Terça","Quarta","Quinta","Sexta","Sábado","Domingo"))</f>
        <v>Quinta</v>
      </c>
      <c r="Q1135" s="30" t="str">
        <f>IF(B1135="","",IF(B1135&lt;TIME(12,0,0),"Manhã",IF(B1135&lt;TIME(18,0,0),"Tarde","Noite")))</f>
        <v>Manhã</v>
      </c>
      <c r="R1135" s="46">
        <f>IF(AND(H1135="Realizado",L1135&lt;&gt;"",A1135&lt;=Config!$B$9),L1135/60,0)</f>
        <v>0</v>
      </c>
      <c r="S1135" s="45">
        <f>IF(G1135="","",IFERROR(INDEX(Config!$K$5:$K$16,MATCH(G1135,Config!$J$5:$J$16,0)),""))</f>
        <v>20</v>
      </c>
      <c r="T1135" s="31">
        <f>IF(OR(G1135="",F1135=""),"",IFERROR(INDEX(Config!$M$5:$R$16,MATCH(G1135,Config!$J$5:$J$16,0),MATCH(F1135,Config!$H$5:$H$10,0)),""))</f>
        <v>0</v>
      </c>
      <c r="U1135" s="47">
        <f>IF(AND(H1135="Realizado",L1135&lt;&gt;""),L1135/60,0)</f>
        <v>0</v>
      </c>
      <c r="V1135" s="47">
        <f>IF(AND(H1135="Realizado",OR(L1135="",M1135="")),1,0)</f>
        <v>0</v>
      </c>
    </row>
    <row r="1136">
      <c r="A1136" s="43" t="n">
        <v>46289</v>
      </c>
      <c r="B1136" s="44" t="n">
        <v>0.3680555555555556</v>
      </c>
      <c r="C1136" s="38" t="inlineStr">
        <is>
          <t>Dra. Carolina Mendes</t>
        </is>
      </c>
      <c r="D1136" s="38" t="inlineStr">
        <is>
          <t>Sala 1</t>
        </is>
      </c>
      <c r="E1136" s="37" t="inlineStr">
        <is>
          <t>Marcelo Santos</t>
        </is>
      </c>
      <c r="F1136" s="38" t="inlineStr">
        <is>
          <t>Particular</t>
        </is>
      </c>
      <c r="G1136" s="38" t="inlineStr">
        <is>
          <t>Consulta</t>
        </is>
      </c>
      <c r="H1136" s="38" t="inlineStr">
        <is>
          <t>Agendado</t>
        </is>
      </c>
      <c r="I1136" s="38" t="n"/>
      <c r="J1136" s="38" t="n"/>
      <c r="K1136" s="37" t="n"/>
      <c r="L1136" s="39" t="n">
        <v>30</v>
      </c>
      <c r="M1136" s="40" t="n">
        <v>380</v>
      </c>
      <c r="N1136" s="30">
        <f>IF(A1136="","",MONTH(A1136))</f>
        <v>9</v>
      </c>
      <c r="O1136" s="30">
        <f>IF(A1136="","",YEAR(A1136))</f>
        <v>2026</v>
      </c>
      <c r="P1136" s="30" t="str">
        <f>IF(A1136="","",CHOOSE(WEEKDAY(A1136,2),"Segunda","Terça","Quarta","Quinta","Sexta","Sábado","Domingo"))</f>
        <v>Quinta</v>
      </c>
      <c r="Q1136" s="30" t="str">
        <f>IF(B1136="","",IF(B1136&lt;TIME(12,0,0),"Manhã",IF(B1136&lt;TIME(18,0,0),"Tarde","Noite")))</f>
        <v>Manhã</v>
      </c>
      <c r="R1136" s="46">
        <f>IF(AND(H1136="Realizado",L1136&lt;&gt;"",A1136&lt;=Config!$B$9),L1136/60,0)</f>
        <v>0</v>
      </c>
      <c r="S1136" s="45">
        <f>IF(G1136="","",IFERROR(INDEX(Config!$K$5:$K$16,MATCH(G1136,Config!$J$5:$J$16,0)),""))</f>
        <v>30</v>
      </c>
      <c r="T1136" s="31">
        <f>IF(OR(G1136="",F1136=""),"",IFERROR(INDEX(Config!$M$5:$R$16,MATCH(G1136,Config!$J$5:$J$16,0),MATCH(F1136,Config!$H$5:$H$10,0)),""))</f>
        <v>380</v>
      </c>
      <c r="U1136" s="47">
        <f>IF(AND(H1136="Realizado",L1136&lt;&gt;""),L1136/60,0)</f>
        <v>0</v>
      </c>
      <c r="V1136" s="47">
        <f>IF(AND(H1136="Realizado",OR(L1136="",M1136="")),1,0)</f>
        <v>0</v>
      </c>
    </row>
    <row r="1137">
      <c r="A1137" s="43" t="n">
        <v>46289</v>
      </c>
      <c r="B1137" s="44" t="n">
        <v>0.3888888888888889</v>
      </c>
      <c r="C1137" s="38" t="inlineStr">
        <is>
          <t>Dra. Carolina Mendes</t>
        </is>
      </c>
      <c r="D1137" s="38" t="inlineStr">
        <is>
          <t>Sala 1</t>
        </is>
      </c>
      <c r="E1137" s="37" t="inlineStr">
        <is>
          <t>Sérgio Batista</t>
        </is>
      </c>
      <c r="F1137" s="38" t="inlineStr">
        <is>
          <t>MediPlan</t>
        </is>
      </c>
      <c r="G1137" s="38" t="inlineStr">
        <is>
          <t>Retorno</t>
        </is>
      </c>
      <c r="H1137" s="38" t="inlineStr">
        <is>
          <t>Agendado</t>
        </is>
      </c>
      <c r="I1137" s="38" t="n"/>
      <c r="J1137" s="38" t="n"/>
      <c r="K1137" s="37" t="n"/>
      <c r="L1137" s="39" t="n">
        <v>20</v>
      </c>
      <c r="M1137" s="40" t="n">
        <v>0</v>
      </c>
      <c r="N1137" s="30">
        <f>IF(A1137="","",MONTH(A1137))</f>
        <v>9</v>
      </c>
      <c r="O1137" s="30">
        <f>IF(A1137="","",YEAR(A1137))</f>
        <v>2026</v>
      </c>
      <c r="P1137" s="30" t="str">
        <f>IF(A1137="","",CHOOSE(WEEKDAY(A1137,2),"Segunda","Terça","Quarta","Quinta","Sexta","Sábado","Domingo"))</f>
        <v>Quinta</v>
      </c>
      <c r="Q1137" s="30" t="str">
        <f>IF(B1137="","",IF(B1137&lt;TIME(12,0,0),"Manhã",IF(B1137&lt;TIME(18,0,0),"Tarde","Noite")))</f>
        <v>Manhã</v>
      </c>
      <c r="R1137" s="46">
        <f>IF(AND(H1137="Realizado",L1137&lt;&gt;"",A1137&lt;=Config!$B$9),L1137/60,0)</f>
        <v>0</v>
      </c>
      <c r="S1137" s="45">
        <f>IF(G1137="","",IFERROR(INDEX(Config!$K$5:$K$16,MATCH(G1137,Config!$J$5:$J$16,0)),""))</f>
        <v>20</v>
      </c>
      <c r="T1137" s="31">
        <f>IF(OR(G1137="",F1137=""),"",IFERROR(INDEX(Config!$M$5:$R$16,MATCH(G1137,Config!$J$5:$J$16,0),MATCH(F1137,Config!$H$5:$H$10,0)),""))</f>
        <v>0</v>
      </c>
      <c r="U1137" s="47">
        <f>IF(AND(H1137="Realizado",L1137&lt;&gt;""),L1137/60,0)</f>
        <v>0</v>
      </c>
      <c r="V1137" s="47">
        <f>IF(AND(H1137="Realizado",OR(L1137="",M1137="")),1,0)</f>
        <v>0</v>
      </c>
    </row>
    <row r="1138">
      <c r="A1138" s="43" t="n">
        <v>46289</v>
      </c>
      <c r="B1138" s="44" t="n">
        <v>0.4236111111111111</v>
      </c>
      <c r="C1138" s="38" t="inlineStr">
        <is>
          <t>Dra. Carolina Mendes</t>
        </is>
      </c>
      <c r="D1138" s="38" t="inlineStr">
        <is>
          <t>Sala 1</t>
        </is>
      </c>
      <c r="E1138" s="37" t="inlineStr">
        <is>
          <t>Helena Moreira</t>
        </is>
      </c>
      <c r="F1138" s="38" t="inlineStr">
        <is>
          <t>Particular</t>
        </is>
      </c>
      <c r="G1138" s="38" t="inlineStr">
        <is>
          <t>Consulta</t>
        </is>
      </c>
      <c r="H1138" s="38" t="inlineStr">
        <is>
          <t>Agendado</t>
        </is>
      </c>
      <c r="I1138" s="38" t="n"/>
      <c r="J1138" s="38" t="n"/>
      <c r="K1138" s="37" t="n"/>
      <c r="L1138" s="39" t="n">
        <v>30</v>
      </c>
      <c r="M1138" s="40" t="n">
        <v>380</v>
      </c>
      <c r="N1138" s="30">
        <f>IF(A1138="","",MONTH(A1138))</f>
        <v>9</v>
      </c>
      <c r="O1138" s="30">
        <f>IF(A1138="","",YEAR(A1138))</f>
        <v>2026</v>
      </c>
      <c r="P1138" s="30" t="str">
        <f>IF(A1138="","",CHOOSE(WEEKDAY(A1138,2),"Segunda","Terça","Quarta","Quinta","Sexta","Sábado","Domingo"))</f>
        <v>Quinta</v>
      </c>
      <c r="Q1138" s="30" t="str">
        <f>IF(B1138="","",IF(B1138&lt;TIME(12,0,0),"Manhã",IF(B1138&lt;TIME(18,0,0),"Tarde","Noite")))</f>
        <v>Manhã</v>
      </c>
      <c r="R1138" s="46">
        <f>IF(AND(H1138="Realizado",L1138&lt;&gt;"",A1138&lt;=Config!$B$9),L1138/60,0)</f>
        <v>0</v>
      </c>
      <c r="S1138" s="45">
        <f>IF(G1138="","",IFERROR(INDEX(Config!$K$5:$K$16,MATCH(G1138,Config!$J$5:$J$16,0)),""))</f>
        <v>30</v>
      </c>
      <c r="T1138" s="31">
        <f>IF(OR(G1138="",F1138=""),"",IFERROR(INDEX(Config!$M$5:$R$16,MATCH(G1138,Config!$J$5:$J$16,0),MATCH(F1138,Config!$H$5:$H$10,0)),""))</f>
        <v>380</v>
      </c>
      <c r="U1138" s="47">
        <f>IF(AND(H1138="Realizado",L1138&lt;&gt;""),L1138/60,0)</f>
        <v>0</v>
      </c>
      <c r="V1138" s="47">
        <f>IF(AND(H1138="Realizado",OR(L1138="",M1138="")),1,0)</f>
        <v>0</v>
      </c>
    </row>
    <row r="1139">
      <c r="A1139" s="43" t="n">
        <v>46289</v>
      </c>
      <c r="B1139" s="44" t="n">
        <v>0.4444444444444444</v>
      </c>
      <c r="C1139" s="38" t="inlineStr">
        <is>
          <t>Dra. Carolina Mendes</t>
        </is>
      </c>
      <c r="D1139" s="38" t="inlineStr">
        <is>
          <t>Sala 1</t>
        </is>
      </c>
      <c r="E1139" s="37" t="inlineStr">
        <is>
          <t>Ana Costa</t>
        </is>
      </c>
      <c r="F1139" s="38" t="inlineStr">
        <is>
          <t>Particular</t>
        </is>
      </c>
      <c r="G1139" s="38" t="inlineStr">
        <is>
          <t>Consulta</t>
        </is>
      </c>
      <c r="H1139" s="38" t="inlineStr">
        <is>
          <t>Agendado</t>
        </is>
      </c>
      <c r="I1139" s="38" t="n"/>
      <c r="J1139" s="38" t="n"/>
      <c r="K1139" s="37" t="n"/>
      <c r="L1139" s="39" t="n">
        <v>30</v>
      </c>
      <c r="M1139" s="40" t="n">
        <v>380</v>
      </c>
      <c r="N1139" s="30">
        <f>IF(A1139="","",MONTH(A1139))</f>
        <v>9</v>
      </c>
      <c r="O1139" s="30">
        <f>IF(A1139="","",YEAR(A1139))</f>
        <v>2026</v>
      </c>
      <c r="P1139" s="30" t="str">
        <f>IF(A1139="","",CHOOSE(WEEKDAY(A1139,2),"Segunda","Terça","Quarta","Quinta","Sexta","Sábado","Domingo"))</f>
        <v>Quinta</v>
      </c>
      <c r="Q1139" s="30" t="str">
        <f>IF(B1139="","",IF(B1139&lt;TIME(12,0,0),"Manhã",IF(B1139&lt;TIME(18,0,0),"Tarde","Noite")))</f>
        <v>Manhã</v>
      </c>
      <c r="R1139" s="46">
        <f>IF(AND(H1139="Realizado",L1139&lt;&gt;"",A1139&lt;=Config!$B$9),L1139/60,0)</f>
        <v>0</v>
      </c>
      <c r="S1139" s="45">
        <f>IF(G1139="","",IFERROR(INDEX(Config!$K$5:$K$16,MATCH(G1139,Config!$J$5:$J$16,0)),""))</f>
        <v>30</v>
      </c>
      <c r="T1139" s="31">
        <f>IF(OR(G1139="",F1139=""),"",IFERROR(INDEX(Config!$M$5:$R$16,MATCH(G1139,Config!$J$5:$J$16,0),MATCH(F1139,Config!$H$5:$H$10,0)),""))</f>
        <v>380</v>
      </c>
      <c r="U1139" s="47">
        <f>IF(AND(H1139="Realizado",L1139&lt;&gt;""),L1139/60,0)</f>
        <v>0</v>
      </c>
      <c r="V1139" s="47">
        <f>IF(AND(H1139="Realizado",OR(L1139="",M1139="")),1,0)</f>
        <v>0</v>
      </c>
    </row>
    <row r="1140">
      <c r="A1140" s="43" t="n">
        <v>46289</v>
      </c>
      <c r="B1140" s="44" t="n">
        <v>0.4652777777777778</v>
      </c>
      <c r="C1140" s="38" t="inlineStr">
        <is>
          <t>Dra. Carolina Mendes</t>
        </is>
      </c>
      <c r="D1140" s="38" t="inlineStr">
        <is>
          <t>Sala 1</t>
        </is>
      </c>
      <c r="E1140" s="37" t="inlineStr">
        <is>
          <t>Carlos Barros</t>
        </is>
      </c>
      <c r="F1140" s="38" t="inlineStr">
        <is>
          <t>MediPlan</t>
        </is>
      </c>
      <c r="G1140" s="38" t="inlineStr">
        <is>
          <t>Retorno</t>
        </is>
      </c>
      <c r="H1140" s="38" t="inlineStr">
        <is>
          <t>Agendado</t>
        </is>
      </c>
      <c r="I1140" s="38" t="n"/>
      <c r="J1140" s="38" t="n"/>
      <c r="K1140" s="37" t="n"/>
      <c r="L1140" s="39" t="n">
        <v>20</v>
      </c>
      <c r="M1140" s="40" t="n">
        <v>0</v>
      </c>
      <c r="N1140" s="30">
        <f>IF(A1140="","",MONTH(A1140))</f>
        <v>9</v>
      </c>
      <c r="O1140" s="30">
        <f>IF(A1140="","",YEAR(A1140))</f>
        <v>2026</v>
      </c>
      <c r="P1140" s="30" t="str">
        <f>IF(A1140="","",CHOOSE(WEEKDAY(A1140,2),"Segunda","Terça","Quarta","Quinta","Sexta","Sábado","Domingo"))</f>
        <v>Quinta</v>
      </c>
      <c r="Q1140" s="30" t="str">
        <f>IF(B1140="","",IF(B1140&lt;TIME(12,0,0),"Manhã",IF(B1140&lt;TIME(18,0,0),"Tarde","Noite")))</f>
        <v>Manhã</v>
      </c>
      <c r="R1140" s="46">
        <f>IF(AND(H1140="Realizado",L1140&lt;&gt;"",A1140&lt;=Config!$B$9),L1140/60,0)</f>
        <v>0</v>
      </c>
      <c r="S1140" s="45">
        <f>IF(G1140="","",IFERROR(INDEX(Config!$K$5:$K$16,MATCH(G1140,Config!$J$5:$J$16,0)),""))</f>
        <v>20</v>
      </c>
      <c r="T1140" s="31">
        <f>IF(OR(G1140="",F1140=""),"",IFERROR(INDEX(Config!$M$5:$R$16,MATCH(G1140,Config!$J$5:$J$16,0),MATCH(F1140,Config!$H$5:$H$10,0)),""))</f>
        <v>0</v>
      </c>
      <c r="U1140" s="47">
        <f>IF(AND(H1140="Realizado",L1140&lt;&gt;""),L1140/60,0)</f>
        <v>0</v>
      </c>
      <c r="V1140" s="47">
        <f>IF(AND(H1140="Realizado",OR(L1140="",M1140="")),1,0)</f>
        <v>0</v>
      </c>
    </row>
    <row r="1141">
      <c r="A1141" s="43" t="n">
        <v>46289</v>
      </c>
      <c r="B1141" s="44" t="n">
        <v>0.4791666666666667</v>
      </c>
      <c r="C1141" s="38" t="inlineStr">
        <is>
          <t>Dra. Carolina Mendes</t>
        </is>
      </c>
      <c r="D1141" s="38" t="inlineStr">
        <is>
          <t>Sala 1</t>
        </is>
      </c>
      <c r="E1141" s="37" t="inlineStr">
        <is>
          <t>Mônica Batista</t>
        </is>
      </c>
      <c r="F1141" s="38" t="inlineStr">
        <is>
          <t>MediPlan</t>
        </is>
      </c>
      <c r="G1141" s="38" t="inlineStr">
        <is>
          <t>Consulta</t>
        </is>
      </c>
      <c r="H1141" s="38" t="inlineStr">
        <is>
          <t>Agendado</t>
        </is>
      </c>
      <c r="I1141" s="38" t="n"/>
      <c r="J1141" s="38" t="n"/>
      <c r="K1141" s="37" t="n"/>
      <c r="L1141" s="39" t="n">
        <v>30</v>
      </c>
      <c r="M1141" s="40" t="n">
        <v>100</v>
      </c>
      <c r="N1141" s="30">
        <f>IF(A1141="","",MONTH(A1141))</f>
        <v>9</v>
      </c>
      <c r="O1141" s="30">
        <f>IF(A1141="","",YEAR(A1141))</f>
        <v>2026</v>
      </c>
      <c r="P1141" s="30" t="str">
        <f>IF(A1141="","",CHOOSE(WEEKDAY(A1141,2),"Segunda","Terça","Quarta","Quinta","Sexta","Sábado","Domingo"))</f>
        <v>Quinta</v>
      </c>
      <c r="Q1141" s="30" t="str">
        <f>IF(B1141="","",IF(B1141&lt;TIME(12,0,0),"Manhã",IF(B1141&lt;TIME(18,0,0),"Tarde","Noite")))</f>
        <v>Manhã</v>
      </c>
      <c r="R1141" s="46">
        <f>IF(AND(H1141="Realizado",L1141&lt;&gt;"",A1141&lt;=Config!$B$9),L1141/60,0)</f>
        <v>0</v>
      </c>
      <c r="S1141" s="45">
        <f>IF(G1141="","",IFERROR(INDEX(Config!$K$5:$K$16,MATCH(G1141,Config!$J$5:$J$16,0)),""))</f>
        <v>30</v>
      </c>
      <c r="T1141" s="31">
        <f>IF(OR(G1141="",F1141=""),"",IFERROR(INDEX(Config!$M$5:$R$16,MATCH(G1141,Config!$J$5:$J$16,0),MATCH(F1141,Config!$H$5:$H$10,0)),""))</f>
        <v>100</v>
      </c>
      <c r="U1141" s="47">
        <f>IF(AND(H1141="Realizado",L1141&lt;&gt;""),L1141/60,0)</f>
        <v>0</v>
      </c>
      <c r="V1141" s="47">
        <f>IF(AND(H1141="Realizado",OR(L1141="",M1141="")),1,0)</f>
        <v>0</v>
      </c>
    </row>
    <row r="1142">
      <c r="A1142" s="43" t="n">
        <v>46289</v>
      </c>
      <c r="B1142" s="44" t="n">
        <v>0.5833333333333334</v>
      </c>
      <c r="C1142" s="38" t="inlineStr">
        <is>
          <t>Dra. Renata Sousa</t>
        </is>
      </c>
      <c r="D1142" s="38" t="inlineStr">
        <is>
          <t>Sala 1</t>
        </is>
      </c>
      <c r="E1142" s="37" t="inlineStr">
        <is>
          <t>Tatiana Macedo</t>
        </is>
      </c>
      <c r="F1142" s="38" t="inlineStr">
        <is>
          <t>Particular</t>
        </is>
      </c>
      <c r="G1142" s="38" t="inlineStr">
        <is>
          <t>Retorno</t>
        </is>
      </c>
      <c r="H1142" s="38" t="inlineStr">
        <is>
          <t>Agendado</t>
        </is>
      </c>
      <c r="I1142" s="38" t="n"/>
      <c r="J1142" s="38" t="n"/>
      <c r="K1142" s="37" t="n"/>
      <c r="L1142" s="39" t="n">
        <v>20</v>
      </c>
      <c r="M1142" s="40" t="n">
        <v>0</v>
      </c>
      <c r="N1142" s="30">
        <f>IF(A1142="","",MONTH(A1142))</f>
        <v>9</v>
      </c>
      <c r="O1142" s="30">
        <f>IF(A1142="","",YEAR(A1142))</f>
        <v>2026</v>
      </c>
      <c r="P1142" s="30" t="str">
        <f>IF(A1142="","",CHOOSE(WEEKDAY(A1142,2),"Segunda","Terça","Quarta","Quinta","Sexta","Sábado","Domingo"))</f>
        <v>Quinta</v>
      </c>
      <c r="Q1142" s="30" t="str">
        <f>IF(B1142="","",IF(B1142&lt;TIME(12,0,0),"Manhã",IF(B1142&lt;TIME(18,0,0),"Tarde","Noite")))</f>
        <v>Tarde</v>
      </c>
      <c r="R1142" s="46">
        <f>IF(AND(H1142="Realizado",L1142&lt;&gt;"",A1142&lt;=Config!$B$9),L1142/60,0)</f>
        <v>0</v>
      </c>
      <c r="S1142" s="45">
        <f>IF(G1142="","",IFERROR(INDEX(Config!$K$5:$K$16,MATCH(G1142,Config!$J$5:$J$16,0)),""))</f>
        <v>20</v>
      </c>
      <c r="T1142" s="31">
        <f>IF(OR(G1142="",F1142=""),"",IFERROR(INDEX(Config!$M$5:$R$16,MATCH(G1142,Config!$J$5:$J$16,0),MATCH(F1142,Config!$H$5:$H$10,0)),""))</f>
        <v>0</v>
      </c>
      <c r="U1142" s="47">
        <f>IF(AND(H1142="Realizado",L1142&lt;&gt;""),L1142/60,0)</f>
        <v>0</v>
      </c>
      <c r="V1142" s="47">
        <f>IF(AND(H1142="Realizado",OR(L1142="",M1142="")),1,0)</f>
        <v>0</v>
      </c>
    </row>
    <row r="1143">
      <c r="A1143" s="43" t="n">
        <v>46289</v>
      </c>
      <c r="B1143" s="44" t="n">
        <v>0.6041666666666666</v>
      </c>
      <c r="C1143" s="38" t="inlineStr">
        <is>
          <t>Dr. Paulo Andrade</t>
        </is>
      </c>
      <c r="D1143" s="38" t="inlineStr">
        <is>
          <t>Sala 2</t>
        </is>
      </c>
      <c r="E1143" s="37" t="inlineStr">
        <is>
          <t>Fábio Correia</t>
        </is>
      </c>
      <c r="F1143" s="38" t="inlineStr">
        <is>
          <t>Particular</t>
        </is>
      </c>
      <c r="G1143" s="38" t="inlineStr">
        <is>
          <t>Consulta</t>
        </is>
      </c>
      <c r="H1143" s="38" t="inlineStr">
        <is>
          <t>Agendado</t>
        </is>
      </c>
      <c r="I1143" s="38" t="n"/>
      <c r="J1143" s="38" t="n"/>
      <c r="K1143" s="37" t="n"/>
      <c r="L1143" s="39" t="n">
        <v>30</v>
      </c>
      <c r="M1143" s="40" t="n">
        <v>380</v>
      </c>
      <c r="N1143" s="30">
        <f>IF(A1143="","",MONTH(A1143))</f>
        <v>9</v>
      </c>
      <c r="O1143" s="30">
        <f>IF(A1143="","",YEAR(A1143))</f>
        <v>2026</v>
      </c>
      <c r="P1143" s="30" t="str">
        <f>IF(A1143="","",CHOOSE(WEEKDAY(A1143,2),"Segunda","Terça","Quarta","Quinta","Sexta","Sábado","Domingo"))</f>
        <v>Quinta</v>
      </c>
      <c r="Q1143" s="30" t="str">
        <f>IF(B1143="","",IF(B1143&lt;TIME(12,0,0),"Manhã",IF(B1143&lt;TIME(18,0,0),"Tarde","Noite")))</f>
        <v>Tarde</v>
      </c>
      <c r="R1143" s="46">
        <f>IF(AND(H1143="Realizado",L1143&lt;&gt;"",A1143&lt;=Config!$B$9),L1143/60,0)</f>
        <v>0</v>
      </c>
      <c r="S1143" s="45">
        <f>IF(G1143="","",IFERROR(INDEX(Config!$K$5:$K$16,MATCH(G1143,Config!$J$5:$J$16,0)),""))</f>
        <v>30</v>
      </c>
      <c r="T1143" s="31">
        <f>IF(OR(G1143="",F1143=""),"",IFERROR(INDEX(Config!$M$5:$R$16,MATCH(G1143,Config!$J$5:$J$16,0),MATCH(F1143,Config!$H$5:$H$10,0)),""))</f>
        <v>380</v>
      </c>
      <c r="U1143" s="47">
        <f>IF(AND(H1143="Realizado",L1143&lt;&gt;""),L1143/60,0)</f>
        <v>0</v>
      </c>
      <c r="V1143" s="47">
        <f>IF(AND(H1143="Realizado",OR(L1143="",M1143="")),1,0)</f>
        <v>0</v>
      </c>
    </row>
    <row r="1144">
      <c r="A1144" s="43" t="n">
        <v>46289</v>
      </c>
      <c r="B1144" s="44" t="n">
        <v>0.6180555555555556</v>
      </c>
      <c r="C1144" s="38" t="inlineStr">
        <is>
          <t>Dra. Renata Sousa</t>
        </is>
      </c>
      <c r="D1144" s="38" t="inlineStr">
        <is>
          <t>Sala 1</t>
        </is>
      </c>
      <c r="E1144" s="37" t="inlineStr">
        <is>
          <t>Carlos Gonçalves</t>
        </is>
      </c>
      <c r="F1144" s="38" t="inlineStr">
        <is>
          <t>Saúde Total</t>
        </is>
      </c>
      <c r="G1144" s="38" t="inlineStr">
        <is>
          <t>Avaliação endócrina</t>
        </is>
      </c>
      <c r="H1144" s="38" t="inlineStr">
        <is>
          <t>Agendado</t>
        </is>
      </c>
      <c r="I1144" s="38" t="n"/>
      <c r="J1144" s="38" t="n"/>
      <c r="K1144" s="37" t="n"/>
      <c r="L1144" s="39" t="n">
        <v>40</v>
      </c>
      <c r="M1144" s="40" t="n">
        <v>130</v>
      </c>
      <c r="N1144" s="30">
        <f>IF(A1144="","",MONTH(A1144))</f>
        <v>9</v>
      </c>
      <c r="O1144" s="30">
        <f>IF(A1144="","",YEAR(A1144))</f>
        <v>2026</v>
      </c>
      <c r="P1144" s="30" t="str">
        <f>IF(A1144="","",CHOOSE(WEEKDAY(A1144,2),"Segunda","Terça","Quarta","Quinta","Sexta","Sábado","Domingo"))</f>
        <v>Quinta</v>
      </c>
      <c r="Q1144" s="30" t="str">
        <f>IF(B1144="","",IF(B1144&lt;TIME(12,0,0),"Manhã",IF(B1144&lt;TIME(18,0,0),"Tarde","Noite")))</f>
        <v>Tarde</v>
      </c>
      <c r="R1144" s="46">
        <f>IF(AND(H1144="Realizado",L1144&lt;&gt;"",A1144&lt;=Config!$B$9),L1144/60,0)</f>
        <v>0</v>
      </c>
      <c r="S1144" s="45">
        <f>IF(G1144="","",IFERROR(INDEX(Config!$K$5:$K$16,MATCH(G1144,Config!$J$5:$J$16,0)),""))</f>
        <v>40</v>
      </c>
      <c r="T1144" s="31">
        <f>IF(OR(G1144="",F1144=""),"",IFERROR(INDEX(Config!$M$5:$R$16,MATCH(G1144,Config!$J$5:$J$16,0),MATCH(F1144,Config!$H$5:$H$10,0)),""))</f>
        <v>130</v>
      </c>
      <c r="U1144" s="47">
        <f>IF(AND(H1144="Realizado",L1144&lt;&gt;""),L1144/60,0)</f>
        <v>0</v>
      </c>
      <c r="V1144" s="47">
        <f>IF(AND(H1144="Realizado",OR(L1144="",M1144="")),1,0)</f>
        <v>0</v>
      </c>
    </row>
    <row r="1145">
      <c r="A1145" s="43" t="n">
        <v>46289</v>
      </c>
      <c r="B1145" s="44" t="n">
        <v>0.625</v>
      </c>
      <c r="C1145" s="38" t="inlineStr">
        <is>
          <t>Dr. Paulo Andrade</t>
        </is>
      </c>
      <c r="D1145" s="38" t="inlineStr">
        <is>
          <t>Sala 2</t>
        </is>
      </c>
      <c r="E1145" s="37" t="inlineStr">
        <is>
          <t>Carlos Castro</t>
        </is>
      </c>
      <c r="F1145" s="38" t="inlineStr">
        <is>
          <t>Saúde Total</t>
        </is>
      </c>
      <c r="G1145" s="38" t="inlineStr">
        <is>
          <t>ECG</t>
        </is>
      </c>
      <c r="H1145" s="38" t="inlineStr">
        <is>
          <t>Agendado</t>
        </is>
      </c>
      <c r="I1145" s="38" t="n"/>
      <c r="J1145" s="38" t="n"/>
      <c r="K1145" s="37" t="n"/>
      <c r="L1145" s="39" t="n">
        <v>20</v>
      </c>
      <c r="M1145" s="40" t="n">
        <v>40</v>
      </c>
      <c r="N1145" s="30">
        <f>IF(A1145="","",MONTH(A1145))</f>
        <v>9</v>
      </c>
      <c r="O1145" s="30">
        <f>IF(A1145="","",YEAR(A1145))</f>
        <v>2026</v>
      </c>
      <c r="P1145" s="30" t="str">
        <f>IF(A1145="","",CHOOSE(WEEKDAY(A1145,2),"Segunda","Terça","Quarta","Quinta","Sexta","Sábado","Domingo"))</f>
        <v>Quinta</v>
      </c>
      <c r="Q1145" s="30" t="str">
        <f>IF(B1145="","",IF(B1145&lt;TIME(12,0,0),"Manhã",IF(B1145&lt;TIME(18,0,0),"Tarde","Noite")))</f>
        <v>Tarde</v>
      </c>
      <c r="R1145" s="46">
        <f>IF(AND(H1145="Realizado",L1145&lt;&gt;"",A1145&lt;=Config!$B$9),L1145/60,0)</f>
        <v>0</v>
      </c>
      <c r="S1145" s="45">
        <f>IF(G1145="","",IFERROR(INDEX(Config!$K$5:$K$16,MATCH(G1145,Config!$J$5:$J$16,0)),""))</f>
        <v>20</v>
      </c>
      <c r="T1145" s="31">
        <f>IF(OR(G1145="",F1145=""),"",IFERROR(INDEX(Config!$M$5:$R$16,MATCH(G1145,Config!$J$5:$J$16,0),MATCH(F1145,Config!$H$5:$H$10,0)),""))</f>
        <v>40</v>
      </c>
      <c r="U1145" s="47">
        <f>IF(AND(H1145="Realizado",L1145&lt;&gt;""),L1145/60,0)</f>
        <v>0</v>
      </c>
      <c r="V1145" s="47">
        <f>IF(AND(H1145="Realizado",OR(L1145="",M1145="")),1,0)</f>
        <v>0</v>
      </c>
    </row>
    <row r="1146">
      <c r="A1146" s="43" t="n">
        <v>46289</v>
      </c>
      <c r="B1146" s="44" t="n">
        <v>0.6388888888888888</v>
      </c>
      <c r="C1146" s="38" t="inlineStr">
        <is>
          <t>Dr. Paulo Andrade</t>
        </is>
      </c>
      <c r="D1146" s="38" t="inlineStr">
        <is>
          <t>Sala 2</t>
        </is>
      </c>
      <c r="E1146" s="37" t="inlineStr">
        <is>
          <t>Roberta Fernandes</t>
        </is>
      </c>
      <c r="F1146" s="38" t="inlineStr">
        <is>
          <t>Saúde Total</t>
        </is>
      </c>
      <c r="G1146" s="38" t="inlineStr">
        <is>
          <t>ECG</t>
        </is>
      </c>
      <c r="H1146" s="38" t="inlineStr">
        <is>
          <t>Agendado</t>
        </is>
      </c>
      <c r="I1146" s="38" t="n"/>
      <c r="J1146" s="38" t="n"/>
      <c r="K1146" s="37" t="n"/>
      <c r="L1146" s="39" t="n">
        <v>20</v>
      </c>
      <c r="M1146" s="40" t="n">
        <v>40</v>
      </c>
      <c r="N1146" s="30">
        <f>IF(A1146="","",MONTH(A1146))</f>
        <v>9</v>
      </c>
      <c r="O1146" s="30">
        <f>IF(A1146="","",YEAR(A1146))</f>
        <v>2026</v>
      </c>
      <c r="P1146" s="30" t="str">
        <f>IF(A1146="","",CHOOSE(WEEKDAY(A1146,2),"Segunda","Terça","Quarta","Quinta","Sexta","Sábado","Domingo"))</f>
        <v>Quinta</v>
      </c>
      <c r="Q1146" s="30" t="str">
        <f>IF(B1146="","",IF(B1146&lt;TIME(12,0,0),"Manhã",IF(B1146&lt;TIME(18,0,0),"Tarde","Noite")))</f>
        <v>Tarde</v>
      </c>
      <c r="R1146" s="46">
        <f>IF(AND(H1146="Realizado",L1146&lt;&gt;"",A1146&lt;=Config!$B$9),L1146/60,0)</f>
        <v>0</v>
      </c>
      <c r="S1146" s="45">
        <f>IF(G1146="","",IFERROR(INDEX(Config!$K$5:$K$16,MATCH(G1146,Config!$J$5:$J$16,0)),""))</f>
        <v>20</v>
      </c>
      <c r="T1146" s="31">
        <f>IF(OR(G1146="",F1146=""),"",IFERROR(INDEX(Config!$M$5:$R$16,MATCH(G1146,Config!$J$5:$J$16,0),MATCH(F1146,Config!$H$5:$H$10,0)),""))</f>
        <v>40</v>
      </c>
      <c r="U1146" s="47">
        <f>IF(AND(H1146="Realizado",L1146&lt;&gt;""),L1146/60,0)</f>
        <v>0</v>
      </c>
      <c r="V1146" s="47">
        <f>IF(AND(H1146="Realizado",OR(L1146="",M1146="")),1,0)</f>
        <v>0</v>
      </c>
    </row>
    <row r="1147">
      <c r="A1147" s="43" t="n">
        <v>46289</v>
      </c>
      <c r="B1147" s="44" t="n">
        <v>0.6458333333333334</v>
      </c>
      <c r="C1147" s="38" t="inlineStr">
        <is>
          <t>Dra. Renata Sousa</t>
        </is>
      </c>
      <c r="D1147" s="38" t="inlineStr">
        <is>
          <t>Sala 1</t>
        </is>
      </c>
      <c r="E1147" s="37" t="inlineStr">
        <is>
          <t>Gabriel Lopes</t>
        </is>
      </c>
      <c r="F1147" s="38" t="inlineStr">
        <is>
          <t>Saúde Total</t>
        </is>
      </c>
      <c r="G1147" s="38" t="inlineStr">
        <is>
          <t>Avaliação endócrina</t>
        </is>
      </c>
      <c r="H1147" s="38" t="inlineStr">
        <is>
          <t>Agendado</t>
        </is>
      </c>
      <c r="I1147" s="38" t="n"/>
      <c r="J1147" s="38" t="n"/>
      <c r="K1147" s="37" t="n"/>
      <c r="L1147" s="39" t="n">
        <v>40</v>
      </c>
      <c r="M1147" s="40" t="n">
        <v>130</v>
      </c>
      <c r="N1147" s="30">
        <f>IF(A1147="","",MONTH(A1147))</f>
        <v>9</v>
      </c>
      <c r="O1147" s="30">
        <f>IF(A1147="","",YEAR(A1147))</f>
        <v>2026</v>
      </c>
      <c r="P1147" s="30" t="str">
        <f>IF(A1147="","",CHOOSE(WEEKDAY(A1147,2),"Segunda","Terça","Quarta","Quinta","Sexta","Sábado","Domingo"))</f>
        <v>Quinta</v>
      </c>
      <c r="Q1147" s="30" t="str">
        <f>IF(B1147="","",IF(B1147&lt;TIME(12,0,0),"Manhã",IF(B1147&lt;TIME(18,0,0),"Tarde","Noite")))</f>
        <v>Tarde</v>
      </c>
      <c r="R1147" s="46">
        <f>IF(AND(H1147="Realizado",L1147&lt;&gt;"",A1147&lt;=Config!$B$9),L1147/60,0)</f>
        <v>0</v>
      </c>
      <c r="S1147" s="45">
        <f>IF(G1147="","",IFERROR(INDEX(Config!$K$5:$K$16,MATCH(G1147,Config!$J$5:$J$16,0)),""))</f>
        <v>40</v>
      </c>
      <c r="T1147" s="31">
        <f>IF(OR(G1147="",F1147=""),"",IFERROR(INDEX(Config!$M$5:$R$16,MATCH(G1147,Config!$J$5:$J$16,0),MATCH(F1147,Config!$H$5:$H$10,0)),""))</f>
        <v>130</v>
      </c>
      <c r="U1147" s="47">
        <f>IF(AND(H1147="Realizado",L1147&lt;&gt;""),L1147/60,0)</f>
        <v>0</v>
      </c>
      <c r="V1147" s="47">
        <f>IF(AND(H1147="Realizado",OR(L1147="",M1147="")),1,0)</f>
        <v>0</v>
      </c>
    </row>
    <row r="1148">
      <c r="A1148" s="43" t="n">
        <v>46289</v>
      </c>
      <c r="B1148" s="44" t="n">
        <v>0.6527777777777778</v>
      </c>
      <c r="C1148" s="38" t="inlineStr">
        <is>
          <t>Dr. Paulo Andrade</t>
        </is>
      </c>
      <c r="D1148" s="38" t="inlineStr">
        <is>
          <t>Sala 2</t>
        </is>
      </c>
      <c r="E1148" s="37" t="inlineStr">
        <is>
          <t>Otávio Cardoso</t>
        </is>
      </c>
      <c r="F1148" s="38" t="inlineStr">
        <is>
          <t>Particular</t>
        </is>
      </c>
      <c r="G1148" s="38" t="inlineStr">
        <is>
          <t>ECG</t>
        </is>
      </c>
      <c r="H1148" s="38" t="inlineStr">
        <is>
          <t>Agendado</t>
        </is>
      </c>
      <c r="I1148" s="38" t="n"/>
      <c r="J1148" s="38" t="n"/>
      <c r="K1148" s="37" t="n"/>
      <c r="L1148" s="39" t="n">
        <v>20</v>
      </c>
      <c r="M1148" s="40" t="n">
        <v>130</v>
      </c>
      <c r="N1148" s="30">
        <f>IF(A1148="","",MONTH(A1148))</f>
        <v>9</v>
      </c>
      <c r="O1148" s="30">
        <f>IF(A1148="","",YEAR(A1148))</f>
        <v>2026</v>
      </c>
      <c r="P1148" s="30" t="str">
        <f>IF(A1148="","",CHOOSE(WEEKDAY(A1148,2),"Segunda","Terça","Quarta","Quinta","Sexta","Sábado","Domingo"))</f>
        <v>Quinta</v>
      </c>
      <c r="Q1148" s="30" t="str">
        <f>IF(B1148="","",IF(B1148&lt;TIME(12,0,0),"Manhã",IF(B1148&lt;TIME(18,0,0),"Tarde","Noite")))</f>
        <v>Tarde</v>
      </c>
      <c r="R1148" s="46">
        <f>IF(AND(H1148="Realizado",L1148&lt;&gt;"",A1148&lt;=Config!$B$9),L1148/60,0)</f>
        <v>0</v>
      </c>
      <c r="S1148" s="45">
        <f>IF(G1148="","",IFERROR(INDEX(Config!$K$5:$K$16,MATCH(G1148,Config!$J$5:$J$16,0)),""))</f>
        <v>20</v>
      </c>
      <c r="T1148" s="31">
        <f>IF(OR(G1148="",F1148=""),"",IFERROR(INDEX(Config!$M$5:$R$16,MATCH(G1148,Config!$J$5:$J$16,0),MATCH(F1148,Config!$H$5:$H$10,0)),""))</f>
        <v>130</v>
      </c>
      <c r="U1148" s="47">
        <f>IF(AND(H1148="Realizado",L1148&lt;&gt;""),L1148/60,0)</f>
        <v>0</v>
      </c>
      <c r="V1148" s="47">
        <f>IF(AND(H1148="Realizado",OR(L1148="",M1148="")),1,0)</f>
        <v>0</v>
      </c>
    </row>
    <row r="1149">
      <c r="A1149" s="43" t="n">
        <v>46289</v>
      </c>
      <c r="B1149" s="44" t="n">
        <v>0.6666666666666666</v>
      </c>
      <c r="C1149" s="38" t="inlineStr">
        <is>
          <t>Dr. Paulo Andrade</t>
        </is>
      </c>
      <c r="D1149" s="38" t="inlineStr">
        <is>
          <t>Sala 2</t>
        </is>
      </c>
      <c r="E1149" s="37" t="inlineStr">
        <is>
          <t>Camila Martins</t>
        </is>
      </c>
      <c r="F1149" s="38" t="inlineStr">
        <is>
          <t>Vida Care</t>
        </is>
      </c>
      <c r="G1149" s="38" t="inlineStr">
        <is>
          <t>Retorno</t>
        </is>
      </c>
      <c r="H1149" s="38" t="inlineStr">
        <is>
          <t>Agendado</t>
        </is>
      </c>
      <c r="I1149" s="38" t="n"/>
      <c r="J1149" s="38" t="n"/>
      <c r="K1149" s="37" t="n"/>
      <c r="L1149" s="39" t="n">
        <v>20</v>
      </c>
      <c r="M1149" s="40" t="n">
        <v>0</v>
      </c>
      <c r="N1149" s="30">
        <f>IF(A1149="","",MONTH(A1149))</f>
        <v>9</v>
      </c>
      <c r="O1149" s="30">
        <f>IF(A1149="","",YEAR(A1149))</f>
        <v>2026</v>
      </c>
      <c r="P1149" s="30" t="str">
        <f>IF(A1149="","",CHOOSE(WEEKDAY(A1149,2),"Segunda","Terça","Quarta","Quinta","Sexta","Sábado","Domingo"))</f>
        <v>Quinta</v>
      </c>
      <c r="Q1149" s="30" t="str">
        <f>IF(B1149="","",IF(B1149&lt;TIME(12,0,0),"Manhã",IF(B1149&lt;TIME(18,0,0),"Tarde","Noite")))</f>
        <v>Tarde</v>
      </c>
      <c r="R1149" s="46">
        <f>IF(AND(H1149="Realizado",L1149&lt;&gt;"",A1149&lt;=Config!$B$9),L1149/60,0)</f>
        <v>0</v>
      </c>
      <c r="S1149" s="45">
        <f>IF(G1149="","",IFERROR(INDEX(Config!$K$5:$K$16,MATCH(G1149,Config!$J$5:$J$16,0)),""))</f>
        <v>20</v>
      </c>
      <c r="T1149" s="31">
        <f>IF(OR(G1149="",F1149=""),"",IFERROR(INDEX(Config!$M$5:$R$16,MATCH(G1149,Config!$J$5:$J$16,0),MATCH(F1149,Config!$H$5:$H$10,0)),""))</f>
        <v>0</v>
      </c>
      <c r="U1149" s="47">
        <f>IF(AND(H1149="Realizado",L1149&lt;&gt;""),L1149/60,0)</f>
        <v>0</v>
      </c>
      <c r="V1149" s="47">
        <f>IF(AND(H1149="Realizado",OR(L1149="",M1149="")),1,0)</f>
        <v>0</v>
      </c>
    </row>
    <row r="1150">
      <c r="A1150" s="43" t="n">
        <v>46289</v>
      </c>
      <c r="B1150" s="44" t="n">
        <v>0.6736111111111112</v>
      </c>
      <c r="C1150" s="38" t="inlineStr">
        <is>
          <t>Dra. Renata Sousa</t>
        </is>
      </c>
      <c r="D1150" s="38" t="inlineStr">
        <is>
          <t>Sala 1</t>
        </is>
      </c>
      <c r="E1150" s="37" t="inlineStr">
        <is>
          <t>Mônica Almeida</t>
        </is>
      </c>
      <c r="F1150" s="38" t="inlineStr">
        <is>
          <t>Particular</t>
        </is>
      </c>
      <c r="G1150" s="38" t="inlineStr">
        <is>
          <t>Avaliação endócrina</t>
        </is>
      </c>
      <c r="H1150" s="38" t="inlineStr">
        <is>
          <t>Agendado</t>
        </is>
      </c>
      <c r="I1150" s="38" t="n"/>
      <c r="J1150" s="38" t="n"/>
      <c r="K1150" s="37" t="n"/>
      <c r="L1150" s="39" t="n">
        <v>40</v>
      </c>
      <c r="M1150" s="40" t="n">
        <v>400</v>
      </c>
      <c r="N1150" s="30">
        <f>IF(A1150="","",MONTH(A1150))</f>
        <v>9</v>
      </c>
      <c r="O1150" s="30">
        <f>IF(A1150="","",YEAR(A1150))</f>
        <v>2026</v>
      </c>
      <c r="P1150" s="30" t="str">
        <f>IF(A1150="","",CHOOSE(WEEKDAY(A1150,2),"Segunda","Terça","Quarta","Quinta","Sexta","Sábado","Domingo"))</f>
        <v>Quinta</v>
      </c>
      <c r="Q1150" s="30" t="str">
        <f>IF(B1150="","",IF(B1150&lt;TIME(12,0,0),"Manhã",IF(B1150&lt;TIME(18,0,0),"Tarde","Noite")))</f>
        <v>Tarde</v>
      </c>
      <c r="R1150" s="46">
        <f>IF(AND(H1150="Realizado",L1150&lt;&gt;"",A1150&lt;=Config!$B$9),L1150/60,0)</f>
        <v>0</v>
      </c>
      <c r="S1150" s="45">
        <f>IF(G1150="","",IFERROR(INDEX(Config!$K$5:$K$16,MATCH(G1150,Config!$J$5:$J$16,0)),""))</f>
        <v>40</v>
      </c>
      <c r="T1150" s="31">
        <f>IF(OR(G1150="",F1150=""),"",IFERROR(INDEX(Config!$M$5:$R$16,MATCH(G1150,Config!$J$5:$J$16,0),MATCH(F1150,Config!$H$5:$H$10,0)),""))</f>
        <v>400</v>
      </c>
      <c r="U1150" s="47">
        <f>IF(AND(H1150="Realizado",L1150&lt;&gt;""),L1150/60,0)</f>
        <v>0</v>
      </c>
      <c r="V1150" s="47">
        <f>IF(AND(H1150="Realizado",OR(L1150="",M1150="")),1,0)</f>
        <v>0</v>
      </c>
    </row>
    <row r="1151">
      <c r="A1151" s="43" t="n">
        <v>46289</v>
      </c>
      <c r="B1151" s="44" t="n">
        <v>0.6805555555555556</v>
      </c>
      <c r="C1151" s="38" t="inlineStr">
        <is>
          <t>Dr. Paulo Andrade</t>
        </is>
      </c>
      <c r="D1151" s="38" t="inlineStr">
        <is>
          <t>Sala 2</t>
        </is>
      </c>
      <c r="E1151" s="37" t="inlineStr">
        <is>
          <t>Mateus Dias</t>
        </is>
      </c>
      <c r="F1151" s="38" t="inlineStr">
        <is>
          <t>Saúde Total</t>
        </is>
      </c>
      <c r="G1151" s="38" t="inlineStr">
        <is>
          <t>Retorno</t>
        </is>
      </c>
      <c r="H1151" s="38" t="inlineStr">
        <is>
          <t>Agendado</t>
        </is>
      </c>
      <c r="I1151" s="38" t="n"/>
      <c r="J1151" s="38" t="n"/>
      <c r="K1151" s="37" t="n"/>
      <c r="L1151" s="39" t="n">
        <v>20</v>
      </c>
      <c r="M1151" s="40" t="n">
        <v>0</v>
      </c>
      <c r="N1151" s="30">
        <f>IF(A1151="","",MONTH(A1151))</f>
        <v>9</v>
      </c>
      <c r="O1151" s="30">
        <f>IF(A1151="","",YEAR(A1151))</f>
        <v>2026</v>
      </c>
      <c r="P1151" s="30" t="str">
        <f>IF(A1151="","",CHOOSE(WEEKDAY(A1151,2),"Segunda","Terça","Quarta","Quinta","Sexta","Sábado","Domingo"))</f>
        <v>Quinta</v>
      </c>
      <c r="Q1151" s="30" t="str">
        <f>IF(B1151="","",IF(B1151&lt;TIME(12,0,0),"Manhã",IF(B1151&lt;TIME(18,0,0),"Tarde","Noite")))</f>
        <v>Tarde</v>
      </c>
      <c r="R1151" s="46">
        <f>IF(AND(H1151="Realizado",L1151&lt;&gt;"",A1151&lt;=Config!$B$9),L1151/60,0)</f>
        <v>0</v>
      </c>
      <c r="S1151" s="45">
        <f>IF(G1151="","",IFERROR(INDEX(Config!$K$5:$K$16,MATCH(G1151,Config!$J$5:$J$16,0)),""))</f>
        <v>20</v>
      </c>
      <c r="T1151" s="31">
        <f>IF(OR(G1151="",F1151=""),"",IFERROR(INDEX(Config!$M$5:$R$16,MATCH(G1151,Config!$J$5:$J$16,0),MATCH(F1151,Config!$H$5:$H$10,0)),""))</f>
        <v>0</v>
      </c>
      <c r="U1151" s="47">
        <f>IF(AND(H1151="Realizado",L1151&lt;&gt;""),L1151/60,0)</f>
        <v>0</v>
      </c>
      <c r="V1151" s="47">
        <f>IF(AND(H1151="Realizado",OR(L1151="",M1151="")),1,0)</f>
        <v>0</v>
      </c>
    </row>
    <row r="1152">
      <c r="A1152" s="43" t="n">
        <v>46289</v>
      </c>
      <c r="B1152" s="44" t="n">
        <v>0.6944444444444444</v>
      </c>
      <c r="C1152" s="38" t="inlineStr">
        <is>
          <t>Dr. Paulo Andrade</t>
        </is>
      </c>
      <c r="D1152" s="38" t="inlineStr">
        <is>
          <t>Sala 2</t>
        </is>
      </c>
      <c r="E1152" s="37" t="inlineStr">
        <is>
          <t>Rafael Barros</t>
        </is>
      </c>
      <c r="F1152" s="38" t="inlineStr">
        <is>
          <t>Particular</t>
        </is>
      </c>
      <c r="G1152" s="38" t="inlineStr">
        <is>
          <t>Consulta</t>
        </is>
      </c>
      <c r="H1152" s="38" t="inlineStr">
        <is>
          <t>Agendado</t>
        </is>
      </c>
      <c r="I1152" s="38" t="n"/>
      <c r="J1152" s="38" t="n"/>
      <c r="K1152" s="37" t="n"/>
      <c r="L1152" s="39" t="n">
        <v>30</v>
      </c>
      <c r="M1152" s="40" t="n">
        <v>380</v>
      </c>
      <c r="N1152" s="30">
        <f>IF(A1152="","",MONTH(A1152))</f>
        <v>9</v>
      </c>
      <c r="O1152" s="30">
        <f>IF(A1152="","",YEAR(A1152))</f>
        <v>2026</v>
      </c>
      <c r="P1152" s="30" t="str">
        <f>IF(A1152="","",CHOOSE(WEEKDAY(A1152,2),"Segunda","Terça","Quarta","Quinta","Sexta","Sábado","Domingo"))</f>
        <v>Quinta</v>
      </c>
      <c r="Q1152" s="30" t="str">
        <f>IF(B1152="","",IF(B1152&lt;TIME(12,0,0),"Manhã",IF(B1152&lt;TIME(18,0,0),"Tarde","Noite")))</f>
        <v>Tarde</v>
      </c>
      <c r="R1152" s="46">
        <f>IF(AND(H1152="Realizado",L1152&lt;&gt;"",A1152&lt;=Config!$B$9),L1152/60,0)</f>
        <v>0</v>
      </c>
      <c r="S1152" s="45">
        <f>IF(G1152="","",IFERROR(INDEX(Config!$K$5:$K$16,MATCH(G1152,Config!$J$5:$J$16,0)),""))</f>
        <v>30</v>
      </c>
      <c r="T1152" s="31">
        <f>IF(OR(G1152="",F1152=""),"",IFERROR(INDEX(Config!$M$5:$R$16,MATCH(G1152,Config!$J$5:$J$16,0),MATCH(F1152,Config!$H$5:$H$10,0)),""))</f>
        <v>380</v>
      </c>
      <c r="U1152" s="47">
        <f>IF(AND(H1152="Realizado",L1152&lt;&gt;""),L1152/60,0)</f>
        <v>0</v>
      </c>
      <c r="V1152" s="47">
        <f>IF(AND(H1152="Realizado",OR(L1152="",M1152="")),1,0)</f>
        <v>0</v>
      </c>
    </row>
    <row r="1153">
      <c r="A1153" s="43" t="n">
        <v>46289</v>
      </c>
      <c r="B1153" s="44" t="n">
        <v>0.7013888888888888</v>
      </c>
      <c r="C1153" s="38" t="inlineStr">
        <is>
          <t>Dra. Renata Sousa</t>
        </is>
      </c>
      <c r="D1153" s="38" t="inlineStr">
        <is>
          <t>Sala 1</t>
        </is>
      </c>
      <c r="E1153" s="37" t="inlineStr">
        <is>
          <t>Fábio Gomes</t>
        </is>
      </c>
      <c r="F1153" s="38" t="inlineStr">
        <is>
          <t>Particular</t>
        </is>
      </c>
      <c r="G1153" s="38" t="inlineStr">
        <is>
          <t>Avaliação endócrina</t>
        </is>
      </c>
      <c r="H1153" s="38" t="inlineStr">
        <is>
          <t>Agendado</t>
        </is>
      </c>
      <c r="I1153" s="38" t="n"/>
      <c r="J1153" s="38" t="n"/>
      <c r="K1153" s="37" t="n"/>
      <c r="L1153" s="39" t="n">
        <v>40</v>
      </c>
      <c r="M1153" s="40" t="n">
        <v>400</v>
      </c>
      <c r="N1153" s="30">
        <f>IF(A1153="","",MONTH(A1153))</f>
        <v>9</v>
      </c>
      <c r="O1153" s="30">
        <f>IF(A1153="","",YEAR(A1153))</f>
        <v>2026</v>
      </c>
      <c r="P1153" s="30" t="str">
        <f>IF(A1153="","",CHOOSE(WEEKDAY(A1153,2),"Segunda","Terça","Quarta","Quinta","Sexta","Sábado","Domingo"))</f>
        <v>Quinta</v>
      </c>
      <c r="Q1153" s="30" t="str">
        <f>IF(B1153="","",IF(B1153&lt;TIME(12,0,0),"Manhã",IF(B1153&lt;TIME(18,0,0),"Tarde","Noite")))</f>
        <v>Tarde</v>
      </c>
      <c r="R1153" s="46">
        <f>IF(AND(H1153="Realizado",L1153&lt;&gt;"",A1153&lt;=Config!$B$9),L1153/60,0)</f>
        <v>0</v>
      </c>
      <c r="S1153" s="45">
        <f>IF(G1153="","",IFERROR(INDEX(Config!$K$5:$K$16,MATCH(G1153,Config!$J$5:$J$16,0)),""))</f>
        <v>40</v>
      </c>
      <c r="T1153" s="31">
        <f>IF(OR(G1153="",F1153=""),"",IFERROR(INDEX(Config!$M$5:$R$16,MATCH(G1153,Config!$J$5:$J$16,0),MATCH(F1153,Config!$H$5:$H$10,0)),""))</f>
        <v>400</v>
      </c>
      <c r="U1153" s="47">
        <f>IF(AND(H1153="Realizado",L1153&lt;&gt;""),L1153/60,0)</f>
        <v>0</v>
      </c>
      <c r="V1153" s="47">
        <f>IF(AND(H1153="Realizado",OR(L1153="",M1153="")),1,0)</f>
        <v>0</v>
      </c>
    </row>
    <row r="1154">
      <c r="A1154" s="43" t="n">
        <v>46289</v>
      </c>
      <c r="B1154" s="44" t="n">
        <v>0.7152777777777778</v>
      </c>
      <c r="C1154" s="38" t="inlineStr">
        <is>
          <t>Dr. Paulo Andrade</t>
        </is>
      </c>
      <c r="D1154" s="38" t="inlineStr">
        <is>
          <t>Sala 2</t>
        </is>
      </c>
      <c r="E1154" s="37" t="inlineStr">
        <is>
          <t>Camila Freitas</t>
        </is>
      </c>
      <c r="F1154" s="38" t="inlineStr">
        <is>
          <t>Particular</t>
        </is>
      </c>
      <c r="G1154" s="38" t="inlineStr">
        <is>
          <t>Retorno</t>
        </is>
      </c>
      <c r="H1154" s="38" t="inlineStr">
        <is>
          <t>Agendado</t>
        </is>
      </c>
      <c r="I1154" s="38" t="n"/>
      <c r="J1154" s="38" t="n"/>
      <c r="K1154" s="37" t="n"/>
      <c r="L1154" s="39" t="n">
        <v>20</v>
      </c>
      <c r="M1154" s="40" t="n">
        <v>0</v>
      </c>
      <c r="N1154" s="30">
        <f>IF(A1154="","",MONTH(A1154))</f>
        <v>9</v>
      </c>
      <c r="O1154" s="30">
        <f>IF(A1154="","",YEAR(A1154))</f>
        <v>2026</v>
      </c>
      <c r="P1154" s="30" t="str">
        <f>IF(A1154="","",CHOOSE(WEEKDAY(A1154,2),"Segunda","Terça","Quarta","Quinta","Sexta","Sábado","Domingo"))</f>
        <v>Quinta</v>
      </c>
      <c r="Q1154" s="30" t="str">
        <f>IF(B1154="","",IF(B1154&lt;TIME(12,0,0),"Manhã",IF(B1154&lt;TIME(18,0,0),"Tarde","Noite")))</f>
        <v>Tarde</v>
      </c>
      <c r="R1154" s="46">
        <f>IF(AND(H1154="Realizado",L1154&lt;&gt;"",A1154&lt;=Config!$B$9),L1154/60,0)</f>
        <v>0</v>
      </c>
      <c r="S1154" s="45">
        <f>IF(G1154="","",IFERROR(INDEX(Config!$K$5:$K$16,MATCH(G1154,Config!$J$5:$J$16,0)),""))</f>
        <v>20</v>
      </c>
      <c r="T1154" s="31">
        <f>IF(OR(G1154="",F1154=""),"",IFERROR(INDEX(Config!$M$5:$R$16,MATCH(G1154,Config!$J$5:$J$16,0),MATCH(F1154,Config!$H$5:$H$10,0)),""))</f>
        <v>0</v>
      </c>
      <c r="U1154" s="47">
        <f>IF(AND(H1154="Realizado",L1154&lt;&gt;""),L1154/60,0)</f>
        <v>0</v>
      </c>
      <c r="V1154" s="47">
        <f>IF(AND(H1154="Realizado",OR(L1154="",M1154="")),1,0)</f>
        <v>0</v>
      </c>
    </row>
    <row r="1155">
      <c r="A1155" s="43" t="n">
        <v>46289</v>
      </c>
      <c r="B1155" s="44" t="n">
        <v>0.7291666666666666</v>
      </c>
      <c r="C1155" s="38" t="inlineStr">
        <is>
          <t>Dra. Renata Sousa</t>
        </is>
      </c>
      <c r="D1155" s="38" t="inlineStr">
        <is>
          <t>Sala 1</t>
        </is>
      </c>
      <c r="E1155" s="37" t="inlineStr">
        <is>
          <t>Mônica Almeida</t>
        </is>
      </c>
      <c r="F1155" s="38" t="inlineStr">
        <is>
          <t>Particular</t>
        </is>
      </c>
      <c r="G1155" s="38" t="inlineStr">
        <is>
          <t>Retorno</t>
        </is>
      </c>
      <c r="H1155" s="38" t="inlineStr">
        <is>
          <t>Agendado</t>
        </is>
      </c>
      <c r="I1155" s="38" t="n"/>
      <c r="J1155" s="38" t="n"/>
      <c r="K1155" s="37" t="n"/>
      <c r="L1155" s="39" t="n">
        <v>20</v>
      </c>
      <c r="M1155" s="40" t="n">
        <v>0</v>
      </c>
      <c r="N1155" s="30">
        <f>IF(A1155="","",MONTH(A1155))</f>
        <v>9</v>
      </c>
      <c r="O1155" s="30">
        <f>IF(A1155="","",YEAR(A1155))</f>
        <v>2026</v>
      </c>
      <c r="P1155" s="30" t="str">
        <f>IF(A1155="","",CHOOSE(WEEKDAY(A1155,2),"Segunda","Terça","Quarta","Quinta","Sexta","Sábado","Domingo"))</f>
        <v>Quinta</v>
      </c>
      <c r="Q1155" s="30" t="str">
        <f>IF(B1155="","",IF(B1155&lt;TIME(12,0,0),"Manhã",IF(B1155&lt;TIME(18,0,0),"Tarde","Noite")))</f>
        <v>Tarde</v>
      </c>
      <c r="R1155" s="46">
        <f>IF(AND(H1155="Realizado",L1155&lt;&gt;"",A1155&lt;=Config!$B$9),L1155/60,0)</f>
        <v>0</v>
      </c>
      <c r="S1155" s="45">
        <f>IF(G1155="","",IFERROR(INDEX(Config!$K$5:$K$16,MATCH(G1155,Config!$J$5:$J$16,0)),""))</f>
        <v>20</v>
      </c>
      <c r="T1155" s="31">
        <f>IF(OR(G1155="",F1155=""),"",IFERROR(INDEX(Config!$M$5:$R$16,MATCH(G1155,Config!$J$5:$J$16,0),MATCH(F1155,Config!$H$5:$H$10,0)),""))</f>
        <v>0</v>
      </c>
      <c r="U1155" s="47">
        <f>IF(AND(H1155="Realizado",L1155&lt;&gt;""),L1155/60,0)</f>
        <v>0</v>
      </c>
      <c r="V1155" s="47">
        <f>IF(AND(H1155="Realizado",OR(L1155="",M1155="")),1,0)</f>
        <v>0</v>
      </c>
    </row>
    <row r="1156">
      <c r="A1156" s="43" t="n">
        <v>46289</v>
      </c>
      <c r="B1156" s="44" t="n">
        <v>0.7291666666666666</v>
      </c>
      <c r="C1156" s="38" t="inlineStr">
        <is>
          <t>Dr. Paulo Andrade</t>
        </is>
      </c>
      <c r="D1156" s="38" t="inlineStr">
        <is>
          <t>Sala 2</t>
        </is>
      </c>
      <c r="E1156" s="37" t="inlineStr">
        <is>
          <t>Gustavo Barbosa</t>
        </is>
      </c>
      <c r="F1156" s="38" t="inlineStr">
        <is>
          <t>Saúde Total</t>
        </is>
      </c>
      <c r="G1156" s="38" t="inlineStr">
        <is>
          <t>ECG</t>
        </is>
      </c>
      <c r="H1156" s="38" t="inlineStr">
        <is>
          <t>Agendado</t>
        </is>
      </c>
      <c r="I1156" s="38" t="n"/>
      <c r="J1156" s="38" t="n"/>
      <c r="K1156" s="37" t="n"/>
      <c r="L1156" s="39" t="n">
        <v>20</v>
      </c>
      <c r="M1156" s="40" t="n">
        <v>40</v>
      </c>
      <c r="N1156" s="30">
        <f>IF(A1156="","",MONTH(A1156))</f>
        <v>9</v>
      </c>
      <c r="O1156" s="30">
        <f>IF(A1156="","",YEAR(A1156))</f>
        <v>2026</v>
      </c>
      <c r="P1156" s="30" t="str">
        <f>IF(A1156="","",CHOOSE(WEEKDAY(A1156,2),"Segunda","Terça","Quarta","Quinta","Sexta","Sábado","Domingo"))</f>
        <v>Quinta</v>
      </c>
      <c r="Q1156" s="30" t="str">
        <f>IF(B1156="","",IF(B1156&lt;TIME(12,0,0),"Manhã",IF(B1156&lt;TIME(18,0,0),"Tarde","Noite")))</f>
        <v>Tarde</v>
      </c>
      <c r="R1156" s="46">
        <f>IF(AND(H1156="Realizado",L1156&lt;&gt;"",A1156&lt;=Config!$B$9),L1156/60,0)</f>
        <v>0</v>
      </c>
      <c r="S1156" s="45">
        <f>IF(G1156="","",IFERROR(INDEX(Config!$K$5:$K$16,MATCH(G1156,Config!$J$5:$J$16,0)),""))</f>
        <v>20</v>
      </c>
      <c r="T1156" s="31">
        <f>IF(OR(G1156="",F1156=""),"",IFERROR(INDEX(Config!$M$5:$R$16,MATCH(G1156,Config!$J$5:$J$16,0),MATCH(F1156,Config!$H$5:$H$10,0)),""))</f>
        <v>40</v>
      </c>
      <c r="U1156" s="47">
        <f>IF(AND(H1156="Realizado",L1156&lt;&gt;""),L1156/60,0)</f>
        <v>0</v>
      </c>
      <c r="V1156" s="47">
        <f>IF(AND(H1156="Realizado",OR(L1156="",M1156="")),1,0)</f>
        <v>0</v>
      </c>
    </row>
    <row r="1157">
      <c r="A1157" s="43" t="n">
        <v>46290</v>
      </c>
      <c r="B1157" s="44" t="n">
        <v>0.3333333333333333</v>
      </c>
      <c r="C1157" s="38" t="inlineStr">
        <is>
          <t>Dr. Paulo Andrade</t>
        </is>
      </c>
      <c r="D1157" s="38" t="inlineStr">
        <is>
          <t>Sala 2</t>
        </is>
      </c>
      <c r="E1157" s="37" t="inlineStr">
        <is>
          <t>Débora Machado</t>
        </is>
      </c>
      <c r="F1157" s="38" t="inlineStr">
        <is>
          <t>Saúde Total</t>
        </is>
      </c>
      <c r="G1157" s="38" t="inlineStr">
        <is>
          <t>ECG</t>
        </is>
      </c>
      <c r="H1157" s="38" t="inlineStr">
        <is>
          <t>Agendado</t>
        </is>
      </c>
      <c r="I1157" s="38" t="n"/>
      <c r="J1157" s="38" t="n"/>
      <c r="K1157" s="37" t="n"/>
      <c r="L1157" s="39" t="n">
        <v>20</v>
      </c>
      <c r="M1157" s="40" t="n">
        <v>40</v>
      </c>
      <c r="N1157" s="30">
        <f>IF(A1157="","",MONTH(A1157))</f>
        <v>9</v>
      </c>
      <c r="O1157" s="30">
        <f>IF(A1157="","",YEAR(A1157))</f>
        <v>2026</v>
      </c>
      <c r="P1157" s="30" t="str">
        <f>IF(A1157="","",CHOOSE(WEEKDAY(A1157,2),"Segunda","Terça","Quarta","Quinta","Sexta","Sábado","Domingo"))</f>
        <v>Sexta</v>
      </c>
      <c r="Q1157" s="30" t="str">
        <f>IF(B1157="","",IF(B1157&lt;TIME(12,0,0),"Manhã",IF(B1157&lt;TIME(18,0,0),"Tarde","Noite")))</f>
        <v>Manhã</v>
      </c>
      <c r="R1157" s="46">
        <f>IF(AND(H1157="Realizado",L1157&lt;&gt;"",A1157&lt;=Config!$B$9),L1157/60,0)</f>
        <v>0</v>
      </c>
      <c r="S1157" s="45">
        <f>IF(G1157="","",IFERROR(INDEX(Config!$K$5:$K$16,MATCH(G1157,Config!$J$5:$J$16,0)),""))</f>
        <v>20</v>
      </c>
      <c r="T1157" s="31">
        <f>IF(OR(G1157="",F1157=""),"",IFERROR(INDEX(Config!$M$5:$R$16,MATCH(G1157,Config!$J$5:$J$16,0),MATCH(F1157,Config!$H$5:$H$10,0)),""))</f>
        <v>40</v>
      </c>
      <c r="U1157" s="47">
        <f>IF(AND(H1157="Realizado",L1157&lt;&gt;""),L1157/60,0)</f>
        <v>0</v>
      </c>
      <c r="V1157" s="47">
        <f>IF(AND(H1157="Realizado",OR(L1157="",M1157="")),1,0)</f>
        <v>0</v>
      </c>
    </row>
    <row r="1158">
      <c r="A1158" s="43" t="n">
        <v>46290</v>
      </c>
      <c r="B1158" s="44" t="n">
        <v>0.3680555555555556</v>
      </c>
      <c r="C1158" s="38" t="inlineStr">
        <is>
          <t>Dr. Paulo Andrade</t>
        </is>
      </c>
      <c r="D1158" s="38" t="inlineStr">
        <is>
          <t>Sala 2</t>
        </is>
      </c>
      <c r="E1158" s="37" t="inlineStr">
        <is>
          <t>Rafael Correia</t>
        </is>
      </c>
      <c r="F1158" s="38" t="inlineStr">
        <is>
          <t>Particular</t>
        </is>
      </c>
      <c r="G1158" s="38" t="inlineStr">
        <is>
          <t>Consulta</t>
        </is>
      </c>
      <c r="H1158" s="38" t="inlineStr">
        <is>
          <t>Agendado</t>
        </is>
      </c>
      <c r="I1158" s="38" t="n"/>
      <c r="J1158" s="38" t="n"/>
      <c r="K1158" s="37" t="n"/>
      <c r="L1158" s="39" t="n">
        <v>30</v>
      </c>
      <c r="M1158" s="40" t="n">
        <v>380</v>
      </c>
      <c r="N1158" s="30">
        <f>IF(A1158="","",MONTH(A1158))</f>
        <v>9</v>
      </c>
      <c r="O1158" s="30">
        <f>IF(A1158="","",YEAR(A1158))</f>
        <v>2026</v>
      </c>
      <c r="P1158" s="30" t="str">
        <f>IF(A1158="","",CHOOSE(WEEKDAY(A1158,2),"Segunda","Terça","Quarta","Quinta","Sexta","Sábado","Domingo"))</f>
        <v>Sexta</v>
      </c>
      <c r="Q1158" s="30" t="str">
        <f>IF(B1158="","",IF(B1158&lt;TIME(12,0,0),"Manhã",IF(B1158&lt;TIME(18,0,0),"Tarde","Noite")))</f>
        <v>Manhã</v>
      </c>
      <c r="R1158" s="46">
        <f>IF(AND(H1158="Realizado",L1158&lt;&gt;"",A1158&lt;=Config!$B$9),L1158/60,0)</f>
        <v>0</v>
      </c>
      <c r="S1158" s="45">
        <f>IF(G1158="","",IFERROR(INDEX(Config!$K$5:$K$16,MATCH(G1158,Config!$J$5:$J$16,0)),""))</f>
        <v>30</v>
      </c>
      <c r="T1158" s="31">
        <f>IF(OR(G1158="",F1158=""),"",IFERROR(INDEX(Config!$M$5:$R$16,MATCH(G1158,Config!$J$5:$J$16,0),MATCH(F1158,Config!$H$5:$H$10,0)),""))</f>
        <v>380</v>
      </c>
      <c r="U1158" s="47">
        <f>IF(AND(H1158="Realizado",L1158&lt;&gt;""),L1158/60,0)</f>
        <v>0</v>
      </c>
      <c r="V1158" s="47">
        <f>IF(AND(H1158="Realizado",OR(L1158="",M1158="")),1,0)</f>
        <v>0</v>
      </c>
    </row>
    <row r="1159">
      <c r="A1159" s="43" t="n">
        <v>46290</v>
      </c>
      <c r="B1159" s="44" t="n">
        <v>0.3888888888888889</v>
      </c>
      <c r="C1159" s="38" t="inlineStr">
        <is>
          <t>Dr. Paulo Andrade</t>
        </is>
      </c>
      <c r="D1159" s="38" t="inlineStr">
        <is>
          <t>Sala 2</t>
        </is>
      </c>
      <c r="E1159" s="37" t="inlineStr">
        <is>
          <t>Paulo Nascimento</t>
        </is>
      </c>
      <c r="F1159" s="38" t="inlineStr">
        <is>
          <t>MediPlan</t>
        </is>
      </c>
      <c r="G1159" s="38" t="inlineStr">
        <is>
          <t>Retorno</t>
        </is>
      </c>
      <c r="H1159" s="38" t="inlineStr">
        <is>
          <t>Agendado</t>
        </is>
      </c>
      <c r="I1159" s="38" t="n"/>
      <c r="J1159" s="38" t="n"/>
      <c r="K1159" s="37" t="n"/>
      <c r="L1159" s="39" t="n">
        <v>20</v>
      </c>
      <c r="M1159" s="40" t="n">
        <v>0</v>
      </c>
      <c r="N1159" s="30">
        <f>IF(A1159="","",MONTH(A1159))</f>
        <v>9</v>
      </c>
      <c r="O1159" s="30">
        <f>IF(A1159="","",YEAR(A1159))</f>
        <v>2026</v>
      </c>
      <c r="P1159" s="30" t="str">
        <f>IF(A1159="","",CHOOSE(WEEKDAY(A1159,2),"Segunda","Terça","Quarta","Quinta","Sexta","Sábado","Domingo"))</f>
        <v>Sexta</v>
      </c>
      <c r="Q1159" s="30" t="str">
        <f>IF(B1159="","",IF(B1159&lt;TIME(12,0,0),"Manhã",IF(B1159&lt;TIME(18,0,0),"Tarde","Noite")))</f>
        <v>Manhã</v>
      </c>
      <c r="R1159" s="46">
        <f>IF(AND(H1159="Realizado",L1159&lt;&gt;"",A1159&lt;=Config!$B$9),L1159/60,0)</f>
        <v>0</v>
      </c>
      <c r="S1159" s="45">
        <f>IF(G1159="","",IFERROR(INDEX(Config!$K$5:$K$16,MATCH(G1159,Config!$J$5:$J$16,0)),""))</f>
        <v>20</v>
      </c>
      <c r="T1159" s="31">
        <f>IF(OR(G1159="",F1159=""),"",IFERROR(INDEX(Config!$M$5:$R$16,MATCH(G1159,Config!$J$5:$J$16,0),MATCH(F1159,Config!$H$5:$H$10,0)),""))</f>
        <v>0</v>
      </c>
      <c r="U1159" s="47">
        <f>IF(AND(H1159="Realizado",L1159&lt;&gt;""),L1159/60,0)</f>
        <v>0</v>
      </c>
      <c r="V1159" s="47">
        <f>IF(AND(H1159="Realizado",OR(L1159="",M1159="")),1,0)</f>
        <v>0</v>
      </c>
    </row>
    <row r="1160">
      <c r="A1160" s="43" t="n">
        <v>46290</v>
      </c>
      <c r="B1160" s="44" t="n">
        <v>0.4027777777777778</v>
      </c>
      <c r="C1160" s="38" t="inlineStr">
        <is>
          <t>Dr. Paulo Andrade</t>
        </is>
      </c>
      <c r="D1160" s="38" t="inlineStr">
        <is>
          <t>Sala 2</t>
        </is>
      </c>
      <c r="E1160" s="37" t="inlineStr">
        <is>
          <t>Sandra Cardoso</t>
        </is>
      </c>
      <c r="F1160" s="38" t="inlineStr">
        <is>
          <t>Saúde Total</t>
        </is>
      </c>
      <c r="G1160" s="38" t="inlineStr">
        <is>
          <t>Consulta</t>
        </is>
      </c>
      <c r="H1160" s="38" t="inlineStr">
        <is>
          <t>Agendado</t>
        </is>
      </c>
      <c r="I1160" s="38" t="n"/>
      <c r="J1160" s="38" t="n"/>
      <c r="K1160" s="37" t="n"/>
      <c r="L1160" s="39" t="n">
        <v>30</v>
      </c>
      <c r="M1160" s="40" t="n">
        <v>120</v>
      </c>
      <c r="N1160" s="30">
        <f>IF(A1160="","",MONTH(A1160))</f>
        <v>9</v>
      </c>
      <c r="O1160" s="30">
        <f>IF(A1160="","",YEAR(A1160))</f>
        <v>2026</v>
      </c>
      <c r="P1160" s="30" t="str">
        <f>IF(A1160="","",CHOOSE(WEEKDAY(A1160,2),"Segunda","Terça","Quarta","Quinta","Sexta","Sábado","Domingo"))</f>
        <v>Sexta</v>
      </c>
      <c r="Q1160" s="30" t="str">
        <f>IF(B1160="","",IF(B1160&lt;TIME(12,0,0),"Manhã",IF(B1160&lt;TIME(18,0,0),"Tarde","Noite")))</f>
        <v>Manhã</v>
      </c>
      <c r="R1160" s="46">
        <f>IF(AND(H1160="Realizado",L1160&lt;&gt;"",A1160&lt;=Config!$B$9),L1160/60,0)</f>
        <v>0</v>
      </c>
      <c r="S1160" s="45">
        <f>IF(G1160="","",IFERROR(INDEX(Config!$K$5:$K$16,MATCH(G1160,Config!$J$5:$J$16,0)),""))</f>
        <v>30</v>
      </c>
      <c r="T1160" s="31">
        <f>IF(OR(G1160="",F1160=""),"",IFERROR(INDEX(Config!$M$5:$R$16,MATCH(G1160,Config!$J$5:$J$16,0),MATCH(F1160,Config!$H$5:$H$10,0)),""))</f>
        <v>120</v>
      </c>
      <c r="U1160" s="47">
        <f>IF(AND(H1160="Realizado",L1160&lt;&gt;""),L1160/60,0)</f>
        <v>0</v>
      </c>
      <c r="V1160" s="47">
        <f>IF(AND(H1160="Realizado",OR(L1160="",M1160="")),1,0)</f>
        <v>0</v>
      </c>
    </row>
    <row r="1161">
      <c r="A1161" s="43" t="n">
        <v>46290</v>
      </c>
      <c r="B1161" s="44" t="n">
        <v>0.4236111111111111</v>
      </c>
      <c r="C1161" s="38" t="inlineStr">
        <is>
          <t>Dr. Paulo Andrade</t>
        </is>
      </c>
      <c r="D1161" s="38" t="inlineStr">
        <is>
          <t>Sala 2</t>
        </is>
      </c>
      <c r="E1161" s="37" t="inlineStr">
        <is>
          <t>Paulo Reis</t>
        </is>
      </c>
      <c r="F1161" s="38" t="inlineStr">
        <is>
          <t>Particular</t>
        </is>
      </c>
      <c r="G1161" s="38" t="inlineStr">
        <is>
          <t>Consulta</t>
        </is>
      </c>
      <c r="H1161" s="38" t="inlineStr">
        <is>
          <t>Agendado</t>
        </is>
      </c>
      <c r="I1161" s="38" t="n"/>
      <c r="J1161" s="38" t="n"/>
      <c r="K1161" s="37" t="n"/>
      <c r="L1161" s="39" t="n">
        <v>30</v>
      </c>
      <c r="M1161" s="40" t="n">
        <v>380</v>
      </c>
      <c r="N1161" s="30">
        <f>IF(A1161="","",MONTH(A1161))</f>
        <v>9</v>
      </c>
      <c r="O1161" s="30">
        <f>IF(A1161="","",YEAR(A1161))</f>
        <v>2026</v>
      </c>
      <c r="P1161" s="30" t="str">
        <f>IF(A1161="","",CHOOSE(WEEKDAY(A1161,2),"Segunda","Terça","Quarta","Quinta","Sexta","Sábado","Domingo"))</f>
        <v>Sexta</v>
      </c>
      <c r="Q1161" s="30" t="str">
        <f>IF(B1161="","",IF(B1161&lt;TIME(12,0,0),"Manhã",IF(B1161&lt;TIME(18,0,0),"Tarde","Noite")))</f>
        <v>Manhã</v>
      </c>
      <c r="R1161" s="46">
        <f>IF(AND(H1161="Realizado",L1161&lt;&gt;"",A1161&lt;=Config!$B$9),L1161/60,0)</f>
        <v>0</v>
      </c>
      <c r="S1161" s="45">
        <f>IF(G1161="","",IFERROR(INDEX(Config!$K$5:$K$16,MATCH(G1161,Config!$J$5:$J$16,0)),""))</f>
        <v>30</v>
      </c>
      <c r="T1161" s="31">
        <f>IF(OR(G1161="",F1161=""),"",IFERROR(INDEX(Config!$M$5:$R$16,MATCH(G1161,Config!$J$5:$J$16,0),MATCH(F1161,Config!$H$5:$H$10,0)),""))</f>
        <v>380</v>
      </c>
      <c r="U1161" s="47">
        <f>IF(AND(H1161="Realizado",L1161&lt;&gt;""),L1161/60,0)</f>
        <v>0</v>
      </c>
      <c r="V1161" s="47">
        <f>IF(AND(H1161="Realizado",OR(L1161="",M1161="")),1,0)</f>
        <v>0</v>
      </c>
    </row>
    <row r="1162">
      <c r="A1162" s="43" t="n">
        <v>46290</v>
      </c>
      <c r="B1162" s="44" t="n">
        <v>0.4444444444444444</v>
      </c>
      <c r="C1162" s="38" t="inlineStr">
        <is>
          <t>Dr. Paulo Andrade</t>
        </is>
      </c>
      <c r="D1162" s="38" t="inlineStr">
        <is>
          <t>Sala 2</t>
        </is>
      </c>
      <c r="E1162" s="37" t="inlineStr">
        <is>
          <t>Natália Martins</t>
        </is>
      </c>
      <c r="F1162" s="38" t="inlineStr">
        <is>
          <t>Particular</t>
        </is>
      </c>
      <c r="G1162" s="38" t="inlineStr">
        <is>
          <t>ECG</t>
        </is>
      </c>
      <c r="H1162" s="38" t="inlineStr">
        <is>
          <t>Agendado</t>
        </is>
      </c>
      <c r="I1162" s="38" t="n"/>
      <c r="J1162" s="38" t="n"/>
      <c r="K1162" s="37" t="n"/>
      <c r="L1162" s="39" t="n">
        <v>20</v>
      </c>
      <c r="M1162" s="40" t="n">
        <v>130</v>
      </c>
      <c r="N1162" s="30">
        <f>IF(A1162="","",MONTH(A1162))</f>
        <v>9</v>
      </c>
      <c r="O1162" s="30">
        <f>IF(A1162="","",YEAR(A1162))</f>
        <v>2026</v>
      </c>
      <c r="P1162" s="30" t="str">
        <f>IF(A1162="","",CHOOSE(WEEKDAY(A1162,2),"Segunda","Terça","Quarta","Quinta","Sexta","Sábado","Domingo"))</f>
        <v>Sexta</v>
      </c>
      <c r="Q1162" s="30" t="str">
        <f>IF(B1162="","",IF(B1162&lt;TIME(12,0,0),"Manhã",IF(B1162&lt;TIME(18,0,0),"Tarde","Noite")))</f>
        <v>Manhã</v>
      </c>
      <c r="R1162" s="46">
        <f>IF(AND(H1162="Realizado",L1162&lt;&gt;"",A1162&lt;=Config!$B$9),L1162/60,0)</f>
        <v>0</v>
      </c>
      <c r="S1162" s="45">
        <f>IF(G1162="","",IFERROR(INDEX(Config!$K$5:$K$16,MATCH(G1162,Config!$J$5:$J$16,0)),""))</f>
        <v>20</v>
      </c>
      <c r="T1162" s="31">
        <f>IF(OR(G1162="",F1162=""),"",IFERROR(INDEX(Config!$M$5:$R$16,MATCH(G1162,Config!$J$5:$J$16,0),MATCH(F1162,Config!$H$5:$H$10,0)),""))</f>
        <v>130</v>
      </c>
      <c r="U1162" s="47">
        <f>IF(AND(H1162="Realizado",L1162&lt;&gt;""),L1162/60,0)</f>
        <v>0</v>
      </c>
      <c r="V1162" s="47">
        <f>IF(AND(H1162="Realizado",OR(L1162="",M1162="")),1,0)</f>
        <v>0</v>
      </c>
    </row>
    <row r="1163">
      <c r="A1163" s="43" t="n">
        <v>46290</v>
      </c>
      <c r="B1163" s="44" t="n">
        <v>0.4583333333333333</v>
      </c>
      <c r="C1163" s="38" t="inlineStr">
        <is>
          <t>Dr. Paulo Andrade</t>
        </is>
      </c>
      <c r="D1163" s="38" t="inlineStr">
        <is>
          <t>Sala 2</t>
        </is>
      </c>
      <c r="E1163" s="37" t="inlineStr">
        <is>
          <t>Fernanda Nunes</t>
        </is>
      </c>
      <c r="F1163" s="38" t="inlineStr">
        <is>
          <t>MediPlan</t>
        </is>
      </c>
      <c r="G1163" s="38" t="inlineStr">
        <is>
          <t>Retorno</t>
        </is>
      </c>
      <c r="H1163" s="38" t="inlineStr">
        <is>
          <t>Agendado</t>
        </is>
      </c>
      <c r="I1163" s="38" t="n"/>
      <c r="J1163" s="38" t="n"/>
      <c r="K1163" s="37" t="n"/>
      <c r="L1163" s="39" t="n">
        <v>20</v>
      </c>
      <c r="M1163" s="40" t="n">
        <v>0</v>
      </c>
      <c r="N1163" s="30">
        <f>IF(A1163="","",MONTH(A1163))</f>
        <v>9</v>
      </c>
      <c r="O1163" s="30">
        <f>IF(A1163="","",YEAR(A1163))</f>
        <v>2026</v>
      </c>
      <c r="P1163" s="30" t="str">
        <f>IF(A1163="","",CHOOSE(WEEKDAY(A1163,2),"Segunda","Terça","Quarta","Quinta","Sexta","Sábado","Domingo"))</f>
        <v>Sexta</v>
      </c>
      <c r="Q1163" s="30" t="str">
        <f>IF(B1163="","",IF(B1163&lt;TIME(12,0,0),"Manhã",IF(B1163&lt;TIME(18,0,0),"Tarde","Noite")))</f>
        <v>Manhã</v>
      </c>
      <c r="R1163" s="46">
        <f>IF(AND(H1163="Realizado",L1163&lt;&gt;"",A1163&lt;=Config!$B$9),L1163/60,0)</f>
        <v>0</v>
      </c>
      <c r="S1163" s="45">
        <f>IF(G1163="","",IFERROR(INDEX(Config!$K$5:$K$16,MATCH(G1163,Config!$J$5:$J$16,0)),""))</f>
        <v>20</v>
      </c>
      <c r="T1163" s="31">
        <f>IF(OR(G1163="",F1163=""),"",IFERROR(INDEX(Config!$M$5:$R$16,MATCH(G1163,Config!$J$5:$J$16,0),MATCH(F1163,Config!$H$5:$H$10,0)),""))</f>
        <v>0</v>
      </c>
      <c r="U1163" s="47">
        <f>IF(AND(H1163="Realizado",L1163&lt;&gt;""),L1163/60,0)</f>
        <v>0</v>
      </c>
      <c r="V1163" s="47">
        <f>IF(AND(H1163="Realizado",OR(L1163="",M1163="")),1,0)</f>
        <v>0</v>
      </c>
    </row>
    <row r="1164">
      <c r="A1164" s="43" t="n">
        <v>46290</v>
      </c>
      <c r="B1164" s="44" t="n">
        <v>0.4722222222222222</v>
      </c>
      <c r="C1164" s="38" t="inlineStr">
        <is>
          <t>Dr. Paulo Andrade</t>
        </is>
      </c>
      <c r="D1164" s="38" t="inlineStr">
        <is>
          <t>Sala 2</t>
        </is>
      </c>
      <c r="E1164" s="37" t="inlineStr">
        <is>
          <t>Rafael Batista</t>
        </is>
      </c>
      <c r="F1164" s="38" t="inlineStr">
        <is>
          <t>Saúde Total</t>
        </is>
      </c>
      <c r="G1164" s="38" t="inlineStr">
        <is>
          <t>Teste ergométrico</t>
        </is>
      </c>
      <c r="H1164" s="38" t="inlineStr">
        <is>
          <t>Agendado</t>
        </is>
      </c>
      <c r="I1164" s="38" t="n"/>
      <c r="J1164" s="38" t="n"/>
      <c r="K1164" s="37" t="n"/>
      <c r="L1164" s="39" t="n">
        <v>40</v>
      </c>
      <c r="M1164" s="40" t="n">
        <v>140</v>
      </c>
      <c r="N1164" s="30">
        <f>IF(A1164="","",MONTH(A1164))</f>
        <v>9</v>
      </c>
      <c r="O1164" s="30">
        <f>IF(A1164="","",YEAR(A1164))</f>
        <v>2026</v>
      </c>
      <c r="P1164" s="30" t="str">
        <f>IF(A1164="","",CHOOSE(WEEKDAY(A1164,2),"Segunda","Terça","Quarta","Quinta","Sexta","Sábado","Domingo"))</f>
        <v>Sexta</v>
      </c>
      <c r="Q1164" s="30" t="str">
        <f>IF(B1164="","",IF(B1164&lt;TIME(12,0,0),"Manhã",IF(B1164&lt;TIME(18,0,0),"Tarde","Noite")))</f>
        <v>Manhã</v>
      </c>
      <c r="R1164" s="46">
        <f>IF(AND(H1164="Realizado",L1164&lt;&gt;"",A1164&lt;=Config!$B$9),L1164/60,0)</f>
        <v>0</v>
      </c>
      <c r="S1164" s="45">
        <f>IF(G1164="","",IFERROR(INDEX(Config!$K$5:$K$16,MATCH(G1164,Config!$J$5:$J$16,0)),""))</f>
        <v>40</v>
      </c>
      <c r="T1164" s="31">
        <f>IF(OR(G1164="",F1164=""),"",IFERROR(INDEX(Config!$M$5:$R$16,MATCH(G1164,Config!$J$5:$J$16,0),MATCH(F1164,Config!$H$5:$H$10,0)),""))</f>
        <v>140</v>
      </c>
      <c r="U1164" s="47">
        <f>IF(AND(H1164="Realizado",L1164&lt;&gt;""),L1164/60,0)</f>
        <v>0</v>
      </c>
      <c r="V1164" s="47">
        <f>IF(AND(H1164="Realizado",OR(L1164="",M1164="")),1,0)</f>
        <v>0</v>
      </c>
    </row>
    <row r="1165">
      <c r="A1165" s="43" t="n">
        <v>46293</v>
      </c>
      <c r="B1165" s="44" t="n">
        <v>0.3333333333333333</v>
      </c>
      <c r="C1165" s="38" t="inlineStr">
        <is>
          <t>Dra. Carolina Mendes</t>
        </is>
      </c>
      <c r="D1165" s="38" t="inlineStr">
        <is>
          <t>Sala 1</t>
        </is>
      </c>
      <c r="E1165" s="37" t="inlineStr">
        <is>
          <t>Cláudia Costa</t>
        </is>
      </c>
      <c r="F1165" s="38" t="inlineStr">
        <is>
          <t>Particular</t>
        </is>
      </c>
      <c r="G1165" s="38" t="inlineStr">
        <is>
          <t>Consulta</t>
        </is>
      </c>
      <c r="H1165" s="38" t="inlineStr">
        <is>
          <t>Agendado</t>
        </is>
      </c>
      <c r="I1165" s="38" t="n"/>
      <c r="J1165" s="38" t="n"/>
      <c r="K1165" s="37" t="n"/>
      <c r="L1165" s="39" t="n">
        <v>30</v>
      </c>
      <c r="M1165" s="40" t="n">
        <v>380</v>
      </c>
      <c r="N1165" s="30">
        <f>IF(A1165="","",MONTH(A1165))</f>
        <v>9</v>
      </c>
      <c r="O1165" s="30">
        <f>IF(A1165="","",YEAR(A1165))</f>
        <v>2026</v>
      </c>
      <c r="P1165" s="30" t="str">
        <f>IF(A1165="","",CHOOSE(WEEKDAY(A1165,2),"Segunda","Terça","Quarta","Quinta","Sexta","Sábado","Domingo"))</f>
        <v>Segunda</v>
      </c>
      <c r="Q1165" s="30" t="str">
        <f>IF(B1165="","",IF(B1165&lt;TIME(12,0,0),"Manhã",IF(B1165&lt;TIME(18,0,0),"Tarde","Noite")))</f>
        <v>Manhã</v>
      </c>
      <c r="R1165" s="46">
        <f>IF(AND(H1165="Realizado",L1165&lt;&gt;"",A1165&lt;=Config!$B$9),L1165/60,0)</f>
        <v>0</v>
      </c>
      <c r="S1165" s="45">
        <f>IF(G1165="","",IFERROR(INDEX(Config!$K$5:$K$16,MATCH(G1165,Config!$J$5:$J$16,0)),""))</f>
        <v>30</v>
      </c>
      <c r="T1165" s="31">
        <f>IF(OR(G1165="",F1165=""),"",IFERROR(INDEX(Config!$M$5:$R$16,MATCH(G1165,Config!$J$5:$J$16,0),MATCH(F1165,Config!$H$5:$H$10,0)),""))</f>
        <v>380</v>
      </c>
      <c r="U1165" s="47">
        <f>IF(AND(H1165="Realizado",L1165&lt;&gt;""),L1165/60,0)</f>
        <v>0</v>
      </c>
      <c r="V1165" s="47">
        <f>IF(AND(H1165="Realizado",OR(L1165="",M1165="")),1,0)</f>
        <v>0</v>
      </c>
    </row>
    <row r="1166">
      <c r="A1166" s="43" t="n">
        <v>46293</v>
      </c>
      <c r="B1166" s="44" t="n">
        <v>0.3541666666666667</v>
      </c>
      <c r="C1166" s="38" t="inlineStr">
        <is>
          <t>Dra. Carolina Mendes</t>
        </is>
      </c>
      <c r="D1166" s="38" t="inlineStr">
        <is>
          <t>Sala 1</t>
        </is>
      </c>
      <c r="E1166" s="37" t="inlineStr">
        <is>
          <t>Roberta Araújo</t>
        </is>
      </c>
      <c r="F1166" s="38" t="inlineStr">
        <is>
          <t>Particular</t>
        </is>
      </c>
      <c r="G1166" s="38" t="inlineStr">
        <is>
          <t>Consulta</t>
        </is>
      </c>
      <c r="H1166" s="38" t="inlineStr">
        <is>
          <t>Agendado</t>
        </is>
      </c>
      <c r="I1166" s="38" t="n"/>
      <c r="J1166" s="38" t="n"/>
      <c r="K1166" s="37" t="n"/>
      <c r="L1166" s="39" t="n">
        <v>30</v>
      </c>
      <c r="M1166" s="40" t="n">
        <v>380</v>
      </c>
      <c r="N1166" s="30">
        <f>IF(A1166="","",MONTH(A1166))</f>
        <v>9</v>
      </c>
      <c r="O1166" s="30">
        <f>IF(A1166="","",YEAR(A1166))</f>
        <v>2026</v>
      </c>
      <c r="P1166" s="30" t="str">
        <f>IF(A1166="","",CHOOSE(WEEKDAY(A1166,2),"Segunda","Terça","Quarta","Quinta","Sexta","Sábado","Domingo"))</f>
        <v>Segunda</v>
      </c>
      <c r="Q1166" s="30" t="str">
        <f>IF(B1166="","",IF(B1166&lt;TIME(12,0,0),"Manhã",IF(B1166&lt;TIME(18,0,0),"Tarde","Noite")))</f>
        <v>Manhã</v>
      </c>
      <c r="R1166" s="46">
        <f>IF(AND(H1166="Realizado",L1166&lt;&gt;"",A1166&lt;=Config!$B$9),L1166/60,0)</f>
        <v>0</v>
      </c>
      <c r="S1166" s="45">
        <f>IF(G1166="","",IFERROR(INDEX(Config!$K$5:$K$16,MATCH(G1166,Config!$J$5:$J$16,0)),""))</f>
        <v>30</v>
      </c>
      <c r="T1166" s="31">
        <f>IF(OR(G1166="",F1166=""),"",IFERROR(INDEX(Config!$M$5:$R$16,MATCH(G1166,Config!$J$5:$J$16,0),MATCH(F1166,Config!$H$5:$H$10,0)),""))</f>
        <v>380</v>
      </c>
      <c r="U1166" s="47">
        <f>IF(AND(H1166="Realizado",L1166&lt;&gt;""),L1166/60,0)</f>
        <v>0</v>
      </c>
      <c r="V1166" s="47">
        <f>IF(AND(H1166="Realizado",OR(L1166="",M1166="")),1,0)</f>
        <v>0</v>
      </c>
    </row>
    <row r="1167">
      <c r="A1167" s="43" t="n">
        <v>46293</v>
      </c>
      <c r="B1167" s="44" t="n">
        <v>0.375</v>
      </c>
      <c r="C1167" s="38" t="inlineStr">
        <is>
          <t>Dra. Carolina Mendes</t>
        </is>
      </c>
      <c r="D1167" s="38" t="inlineStr">
        <is>
          <t>Sala 1</t>
        </is>
      </c>
      <c r="E1167" s="37" t="inlineStr">
        <is>
          <t>Regina Macedo</t>
        </is>
      </c>
      <c r="F1167" s="38" t="inlineStr">
        <is>
          <t>Particular</t>
        </is>
      </c>
      <c r="G1167" s="38" t="inlineStr">
        <is>
          <t>Consulta</t>
        </is>
      </c>
      <c r="H1167" s="38" t="inlineStr">
        <is>
          <t>Agendado</t>
        </is>
      </c>
      <c r="I1167" s="38" t="n"/>
      <c r="J1167" s="38" t="n"/>
      <c r="K1167" s="37" t="n"/>
      <c r="L1167" s="39" t="n">
        <v>30</v>
      </c>
      <c r="M1167" s="40" t="n">
        <v>380</v>
      </c>
      <c r="N1167" s="30">
        <f>IF(A1167="","",MONTH(A1167))</f>
        <v>9</v>
      </c>
      <c r="O1167" s="30">
        <f>IF(A1167="","",YEAR(A1167))</f>
        <v>2026</v>
      </c>
      <c r="P1167" s="30" t="str">
        <f>IF(A1167="","",CHOOSE(WEEKDAY(A1167,2),"Segunda","Terça","Quarta","Quinta","Sexta","Sábado","Domingo"))</f>
        <v>Segunda</v>
      </c>
      <c r="Q1167" s="30" t="str">
        <f>IF(B1167="","",IF(B1167&lt;TIME(12,0,0),"Manhã",IF(B1167&lt;TIME(18,0,0),"Tarde","Noite")))</f>
        <v>Manhã</v>
      </c>
      <c r="R1167" s="46">
        <f>IF(AND(H1167="Realizado",L1167&lt;&gt;"",A1167&lt;=Config!$B$9),L1167/60,0)</f>
        <v>0</v>
      </c>
      <c r="S1167" s="45">
        <f>IF(G1167="","",IFERROR(INDEX(Config!$K$5:$K$16,MATCH(G1167,Config!$J$5:$J$16,0)),""))</f>
        <v>30</v>
      </c>
      <c r="T1167" s="31">
        <f>IF(OR(G1167="",F1167=""),"",IFERROR(INDEX(Config!$M$5:$R$16,MATCH(G1167,Config!$J$5:$J$16,0),MATCH(F1167,Config!$H$5:$H$10,0)),""))</f>
        <v>380</v>
      </c>
      <c r="U1167" s="47">
        <f>IF(AND(H1167="Realizado",L1167&lt;&gt;""),L1167/60,0)</f>
        <v>0</v>
      </c>
      <c r="V1167" s="47">
        <f>IF(AND(H1167="Realizado",OR(L1167="",M1167="")),1,0)</f>
        <v>0</v>
      </c>
    </row>
    <row r="1168">
      <c r="A1168" s="43" t="n">
        <v>46293</v>
      </c>
      <c r="B1168" s="44" t="n">
        <v>0.3958333333333333</v>
      </c>
      <c r="C1168" s="38" t="inlineStr">
        <is>
          <t>Dra. Carolina Mendes</t>
        </is>
      </c>
      <c r="D1168" s="38" t="inlineStr">
        <is>
          <t>Sala 1</t>
        </is>
      </c>
      <c r="E1168" s="37" t="inlineStr">
        <is>
          <t>Rodrigo Gomes</t>
        </is>
      </c>
      <c r="F1168" s="38" t="inlineStr">
        <is>
          <t>Vida Care</t>
        </is>
      </c>
      <c r="G1168" s="38" t="inlineStr">
        <is>
          <t>Consulta</t>
        </is>
      </c>
      <c r="H1168" s="38" t="inlineStr">
        <is>
          <t>Agendado</t>
        </is>
      </c>
      <c r="I1168" s="38" t="n"/>
      <c r="J1168" s="38" t="n"/>
      <c r="K1168" s="37" t="n"/>
      <c r="L1168" s="39" t="n">
        <v>30</v>
      </c>
      <c r="M1168" s="40" t="n">
        <v>90</v>
      </c>
      <c r="N1168" s="30">
        <f>IF(A1168="","",MONTH(A1168))</f>
        <v>9</v>
      </c>
      <c r="O1168" s="30">
        <f>IF(A1168="","",YEAR(A1168))</f>
        <v>2026</v>
      </c>
      <c r="P1168" s="30" t="str">
        <f>IF(A1168="","",CHOOSE(WEEKDAY(A1168,2),"Segunda","Terça","Quarta","Quinta","Sexta","Sábado","Domingo"))</f>
        <v>Segunda</v>
      </c>
      <c r="Q1168" s="30" t="str">
        <f>IF(B1168="","",IF(B1168&lt;TIME(12,0,0),"Manhã",IF(B1168&lt;TIME(18,0,0),"Tarde","Noite")))</f>
        <v>Manhã</v>
      </c>
      <c r="R1168" s="46">
        <f>IF(AND(H1168="Realizado",L1168&lt;&gt;"",A1168&lt;=Config!$B$9),L1168/60,0)</f>
        <v>0</v>
      </c>
      <c r="S1168" s="45">
        <f>IF(G1168="","",IFERROR(INDEX(Config!$K$5:$K$16,MATCH(G1168,Config!$J$5:$J$16,0)),""))</f>
        <v>30</v>
      </c>
      <c r="T1168" s="31">
        <f>IF(OR(G1168="",F1168=""),"",IFERROR(INDEX(Config!$M$5:$R$16,MATCH(G1168,Config!$J$5:$J$16,0),MATCH(F1168,Config!$H$5:$H$10,0)),""))</f>
        <v>90</v>
      </c>
      <c r="U1168" s="47">
        <f>IF(AND(H1168="Realizado",L1168&lt;&gt;""),L1168/60,0)</f>
        <v>0</v>
      </c>
      <c r="V1168" s="47">
        <f>IF(AND(H1168="Realizado",OR(L1168="",M1168="")),1,0)</f>
        <v>0</v>
      </c>
    </row>
    <row r="1169">
      <c r="A1169" s="43" t="n">
        <v>46293</v>
      </c>
      <c r="B1169" s="44" t="n">
        <v>0.4166666666666667</v>
      </c>
      <c r="C1169" s="38" t="inlineStr">
        <is>
          <t>Dra. Carolina Mendes</t>
        </is>
      </c>
      <c r="D1169" s="38" t="inlineStr">
        <is>
          <t>Sala 1</t>
        </is>
      </c>
      <c r="E1169" s="37" t="inlineStr">
        <is>
          <t>Gisele Xavier</t>
        </is>
      </c>
      <c r="F1169" s="38" t="inlineStr">
        <is>
          <t>Particular</t>
        </is>
      </c>
      <c r="G1169" s="38" t="inlineStr">
        <is>
          <t>Consulta</t>
        </is>
      </c>
      <c r="H1169" s="38" t="inlineStr">
        <is>
          <t>Agendado</t>
        </is>
      </c>
      <c r="I1169" s="38" t="n"/>
      <c r="J1169" s="38" t="n"/>
      <c r="K1169" s="37" t="n"/>
      <c r="L1169" s="39" t="n">
        <v>30</v>
      </c>
      <c r="M1169" s="40" t="n">
        <v>380</v>
      </c>
      <c r="N1169" s="30">
        <f>IF(A1169="","",MONTH(A1169))</f>
        <v>9</v>
      </c>
      <c r="O1169" s="30">
        <f>IF(A1169="","",YEAR(A1169))</f>
        <v>2026</v>
      </c>
      <c r="P1169" s="30" t="str">
        <f>IF(A1169="","",CHOOSE(WEEKDAY(A1169,2),"Segunda","Terça","Quarta","Quinta","Sexta","Sábado","Domingo"))</f>
        <v>Segunda</v>
      </c>
      <c r="Q1169" s="30" t="str">
        <f>IF(B1169="","",IF(B1169&lt;TIME(12,0,0),"Manhã",IF(B1169&lt;TIME(18,0,0),"Tarde","Noite")))</f>
        <v>Manhã</v>
      </c>
      <c r="R1169" s="46">
        <f>IF(AND(H1169="Realizado",L1169&lt;&gt;"",A1169&lt;=Config!$B$9),L1169/60,0)</f>
        <v>0</v>
      </c>
      <c r="S1169" s="45">
        <f>IF(G1169="","",IFERROR(INDEX(Config!$K$5:$K$16,MATCH(G1169,Config!$J$5:$J$16,0)),""))</f>
        <v>30</v>
      </c>
      <c r="T1169" s="31">
        <f>IF(OR(G1169="",F1169=""),"",IFERROR(INDEX(Config!$M$5:$R$16,MATCH(G1169,Config!$J$5:$J$16,0),MATCH(F1169,Config!$H$5:$H$10,0)),""))</f>
        <v>380</v>
      </c>
      <c r="U1169" s="47">
        <f>IF(AND(H1169="Realizado",L1169&lt;&gt;""),L1169/60,0)</f>
        <v>0</v>
      </c>
      <c r="V1169" s="47">
        <f>IF(AND(H1169="Realizado",OR(L1169="",M1169="")),1,0)</f>
        <v>0</v>
      </c>
    </row>
    <row r="1170">
      <c r="A1170" s="43" t="n">
        <v>46293</v>
      </c>
      <c r="B1170" s="44" t="n">
        <v>0.4791666666666667</v>
      </c>
      <c r="C1170" s="38" t="inlineStr">
        <is>
          <t>Dra. Carolina Mendes</t>
        </is>
      </c>
      <c r="D1170" s="38" t="inlineStr">
        <is>
          <t>Sala 1</t>
        </is>
      </c>
      <c r="E1170" s="37" t="inlineStr">
        <is>
          <t>Juliana Silva</t>
        </is>
      </c>
      <c r="F1170" s="38" t="inlineStr">
        <is>
          <t>Vida Care</t>
        </is>
      </c>
      <c r="G1170" s="38" t="inlineStr">
        <is>
          <t>Consulta</t>
        </is>
      </c>
      <c r="H1170" s="38" t="inlineStr">
        <is>
          <t>Agendado</t>
        </is>
      </c>
      <c r="I1170" s="38" t="n"/>
      <c r="J1170" s="38" t="n"/>
      <c r="K1170" s="37" t="n"/>
      <c r="L1170" s="39" t="n">
        <v>30</v>
      </c>
      <c r="M1170" s="40" t="n">
        <v>90</v>
      </c>
      <c r="N1170" s="30">
        <f>IF(A1170="","",MONTH(A1170))</f>
        <v>9</v>
      </c>
      <c r="O1170" s="30">
        <f>IF(A1170="","",YEAR(A1170))</f>
        <v>2026</v>
      </c>
      <c r="P1170" s="30" t="str">
        <f>IF(A1170="","",CHOOSE(WEEKDAY(A1170,2),"Segunda","Terça","Quarta","Quinta","Sexta","Sábado","Domingo"))</f>
        <v>Segunda</v>
      </c>
      <c r="Q1170" s="30" t="str">
        <f>IF(B1170="","",IF(B1170&lt;TIME(12,0,0),"Manhã",IF(B1170&lt;TIME(18,0,0),"Tarde","Noite")))</f>
        <v>Manhã</v>
      </c>
      <c r="R1170" s="46">
        <f>IF(AND(H1170="Realizado",L1170&lt;&gt;"",A1170&lt;=Config!$B$9),L1170/60,0)</f>
        <v>0</v>
      </c>
      <c r="S1170" s="45">
        <f>IF(G1170="","",IFERROR(INDEX(Config!$K$5:$K$16,MATCH(G1170,Config!$J$5:$J$16,0)),""))</f>
        <v>30</v>
      </c>
      <c r="T1170" s="31">
        <f>IF(OR(G1170="",F1170=""),"",IFERROR(INDEX(Config!$M$5:$R$16,MATCH(G1170,Config!$J$5:$J$16,0),MATCH(F1170,Config!$H$5:$H$10,0)),""))</f>
        <v>90</v>
      </c>
      <c r="U1170" s="47">
        <f>IF(AND(H1170="Realizado",L1170&lt;&gt;""),L1170/60,0)</f>
        <v>0</v>
      </c>
      <c r="V1170" s="47">
        <f>IF(AND(H1170="Realizado",OR(L1170="",M1170="")),1,0)</f>
        <v>0</v>
      </c>
    </row>
    <row r="1171">
      <c r="A1171" s="43" t="n">
        <v>46293</v>
      </c>
      <c r="B1171" s="44" t="n">
        <v>0.5833333333333334</v>
      </c>
      <c r="C1171" s="38" t="inlineStr">
        <is>
          <t>Dr. Paulo Andrade</t>
        </is>
      </c>
      <c r="D1171" s="38" t="inlineStr">
        <is>
          <t>Sala 2</t>
        </is>
      </c>
      <c r="E1171" s="37" t="inlineStr">
        <is>
          <t>Fábio Martins</t>
        </is>
      </c>
      <c r="F1171" s="38" t="inlineStr">
        <is>
          <t>MediPlan</t>
        </is>
      </c>
      <c r="G1171" s="38" t="inlineStr">
        <is>
          <t>Consulta</t>
        </is>
      </c>
      <c r="H1171" s="38" t="inlineStr">
        <is>
          <t>Agendado</t>
        </is>
      </c>
      <c r="I1171" s="38" t="n"/>
      <c r="J1171" s="38" t="n"/>
      <c r="K1171" s="37" t="n"/>
      <c r="L1171" s="39" t="n">
        <v>30</v>
      </c>
      <c r="M1171" s="40" t="n">
        <v>100</v>
      </c>
      <c r="N1171" s="30">
        <f>IF(A1171="","",MONTH(A1171))</f>
        <v>9</v>
      </c>
      <c r="O1171" s="30">
        <f>IF(A1171="","",YEAR(A1171))</f>
        <v>2026</v>
      </c>
      <c r="P1171" s="30" t="str">
        <f>IF(A1171="","",CHOOSE(WEEKDAY(A1171,2),"Segunda","Terça","Quarta","Quinta","Sexta","Sábado","Domingo"))</f>
        <v>Segunda</v>
      </c>
      <c r="Q1171" s="30" t="str">
        <f>IF(B1171="","",IF(B1171&lt;TIME(12,0,0),"Manhã",IF(B1171&lt;TIME(18,0,0),"Tarde","Noite")))</f>
        <v>Tarde</v>
      </c>
      <c r="R1171" s="46">
        <f>IF(AND(H1171="Realizado",L1171&lt;&gt;"",A1171&lt;=Config!$B$9),L1171/60,0)</f>
        <v>0</v>
      </c>
      <c r="S1171" s="45">
        <f>IF(G1171="","",IFERROR(INDEX(Config!$K$5:$K$16,MATCH(G1171,Config!$J$5:$J$16,0)),""))</f>
        <v>30</v>
      </c>
      <c r="T1171" s="31">
        <f>IF(OR(G1171="",F1171=""),"",IFERROR(INDEX(Config!$M$5:$R$16,MATCH(G1171,Config!$J$5:$J$16,0),MATCH(F1171,Config!$H$5:$H$10,0)),""))</f>
        <v>100</v>
      </c>
      <c r="U1171" s="47">
        <f>IF(AND(H1171="Realizado",L1171&lt;&gt;""),L1171/60,0)</f>
        <v>0</v>
      </c>
      <c r="V1171" s="47">
        <f>IF(AND(H1171="Realizado",OR(L1171="",M1171="")),1,0)</f>
        <v>0</v>
      </c>
    </row>
    <row r="1172">
      <c r="A1172" s="43" t="n">
        <v>46293</v>
      </c>
      <c r="B1172" s="44" t="n">
        <v>0.6041666666666666</v>
      </c>
      <c r="C1172" s="38" t="inlineStr">
        <is>
          <t>Dr. Paulo Andrade</t>
        </is>
      </c>
      <c r="D1172" s="38" t="inlineStr">
        <is>
          <t>Sala 2</t>
        </is>
      </c>
      <c r="E1172" s="37" t="inlineStr">
        <is>
          <t>Wagner Carvalho</t>
        </is>
      </c>
      <c r="F1172" s="38" t="inlineStr">
        <is>
          <t>Vida Care</t>
        </is>
      </c>
      <c r="G1172" s="38" t="inlineStr">
        <is>
          <t>Consulta</t>
        </is>
      </c>
      <c r="H1172" s="38" t="inlineStr">
        <is>
          <t>Agendado</t>
        </is>
      </c>
      <c r="I1172" s="38" t="n"/>
      <c r="J1172" s="38" t="n"/>
      <c r="K1172" s="37" t="n"/>
      <c r="L1172" s="39" t="n">
        <v>30</v>
      </c>
      <c r="M1172" s="40" t="n">
        <v>90</v>
      </c>
      <c r="N1172" s="30">
        <f>IF(A1172="","",MONTH(A1172))</f>
        <v>9</v>
      </c>
      <c r="O1172" s="30">
        <f>IF(A1172="","",YEAR(A1172))</f>
        <v>2026</v>
      </c>
      <c r="P1172" s="30" t="str">
        <f>IF(A1172="","",CHOOSE(WEEKDAY(A1172,2),"Segunda","Terça","Quarta","Quinta","Sexta","Sábado","Domingo"))</f>
        <v>Segunda</v>
      </c>
      <c r="Q1172" s="30" t="str">
        <f>IF(B1172="","",IF(B1172&lt;TIME(12,0,0),"Manhã",IF(B1172&lt;TIME(18,0,0),"Tarde","Noite")))</f>
        <v>Tarde</v>
      </c>
      <c r="R1172" s="46">
        <f>IF(AND(H1172="Realizado",L1172&lt;&gt;"",A1172&lt;=Config!$B$9),L1172/60,0)</f>
        <v>0</v>
      </c>
      <c r="S1172" s="45">
        <f>IF(G1172="","",IFERROR(INDEX(Config!$K$5:$K$16,MATCH(G1172,Config!$J$5:$J$16,0)),""))</f>
        <v>30</v>
      </c>
      <c r="T1172" s="31">
        <f>IF(OR(G1172="",F1172=""),"",IFERROR(INDEX(Config!$M$5:$R$16,MATCH(G1172,Config!$J$5:$J$16,0),MATCH(F1172,Config!$H$5:$H$10,0)),""))</f>
        <v>90</v>
      </c>
      <c r="U1172" s="47">
        <f>IF(AND(H1172="Realizado",L1172&lt;&gt;""),L1172/60,0)</f>
        <v>0</v>
      </c>
      <c r="V1172" s="47">
        <f>IF(AND(H1172="Realizado",OR(L1172="",M1172="")),1,0)</f>
        <v>0</v>
      </c>
    </row>
    <row r="1173">
      <c r="A1173" s="43" t="n">
        <v>46293</v>
      </c>
      <c r="B1173" s="44" t="n">
        <v>0.625</v>
      </c>
      <c r="C1173" s="38" t="inlineStr">
        <is>
          <t>Dr. Paulo Andrade</t>
        </is>
      </c>
      <c r="D1173" s="38" t="inlineStr">
        <is>
          <t>Sala 2</t>
        </is>
      </c>
      <c r="E1173" s="37" t="inlineStr">
        <is>
          <t>Gustavo Ferreira</t>
        </is>
      </c>
      <c r="F1173" s="38" t="inlineStr">
        <is>
          <t>Particular</t>
        </is>
      </c>
      <c r="G1173" s="38" t="inlineStr">
        <is>
          <t>Teste ergométrico</t>
        </is>
      </c>
      <c r="H1173" s="38" t="inlineStr">
        <is>
          <t>Agendado</t>
        </is>
      </c>
      <c r="I1173" s="38" t="n"/>
      <c r="J1173" s="38" t="n"/>
      <c r="K1173" s="37" t="n"/>
      <c r="L1173" s="39" t="n">
        <v>40</v>
      </c>
      <c r="M1173" s="40" t="n">
        <v>450</v>
      </c>
      <c r="N1173" s="30">
        <f>IF(A1173="","",MONTH(A1173))</f>
        <v>9</v>
      </c>
      <c r="O1173" s="30">
        <f>IF(A1173="","",YEAR(A1173))</f>
        <v>2026</v>
      </c>
      <c r="P1173" s="30" t="str">
        <f>IF(A1173="","",CHOOSE(WEEKDAY(A1173,2),"Segunda","Terça","Quarta","Quinta","Sexta","Sábado","Domingo"))</f>
        <v>Segunda</v>
      </c>
      <c r="Q1173" s="30" t="str">
        <f>IF(B1173="","",IF(B1173&lt;TIME(12,0,0),"Manhã",IF(B1173&lt;TIME(18,0,0),"Tarde","Noite")))</f>
        <v>Tarde</v>
      </c>
      <c r="R1173" s="46">
        <f>IF(AND(H1173="Realizado",L1173&lt;&gt;"",A1173&lt;=Config!$B$9),L1173/60,0)</f>
        <v>0</v>
      </c>
      <c r="S1173" s="45">
        <f>IF(G1173="","",IFERROR(INDEX(Config!$K$5:$K$16,MATCH(G1173,Config!$J$5:$J$16,0)),""))</f>
        <v>40</v>
      </c>
      <c r="T1173" s="31">
        <f>IF(OR(G1173="",F1173=""),"",IFERROR(INDEX(Config!$M$5:$R$16,MATCH(G1173,Config!$J$5:$J$16,0),MATCH(F1173,Config!$H$5:$H$10,0)),""))</f>
        <v>450</v>
      </c>
      <c r="U1173" s="47">
        <f>IF(AND(H1173="Realizado",L1173&lt;&gt;""),L1173/60,0)</f>
        <v>0</v>
      </c>
      <c r="V1173" s="47">
        <f>IF(AND(H1173="Realizado",OR(L1173="",M1173="")),1,0)</f>
        <v>0</v>
      </c>
    </row>
    <row r="1174">
      <c r="A1174" s="43" t="n">
        <v>46293</v>
      </c>
      <c r="B1174" s="44" t="n">
        <v>0.6944444444444444</v>
      </c>
      <c r="C1174" s="38" t="inlineStr">
        <is>
          <t>Dr. Paulo Andrade</t>
        </is>
      </c>
      <c r="D1174" s="38" t="inlineStr">
        <is>
          <t>Sala 2</t>
        </is>
      </c>
      <c r="E1174" s="37" t="inlineStr">
        <is>
          <t>Thiago Duarte</t>
        </is>
      </c>
      <c r="F1174" s="38" t="inlineStr">
        <is>
          <t>Saúde Total</t>
        </is>
      </c>
      <c r="G1174" s="38" t="inlineStr">
        <is>
          <t>Consulta</t>
        </is>
      </c>
      <c r="H1174" s="38" t="inlineStr">
        <is>
          <t>Agendado</t>
        </is>
      </c>
      <c r="I1174" s="38" t="n"/>
      <c r="J1174" s="38" t="n"/>
      <c r="K1174" s="37" t="n"/>
      <c r="L1174" s="39" t="n">
        <v>30</v>
      </c>
      <c r="M1174" s="40" t="n">
        <v>120</v>
      </c>
      <c r="N1174" s="30">
        <f>IF(A1174="","",MONTH(A1174))</f>
        <v>9</v>
      </c>
      <c r="O1174" s="30">
        <f>IF(A1174="","",YEAR(A1174))</f>
        <v>2026</v>
      </c>
      <c r="P1174" s="30" t="str">
        <f>IF(A1174="","",CHOOSE(WEEKDAY(A1174,2),"Segunda","Terça","Quarta","Quinta","Sexta","Sábado","Domingo"))</f>
        <v>Segunda</v>
      </c>
      <c r="Q1174" s="30" t="str">
        <f>IF(B1174="","",IF(B1174&lt;TIME(12,0,0),"Manhã",IF(B1174&lt;TIME(18,0,0),"Tarde","Noite")))</f>
        <v>Tarde</v>
      </c>
      <c r="R1174" s="46">
        <f>IF(AND(H1174="Realizado",L1174&lt;&gt;"",A1174&lt;=Config!$B$9),L1174/60,0)</f>
        <v>0</v>
      </c>
      <c r="S1174" s="45">
        <f>IF(G1174="","",IFERROR(INDEX(Config!$K$5:$K$16,MATCH(G1174,Config!$J$5:$J$16,0)),""))</f>
        <v>30</v>
      </c>
      <c r="T1174" s="31">
        <f>IF(OR(G1174="",F1174=""),"",IFERROR(INDEX(Config!$M$5:$R$16,MATCH(G1174,Config!$J$5:$J$16,0),MATCH(F1174,Config!$H$5:$H$10,0)),""))</f>
        <v>120</v>
      </c>
      <c r="U1174" s="47">
        <f>IF(AND(H1174="Realizado",L1174&lt;&gt;""),L1174/60,0)</f>
        <v>0</v>
      </c>
      <c r="V1174" s="47">
        <f>IF(AND(H1174="Realizado",OR(L1174="",M1174="")),1,0)</f>
        <v>0</v>
      </c>
    </row>
    <row r="1175">
      <c r="A1175" s="43" t="n">
        <v>46293</v>
      </c>
      <c r="B1175" s="44" t="n">
        <v>0.7152777777777778</v>
      </c>
      <c r="C1175" s="38" t="inlineStr">
        <is>
          <t>Dr. Paulo Andrade</t>
        </is>
      </c>
      <c r="D1175" s="38" t="inlineStr">
        <is>
          <t>Sala 2</t>
        </is>
      </c>
      <c r="E1175" s="37" t="inlineStr">
        <is>
          <t>Gisele Pinto</t>
        </is>
      </c>
      <c r="F1175" s="38" t="inlineStr">
        <is>
          <t>Saúde Total</t>
        </is>
      </c>
      <c r="G1175" s="38" t="inlineStr">
        <is>
          <t>Consulta</t>
        </is>
      </c>
      <c r="H1175" s="38" t="inlineStr">
        <is>
          <t>Agendado</t>
        </is>
      </c>
      <c r="I1175" s="38" t="n"/>
      <c r="J1175" s="38" t="n"/>
      <c r="K1175" s="37" t="n"/>
      <c r="L1175" s="39" t="n">
        <v>30</v>
      </c>
      <c r="M1175" s="40" t="n">
        <v>120</v>
      </c>
      <c r="N1175" s="30">
        <f>IF(A1175="","",MONTH(A1175))</f>
        <v>9</v>
      </c>
      <c r="O1175" s="30">
        <f>IF(A1175="","",YEAR(A1175))</f>
        <v>2026</v>
      </c>
      <c r="P1175" s="30" t="str">
        <f>IF(A1175="","",CHOOSE(WEEKDAY(A1175,2),"Segunda","Terça","Quarta","Quinta","Sexta","Sábado","Domingo"))</f>
        <v>Segunda</v>
      </c>
      <c r="Q1175" s="30" t="str">
        <f>IF(B1175="","",IF(B1175&lt;TIME(12,0,0),"Manhã",IF(B1175&lt;TIME(18,0,0),"Tarde","Noite")))</f>
        <v>Tarde</v>
      </c>
      <c r="R1175" s="46">
        <f>IF(AND(H1175="Realizado",L1175&lt;&gt;"",A1175&lt;=Config!$B$9),L1175/60,0)</f>
        <v>0</v>
      </c>
      <c r="S1175" s="45">
        <f>IF(G1175="","",IFERROR(INDEX(Config!$K$5:$K$16,MATCH(G1175,Config!$J$5:$J$16,0)),""))</f>
        <v>30</v>
      </c>
      <c r="T1175" s="31">
        <f>IF(OR(G1175="",F1175=""),"",IFERROR(INDEX(Config!$M$5:$R$16,MATCH(G1175,Config!$J$5:$J$16,0),MATCH(F1175,Config!$H$5:$H$10,0)),""))</f>
        <v>120</v>
      </c>
      <c r="U1175" s="47">
        <f>IF(AND(H1175="Realizado",L1175&lt;&gt;""),L1175/60,0)</f>
        <v>0</v>
      </c>
      <c r="V1175" s="47">
        <f>IF(AND(H1175="Realizado",OR(L1175="",M1175="")),1,0)</f>
        <v>0</v>
      </c>
    </row>
    <row r="1176">
      <c r="A1176" s="43" t="n">
        <v>46293</v>
      </c>
      <c r="B1176" s="44" t="n">
        <v>0.7361111111111112</v>
      </c>
      <c r="C1176" s="38" t="inlineStr">
        <is>
          <t>Dr. Paulo Andrade</t>
        </is>
      </c>
      <c r="D1176" s="38" t="inlineStr">
        <is>
          <t>Sala 2</t>
        </is>
      </c>
      <c r="E1176" s="37" t="inlineStr">
        <is>
          <t>Mônica Batista</t>
        </is>
      </c>
      <c r="F1176" s="38" t="inlineStr">
        <is>
          <t>MediPlan</t>
        </is>
      </c>
      <c r="G1176" s="38" t="inlineStr">
        <is>
          <t>MAPA</t>
        </is>
      </c>
      <c r="H1176" s="38" t="inlineStr">
        <is>
          <t>Agendado</t>
        </is>
      </c>
      <c r="I1176" s="38" t="n"/>
      <c r="J1176" s="38" t="n"/>
      <c r="K1176" s="37" t="n"/>
      <c r="L1176" s="39" t="n">
        <v>20</v>
      </c>
      <c r="M1176" s="40" t="n">
        <v>85</v>
      </c>
      <c r="N1176" s="30">
        <f>IF(A1176="","",MONTH(A1176))</f>
        <v>9</v>
      </c>
      <c r="O1176" s="30">
        <f>IF(A1176="","",YEAR(A1176))</f>
        <v>2026</v>
      </c>
      <c r="P1176" s="30" t="str">
        <f>IF(A1176="","",CHOOSE(WEEKDAY(A1176,2),"Segunda","Terça","Quarta","Quinta","Sexta","Sábado","Domingo"))</f>
        <v>Segunda</v>
      </c>
      <c r="Q1176" s="30" t="str">
        <f>IF(B1176="","",IF(B1176&lt;TIME(12,0,0),"Manhã",IF(B1176&lt;TIME(18,0,0),"Tarde","Noite")))</f>
        <v>Tarde</v>
      </c>
      <c r="R1176" s="46">
        <f>IF(AND(H1176="Realizado",L1176&lt;&gt;"",A1176&lt;=Config!$B$9),L1176/60,0)</f>
        <v>0</v>
      </c>
      <c r="S1176" s="45">
        <f>IF(G1176="","",IFERROR(INDEX(Config!$K$5:$K$16,MATCH(G1176,Config!$J$5:$J$16,0)),""))</f>
        <v>20</v>
      </c>
      <c r="T1176" s="31">
        <f>IF(OR(G1176="",F1176=""),"",IFERROR(INDEX(Config!$M$5:$R$16,MATCH(G1176,Config!$J$5:$J$16,0),MATCH(F1176,Config!$H$5:$H$10,0)),""))</f>
        <v>85</v>
      </c>
      <c r="U1176" s="47">
        <f>IF(AND(H1176="Realizado",L1176&lt;&gt;""),L1176/60,0)</f>
        <v>0</v>
      </c>
      <c r="V1176" s="47">
        <f>IF(AND(H1176="Realizado",OR(L1176="",M1176="")),1,0)</f>
        <v>0</v>
      </c>
    </row>
    <row r="1177">
      <c r="A1177" s="43" t="n">
        <v>46294</v>
      </c>
      <c r="B1177" s="44" t="n">
        <v>0.3541666666666667</v>
      </c>
      <c r="C1177" s="38" t="inlineStr">
        <is>
          <t>Dra. Carolina Mendes</t>
        </is>
      </c>
      <c r="D1177" s="38" t="inlineStr">
        <is>
          <t>Sala 1</t>
        </is>
      </c>
      <c r="E1177" s="37" t="inlineStr">
        <is>
          <t>Mônica Batista</t>
        </is>
      </c>
      <c r="F1177" s="38" t="inlineStr">
        <is>
          <t>MediPlan</t>
        </is>
      </c>
      <c r="G1177" s="38" t="inlineStr">
        <is>
          <t>Retorno</t>
        </is>
      </c>
      <c r="H1177" s="38" t="inlineStr">
        <is>
          <t>Agendado</t>
        </is>
      </c>
      <c r="I1177" s="38" t="n"/>
      <c r="J1177" s="38" t="n"/>
      <c r="K1177" s="37" t="n"/>
      <c r="L1177" s="39" t="n">
        <v>20</v>
      </c>
      <c r="M1177" s="40" t="n">
        <v>0</v>
      </c>
      <c r="N1177" s="30">
        <f>IF(A1177="","",MONTH(A1177))</f>
        <v>9</v>
      </c>
      <c r="O1177" s="30">
        <f>IF(A1177="","",YEAR(A1177))</f>
        <v>2026</v>
      </c>
      <c r="P1177" s="30" t="str">
        <f>IF(A1177="","",CHOOSE(WEEKDAY(A1177,2),"Segunda","Terça","Quarta","Quinta","Sexta","Sábado","Domingo"))</f>
        <v>Terça</v>
      </c>
      <c r="Q1177" s="30" t="str">
        <f>IF(B1177="","",IF(B1177&lt;TIME(12,0,0),"Manhã",IF(B1177&lt;TIME(18,0,0),"Tarde","Noite")))</f>
        <v>Manhã</v>
      </c>
      <c r="R1177" s="46">
        <f>IF(AND(H1177="Realizado",L1177&lt;&gt;"",A1177&lt;=Config!$B$9),L1177/60,0)</f>
        <v>0</v>
      </c>
      <c r="S1177" s="45">
        <f>IF(G1177="","",IFERROR(INDEX(Config!$K$5:$K$16,MATCH(G1177,Config!$J$5:$J$16,0)),""))</f>
        <v>20</v>
      </c>
      <c r="T1177" s="31">
        <f>IF(OR(G1177="",F1177=""),"",IFERROR(INDEX(Config!$M$5:$R$16,MATCH(G1177,Config!$J$5:$J$16,0),MATCH(F1177,Config!$H$5:$H$10,0)),""))</f>
        <v>0</v>
      </c>
      <c r="U1177" s="47">
        <f>IF(AND(H1177="Realizado",L1177&lt;&gt;""),L1177/60,0)</f>
        <v>0</v>
      </c>
      <c r="V1177" s="47">
        <f>IF(AND(H1177="Realizado",OR(L1177="",M1177="")),1,0)</f>
        <v>0</v>
      </c>
    </row>
    <row r="1178">
      <c r="A1178" s="43" t="n">
        <v>46294</v>
      </c>
      <c r="B1178" s="44" t="n">
        <v>0.3680555555555556</v>
      </c>
      <c r="C1178" s="38" t="inlineStr">
        <is>
          <t>Dra. Carolina Mendes</t>
        </is>
      </c>
      <c r="D1178" s="38" t="inlineStr">
        <is>
          <t>Sala 1</t>
        </is>
      </c>
      <c r="E1178" s="37" t="inlineStr">
        <is>
          <t>Fábio Machado</t>
        </is>
      </c>
      <c r="F1178" s="38" t="inlineStr">
        <is>
          <t>Particular</t>
        </is>
      </c>
      <c r="G1178" s="38" t="inlineStr">
        <is>
          <t>Consulta</t>
        </is>
      </c>
      <c r="H1178" s="38" t="inlineStr">
        <is>
          <t>Agendado</t>
        </is>
      </c>
      <c r="I1178" s="38" t="n"/>
      <c r="J1178" s="38" t="n"/>
      <c r="K1178" s="37" t="n"/>
      <c r="L1178" s="39" t="n">
        <v>30</v>
      </c>
      <c r="M1178" s="40" t="n">
        <v>380</v>
      </c>
      <c r="N1178" s="30">
        <f>IF(A1178="","",MONTH(A1178))</f>
        <v>9</v>
      </c>
      <c r="O1178" s="30">
        <f>IF(A1178="","",YEAR(A1178))</f>
        <v>2026</v>
      </c>
      <c r="P1178" s="30" t="str">
        <f>IF(A1178="","",CHOOSE(WEEKDAY(A1178,2),"Segunda","Terça","Quarta","Quinta","Sexta","Sábado","Domingo"))</f>
        <v>Terça</v>
      </c>
      <c r="Q1178" s="30" t="str">
        <f>IF(B1178="","",IF(B1178&lt;TIME(12,0,0),"Manhã",IF(B1178&lt;TIME(18,0,0),"Tarde","Noite")))</f>
        <v>Manhã</v>
      </c>
      <c r="R1178" s="46">
        <f>IF(AND(H1178="Realizado",L1178&lt;&gt;"",A1178&lt;=Config!$B$9),L1178/60,0)</f>
        <v>0</v>
      </c>
      <c r="S1178" s="45">
        <f>IF(G1178="","",IFERROR(INDEX(Config!$K$5:$K$16,MATCH(G1178,Config!$J$5:$J$16,0)),""))</f>
        <v>30</v>
      </c>
      <c r="T1178" s="31">
        <f>IF(OR(G1178="",F1178=""),"",IFERROR(INDEX(Config!$M$5:$R$16,MATCH(G1178,Config!$J$5:$J$16,0),MATCH(F1178,Config!$H$5:$H$10,0)),""))</f>
        <v>380</v>
      </c>
      <c r="U1178" s="47">
        <f>IF(AND(H1178="Realizado",L1178&lt;&gt;""),L1178/60,0)</f>
        <v>0</v>
      </c>
      <c r="V1178" s="47">
        <f>IF(AND(H1178="Realizado",OR(L1178="",M1178="")),1,0)</f>
        <v>0</v>
      </c>
    </row>
    <row r="1179">
      <c r="A1179" s="43" t="n">
        <v>46294</v>
      </c>
      <c r="B1179" s="44" t="n">
        <v>0.3888888888888889</v>
      </c>
      <c r="C1179" s="38" t="inlineStr">
        <is>
          <t>Dra. Carolina Mendes</t>
        </is>
      </c>
      <c r="D1179" s="38" t="inlineStr">
        <is>
          <t>Sala 1</t>
        </is>
      </c>
      <c r="E1179" s="37" t="inlineStr">
        <is>
          <t>Mateus Lima</t>
        </is>
      </c>
      <c r="F1179" s="38" t="inlineStr">
        <is>
          <t>MediPlan</t>
        </is>
      </c>
      <c r="G1179" s="38" t="inlineStr">
        <is>
          <t>Consulta</t>
        </is>
      </c>
      <c r="H1179" s="38" t="inlineStr">
        <is>
          <t>Agendado</t>
        </is>
      </c>
      <c r="I1179" s="38" t="n"/>
      <c r="J1179" s="38" t="n"/>
      <c r="K1179" s="37" t="n"/>
      <c r="L1179" s="39" t="n">
        <v>30</v>
      </c>
      <c r="M1179" s="40" t="n">
        <v>100</v>
      </c>
      <c r="N1179" s="30">
        <f>IF(A1179="","",MONTH(A1179))</f>
        <v>9</v>
      </c>
      <c r="O1179" s="30">
        <f>IF(A1179="","",YEAR(A1179))</f>
        <v>2026</v>
      </c>
      <c r="P1179" s="30" t="str">
        <f>IF(A1179="","",CHOOSE(WEEKDAY(A1179,2),"Segunda","Terça","Quarta","Quinta","Sexta","Sábado","Domingo"))</f>
        <v>Terça</v>
      </c>
      <c r="Q1179" s="30" t="str">
        <f>IF(B1179="","",IF(B1179&lt;TIME(12,0,0),"Manhã",IF(B1179&lt;TIME(18,0,0),"Tarde","Noite")))</f>
        <v>Manhã</v>
      </c>
      <c r="R1179" s="46">
        <f>IF(AND(H1179="Realizado",L1179&lt;&gt;"",A1179&lt;=Config!$B$9),L1179/60,0)</f>
        <v>0</v>
      </c>
      <c r="S1179" s="45">
        <f>IF(G1179="","",IFERROR(INDEX(Config!$K$5:$K$16,MATCH(G1179,Config!$J$5:$J$16,0)),""))</f>
        <v>30</v>
      </c>
      <c r="T1179" s="31">
        <f>IF(OR(G1179="",F1179=""),"",IFERROR(INDEX(Config!$M$5:$R$16,MATCH(G1179,Config!$J$5:$J$16,0),MATCH(F1179,Config!$H$5:$H$10,0)),""))</f>
        <v>100</v>
      </c>
      <c r="U1179" s="47">
        <f>IF(AND(H1179="Realizado",L1179&lt;&gt;""),L1179/60,0)</f>
        <v>0</v>
      </c>
      <c r="V1179" s="47">
        <f>IF(AND(H1179="Realizado",OR(L1179="",M1179="")),1,0)</f>
        <v>0</v>
      </c>
    </row>
    <row r="1180">
      <c r="A1180" s="43" t="n">
        <v>46294</v>
      </c>
      <c r="B1180" s="44" t="n">
        <v>0.4097222222222222</v>
      </c>
      <c r="C1180" s="38" t="inlineStr">
        <is>
          <t>Dra. Carolina Mendes</t>
        </is>
      </c>
      <c r="D1180" s="38" t="inlineStr">
        <is>
          <t>Sala 1</t>
        </is>
      </c>
      <c r="E1180" s="37" t="inlineStr">
        <is>
          <t>Simone Monteiro</t>
        </is>
      </c>
      <c r="F1180" s="38" t="inlineStr">
        <is>
          <t>Vida Care</t>
        </is>
      </c>
      <c r="G1180" s="38" t="inlineStr">
        <is>
          <t>Retorno</t>
        </is>
      </c>
      <c r="H1180" s="38" t="inlineStr">
        <is>
          <t>Agendado</t>
        </is>
      </c>
      <c r="I1180" s="38" t="n"/>
      <c r="J1180" s="38" t="n"/>
      <c r="K1180" s="37" t="n"/>
      <c r="L1180" s="39" t="n">
        <v>20</v>
      </c>
      <c r="M1180" s="40" t="n">
        <v>0</v>
      </c>
      <c r="N1180" s="30">
        <f>IF(A1180="","",MONTH(A1180))</f>
        <v>9</v>
      </c>
      <c r="O1180" s="30">
        <f>IF(A1180="","",YEAR(A1180))</f>
        <v>2026</v>
      </c>
      <c r="P1180" s="30" t="str">
        <f>IF(A1180="","",CHOOSE(WEEKDAY(A1180,2),"Segunda","Terça","Quarta","Quinta","Sexta","Sábado","Domingo"))</f>
        <v>Terça</v>
      </c>
      <c r="Q1180" s="30" t="str">
        <f>IF(B1180="","",IF(B1180&lt;TIME(12,0,0),"Manhã",IF(B1180&lt;TIME(18,0,0),"Tarde","Noite")))</f>
        <v>Manhã</v>
      </c>
      <c r="R1180" s="46">
        <f>IF(AND(H1180="Realizado",L1180&lt;&gt;"",A1180&lt;=Config!$B$9),L1180/60,0)</f>
        <v>0</v>
      </c>
      <c r="S1180" s="45">
        <f>IF(G1180="","",IFERROR(INDEX(Config!$K$5:$K$16,MATCH(G1180,Config!$J$5:$J$16,0)),""))</f>
        <v>20</v>
      </c>
      <c r="T1180" s="31">
        <f>IF(OR(G1180="",F1180=""),"",IFERROR(INDEX(Config!$M$5:$R$16,MATCH(G1180,Config!$J$5:$J$16,0),MATCH(F1180,Config!$H$5:$H$10,0)),""))</f>
        <v>0</v>
      </c>
      <c r="U1180" s="47">
        <f>IF(AND(H1180="Realizado",L1180&lt;&gt;""),L1180/60,0)</f>
        <v>0</v>
      </c>
      <c r="V1180" s="47">
        <f>IF(AND(H1180="Realizado",OR(L1180="",M1180="")),1,0)</f>
        <v>0</v>
      </c>
    </row>
    <row r="1181">
      <c r="A1181" s="43" t="n">
        <v>46294</v>
      </c>
      <c r="B1181" s="44" t="n">
        <v>0.4236111111111111</v>
      </c>
      <c r="C1181" s="38" t="inlineStr">
        <is>
          <t>Dra. Carolina Mendes</t>
        </is>
      </c>
      <c r="D1181" s="38" t="inlineStr">
        <is>
          <t>Sala 1</t>
        </is>
      </c>
      <c r="E1181" s="37" t="inlineStr">
        <is>
          <t>Ana Costa</t>
        </is>
      </c>
      <c r="F1181" s="38" t="inlineStr">
        <is>
          <t>Particular</t>
        </is>
      </c>
      <c r="G1181" s="38" t="inlineStr">
        <is>
          <t>Retorno</t>
        </is>
      </c>
      <c r="H1181" s="38" t="inlineStr">
        <is>
          <t>Agendado</t>
        </is>
      </c>
      <c r="I1181" s="38" t="n"/>
      <c r="J1181" s="38" t="n"/>
      <c r="K1181" s="37" t="n"/>
      <c r="L1181" s="39" t="n">
        <v>20</v>
      </c>
      <c r="M1181" s="40" t="n">
        <v>0</v>
      </c>
      <c r="N1181" s="30">
        <f>IF(A1181="","",MONTH(A1181))</f>
        <v>9</v>
      </c>
      <c r="O1181" s="30">
        <f>IF(A1181="","",YEAR(A1181))</f>
        <v>2026</v>
      </c>
      <c r="P1181" s="30" t="str">
        <f>IF(A1181="","",CHOOSE(WEEKDAY(A1181,2),"Segunda","Terça","Quarta","Quinta","Sexta","Sábado","Domingo"))</f>
        <v>Terça</v>
      </c>
      <c r="Q1181" s="30" t="str">
        <f>IF(B1181="","",IF(B1181&lt;TIME(12,0,0),"Manhã",IF(B1181&lt;TIME(18,0,0),"Tarde","Noite")))</f>
        <v>Manhã</v>
      </c>
      <c r="R1181" s="46">
        <f>IF(AND(H1181="Realizado",L1181&lt;&gt;"",A1181&lt;=Config!$B$9),L1181/60,0)</f>
        <v>0</v>
      </c>
      <c r="S1181" s="45">
        <f>IF(G1181="","",IFERROR(INDEX(Config!$K$5:$K$16,MATCH(G1181,Config!$J$5:$J$16,0)),""))</f>
        <v>20</v>
      </c>
      <c r="T1181" s="31">
        <f>IF(OR(G1181="",F1181=""),"",IFERROR(INDEX(Config!$M$5:$R$16,MATCH(G1181,Config!$J$5:$J$16,0),MATCH(F1181,Config!$H$5:$H$10,0)),""))</f>
        <v>0</v>
      </c>
      <c r="U1181" s="47">
        <f>IF(AND(H1181="Realizado",L1181&lt;&gt;""),L1181/60,0)</f>
        <v>0</v>
      </c>
      <c r="V1181" s="47">
        <f>IF(AND(H1181="Realizado",OR(L1181="",M1181="")),1,0)</f>
        <v>0</v>
      </c>
    </row>
    <row r="1182">
      <c r="A1182" s="43" t="n">
        <v>46294</v>
      </c>
      <c r="B1182" s="44" t="n">
        <v>0.4375</v>
      </c>
      <c r="C1182" s="38" t="inlineStr">
        <is>
          <t>Dra. Carolina Mendes</t>
        </is>
      </c>
      <c r="D1182" s="38" t="inlineStr">
        <is>
          <t>Sala 1</t>
        </is>
      </c>
      <c r="E1182" s="37" t="inlineStr">
        <is>
          <t>Renato Dias</t>
        </is>
      </c>
      <c r="F1182" s="38" t="inlineStr">
        <is>
          <t>Particular</t>
        </is>
      </c>
      <c r="G1182" s="38" t="inlineStr">
        <is>
          <t>Consulta</t>
        </is>
      </c>
      <c r="H1182" s="38" t="inlineStr">
        <is>
          <t>Agendado</t>
        </is>
      </c>
      <c r="I1182" s="38" t="n"/>
      <c r="J1182" s="38" t="n"/>
      <c r="K1182" s="37" t="n"/>
      <c r="L1182" s="39" t="n">
        <v>30</v>
      </c>
      <c r="M1182" s="40" t="n">
        <v>380</v>
      </c>
      <c r="N1182" s="30">
        <f>IF(A1182="","",MONTH(A1182))</f>
        <v>9</v>
      </c>
      <c r="O1182" s="30">
        <f>IF(A1182="","",YEAR(A1182))</f>
        <v>2026</v>
      </c>
      <c r="P1182" s="30" t="str">
        <f>IF(A1182="","",CHOOSE(WEEKDAY(A1182,2),"Segunda","Terça","Quarta","Quinta","Sexta","Sábado","Domingo"))</f>
        <v>Terça</v>
      </c>
      <c r="Q1182" s="30" t="str">
        <f>IF(B1182="","",IF(B1182&lt;TIME(12,0,0),"Manhã",IF(B1182&lt;TIME(18,0,0),"Tarde","Noite")))</f>
        <v>Manhã</v>
      </c>
      <c r="R1182" s="46">
        <f>IF(AND(H1182="Realizado",L1182&lt;&gt;"",A1182&lt;=Config!$B$9),L1182/60,0)</f>
        <v>0</v>
      </c>
      <c r="S1182" s="45">
        <f>IF(G1182="","",IFERROR(INDEX(Config!$K$5:$K$16,MATCH(G1182,Config!$J$5:$J$16,0)),""))</f>
        <v>30</v>
      </c>
      <c r="T1182" s="31">
        <f>IF(OR(G1182="",F1182=""),"",IFERROR(INDEX(Config!$M$5:$R$16,MATCH(G1182,Config!$J$5:$J$16,0),MATCH(F1182,Config!$H$5:$H$10,0)),""))</f>
        <v>380</v>
      </c>
      <c r="U1182" s="47">
        <f>IF(AND(H1182="Realizado",L1182&lt;&gt;""),L1182/60,0)</f>
        <v>0</v>
      </c>
      <c r="V1182" s="47">
        <f>IF(AND(H1182="Realizado",OR(L1182="",M1182="")),1,0)</f>
        <v>0</v>
      </c>
    </row>
    <row r="1183">
      <c r="A1183" s="43" t="n">
        <v>46294</v>
      </c>
      <c r="B1183" s="44" t="n">
        <v>0.4583333333333333</v>
      </c>
      <c r="C1183" s="38" t="inlineStr">
        <is>
          <t>Dra. Carolina Mendes</t>
        </is>
      </c>
      <c r="D1183" s="38" t="inlineStr">
        <is>
          <t>Sala 1</t>
        </is>
      </c>
      <c r="E1183" s="37" t="inlineStr">
        <is>
          <t>Otávio Cardoso</t>
        </is>
      </c>
      <c r="F1183" s="38" t="inlineStr">
        <is>
          <t>Particular</t>
        </is>
      </c>
      <c r="G1183" s="38" t="inlineStr">
        <is>
          <t>Consulta</t>
        </is>
      </c>
      <c r="H1183" s="38" t="inlineStr">
        <is>
          <t>Agendado</t>
        </is>
      </c>
      <c r="I1183" s="38" t="n"/>
      <c r="J1183" s="38" t="n"/>
      <c r="K1183" s="37" t="n"/>
      <c r="L1183" s="39" t="n">
        <v>30</v>
      </c>
      <c r="M1183" s="40" t="n">
        <v>380</v>
      </c>
      <c r="N1183" s="30">
        <f>IF(A1183="","",MONTH(A1183))</f>
        <v>9</v>
      </c>
      <c r="O1183" s="30">
        <f>IF(A1183="","",YEAR(A1183))</f>
        <v>2026</v>
      </c>
      <c r="P1183" s="30" t="str">
        <f>IF(A1183="","",CHOOSE(WEEKDAY(A1183,2),"Segunda","Terça","Quarta","Quinta","Sexta","Sábado","Domingo"))</f>
        <v>Terça</v>
      </c>
      <c r="Q1183" s="30" t="str">
        <f>IF(B1183="","",IF(B1183&lt;TIME(12,0,0),"Manhã",IF(B1183&lt;TIME(18,0,0),"Tarde","Noite")))</f>
        <v>Manhã</v>
      </c>
      <c r="R1183" s="46">
        <f>IF(AND(H1183="Realizado",L1183&lt;&gt;"",A1183&lt;=Config!$B$9),L1183/60,0)</f>
        <v>0</v>
      </c>
      <c r="S1183" s="45">
        <f>IF(G1183="","",IFERROR(INDEX(Config!$K$5:$K$16,MATCH(G1183,Config!$J$5:$J$16,0)),""))</f>
        <v>30</v>
      </c>
      <c r="T1183" s="31">
        <f>IF(OR(G1183="",F1183=""),"",IFERROR(INDEX(Config!$M$5:$R$16,MATCH(G1183,Config!$J$5:$J$16,0),MATCH(F1183,Config!$H$5:$H$10,0)),""))</f>
        <v>380</v>
      </c>
      <c r="U1183" s="47">
        <f>IF(AND(H1183="Realizado",L1183&lt;&gt;""),L1183/60,0)</f>
        <v>0</v>
      </c>
      <c r="V1183" s="47">
        <f>IF(AND(H1183="Realizado",OR(L1183="",M1183="")),1,0)</f>
        <v>0</v>
      </c>
    </row>
    <row r="1184">
      <c r="A1184" s="43" t="n">
        <v>46294</v>
      </c>
      <c r="B1184" s="44" t="n">
        <v>0.4791666666666667</v>
      </c>
      <c r="C1184" s="38" t="inlineStr">
        <is>
          <t>Dra. Carolina Mendes</t>
        </is>
      </c>
      <c r="D1184" s="38" t="inlineStr">
        <is>
          <t>Sala 1</t>
        </is>
      </c>
      <c r="E1184" s="37" t="inlineStr">
        <is>
          <t>Mateus Lima</t>
        </is>
      </c>
      <c r="F1184" s="38" t="inlineStr">
        <is>
          <t>MediPlan</t>
        </is>
      </c>
      <c r="G1184" s="38" t="inlineStr">
        <is>
          <t>Retorno</t>
        </is>
      </c>
      <c r="H1184" s="38" t="inlineStr">
        <is>
          <t>Agendado</t>
        </is>
      </c>
      <c r="I1184" s="38" t="n"/>
      <c r="J1184" s="38" t="n"/>
      <c r="K1184" s="37" t="n"/>
      <c r="L1184" s="39" t="n">
        <v>20</v>
      </c>
      <c r="M1184" s="40" t="n">
        <v>0</v>
      </c>
      <c r="N1184" s="30">
        <f>IF(A1184="","",MONTH(A1184))</f>
        <v>9</v>
      </c>
      <c r="O1184" s="30">
        <f>IF(A1184="","",YEAR(A1184))</f>
        <v>2026</v>
      </c>
      <c r="P1184" s="30" t="str">
        <f>IF(A1184="","",CHOOSE(WEEKDAY(A1184,2),"Segunda","Terça","Quarta","Quinta","Sexta","Sábado","Domingo"))</f>
        <v>Terça</v>
      </c>
      <c r="Q1184" s="30" t="str">
        <f>IF(B1184="","",IF(B1184&lt;TIME(12,0,0),"Manhã",IF(B1184&lt;TIME(18,0,0),"Tarde","Noite")))</f>
        <v>Manhã</v>
      </c>
      <c r="R1184" s="46">
        <f>IF(AND(H1184="Realizado",L1184&lt;&gt;"",A1184&lt;=Config!$B$9),L1184/60,0)</f>
        <v>0</v>
      </c>
      <c r="S1184" s="45">
        <f>IF(G1184="","",IFERROR(INDEX(Config!$K$5:$K$16,MATCH(G1184,Config!$J$5:$J$16,0)),""))</f>
        <v>20</v>
      </c>
      <c r="T1184" s="31">
        <f>IF(OR(G1184="",F1184=""),"",IFERROR(INDEX(Config!$M$5:$R$16,MATCH(G1184,Config!$J$5:$J$16,0),MATCH(F1184,Config!$H$5:$H$10,0)),""))</f>
        <v>0</v>
      </c>
      <c r="U1184" s="47">
        <f>IF(AND(H1184="Realizado",L1184&lt;&gt;""),L1184/60,0)</f>
        <v>0</v>
      </c>
      <c r="V1184" s="47">
        <f>IF(AND(H1184="Realizado",OR(L1184="",M1184="")),1,0)</f>
        <v>0</v>
      </c>
    </row>
    <row r="1185">
      <c r="A1185" s="43" t="n">
        <v>46294</v>
      </c>
      <c r="B1185" s="44" t="n">
        <v>0.6041666666666666</v>
      </c>
      <c r="C1185" s="38" t="inlineStr">
        <is>
          <t>Dr. Paulo Andrade</t>
        </is>
      </c>
      <c r="D1185" s="38" t="inlineStr">
        <is>
          <t>Sala 2</t>
        </is>
      </c>
      <c r="E1185" s="37" t="inlineStr">
        <is>
          <t>Gabriel Vieira</t>
        </is>
      </c>
      <c r="F1185" s="38" t="inlineStr">
        <is>
          <t>Vida Care</t>
        </is>
      </c>
      <c r="G1185" s="38" t="inlineStr">
        <is>
          <t>Consulta</t>
        </is>
      </c>
      <c r="H1185" s="38" t="inlineStr">
        <is>
          <t>Agendado</t>
        </is>
      </c>
      <c r="I1185" s="38" t="n"/>
      <c r="J1185" s="38" t="n"/>
      <c r="K1185" s="37" t="n"/>
      <c r="L1185" s="39" t="n">
        <v>30</v>
      </c>
      <c r="M1185" s="40" t="n">
        <v>90</v>
      </c>
      <c r="N1185" s="30">
        <f>IF(A1185="","",MONTH(A1185))</f>
        <v>9</v>
      </c>
      <c r="O1185" s="30">
        <f>IF(A1185="","",YEAR(A1185))</f>
        <v>2026</v>
      </c>
      <c r="P1185" s="30" t="str">
        <f>IF(A1185="","",CHOOSE(WEEKDAY(A1185,2),"Segunda","Terça","Quarta","Quinta","Sexta","Sábado","Domingo"))</f>
        <v>Terça</v>
      </c>
      <c r="Q1185" s="30" t="str">
        <f>IF(B1185="","",IF(B1185&lt;TIME(12,0,0),"Manhã",IF(B1185&lt;TIME(18,0,0),"Tarde","Noite")))</f>
        <v>Tarde</v>
      </c>
      <c r="R1185" s="46">
        <f>IF(AND(H1185="Realizado",L1185&lt;&gt;"",A1185&lt;=Config!$B$9),L1185/60,0)</f>
        <v>0</v>
      </c>
      <c r="S1185" s="45">
        <f>IF(G1185="","",IFERROR(INDEX(Config!$K$5:$K$16,MATCH(G1185,Config!$J$5:$J$16,0)),""))</f>
        <v>30</v>
      </c>
      <c r="T1185" s="31">
        <f>IF(OR(G1185="",F1185=""),"",IFERROR(INDEX(Config!$M$5:$R$16,MATCH(G1185,Config!$J$5:$J$16,0),MATCH(F1185,Config!$H$5:$H$10,0)),""))</f>
        <v>90</v>
      </c>
      <c r="U1185" s="47">
        <f>IF(AND(H1185="Realizado",L1185&lt;&gt;""),L1185/60,0)</f>
        <v>0</v>
      </c>
      <c r="V1185" s="47">
        <f>IF(AND(H1185="Realizado",OR(L1185="",M1185="")),1,0)</f>
        <v>0</v>
      </c>
    </row>
    <row r="1186">
      <c r="A1186" s="43" t="n">
        <v>46294</v>
      </c>
      <c r="B1186" s="44" t="n">
        <v>0.6458333333333334</v>
      </c>
      <c r="C1186" s="38" t="inlineStr">
        <is>
          <t>Dr. Paulo Andrade</t>
        </is>
      </c>
      <c r="D1186" s="38" t="inlineStr">
        <is>
          <t>Sala 2</t>
        </is>
      </c>
      <c r="E1186" s="37" t="inlineStr">
        <is>
          <t>Gisele Pinto</t>
        </is>
      </c>
      <c r="F1186" s="38" t="inlineStr">
        <is>
          <t>Saúde Total</t>
        </is>
      </c>
      <c r="G1186" s="38" t="inlineStr">
        <is>
          <t>Retorno</t>
        </is>
      </c>
      <c r="H1186" s="38" t="inlineStr">
        <is>
          <t>Agendado</t>
        </is>
      </c>
      <c r="I1186" s="38" t="n"/>
      <c r="J1186" s="38" t="n"/>
      <c r="K1186" s="37" t="n"/>
      <c r="L1186" s="39" t="n">
        <v>20</v>
      </c>
      <c r="M1186" s="40" t="n">
        <v>0</v>
      </c>
      <c r="N1186" s="30">
        <f>IF(A1186="","",MONTH(A1186))</f>
        <v>9</v>
      </c>
      <c r="O1186" s="30">
        <f>IF(A1186="","",YEAR(A1186))</f>
        <v>2026</v>
      </c>
      <c r="P1186" s="30" t="str">
        <f>IF(A1186="","",CHOOSE(WEEKDAY(A1186,2),"Segunda","Terça","Quarta","Quinta","Sexta","Sábado","Domingo"))</f>
        <v>Terça</v>
      </c>
      <c r="Q1186" s="30" t="str">
        <f>IF(B1186="","",IF(B1186&lt;TIME(12,0,0),"Manhã",IF(B1186&lt;TIME(18,0,0),"Tarde","Noite")))</f>
        <v>Tarde</v>
      </c>
      <c r="R1186" s="46">
        <f>IF(AND(H1186="Realizado",L1186&lt;&gt;"",A1186&lt;=Config!$B$9),L1186/60,0)</f>
        <v>0</v>
      </c>
      <c r="S1186" s="45">
        <f>IF(G1186="","",IFERROR(INDEX(Config!$K$5:$K$16,MATCH(G1186,Config!$J$5:$J$16,0)),""))</f>
        <v>20</v>
      </c>
      <c r="T1186" s="31">
        <f>IF(OR(G1186="",F1186=""),"",IFERROR(INDEX(Config!$M$5:$R$16,MATCH(G1186,Config!$J$5:$J$16,0),MATCH(F1186,Config!$H$5:$H$10,0)),""))</f>
        <v>0</v>
      </c>
      <c r="U1186" s="47">
        <f>IF(AND(H1186="Realizado",L1186&lt;&gt;""),L1186/60,0)</f>
        <v>0</v>
      </c>
      <c r="V1186" s="47">
        <f>IF(AND(H1186="Realizado",OR(L1186="",M1186="")),1,0)</f>
        <v>0</v>
      </c>
    </row>
    <row r="1187">
      <c r="A1187" s="43" t="n">
        <v>46294</v>
      </c>
      <c r="B1187" s="44" t="n">
        <v>0.6597222222222222</v>
      </c>
      <c r="C1187" s="38" t="inlineStr">
        <is>
          <t>Dr. Paulo Andrade</t>
        </is>
      </c>
      <c r="D1187" s="38" t="inlineStr">
        <is>
          <t>Sala 2</t>
        </is>
      </c>
      <c r="E1187" s="37" t="inlineStr">
        <is>
          <t>Helena Ribeiro</t>
        </is>
      </c>
      <c r="F1187" s="38" t="inlineStr">
        <is>
          <t>MediPlan</t>
        </is>
      </c>
      <c r="G1187" s="38" t="inlineStr">
        <is>
          <t>Consulta</t>
        </is>
      </c>
      <c r="H1187" s="38" t="inlineStr">
        <is>
          <t>Agendado</t>
        </is>
      </c>
      <c r="I1187" s="38" t="n"/>
      <c r="J1187" s="38" t="n"/>
      <c r="K1187" s="37" t="n"/>
      <c r="L1187" s="39" t="n">
        <v>30</v>
      </c>
      <c r="M1187" s="40" t="n">
        <v>100</v>
      </c>
      <c r="N1187" s="30">
        <f>IF(A1187="","",MONTH(A1187))</f>
        <v>9</v>
      </c>
      <c r="O1187" s="30">
        <f>IF(A1187="","",YEAR(A1187))</f>
        <v>2026</v>
      </c>
      <c r="P1187" s="30" t="str">
        <f>IF(A1187="","",CHOOSE(WEEKDAY(A1187,2),"Segunda","Terça","Quarta","Quinta","Sexta","Sábado","Domingo"))</f>
        <v>Terça</v>
      </c>
      <c r="Q1187" s="30" t="str">
        <f>IF(B1187="","",IF(B1187&lt;TIME(12,0,0),"Manhã",IF(B1187&lt;TIME(18,0,0),"Tarde","Noite")))</f>
        <v>Tarde</v>
      </c>
      <c r="R1187" s="46">
        <f>IF(AND(H1187="Realizado",L1187&lt;&gt;"",A1187&lt;=Config!$B$9),L1187/60,0)</f>
        <v>0</v>
      </c>
      <c r="S1187" s="45">
        <f>IF(G1187="","",IFERROR(INDEX(Config!$K$5:$K$16,MATCH(G1187,Config!$J$5:$J$16,0)),""))</f>
        <v>30</v>
      </c>
      <c r="T1187" s="31">
        <f>IF(OR(G1187="",F1187=""),"",IFERROR(INDEX(Config!$M$5:$R$16,MATCH(G1187,Config!$J$5:$J$16,0),MATCH(F1187,Config!$H$5:$H$10,0)),""))</f>
        <v>100</v>
      </c>
      <c r="U1187" s="47">
        <f>IF(AND(H1187="Realizado",L1187&lt;&gt;""),L1187/60,0)</f>
        <v>0</v>
      </c>
      <c r="V1187" s="47">
        <f>IF(AND(H1187="Realizado",OR(L1187="",M1187="")),1,0)</f>
        <v>0</v>
      </c>
    </row>
    <row r="1188">
      <c r="A1188" s="43" t="n">
        <v>46294</v>
      </c>
      <c r="B1188" s="44" t="n">
        <v>0.6805555555555556</v>
      </c>
      <c r="C1188" s="38" t="inlineStr">
        <is>
          <t>Dr. Paulo Andrade</t>
        </is>
      </c>
      <c r="D1188" s="38" t="inlineStr">
        <is>
          <t>Sala 2</t>
        </is>
      </c>
      <c r="E1188" s="37" t="inlineStr">
        <is>
          <t>Gisele Lima</t>
        </is>
      </c>
      <c r="F1188" s="38" t="inlineStr">
        <is>
          <t>Saúde Total</t>
        </is>
      </c>
      <c r="G1188" s="38" t="inlineStr">
        <is>
          <t>Consulta</t>
        </is>
      </c>
      <c r="H1188" s="38" t="inlineStr">
        <is>
          <t>Agendado</t>
        </is>
      </c>
      <c r="I1188" s="38" t="n"/>
      <c r="J1188" s="38" t="n"/>
      <c r="K1188" s="37" t="n"/>
      <c r="L1188" s="39" t="n">
        <v>30</v>
      </c>
      <c r="M1188" s="40" t="n">
        <v>120</v>
      </c>
      <c r="N1188" s="30">
        <f>IF(A1188="","",MONTH(A1188))</f>
        <v>9</v>
      </c>
      <c r="O1188" s="30">
        <f>IF(A1188="","",YEAR(A1188))</f>
        <v>2026</v>
      </c>
      <c r="P1188" s="30" t="str">
        <f>IF(A1188="","",CHOOSE(WEEKDAY(A1188,2),"Segunda","Terça","Quarta","Quinta","Sexta","Sábado","Domingo"))</f>
        <v>Terça</v>
      </c>
      <c r="Q1188" s="30" t="str">
        <f>IF(B1188="","",IF(B1188&lt;TIME(12,0,0),"Manhã",IF(B1188&lt;TIME(18,0,0),"Tarde","Noite")))</f>
        <v>Tarde</v>
      </c>
      <c r="R1188" s="46">
        <f>IF(AND(H1188="Realizado",L1188&lt;&gt;"",A1188&lt;=Config!$B$9),L1188/60,0)</f>
        <v>0</v>
      </c>
      <c r="S1188" s="45">
        <f>IF(G1188="","",IFERROR(INDEX(Config!$K$5:$K$16,MATCH(G1188,Config!$J$5:$J$16,0)),""))</f>
        <v>30</v>
      </c>
      <c r="T1188" s="31">
        <f>IF(OR(G1188="",F1188=""),"",IFERROR(INDEX(Config!$M$5:$R$16,MATCH(G1188,Config!$J$5:$J$16,0),MATCH(F1188,Config!$H$5:$H$10,0)),""))</f>
        <v>120</v>
      </c>
      <c r="U1188" s="47">
        <f>IF(AND(H1188="Realizado",L1188&lt;&gt;""),L1188/60,0)</f>
        <v>0</v>
      </c>
      <c r="V1188" s="47">
        <f>IF(AND(H1188="Realizado",OR(L1188="",M1188="")),1,0)</f>
        <v>0</v>
      </c>
    </row>
    <row r="1189">
      <c r="A1189" s="43" t="n">
        <v>46294</v>
      </c>
      <c r="B1189" s="44" t="n">
        <v>0.6875</v>
      </c>
      <c r="C1189" s="38" t="inlineStr">
        <is>
          <t>Dra. Renata Sousa</t>
        </is>
      </c>
      <c r="D1189" s="38" t="inlineStr">
        <is>
          <t>Sala 1</t>
        </is>
      </c>
      <c r="E1189" s="37" t="inlineStr">
        <is>
          <t>Daniel Moreira</t>
        </is>
      </c>
      <c r="F1189" s="38" t="inlineStr">
        <is>
          <t>Saúde Total</t>
        </is>
      </c>
      <c r="G1189" s="38" t="inlineStr">
        <is>
          <t>Avaliação endócrina</t>
        </is>
      </c>
      <c r="H1189" s="38" t="inlineStr">
        <is>
          <t>Agendado</t>
        </is>
      </c>
      <c r="I1189" s="38" t="n"/>
      <c r="J1189" s="38" t="n"/>
      <c r="K1189" s="37" t="n"/>
      <c r="L1189" s="39" t="n">
        <v>40</v>
      </c>
      <c r="M1189" s="40" t="n">
        <v>130</v>
      </c>
      <c r="N1189" s="30">
        <f>IF(A1189="","",MONTH(A1189))</f>
        <v>9</v>
      </c>
      <c r="O1189" s="30">
        <f>IF(A1189="","",YEAR(A1189))</f>
        <v>2026</v>
      </c>
      <c r="P1189" s="30" t="str">
        <f>IF(A1189="","",CHOOSE(WEEKDAY(A1189,2),"Segunda","Terça","Quarta","Quinta","Sexta","Sábado","Domingo"))</f>
        <v>Terça</v>
      </c>
      <c r="Q1189" s="30" t="str">
        <f>IF(B1189="","",IF(B1189&lt;TIME(12,0,0),"Manhã",IF(B1189&lt;TIME(18,0,0),"Tarde","Noite")))</f>
        <v>Tarde</v>
      </c>
      <c r="R1189" s="46">
        <f>IF(AND(H1189="Realizado",L1189&lt;&gt;"",A1189&lt;=Config!$B$9),L1189/60,0)</f>
        <v>0</v>
      </c>
      <c r="S1189" s="45">
        <f>IF(G1189="","",IFERROR(INDEX(Config!$K$5:$K$16,MATCH(G1189,Config!$J$5:$J$16,0)),""))</f>
        <v>40</v>
      </c>
      <c r="T1189" s="31">
        <f>IF(OR(G1189="",F1189=""),"",IFERROR(INDEX(Config!$M$5:$R$16,MATCH(G1189,Config!$J$5:$J$16,0),MATCH(F1189,Config!$H$5:$H$10,0)),""))</f>
        <v>130</v>
      </c>
      <c r="U1189" s="47">
        <f>IF(AND(H1189="Realizado",L1189&lt;&gt;""),L1189/60,0)</f>
        <v>0</v>
      </c>
      <c r="V1189" s="47">
        <f>IF(AND(H1189="Realizado",OR(L1189="",M1189="")),1,0)</f>
        <v>0</v>
      </c>
    </row>
    <row r="1190">
      <c r="A1190" s="43" t="n">
        <v>46294</v>
      </c>
      <c r="B1190" s="44" t="n">
        <v>0.7013888888888888</v>
      </c>
      <c r="C1190" s="38" t="inlineStr">
        <is>
          <t>Dr. Paulo Andrade</t>
        </is>
      </c>
      <c r="D1190" s="38" t="inlineStr">
        <is>
          <t>Sala 2</t>
        </is>
      </c>
      <c r="E1190" s="37" t="inlineStr">
        <is>
          <t>Priscila Rocha</t>
        </is>
      </c>
      <c r="F1190" s="38" t="inlineStr">
        <is>
          <t>MediPlan</t>
        </is>
      </c>
      <c r="G1190" s="38" t="inlineStr">
        <is>
          <t>Consulta</t>
        </is>
      </c>
      <c r="H1190" s="38" t="inlineStr">
        <is>
          <t>Agendado</t>
        </is>
      </c>
      <c r="I1190" s="38" t="n"/>
      <c r="J1190" s="38" t="n"/>
      <c r="K1190" s="37" t="n"/>
      <c r="L1190" s="39" t="n">
        <v>30</v>
      </c>
      <c r="M1190" s="40" t="n">
        <v>100</v>
      </c>
      <c r="N1190" s="30">
        <f>IF(A1190="","",MONTH(A1190))</f>
        <v>9</v>
      </c>
      <c r="O1190" s="30">
        <f>IF(A1190="","",YEAR(A1190))</f>
        <v>2026</v>
      </c>
      <c r="P1190" s="30" t="str">
        <f>IF(A1190="","",CHOOSE(WEEKDAY(A1190,2),"Segunda","Terça","Quarta","Quinta","Sexta","Sábado","Domingo"))</f>
        <v>Terça</v>
      </c>
      <c r="Q1190" s="30" t="str">
        <f>IF(B1190="","",IF(B1190&lt;TIME(12,0,0),"Manhã",IF(B1190&lt;TIME(18,0,0),"Tarde","Noite")))</f>
        <v>Tarde</v>
      </c>
      <c r="R1190" s="46">
        <f>IF(AND(H1190="Realizado",L1190&lt;&gt;"",A1190&lt;=Config!$B$9),L1190/60,0)</f>
        <v>0</v>
      </c>
      <c r="S1190" s="45">
        <f>IF(G1190="","",IFERROR(INDEX(Config!$K$5:$K$16,MATCH(G1190,Config!$J$5:$J$16,0)),""))</f>
        <v>30</v>
      </c>
      <c r="T1190" s="31">
        <f>IF(OR(G1190="",F1190=""),"",IFERROR(INDEX(Config!$M$5:$R$16,MATCH(G1190,Config!$J$5:$J$16,0),MATCH(F1190,Config!$H$5:$H$10,0)),""))</f>
        <v>100</v>
      </c>
      <c r="U1190" s="47">
        <f>IF(AND(H1190="Realizado",L1190&lt;&gt;""),L1190/60,0)</f>
        <v>0</v>
      </c>
      <c r="V1190" s="47">
        <f>IF(AND(H1190="Realizado",OR(L1190="",M1190="")),1,0)</f>
        <v>0</v>
      </c>
    </row>
    <row r="1191">
      <c r="A1191" s="43" t="n">
        <v>46294</v>
      </c>
      <c r="B1191" s="44" t="n">
        <v>0.7152777777777778</v>
      </c>
      <c r="C1191" s="38" t="inlineStr">
        <is>
          <t>Dra. Renata Sousa</t>
        </is>
      </c>
      <c r="D1191" s="38" t="inlineStr">
        <is>
          <t>Sala 1</t>
        </is>
      </c>
      <c r="E1191" s="37" t="inlineStr">
        <is>
          <t>Beatriz Gomes</t>
        </is>
      </c>
      <c r="F1191" s="38" t="inlineStr">
        <is>
          <t>Particular</t>
        </is>
      </c>
      <c r="G1191" s="38" t="inlineStr">
        <is>
          <t>Avaliação endócrina</t>
        </is>
      </c>
      <c r="H1191" s="38" t="inlineStr">
        <is>
          <t>Agendado</t>
        </is>
      </c>
      <c r="I1191" s="38" t="n"/>
      <c r="J1191" s="38" t="n"/>
      <c r="K1191" s="37" t="n"/>
      <c r="L1191" s="39" t="n">
        <v>40</v>
      </c>
      <c r="M1191" s="40" t="n">
        <v>400</v>
      </c>
      <c r="N1191" s="30">
        <f>IF(A1191="","",MONTH(A1191))</f>
        <v>9</v>
      </c>
      <c r="O1191" s="30">
        <f>IF(A1191="","",YEAR(A1191))</f>
        <v>2026</v>
      </c>
      <c r="P1191" s="30" t="str">
        <f>IF(A1191="","",CHOOSE(WEEKDAY(A1191,2),"Segunda","Terça","Quarta","Quinta","Sexta","Sábado","Domingo"))</f>
        <v>Terça</v>
      </c>
      <c r="Q1191" s="30" t="str">
        <f>IF(B1191="","",IF(B1191&lt;TIME(12,0,0),"Manhã",IF(B1191&lt;TIME(18,0,0),"Tarde","Noite")))</f>
        <v>Tarde</v>
      </c>
      <c r="R1191" s="46">
        <f>IF(AND(H1191="Realizado",L1191&lt;&gt;"",A1191&lt;=Config!$B$9),L1191/60,0)</f>
        <v>0</v>
      </c>
      <c r="S1191" s="45">
        <f>IF(G1191="","",IFERROR(INDEX(Config!$K$5:$K$16,MATCH(G1191,Config!$J$5:$J$16,0)),""))</f>
        <v>40</v>
      </c>
      <c r="T1191" s="31">
        <f>IF(OR(G1191="",F1191=""),"",IFERROR(INDEX(Config!$M$5:$R$16,MATCH(G1191,Config!$J$5:$J$16,0),MATCH(F1191,Config!$H$5:$H$10,0)),""))</f>
        <v>400</v>
      </c>
      <c r="U1191" s="47">
        <f>IF(AND(H1191="Realizado",L1191&lt;&gt;""),L1191/60,0)</f>
        <v>0</v>
      </c>
      <c r="V1191" s="47">
        <f>IF(AND(H1191="Realizado",OR(L1191="",M1191="")),1,0)</f>
        <v>0</v>
      </c>
    </row>
    <row r="1192">
      <c r="A1192" s="43" t="n">
        <v>46294</v>
      </c>
      <c r="B1192" s="44" t="n">
        <v>0.7222222222222222</v>
      </c>
      <c r="C1192" s="38" t="inlineStr">
        <is>
          <t>Dr. Paulo Andrade</t>
        </is>
      </c>
      <c r="D1192" s="38" t="inlineStr">
        <is>
          <t>Sala 2</t>
        </is>
      </c>
      <c r="E1192" s="37" t="inlineStr">
        <is>
          <t>Lucas Cardoso</t>
        </is>
      </c>
      <c r="F1192" s="38" t="inlineStr">
        <is>
          <t>Particular</t>
        </is>
      </c>
      <c r="G1192" s="38" t="inlineStr">
        <is>
          <t>Consulta</t>
        </is>
      </c>
      <c r="H1192" s="38" t="inlineStr">
        <is>
          <t>Agendado</t>
        </is>
      </c>
      <c r="I1192" s="38" t="n"/>
      <c r="J1192" s="38" t="n"/>
      <c r="K1192" s="37" t="n"/>
      <c r="L1192" s="39" t="n">
        <v>30</v>
      </c>
      <c r="M1192" s="40" t="n">
        <v>380</v>
      </c>
      <c r="N1192" s="30">
        <f>IF(A1192="","",MONTH(A1192))</f>
        <v>9</v>
      </c>
      <c r="O1192" s="30">
        <f>IF(A1192="","",YEAR(A1192))</f>
        <v>2026</v>
      </c>
      <c r="P1192" s="30" t="str">
        <f>IF(A1192="","",CHOOSE(WEEKDAY(A1192,2),"Segunda","Terça","Quarta","Quinta","Sexta","Sábado","Domingo"))</f>
        <v>Terça</v>
      </c>
      <c r="Q1192" s="30" t="str">
        <f>IF(B1192="","",IF(B1192&lt;TIME(12,0,0),"Manhã",IF(B1192&lt;TIME(18,0,0),"Tarde","Noite")))</f>
        <v>Tarde</v>
      </c>
      <c r="R1192" s="46">
        <f>IF(AND(H1192="Realizado",L1192&lt;&gt;"",A1192&lt;=Config!$B$9),L1192/60,0)</f>
        <v>0</v>
      </c>
      <c r="S1192" s="45">
        <f>IF(G1192="","",IFERROR(INDEX(Config!$K$5:$K$16,MATCH(G1192,Config!$J$5:$J$16,0)),""))</f>
        <v>30</v>
      </c>
      <c r="T1192" s="31">
        <f>IF(OR(G1192="",F1192=""),"",IFERROR(INDEX(Config!$M$5:$R$16,MATCH(G1192,Config!$J$5:$J$16,0),MATCH(F1192,Config!$H$5:$H$10,0)),""))</f>
        <v>380</v>
      </c>
      <c r="U1192" s="47">
        <f>IF(AND(H1192="Realizado",L1192&lt;&gt;""),L1192/60,0)</f>
        <v>0</v>
      </c>
      <c r="V1192" s="47">
        <f>IF(AND(H1192="Realizado",OR(L1192="",M1192="")),1,0)</f>
        <v>0</v>
      </c>
    </row>
    <row r="1193">
      <c r="A1193" s="43" t="n">
        <v>46295</v>
      </c>
      <c r="B1193" s="44" t="n">
        <v>0.5833333333333334</v>
      </c>
      <c r="C1193" s="38" t="inlineStr">
        <is>
          <t>Dra. Carolina Mendes</t>
        </is>
      </c>
      <c r="D1193" s="38" t="inlineStr">
        <is>
          <t>Sala 1</t>
        </is>
      </c>
      <c r="E1193" s="37" t="inlineStr">
        <is>
          <t>Gisele Ribeiro</t>
        </is>
      </c>
      <c r="F1193" s="38" t="inlineStr">
        <is>
          <t>Particular</t>
        </is>
      </c>
      <c r="G1193" s="38" t="inlineStr">
        <is>
          <t>Consulta</t>
        </is>
      </c>
      <c r="H1193" s="38" t="inlineStr">
        <is>
          <t>Agendado</t>
        </is>
      </c>
      <c r="I1193" s="38" t="n"/>
      <c r="J1193" s="38" t="n"/>
      <c r="K1193" s="37" t="n"/>
      <c r="L1193" s="39" t="n">
        <v>30</v>
      </c>
      <c r="M1193" s="40" t="n">
        <v>380</v>
      </c>
      <c r="N1193" s="30">
        <f>IF(A1193="","",MONTH(A1193))</f>
        <v>9</v>
      </c>
      <c r="O1193" s="30">
        <f>IF(A1193="","",YEAR(A1193))</f>
        <v>2026</v>
      </c>
      <c r="P1193" s="30" t="str">
        <f>IF(A1193="","",CHOOSE(WEEKDAY(A1193,2),"Segunda","Terça","Quarta","Quinta","Sexta","Sábado","Domingo"))</f>
        <v>Quarta</v>
      </c>
      <c r="Q1193" s="30" t="str">
        <f>IF(B1193="","",IF(B1193&lt;TIME(12,0,0),"Manhã",IF(B1193&lt;TIME(18,0,0),"Tarde","Noite")))</f>
        <v>Tarde</v>
      </c>
      <c r="R1193" s="46">
        <f>IF(AND(H1193="Realizado",L1193&lt;&gt;"",A1193&lt;=Config!$B$9),L1193/60,0)</f>
        <v>0</v>
      </c>
      <c r="S1193" s="45">
        <f>IF(G1193="","",IFERROR(INDEX(Config!$K$5:$K$16,MATCH(G1193,Config!$J$5:$J$16,0)),""))</f>
        <v>30</v>
      </c>
      <c r="T1193" s="31">
        <f>IF(OR(G1193="",F1193=""),"",IFERROR(INDEX(Config!$M$5:$R$16,MATCH(G1193,Config!$J$5:$J$16,0),MATCH(F1193,Config!$H$5:$H$10,0)),""))</f>
        <v>380</v>
      </c>
      <c r="U1193" s="47">
        <f>IF(AND(H1193="Realizado",L1193&lt;&gt;""),L1193/60,0)</f>
        <v>0</v>
      </c>
      <c r="V1193" s="47">
        <f>IF(AND(H1193="Realizado",OR(L1193="",M1193="")),1,0)</f>
        <v>0</v>
      </c>
    </row>
    <row r="1194">
      <c r="A1194" s="43" t="n">
        <v>46295</v>
      </c>
      <c r="B1194" s="44" t="n">
        <v>0.6041666666666666</v>
      </c>
      <c r="C1194" s="38" t="inlineStr">
        <is>
          <t>Dra. Carolina Mendes</t>
        </is>
      </c>
      <c r="D1194" s="38" t="inlineStr">
        <is>
          <t>Sala 1</t>
        </is>
      </c>
      <c r="E1194" s="37" t="inlineStr">
        <is>
          <t>Helena Moreira</t>
        </is>
      </c>
      <c r="F1194" s="38" t="inlineStr">
        <is>
          <t>Particular</t>
        </is>
      </c>
      <c r="G1194" s="38" t="inlineStr">
        <is>
          <t>Retorno</t>
        </is>
      </c>
      <c r="H1194" s="38" t="inlineStr">
        <is>
          <t>Agendado</t>
        </is>
      </c>
      <c r="I1194" s="38" t="n"/>
      <c r="J1194" s="38" t="n"/>
      <c r="K1194" s="37" t="n"/>
      <c r="L1194" s="39" t="n">
        <v>20</v>
      </c>
      <c r="M1194" s="40" t="n">
        <v>0</v>
      </c>
      <c r="N1194" s="30">
        <f>IF(A1194="","",MONTH(A1194))</f>
        <v>9</v>
      </c>
      <c r="O1194" s="30">
        <f>IF(A1194="","",YEAR(A1194))</f>
        <v>2026</v>
      </c>
      <c r="P1194" s="30" t="str">
        <f>IF(A1194="","",CHOOSE(WEEKDAY(A1194,2),"Segunda","Terça","Quarta","Quinta","Sexta","Sábado","Domingo"))</f>
        <v>Quarta</v>
      </c>
      <c r="Q1194" s="30" t="str">
        <f>IF(B1194="","",IF(B1194&lt;TIME(12,0,0),"Manhã",IF(B1194&lt;TIME(18,0,0),"Tarde","Noite")))</f>
        <v>Tarde</v>
      </c>
      <c r="R1194" s="46">
        <f>IF(AND(H1194="Realizado",L1194&lt;&gt;"",A1194&lt;=Config!$B$9),L1194/60,0)</f>
        <v>0</v>
      </c>
      <c r="S1194" s="45">
        <f>IF(G1194="","",IFERROR(INDEX(Config!$K$5:$K$16,MATCH(G1194,Config!$J$5:$J$16,0)),""))</f>
        <v>20</v>
      </c>
      <c r="T1194" s="31">
        <f>IF(OR(G1194="",F1194=""),"",IFERROR(INDEX(Config!$M$5:$R$16,MATCH(G1194,Config!$J$5:$J$16,0),MATCH(F1194,Config!$H$5:$H$10,0)),""))</f>
        <v>0</v>
      </c>
      <c r="U1194" s="47">
        <f>IF(AND(H1194="Realizado",L1194&lt;&gt;""),L1194/60,0)</f>
        <v>0</v>
      </c>
      <c r="V1194" s="47">
        <f>IF(AND(H1194="Realizado",OR(L1194="",M1194="")),1,0)</f>
        <v>0</v>
      </c>
    </row>
    <row r="1195">
      <c r="A1195" s="43" t="n">
        <v>46295</v>
      </c>
      <c r="B1195" s="44" t="n">
        <v>0.6180555555555556</v>
      </c>
      <c r="C1195" s="38" t="inlineStr">
        <is>
          <t>Dra. Carolina Mendes</t>
        </is>
      </c>
      <c r="D1195" s="38" t="inlineStr">
        <is>
          <t>Sala 1</t>
        </is>
      </c>
      <c r="E1195" s="37" t="inlineStr">
        <is>
          <t>Regina Macedo</t>
        </is>
      </c>
      <c r="F1195" s="38" t="inlineStr">
        <is>
          <t>Particular</t>
        </is>
      </c>
      <c r="G1195" s="38" t="inlineStr">
        <is>
          <t>Retorno</t>
        </is>
      </c>
      <c r="H1195" s="38" t="inlineStr">
        <is>
          <t>Agendado</t>
        </is>
      </c>
      <c r="I1195" s="38" t="n"/>
      <c r="J1195" s="38" t="n"/>
      <c r="K1195" s="37" t="n"/>
      <c r="L1195" s="39" t="n">
        <v>20</v>
      </c>
      <c r="M1195" s="40" t="n">
        <v>0</v>
      </c>
      <c r="N1195" s="30">
        <f>IF(A1195="","",MONTH(A1195))</f>
        <v>9</v>
      </c>
      <c r="O1195" s="30">
        <f>IF(A1195="","",YEAR(A1195))</f>
        <v>2026</v>
      </c>
      <c r="P1195" s="30" t="str">
        <f>IF(A1195="","",CHOOSE(WEEKDAY(A1195,2),"Segunda","Terça","Quarta","Quinta","Sexta","Sábado","Domingo"))</f>
        <v>Quarta</v>
      </c>
      <c r="Q1195" s="30" t="str">
        <f>IF(B1195="","",IF(B1195&lt;TIME(12,0,0),"Manhã",IF(B1195&lt;TIME(18,0,0),"Tarde","Noite")))</f>
        <v>Tarde</v>
      </c>
      <c r="R1195" s="46">
        <f>IF(AND(H1195="Realizado",L1195&lt;&gt;"",A1195&lt;=Config!$B$9),L1195/60,0)</f>
        <v>0</v>
      </c>
      <c r="S1195" s="45">
        <f>IF(G1195="","",IFERROR(INDEX(Config!$K$5:$K$16,MATCH(G1195,Config!$J$5:$J$16,0)),""))</f>
        <v>20</v>
      </c>
      <c r="T1195" s="31">
        <f>IF(OR(G1195="",F1195=""),"",IFERROR(INDEX(Config!$M$5:$R$16,MATCH(G1195,Config!$J$5:$J$16,0),MATCH(F1195,Config!$H$5:$H$10,0)),""))</f>
        <v>0</v>
      </c>
      <c r="U1195" s="47">
        <f>IF(AND(H1195="Realizado",L1195&lt;&gt;""),L1195/60,0)</f>
        <v>0</v>
      </c>
      <c r="V1195" s="47">
        <f>IF(AND(H1195="Realizado",OR(L1195="",M1195="")),1,0)</f>
        <v>0</v>
      </c>
    </row>
    <row r="1196">
      <c r="A1196" s="43" t="n">
        <v>46295</v>
      </c>
      <c r="B1196" s="44" t="n">
        <v>0.6319444444444444</v>
      </c>
      <c r="C1196" s="38" t="inlineStr">
        <is>
          <t>Dra. Carolina Mendes</t>
        </is>
      </c>
      <c r="D1196" s="38" t="inlineStr">
        <is>
          <t>Sala 1</t>
        </is>
      </c>
      <c r="E1196" s="37" t="inlineStr">
        <is>
          <t>Camila Batista</t>
        </is>
      </c>
      <c r="F1196" s="38" t="inlineStr">
        <is>
          <t>MediPlan</t>
        </is>
      </c>
      <c r="G1196" s="38" t="inlineStr">
        <is>
          <t>Consulta</t>
        </is>
      </c>
      <c r="H1196" s="38" t="inlineStr">
        <is>
          <t>Agendado</t>
        </is>
      </c>
      <c r="I1196" s="38" t="n"/>
      <c r="J1196" s="38" t="n"/>
      <c r="K1196" s="37" t="n"/>
      <c r="L1196" s="39" t="n">
        <v>30</v>
      </c>
      <c r="M1196" s="40" t="n">
        <v>100</v>
      </c>
      <c r="N1196" s="30">
        <f>IF(A1196="","",MONTH(A1196))</f>
        <v>9</v>
      </c>
      <c r="O1196" s="30">
        <f>IF(A1196="","",YEAR(A1196))</f>
        <v>2026</v>
      </c>
      <c r="P1196" s="30" t="str">
        <f>IF(A1196="","",CHOOSE(WEEKDAY(A1196,2),"Segunda","Terça","Quarta","Quinta","Sexta","Sábado","Domingo"))</f>
        <v>Quarta</v>
      </c>
      <c r="Q1196" s="30" t="str">
        <f>IF(B1196="","",IF(B1196&lt;TIME(12,0,0),"Manhã",IF(B1196&lt;TIME(18,0,0),"Tarde","Noite")))</f>
        <v>Tarde</v>
      </c>
      <c r="R1196" s="46">
        <f>IF(AND(H1196="Realizado",L1196&lt;&gt;"",A1196&lt;=Config!$B$9),L1196/60,0)</f>
        <v>0</v>
      </c>
      <c r="S1196" s="45">
        <f>IF(G1196="","",IFERROR(INDEX(Config!$K$5:$K$16,MATCH(G1196,Config!$J$5:$J$16,0)),""))</f>
        <v>30</v>
      </c>
      <c r="T1196" s="31">
        <f>IF(OR(G1196="",F1196=""),"",IFERROR(INDEX(Config!$M$5:$R$16,MATCH(G1196,Config!$J$5:$J$16,0),MATCH(F1196,Config!$H$5:$H$10,0)),""))</f>
        <v>100</v>
      </c>
      <c r="U1196" s="47">
        <f>IF(AND(H1196="Realizado",L1196&lt;&gt;""),L1196/60,0)</f>
        <v>0</v>
      </c>
      <c r="V1196" s="47">
        <f>IF(AND(H1196="Realizado",OR(L1196="",M1196="")),1,0)</f>
        <v>0</v>
      </c>
    </row>
    <row r="1197">
      <c r="A1197" s="43" t="n">
        <v>46295</v>
      </c>
      <c r="B1197" s="44" t="n">
        <v>0.6527777777777778</v>
      </c>
      <c r="C1197" s="38" t="inlineStr">
        <is>
          <t>Dra. Carolina Mendes</t>
        </is>
      </c>
      <c r="D1197" s="38" t="inlineStr">
        <is>
          <t>Sala 1</t>
        </is>
      </c>
      <c r="E1197" s="37" t="inlineStr">
        <is>
          <t>Wagner Lima</t>
        </is>
      </c>
      <c r="F1197" s="38" t="inlineStr">
        <is>
          <t>Particular</t>
        </is>
      </c>
      <c r="G1197" s="38" t="inlineStr">
        <is>
          <t>Consulta</t>
        </is>
      </c>
      <c r="H1197" s="38" t="inlineStr">
        <is>
          <t>Agendado</t>
        </is>
      </c>
      <c r="I1197" s="38" t="n"/>
      <c r="J1197" s="38" t="n"/>
      <c r="K1197" s="37" t="n"/>
      <c r="L1197" s="39" t="n">
        <v>30</v>
      </c>
      <c r="M1197" s="40" t="n">
        <v>380</v>
      </c>
      <c r="N1197" s="30">
        <f>IF(A1197="","",MONTH(A1197))</f>
        <v>9</v>
      </c>
      <c r="O1197" s="30">
        <f>IF(A1197="","",YEAR(A1197))</f>
        <v>2026</v>
      </c>
      <c r="P1197" s="30" t="str">
        <f>IF(A1197="","",CHOOSE(WEEKDAY(A1197,2),"Segunda","Terça","Quarta","Quinta","Sexta","Sábado","Domingo"))</f>
        <v>Quarta</v>
      </c>
      <c r="Q1197" s="30" t="str">
        <f>IF(B1197="","",IF(B1197&lt;TIME(12,0,0),"Manhã",IF(B1197&lt;TIME(18,0,0),"Tarde","Noite")))</f>
        <v>Tarde</v>
      </c>
      <c r="R1197" s="46">
        <f>IF(AND(H1197="Realizado",L1197&lt;&gt;"",A1197&lt;=Config!$B$9),L1197/60,0)</f>
        <v>0</v>
      </c>
      <c r="S1197" s="45">
        <f>IF(G1197="","",IFERROR(INDEX(Config!$K$5:$K$16,MATCH(G1197,Config!$J$5:$J$16,0)),""))</f>
        <v>30</v>
      </c>
      <c r="T1197" s="31">
        <f>IF(OR(G1197="",F1197=""),"",IFERROR(INDEX(Config!$M$5:$R$16,MATCH(G1197,Config!$J$5:$J$16,0),MATCH(F1197,Config!$H$5:$H$10,0)),""))</f>
        <v>380</v>
      </c>
      <c r="U1197" s="47">
        <f>IF(AND(H1197="Realizado",L1197&lt;&gt;""),L1197/60,0)</f>
        <v>0</v>
      </c>
      <c r="V1197" s="47">
        <f>IF(AND(H1197="Realizado",OR(L1197="",M1197="")),1,0)</f>
        <v>0</v>
      </c>
    </row>
    <row r="1198">
      <c r="A1198" s="43" t="n">
        <v>46295</v>
      </c>
      <c r="B1198" s="44" t="n">
        <v>0.6736111111111112</v>
      </c>
      <c r="C1198" s="38" t="inlineStr">
        <is>
          <t>Dra. Carolina Mendes</t>
        </is>
      </c>
      <c r="D1198" s="38" t="inlineStr">
        <is>
          <t>Sala 1</t>
        </is>
      </c>
      <c r="E1198" s="37" t="inlineStr">
        <is>
          <t>Sandra Barros</t>
        </is>
      </c>
      <c r="F1198" s="38" t="inlineStr">
        <is>
          <t>Saúde Total</t>
        </is>
      </c>
      <c r="G1198" s="38" t="inlineStr">
        <is>
          <t>Consulta</t>
        </is>
      </c>
      <c r="H1198" s="38" t="inlineStr">
        <is>
          <t>Agendado</t>
        </is>
      </c>
      <c r="I1198" s="38" t="n"/>
      <c r="J1198" s="38" t="n"/>
      <c r="K1198" s="37" t="n"/>
      <c r="L1198" s="39" t="n">
        <v>30</v>
      </c>
      <c r="M1198" s="40" t="n">
        <v>120</v>
      </c>
      <c r="N1198" s="30">
        <f>IF(A1198="","",MONTH(A1198))</f>
        <v>9</v>
      </c>
      <c r="O1198" s="30">
        <f>IF(A1198="","",YEAR(A1198))</f>
        <v>2026</v>
      </c>
      <c r="P1198" s="30" t="str">
        <f>IF(A1198="","",CHOOSE(WEEKDAY(A1198,2),"Segunda","Terça","Quarta","Quinta","Sexta","Sábado","Domingo"))</f>
        <v>Quarta</v>
      </c>
      <c r="Q1198" s="30" t="str">
        <f>IF(B1198="","",IF(B1198&lt;TIME(12,0,0),"Manhã",IF(B1198&lt;TIME(18,0,0),"Tarde","Noite")))</f>
        <v>Tarde</v>
      </c>
      <c r="R1198" s="46">
        <f>IF(AND(H1198="Realizado",L1198&lt;&gt;"",A1198&lt;=Config!$B$9),L1198/60,0)</f>
        <v>0</v>
      </c>
      <c r="S1198" s="45">
        <f>IF(G1198="","",IFERROR(INDEX(Config!$K$5:$K$16,MATCH(G1198,Config!$J$5:$J$16,0)),""))</f>
        <v>30</v>
      </c>
      <c r="T1198" s="31">
        <f>IF(OR(G1198="",F1198=""),"",IFERROR(INDEX(Config!$M$5:$R$16,MATCH(G1198,Config!$J$5:$J$16,0),MATCH(F1198,Config!$H$5:$H$10,0)),""))</f>
        <v>120</v>
      </c>
      <c r="U1198" s="47">
        <f>IF(AND(H1198="Realizado",L1198&lt;&gt;""),L1198/60,0)</f>
        <v>0</v>
      </c>
      <c r="V1198" s="47">
        <f>IF(AND(H1198="Realizado",OR(L1198="",M1198="")),1,0)</f>
        <v>0</v>
      </c>
    </row>
    <row r="1199">
      <c r="A1199" s="43" t="n">
        <v>46295</v>
      </c>
      <c r="B1199" s="44" t="n">
        <v>0.6944444444444444</v>
      </c>
      <c r="C1199" s="38" t="inlineStr">
        <is>
          <t>Dra. Carolina Mendes</t>
        </is>
      </c>
      <c r="D1199" s="38" t="inlineStr">
        <is>
          <t>Sala 1</t>
        </is>
      </c>
      <c r="E1199" s="37" t="inlineStr">
        <is>
          <t>Cláudia Santos</t>
        </is>
      </c>
      <c r="F1199" s="38" t="inlineStr">
        <is>
          <t>Particular</t>
        </is>
      </c>
      <c r="G1199" s="38" t="inlineStr">
        <is>
          <t>Consulta</t>
        </is>
      </c>
      <c r="H1199" s="38" t="inlineStr">
        <is>
          <t>Agendado</t>
        </is>
      </c>
      <c r="I1199" s="38" t="n"/>
      <c r="J1199" s="38" t="n"/>
      <c r="K1199" s="37" t="n"/>
      <c r="L1199" s="39" t="n">
        <v>30</v>
      </c>
      <c r="M1199" s="40" t="n">
        <v>380</v>
      </c>
      <c r="N1199" s="30">
        <f>IF(A1199="","",MONTH(A1199))</f>
        <v>9</v>
      </c>
      <c r="O1199" s="30">
        <f>IF(A1199="","",YEAR(A1199))</f>
        <v>2026</v>
      </c>
      <c r="P1199" s="30" t="str">
        <f>IF(A1199="","",CHOOSE(WEEKDAY(A1199,2),"Segunda","Terça","Quarta","Quinta","Sexta","Sábado","Domingo"))</f>
        <v>Quarta</v>
      </c>
      <c r="Q1199" s="30" t="str">
        <f>IF(B1199="","",IF(B1199&lt;TIME(12,0,0),"Manhã",IF(B1199&lt;TIME(18,0,0),"Tarde","Noite")))</f>
        <v>Tarde</v>
      </c>
      <c r="R1199" s="46">
        <f>IF(AND(H1199="Realizado",L1199&lt;&gt;"",A1199&lt;=Config!$B$9),L1199/60,0)</f>
        <v>0</v>
      </c>
      <c r="S1199" s="45">
        <f>IF(G1199="","",IFERROR(INDEX(Config!$K$5:$K$16,MATCH(G1199,Config!$J$5:$J$16,0)),""))</f>
        <v>30</v>
      </c>
      <c r="T1199" s="31">
        <f>IF(OR(G1199="",F1199=""),"",IFERROR(INDEX(Config!$M$5:$R$16,MATCH(G1199,Config!$J$5:$J$16,0),MATCH(F1199,Config!$H$5:$H$10,0)),""))</f>
        <v>380</v>
      </c>
      <c r="U1199" s="47">
        <f>IF(AND(H1199="Realizado",L1199&lt;&gt;""),L1199/60,0)</f>
        <v>0</v>
      </c>
      <c r="V1199" s="47">
        <f>IF(AND(H1199="Realizado",OR(L1199="",M1199="")),1,0)</f>
        <v>0</v>
      </c>
    </row>
    <row r="1200">
      <c r="A1200" s="43" t="n">
        <v>46295</v>
      </c>
      <c r="B1200" s="44" t="n">
        <v>0.7152777777777778</v>
      </c>
      <c r="C1200" s="38" t="inlineStr">
        <is>
          <t>Dra. Carolina Mendes</t>
        </is>
      </c>
      <c r="D1200" s="38" t="inlineStr">
        <is>
          <t>Sala 1</t>
        </is>
      </c>
      <c r="E1200" s="37" t="inlineStr">
        <is>
          <t>Mônica Teixeira</t>
        </is>
      </c>
      <c r="F1200" s="38" t="inlineStr">
        <is>
          <t>Vida Care</t>
        </is>
      </c>
      <c r="G1200" s="38" t="inlineStr">
        <is>
          <t>Consulta</t>
        </is>
      </c>
      <c r="H1200" s="38" t="inlineStr">
        <is>
          <t>Agendado</t>
        </is>
      </c>
      <c r="I1200" s="38" t="n"/>
      <c r="J1200" s="38" t="n"/>
      <c r="K1200" s="37" t="n"/>
      <c r="L1200" s="39" t="n">
        <v>30</v>
      </c>
      <c r="M1200" s="40" t="n">
        <v>90</v>
      </c>
      <c r="N1200" s="30">
        <f>IF(A1200="","",MONTH(A1200))</f>
        <v>9</v>
      </c>
      <c r="O1200" s="30">
        <f>IF(A1200="","",YEAR(A1200))</f>
        <v>2026</v>
      </c>
      <c r="P1200" s="30" t="str">
        <f>IF(A1200="","",CHOOSE(WEEKDAY(A1200,2),"Segunda","Terça","Quarta","Quinta","Sexta","Sábado","Domingo"))</f>
        <v>Quarta</v>
      </c>
      <c r="Q1200" s="30" t="str">
        <f>IF(B1200="","",IF(B1200&lt;TIME(12,0,0),"Manhã",IF(B1200&lt;TIME(18,0,0),"Tarde","Noite")))</f>
        <v>Tarde</v>
      </c>
      <c r="R1200" s="46">
        <f>IF(AND(H1200="Realizado",L1200&lt;&gt;"",A1200&lt;=Config!$B$9),L1200/60,0)</f>
        <v>0</v>
      </c>
      <c r="S1200" s="45">
        <f>IF(G1200="","",IFERROR(INDEX(Config!$K$5:$K$16,MATCH(G1200,Config!$J$5:$J$16,0)),""))</f>
        <v>30</v>
      </c>
      <c r="T1200" s="31">
        <f>IF(OR(G1200="",F1200=""),"",IFERROR(INDEX(Config!$M$5:$R$16,MATCH(G1200,Config!$J$5:$J$16,0),MATCH(F1200,Config!$H$5:$H$10,0)),""))</f>
        <v>90</v>
      </c>
      <c r="U1200" s="47">
        <f>IF(AND(H1200="Realizado",L1200&lt;&gt;""),L1200/60,0)</f>
        <v>0</v>
      </c>
      <c r="V1200" s="47">
        <f>IF(AND(H1200="Realizado",OR(L1200="",M1200="")),1,0)</f>
        <v>0</v>
      </c>
    </row>
    <row r="1201">
      <c r="A1201" s="43" t="n">
        <v>46295</v>
      </c>
      <c r="B1201" s="44" t="n">
        <v>0.7361111111111112</v>
      </c>
      <c r="C1201" s="38" t="inlineStr">
        <is>
          <t>Dra. Carolina Mendes</t>
        </is>
      </c>
      <c r="D1201" s="38" t="inlineStr">
        <is>
          <t>Sala 1</t>
        </is>
      </c>
      <c r="E1201" s="37" t="inlineStr">
        <is>
          <t>Gustavo Barbosa</t>
        </is>
      </c>
      <c r="F1201" s="38" t="inlineStr">
        <is>
          <t>Saúde Total</t>
        </is>
      </c>
      <c r="G1201" s="38" t="inlineStr">
        <is>
          <t>Consulta</t>
        </is>
      </c>
      <c r="H1201" s="38" t="inlineStr">
        <is>
          <t>Agendado</t>
        </is>
      </c>
      <c r="I1201" s="38" t="n"/>
      <c r="J1201" s="38" t="n"/>
      <c r="K1201" s="37" t="n"/>
      <c r="L1201" s="39" t="n">
        <v>30</v>
      </c>
      <c r="M1201" s="40" t="n">
        <v>120</v>
      </c>
      <c r="N1201" s="30">
        <f>IF(A1201="","",MONTH(A1201))</f>
        <v>9</v>
      </c>
      <c r="O1201" s="30">
        <f>IF(A1201="","",YEAR(A1201))</f>
        <v>2026</v>
      </c>
      <c r="P1201" s="30" t="str">
        <f>IF(A1201="","",CHOOSE(WEEKDAY(A1201,2),"Segunda","Terça","Quarta","Quinta","Sexta","Sábado","Domingo"))</f>
        <v>Quarta</v>
      </c>
      <c r="Q1201" s="30" t="str">
        <f>IF(B1201="","",IF(B1201&lt;TIME(12,0,0),"Manhã",IF(B1201&lt;TIME(18,0,0),"Tarde","Noite")))</f>
        <v>Tarde</v>
      </c>
      <c r="R1201" s="46">
        <f>IF(AND(H1201="Realizado",L1201&lt;&gt;"",A1201&lt;=Config!$B$9),L1201/60,0)</f>
        <v>0</v>
      </c>
      <c r="S1201" s="45">
        <f>IF(G1201="","",IFERROR(INDEX(Config!$K$5:$K$16,MATCH(G1201,Config!$J$5:$J$16,0)),""))</f>
        <v>30</v>
      </c>
      <c r="T1201" s="31">
        <f>IF(OR(G1201="",F1201=""),"",IFERROR(INDEX(Config!$M$5:$R$16,MATCH(G1201,Config!$J$5:$J$16,0),MATCH(F1201,Config!$H$5:$H$10,0)),""))</f>
        <v>120</v>
      </c>
      <c r="U1201" s="47">
        <f>IF(AND(H1201="Realizado",L1201&lt;&gt;""),L1201/60,0)</f>
        <v>0</v>
      </c>
      <c r="V1201" s="47">
        <f>IF(AND(H1201="Realizado",OR(L1201="",M1201="")),1,0)</f>
        <v>0</v>
      </c>
    </row>
    <row r="1202">
      <c r="A1202" s="43" t="n">
        <v>46296</v>
      </c>
      <c r="B1202" s="44" t="n">
        <v>0.3333333333333333</v>
      </c>
      <c r="C1202" s="38" t="inlineStr">
        <is>
          <t>Dra. Carolina Mendes</t>
        </is>
      </c>
      <c r="D1202" s="38" t="inlineStr">
        <is>
          <t>Sala 1</t>
        </is>
      </c>
      <c r="E1202" s="37" t="inlineStr">
        <is>
          <t>Marcelo Santos</t>
        </is>
      </c>
      <c r="F1202" s="38" t="inlineStr">
        <is>
          <t>Particular</t>
        </is>
      </c>
      <c r="G1202" s="38" t="inlineStr">
        <is>
          <t>Consulta</t>
        </is>
      </c>
      <c r="H1202" s="38" t="inlineStr">
        <is>
          <t>Agendado</t>
        </is>
      </c>
      <c r="I1202" s="38" t="n"/>
      <c r="J1202" s="38" t="n"/>
      <c r="K1202" s="37" t="n"/>
      <c r="L1202" s="39" t="n">
        <v>30</v>
      </c>
      <c r="M1202" s="40" t="n">
        <v>380</v>
      </c>
      <c r="N1202" s="30">
        <f>IF(A1202="","",MONTH(A1202))</f>
        <v>10</v>
      </c>
      <c r="O1202" s="30">
        <f>IF(A1202="","",YEAR(A1202))</f>
        <v>2026</v>
      </c>
      <c r="P1202" s="30" t="str">
        <f>IF(A1202="","",CHOOSE(WEEKDAY(A1202,2),"Segunda","Terça","Quarta","Quinta","Sexta","Sábado","Domingo"))</f>
        <v>Quinta</v>
      </c>
      <c r="Q1202" s="30" t="str">
        <f>IF(B1202="","",IF(B1202&lt;TIME(12,0,0),"Manhã",IF(B1202&lt;TIME(18,0,0),"Tarde","Noite")))</f>
        <v>Manhã</v>
      </c>
      <c r="R1202" s="46">
        <f>IF(AND(H1202="Realizado",L1202&lt;&gt;"",A1202&lt;=Config!$B$9),L1202/60,0)</f>
        <v>0</v>
      </c>
      <c r="S1202" s="45">
        <f>IF(G1202="","",IFERROR(INDEX(Config!$K$5:$K$16,MATCH(G1202,Config!$J$5:$J$16,0)),""))</f>
        <v>30</v>
      </c>
      <c r="T1202" s="31">
        <f>IF(OR(G1202="",F1202=""),"",IFERROR(INDEX(Config!$M$5:$R$16,MATCH(G1202,Config!$J$5:$J$16,0),MATCH(F1202,Config!$H$5:$H$10,0)),""))</f>
        <v>380</v>
      </c>
      <c r="U1202" s="47">
        <f>IF(AND(H1202="Realizado",L1202&lt;&gt;""),L1202/60,0)</f>
        <v>0</v>
      </c>
      <c r="V1202" s="47">
        <f>IF(AND(H1202="Realizado",OR(L1202="",M1202="")),1,0)</f>
        <v>0</v>
      </c>
    </row>
    <row r="1203">
      <c r="A1203" s="43" t="n">
        <v>46296</v>
      </c>
      <c r="B1203" s="44" t="n">
        <v>0.375</v>
      </c>
      <c r="C1203" s="38" t="inlineStr">
        <is>
          <t>Dra. Carolina Mendes</t>
        </is>
      </c>
      <c r="D1203" s="38" t="inlineStr">
        <is>
          <t>Sala 1</t>
        </is>
      </c>
      <c r="E1203" s="37" t="inlineStr">
        <is>
          <t>Sérgio Martins</t>
        </is>
      </c>
      <c r="F1203" s="38" t="inlineStr">
        <is>
          <t>Particular</t>
        </is>
      </c>
      <c r="G1203" s="38" t="inlineStr">
        <is>
          <t>Consulta</t>
        </is>
      </c>
      <c r="H1203" s="38" t="inlineStr">
        <is>
          <t>Agendado</t>
        </is>
      </c>
      <c r="I1203" s="38" t="n"/>
      <c r="J1203" s="38" t="n"/>
      <c r="K1203" s="37" t="n"/>
      <c r="L1203" s="39" t="n">
        <v>30</v>
      </c>
      <c r="M1203" s="40" t="n">
        <v>380</v>
      </c>
      <c r="N1203" s="30">
        <f>IF(A1203="","",MONTH(A1203))</f>
        <v>10</v>
      </c>
      <c r="O1203" s="30">
        <f>IF(A1203="","",YEAR(A1203))</f>
        <v>2026</v>
      </c>
      <c r="P1203" s="30" t="str">
        <f>IF(A1203="","",CHOOSE(WEEKDAY(A1203,2),"Segunda","Terça","Quarta","Quinta","Sexta","Sábado","Domingo"))</f>
        <v>Quinta</v>
      </c>
      <c r="Q1203" s="30" t="str">
        <f>IF(B1203="","",IF(B1203&lt;TIME(12,0,0),"Manhã",IF(B1203&lt;TIME(18,0,0),"Tarde","Noite")))</f>
        <v>Manhã</v>
      </c>
      <c r="R1203" s="46">
        <f>IF(AND(H1203="Realizado",L1203&lt;&gt;"",A1203&lt;=Config!$B$9),L1203/60,0)</f>
        <v>0</v>
      </c>
      <c r="S1203" s="45">
        <f>IF(G1203="","",IFERROR(INDEX(Config!$K$5:$K$16,MATCH(G1203,Config!$J$5:$J$16,0)),""))</f>
        <v>30</v>
      </c>
      <c r="T1203" s="31">
        <f>IF(OR(G1203="",F1203=""),"",IFERROR(INDEX(Config!$M$5:$R$16,MATCH(G1203,Config!$J$5:$J$16,0),MATCH(F1203,Config!$H$5:$H$10,0)),""))</f>
        <v>380</v>
      </c>
      <c r="U1203" s="47">
        <f>IF(AND(H1203="Realizado",L1203&lt;&gt;""),L1203/60,0)</f>
        <v>0</v>
      </c>
      <c r="V1203" s="47">
        <f>IF(AND(H1203="Realizado",OR(L1203="",M1203="")),1,0)</f>
        <v>0</v>
      </c>
    </row>
    <row r="1204">
      <c r="A1204" s="43" t="n">
        <v>46296</v>
      </c>
      <c r="B1204" s="44" t="n">
        <v>0.3958333333333333</v>
      </c>
      <c r="C1204" s="38" t="inlineStr">
        <is>
          <t>Dra. Carolina Mendes</t>
        </is>
      </c>
      <c r="D1204" s="38" t="inlineStr">
        <is>
          <t>Sala 1</t>
        </is>
      </c>
      <c r="E1204" s="37" t="inlineStr">
        <is>
          <t>Isabela Nascimento</t>
        </is>
      </c>
      <c r="F1204" s="38" t="inlineStr">
        <is>
          <t>Vida Care</t>
        </is>
      </c>
      <c r="G1204" s="38" t="inlineStr">
        <is>
          <t>Consulta</t>
        </is>
      </c>
      <c r="H1204" s="38" t="inlineStr">
        <is>
          <t>Agendado</t>
        </is>
      </c>
      <c r="I1204" s="38" t="n"/>
      <c r="J1204" s="38" t="n"/>
      <c r="K1204" s="37" t="n"/>
      <c r="L1204" s="39" t="n">
        <v>30</v>
      </c>
      <c r="M1204" s="40" t="n">
        <v>90</v>
      </c>
      <c r="N1204" s="30">
        <f>IF(A1204="","",MONTH(A1204))</f>
        <v>10</v>
      </c>
      <c r="O1204" s="30">
        <f>IF(A1204="","",YEAR(A1204))</f>
        <v>2026</v>
      </c>
      <c r="P1204" s="30" t="str">
        <f>IF(A1204="","",CHOOSE(WEEKDAY(A1204,2),"Segunda","Terça","Quarta","Quinta","Sexta","Sábado","Domingo"))</f>
        <v>Quinta</v>
      </c>
      <c r="Q1204" s="30" t="str">
        <f>IF(B1204="","",IF(B1204&lt;TIME(12,0,0),"Manhã",IF(B1204&lt;TIME(18,0,0),"Tarde","Noite")))</f>
        <v>Manhã</v>
      </c>
      <c r="R1204" s="46">
        <f>IF(AND(H1204="Realizado",L1204&lt;&gt;"",A1204&lt;=Config!$B$9),L1204/60,0)</f>
        <v>0</v>
      </c>
      <c r="S1204" s="45">
        <f>IF(G1204="","",IFERROR(INDEX(Config!$K$5:$K$16,MATCH(G1204,Config!$J$5:$J$16,0)),""))</f>
        <v>30</v>
      </c>
      <c r="T1204" s="31">
        <f>IF(OR(G1204="",F1204=""),"",IFERROR(INDEX(Config!$M$5:$R$16,MATCH(G1204,Config!$J$5:$J$16,0),MATCH(F1204,Config!$H$5:$H$10,0)),""))</f>
        <v>90</v>
      </c>
      <c r="U1204" s="47">
        <f>IF(AND(H1204="Realizado",L1204&lt;&gt;""),L1204/60,0)</f>
        <v>0</v>
      </c>
      <c r="V1204" s="47">
        <f>IF(AND(H1204="Realizado",OR(L1204="",M1204="")),1,0)</f>
        <v>0</v>
      </c>
    </row>
    <row r="1205">
      <c r="A1205" s="43" t="n">
        <v>46296</v>
      </c>
      <c r="B1205" s="44" t="n">
        <v>0.4166666666666667</v>
      </c>
      <c r="C1205" s="38" t="inlineStr">
        <is>
          <t>Dra. Carolina Mendes</t>
        </is>
      </c>
      <c r="D1205" s="38" t="inlineStr">
        <is>
          <t>Sala 1</t>
        </is>
      </c>
      <c r="E1205" s="37" t="inlineStr">
        <is>
          <t>Eduardo Nunes</t>
        </is>
      </c>
      <c r="F1205" s="38" t="inlineStr">
        <is>
          <t>MediPlan</t>
        </is>
      </c>
      <c r="G1205" s="38" t="inlineStr">
        <is>
          <t>Consulta</t>
        </is>
      </c>
      <c r="H1205" s="38" t="inlineStr">
        <is>
          <t>Agendado</t>
        </is>
      </c>
      <c r="I1205" s="38" t="n"/>
      <c r="J1205" s="38" t="n"/>
      <c r="K1205" s="37" t="n"/>
      <c r="L1205" s="39" t="n">
        <v>30</v>
      </c>
      <c r="M1205" s="40" t="n">
        <v>100</v>
      </c>
      <c r="N1205" s="30">
        <f>IF(A1205="","",MONTH(A1205))</f>
        <v>10</v>
      </c>
      <c r="O1205" s="30">
        <f>IF(A1205="","",YEAR(A1205))</f>
        <v>2026</v>
      </c>
      <c r="P1205" s="30" t="str">
        <f>IF(A1205="","",CHOOSE(WEEKDAY(A1205,2),"Segunda","Terça","Quarta","Quinta","Sexta","Sábado","Domingo"))</f>
        <v>Quinta</v>
      </c>
      <c r="Q1205" s="30" t="str">
        <f>IF(B1205="","",IF(B1205&lt;TIME(12,0,0),"Manhã",IF(B1205&lt;TIME(18,0,0),"Tarde","Noite")))</f>
        <v>Manhã</v>
      </c>
      <c r="R1205" s="46">
        <f>IF(AND(H1205="Realizado",L1205&lt;&gt;"",A1205&lt;=Config!$B$9),L1205/60,0)</f>
        <v>0</v>
      </c>
      <c r="S1205" s="45">
        <f>IF(G1205="","",IFERROR(INDEX(Config!$K$5:$K$16,MATCH(G1205,Config!$J$5:$J$16,0)),""))</f>
        <v>30</v>
      </c>
      <c r="T1205" s="31">
        <f>IF(OR(G1205="",F1205=""),"",IFERROR(INDEX(Config!$M$5:$R$16,MATCH(G1205,Config!$J$5:$J$16,0),MATCH(F1205,Config!$H$5:$H$10,0)),""))</f>
        <v>100</v>
      </c>
      <c r="U1205" s="47">
        <f>IF(AND(H1205="Realizado",L1205&lt;&gt;""),L1205/60,0)</f>
        <v>0</v>
      </c>
      <c r="V1205" s="47">
        <f>IF(AND(H1205="Realizado",OR(L1205="",M1205="")),1,0)</f>
        <v>0</v>
      </c>
    </row>
    <row r="1206">
      <c r="A1206" s="43" t="n">
        <v>46296</v>
      </c>
      <c r="B1206" s="44" t="n">
        <v>0.4583333333333333</v>
      </c>
      <c r="C1206" s="38" t="inlineStr">
        <is>
          <t>Dra. Carolina Mendes</t>
        </is>
      </c>
      <c r="D1206" s="38" t="inlineStr">
        <is>
          <t>Sala 1</t>
        </is>
      </c>
      <c r="E1206" s="37" t="inlineStr">
        <is>
          <t>Sérgio Batista</t>
        </is>
      </c>
      <c r="F1206" s="38" t="inlineStr">
        <is>
          <t>MediPlan</t>
        </is>
      </c>
      <c r="G1206" s="38" t="inlineStr">
        <is>
          <t>Consulta</t>
        </is>
      </c>
      <c r="H1206" s="38" t="inlineStr">
        <is>
          <t>Agendado</t>
        </is>
      </c>
      <c r="I1206" s="38" t="n"/>
      <c r="J1206" s="38" t="n"/>
      <c r="K1206" s="37" t="n"/>
      <c r="L1206" s="39" t="n">
        <v>30</v>
      </c>
      <c r="M1206" s="40" t="n">
        <v>100</v>
      </c>
      <c r="N1206" s="30">
        <f>IF(A1206="","",MONTH(A1206))</f>
        <v>10</v>
      </c>
      <c r="O1206" s="30">
        <f>IF(A1206="","",YEAR(A1206))</f>
        <v>2026</v>
      </c>
      <c r="P1206" s="30" t="str">
        <f>IF(A1206="","",CHOOSE(WEEKDAY(A1206,2),"Segunda","Terça","Quarta","Quinta","Sexta","Sábado","Domingo"))</f>
        <v>Quinta</v>
      </c>
      <c r="Q1206" s="30" t="str">
        <f>IF(B1206="","",IF(B1206&lt;TIME(12,0,0),"Manhã",IF(B1206&lt;TIME(18,0,0),"Tarde","Noite")))</f>
        <v>Manhã</v>
      </c>
      <c r="R1206" s="46">
        <f>IF(AND(H1206="Realizado",L1206&lt;&gt;"",A1206&lt;=Config!$B$9),L1206/60,0)</f>
        <v>0</v>
      </c>
      <c r="S1206" s="45">
        <f>IF(G1206="","",IFERROR(INDEX(Config!$K$5:$K$16,MATCH(G1206,Config!$J$5:$J$16,0)),""))</f>
        <v>30</v>
      </c>
      <c r="T1206" s="31">
        <f>IF(OR(G1206="",F1206=""),"",IFERROR(INDEX(Config!$M$5:$R$16,MATCH(G1206,Config!$J$5:$J$16,0),MATCH(F1206,Config!$H$5:$H$10,0)),""))</f>
        <v>100</v>
      </c>
      <c r="U1206" s="47">
        <f>IF(AND(H1206="Realizado",L1206&lt;&gt;""),L1206/60,0)</f>
        <v>0</v>
      </c>
      <c r="V1206" s="47">
        <f>IF(AND(H1206="Realizado",OR(L1206="",M1206="")),1,0)</f>
        <v>0</v>
      </c>
    </row>
    <row r="1207">
      <c r="A1207" s="43" t="n">
        <v>46296</v>
      </c>
      <c r="B1207" s="44" t="n">
        <v>0.4791666666666667</v>
      </c>
      <c r="C1207" s="38" t="inlineStr">
        <is>
          <t>Dra. Carolina Mendes</t>
        </is>
      </c>
      <c r="D1207" s="38" t="inlineStr">
        <is>
          <t>Sala 1</t>
        </is>
      </c>
      <c r="E1207" s="37" t="inlineStr">
        <is>
          <t>Tatiana Cunha</t>
        </is>
      </c>
      <c r="F1207" s="38" t="inlineStr">
        <is>
          <t>Saúde Total</t>
        </is>
      </c>
      <c r="G1207" s="38" t="inlineStr">
        <is>
          <t>Consulta</t>
        </is>
      </c>
      <c r="H1207" s="38" t="inlineStr">
        <is>
          <t>Agendado</t>
        </is>
      </c>
      <c r="I1207" s="38" t="n"/>
      <c r="J1207" s="38" t="n"/>
      <c r="K1207" s="37" t="n"/>
      <c r="L1207" s="39" t="n">
        <v>30</v>
      </c>
      <c r="M1207" s="40" t="n">
        <v>120</v>
      </c>
      <c r="N1207" s="30">
        <f>IF(A1207="","",MONTH(A1207))</f>
        <v>10</v>
      </c>
      <c r="O1207" s="30">
        <f>IF(A1207="","",YEAR(A1207))</f>
        <v>2026</v>
      </c>
      <c r="P1207" s="30" t="str">
        <f>IF(A1207="","",CHOOSE(WEEKDAY(A1207,2),"Segunda","Terça","Quarta","Quinta","Sexta","Sábado","Domingo"))</f>
        <v>Quinta</v>
      </c>
      <c r="Q1207" s="30" t="str">
        <f>IF(B1207="","",IF(B1207&lt;TIME(12,0,0),"Manhã",IF(B1207&lt;TIME(18,0,0),"Tarde","Noite")))</f>
        <v>Manhã</v>
      </c>
      <c r="R1207" s="46">
        <f>IF(AND(H1207="Realizado",L1207&lt;&gt;"",A1207&lt;=Config!$B$9),L1207/60,0)</f>
        <v>0</v>
      </c>
      <c r="S1207" s="45">
        <f>IF(G1207="","",IFERROR(INDEX(Config!$K$5:$K$16,MATCH(G1207,Config!$J$5:$J$16,0)),""))</f>
        <v>30</v>
      </c>
      <c r="T1207" s="31">
        <f>IF(OR(G1207="",F1207=""),"",IFERROR(INDEX(Config!$M$5:$R$16,MATCH(G1207,Config!$J$5:$J$16,0),MATCH(F1207,Config!$H$5:$H$10,0)),""))</f>
        <v>120</v>
      </c>
      <c r="U1207" s="47">
        <f>IF(AND(H1207="Realizado",L1207&lt;&gt;""),L1207/60,0)</f>
        <v>0</v>
      </c>
      <c r="V1207" s="47">
        <f>IF(AND(H1207="Realizado",OR(L1207="",M1207="")),1,0)</f>
        <v>0</v>
      </c>
    </row>
    <row r="1208">
      <c r="A1208" s="43" t="n">
        <v>46296</v>
      </c>
      <c r="B1208" s="44" t="n">
        <v>0.5833333333333334</v>
      </c>
      <c r="C1208" s="38" t="inlineStr">
        <is>
          <t>Dra. Renata Sousa</t>
        </is>
      </c>
      <c r="D1208" s="38" t="inlineStr">
        <is>
          <t>Sala 1</t>
        </is>
      </c>
      <c r="E1208" s="37" t="inlineStr">
        <is>
          <t>Priscila Reis</t>
        </is>
      </c>
      <c r="F1208" s="38" t="inlineStr">
        <is>
          <t>Particular</t>
        </is>
      </c>
      <c r="G1208" s="38" t="inlineStr">
        <is>
          <t>Avaliação endócrina</t>
        </is>
      </c>
      <c r="H1208" s="38" t="inlineStr">
        <is>
          <t>Agendado</t>
        </is>
      </c>
      <c r="I1208" s="38" t="n"/>
      <c r="J1208" s="38" t="n"/>
      <c r="K1208" s="37" t="n"/>
      <c r="L1208" s="39" t="n">
        <v>40</v>
      </c>
      <c r="M1208" s="40" t="n">
        <v>400</v>
      </c>
      <c r="N1208" s="30">
        <f>IF(A1208="","",MONTH(A1208))</f>
        <v>10</v>
      </c>
      <c r="O1208" s="30">
        <f>IF(A1208="","",YEAR(A1208))</f>
        <v>2026</v>
      </c>
      <c r="P1208" s="30" t="str">
        <f>IF(A1208="","",CHOOSE(WEEKDAY(A1208,2),"Segunda","Terça","Quarta","Quinta","Sexta","Sábado","Domingo"))</f>
        <v>Quinta</v>
      </c>
      <c r="Q1208" s="30" t="str">
        <f>IF(B1208="","",IF(B1208&lt;TIME(12,0,0),"Manhã",IF(B1208&lt;TIME(18,0,0),"Tarde","Noite")))</f>
        <v>Tarde</v>
      </c>
      <c r="R1208" s="46">
        <f>IF(AND(H1208="Realizado",L1208&lt;&gt;"",A1208&lt;=Config!$B$9),L1208/60,0)</f>
        <v>0</v>
      </c>
      <c r="S1208" s="45">
        <f>IF(G1208="","",IFERROR(INDEX(Config!$K$5:$K$16,MATCH(G1208,Config!$J$5:$J$16,0)),""))</f>
        <v>40</v>
      </c>
      <c r="T1208" s="31">
        <f>IF(OR(G1208="",F1208=""),"",IFERROR(INDEX(Config!$M$5:$R$16,MATCH(G1208,Config!$J$5:$J$16,0),MATCH(F1208,Config!$H$5:$H$10,0)),""))</f>
        <v>400</v>
      </c>
      <c r="U1208" s="47">
        <f>IF(AND(H1208="Realizado",L1208&lt;&gt;""),L1208/60,0)</f>
        <v>0</v>
      </c>
      <c r="V1208" s="47">
        <f>IF(AND(H1208="Realizado",OR(L1208="",M1208="")),1,0)</f>
        <v>0</v>
      </c>
    </row>
    <row r="1209">
      <c r="A1209" s="43" t="n">
        <v>46296</v>
      </c>
      <c r="B1209" s="44" t="n">
        <v>0.5833333333333334</v>
      </c>
      <c r="C1209" s="38" t="inlineStr">
        <is>
          <t>Dr. Paulo Andrade</t>
        </is>
      </c>
      <c r="D1209" s="38" t="inlineStr">
        <is>
          <t>Sala 2</t>
        </is>
      </c>
      <c r="E1209" s="37" t="inlineStr">
        <is>
          <t>Wagner Costa</t>
        </is>
      </c>
      <c r="F1209" s="38" t="inlineStr">
        <is>
          <t>Particular</t>
        </is>
      </c>
      <c r="G1209" s="38" t="inlineStr">
        <is>
          <t>MAPA</t>
        </is>
      </c>
      <c r="H1209" s="38" t="inlineStr">
        <is>
          <t>Agendado</t>
        </is>
      </c>
      <c r="I1209" s="38" t="n"/>
      <c r="J1209" s="38" t="n"/>
      <c r="K1209" s="37" t="n"/>
      <c r="L1209" s="39" t="n">
        <v>20</v>
      </c>
      <c r="M1209" s="40" t="n">
        <v>300</v>
      </c>
      <c r="N1209" s="30">
        <f>IF(A1209="","",MONTH(A1209))</f>
        <v>10</v>
      </c>
      <c r="O1209" s="30">
        <f>IF(A1209="","",YEAR(A1209))</f>
        <v>2026</v>
      </c>
      <c r="P1209" s="30" t="str">
        <f>IF(A1209="","",CHOOSE(WEEKDAY(A1209,2),"Segunda","Terça","Quarta","Quinta","Sexta","Sábado","Domingo"))</f>
        <v>Quinta</v>
      </c>
      <c r="Q1209" s="30" t="str">
        <f>IF(B1209="","",IF(B1209&lt;TIME(12,0,0),"Manhã",IF(B1209&lt;TIME(18,0,0),"Tarde","Noite")))</f>
        <v>Tarde</v>
      </c>
      <c r="R1209" s="46">
        <f>IF(AND(H1209="Realizado",L1209&lt;&gt;"",A1209&lt;=Config!$B$9),L1209/60,0)</f>
        <v>0</v>
      </c>
      <c r="S1209" s="45">
        <f>IF(G1209="","",IFERROR(INDEX(Config!$K$5:$K$16,MATCH(G1209,Config!$J$5:$J$16,0)),""))</f>
        <v>20</v>
      </c>
      <c r="T1209" s="31">
        <f>IF(OR(G1209="",F1209=""),"",IFERROR(INDEX(Config!$M$5:$R$16,MATCH(G1209,Config!$J$5:$J$16,0),MATCH(F1209,Config!$H$5:$H$10,0)),""))</f>
        <v>300</v>
      </c>
      <c r="U1209" s="47">
        <f>IF(AND(H1209="Realizado",L1209&lt;&gt;""),L1209/60,0)</f>
        <v>0</v>
      </c>
      <c r="V1209" s="47">
        <f>IF(AND(H1209="Realizado",OR(L1209="",M1209="")),1,0)</f>
        <v>0</v>
      </c>
    </row>
    <row r="1210">
      <c r="A1210" s="43" t="n">
        <v>46296</v>
      </c>
      <c r="B1210" s="44" t="n">
        <v>0.5972222222222222</v>
      </c>
      <c r="C1210" s="38" t="inlineStr">
        <is>
          <t>Dr. Paulo Andrade</t>
        </is>
      </c>
      <c r="D1210" s="38" t="inlineStr">
        <is>
          <t>Sala 2</t>
        </is>
      </c>
      <c r="E1210" s="37" t="inlineStr">
        <is>
          <t>Lucas Lopes</t>
        </is>
      </c>
      <c r="F1210" s="38" t="inlineStr">
        <is>
          <t>Particular</t>
        </is>
      </c>
      <c r="G1210" s="38" t="inlineStr">
        <is>
          <t>MAPA</t>
        </is>
      </c>
      <c r="H1210" s="38" t="inlineStr">
        <is>
          <t>Agendado</t>
        </is>
      </c>
      <c r="I1210" s="38" t="n"/>
      <c r="J1210" s="38" t="n"/>
      <c r="K1210" s="37" t="n"/>
      <c r="L1210" s="39" t="n">
        <v>20</v>
      </c>
      <c r="M1210" s="40" t="n">
        <v>300</v>
      </c>
      <c r="N1210" s="30">
        <f>IF(A1210="","",MONTH(A1210))</f>
        <v>10</v>
      </c>
      <c r="O1210" s="30">
        <f>IF(A1210="","",YEAR(A1210))</f>
        <v>2026</v>
      </c>
      <c r="P1210" s="30" t="str">
        <f>IF(A1210="","",CHOOSE(WEEKDAY(A1210,2),"Segunda","Terça","Quarta","Quinta","Sexta","Sábado","Domingo"))</f>
        <v>Quinta</v>
      </c>
      <c r="Q1210" s="30" t="str">
        <f>IF(B1210="","",IF(B1210&lt;TIME(12,0,0),"Manhã",IF(B1210&lt;TIME(18,0,0),"Tarde","Noite")))</f>
        <v>Tarde</v>
      </c>
      <c r="R1210" s="46">
        <f>IF(AND(H1210="Realizado",L1210&lt;&gt;"",A1210&lt;=Config!$B$9),L1210/60,0)</f>
        <v>0</v>
      </c>
      <c r="S1210" s="45">
        <f>IF(G1210="","",IFERROR(INDEX(Config!$K$5:$K$16,MATCH(G1210,Config!$J$5:$J$16,0)),""))</f>
        <v>20</v>
      </c>
      <c r="T1210" s="31">
        <f>IF(OR(G1210="",F1210=""),"",IFERROR(INDEX(Config!$M$5:$R$16,MATCH(G1210,Config!$J$5:$J$16,0),MATCH(F1210,Config!$H$5:$H$10,0)),""))</f>
        <v>300</v>
      </c>
      <c r="U1210" s="47">
        <f>IF(AND(H1210="Realizado",L1210&lt;&gt;""),L1210/60,0)</f>
        <v>0</v>
      </c>
      <c r="V1210" s="47">
        <f>IF(AND(H1210="Realizado",OR(L1210="",M1210="")),1,0)</f>
        <v>0</v>
      </c>
    </row>
    <row r="1211">
      <c r="A1211" s="43" t="n">
        <v>46296</v>
      </c>
      <c r="B1211" s="44" t="n">
        <v>0.6111111111111112</v>
      </c>
      <c r="C1211" s="38" t="inlineStr">
        <is>
          <t>Dr. Paulo Andrade</t>
        </is>
      </c>
      <c r="D1211" s="38" t="inlineStr">
        <is>
          <t>Sala 2</t>
        </is>
      </c>
      <c r="E1211" s="37" t="inlineStr">
        <is>
          <t>Débora Moreira</t>
        </is>
      </c>
      <c r="F1211" s="38" t="inlineStr">
        <is>
          <t>Particular</t>
        </is>
      </c>
      <c r="G1211" s="38" t="inlineStr">
        <is>
          <t>Consulta</t>
        </is>
      </c>
      <c r="H1211" s="38" t="inlineStr">
        <is>
          <t>Agendado</t>
        </is>
      </c>
      <c r="I1211" s="38" t="n"/>
      <c r="J1211" s="38" t="n"/>
      <c r="K1211" s="37" t="n"/>
      <c r="L1211" s="39" t="n">
        <v>30</v>
      </c>
      <c r="M1211" s="40" t="n">
        <v>380</v>
      </c>
      <c r="N1211" s="30">
        <f>IF(A1211="","",MONTH(A1211))</f>
        <v>10</v>
      </c>
      <c r="O1211" s="30">
        <f>IF(A1211="","",YEAR(A1211))</f>
        <v>2026</v>
      </c>
      <c r="P1211" s="30" t="str">
        <f>IF(A1211="","",CHOOSE(WEEKDAY(A1211,2),"Segunda","Terça","Quarta","Quinta","Sexta","Sábado","Domingo"))</f>
        <v>Quinta</v>
      </c>
      <c r="Q1211" s="30" t="str">
        <f>IF(B1211="","",IF(B1211&lt;TIME(12,0,0),"Manhã",IF(B1211&lt;TIME(18,0,0),"Tarde","Noite")))</f>
        <v>Tarde</v>
      </c>
      <c r="R1211" s="46">
        <f>IF(AND(H1211="Realizado",L1211&lt;&gt;"",A1211&lt;=Config!$B$9),L1211/60,0)</f>
        <v>0</v>
      </c>
      <c r="S1211" s="45">
        <f>IF(G1211="","",IFERROR(INDEX(Config!$K$5:$K$16,MATCH(G1211,Config!$J$5:$J$16,0)),""))</f>
        <v>30</v>
      </c>
      <c r="T1211" s="31">
        <f>IF(OR(G1211="",F1211=""),"",IFERROR(INDEX(Config!$M$5:$R$16,MATCH(G1211,Config!$J$5:$J$16,0),MATCH(F1211,Config!$H$5:$H$10,0)),""))</f>
        <v>380</v>
      </c>
      <c r="U1211" s="47">
        <f>IF(AND(H1211="Realizado",L1211&lt;&gt;""),L1211/60,0)</f>
        <v>0</v>
      </c>
      <c r="V1211" s="47">
        <f>IF(AND(H1211="Realizado",OR(L1211="",M1211="")),1,0)</f>
        <v>0</v>
      </c>
    </row>
    <row r="1212">
      <c r="A1212" s="43" t="n">
        <v>46296</v>
      </c>
      <c r="B1212" s="44" t="n">
        <v>0.6319444444444444</v>
      </c>
      <c r="C1212" s="38" t="inlineStr">
        <is>
          <t>Dra. Renata Sousa</t>
        </is>
      </c>
      <c r="D1212" s="38" t="inlineStr">
        <is>
          <t>Sala 1</t>
        </is>
      </c>
      <c r="E1212" s="37" t="inlineStr">
        <is>
          <t>Mariana Gomes</t>
        </is>
      </c>
      <c r="F1212" s="38" t="inlineStr">
        <is>
          <t>Particular</t>
        </is>
      </c>
      <c r="G1212" s="38" t="inlineStr">
        <is>
          <t>Avaliação endócrina</t>
        </is>
      </c>
      <c r="H1212" s="38" t="inlineStr">
        <is>
          <t>Agendado</t>
        </is>
      </c>
      <c r="I1212" s="38" t="n"/>
      <c r="J1212" s="38" t="n"/>
      <c r="K1212" s="37" t="n"/>
      <c r="L1212" s="39" t="n">
        <v>40</v>
      </c>
      <c r="M1212" s="40" t="n">
        <v>400</v>
      </c>
      <c r="N1212" s="30">
        <f>IF(A1212="","",MONTH(A1212))</f>
        <v>10</v>
      </c>
      <c r="O1212" s="30">
        <f>IF(A1212="","",YEAR(A1212))</f>
        <v>2026</v>
      </c>
      <c r="P1212" s="30" t="str">
        <f>IF(A1212="","",CHOOSE(WEEKDAY(A1212,2),"Segunda","Terça","Quarta","Quinta","Sexta","Sábado","Domingo"))</f>
        <v>Quinta</v>
      </c>
      <c r="Q1212" s="30" t="str">
        <f>IF(B1212="","",IF(B1212&lt;TIME(12,0,0),"Manhã",IF(B1212&lt;TIME(18,0,0),"Tarde","Noite")))</f>
        <v>Tarde</v>
      </c>
      <c r="R1212" s="46">
        <f>IF(AND(H1212="Realizado",L1212&lt;&gt;"",A1212&lt;=Config!$B$9),L1212/60,0)</f>
        <v>0</v>
      </c>
      <c r="S1212" s="45">
        <f>IF(G1212="","",IFERROR(INDEX(Config!$K$5:$K$16,MATCH(G1212,Config!$J$5:$J$16,0)),""))</f>
        <v>40</v>
      </c>
      <c r="T1212" s="31">
        <f>IF(OR(G1212="",F1212=""),"",IFERROR(INDEX(Config!$M$5:$R$16,MATCH(G1212,Config!$J$5:$J$16,0),MATCH(F1212,Config!$H$5:$H$10,0)),""))</f>
        <v>400</v>
      </c>
      <c r="U1212" s="47">
        <f>IF(AND(H1212="Realizado",L1212&lt;&gt;""),L1212/60,0)</f>
        <v>0</v>
      </c>
      <c r="V1212" s="47">
        <f>IF(AND(H1212="Realizado",OR(L1212="",M1212="")),1,0)</f>
        <v>0</v>
      </c>
    </row>
    <row r="1213">
      <c r="A1213" s="43" t="n">
        <v>46296</v>
      </c>
      <c r="B1213" s="44" t="n">
        <v>0.6319444444444444</v>
      </c>
      <c r="C1213" s="38" t="inlineStr">
        <is>
          <t>Dr. Paulo Andrade</t>
        </is>
      </c>
      <c r="D1213" s="38" t="inlineStr">
        <is>
          <t>Sala 2</t>
        </is>
      </c>
      <c r="E1213" s="37" t="inlineStr">
        <is>
          <t>Cláudia Castro</t>
        </is>
      </c>
      <c r="F1213" s="38" t="inlineStr">
        <is>
          <t>Vida Care</t>
        </is>
      </c>
      <c r="G1213" s="38" t="inlineStr">
        <is>
          <t>Consulta</t>
        </is>
      </c>
      <c r="H1213" s="38" t="inlineStr">
        <is>
          <t>Agendado</t>
        </is>
      </c>
      <c r="I1213" s="38" t="n"/>
      <c r="J1213" s="38" t="n"/>
      <c r="K1213" s="37" t="n"/>
      <c r="L1213" s="39" t="n">
        <v>30</v>
      </c>
      <c r="M1213" s="40" t="n">
        <v>90</v>
      </c>
      <c r="N1213" s="30">
        <f>IF(A1213="","",MONTH(A1213))</f>
        <v>10</v>
      </c>
      <c r="O1213" s="30">
        <f>IF(A1213="","",YEAR(A1213))</f>
        <v>2026</v>
      </c>
      <c r="P1213" s="30" t="str">
        <f>IF(A1213="","",CHOOSE(WEEKDAY(A1213,2),"Segunda","Terça","Quarta","Quinta","Sexta","Sábado","Domingo"))</f>
        <v>Quinta</v>
      </c>
      <c r="Q1213" s="30" t="str">
        <f>IF(B1213="","",IF(B1213&lt;TIME(12,0,0),"Manhã",IF(B1213&lt;TIME(18,0,0),"Tarde","Noite")))</f>
        <v>Tarde</v>
      </c>
      <c r="R1213" s="46">
        <f>IF(AND(H1213="Realizado",L1213&lt;&gt;"",A1213&lt;=Config!$B$9),L1213/60,0)</f>
        <v>0</v>
      </c>
      <c r="S1213" s="45">
        <f>IF(G1213="","",IFERROR(INDEX(Config!$K$5:$K$16,MATCH(G1213,Config!$J$5:$J$16,0)),""))</f>
        <v>30</v>
      </c>
      <c r="T1213" s="31">
        <f>IF(OR(G1213="",F1213=""),"",IFERROR(INDEX(Config!$M$5:$R$16,MATCH(G1213,Config!$J$5:$J$16,0),MATCH(F1213,Config!$H$5:$H$10,0)),""))</f>
        <v>90</v>
      </c>
      <c r="U1213" s="47">
        <f>IF(AND(H1213="Realizado",L1213&lt;&gt;""),L1213/60,0)</f>
        <v>0</v>
      </c>
      <c r="V1213" s="47">
        <f>IF(AND(H1213="Realizado",OR(L1213="",M1213="")),1,0)</f>
        <v>0</v>
      </c>
    </row>
    <row r="1214">
      <c r="A1214" s="43" t="n">
        <v>46296</v>
      </c>
      <c r="B1214" s="44" t="n">
        <v>0.6527777777777778</v>
      </c>
      <c r="C1214" s="38" t="inlineStr">
        <is>
          <t>Dr. Paulo Andrade</t>
        </is>
      </c>
      <c r="D1214" s="38" t="inlineStr">
        <is>
          <t>Sala 2</t>
        </is>
      </c>
      <c r="E1214" s="37" t="inlineStr">
        <is>
          <t>Priscila Nascimento</t>
        </is>
      </c>
      <c r="F1214" s="38" t="inlineStr">
        <is>
          <t>MediPlan</t>
        </is>
      </c>
      <c r="G1214" s="38" t="inlineStr">
        <is>
          <t>Consulta</t>
        </is>
      </c>
      <c r="H1214" s="38" t="inlineStr">
        <is>
          <t>Agendado</t>
        </is>
      </c>
      <c r="I1214" s="38" t="n"/>
      <c r="J1214" s="38" t="n"/>
      <c r="K1214" s="37" t="n"/>
      <c r="L1214" s="39" t="n">
        <v>30</v>
      </c>
      <c r="M1214" s="40" t="n">
        <v>100</v>
      </c>
      <c r="N1214" s="30">
        <f>IF(A1214="","",MONTH(A1214))</f>
        <v>10</v>
      </c>
      <c r="O1214" s="30">
        <f>IF(A1214="","",YEAR(A1214))</f>
        <v>2026</v>
      </c>
      <c r="P1214" s="30" t="str">
        <f>IF(A1214="","",CHOOSE(WEEKDAY(A1214,2),"Segunda","Terça","Quarta","Quinta","Sexta","Sábado","Domingo"))</f>
        <v>Quinta</v>
      </c>
      <c r="Q1214" s="30" t="str">
        <f>IF(B1214="","",IF(B1214&lt;TIME(12,0,0),"Manhã",IF(B1214&lt;TIME(18,0,0),"Tarde","Noite")))</f>
        <v>Tarde</v>
      </c>
      <c r="R1214" s="46">
        <f>IF(AND(H1214="Realizado",L1214&lt;&gt;"",A1214&lt;=Config!$B$9),L1214/60,0)</f>
        <v>0</v>
      </c>
      <c r="S1214" s="45">
        <f>IF(G1214="","",IFERROR(INDEX(Config!$K$5:$K$16,MATCH(G1214,Config!$J$5:$J$16,0)),""))</f>
        <v>30</v>
      </c>
      <c r="T1214" s="31">
        <f>IF(OR(G1214="",F1214=""),"",IFERROR(INDEX(Config!$M$5:$R$16,MATCH(G1214,Config!$J$5:$J$16,0),MATCH(F1214,Config!$H$5:$H$10,0)),""))</f>
        <v>100</v>
      </c>
      <c r="U1214" s="47">
        <f>IF(AND(H1214="Realizado",L1214&lt;&gt;""),L1214/60,0)</f>
        <v>0</v>
      </c>
      <c r="V1214" s="47">
        <f>IF(AND(H1214="Realizado",OR(L1214="",M1214="")),1,0)</f>
        <v>0</v>
      </c>
    </row>
    <row r="1215">
      <c r="A1215" s="43" t="n">
        <v>46296</v>
      </c>
      <c r="B1215" s="44" t="n">
        <v>0.6597222222222222</v>
      </c>
      <c r="C1215" s="38" t="inlineStr">
        <is>
          <t>Dra. Renata Sousa</t>
        </is>
      </c>
      <c r="D1215" s="38" t="inlineStr">
        <is>
          <t>Sala 1</t>
        </is>
      </c>
      <c r="E1215" s="37" t="inlineStr">
        <is>
          <t>Fábio Gomes</t>
        </is>
      </c>
      <c r="F1215" s="38" t="inlineStr">
        <is>
          <t>Particular</t>
        </is>
      </c>
      <c r="G1215" s="38" t="inlineStr">
        <is>
          <t>Retorno</t>
        </is>
      </c>
      <c r="H1215" s="38" t="inlineStr">
        <is>
          <t>Agendado</t>
        </is>
      </c>
      <c r="I1215" s="38" t="n"/>
      <c r="J1215" s="38" t="n"/>
      <c r="K1215" s="37" t="n"/>
      <c r="L1215" s="39" t="n">
        <v>20</v>
      </c>
      <c r="M1215" s="40" t="n">
        <v>0</v>
      </c>
      <c r="N1215" s="30">
        <f>IF(A1215="","",MONTH(A1215))</f>
        <v>10</v>
      </c>
      <c r="O1215" s="30">
        <f>IF(A1215="","",YEAR(A1215))</f>
        <v>2026</v>
      </c>
      <c r="P1215" s="30" t="str">
        <f>IF(A1215="","",CHOOSE(WEEKDAY(A1215,2),"Segunda","Terça","Quarta","Quinta","Sexta","Sábado","Domingo"))</f>
        <v>Quinta</v>
      </c>
      <c r="Q1215" s="30" t="str">
        <f>IF(B1215="","",IF(B1215&lt;TIME(12,0,0),"Manhã",IF(B1215&lt;TIME(18,0,0),"Tarde","Noite")))</f>
        <v>Tarde</v>
      </c>
      <c r="R1215" s="46">
        <f>IF(AND(H1215="Realizado",L1215&lt;&gt;"",A1215&lt;=Config!$B$9),L1215/60,0)</f>
        <v>0</v>
      </c>
      <c r="S1215" s="45">
        <f>IF(G1215="","",IFERROR(INDEX(Config!$K$5:$K$16,MATCH(G1215,Config!$J$5:$J$16,0)),""))</f>
        <v>20</v>
      </c>
      <c r="T1215" s="31">
        <f>IF(OR(G1215="",F1215=""),"",IFERROR(INDEX(Config!$M$5:$R$16,MATCH(G1215,Config!$J$5:$J$16,0),MATCH(F1215,Config!$H$5:$H$10,0)),""))</f>
        <v>0</v>
      </c>
      <c r="U1215" s="47">
        <f>IF(AND(H1215="Realizado",L1215&lt;&gt;""),L1215/60,0)</f>
        <v>0</v>
      </c>
      <c r="V1215" s="47">
        <f>IF(AND(H1215="Realizado",OR(L1215="",M1215="")),1,0)</f>
        <v>0</v>
      </c>
    </row>
    <row r="1216">
      <c r="A1216" s="43" t="n">
        <v>46296</v>
      </c>
      <c r="B1216" s="44" t="n">
        <v>0.6736111111111112</v>
      </c>
      <c r="C1216" s="38" t="inlineStr">
        <is>
          <t>Dr. Paulo Andrade</t>
        </is>
      </c>
      <c r="D1216" s="38" t="inlineStr">
        <is>
          <t>Sala 2</t>
        </is>
      </c>
      <c r="E1216" s="37" t="inlineStr">
        <is>
          <t>Rodrigo Teixeira</t>
        </is>
      </c>
      <c r="F1216" s="38" t="inlineStr">
        <is>
          <t>Vida Care</t>
        </is>
      </c>
      <c r="G1216" s="38" t="inlineStr">
        <is>
          <t>ECG</t>
        </is>
      </c>
      <c r="H1216" s="38" t="inlineStr">
        <is>
          <t>Agendado</t>
        </is>
      </c>
      <c r="I1216" s="38" t="n"/>
      <c r="J1216" s="38" t="n"/>
      <c r="K1216" s="37" t="n"/>
      <c r="L1216" s="39" t="n">
        <v>20</v>
      </c>
      <c r="M1216" s="40" t="n">
        <v>32</v>
      </c>
      <c r="N1216" s="30">
        <f>IF(A1216="","",MONTH(A1216))</f>
        <v>10</v>
      </c>
      <c r="O1216" s="30">
        <f>IF(A1216="","",YEAR(A1216))</f>
        <v>2026</v>
      </c>
      <c r="P1216" s="30" t="str">
        <f>IF(A1216="","",CHOOSE(WEEKDAY(A1216,2),"Segunda","Terça","Quarta","Quinta","Sexta","Sábado","Domingo"))</f>
        <v>Quinta</v>
      </c>
      <c r="Q1216" s="30" t="str">
        <f>IF(B1216="","",IF(B1216&lt;TIME(12,0,0),"Manhã",IF(B1216&lt;TIME(18,0,0),"Tarde","Noite")))</f>
        <v>Tarde</v>
      </c>
      <c r="R1216" s="46">
        <f>IF(AND(H1216="Realizado",L1216&lt;&gt;"",A1216&lt;=Config!$B$9),L1216/60,0)</f>
        <v>0</v>
      </c>
      <c r="S1216" s="45">
        <f>IF(G1216="","",IFERROR(INDEX(Config!$K$5:$K$16,MATCH(G1216,Config!$J$5:$J$16,0)),""))</f>
        <v>20</v>
      </c>
      <c r="T1216" s="31">
        <f>IF(OR(G1216="",F1216=""),"",IFERROR(INDEX(Config!$M$5:$R$16,MATCH(G1216,Config!$J$5:$J$16,0),MATCH(F1216,Config!$H$5:$H$10,0)),""))</f>
        <v>32</v>
      </c>
      <c r="U1216" s="47">
        <f>IF(AND(H1216="Realizado",L1216&lt;&gt;""),L1216/60,0)</f>
        <v>0</v>
      </c>
      <c r="V1216" s="47">
        <f>IF(AND(H1216="Realizado",OR(L1216="",M1216="")),1,0)</f>
        <v>0</v>
      </c>
    </row>
    <row r="1217">
      <c r="A1217" s="43" t="n">
        <v>46296</v>
      </c>
      <c r="B1217" s="44" t="n">
        <v>0.6875</v>
      </c>
      <c r="C1217" s="38" t="inlineStr">
        <is>
          <t>Dr. Paulo Andrade</t>
        </is>
      </c>
      <c r="D1217" s="38" t="inlineStr">
        <is>
          <t>Sala 2</t>
        </is>
      </c>
      <c r="E1217" s="37" t="inlineStr">
        <is>
          <t>Paulo Ribeiro</t>
        </is>
      </c>
      <c r="F1217" s="38" t="inlineStr">
        <is>
          <t>Saúde Total</t>
        </is>
      </c>
      <c r="G1217" s="38" t="inlineStr">
        <is>
          <t>Consulta</t>
        </is>
      </c>
      <c r="H1217" s="38" t="inlineStr">
        <is>
          <t>Agendado</t>
        </is>
      </c>
      <c r="I1217" s="38" t="n"/>
      <c r="J1217" s="38" t="n"/>
      <c r="K1217" s="37" t="n"/>
      <c r="L1217" s="39" t="n">
        <v>30</v>
      </c>
      <c r="M1217" s="40" t="n">
        <v>120</v>
      </c>
      <c r="N1217" s="30">
        <f>IF(A1217="","",MONTH(A1217))</f>
        <v>10</v>
      </c>
      <c r="O1217" s="30">
        <f>IF(A1217="","",YEAR(A1217))</f>
        <v>2026</v>
      </c>
      <c r="P1217" s="30" t="str">
        <f>IF(A1217="","",CHOOSE(WEEKDAY(A1217,2),"Segunda","Terça","Quarta","Quinta","Sexta","Sábado","Domingo"))</f>
        <v>Quinta</v>
      </c>
      <c r="Q1217" s="30" t="str">
        <f>IF(B1217="","",IF(B1217&lt;TIME(12,0,0),"Manhã",IF(B1217&lt;TIME(18,0,0),"Tarde","Noite")))</f>
        <v>Tarde</v>
      </c>
      <c r="R1217" s="46">
        <f>IF(AND(H1217="Realizado",L1217&lt;&gt;"",A1217&lt;=Config!$B$9),L1217/60,0)</f>
        <v>0</v>
      </c>
      <c r="S1217" s="45">
        <f>IF(G1217="","",IFERROR(INDEX(Config!$K$5:$K$16,MATCH(G1217,Config!$J$5:$J$16,0)),""))</f>
        <v>30</v>
      </c>
      <c r="T1217" s="31">
        <f>IF(OR(G1217="",F1217=""),"",IFERROR(INDEX(Config!$M$5:$R$16,MATCH(G1217,Config!$J$5:$J$16,0),MATCH(F1217,Config!$H$5:$H$10,0)),""))</f>
        <v>120</v>
      </c>
      <c r="U1217" s="47">
        <f>IF(AND(H1217="Realizado",L1217&lt;&gt;""),L1217/60,0)</f>
        <v>0</v>
      </c>
      <c r="V1217" s="47">
        <f>IF(AND(H1217="Realizado",OR(L1217="",M1217="")),1,0)</f>
        <v>0</v>
      </c>
    </row>
    <row r="1218">
      <c r="A1218" s="43" t="n">
        <v>46296</v>
      </c>
      <c r="B1218" s="44" t="n">
        <v>0.6944444444444444</v>
      </c>
      <c r="C1218" s="38" t="inlineStr">
        <is>
          <t>Dra. Renata Sousa</t>
        </is>
      </c>
      <c r="D1218" s="38" t="inlineStr">
        <is>
          <t>Sala 1</t>
        </is>
      </c>
      <c r="E1218" s="37" t="inlineStr">
        <is>
          <t>Cláudia Melo</t>
        </is>
      </c>
      <c r="F1218" s="38" t="inlineStr">
        <is>
          <t>Particular</t>
        </is>
      </c>
      <c r="G1218" s="38" t="inlineStr">
        <is>
          <t>Avaliação endócrina</t>
        </is>
      </c>
      <c r="H1218" s="38" t="inlineStr">
        <is>
          <t>Agendado</t>
        </is>
      </c>
      <c r="I1218" s="38" t="n"/>
      <c r="J1218" s="38" t="n"/>
      <c r="K1218" s="37" t="n"/>
      <c r="L1218" s="39" t="n">
        <v>40</v>
      </c>
      <c r="M1218" s="40" t="n">
        <v>400</v>
      </c>
      <c r="N1218" s="30">
        <f>IF(A1218="","",MONTH(A1218))</f>
        <v>10</v>
      </c>
      <c r="O1218" s="30">
        <f>IF(A1218="","",YEAR(A1218))</f>
        <v>2026</v>
      </c>
      <c r="P1218" s="30" t="str">
        <f>IF(A1218="","",CHOOSE(WEEKDAY(A1218,2),"Segunda","Terça","Quarta","Quinta","Sexta","Sábado","Domingo"))</f>
        <v>Quinta</v>
      </c>
      <c r="Q1218" s="30" t="str">
        <f>IF(B1218="","",IF(B1218&lt;TIME(12,0,0),"Manhã",IF(B1218&lt;TIME(18,0,0),"Tarde","Noite")))</f>
        <v>Tarde</v>
      </c>
      <c r="R1218" s="46">
        <f>IF(AND(H1218="Realizado",L1218&lt;&gt;"",A1218&lt;=Config!$B$9),L1218/60,0)</f>
        <v>0</v>
      </c>
      <c r="S1218" s="45">
        <f>IF(G1218="","",IFERROR(INDEX(Config!$K$5:$K$16,MATCH(G1218,Config!$J$5:$J$16,0)),""))</f>
        <v>40</v>
      </c>
      <c r="T1218" s="31">
        <f>IF(OR(G1218="",F1218=""),"",IFERROR(INDEX(Config!$M$5:$R$16,MATCH(G1218,Config!$J$5:$J$16,0),MATCH(F1218,Config!$H$5:$H$10,0)),""))</f>
        <v>400</v>
      </c>
      <c r="U1218" s="47">
        <f>IF(AND(H1218="Realizado",L1218&lt;&gt;""),L1218/60,0)</f>
        <v>0</v>
      </c>
      <c r="V1218" s="47">
        <f>IF(AND(H1218="Realizado",OR(L1218="",M1218="")),1,0)</f>
        <v>0</v>
      </c>
    </row>
    <row r="1219">
      <c r="A1219" s="43" t="n">
        <v>46296</v>
      </c>
      <c r="B1219" s="44" t="n">
        <v>0.7083333333333334</v>
      </c>
      <c r="C1219" s="38" t="inlineStr">
        <is>
          <t>Dr. Paulo Andrade</t>
        </is>
      </c>
      <c r="D1219" s="38" t="inlineStr">
        <is>
          <t>Sala 2</t>
        </is>
      </c>
      <c r="E1219" s="37" t="inlineStr">
        <is>
          <t>Mateus Martins</t>
        </is>
      </c>
      <c r="F1219" s="38" t="inlineStr">
        <is>
          <t>Vida Care</t>
        </is>
      </c>
      <c r="G1219" s="38" t="inlineStr">
        <is>
          <t>Consulta</t>
        </is>
      </c>
      <c r="H1219" s="38" t="inlineStr">
        <is>
          <t>Agendado</t>
        </is>
      </c>
      <c r="I1219" s="38" t="n"/>
      <c r="J1219" s="38" t="n"/>
      <c r="K1219" s="37" t="n"/>
      <c r="L1219" s="39" t="n">
        <v>30</v>
      </c>
      <c r="M1219" s="40" t="n">
        <v>90</v>
      </c>
      <c r="N1219" s="30">
        <f>IF(A1219="","",MONTH(A1219))</f>
        <v>10</v>
      </c>
      <c r="O1219" s="30">
        <f>IF(A1219="","",YEAR(A1219))</f>
        <v>2026</v>
      </c>
      <c r="P1219" s="30" t="str">
        <f>IF(A1219="","",CHOOSE(WEEKDAY(A1219,2),"Segunda","Terça","Quarta","Quinta","Sexta","Sábado","Domingo"))</f>
        <v>Quinta</v>
      </c>
      <c r="Q1219" s="30" t="str">
        <f>IF(B1219="","",IF(B1219&lt;TIME(12,0,0),"Manhã",IF(B1219&lt;TIME(18,0,0),"Tarde","Noite")))</f>
        <v>Tarde</v>
      </c>
      <c r="R1219" s="46">
        <f>IF(AND(H1219="Realizado",L1219&lt;&gt;"",A1219&lt;=Config!$B$9),L1219/60,0)</f>
        <v>0</v>
      </c>
      <c r="S1219" s="45">
        <f>IF(G1219="","",IFERROR(INDEX(Config!$K$5:$K$16,MATCH(G1219,Config!$J$5:$J$16,0)),""))</f>
        <v>30</v>
      </c>
      <c r="T1219" s="31">
        <f>IF(OR(G1219="",F1219=""),"",IFERROR(INDEX(Config!$M$5:$R$16,MATCH(G1219,Config!$J$5:$J$16,0),MATCH(F1219,Config!$H$5:$H$10,0)),""))</f>
        <v>90</v>
      </c>
      <c r="U1219" s="47">
        <f>IF(AND(H1219="Realizado",L1219&lt;&gt;""),L1219/60,0)</f>
        <v>0</v>
      </c>
      <c r="V1219" s="47">
        <f>IF(AND(H1219="Realizado",OR(L1219="",M1219="")),1,0)</f>
        <v>0</v>
      </c>
    </row>
    <row r="1220">
      <c r="A1220" s="43" t="n">
        <v>46296</v>
      </c>
      <c r="B1220" s="44" t="n">
        <v>0.7222222222222222</v>
      </c>
      <c r="C1220" s="38" t="inlineStr">
        <is>
          <t>Dra. Renata Sousa</t>
        </is>
      </c>
      <c r="D1220" s="38" t="inlineStr">
        <is>
          <t>Sala 1</t>
        </is>
      </c>
      <c r="E1220" s="37" t="inlineStr">
        <is>
          <t>Rodrigo Cardoso</t>
        </is>
      </c>
      <c r="F1220" s="38" t="inlineStr">
        <is>
          <t>Saúde Total</t>
        </is>
      </c>
      <c r="G1220" s="38" t="inlineStr">
        <is>
          <t>Avaliação endócrina</t>
        </is>
      </c>
      <c r="H1220" s="38" t="inlineStr">
        <is>
          <t>Agendado</t>
        </is>
      </c>
      <c r="I1220" s="38" t="n"/>
      <c r="J1220" s="38" t="n"/>
      <c r="K1220" s="37" t="n"/>
      <c r="L1220" s="39" t="n">
        <v>40</v>
      </c>
      <c r="M1220" s="40" t="n">
        <v>130</v>
      </c>
      <c r="N1220" s="30">
        <f>IF(A1220="","",MONTH(A1220))</f>
        <v>10</v>
      </c>
      <c r="O1220" s="30">
        <f>IF(A1220="","",YEAR(A1220))</f>
        <v>2026</v>
      </c>
      <c r="P1220" s="30" t="str">
        <f>IF(A1220="","",CHOOSE(WEEKDAY(A1220,2),"Segunda","Terça","Quarta","Quinta","Sexta","Sábado","Domingo"))</f>
        <v>Quinta</v>
      </c>
      <c r="Q1220" s="30" t="str">
        <f>IF(B1220="","",IF(B1220&lt;TIME(12,0,0),"Manhã",IF(B1220&lt;TIME(18,0,0),"Tarde","Noite")))</f>
        <v>Tarde</v>
      </c>
      <c r="R1220" s="46">
        <f>IF(AND(H1220="Realizado",L1220&lt;&gt;"",A1220&lt;=Config!$B$9),L1220/60,0)</f>
        <v>0</v>
      </c>
      <c r="S1220" s="45">
        <f>IF(G1220="","",IFERROR(INDEX(Config!$K$5:$K$16,MATCH(G1220,Config!$J$5:$J$16,0)),""))</f>
        <v>40</v>
      </c>
      <c r="T1220" s="31">
        <f>IF(OR(G1220="",F1220=""),"",IFERROR(INDEX(Config!$M$5:$R$16,MATCH(G1220,Config!$J$5:$J$16,0),MATCH(F1220,Config!$H$5:$H$10,0)),""))</f>
        <v>130</v>
      </c>
      <c r="U1220" s="47">
        <f>IF(AND(H1220="Realizado",L1220&lt;&gt;""),L1220/60,0)</f>
        <v>0</v>
      </c>
      <c r="V1220" s="47">
        <f>IF(AND(H1220="Realizado",OR(L1220="",M1220="")),1,0)</f>
        <v>0</v>
      </c>
    </row>
    <row r="1221">
      <c r="A1221" s="43" t="n">
        <v>46296</v>
      </c>
      <c r="B1221" s="44" t="n">
        <v>0.7291666666666666</v>
      </c>
      <c r="C1221" s="38" t="inlineStr">
        <is>
          <t>Dr. Paulo Andrade</t>
        </is>
      </c>
      <c r="D1221" s="38" t="inlineStr">
        <is>
          <t>Sala 2</t>
        </is>
      </c>
      <c r="E1221" s="37" t="inlineStr">
        <is>
          <t>Leandro Ferreira</t>
        </is>
      </c>
      <c r="F1221" s="38" t="inlineStr">
        <is>
          <t>Saúde Total</t>
        </is>
      </c>
      <c r="G1221" s="38" t="inlineStr">
        <is>
          <t>Consulta</t>
        </is>
      </c>
      <c r="H1221" s="38" t="inlineStr">
        <is>
          <t>Agendado</t>
        </is>
      </c>
      <c r="I1221" s="38" t="n"/>
      <c r="J1221" s="38" t="n"/>
      <c r="K1221" s="37" t="n"/>
      <c r="L1221" s="39" t="n">
        <v>30</v>
      </c>
      <c r="M1221" s="40" t="n">
        <v>120</v>
      </c>
      <c r="N1221" s="30">
        <f>IF(A1221="","",MONTH(A1221))</f>
        <v>10</v>
      </c>
      <c r="O1221" s="30">
        <f>IF(A1221="","",YEAR(A1221))</f>
        <v>2026</v>
      </c>
      <c r="P1221" s="30" t="str">
        <f>IF(A1221="","",CHOOSE(WEEKDAY(A1221,2),"Segunda","Terça","Quarta","Quinta","Sexta","Sábado","Domingo"))</f>
        <v>Quinta</v>
      </c>
      <c r="Q1221" s="30" t="str">
        <f>IF(B1221="","",IF(B1221&lt;TIME(12,0,0),"Manhã",IF(B1221&lt;TIME(18,0,0),"Tarde","Noite")))</f>
        <v>Tarde</v>
      </c>
      <c r="R1221" s="46">
        <f>IF(AND(H1221="Realizado",L1221&lt;&gt;"",A1221&lt;=Config!$B$9),L1221/60,0)</f>
        <v>0</v>
      </c>
      <c r="S1221" s="45">
        <f>IF(G1221="","",IFERROR(INDEX(Config!$K$5:$K$16,MATCH(G1221,Config!$J$5:$J$16,0)),""))</f>
        <v>30</v>
      </c>
      <c r="T1221" s="31">
        <f>IF(OR(G1221="",F1221=""),"",IFERROR(INDEX(Config!$M$5:$R$16,MATCH(G1221,Config!$J$5:$J$16,0),MATCH(F1221,Config!$H$5:$H$10,0)),""))</f>
        <v>120</v>
      </c>
      <c r="U1221" s="47">
        <f>IF(AND(H1221="Realizado",L1221&lt;&gt;""),L1221/60,0)</f>
        <v>0</v>
      </c>
      <c r="V1221" s="47">
        <f>IF(AND(H1221="Realizado",OR(L1221="",M1221="")),1,0)</f>
        <v>0</v>
      </c>
    </row>
    <row r="1222">
      <c r="A1222" s="43" t="n">
        <v>46297</v>
      </c>
      <c r="B1222" s="44" t="n">
        <v>0.3333333333333333</v>
      </c>
      <c r="C1222" s="38" t="inlineStr">
        <is>
          <t>Dr. Paulo Andrade</t>
        </is>
      </c>
      <c r="D1222" s="38" t="inlineStr">
        <is>
          <t>Sala 2</t>
        </is>
      </c>
      <c r="E1222" s="37" t="inlineStr">
        <is>
          <t>Viviane Duarte</t>
        </is>
      </c>
      <c r="F1222" s="38" t="inlineStr">
        <is>
          <t>MediPlan</t>
        </is>
      </c>
      <c r="G1222" s="38" t="inlineStr">
        <is>
          <t>Consulta</t>
        </is>
      </c>
      <c r="H1222" s="38" t="inlineStr">
        <is>
          <t>Agendado</t>
        </is>
      </c>
      <c r="I1222" s="38" t="n"/>
      <c r="J1222" s="38" t="n"/>
      <c r="K1222" s="37" t="n"/>
      <c r="L1222" s="39" t="n">
        <v>30</v>
      </c>
      <c r="M1222" s="40" t="n">
        <v>100</v>
      </c>
      <c r="N1222" s="30">
        <f>IF(A1222="","",MONTH(A1222))</f>
        <v>10</v>
      </c>
      <c r="O1222" s="30">
        <f>IF(A1222="","",YEAR(A1222))</f>
        <v>2026</v>
      </c>
      <c r="P1222" s="30" t="str">
        <f>IF(A1222="","",CHOOSE(WEEKDAY(A1222,2),"Segunda","Terça","Quarta","Quinta","Sexta","Sábado","Domingo"))</f>
        <v>Sexta</v>
      </c>
      <c r="Q1222" s="30" t="str">
        <f>IF(B1222="","",IF(B1222&lt;TIME(12,0,0),"Manhã",IF(B1222&lt;TIME(18,0,0),"Tarde","Noite")))</f>
        <v>Manhã</v>
      </c>
      <c r="R1222" s="46">
        <f>IF(AND(H1222="Realizado",L1222&lt;&gt;"",A1222&lt;=Config!$B$9),L1222/60,0)</f>
        <v>0</v>
      </c>
      <c r="S1222" s="45">
        <f>IF(G1222="","",IFERROR(INDEX(Config!$K$5:$K$16,MATCH(G1222,Config!$J$5:$J$16,0)),""))</f>
        <v>30</v>
      </c>
      <c r="T1222" s="31">
        <f>IF(OR(G1222="",F1222=""),"",IFERROR(INDEX(Config!$M$5:$R$16,MATCH(G1222,Config!$J$5:$J$16,0),MATCH(F1222,Config!$H$5:$H$10,0)),""))</f>
        <v>100</v>
      </c>
      <c r="U1222" s="47">
        <f>IF(AND(H1222="Realizado",L1222&lt;&gt;""),L1222/60,0)</f>
        <v>0</v>
      </c>
      <c r="V1222" s="47">
        <f>IF(AND(H1222="Realizado",OR(L1222="",M1222="")),1,0)</f>
        <v>0</v>
      </c>
    </row>
    <row r="1223">
      <c r="A1223" s="43" t="n">
        <v>46297</v>
      </c>
      <c r="B1223" s="44" t="n">
        <v>0.3541666666666667</v>
      </c>
      <c r="C1223" s="38" t="inlineStr">
        <is>
          <t>Dr. Paulo Andrade</t>
        </is>
      </c>
      <c r="D1223" s="38" t="inlineStr">
        <is>
          <t>Sala 2</t>
        </is>
      </c>
      <c r="E1223" s="37" t="inlineStr">
        <is>
          <t>Carlos Oliveira</t>
        </is>
      </c>
      <c r="F1223" s="38" t="inlineStr">
        <is>
          <t>Particular</t>
        </is>
      </c>
      <c r="G1223" s="38" t="inlineStr">
        <is>
          <t>Consulta</t>
        </is>
      </c>
      <c r="H1223" s="38" t="inlineStr">
        <is>
          <t>Agendado</t>
        </is>
      </c>
      <c r="I1223" s="38" t="n"/>
      <c r="J1223" s="38" t="n"/>
      <c r="K1223" s="37" t="n"/>
      <c r="L1223" s="39" t="n">
        <v>30</v>
      </c>
      <c r="M1223" s="40" t="n">
        <v>380</v>
      </c>
      <c r="N1223" s="30">
        <f>IF(A1223="","",MONTH(A1223))</f>
        <v>10</v>
      </c>
      <c r="O1223" s="30">
        <f>IF(A1223="","",YEAR(A1223))</f>
        <v>2026</v>
      </c>
      <c r="P1223" s="30" t="str">
        <f>IF(A1223="","",CHOOSE(WEEKDAY(A1223,2),"Segunda","Terça","Quarta","Quinta","Sexta","Sábado","Domingo"))</f>
        <v>Sexta</v>
      </c>
      <c r="Q1223" s="30" t="str">
        <f>IF(B1223="","",IF(B1223&lt;TIME(12,0,0),"Manhã",IF(B1223&lt;TIME(18,0,0),"Tarde","Noite")))</f>
        <v>Manhã</v>
      </c>
      <c r="R1223" s="46">
        <f>IF(AND(H1223="Realizado",L1223&lt;&gt;"",A1223&lt;=Config!$B$9),L1223/60,0)</f>
        <v>0</v>
      </c>
      <c r="S1223" s="45">
        <f>IF(G1223="","",IFERROR(INDEX(Config!$K$5:$K$16,MATCH(G1223,Config!$J$5:$J$16,0)),""))</f>
        <v>30</v>
      </c>
      <c r="T1223" s="31">
        <f>IF(OR(G1223="",F1223=""),"",IFERROR(INDEX(Config!$M$5:$R$16,MATCH(G1223,Config!$J$5:$J$16,0),MATCH(F1223,Config!$H$5:$H$10,0)),""))</f>
        <v>380</v>
      </c>
      <c r="U1223" s="47">
        <f>IF(AND(H1223="Realizado",L1223&lt;&gt;""),L1223/60,0)</f>
        <v>0</v>
      </c>
      <c r="V1223" s="47">
        <f>IF(AND(H1223="Realizado",OR(L1223="",M1223="")),1,0)</f>
        <v>0</v>
      </c>
    </row>
    <row r="1224">
      <c r="A1224" s="43" t="n">
        <v>46297</v>
      </c>
      <c r="B1224" s="44" t="n">
        <v>0.3958333333333333</v>
      </c>
      <c r="C1224" s="38" t="inlineStr">
        <is>
          <t>Dr. Paulo Andrade</t>
        </is>
      </c>
      <c r="D1224" s="38" t="inlineStr">
        <is>
          <t>Sala 2</t>
        </is>
      </c>
      <c r="E1224" s="37" t="inlineStr">
        <is>
          <t>Mateus Lima</t>
        </is>
      </c>
      <c r="F1224" s="38" t="inlineStr">
        <is>
          <t>MediPlan</t>
        </is>
      </c>
      <c r="G1224" s="38" t="inlineStr">
        <is>
          <t>MAPA</t>
        </is>
      </c>
      <c r="H1224" s="38" t="inlineStr">
        <is>
          <t>Agendado</t>
        </is>
      </c>
      <c r="I1224" s="38" t="n"/>
      <c r="J1224" s="38" t="n"/>
      <c r="K1224" s="37" t="n"/>
      <c r="L1224" s="39" t="n">
        <v>20</v>
      </c>
      <c r="M1224" s="40" t="n">
        <v>85</v>
      </c>
      <c r="N1224" s="30">
        <f>IF(A1224="","",MONTH(A1224))</f>
        <v>10</v>
      </c>
      <c r="O1224" s="30">
        <f>IF(A1224="","",YEAR(A1224))</f>
        <v>2026</v>
      </c>
      <c r="P1224" s="30" t="str">
        <f>IF(A1224="","",CHOOSE(WEEKDAY(A1224,2),"Segunda","Terça","Quarta","Quinta","Sexta","Sábado","Domingo"))</f>
        <v>Sexta</v>
      </c>
      <c r="Q1224" s="30" t="str">
        <f>IF(B1224="","",IF(B1224&lt;TIME(12,0,0),"Manhã",IF(B1224&lt;TIME(18,0,0),"Tarde","Noite")))</f>
        <v>Manhã</v>
      </c>
      <c r="R1224" s="46">
        <f>IF(AND(H1224="Realizado",L1224&lt;&gt;"",A1224&lt;=Config!$B$9),L1224/60,0)</f>
        <v>0</v>
      </c>
      <c r="S1224" s="45">
        <f>IF(G1224="","",IFERROR(INDEX(Config!$K$5:$K$16,MATCH(G1224,Config!$J$5:$J$16,0)),""))</f>
        <v>20</v>
      </c>
      <c r="T1224" s="31">
        <f>IF(OR(G1224="",F1224=""),"",IFERROR(INDEX(Config!$M$5:$R$16,MATCH(G1224,Config!$J$5:$J$16,0),MATCH(F1224,Config!$H$5:$H$10,0)),""))</f>
        <v>85</v>
      </c>
      <c r="U1224" s="47">
        <f>IF(AND(H1224="Realizado",L1224&lt;&gt;""),L1224/60,0)</f>
        <v>0</v>
      </c>
      <c r="V1224" s="47">
        <f>IF(AND(H1224="Realizado",OR(L1224="",M1224="")),1,0)</f>
        <v>0</v>
      </c>
    </row>
    <row r="1225">
      <c r="A1225" s="43" t="n">
        <v>46297</v>
      </c>
      <c r="B1225" s="44" t="n">
        <v>0.4097222222222222</v>
      </c>
      <c r="C1225" s="38" t="inlineStr">
        <is>
          <t>Dr. Paulo Andrade</t>
        </is>
      </c>
      <c r="D1225" s="38" t="inlineStr">
        <is>
          <t>Sala 2</t>
        </is>
      </c>
      <c r="E1225" s="37" t="inlineStr">
        <is>
          <t>Sandra Cardoso</t>
        </is>
      </c>
      <c r="F1225" s="38" t="inlineStr">
        <is>
          <t>Saúde Total</t>
        </is>
      </c>
      <c r="G1225" s="38" t="inlineStr">
        <is>
          <t>Consulta</t>
        </is>
      </c>
      <c r="H1225" s="38" t="inlineStr">
        <is>
          <t>Agendado</t>
        </is>
      </c>
      <c r="I1225" s="38" t="n"/>
      <c r="J1225" s="38" t="n"/>
      <c r="K1225" s="37" t="n"/>
      <c r="L1225" s="39" t="n">
        <v>30</v>
      </c>
      <c r="M1225" s="40" t="n">
        <v>120</v>
      </c>
      <c r="N1225" s="30">
        <f>IF(A1225="","",MONTH(A1225))</f>
        <v>10</v>
      </c>
      <c r="O1225" s="30">
        <f>IF(A1225="","",YEAR(A1225))</f>
        <v>2026</v>
      </c>
      <c r="P1225" s="30" t="str">
        <f>IF(A1225="","",CHOOSE(WEEKDAY(A1225,2),"Segunda","Terça","Quarta","Quinta","Sexta","Sábado","Domingo"))</f>
        <v>Sexta</v>
      </c>
      <c r="Q1225" s="30" t="str">
        <f>IF(B1225="","",IF(B1225&lt;TIME(12,0,0),"Manhã",IF(B1225&lt;TIME(18,0,0),"Tarde","Noite")))</f>
        <v>Manhã</v>
      </c>
      <c r="R1225" s="46">
        <f>IF(AND(H1225="Realizado",L1225&lt;&gt;"",A1225&lt;=Config!$B$9),L1225/60,0)</f>
        <v>0</v>
      </c>
      <c r="S1225" s="45">
        <f>IF(G1225="","",IFERROR(INDEX(Config!$K$5:$K$16,MATCH(G1225,Config!$J$5:$J$16,0)),""))</f>
        <v>30</v>
      </c>
      <c r="T1225" s="31">
        <f>IF(OR(G1225="",F1225=""),"",IFERROR(INDEX(Config!$M$5:$R$16,MATCH(G1225,Config!$J$5:$J$16,0),MATCH(F1225,Config!$H$5:$H$10,0)),""))</f>
        <v>120</v>
      </c>
      <c r="U1225" s="47">
        <f>IF(AND(H1225="Realizado",L1225&lt;&gt;""),L1225/60,0)</f>
        <v>0</v>
      </c>
      <c r="V1225" s="47">
        <f>IF(AND(H1225="Realizado",OR(L1225="",M1225="")),1,0)</f>
        <v>0</v>
      </c>
    </row>
    <row r="1226">
      <c r="A1226" s="43" t="n">
        <v>46297</v>
      </c>
      <c r="B1226" s="44" t="n">
        <v>0.4305555555555556</v>
      </c>
      <c r="C1226" s="38" t="inlineStr">
        <is>
          <t>Dr. Paulo Andrade</t>
        </is>
      </c>
      <c r="D1226" s="38" t="inlineStr">
        <is>
          <t>Sala 2</t>
        </is>
      </c>
      <c r="E1226" s="37" t="inlineStr">
        <is>
          <t>Rodrigo Moreira</t>
        </is>
      </c>
      <c r="F1226" s="38" t="inlineStr">
        <is>
          <t>Particular</t>
        </is>
      </c>
      <c r="G1226" s="38" t="inlineStr">
        <is>
          <t>Teste ergométrico</t>
        </is>
      </c>
      <c r="H1226" s="38" t="inlineStr">
        <is>
          <t>Agendado</t>
        </is>
      </c>
      <c r="I1226" s="38" t="n"/>
      <c r="J1226" s="38" t="n"/>
      <c r="K1226" s="37" t="n"/>
      <c r="L1226" s="39" t="n">
        <v>40</v>
      </c>
      <c r="M1226" s="40" t="n">
        <v>450</v>
      </c>
      <c r="N1226" s="30">
        <f>IF(A1226="","",MONTH(A1226))</f>
        <v>10</v>
      </c>
      <c r="O1226" s="30">
        <f>IF(A1226="","",YEAR(A1226))</f>
        <v>2026</v>
      </c>
      <c r="P1226" s="30" t="str">
        <f>IF(A1226="","",CHOOSE(WEEKDAY(A1226,2),"Segunda","Terça","Quarta","Quinta","Sexta","Sábado","Domingo"))</f>
        <v>Sexta</v>
      </c>
      <c r="Q1226" s="30" t="str">
        <f>IF(B1226="","",IF(B1226&lt;TIME(12,0,0),"Manhã",IF(B1226&lt;TIME(18,0,0),"Tarde","Noite")))</f>
        <v>Manhã</v>
      </c>
      <c r="R1226" s="46">
        <f>IF(AND(H1226="Realizado",L1226&lt;&gt;"",A1226&lt;=Config!$B$9),L1226/60,0)</f>
        <v>0</v>
      </c>
      <c r="S1226" s="45">
        <f>IF(G1226="","",IFERROR(INDEX(Config!$K$5:$K$16,MATCH(G1226,Config!$J$5:$J$16,0)),""))</f>
        <v>40</v>
      </c>
      <c r="T1226" s="31">
        <f>IF(OR(G1226="",F1226=""),"",IFERROR(INDEX(Config!$M$5:$R$16,MATCH(G1226,Config!$J$5:$J$16,0),MATCH(F1226,Config!$H$5:$H$10,0)),""))</f>
        <v>450</v>
      </c>
      <c r="U1226" s="47">
        <f>IF(AND(H1226="Realizado",L1226&lt;&gt;""),L1226/60,0)</f>
        <v>0</v>
      </c>
      <c r="V1226" s="47">
        <f>IF(AND(H1226="Realizado",OR(L1226="",M1226="")),1,0)</f>
        <v>0</v>
      </c>
    </row>
    <row r="1227">
      <c r="A1227" s="43" t="n">
        <v>46297</v>
      </c>
      <c r="B1227" s="44" t="n">
        <v>0.4583333333333333</v>
      </c>
      <c r="C1227" s="38" t="inlineStr">
        <is>
          <t>Dr. Paulo Andrade</t>
        </is>
      </c>
      <c r="D1227" s="38" t="inlineStr">
        <is>
          <t>Sala 2</t>
        </is>
      </c>
      <c r="E1227" s="37" t="inlineStr">
        <is>
          <t>Tatiana Cunha</t>
        </is>
      </c>
      <c r="F1227" s="38" t="inlineStr">
        <is>
          <t>Saúde Total</t>
        </is>
      </c>
      <c r="G1227" s="38" t="inlineStr">
        <is>
          <t>ECG</t>
        </is>
      </c>
      <c r="H1227" s="38" t="inlineStr">
        <is>
          <t>Agendado</t>
        </is>
      </c>
      <c r="I1227" s="38" t="n"/>
      <c r="J1227" s="38" t="n"/>
      <c r="K1227" s="37" t="n"/>
      <c r="L1227" s="39" t="n">
        <v>20</v>
      </c>
      <c r="M1227" s="40" t="n">
        <v>40</v>
      </c>
      <c r="N1227" s="30">
        <f>IF(A1227="","",MONTH(A1227))</f>
        <v>10</v>
      </c>
      <c r="O1227" s="30">
        <f>IF(A1227="","",YEAR(A1227))</f>
        <v>2026</v>
      </c>
      <c r="P1227" s="30" t="str">
        <f>IF(A1227="","",CHOOSE(WEEKDAY(A1227,2),"Segunda","Terça","Quarta","Quinta","Sexta","Sábado","Domingo"))</f>
        <v>Sexta</v>
      </c>
      <c r="Q1227" s="30" t="str">
        <f>IF(B1227="","",IF(B1227&lt;TIME(12,0,0),"Manhã",IF(B1227&lt;TIME(18,0,0),"Tarde","Noite")))</f>
        <v>Manhã</v>
      </c>
      <c r="R1227" s="46">
        <f>IF(AND(H1227="Realizado",L1227&lt;&gt;"",A1227&lt;=Config!$B$9),L1227/60,0)</f>
        <v>0</v>
      </c>
      <c r="S1227" s="45">
        <f>IF(G1227="","",IFERROR(INDEX(Config!$K$5:$K$16,MATCH(G1227,Config!$J$5:$J$16,0)),""))</f>
        <v>20</v>
      </c>
      <c r="T1227" s="31">
        <f>IF(OR(G1227="",F1227=""),"",IFERROR(INDEX(Config!$M$5:$R$16,MATCH(G1227,Config!$J$5:$J$16,0),MATCH(F1227,Config!$H$5:$H$10,0)),""))</f>
        <v>40</v>
      </c>
      <c r="U1227" s="47">
        <f>IF(AND(H1227="Realizado",L1227&lt;&gt;""),L1227/60,0)</f>
        <v>0</v>
      </c>
      <c r="V1227" s="47">
        <f>IF(AND(H1227="Realizado",OR(L1227="",M1227="")),1,0)</f>
        <v>0</v>
      </c>
    </row>
    <row r="1228">
      <c r="A1228" s="43" t="n">
        <v>46300</v>
      </c>
      <c r="B1228" s="44" t="n">
        <v>0.3333333333333333</v>
      </c>
      <c r="C1228" s="38" t="inlineStr">
        <is>
          <t>Dra. Carolina Mendes</t>
        </is>
      </c>
      <c r="D1228" s="38" t="inlineStr">
        <is>
          <t>Sala 1</t>
        </is>
      </c>
      <c r="E1228" s="37" t="inlineStr">
        <is>
          <t>Débora Machado</t>
        </is>
      </c>
      <c r="F1228" s="38" t="inlineStr">
        <is>
          <t>Saúde Total</t>
        </is>
      </c>
      <c r="G1228" s="38" t="inlineStr">
        <is>
          <t>Consulta</t>
        </is>
      </c>
      <c r="H1228" s="38" t="inlineStr">
        <is>
          <t>Agendado</t>
        </is>
      </c>
      <c r="I1228" s="38" t="n"/>
      <c r="J1228" s="38" t="n"/>
      <c r="K1228" s="37" t="n"/>
      <c r="L1228" s="39" t="n">
        <v>30</v>
      </c>
      <c r="M1228" s="40" t="n">
        <v>120</v>
      </c>
      <c r="N1228" s="30">
        <f>IF(A1228="","",MONTH(A1228))</f>
        <v>10</v>
      </c>
      <c r="O1228" s="30">
        <f>IF(A1228="","",YEAR(A1228))</f>
        <v>2026</v>
      </c>
      <c r="P1228" s="30" t="str">
        <f>IF(A1228="","",CHOOSE(WEEKDAY(A1228,2),"Segunda","Terça","Quarta","Quinta","Sexta","Sábado","Domingo"))</f>
        <v>Segunda</v>
      </c>
      <c r="Q1228" s="30" t="str">
        <f>IF(B1228="","",IF(B1228&lt;TIME(12,0,0),"Manhã",IF(B1228&lt;TIME(18,0,0),"Tarde","Noite")))</f>
        <v>Manhã</v>
      </c>
      <c r="R1228" s="46">
        <f>IF(AND(H1228="Realizado",L1228&lt;&gt;"",A1228&lt;=Config!$B$9),L1228/60,0)</f>
        <v>0</v>
      </c>
      <c r="S1228" s="45">
        <f>IF(G1228="","",IFERROR(INDEX(Config!$K$5:$K$16,MATCH(G1228,Config!$J$5:$J$16,0)),""))</f>
        <v>30</v>
      </c>
      <c r="T1228" s="31">
        <f>IF(OR(G1228="",F1228=""),"",IFERROR(INDEX(Config!$M$5:$R$16,MATCH(G1228,Config!$J$5:$J$16,0),MATCH(F1228,Config!$H$5:$H$10,0)),""))</f>
        <v>120</v>
      </c>
      <c r="U1228" s="47">
        <f>IF(AND(H1228="Realizado",L1228&lt;&gt;""),L1228/60,0)</f>
        <v>0</v>
      </c>
      <c r="V1228" s="47">
        <f>IF(AND(H1228="Realizado",OR(L1228="",M1228="")),1,0)</f>
        <v>0</v>
      </c>
    </row>
    <row r="1229">
      <c r="A1229" s="43" t="n">
        <v>46300</v>
      </c>
      <c r="B1229" s="44" t="n">
        <v>0.3541666666666667</v>
      </c>
      <c r="C1229" s="38" t="inlineStr">
        <is>
          <t>Dra. Carolina Mendes</t>
        </is>
      </c>
      <c r="D1229" s="38" t="inlineStr">
        <is>
          <t>Sala 1</t>
        </is>
      </c>
      <c r="E1229" s="37" t="inlineStr">
        <is>
          <t>Juliana Silva</t>
        </is>
      </c>
      <c r="F1229" s="38" t="inlineStr">
        <is>
          <t>Vida Care</t>
        </is>
      </c>
      <c r="G1229" s="38" t="inlineStr">
        <is>
          <t>Consulta</t>
        </is>
      </c>
      <c r="H1229" s="38" t="inlineStr">
        <is>
          <t>Agendado</t>
        </is>
      </c>
      <c r="I1229" s="38" t="n"/>
      <c r="J1229" s="38" t="n"/>
      <c r="K1229" s="37" t="n"/>
      <c r="L1229" s="39" t="n">
        <v>30</v>
      </c>
      <c r="M1229" s="40" t="n">
        <v>90</v>
      </c>
      <c r="N1229" s="30">
        <f>IF(A1229="","",MONTH(A1229))</f>
        <v>10</v>
      </c>
      <c r="O1229" s="30">
        <f>IF(A1229="","",YEAR(A1229))</f>
        <v>2026</v>
      </c>
      <c r="P1229" s="30" t="str">
        <f>IF(A1229="","",CHOOSE(WEEKDAY(A1229,2),"Segunda","Terça","Quarta","Quinta","Sexta","Sábado","Domingo"))</f>
        <v>Segunda</v>
      </c>
      <c r="Q1229" s="30" t="str">
        <f>IF(B1229="","",IF(B1229&lt;TIME(12,0,0),"Manhã",IF(B1229&lt;TIME(18,0,0),"Tarde","Noite")))</f>
        <v>Manhã</v>
      </c>
      <c r="R1229" s="46">
        <f>IF(AND(H1229="Realizado",L1229&lt;&gt;"",A1229&lt;=Config!$B$9),L1229/60,0)</f>
        <v>0</v>
      </c>
      <c r="S1229" s="45">
        <f>IF(G1229="","",IFERROR(INDEX(Config!$K$5:$K$16,MATCH(G1229,Config!$J$5:$J$16,0)),""))</f>
        <v>30</v>
      </c>
      <c r="T1229" s="31">
        <f>IF(OR(G1229="",F1229=""),"",IFERROR(INDEX(Config!$M$5:$R$16,MATCH(G1229,Config!$J$5:$J$16,0),MATCH(F1229,Config!$H$5:$H$10,0)),""))</f>
        <v>90</v>
      </c>
      <c r="U1229" s="47">
        <f>IF(AND(H1229="Realizado",L1229&lt;&gt;""),L1229/60,0)</f>
        <v>0</v>
      </c>
      <c r="V1229" s="47">
        <f>IF(AND(H1229="Realizado",OR(L1229="",M1229="")),1,0)</f>
        <v>0</v>
      </c>
    </row>
    <row r="1230">
      <c r="A1230" s="43" t="n">
        <v>46300</v>
      </c>
      <c r="B1230" s="44" t="n">
        <v>0.375</v>
      </c>
      <c r="C1230" s="38" t="inlineStr">
        <is>
          <t>Dra. Carolina Mendes</t>
        </is>
      </c>
      <c r="D1230" s="38" t="inlineStr">
        <is>
          <t>Sala 1</t>
        </is>
      </c>
      <c r="E1230" s="37" t="inlineStr">
        <is>
          <t>Ricardo Melo</t>
        </is>
      </c>
      <c r="F1230" s="38" t="inlineStr">
        <is>
          <t>Saúde Total</t>
        </is>
      </c>
      <c r="G1230" s="38" t="inlineStr">
        <is>
          <t>Consulta</t>
        </is>
      </c>
      <c r="H1230" s="38" t="inlineStr">
        <is>
          <t>Agendado</t>
        </is>
      </c>
      <c r="I1230" s="38" t="n"/>
      <c r="J1230" s="38" t="n"/>
      <c r="K1230" s="37" t="n"/>
      <c r="L1230" s="39" t="n">
        <v>30</v>
      </c>
      <c r="M1230" s="40" t="n">
        <v>120</v>
      </c>
      <c r="N1230" s="30">
        <f>IF(A1230="","",MONTH(A1230))</f>
        <v>10</v>
      </c>
      <c r="O1230" s="30">
        <f>IF(A1230="","",YEAR(A1230))</f>
        <v>2026</v>
      </c>
      <c r="P1230" s="30" t="str">
        <f>IF(A1230="","",CHOOSE(WEEKDAY(A1230,2),"Segunda","Terça","Quarta","Quinta","Sexta","Sábado","Domingo"))</f>
        <v>Segunda</v>
      </c>
      <c r="Q1230" s="30" t="str">
        <f>IF(B1230="","",IF(B1230&lt;TIME(12,0,0),"Manhã",IF(B1230&lt;TIME(18,0,0),"Tarde","Noite")))</f>
        <v>Manhã</v>
      </c>
      <c r="R1230" s="46">
        <f>IF(AND(H1230="Realizado",L1230&lt;&gt;"",A1230&lt;=Config!$B$9),L1230/60,0)</f>
        <v>0</v>
      </c>
      <c r="S1230" s="45">
        <f>IF(G1230="","",IFERROR(INDEX(Config!$K$5:$K$16,MATCH(G1230,Config!$J$5:$J$16,0)),""))</f>
        <v>30</v>
      </c>
      <c r="T1230" s="31">
        <f>IF(OR(G1230="",F1230=""),"",IFERROR(INDEX(Config!$M$5:$R$16,MATCH(G1230,Config!$J$5:$J$16,0),MATCH(F1230,Config!$H$5:$H$10,0)),""))</f>
        <v>120</v>
      </c>
      <c r="U1230" s="47">
        <f>IF(AND(H1230="Realizado",L1230&lt;&gt;""),L1230/60,0)</f>
        <v>0</v>
      </c>
      <c r="V1230" s="47">
        <f>IF(AND(H1230="Realizado",OR(L1230="",M1230="")),1,0)</f>
        <v>0</v>
      </c>
    </row>
    <row r="1231">
      <c r="A1231" s="43" t="n">
        <v>46300</v>
      </c>
      <c r="B1231" s="44" t="n">
        <v>0.4166666666666667</v>
      </c>
      <c r="C1231" s="38" t="inlineStr">
        <is>
          <t>Dra. Carolina Mendes</t>
        </is>
      </c>
      <c r="D1231" s="38" t="inlineStr">
        <is>
          <t>Sala 1</t>
        </is>
      </c>
      <c r="E1231" s="37" t="inlineStr">
        <is>
          <t>Leandro Oliveira</t>
        </is>
      </c>
      <c r="F1231" s="38" t="inlineStr">
        <is>
          <t>Particular</t>
        </is>
      </c>
      <c r="G1231" s="38" t="inlineStr">
        <is>
          <t>Consulta</t>
        </is>
      </c>
      <c r="H1231" s="38" t="inlineStr">
        <is>
          <t>Agendado</t>
        </is>
      </c>
      <c r="I1231" s="38" t="n"/>
      <c r="J1231" s="38" t="n"/>
      <c r="K1231" s="37" t="n"/>
      <c r="L1231" s="39" t="n">
        <v>30</v>
      </c>
      <c r="M1231" s="40" t="n">
        <v>380</v>
      </c>
      <c r="N1231" s="30">
        <f>IF(A1231="","",MONTH(A1231))</f>
        <v>10</v>
      </c>
      <c r="O1231" s="30">
        <f>IF(A1231="","",YEAR(A1231))</f>
        <v>2026</v>
      </c>
      <c r="P1231" s="30" t="str">
        <f>IF(A1231="","",CHOOSE(WEEKDAY(A1231,2),"Segunda","Terça","Quarta","Quinta","Sexta","Sábado","Domingo"))</f>
        <v>Segunda</v>
      </c>
      <c r="Q1231" s="30" t="str">
        <f>IF(B1231="","",IF(B1231&lt;TIME(12,0,0),"Manhã",IF(B1231&lt;TIME(18,0,0),"Tarde","Noite")))</f>
        <v>Manhã</v>
      </c>
      <c r="R1231" s="46">
        <f>IF(AND(H1231="Realizado",L1231&lt;&gt;"",A1231&lt;=Config!$B$9),L1231/60,0)</f>
        <v>0</v>
      </c>
      <c r="S1231" s="45">
        <f>IF(G1231="","",IFERROR(INDEX(Config!$K$5:$K$16,MATCH(G1231,Config!$J$5:$J$16,0)),""))</f>
        <v>30</v>
      </c>
      <c r="T1231" s="31">
        <f>IF(OR(G1231="",F1231=""),"",IFERROR(INDEX(Config!$M$5:$R$16,MATCH(G1231,Config!$J$5:$J$16,0),MATCH(F1231,Config!$H$5:$H$10,0)),""))</f>
        <v>380</v>
      </c>
      <c r="U1231" s="47">
        <f>IF(AND(H1231="Realizado",L1231&lt;&gt;""),L1231/60,0)</f>
        <v>0</v>
      </c>
      <c r="V1231" s="47">
        <f>IF(AND(H1231="Realizado",OR(L1231="",M1231="")),1,0)</f>
        <v>0</v>
      </c>
    </row>
    <row r="1232">
      <c r="A1232" s="43" t="n">
        <v>46300</v>
      </c>
      <c r="B1232" s="44" t="n">
        <v>0.4375</v>
      </c>
      <c r="C1232" s="38" t="inlineStr">
        <is>
          <t>Dra. Carolina Mendes</t>
        </is>
      </c>
      <c r="D1232" s="38" t="inlineStr">
        <is>
          <t>Sala 1</t>
        </is>
      </c>
      <c r="E1232" s="37" t="inlineStr">
        <is>
          <t>Leandro Gomes</t>
        </is>
      </c>
      <c r="F1232" s="38" t="inlineStr">
        <is>
          <t>Saúde Total</t>
        </is>
      </c>
      <c r="G1232" s="38" t="inlineStr">
        <is>
          <t>Consulta</t>
        </is>
      </c>
      <c r="H1232" s="38" t="inlineStr">
        <is>
          <t>Agendado</t>
        </is>
      </c>
      <c r="I1232" s="38" t="n"/>
      <c r="J1232" s="38" t="n"/>
      <c r="K1232" s="37" t="n"/>
      <c r="L1232" s="39" t="n">
        <v>30</v>
      </c>
      <c r="M1232" s="40" t="n">
        <v>120</v>
      </c>
      <c r="N1232" s="30">
        <f>IF(A1232="","",MONTH(A1232))</f>
        <v>10</v>
      </c>
      <c r="O1232" s="30">
        <f>IF(A1232="","",YEAR(A1232))</f>
        <v>2026</v>
      </c>
      <c r="P1232" s="30" t="str">
        <f>IF(A1232="","",CHOOSE(WEEKDAY(A1232,2),"Segunda","Terça","Quarta","Quinta","Sexta","Sábado","Domingo"))</f>
        <v>Segunda</v>
      </c>
      <c r="Q1232" s="30" t="str">
        <f>IF(B1232="","",IF(B1232&lt;TIME(12,0,0),"Manhã",IF(B1232&lt;TIME(18,0,0),"Tarde","Noite")))</f>
        <v>Manhã</v>
      </c>
      <c r="R1232" s="46">
        <f>IF(AND(H1232="Realizado",L1232&lt;&gt;"",A1232&lt;=Config!$B$9),L1232/60,0)</f>
        <v>0</v>
      </c>
      <c r="S1232" s="45">
        <f>IF(G1232="","",IFERROR(INDEX(Config!$K$5:$K$16,MATCH(G1232,Config!$J$5:$J$16,0)),""))</f>
        <v>30</v>
      </c>
      <c r="T1232" s="31">
        <f>IF(OR(G1232="",F1232=""),"",IFERROR(INDEX(Config!$M$5:$R$16,MATCH(G1232,Config!$J$5:$J$16,0),MATCH(F1232,Config!$H$5:$H$10,0)),""))</f>
        <v>120</v>
      </c>
      <c r="U1232" s="47">
        <f>IF(AND(H1232="Realizado",L1232&lt;&gt;""),L1232/60,0)</f>
        <v>0</v>
      </c>
      <c r="V1232" s="47">
        <f>IF(AND(H1232="Realizado",OR(L1232="",M1232="")),1,0)</f>
        <v>0</v>
      </c>
    </row>
    <row r="1233">
      <c r="A1233" s="43" t="n">
        <v>46300</v>
      </c>
      <c r="B1233" s="44" t="n">
        <v>0.4583333333333333</v>
      </c>
      <c r="C1233" s="38" t="inlineStr">
        <is>
          <t>Dra. Carolina Mendes</t>
        </is>
      </c>
      <c r="D1233" s="38" t="inlineStr">
        <is>
          <t>Sala 1</t>
        </is>
      </c>
      <c r="E1233" s="37" t="inlineStr">
        <is>
          <t>Rodrigo Gomes</t>
        </is>
      </c>
      <c r="F1233" s="38" t="inlineStr">
        <is>
          <t>Vida Care</t>
        </is>
      </c>
      <c r="G1233" s="38" t="inlineStr">
        <is>
          <t>Consulta</t>
        </is>
      </c>
      <c r="H1233" s="38" t="inlineStr">
        <is>
          <t>Agendado</t>
        </is>
      </c>
      <c r="I1233" s="38" t="n"/>
      <c r="J1233" s="38" t="n"/>
      <c r="K1233" s="37" t="n"/>
      <c r="L1233" s="39" t="n">
        <v>30</v>
      </c>
      <c r="M1233" s="40" t="n">
        <v>90</v>
      </c>
      <c r="N1233" s="30">
        <f>IF(A1233="","",MONTH(A1233))</f>
        <v>10</v>
      </c>
      <c r="O1233" s="30">
        <f>IF(A1233="","",YEAR(A1233))</f>
        <v>2026</v>
      </c>
      <c r="P1233" s="30" t="str">
        <f>IF(A1233="","",CHOOSE(WEEKDAY(A1233,2),"Segunda","Terça","Quarta","Quinta","Sexta","Sábado","Domingo"))</f>
        <v>Segunda</v>
      </c>
      <c r="Q1233" s="30" t="str">
        <f>IF(B1233="","",IF(B1233&lt;TIME(12,0,0),"Manhã",IF(B1233&lt;TIME(18,0,0),"Tarde","Noite")))</f>
        <v>Manhã</v>
      </c>
      <c r="R1233" s="46">
        <f>IF(AND(H1233="Realizado",L1233&lt;&gt;"",A1233&lt;=Config!$B$9),L1233/60,0)</f>
        <v>0</v>
      </c>
      <c r="S1233" s="45">
        <f>IF(G1233="","",IFERROR(INDEX(Config!$K$5:$K$16,MATCH(G1233,Config!$J$5:$J$16,0)),""))</f>
        <v>30</v>
      </c>
      <c r="T1233" s="31">
        <f>IF(OR(G1233="",F1233=""),"",IFERROR(INDEX(Config!$M$5:$R$16,MATCH(G1233,Config!$J$5:$J$16,0),MATCH(F1233,Config!$H$5:$H$10,0)),""))</f>
        <v>90</v>
      </c>
      <c r="U1233" s="47">
        <f>IF(AND(H1233="Realizado",L1233&lt;&gt;""),L1233/60,0)</f>
        <v>0</v>
      </c>
      <c r="V1233" s="47">
        <f>IF(AND(H1233="Realizado",OR(L1233="",M1233="")),1,0)</f>
        <v>0</v>
      </c>
    </row>
    <row r="1234">
      <c r="A1234" s="43" t="n">
        <v>46300</v>
      </c>
      <c r="B1234" s="44" t="n">
        <v>0.4791666666666667</v>
      </c>
      <c r="C1234" s="38" t="inlineStr">
        <is>
          <t>Dra. Carolina Mendes</t>
        </is>
      </c>
      <c r="D1234" s="38" t="inlineStr">
        <is>
          <t>Sala 1</t>
        </is>
      </c>
      <c r="E1234" s="37" t="inlineStr">
        <is>
          <t>Roberta Araújo</t>
        </is>
      </c>
      <c r="F1234" s="38" t="inlineStr">
        <is>
          <t>Particular</t>
        </is>
      </c>
      <c r="G1234" s="38" t="inlineStr">
        <is>
          <t>Consulta</t>
        </is>
      </c>
      <c r="H1234" s="38" t="inlineStr">
        <is>
          <t>Agendado</t>
        </is>
      </c>
      <c r="I1234" s="38" t="n"/>
      <c r="J1234" s="38" t="n"/>
      <c r="K1234" s="37" t="n"/>
      <c r="L1234" s="39" t="n">
        <v>30</v>
      </c>
      <c r="M1234" s="40" t="n">
        <v>380</v>
      </c>
      <c r="N1234" s="30">
        <f>IF(A1234="","",MONTH(A1234))</f>
        <v>10</v>
      </c>
      <c r="O1234" s="30">
        <f>IF(A1234="","",YEAR(A1234))</f>
        <v>2026</v>
      </c>
      <c r="P1234" s="30" t="str">
        <f>IF(A1234="","",CHOOSE(WEEKDAY(A1234,2),"Segunda","Terça","Quarta","Quinta","Sexta","Sábado","Domingo"))</f>
        <v>Segunda</v>
      </c>
      <c r="Q1234" s="30" t="str">
        <f>IF(B1234="","",IF(B1234&lt;TIME(12,0,0),"Manhã",IF(B1234&lt;TIME(18,0,0),"Tarde","Noite")))</f>
        <v>Manhã</v>
      </c>
      <c r="R1234" s="46">
        <f>IF(AND(H1234="Realizado",L1234&lt;&gt;"",A1234&lt;=Config!$B$9),L1234/60,0)</f>
        <v>0</v>
      </c>
      <c r="S1234" s="45">
        <f>IF(G1234="","",IFERROR(INDEX(Config!$K$5:$K$16,MATCH(G1234,Config!$J$5:$J$16,0)),""))</f>
        <v>30</v>
      </c>
      <c r="T1234" s="31">
        <f>IF(OR(G1234="",F1234=""),"",IFERROR(INDEX(Config!$M$5:$R$16,MATCH(G1234,Config!$J$5:$J$16,0),MATCH(F1234,Config!$H$5:$H$10,0)),""))</f>
        <v>380</v>
      </c>
      <c r="U1234" s="47">
        <f>IF(AND(H1234="Realizado",L1234&lt;&gt;""),L1234/60,0)</f>
        <v>0</v>
      </c>
      <c r="V1234" s="47">
        <f>IF(AND(H1234="Realizado",OR(L1234="",M1234="")),1,0)</f>
        <v>0</v>
      </c>
    </row>
    <row r="1235">
      <c r="A1235" s="43" t="n">
        <v>46300</v>
      </c>
      <c r="B1235" s="44" t="n">
        <v>0.5833333333333334</v>
      </c>
      <c r="C1235" s="38" t="inlineStr">
        <is>
          <t>Dr. Paulo Andrade</t>
        </is>
      </c>
      <c r="D1235" s="38" t="inlineStr">
        <is>
          <t>Sala 2</t>
        </is>
      </c>
      <c r="E1235" s="37" t="inlineStr">
        <is>
          <t>Elaine Cardoso</t>
        </is>
      </c>
      <c r="F1235" s="38" t="inlineStr">
        <is>
          <t>Particular</t>
        </is>
      </c>
      <c r="G1235" s="38" t="inlineStr">
        <is>
          <t>MAPA</t>
        </is>
      </c>
      <c r="H1235" s="38" t="inlineStr">
        <is>
          <t>Agendado</t>
        </is>
      </c>
      <c r="I1235" s="38" t="n"/>
      <c r="J1235" s="38" t="n"/>
      <c r="K1235" s="37" t="n"/>
      <c r="L1235" s="39" t="n">
        <v>20</v>
      </c>
      <c r="M1235" s="40" t="n">
        <v>300</v>
      </c>
      <c r="N1235" s="30">
        <f>IF(A1235="","",MONTH(A1235))</f>
        <v>10</v>
      </c>
      <c r="O1235" s="30">
        <f>IF(A1235="","",YEAR(A1235))</f>
        <v>2026</v>
      </c>
      <c r="P1235" s="30" t="str">
        <f>IF(A1235="","",CHOOSE(WEEKDAY(A1235,2),"Segunda","Terça","Quarta","Quinta","Sexta","Sábado","Domingo"))</f>
        <v>Segunda</v>
      </c>
      <c r="Q1235" s="30" t="str">
        <f>IF(B1235="","",IF(B1235&lt;TIME(12,0,0),"Manhã",IF(B1235&lt;TIME(18,0,0),"Tarde","Noite")))</f>
        <v>Tarde</v>
      </c>
      <c r="R1235" s="46">
        <f>IF(AND(H1235="Realizado",L1235&lt;&gt;"",A1235&lt;=Config!$B$9),L1235/60,0)</f>
        <v>0</v>
      </c>
      <c r="S1235" s="45">
        <f>IF(G1235="","",IFERROR(INDEX(Config!$K$5:$K$16,MATCH(G1235,Config!$J$5:$J$16,0)),""))</f>
        <v>20</v>
      </c>
      <c r="T1235" s="31">
        <f>IF(OR(G1235="",F1235=""),"",IFERROR(INDEX(Config!$M$5:$R$16,MATCH(G1235,Config!$J$5:$J$16,0),MATCH(F1235,Config!$H$5:$H$10,0)),""))</f>
        <v>300</v>
      </c>
      <c r="U1235" s="47">
        <f>IF(AND(H1235="Realizado",L1235&lt;&gt;""),L1235/60,0)</f>
        <v>0</v>
      </c>
      <c r="V1235" s="47">
        <f>IF(AND(H1235="Realizado",OR(L1235="",M1235="")),1,0)</f>
        <v>0</v>
      </c>
    </row>
    <row r="1236">
      <c r="A1236" s="43" t="n">
        <v>46300</v>
      </c>
      <c r="B1236" s="44" t="n">
        <v>0.5972222222222222</v>
      </c>
      <c r="C1236" s="38" t="inlineStr">
        <is>
          <t>Dr. Paulo Andrade</t>
        </is>
      </c>
      <c r="D1236" s="38" t="inlineStr">
        <is>
          <t>Sala 2</t>
        </is>
      </c>
      <c r="E1236" s="37" t="inlineStr">
        <is>
          <t>Marcelo Ferreira</t>
        </is>
      </c>
      <c r="F1236" s="38" t="inlineStr">
        <is>
          <t>Particular</t>
        </is>
      </c>
      <c r="G1236" s="38" t="inlineStr">
        <is>
          <t>Consulta</t>
        </is>
      </c>
      <c r="H1236" s="38" t="inlineStr">
        <is>
          <t>Agendado</t>
        </is>
      </c>
      <c r="I1236" s="38" t="n"/>
      <c r="J1236" s="38" t="n"/>
      <c r="K1236" s="37" t="n"/>
      <c r="L1236" s="39" t="n">
        <v>30</v>
      </c>
      <c r="M1236" s="40" t="n">
        <v>380</v>
      </c>
      <c r="N1236" s="30">
        <f>IF(A1236="","",MONTH(A1236))</f>
        <v>10</v>
      </c>
      <c r="O1236" s="30">
        <f>IF(A1236="","",YEAR(A1236))</f>
        <v>2026</v>
      </c>
      <c r="P1236" s="30" t="str">
        <f>IF(A1236="","",CHOOSE(WEEKDAY(A1236,2),"Segunda","Terça","Quarta","Quinta","Sexta","Sábado","Domingo"))</f>
        <v>Segunda</v>
      </c>
      <c r="Q1236" s="30" t="str">
        <f>IF(B1236="","",IF(B1236&lt;TIME(12,0,0),"Manhã",IF(B1236&lt;TIME(18,0,0),"Tarde","Noite")))</f>
        <v>Tarde</v>
      </c>
      <c r="R1236" s="46">
        <f>IF(AND(H1236="Realizado",L1236&lt;&gt;"",A1236&lt;=Config!$B$9),L1236/60,0)</f>
        <v>0</v>
      </c>
      <c r="S1236" s="45">
        <f>IF(G1236="","",IFERROR(INDEX(Config!$K$5:$K$16,MATCH(G1236,Config!$J$5:$J$16,0)),""))</f>
        <v>30</v>
      </c>
      <c r="T1236" s="31">
        <f>IF(OR(G1236="",F1236=""),"",IFERROR(INDEX(Config!$M$5:$R$16,MATCH(G1236,Config!$J$5:$J$16,0),MATCH(F1236,Config!$H$5:$H$10,0)),""))</f>
        <v>380</v>
      </c>
      <c r="U1236" s="47">
        <f>IF(AND(H1236="Realizado",L1236&lt;&gt;""),L1236/60,0)</f>
        <v>0</v>
      </c>
      <c r="V1236" s="47">
        <f>IF(AND(H1236="Realizado",OR(L1236="",M1236="")),1,0)</f>
        <v>0</v>
      </c>
    </row>
    <row r="1237">
      <c r="A1237" s="43" t="n">
        <v>46300</v>
      </c>
      <c r="B1237" s="44" t="n">
        <v>0.6180555555555556</v>
      </c>
      <c r="C1237" s="38" t="inlineStr">
        <is>
          <t>Dr. Paulo Andrade</t>
        </is>
      </c>
      <c r="D1237" s="38" t="inlineStr">
        <is>
          <t>Sala 2</t>
        </is>
      </c>
      <c r="E1237" s="37" t="inlineStr">
        <is>
          <t>Priscila Nunes</t>
        </is>
      </c>
      <c r="F1237" s="38" t="inlineStr">
        <is>
          <t>MediPlan</t>
        </is>
      </c>
      <c r="G1237" s="38" t="inlineStr">
        <is>
          <t>Teste ergométrico</t>
        </is>
      </c>
      <c r="H1237" s="38" t="inlineStr">
        <is>
          <t>Agendado</t>
        </is>
      </c>
      <c r="I1237" s="38" t="n"/>
      <c r="J1237" s="38" t="n"/>
      <c r="K1237" s="37" t="n"/>
      <c r="L1237" s="39" t="n">
        <v>40</v>
      </c>
      <c r="M1237" s="40" t="n">
        <v>125</v>
      </c>
      <c r="N1237" s="30">
        <f>IF(A1237="","",MONTH(A1237))</f>
        <v>10</v>
      </c>
      <c r="O1237" s="30">
        <f>IF(A1237="","",YEAR(A1237))</f>
        <v>2026</v>
      </c>
      <c r="P1237" s="30" t="str">
        <f>IF(A1237="","",CHOOSE(WEEKDAY(A1237,2),"Segunda","Terça","Quarta","Quinta","Sexta","Sábado","Domingo"))</f>
        <v>Segunda</v>
      </c>
      <c r="Q1237" s="30" t="str">
        <f>IF(B1237="","",IF(B1237&lt;TIME(12,0,0),"Manhã",IF(B1237&lt;TIME(18,0,0),"Tarde","Noite")))</f>
        <v>Tarde</v>
      </c>
      <c r="R1237" s="46">
        <f>IF(AND(H1237="Realizado",L1237&lt;&gt;"",A1237&lt;=Config!$B$9),L1237/60,0)</f>
        <v>0</v>
      </c>
      <c r="S1237" s="45">
        <f>IF(G1237="","",IFERROR(INDEX(Config!$K$5:$K$16,MATCH(G1237,Config!$J$5:$J$16,0)),""))</f>
        <v>40</v>
      </c>
      <c r="T1237" s="31">
        <f>IF(OR(G1237="",F1237=""),"",IFERROR(INDEX(Config!$M$5:$R$16,MATCH(G1237,Config!$J$5:$J$16,0),MATCH(F1237,Config!$H$5:$H$10,0)),""))</f>
        <v>125</v>
      </c>
      <c r="U1237" s="47">
        <f>IF(AND(H1237="Realizado",L1237&lt;&gt;""),L1237/60,0)</f>
        <v>0</v>
      </c>
      <c r="V1237" s="47">
        <f>IF(AND(H1237="Realizado",OR(L1237="",M1237="")),1,0)</f>
        <v>0</v>
      </c>
    </row>
    <row r="1238">
      <c r="A1238" s="43" t="n">
        <v>46300</v>
      </c>
      <c r="B1238" s="44" t="n">
        <v>0.6458333333333334</v>
      </c>
      <c r="C1238" s="38" t="inlineStr">
        <is>
          <t>Dr. Paulo Andrade</t>
        </is>
      </c>
      <c r="D1238" s="38" t="inlineStr">
        <is>
          <t>Sala 2</t>
        </is>
      </c>
      <c r="E1238" s="37" t="inlineStr">
        <is>
          <t>Mateus Dias</t>
        </is>
      </c>
      <c r="F1238" s="38" t="inlineStr">
        <is>
          <t>Saúde Total</t>
        </is>
      </c>
      <c r="G1238" s="38" t="inlineStr">
        <is>
          <t>Consulta</t>
        </is>
      </c>
      <c r="H1238" s="38" t="inlineStr">
        <is>
          <t>Agendado</t>
        </is>
      </c>
      <c r="I1238" s="38" t="n"/>
      <c r="J1238" s="38" t="n"/>
      <c r="K1238" s="37" t="n"/>
      <c r="L1238" s="39" t="n">
        <v>30</v>
      </c>
      <c r="M1238" s="40" t="n">
        <v>120</v>
      </c>
      <c r="N1238" s="30">
        <f>IF(A1238="","",MONTH(A1238))</f>
        <v>10</v>
      </c>
      <c r="O1238" s="30">
        <f>IF(A1238="","",YEAR(A1238))</f>
        <v>2026</v>
      </c>
      <c r="P1238" s="30" t="str">
        <f>IF(A1238="","",CHOOSE(WEEKDAY(A1238,2),"Segunda","Terça","Quarta","Quinta","Sexta","Sábado","Domingo"))</f>
        <v>Segunda</v>
      </c>
      <c r="Q1238" s="30" t="str">
        <f>IF(B1238="","",IF(B1238&lt;TIME(12,0,0),"Manhã",IF(B1238&lt;TIME(18,0,0),"Tarde","Noite")))</f>
        <v>Tarde</v>
      </c>
      <c r="R1238" s="46">
        <f>IF(AND(H1238="Realizado",L1238&lt;&gt;"",A1238&lt;=Config!$B$9),L1238/60,0)</f>
        <v>0</v>
      </c>
      <c r="S1238" s="45">
        <f>IF(G1238="","",IFERROR(INDEX(Config!$K$5:$K$16,MATCH(G1238,Config!$J$5:$J$16,0)),""))</f>
        <v>30</v>
      </c>
      <c r="T1238" s="31">
        <f>IF(OR(G1238="",F1238=""),"",IFERROR(INDEX(Config!$M$5:$R$16,MATCH(G1238,Config!$J$5:$J$16,0),MATCH(F1238,Config!$H$5:$H$10,0)),""))</f>
        <v>120</v>
      </c>
      <c r="U1238" s="47">
        <f>IF(AND(H1238="Realizado",L1238&lt;&gt;""),L1238/60,0)</f>
        <v>0</v>
      </c>
      <c r="V1238" s="47">
        <f>IF(AND(H1238="Realizado",OR(L1238="",M1238="")),1,0)</f>
        <v>0</v>
      </c>
    </row>
    <row r="1239">
      <c r="A1239" s="43" t="n">
        <v>46300</v>
      </c>
      <c r="B1239" s="44" t="n">
        <v>0.6666666666666666</v>
      </c>
      <c r="C1239" s="38" t="inlineStr">
        <is>
          <t>Dr. Paulo Andrade</t>
        </is>
      </c>
      <c r="D1239" s="38" t="inlineStr">
        <is>
          <t>Sala 2</t>
        </is>
      </c>
      <c r="E1239" s="37" t="inlineStr">
        <is>
          <t>Viviane Ribeiro</t>
        </is>
      </c>
      <c r="F1239" s="38" t="inlineStr">
        <is>
          <t>Particular</t>
        </is>
      </c>
      <c r="G1239" s="38" t="inlineStr">
        <is>
          <t>MAPA</t>
        </is>
      </c>
      <c r="H1239" s="38" t="inlineStr">
        <is>
          <t>Agendado</t>
        </is>
      </c>
      <c r="I1239" s="38" t="n"/>
      <c r="J1239" s="38" t="n"/>
      <c r="K1239" s="37" t="n"/>
      <c r="L1239" s="39" t="n">
        <v>20</v>
      </c>
      <c r="M1239" s="40" t="n">
        <v>300</v>
      </c>
      <c r="N1239" s="30">
        <f>IF(A1239="","",MONTH(A1239))</f>
        <v>10</v>
      </c>
      <c r="O1239" s="30">
        <f>IF(A1239="","",YEAR(A1239))</f>
        <v>2026</v>
      </c>
      <c r="P1239" s="30" t="str">
        <f>IF(A1239="","",CHOOSE(WEEKDAY(A1239,2),"Segunda","Terça","Quarta","Quinta","Sexta","Sábado","Domingo"))</f>
        <v>Segunda</v>
      </c>
      <c r="Q1239" s="30" t="str">
        <f>IF(B1239="","",IF(B1239&lt;TIME(12,0,0),"Manhã",IF(B1239&lt;TIME(18,0,0),"Tarde","Noite")))</f>
        <v>Tarde</v>
      </c>
      <c r="R1239" s="46">
        <f>IF(AND(H1239="Realizado",L1239&lt;&gt;"",A1239&lt;=Config!$B$9),L1239/60,0)</f>
        <v>0</v>
      </c>
      <c r="S1239" s="45">
        <f>IF(G1239="","",IFERROR(INDEX(Config!$K$5:$K$16,MATCH(G1239,Config!$J$5:$J$16,0)),""))</f>
        <v>20</v>
      </c>
      <c r="T1239" s="31">
        <f>IF(OR(G1239="",F1239=""),"",IFERROR(INDEX(Config!$M$5:$R$16,MATCH(G1239,Config!$J$5:$J$16,0),MATCH(F1239,Config!$H$5:$H$10,0)),""))</f>
        <v>300</v>
      </c>
      <c r="U1239" s="47">
        <f>IF(AND(H1239="Realizado",L1239&lt;&gt;""),L1239/60,0)</f>
        <v>0</v>
      </c>
      <c r="V1239" s="47">
        <f>IF(AND(H1239="Realizado",OR(L1239="",M1239="")),1,0)</f>
        <v>0</v>
      </c>
    </row>
    <row r="1240">
      <c r="A1240" s="43" t="n">
        <v>46300</v>
      </c>
      <c r="B1240" s="44" t="n">
        <v>0.6805555555555556</v>
      </c>
      <c r="C1240" s="38" t="inlineStr">
        <is>
          <t>Dr. Paulo Andrade</t>
        </is>
      </c>
      <c r="D1240" s="38" t="inlineStr">
        <is>
          <t>Sala 2</t>
        </is>
      </c>
      <c r="E1240" s="37" t="inlineStr">
        <is>
          <t>Gisele Ribeiro</t>
        </is>
      </c>
      <c r="F1240" s="38" t="inlineStr">
        <is>
          <t>Particular</t>
        </is>
      </c>
      <c r="G1240" s="38" t="inlineStr">
        <is>
          <t>Teste ergométrico</t>
        </is>
      </c>
      <c r="H1240" s="38" t="inlineStr">
        <is>
          <t>Agendado</t>
        </is>
      </c>
      <c r="I1240" s="38" t="n"/>
      <c r="J1240" s="38" t="n"/>
      <c r="K1240" s="37" t="n"/>
      <c r="L1240" s="39" t="n">
        <v>40</v>
      </c>
      <c r="M1240" s="40" t="n">
        <v>450</v>
      </c>
      <c r="N1240" s="30">
        <f>IF(A1240="","",MONTH(A1240))</f>
        <v>10</v>
      </c>
      <c r="O1240" s="30">
        <f>IF(A1240="","",YEAR(A1240))</f>
        <v>2026</v>
      </c>
      <c r="P1240" s="30" t="str">
        <f>IF(A1240="","",CHOOSE(WEEKDAY(A1240,2),"Segunda","Terça","Quarta","Quinta","Sexta","Sábado","Domingo"))</f>
        <v>Segunda</v>
      </c>
      <c r="Q1240" s="30" t="str">
        <f>IF(B1240="","",IF(B1240&lt;TIME(12,0,0),"Manhã",IF(B1240&lt;TIME(18,0,0),"Tarde","Noite")))</f>
        <v>Tarde</v>
      </c>
      <c r="R1240" s="46">
        <f>IF(AND(H1240="Realizado",L1240&lt;&gt;"",A1240&lt;=Config!$B$9),L1240/60,0)</f>
        <v>0</v>
      </c>
      <c r="S1240" s="45">
        <f>IF(G1240="","",IFERROR(INDEX(Config!$K$5:$K$16,MATCH(G1240,Config!$J$5:$J$16,0)),""))</f>
        <v>40</v>
      </c>
      <c r="T1240" s="31">
        <f>IF(OR(G1240="",F1240=""),"",IFERROR(INDEX(Config!$M$5:$R$16,MATCH(G1240,Config!$J$5:$J$16,0),MATCH(F1240,Config!$H$5:$H$10,0)),""))</f>
        <v>450</v>
      </c>
      <c r="U1240" s="47">
        <f>IF(AND(H1240="Realizado",L1240&lt;&gt;""),L1240/60,0)</f>
        <v>0</v>
      </c>
      <c r="V1240" s="47">
        <f>IF(AND(H1240="Realizado",OR(L1240="",M1240="")),1,0)</f>
        <v>0</v>
      </c>
    </row>
    <row r="1241">
      <c r="A1241" s="43" t="n">
        <v>46300</v>
      </c>
      <c r="B1241" s="44" t="n">
        <v>0.7083333333333334</v>
      </c>
      <c r="C1241" s="38" t="inlineStr">
        <is>
          <t>Dr. Paulo Andrade</t>
        </is>
      </c>
      <c r="D1241" s="38" t="inlineStr">
        <is>
          <t>Sala 2</t>
        </is>
      </c>
      <c r="E1241" s="37" t="inlineStr">
        <is>
          <t>Sandra Barros</t>
        </is>
      </c>
      <c r="F1241" s="38" t="inlineStr">
        <is>
          <t>Saúde Total</t>
        </is>
      </c>
      <c r="G1241" s="38" t="inlineStr">
        <is>
          <t>ECG</t>
        </is>
      </c>
      <c r="H1241" s="38" t="inlineStr">
        <is>
          <t>Agendado</t>
        </is>
      </c>
      <c r="I1241" s="38" t="n"/>
      <c r="J1241" s="38" t="n"/>
      <c r="K1241" s="37" t="n"/>
      <c r="L1241" s="39" t="n">
        <v>20</v>
      </c>
      <c r="M1241" s="40" t="n">
        <v>40</v>
      </c>
      <c r="N1241" s="30">
        <f>IF(A1241="","",MONTH(A1241))</f>
        <v>10</v>
      </c>
      <c r="O1241" s="30">
        <f>IF(A1241="","",YEAR(A1241))</f>
        <v>2026</v>
      </c>
      <c r="P1241" s="30" t="str">
        <f>IF(A1241="","",CHOOSE(WEEKDAY(A1241,2),"Segunda","Terça","Quarta","Quinta","Sexta","Sábado","Domingo"))</f>
        <v>Segunda</v>
      </c>
      <c r="Q1241" s="30" t="str">
        <f>IF(B1241="","",IF(B1241&lt;TIME(12,0,0),"Manhã",IF(B1241&lt;TIME(18,0,0),"Tarde","Noite")))</f>
        <v>Tarde</v>
      </c>
      <c r="R1241" s="46">
        <f>IF(AND(H1241="Realizado",L1241&lt;&gt;"",A1241&lt;=Config!$B$9),L1241/60,0)</f>
        <v>0</v>
      </c>
      <c r="S1241" s="45">
        <f>IF(G1241="","",IFERROR(INDEX(Config!$K$5:$K$16,MATCH(G1241,Config!$J$5:$J$16,0)),""))</f>
        <v>20</v>
      </c>
      <c r="T1241" s="31">
        <f>IF(OR(G1241="",F1241=""),"",IFERROR(INDEX(Config!$M$5:$R$16,MATCH(G1241,Config!$J$5:$J$16,0),MATCH(F1241,Config!$H$5:$H$10,0)),""))</f>
        <v>40</v>
      </c>
      <c r="U1241" s="47">
        <f>IF(AND(H1241="Realizado",L1241&lt;&gt;""),L1241/60,0)</f>
        <v>0</v>
      </c>
      <c r="V1241" s="47">
        <f>IF(AND(H1241="Realizado",OR(L1241="",M1241="")),1,0)</f>
        <v>0</v>
      </c>
    </row>
    <row r="1242">
      <c r="A1242" s="43" t="n">
        <v>46300</v>
      </c>
      <c r="B1242" s="44" t="n">
        <v>0.7222222222222222</v>
      </c>
      <c r="C1242" s="38" t="inlineStr">
        <is>
          <t>Dr. Paulo Andrade</t>
        </is>
      </c>
      <c r="D1242" s="38" t="inlineStr">
        <is>
          <t>Sala 2</t>
        </is>
      </c>
      <c r="E1242" s="37" t="inlineStr">
        <is>
          <t>Rodrigo Gomes</t>
        </is>
      </c>
      <c r="F1242" s="38" t="inlineStr">
        <is>
          <t>Vida Care</t>
        </is>
      </c>
      <c r="G1242" s="38" t="inlineStr">
        <is>
          <t>MAPA</t>
        </is>
      </c>
      <c r="H1242" s="38" t="inlineStr">
        <is>
          <t>Agendado</t>
        </is>
      </c>
      <c r="I1242" s="38" t="n"/>
      <c r="J1242" s="38" t="n"/>
      <c r="K1242" s="37" t="n"/>
      <c r="L1242" s="39" t="n">
        <v>20</v>
      </c>
      <c r="M1242" s="40" t="n">
        <v>75</v>
      </c>
      <c r="N1242" s="30">
        <f>IF(A1242="","",MONTH(A1242))</f>
        <v>10</v>
      </c>
      <c r="O1242" s="30">
        <f>IF(A1242="","",YEAR(A1242))</f>
        <v>2026</v>
      </c>
      <c r="P1242" s="30" t="str">
        <f>IF(A1242="","",CHOOSE(WEEKDAY(A1242,2),"Segunda","Terça","Quarta","Quinta","Sexta","Sábado","Domingo"))</f>
        <v>Segunda</v>
      </c>
      <c r="Q1242" s="30" t="str">
        <f>IF(B1242="","",IF(B1242&lt;TIME(12,0,0),"Manhã",IF(B1242&lt;TIME(18,0,0),"Tarde","Noite")))</f>
        <v>Tarde</v>
      </c>
      <c r="R1242" s="46">
        <f>IF(AND(H1242="Realizado",L1242&lt;&gt;"",A1242&lt;=Config!$B$9),L1242/60,0)</f>
        <v>0</v>
      </c>
      <c r="S1242" s="45">
        <f>IF(G1242="","",IFERROR(INDEX(Config!$K$5:$K$16,MATCH(G1242,Config!$J$5:$J$16,0)),""))</f>
        <v>20</v>
      </c>
      <c r="T1242" s="31">
        <f>IF(OR(G1242="",F1242=""),"",IFERROR(INDEX(Config!$M$5:$R$16,MATCH(G1242,Config!$J$5:$J$16,0),MATCH(F1242,Config!$H$5:$H$10,0)),""))</f>
        <v>75</v>
      </c>
      <c r="U1242" s="47">
        <f>IF(AND(H1242="Realizado",L1242&lt;&gt;""),L1242/60,0)</f>
        <v>0</v>
      </c>
      <c r="V1242" s="47">
        <f>IF(AND(H1242="Realizado",OR(L1242="",M1242="")),1,0)</f>
        <v>0</v>
      </c>
    </row>
    <row r="1243">
      <c r="A1243" s="43" t="n">
        <v>46300</v>
      </c>
      <c r="B1243" s="44" t="n">
        <v>0.7361111111111112</v>
      </c>
      <c r="C1243" s="38" t="inlineStr">
        <is>
          <t>Dr. Paulo Andrade</t>
        </is>
      </c>
      <c r="D1243" s="38" t="inlineStr">
        <is>
          <t>Sala 2</t>
        </is>
      </c>
      <c r="E1243" s="37" t="inlineStr">
        <is>
          <t>Isabela Pinto</t>
        </is>
      </c>
      <c r="F1243" s="38" t="inlineStr">
        <is>
          <t>Saúde Total</t>
        </is>
      </c>
      <c r="G1243" s="38" t="inlineStr">
        <is>
          <t>ECG</t>
        </is>
      </c>
      <c r="H1243" s="38" t="inlineStr">
        <is>
          <t>Agendado</t>
        </is>
      </c>
      <c r="I1243" s="38" t="n"/>
      <c r="J1243" s="38" t="n"/>
      <c r="K1243" s="37" t="n"/>
      <c r="L1243" s="39" t="n">
        <v>20</v>
      </c>
      <c r="M1243" s="40" t="n">
        <v>40</v>
      </c>
      <c r="N1243" s="30">
        <f>IF(A1243="","",MONTH(A1243))</f>
        <v>10</v>
      </c>
      <c r="O1243" s="30">
        <f>IF(A1243="","",YEAR(A1243))</f>
        <v>2026</v>
      </c>
      <c r="P1243" s="30" t="str">
        <f>IF(A1243="","",CHOOSE(WEEKDAY(A1243,2),"Segunda","Terça","Quarta","Quinta","Sexta","Sábado","Domingo"))</f>
        <v>Segunda</v>
      </c>
      <c r="Q1243" s="30" t="str">
        <f>IF(B1243="","",IF(B1243&lt;TIME(12,0,0),"Manhã",IF(B1243&lt;TIME(18,0,0),"Tarde","Noite")))</f>
        <v>Tarde</v>
      </c>
      <c r="R1243" s="46">
        <f>IF(AND(H1243="Realizado",L1243&lt;&gt;"",A1243&lt;=Config!$B$9),L1243/60,0)</f>
        <v>0</v>
      </c>
      <c r="S1243" s="45">
        <f>IF(G1243="","",IFERROR(INDEX(Config!$K$5:$K$16,MATCH(G1243,Config!$J$5:$J$16,0)),""))</f>
        <v>20</v>
      </c>
      <c r="T1243" s="31">
        <f>IF(OR(G1243="",F1243=""),"",IFERROR(INDEX(Config!$M$5:$R$16,MATCH(G1243,Config!$J$5:$J$16,0),MATCH(F1243,Config!$H$5:$H$10,0)),""))</f>
        <v>40</v>
      </c>
      <c r="U1243" s="47">
        <f>IF(AND(H1243="Realizado",L1243&lt;&gt;""),L1243/60,0)</f>
        <v>0</v>
      </c>
      <c r="V1243" s="47">
        <f>IF(AND(H1243="Realizado",OR(L1243="",M1243="")),1,0)</f>
        <v>0</v>
      </c>
    </row>
    <row r="1244">
      <c r="A1244" s="43" t="n"/>
      <c r="B1244" s="44" t="n"/>
      <c r="C1244" s="38" t="n"/>
      <c r="D1244" s="38" t="n"/>
      <c r="E1244" s="37" t="n"/>
      <c r="F1244" s="38" t="n"/>
      <c r="G1244" s="38" t="n"/>
      <c r="H1244" s="38" t="n"/>
      <c r="I1244" s="38" t="n"/>
      <c r="J1244" s="38" t="n"/>
      <c r="K1244" s="37" t="n"/>
      <c r="L1244" s="39" t="n"/>
      <c r="M1244" s="40" t="n"/>
      <c r="N1244" s="30">
        <f>IF(A1244="","",MONTH(A1244))</f>
        <v/>
      </c>
      <c r="O1244" s="30">
        <f>IF(A1244="","",YEAR(A1244))</f>
        <v/>
      </c>
      <c r="P1244" s="30">
        <f>IF(A1244="","",CHOOSE(WEEKDAY(A1244,2),"Segunda","Terça","Quarta","Quinta","Sexta","Sábado","Domingo"))</f>
        <v/>
      </c>
      <c r="Q1244" s="30">
        <f>IF(B1244="","",IF(B1244&lt;TIME(12,0,0),"Manhã",IF(B1244&lt;TIME(18,0,0),"Tarde","Noite")))</f>
        <v/>
      </c>
      <c r="R1244" s="46">
        <f>IF(AND(H1244="Realizado",L1244&lt;&gt;"",A1244&lt;=Config!$B$9),L1244/60,0)</f>
        <v>0</v>
      </c>
      <c r="S1244" s="45">
        <f>IF(G1244="","",IFERROR(INDEX(Config!$K$5:$K$16,MATCH(G1244,Config!$J$5:$J$16,0)),""))</f>
        <v/>
      </c>
      <c r="T1244" s="31">
        <f>IF(OR(G1244="",F1244=""),"",IFERROR(INDEX(Config!$M$5:$R$16,MATCH(G1244,Config!$J$5:$J$16,0),MATCH(F1244,Config!$H$5:$H$10,0)),""))</f>
        <v/>
      </c>
      <c r="U1244" s="47">
        <f>IF(AND(H1244="Realizado",L1244&lt;&gt;""),L1244/60,0)</f>
        <v>0</v>
      </c>
      <c r="V1244" s="47">
        <f>IF(AND(H1244="Realizado",OR(L1244="",M1244="")),1,0)</f>
        <v>0</v>
      </c>
    </row>
    <row r="1245">
      <c r="A1245" s="43" t="n"/>
      <c r="B1245" s="44" t="n"/>
      <c r="C1245" s="38" t="n"/>
      <c r="D1245" s="38" t="n"/>
      <c r="E1245" s="37" t="n"/>
      <c r="F1245" s="38" t="n"/>
      <c r="G1245" s="38" t="n"/>
      <c r="H1245" s="38" t="n"/>
      <c r="I1245" s="38" t="n"/>
      <c r="J1245" s="38" t="n"/>
      <c r="K1245" s="37" t="n"/>
      <c r="L1245" s="39" t="n"/>
      <c r="M1245" s="40" t="n"/>
      <c r="N1245" s="30">
        <f>IF(A1245="","",MONTH(A1245))</f>
        <v/>
      </c>
      <c r="O1245" s="30">
        <f>IF(A1245="","",YEAR(A1245))</f>
        <v/>
      </c>
      <c r="P1245" s="30">
        <f>IF(A1245="","",CHOOSE(WEEKDAY(A1245,2),"Segunda","Terça","Quarta","Quinta","Sexta","Sábado","Domingo"))</f>
        <v/>
      </c>
      <c r="Q1245" s="30">
        <f>IF(B1245="","",IF(B1245&lt;TIME(12,0,0),"Manhã",IF(B1245&lt;TIME(18,0,0),"Tarde","Noite")))</f>
        <v/>
      </c>
      <c r="R1245" s="46">
        <f>IF(AND(H1245="Realizado",L1245&lt;&gt;"",A1245&lt;=Config!$B$9),L1245/60,0)</f>
        <v>0</v>
      </c>
      <c r="S1245" s="45">
        <f>IF(G1245="","",IFERROR(INDEX(Config!$K$5:$K$16,MATCH(G1245,Config!$J$5:$J$16,0)),""))</f>
        <v/>
      </c>
      <c r="T1245" s="31">
        <f>IF(OR(G1245="",F1245=""),"",IFERROR(INDEX(Config!$M$5:$R$16,MATCH(G1245,Config!$J$5:$J$16,0),MATCH(F1245,Config!$H$5:$H$10,0)),""))</f>
        <v/>
      </c>
      <c r="U1245" s="47">
        <f>IF(AND(H1245="Realizado",L1245&lt;&gt;""),L1245/60,0)</f>
        <v>0</v>
      </c>
      <c r="V1245" s="47">
        <f>IF(AND(H1245="Realizado",OR(L1245="",M1245="")),1,0)</f>
        <v>0</v>
      </c>
    </row>
    <row r="1246">
      <c r="A1246" s="43" t="n"/>
      <c r="B1246" s="44" t="n"/>
      <c r="C1246" s="38" t="n"/>
      <c r="D1246" s="38" t="n"/>
      <c r="E1246" s="37" t="n"/>
      <c r="F1246" s="38" t="n"/>
      <c r="G1246" s="38" t="n"/>
      <c r="H1246" s="38" t="n"/>
      <c r="I1246" s="38" t="n"/>
      <c r="J1246" s="38" t="n"/>
      <c r="K1246" s="37" t="n"/>
      <c r="L1246" s="39" t="n"/>
      <c r="M1246" s="40" t="n"/>
      <c r="N1246" s="30">
        <f>IF(A1246="","",MONTH(A1246))</f>
        <v/>
      </c>
      <c r="O1246" s="30">
        <f>IF(A1246="","",YEAR(A1246))</f>
        <v/>
      </c>
      <c r="P1246" s="30">
        <f>IF(A1246="","",CHOOSE(WEEKDAY(A1246,2),"Segunda","Terça","Quarta","Quinta","Sexta","Sábado","Domingo"))</f>
        <v/>
      </c>
      <c r="Q1246" s="30">
        <f>IF(B1246="","",IF(B1246&lt;TIME(12,0,0),"Manhã",IF(B1246&lt;TIME(18,0,0),"Tarde","Noite")))</f>
        <v/>
      </c>
      <c r="R1246" s="46">
        <f>IF(AND(H1246="Realizado",L1246&lt;&gt;"",A1246&lt;=Config!$B$9),L1246/60,0)</f>
        <v>0</v>
      </c>
      <c r="S1246" s="45">
        <f>IF(G1246="","",IFERROR(INDEX(Config!$K$5:$K$16,MATCH(G1246,Config!$J$5:$J$16,0)),""))</f>
        <v/>
      </c>
      <c r="T1246" s="31">
        <f>IF(OR(G1246="",F1246=""),"",IFERROR(INDEX(Config!$M$5:$R$16,MATCH(G1246,Config!$J$5:$J$16,0),MATCH(F1246,Config!$H$5:$H$10,0)),""))</f>
        <v/>
      </c>
      <c r="U1246" s="47">
        <f>IF(AND(H1246="Realizado",L1246&lt;&gt;""),L1246/60,0)</f>
        <v>0</v>
      </c>
      <c r="V1246" s="47">
        <f>IF(AND(H1246="Realizado",OR(L1246="",M1246="")),1,0)</f>
        <v>0</v>
      </c>
    </row>
    <row r="1247">
      <c r="A1247" s="43" t="n"/>
      <c r="B1247" s="44" t="n"/>
      <c r="C1247" s="38" t="n"/>
      <c r="D1247" s="38" t="n"/>
      <c r="E1247" s="37" t="n"/>
      <c r="F1247" s="38" t="n"/>
      <c r="G1247" s="38" t="n"/>
      <c r="H1247" s="38" t="n"/>
      <c r="I1247" s="38" t="n"/>
      <c r="J1247" s="38" t="n"/>
      <c r="K1247" s="37" t="n"/>
      <c r="L1247" s="39" t="n"/>
      <c r="M1247" s="40" t="n"/>
      <c r="N1247" s="30">
        <f>IF(A1247="","",MONTH(A1247))</f>
        <v/>
      </c>
      <c r="O1247" s="30">
        <f>IF(A1247="","",YEAR(A1247))</f>
        <v/>
      </c>
      <c r="P1247" s="30">
        <f>IF(A1247="","",CHOOSE(WEEKDAY(A1247,2),"Segunda","Terça","Quarta","Quinta","Sexta","Sábado","Domingo"))</f>
        <v/>
      </c>
      <c r="Q1247" s="30">
        <f>IF(B1247="","",IF(B1247&lt;TIME(12,0,0),"Manhã",IF(B1247&lt;TIME(18,0,0),"Tarde","Noite")))</f>
        <v/>
      </c>
      <c r="R1247" s="46">
        <f>IF(AND(H1247="Realizado",L1247&lt;&gt;"",A1247&lt;=Config!$B$9),L1247/60,0)</f>
        <v>0</v>
      </c>
      <c r="S1247" s="45">
        <f>IF(G1247="","",IFERROR(INDEX(Config!$K$5:$K$16,MATCH(G1247,Config!$J$5:$J$16,0)),""))</f>
        <v/>
      </c>
      <c r="T1247" s="31">
        <f>IF(OR(G1247="",F1247=""),"",IFERROR(INDEX(Config!$M$5:$R$16,MATCH(G1247,Config!$J$5:$J$16,0),MATCH(F1247,Config!$H$5:$H$10,0)),""))</f>
        <v/>
      </c>
      <c r="U1247" s="47">
        <f>IF(AND(H1247="Realizado",L1247&lt;&gt;""),L1247/60,0)</f>
        <v>0</v>
      </c>
      <c r="V1247" s="47">
        <f>IF(AND(H1247="Realizado",OR(L1247="",M1247="")),1,0)</f>
        <v>0</v>
      </c>
    </row>
    <row r="1248">
      <c r="A1248" s="43" t="n"/>
      <c r="B1248" s="44" t="n"/>
      <c r="C1248" s="38" t="n"/>
      <c r="D1248" s="38" t="n"/>
      <c r="E1248" s="37" t="n"/>
      <c r="F1248" s="38" t="n"/>
      <c r="G1248" s="38" t="n"/>
      <c r="H1248" s="38" t="n"/>
      <c r="I1248" s="38" t="n"/>
      <c r="J1248" s="38" t="n"/>
      <c r="K1248" s="37" t="n"/>
      <c r="L1248" s="39" t="n"/>
      <c r="M1248" s="40" t="n"/>
      <c r="N1248" s="30">
        <f>IF(A1248="","",MONTH(A1248))</f>
        <v/>
      </c>
      <c r="O1248" s="30">
        <f>IF(A1248="","",YEAR(A1248))</f>
        <v/>
      </c>
      <c r="P1248" s="30">
        <f>IF(A1248="","",CHOOSE(WEEKDAY(A1248,2),"Segunda","Terça","Quarta","Quinta","Sexta","Sábado","Domingo"))</f>
        <v/>
      </c>
      <c r="Q1248" s="30">
        <f>IF(B1248="","",IF(B1248&lt;TIME(12,0,0),"Manhã",IF(B1248&lt;TIME(18,0,0),"Tarde","Noite")))</f>
        <v/>
      </c>
      <c r="R1248" s="46">
        <f>IF(AND(H1248="Realizado",L1248&lt;&gt;"",A1248&lt;=Config!$B$9),L1248/60,0)</f>
        <v>0</v>
      </c>
      <c r="S1248" s="45">
        <f>IF(G1248="","",IFERROR(INDEX(Config!$K$5:$K$16,MATCH(G1248,Config!$J$5:$J$16,0)),""))</f>
        <v/>
      </c>
      <c r="T1248" s="31">
        <f>IF(OR(G1248="",F1248=""),"",IFERROR(INDEX(Config!$M$5:$R$16,MATCH(G1248,Config!$J$5:$J$16,0),MATCH(F1248,Config!$H$5:$H$10,0)),""))</f>
        <v/>
      </c>
      <c r="U1248" s="47">
        <f>IF(AND(H1248="Realizado",L1248&lt;&gt;""),L1248/60,0)</f>
        <v>0</v>
      </c>
      <c r="V1248" s="47">
        <f>IF(AND(H1248="Realizado",OR(L1248="",M1248="")),1,0)</f>
        <v>0</v>
      </c>
    </row>
    <row r="1249">
      <c r="A1249" s="43" t="n"/>
      <c r="B1249" s="44" t="n"/>
      <c r="C1249" s="38" t="n"/>
      <c r="D1249" s="38" t="n"/>
      <c r="E1249" s="37" t="n"/>
      <c r="F1249" s="38" t="n"/>
      <c r="G1249" s="38" t="n"/>
      <c r="H1249" s="38" t="n"/>
      <c r="I1249" s="38" t="n"/>
      <c r="J1249" s="38" t="n"/>
      <c r="K1249" s="37" t="n"/>
      <c r="L1249" s="39" t="n"/>
      <c r="M1249" s="40" t="n"/>
      <c r="N1249" s="30">
        <f>IF(A1249="","",MONTH(A1249))</f>
        <v/>
      </c>
      <c r="O1249" s="30">
        <f>IF(A1249="","",YEAR(A1249))</f>
        <v/>
      </c>
      <c r="P1249" s="30">
        <f>IF(A1249="","",CHOOSE(WEEKDAY(A1249,2),"Segunda","Terça","Quarta","Quinta","Sexta","Sábado","Domingo"))</f>
        <v/>
      </c>
      <c r="Q1249" s="30">
        <f>IF(B1249="","",IF(B1249&lt;TIME(12,0,0),"Manhã",IF(B1249&lt;TIME(18,0,0),"Tarde","Noite")))</f>
        <v/>
      </c>
      <c r="R1249" s="46">
        <f>IF(AND(H1249="Realizado",L1249&lt;&gt;"",A1249&lt;=Config!$B$9),L1249/60,0)</f>
        <v>0</v>
      </c>
      <c r="S1249" s="45">
        <f>IF(G1249="","",IFERROR(INDEX(Config!$K$5:$K$16,MATCH(G1249,Config!$J$5:$J$16,0)),""))</f>
        <v/>
      </c>
      <c r="T1249" s="31">
        <f>IF(OR(G1249="",F1249=""),"",IFERROR(INDEX(Config!$M$5:$R$16,MATCH(G1249,Config!$J$5:$J$16,0),MATCH(F1249,Config!$H$5:$H$10,0)),""))</f>
        <v/>
      </c>
      <c r="U1249" s="47">
        <f>IF(AND(H1249="Realizado",L1249&lt;&gt;""),L1249/60,0)</f>
        <v>0</v>
      </c>
      <c r="V1249" s="47">
        <f>IF(AND(H1249="Realizado",OR(L1249="",M1249="")),1,0)</f>
        <v>0</v>
      </c>
    </row>
    <row r="1250">
      <c r="A1250" s="43" t="n"/>
      <c r="B1250" s="44" t="n"/>
      <c r="C1250" s="38" t="n"/>
      <c r="D1250" s="38" t="n"/>
      <c r="E1250" s="37" t="n"/>
      <c r="F1250" s="38" t="n"/>
      <c r="G1250" s="38" t="n"/>
      <c r="H1250" s="38" t="n"/>
      <c r="I1250" s="38" t="n"/>
      <c r="J1250" s="38" t="n"/>
      <c r="K1250" s="37" t="n"/>
      <c r="L1250" s="39" t="n"/>
      <c r="M1250" s="40" t="n"/>
      <c r="N1250" s="30">
        <f>IF(A1250="","",MONTH(A1250))</f>
        <v/>
      </c>
      <c r="O1250" s="30">
        <f>IF(A1250="","",YEAR(A1250))</f>
        <v/>
      </c>
      <c r="P1250" s="30">
        <f>IF(A1250="","",CHOOSE(WEEKDAY(A1250,2),"Segunda","Terça","Quarta","Quinta","Sexta","Sábado","Domingo"))</f>
        <v/>
      </c>
      <c r="Q1250" s="30">
        <f>IF(B1250="","",IF(B1250&lt;TIME(12,0,0),"Manhã",IF(B1250&lt;TIME(18,0,0),"Tarde","Noite")))</f>
        <v/>
      </c>
      <c r="R1250" s="46">
        <f>IF(AND(H1250="Realizado",L1250&lt;&gt;"",A1250&lt;=Config!$B$9),L1250/60,0)</f>
        <v>0</v>
      </c>
      <c r="S1250" s="45">
        <f>IF(G1250="","",IFERROR(INDEX(Config!$K$5:$K$16,MATCH(G1250,Config!$J$5:$J$16,0)),""))</f>
        <v/>
      </c>
      <c r="T1250" s="31">
        <f>IF(OR(G1250="",F1250=""),"",IFERROR(INDEX(Config!$M$5:$R$16,MATCH(G1250,Config!$J$5:$J$16,0),MATCH(F1250,Config!$H$5:$H$10,0)),""))</f>
        <v/>
      </c>
      <c r="U1250" s="47">
        <f>IF(AND(H1250="Realizado",L1250&lt;&gt;""),L1250/60,0)</f>
        <v>0</v>
      </c>
      <c r="V1250" s="47">
        <f>IF(AND(H1250="Realizado",OR(L1250="",M1250="")),1,0)</f>
        <v>0</v>
      </c>
    </row>
    <row r="1251">
      <c r="A1251" s="43" t="n"/>
      <c r="B1251" s="44" t="n"/>
      <c r="C1251" s="38" t="n"/>
      <c r="D1251" s="38" t="n"/>
      <c r="E1251" s="37" t="n"/>
      <c r="F1251" s="38" t="n"/>
      <c r="G1251" s="38" t="n"/>
      <c r="H1251" s="38" t="n"/>
      <c r="I1251" s="38" t="n"/>
      <c r="J1251" s="38" t="n"/>
      <c r="K1251" s="37" t="n"/>
      <c r="L1251" s="39" t="n"/>
      <c r="M1251" s="40" t="n"/>
      <c r="N1251" s="30">
        <f>IF(A1251="","",MONTH(A1251))</f>
        <v/>
      </c>
      <c r="O1251" s="30">
        <f>IF(A1251="","",YEAR(A1251))</f>
        <v/>
      </c>
      <c r="P1251" s="30">
        <f>IF(A1251="","",CHOOSE(WEEKDAY(A1251,2),"Segunda","Terça","Quarta","Quinta","Sexta","Sábado","Domingo"))</f>
        <v/>
      </c>
      <c r="Q1251" s="30">
        <f>IF(B1251="","",IF(B1251&lt;TIME(12,0,0),"Manhã",IF(B1251&lt;TIME(18,0,0),"Tarde","Noite")))</f>
        <v/>
      </c>
      <c r="R1251" s="46">
        <f>IF(AND(H1251="Realizado",L1251&lt;&gt;"",A1251&lt;=Config!$B$9),L1251/60,0)</f>
        <v>0</v>
      </c>
      <c r="S1251" s="45">
        <f>IF(G1251="","",IFERROR(INDEX(Config!$K$5:$K$16,MATCH(G1251,Config!$J$5:$J$16,0)),""))</f>
        <v/>
      </c>
      <c r="T1251" s="31">
        <f>IF(OR(G1251="",F1251=""),"",IFERROR(INDEX(Config!$M$5:$R$16,MATCH(G1251,Config!$J$5:$J$16,0),MATCH(F1251,Config!$H$5:$H$10,0)),""))</f>
        <v/>
      </c>
      <c r="U1251" s="47">
        <f>IF(AND(H1251="Realizado",L1251&lt;&gt;""),L1251/60,0)</f>
        <v>0</v>
      </c>
      <c r="V1251" s="47">
        <f>IF(AND(H1251="Realizado",OR(L1251="",M1251="")),1,0)</f>
        <v>0</v>
      </c>
    </row>
    <row r="1252">
      <c r="A1252" s="43" t="n"/>
      <c r="B1252" s="44" t="n"/>
      <c r="C1252" s="38" t="n"/>
      <c r="D1252" s="38" t="n"/>
      <c r="E1252" s="37" t="n"/>
      <c r="F1252" s="38" t="n"/>
      <c r="G1252" s="38" t="n"/>
      <c r="H1252" s="38" t="n"/>
      <c r="I1252" s="38" t="n"/>
      <c r="J1252" s="38" t="n"/>
      <c r="K1252" s="37" t="n"/>
      <c r="L1252" s="39" t="n"/>
      <c r="M1252" s="40" t="n"/>
      <c r="N1252" s="30">
        <f>IF(A1252="","",MONTH(A1252))</f>
        <v/>
      </c>
      <c r="O1252" s="30">
        <f>IF(A1252="","",YEAR(A1252))</f>
        <v/>
      </c>
      <c r="P1252" s="30">
        <f>IF(A1252="","",CHOOSE(WEEKDAY(A1252,2),"Segunda","Terça","Quarta","Quinta","Sexta","Sábado","Domingo"))</f>
        <v/>
      </c>
      <c r="Q1252" s="30">
        <f>IF(B1252="","",IF(B1252&lt;TIME(12,0,0),"Manhã",IF(B1252&lt;TIME(18,0,0),"Tarde","Noite")))</f>
        <v/>
      </c>
      <c r="R1252" s="46">
        <f>IF(AND(H1252="Realizado",L1252&lt;&gt;"",A1252&lt;=Config!$B$9),L1252/60,0)</f>
        <v>0</v>
      </c>
      <c r="S1252" s="45">
        <f>IF(G1252="","",IFERROR(INDEX(Config!$K$5:$K$16,MATCH(G1252,Config!$J$5:$J$16,0)),""))</f>
        <v/>
      </c>
      <c r="T1252" s="31">
        <f>IF(OR(G1252="",F1252=""),"",IFERROR(INDEX(Config!$M$5:$R$16,MATCH(G1252,Config!$J$5:$J$16,0),MATCH(F1252,Config!$H$5:$H$10,0)),""))</f>
        <v/>
      </c>
      <c r="U1252" s="47">
        <f>IF(AND(H1252="Realizado",L1252&lt;&gt;""),L1252/60,0)</f>
        <v>0</v>
      </c>
      <c r="V1252" s="47">
        <f>IF(AND(H1252="Realizado",OR(L1252="",M1252="")),1,0)</f>
        <v>0</v>
      </c>
    </row>
    <row r="1253">
      <c r="A1253" s="43" t="n"/>
      <c r="B1253" s="44" t="n"/>
      <c r="C1253" s="38" t="n"/>
      <c r="D1253" s="38" t="n"/>
      <c r="E1253" s="37" t="n"/>
      <c r="F1253" s="38" t="n"/>
      <c r="G1253" s="38" t="n"/>
      <c r="H1253" s="38" t="n"/>
      <c r="I1253" s="38" t="n"/>
      <c r="J1253" s="38" t="n"/>
      <c r="K1253" s="37" t="n"/>
      <c r="L1253" s="39" t="n"/>
      <c r="M1253" s="40" t="n"/>
      <c r="N1253" s="30">
        <f>IF(A1253="","",MONTH(A1253))</f>
        <v/>
      </c>
      <c r="O1253" s="30">
        <f>IF(A1253="","",YEAR(A1253))</f>
        <v/>
      </c>
      <c r="P1253" s="30">
        <f>IF(A1253="","",CHOOSE(WEEKDAY(A1253,2),"Segunda","Terça","Quarta","Quinta","Sexta","Sábado","Domingo"))</f>
        <v/>
      </c>
      <c r="Q1253" s="30">
        <f>IF(B1253="","",IF(B1253&lt;TIME(12,0,0),"Manhã",IF(B1253&lt;TIME(18,0,0),"Tarde","Noite")))</f>
        <v/>
      </c>
      <c r="R1253" s="46">
        <f>IF(AND(H1253="Realizado",L1253&lt;&gt;"",A1253&lt;=Config!$B$9),L1253/60,0)</f>
        <v>0</v>
      </c>
      <c r="S1253" s="45">
        <f>IF(G1253="","",IFERROR(INDEX(Config!$K$5:$K$16,MATCH(G1253,Config!$J$5:$J$16,0)),""))</f>
        <v/>
      </c>
      <c r="T1253" s="31">
        <f>IF(OR(G1253="",F1253=""),"",IFERROR(INDEX(Config!$M$5:$R$16,MATCH(G1253,Config!$J$5:$J$16,0),MATCH(F1253,Config!$H$5:$H$10,0)),""))</f>
        <v/>
      </c>
      <c r="U1253" s="47">
        <f>IF(AND(H1253="Realizado",L1253&lt;&gt;""),L1253/60,0)</f>
        <v>0</v>
      </c>
      <c r="V1253" s="47">
        <f>IF(AND(H1253="Realizado",OR(L1253="",M1253="")),1,0)</f>
        <v>0</v>
      </c>
    </row>
    <row r="1254">
      <c r="A1254" s="43" t="n"/>
      <c r="B1254" s="44" t="n"/>
      <c r="C1254" s="38" t="n"/>
      <c r="D1254" s="38" t="n"/>
      <c r="E1254" s="37" t="n"/>
      <c r="F1254" s="38" t="n"/>
      <c r="G1254" s="38" t="n"/>
      <c r="H1254" s="38" t="n"/>
      <c r="I1254" s="38" t="n"/>
      <c r="J1254" s="38" t="n"/>
      <c r="K1254" s="37" t="n"/>
      <c r="L1254" s="39" t="n"/>
      <c r="M1254" s="40" t="n"/>
      <c r="N1254" s="30">
        <f>IF(A1254="","",MONTH(A1254))</f>
        <v/>
      </c>
      <c r="O1254" s="30">
        <f>IF(A1254="","",YEAR(A1254))</f>
        <v/>
      </c>
      <c r="P1254" s="30">
        <f>IF(A1254="","",CHOOSE(WEEKDAY(A1254,2),"Segunda","Terça","Quarta","Quinta","Sexta","Sábado","Domingo"))</f>
        <v/>
      </c>
      <c r="Q1254" s="30">
        <f>IF(B1254="","",IF(B1254&lt;TIME(12,0,0),"Manhã",IF(B1254&lt;TIME(18,0,0),"Tarde","Noite")))</f>
        <v/>
      </c>
      <c r="R1254" s="46">
        <f>IF(AND(H1254="Realizado",L1254&lt;&gt;"",A1254&lt;=Config!$B$9),L1254/60,0)</f>
        <v>0</v>
      </c>
      <c r="S1254" s="45">
        <f>IF(G1254="","",IFERROR(INDEX(Config!$K$5:$K$16,MATCH(G1254,Config!$J$5:$J$16,0)),""))</f>
        <v/>
      </c>
      <c r="T1254" s="31">
        <f>IF(OR(G1254="",F1254=""),"",IFERROR(INDEX(Config!$M$5:$R$16,MATCH(G1254,Config!$J$5:$J$16,0),MATCH(F1254,Config!$H$5:$H$10,0)),""))</f>
        <v/>
      </c>
      <c r="U1254" s="47">
        <f>IF(AND(H1254="Realizado",L1254&lt;&gt;""),L1254/60,0)</f>
        <v>0</v>
      </c>
      <c r="V1254" s="47">
        <f>IF(AND(H1254="Realizado",OR(L1254="",M1254="")),1,0)</f>
        <v>0</v>
      </c>
    </row>
    <row r="1255">
      <c r="A1255" s="43" t="n"/>
      <c r="B1255" s="44" t="n"/>
      <c r="C1255" s="38" t="n"/>
      <c r="D1255" s="38" t="n"/>
      <c r="E1255" s="37" t="n"/>
      <c r="F1255" s="38" t="n"/>
      <c r="G1255" s="38" t="n"/>
      <c r="H1255" s="38" t="n"/>
      <c r="I1255" s="38" t="n"/>
      <c r="J1255" s="38" t="n"/>
      <c r="K1255" s="37" t="n"/>
      <c r="L1255" s="39" t="n"/>
      <c r="M1255" s="40" t="n"/>
      <c r="N1255" s="30">
        <f>IF(A1255="","",MONTH(A1255))</f>
        <v/>
      </c>
      <c r="O1255" s="30">
        <f>IF(A1255="","",YEAR(A1255))</f>
        <v/>
      </c>
      <c r="P1255" s="30">
        <f>IF(A1255="","",CHOOSE(WEEKDAY(A1255,2),"Segunda","Terça","Quarta","Quinta","Sexta","Sábado","Domingo"))</f>
        <v/>
      </c>
      <c r="Q1255" s="30">
        <f>IF(B1255="","",IF(B1255&lt;TIME(12,0,0),"Manhã",IF(B1255&lt;TIME(18,0,0),"Tarde","Noite")))</f>
        <v/>
      </c>
      <c r="R1255" s="46">
        <f>IF(AND(H1255="Realizado",L1255&lt;&gt;"",A1255&lt;=Config!$B$9),L1255/60,0)</f>
        <v>0</v>
      </c>
      <c r="S1255" s="45">
        <f>IF(G1255="","",IFERROR(INDEX(Config!$K$5:$K$16,MATCH(G1255,Config!$J$5:$J$16,0)),""))</f>
        <v/>
      </c>
      <c r="T1255" s="31">
        <f>IF(OR(G1255="",F1255=""),"",IFERROR(INDEX(Config!$M$5:$R$16,MATCH(G1255,Config!$J$5:$J$16,0),MATCH(F1255,Config!$H$5:$H$10,0)),""))</f>
        <v/>
      </c>
      <c r="U1255" s="47">
        <f>IF(AND(H1255="Realizado",L1255&lt;&gt;""),L1255/60,0)</f>
        <v>0</v>
      </c>
      <c r="V1255" s="47">
        <f>IF(AND(H1255="Realizado",OR(L1255="",M1255="")),1,0)</f>
        <v>0</v>
      </c>
    </row>
    <row r="1256">
      <c r="A1256" s="43" t="n"/>
      <c r="B1256" s="44" t="n"/>
      <c r="C1256" s="38" t="n"/>
      <c r="D1256" s="38" t="n"/>
      <c r="E1256" s="37" t="n"/>
      <c r="F1256" s="38" t="n"/>
      <c r="G1256" s="38" t="n"/>
      <c r="H1256" s="38" t="n"/>
      <c r="I1256" s="38" t="n"/>
      <c r="J1256" s="38" t="n"/>
      <c r="K1256" s="37" t="n"/>
      <c r="L1256" s="39" t="n"/>
      <c r="M1256" s="40" t="n"/>
      <c r="N1256" s="30">
        <f>IF(A1256="","",MONTH(A1256))</f>
        <v/>
      </c>
      <c r="O1256" s="30">
        <f>IF(A1256="","",YEAR(A1256))</f>
        <v/>
      </c>
      <c r="P1256" s="30">
        <f>IF(A1256="","",CHOOSE(WEEKDAY(A1256,2),"Segunda","Terça","Quarta","Quinta","Sexta","Sábado","Domingo"))</f>
        <v/>
      </c>
      <c r="Q1256" s="30">
        <f>IF(B1256="","",IF(B1256&lt;TIME(12,0,0),"Manhã",IF(B1256&lt;TIME(18,0,0),"Tarde","Noite")))</f>
        <v/>
      </c>
      <c r="R1256" s="46">
        <f>IF(AND(H1256="Realizado",L1256&lt;&gt;"",A1256&lt;=Config!$B$9),L1256/60,0)</f>
        <v>0</v>
      </c>
      <c r="S1256" s="45">
        <f>IF(G1256="","",IFERROR(INDEX(Config!$K$5:$K$16,MATCH(G1256,Config!$J$5:$J$16,0)),""))</f>
        <v/>
      </c>
      <c r="T1256" s="31">
        <f>IF(OR(G1256="",F1256=""),"",IFERROR(INDEX(Config!$M$5:$R$16,MATCH(G1256,Config!$J$5:$J$16,0),MATCH(F1256,Config!$H$5:$H$10,0)),""))</f>
        <v/>
      </c>
      <c r="U1256" s="47">
        <f>IF(AND(H1256="Realizado",L1256&lt;&gt;""),L1256/60,0)</f>
        <v>0</v>
      </c>
      <c r="V1256" s="47">
        <f>IF(AND(H1256="Realizado",OR(L1256="",M1256="")),1,0)</f>
        <v>0</v>
      </c>
    </row>
    <row r="1257">
      <c r="A1257" s="43" t="n"/>
      <c r="B1257" s="44" t="n"/>
      <c r="C1257" s="38" t="n"/>
      <c r="D1257" s="38" t="n"/>
      <c r="E1257" s="37" t="n"/>
      <c r="F1257" s="38" t="n"/>
      <c r="G1257" s="38" t="n"/>
      <c r="H1257" s="38" t="n"/>
      <c r="I1257" s="38" t="n"/>
      <c r="J1257" s="38" t="n"/>
      <c r="K1257" s="37" t="n"/>
      <c r="L1257" s="39" t="n"/>
      <c r="M1257" s="40" t="n"/>
      <c r="N1257" s="30">
        <f>IF(A1257="","",MONTH(A1257))</f>
        <v/>
      </c>
      <c r="O1257" s="30">
        <f>IF(A1257="","",YEAR(A1257))</f>
        <v/>
      </c>
      <c r="P1257" s="30">
        <f>IF(A1257="","",CHOOSE(WEEKDAY(A1257,2),"Segunda","Terça","Quarta","Quinta","Sexta","Sábado","Domingo"))</f>
        <v/>
      </c>
      <c r="Q1257" s="30">
        <f>IF(B1257="","",IF(B1257&lt;TIME(12,0,0),"Manhã",IF(B1257&lt;TIME(18,0,0),"Tarde","Noite")))</f>
        <v/>
      </c>
      <c r="R1257" s="46">
        <f>IF(AND(H1257="Realizado",L1257&lt;&gt;"",A1257&lt;=Config!$B$9),L1257/60,0)</f>
        <v>0</v>
      </c>
      <c r="S1257" s="45">
        <f>IF(G1257="","",IFERROR(INDEX(Config!$K$5:$K$16,MATCH(G1257,Config!$J$5:$J$16,0)),""))</f>
        <v/>
      </c>
      <c r="T1257" s="31">
        <f>IF(OR(G1257="",F1257=""),"",IFERROR(INDEX(Config!$M$5:$R$16,MATCH(G1257,Config!$J$5:$J$16,0),MATCH(F1257,Config!$H$5:$H$10,0)),""))</f>
        <v/>
      </c>
      <c r="U1257" s="47">
        <f>IF(AND(H1257="Realizado",L1257&lt;&gt;""),L1257/60,0)</f>
        <v>0</v>
      </c>
      <c r="V1257" s="47">
        <f>IF(AND(H1257="Realizado",OR(L1257="",M1257="")),1,0)</f>
        <v>0</v>
      </c>
    </row>
    <row r="1258">
      <c r="A1258" s="43" t="n"/>
      <c r="B1258" s="44" t="n"/>
      <c r="C1258" s="38" t="n"/>
      <c r="D1258" s="38" t="n"/>
      <c r="E1258" s="37" t="n"/>
      <c r="F1258" s="38" t="n"/>
      <c r="G1258" s="38" t="n"/>
      <c r="H1258" s="38" t="n"/>
      <c r="I1258" s="38" t="n"/>
      <c r="J1258" s="38" t="n"/>
      <c r="K1258" s="37" t="n"/>
      <c r="L1258" s="39" t="n"/>
      <c r="M1258" s="40" t="n"/>
      <c r="N1258" s="30">
        <f>IF(A1258="","",MONTH(A1258))</f>
        <v/>
      </c>
      <c r="O1258" s="30">
        <f>IF(A1258="","",YEAR(A1258))</f>
        <v/>
      </c>
      <c r="P1258" s="30">
        <f>IF(A1258="","",CHOOSE(WEEKDAY(A1258,2),"Segunda","Terça","Quarta","Quinta","Sexta","Sábado","Domingo"))</f>
        <v/>
      </c>
      <c r="Q1258" s="30">
        <f>IF(B1258="","",IF(B1258&lt;TIME(12,0,0),"Manhã",IF(B1258&lt;TIME(18,0,0),"Tarde","Noite")))</f>
        <v/>
      </c>
      <c r="R1258" s="46">
        <f>IF(AND(H1258="Realizado",L1258&lt;&gt;"",A1258&lt;=Config!$B$9),L1258/60,0)</f>
        <v>0</v>
      </c>
      <c r="S1258" s="45">
        <f>IF(G1258="","",IFERROR(INDEX(Config!$K$5:$K$16,MATCH(G1258,Config!$J$5:$J$16,0)),""))</f>
        <v/>
      </c>
      <c r="T1258" s="31">
        <f>IF(OR(G1258="",F1258=""),"",IFERROR(INDEX(Config!$M$5:$R$16,MATCH(G1258,Config!$J$5:$J$16,0),MATCH(F1258,Config!$H$5:$H$10,0)),""))</f>
        <v/>
      </c>
      <c r="U1258" s="47">
        <f>IF(AND(H1258="Realizado",L1258&lt;&gt;""),L1258/60,0)</f>
        <v>0</v>
      </c>
      <c r="V1258" s="47">
        <f>IF(AND(H1258="Realizado",OR(L1258="",M1258="")),1,0)</f>
        <v>0</v>
      </c>
    </row>
    <row r="1259">
      <c r="A1259" s="43" t="n"/>
      <c r="B1259" s="44" t="n"/>
      <c r="C1259" s="38" t="n"/>
      <c r="D1259" s="38" t="n"/>
      <c r="E1259" s="37" t="n"/>
      <c r="F1259" s="38" t="n"/>
      <c r="G1259" s="38" t="n"/>
      <c r="H1259" s="38" t="n"/>
      <c r="I1259" s="38" t="n"/>
      <c r="J1259" s="38" t="n"/>
      <c r="K1259" s="37" t="n"/>
      <c r="L1259" s="39" t="n"/>
      <c r="M1259" s="40" t="n"/>
      <c r="N1259" s="30">
        <f>IF(A1259="","",MONTH(A1259))</f>
        <v/>
      </c>
      <c r="O1259" s="30">
        <f>IF(A1259="","",YEAR(A1259))</f>
        <v/>
      </c>
      <c r="P1259" s="30">
        <f>IF(A1259="","",CHOOSE(WEEKDAY(A1259,2),"Segunda","Terça","Quarta","Quinta","Sexta","Sábado","Domingo"))</f>
        <v/>
      </c>
      <c r="Q1259" s="30">
        <f>IF(B1259="","",IF(B1259&lt;TIME(12,0,0),"Manhã",IF(B1259&lt;TIME(18,0,0),"Tarde","Noite")))</f>
        <v/>
      </c>
      <c r="R1259" s="46">
        <f>IF(AND(H1259="Realizado",L1259&lt;&gt;"",A1259&lt;=Config!$B$9),L1259/60,0)</f>
        <v>0</v>
      </c>
      <c r="S1259" s="45">
        <f>IF(G1259="","",IFERROR(INDEX(Config!$K$5:$K$16,MATCH(G1259,Config!$J$5:$J$16,0)),""))</f>
        <v/>
      </c>
      <c r="T1259" s="31">
        <f>IF(OR(G1259="",F1259=""),"",IFERROR(INDEX(Config!$M$5:$R$16,MATCH(G1259,Config!$J$5:$J$16,0),MATCH(F1259,Config!$H$5:$H$10,0)),""))</f>
        <v/>
      </c>
      <c r="U1259" s="47">
        <f>IF(AND(H1259="Realizado",L1259&lt;&gt;""),L1259/60,0)</f>
        <v>0</v>
      </c>
      <c r="V1259" s="47">
        <f>IF(AND(H1259="Realizado",OR(L1259="",M1259="")),1,0)</f>
        <v>0</v>
      </c>
    </row>
    <row r="1260">
      <c r="A1260" s="43" t="n"/>
      <c r="B1260" s="44" t="n"/>
      <c r="C1260" s="38" t="n"/>
      <c r="D1260" s="38" t="n"/>
      <c r="E1260" s="37" t="n"/>
      <c r="F1260" s="38" t="n"/>
      <c r="G1260" s="38" t="n"/>
      <c r="H1260" s="38" t="n"/>
      <c r="I1260" s="38" t="n"/>
      <c r="J1260" s="38" t="n"/>
      <c r="K1260" s="37" t="n"/>
      <c r="L1260" s="39" t="n"/>
      <c r="M1260" s="40" t="n"/>
      <c r="N1260" s="30">
        <f>IF(A1260="","",MONTH(A1260))</f>
        <v/>
      </c>
      <c r="O1260" s="30">
        <f>IF(A1260="","",YEAR(A1260))</f>
        <v/>
      </c>
      <c r="P1260" s="30">
        <f>IF(A1260="","",CHOOSE(WEEKDAY(A1260,2),"Segunda","Terça","Quarta","Quinta","Sexta","Sábado","Domingo"))</f>
        <v/>
      </c>
      <c r="Q1260" s="30">
        <f>IF(B1260="","",IF(B1260&lt;TIME(12,0,0),"Manhã",IF(B1260&lt;TIME(18,0,0),"Tarde","Noite")))</f>
        <v/>
      </c>
      <c r="R1260" s="46">
        <f>IF(AND(H1260="Realizado",L1260&lt;&gt;"",A1260&lt;=Config!$B$9),L1260/60,0)</f>
        <v>0</v>
      </c>
      <c r="S1260" s="45">
        <f>IF(G1260="","",IFERROR(INDEX(Config!$K$5:$K$16,MATCH(G1260,Config!$J$5:$J$16,0)),""))</f>
        <v/>
      </c>
      <c r="T1260" s="31">
        <f>IF(OR(G1260="",F1260=""),"",IFERROR(INDEX(Config!$M$5:$R$16,MATCH(G1260,Config!$J$5:$J$16,0),MATCH(F1260,Config!$H$5:$H$10,0)),""))</f>
        <v/>
      </c>
      <c r="U1260" s="47">
        <f>IF(AND(H1260="Realizado",L1260&lt;&gt;""),L1260/60,0)</f>
        <v>0</v>
      </c>
      <c r="V1260" s="47">
        <f>IF(AND(H1260="Realizado",OR(L1260="",M1260="")),1,0)</f>
        <v>0</v>
      </c>
    </row>
    <row r="1261">
      <c r="A1261" s="43" t="n"/>
      <c r="B1261" s="44" t="n"/>
      <c r="C1261" s="38" t="n"/>
      <c r="D1261" s="38" t="n"/>
      <c r="E1261" s="37" t="n"/>
      <c r="F1261" s="38" t="n"/>
      <c r="G1261" s="38" t="n"/>
      <c r="H1261" s="38" t="n"/>
      <c r="I1261" s="38" t="n"/>
      <c r="J1261" s="38" t="n"/>
      <c r="K1261" s="37" t="n"/>
      <c r="L1261" s="39" t="n"/>
      <c r="M1261" s="40" t="n"/>
      <c r="N1261" s="30">
        <f>IF(A1261="","",MONTH(A1261))</f>
        <v/>
      </c>
      <c r="O1261" s="30">
        <f>IF(A1261="","",YEAR(A1261))</f>
        <v/>
      </c>
      <c r="P1261" s="30">
        <f>IF(A1261="","",CHOOSE(WEEKDAY(A1261,2),"Segunda","Terça","Quarta","Quinta","Sexta","Sábado","Domingo"))</f>
        <v/>
      </c>
      <c r="Q1261" s="30">
        <f>IF(B1261="","",IF(B1261&lt;TIME(12,0,0),"Manhã",IF(B1261&lt;TIME(18,0,0),"Tarde","Noite")))</f>
        <v/>
      </c>
      <c r="R1261" s="46">
        <f>IF(AND(H1261="Realizado",L1261&lt;&gt;"",A1261&lt;=Config!$B$9),L1261/60,0)</f>
        <v>0</v>
      </c>
      <c r="S1261" s="45">
        <f>IF(G1261="","",IFERROR(INDEX(Config!$K$5:$K$16,MATCH(G1261,Config!$J$5:$J$16,0)),""))</f>
        <v/>
      </c>
      <c r="T1261" s="31">
        <f>IF(OR(G1261="",F1261=""),"",IFERROR(INDEX(Config!$M$5:$R$16,MATCH(G1261,Config!$J$5:$J$16,0),MATCH(F1261,Config!$H$5:$H$10,0)),""))</f>
        <v/>
      </c>
      <c r="U1261" s="47">
        <f>IF(AND(H1261="Realizado",L1261&lt;&gt;""),L1261/60,0)</f>
        <v>0</v>
      </c>
      <c r="V1261" s="47">
        <f>IF(AND(H1261="Realizado",OR(L1261="",M1261="")),1,0)</f>
        <v>0</v>
      </c>
    </row>
    <row r="1262">
      <c r="A1262" s="43" t="n"/>
      <c r="B1262" s="44" t="n"/>
      <c r="C1262" s="38" t="n"/>
      <c r="D1262" s="38" t="n"/>
      <c r="E1262" s="37" t="n"/>
      <c r="F1262" s="38" t="n"/>
      <c r="G1262" s="38" t="n"/>
      <c r="H1262" s="38" t="n"/>
      <c r="I1262" s="38" t="n"/>
      <c r="J1262" s="38" t="n"/>
      <c r="K1262" s="37" t="n"/>
      <c r="L1262" s="39" t="n"/>
      <c r="M1262" s="40" t="n"/>
      <c r="N1262" s="30">
        <f>IF(A1262="","",MONTH(A1262))</f>
        <v/>
      </c>
      <c r="O1262" s="30">
        <f>IF(A1262="","",YEAR(A1262))</f>
        <v/>
      </c>
      <c r="P1262" s="30">
        <f>IF(A1262="","",CHOOSE(WEEKDAY(A1262,2),"Segunda","Terça","Quarta","Quinta","Sexta","Sábado","Domingo"))</f>
        <v/>
      </c>
      <c r="Q1262" s="30">
        <f>IF(B1262="","",IF(B1262&lt;TIME(12,0,0),"Manhã",IF(B1262&lt;TIME(18,0,0),"Tarde","Noite")))</f>
        <v/>
      </c>
      <c r="R1262" s="46">
        <f>IF(AND(H1262="Realizado",L1262&lt;&gt;"",A1262&lt;=Config!$B$9),L1262/60,0)</f>
        <v>0</v>
      </c>
      <c r="S1262" s="45">
        <f>IF(G1262="","",IFERROR(INDEX(Config!$K$5:$K$16,MATCH(G1262,Config!$J$5:$J$16,0)),""))</f>
        <v/>
      </c>
      <c r="T1262" s="31">
        <f>IF(OR(G1262="",F1262=""),"",IFERROR(INDEX(Config!$M$5:$R$16,MATCH(G1262,Config!$J$5:$J$16,0),MATCH(F1262,Config!$H$5:$H$10,0)),""))</f>
        <v/>
      </c>
      <c r="U1262" s="47">
        <f>IF(AND(H1262="Realizado",L1262&lt;&gt;""),L1262/60,0)</f>
        <v>0</v>
      </c>
      <c r="V1262" s="47">
        <f>IF(AND(H1262="Realizado",OR(L1262="",M1262="")),1,0)</f>
        <v>0</v>
      </c>
    </row>
    <row r="1263">
      <c r="A1263" s="43" t="n"/>
      <c r="B1263" s="44" t="n"/>
      <c r="C1263" s="38" t="n"/>
      <c r="D1263" s="38" t="n"/>
      <c r="E1263" s="37" t="n"/>
      <c r="F1263" s="38" t="n"/>
      <c r="G1263" s="38" t="n"/>
      <c r="H1263" s="38" t="n"/>
      <c r="I1263" s="38" t="n"/>
      <c r="J1263" s="38" t="n"/>
      <c r="K1263" s="37" t="n"/>
      <c r="L1263" s="39" t="n"/>
      <c r="M1263" s="40" t="n"/>
      <c r="N1263" s="30">
        <f>IF(A1263="","",MONTH(A1263))</f>
        <v/>
      </c>
      <c r="O1263" s="30">
        <f>IF(A1263="","",YEAR(A1263))</f>
        <v/>
      </c>
      <c r="P1263" s="30">
        <f>IF(A1263="","",CHOOSE(WEEKDAY(A1263,2),"Segunda","Terça","Quarta","Quinta","Sexta","Sábado","Domingo"))</f>
        <v/>
      </c>
      <c r="Q1263" s="30">
        <f>IF(B1263="","",IF(B1263&lt;TIME(12,0,0),"Manhã",IF(B1263&lt;TIME(18,0,0),"Tarde","Noite")))</f>
        <v/>
      </c>
      <c r="R1263" s="46">
        <f>IF(AND(H1263="Realizado",L1263&lt;&gt;"",A1263&lt;=Config!$B$9),L1263/60,0)</f>
        <v>0</v>
      </c>
      <c r="S1263" s="45">
        <f>IF(G1263="","",IFERROR(INDEX(Config!$K$5:$K$16,MATCH(G1263,Config!$J$5:$J$16,0)),""))</f>
        <v/>
      </c>
      <c r="T1263" s="31">
        <f>IF(OR(G1263="",F1263=""),"",IFERROR(INDEX(Config!$M$5:$R$16,MATCH(G1263,Config!$J$5:$J$16,0),MATCH(F1263,Config!$H$5:$H$10,0)),""))</f>
        <v/>
      </c>
      <c r="U1263" s="47">
        <f>IF(AND(H1263="Realizado",L1263&lt;&gt;""),L1263/60,0)</f>
        <v>0</v>
      </c>
      <c r="V1263" s="47">
        <f>IF(AND(H1263="Realizado",OR(L1263="",M1263="")),1,0)</f>
        <v>0</v>
      </c>
    </row>
    <row r="1264">
      <c r="A1264" s="43" t="n"/>
      <c r="B1264" s="44" t="n"/>
      <c r="C1264" s="38" t="n"/>
      <c r="D1264" s="38" t="n"/>
      <c r="E1264" s="37" t="n"/>
      <c r="F1264" s="38" t="n"/>
      <c r="G1264" s="38" t="n"/>
      <c r="H1264" s="38" t="n"/>
      <c r="I1264" s="38" t="n"/>
      <c r="J1264" s="38" t="n"/>
      <c r="K1264" s="37" t="n"/>
      <c r="L1264" s="39" t="n"/>
      <c r="M1264" s="40" t="n"/>
      <c r="N1264" s="30">
        <f>IF(A1264="","",MONTH(A1264))</f>
        <v/>
      </c>
      <c r="O1264" s="30">
        <f>IF(A1264="","",YEAR(A1264))</f>
        <v/>
      </c>
      <c r="P1264" s="30">
        <f>IF(A1264="","",CHOOSE(WEEKDAY(A1264,2),"Segunda","Terça","Quarta","Quinta","Sexta","Sábado","Domingo"))</f>
        <v/>
      </c>
      <c r="Q1264" s="30">
        <f>IF(B1264="","",IF(B1264&lt;TIME(12,0,0),"Manhã",IF(B1264&lt;TIME(18,0,0),"Tarde","Noite")))</f>
        <v/>
      </c>
      <c r="R1264" s="46">
        <f>IF(AND(H1264="Realizado",L1264&lt;&gt;"",A1264&lt;=Config!$B$9),L1264/60,0)</f>
        <v>0</v>
      </c>
      <c r="S1264" s="45">
        <f>IF(G1264="","",IFERROR(INDEX(Config!$K$5:$K$16,MATCH(G1264,Config!$J$5:$J$16,0)),""))</f>
        <v/>
      </c>
      <c r="T1264" s="31">
        <f>IF(OR(G1264="",F1264=""),"",IFERROR(INDEX(Config!$M$5:$R$16,MATCH(G1264,Config!$J$5:$J$16,0),MATCH(F1264,Config!$H$5:$H$10,0)),""))</f>
        <v/>
      </c>
      <c r="U1264" s="47">
        <f>IF(AND(H1264="Realizado",L1264&lt;&gt;""),L1264/60,0)</f>
        <v>0</v>
      </c>
      <c r="V1264" s="47">
        <f>IF(AND(H1264="Realizado",OR(L1264="",M1264="")),1,0)</f>
        <v>0</v>
      </c>
    </row>
    <row r="1265">
      <c r="A1265" s="43" t="n"/>
      <c r="B1265" s="44" t="n"/>
      <c r="C1265" s="38" t="n"/>
      <c r="D1265" s="38" t="n"/>
      <c r="E1265" s="37" t="n"/>
      <c r="F1265" s="38" t="n"/>
      <c r="G1265" s="38" t="n"/>
      <c r="H1265" s="38" t="n"/>
      <c r="I1265" s="38" t="n"/>
      <c r="J1265" s="38" t="n"/>
      <c r="K1265" s="37" t="n"/>
      <c r="L1265" s="39" t="n"/>
      <c r="M1265" s="40" t="n"/>
      <c r="N1265" s="30">
        <f>IF(A1265="","",MONTH(A1265))</f>
        <v/>
      </c>
      <c r="O1265" s="30">
        <f>IF(A1265="","",YEAR(A1265))</f>
        <v/>
      </c>
      <c r="P1265" s="30">
        <f>IF(A1265="","",CHOOSE(WEEKDAY(A1265,2),"Segunda","Terça","Quarta","Quinta","Sexta","Sábado","Domingo"))</f>
        <v/>
      </c>
      <c r="Q1265" s="30">
        <f>IF(B1265="","",IF(B1265&lt;TIME(12,0,0),"Manhã",IF(B1265&lt;TIME(18,0,0),"Tarde","Noite")))</f>
        <v/>
      </c>
      <c r="R1265" s="46">
        <f>IF(AND(H1265="Realizado",L1265&lt;&gt;"",A1265&lt;=Config!$B$9),L1265/60,0)</f>
        <v>0</v>
      </c>
      <c r="S1265" s="45">
        <f>IF(G1265="","",IFERROR(INDEX(Config!$K$5:$K$16,MATCH(G1265,Config!$J$5:$J$16,0)),""))</f>
        <v/>
      </c>
      <c r="T1265" s="31">
        <f>IF(OR(G1265="",F1265=""),"",IFERROR(INDEX(Config!$M$5:$R$16,MATCH(G1265,Config!$J$5:$J$16,0),MATCH(F1265,Config!$H$5:$H$10,0)),""))</f>
        <v/>
      </c>
      <c r="U1265" s="47">
        <f>IF(AND(H1265="Realizado",L1265&lt;&gt;""),L1265/60,0)</f>
        <v>0</v>
      </c>
      <c r="V1265" s="47">
        <f>IF(AND(H1265="Realizado",OR(L1265="",M1265="")),1,0)</f>
        <v>0</v>
      </c>
    </row>
    <row r="1266">
      <c r="A1266" s="43" t="n"/>
      <c r="B1266" s="44" t="n"/>
      <c r="C1266" s="38" t="n"/>
      <c r="D1266" s="38" t="n"/>
      <c r="E1266" s="37" t="n"/>
      <c r="F1266" s="38" t="n"/>
      <c r="G1266" s="38" t="n"/>
      <c r="H1266" s="38" t="n"/>
      <c r="I1266" s="38" t="n"/>
      <c r="J1266" s="38" t="n"/>
      <c r="K1266" s="37" t="n"/>
      <c r="L1266" s="39" t="n"/>
      <c r="M1266" s="40" t="n"/>
      <c r="N1266" s="30">
        <f>IF(A1266="","",MONTH(A1266))</f>
        <v/>
      </c>
      <c r="O1266" s="30">
        <f>IF(A1266="","",YEAR(A1266))</f>
        <v/>
      </c>
      <c r="P1266" s="30">
        <f>IF(A1266="","",CHOOSE(WEEKDAY(A1266,2),"Segunda","Terça","Quarta","Quinta","Sexta","Sábado","Domingo"))</f>
        <v/>
      </c>
      <c r="Q1266" s="30">
        <f>IF(B1266="","",IF(B1266&lt;TIME(12,0,0),"Manhã",IF(B1266&lt;TIME(18,0,0),"Tarde","Noite")))</f>
        <v/>
      </c>
      <c r="R1266" s="46">
        <f>IF(AND(H1266="Realizado",L1266&lt;&gt;"",A1266&lt;=Config!$B$9),L1266/60,0)</f>
        <v>0</v>
      </c>
      <c r="S1266" s="45">
        <f>IF(G1266="","",IFERROR(INDEX(Config!$K$5:$K$16,MATCH(G1266,Config!$J$5:$J$16,0)),""))</f>
        <v/>
      </c>
      <c r="T1266" s="31">
        <f>IF(OR(G1266="",F1266=""),"",IFERROR(INDEX(Config!$M$5:$R$16,MATCH(G1266,Config!$J$5:$J$16,0),MATCH(F1266,Config!$H$5:$H$10,0)),""))</f>
        <v/>
      </c>
      <c r="U1266" s="47">
        <f>IF(AND(H1266="Realizado",L1266&lt;&gt;""),L1266/60,0)</f>
        <v>0</v>
      </c>
      <c r="V1266" s="47">
        <f>IF(AND(H1266="Realizado",OR(L1266="",M1266="")),1,0)</f>
        <v>0</v>
      </c>
    </row>
    <row r="1267">
      <c r="A1267" s="43" t="n"/>
      <c r="B1267" s="44" t="n"/>
      <c r="C1267" s="38" t="n"/>
      <c r="D1267" s="38" t="n"/>
      <c r="E1267" s="37" t="n"/>
      <c r="F1267" s="38" t="n"/>
      <c r="G1267" s="38" t="n"/>
      <c r="H1267" s="38" t="n"/>
      <c r="I1267" s="38" t="n"/>
      <c r="J1267" s="38" t="n"/>
      <c r="K1267" s="37" t="n"/>
      <c r="L1267" s="39" t="n"/>
      <c r="M1267" s="40" t="n"/>
      <c r="N1267" s="30">
        <f>IF(A1267="","",MONTH(A1267))</f>
        <v/>
      </c>
      <c r="O1267" s="30">
        <f>IF(A1267="","",YEAR(A1267))</f>
        <v/>
      </c>
      <c r="P1267" s="30">
        <f>IF(A1267="","",CHOOSE(WEEKDAY(A1267,2),"Segunda","Terça","Quarta","Quinta","Sexta","Sábado","Domingo"))</f>
        <v/>
      </c>
      <c r="Q1267" s="30">
        <f>IF(B1267="","",IF(B1267&lt;TIME(12,0,0),"Manhã",IF(B1267&lt;TIME(18,0,0),"Tarde","Noite")))</f>
        <v/>
      </c>
      <c r="R1267" s="46">
        <f>IF(AND(H1267="Realizado",L1267&lt;&gt;"",A1267&lt;=Config!$B$9),L1267/60,0)</f>
        <v>0</v>
      </c>
      <c r="S1267" s="45">
        <f>IF(G1267="","",IFERROR(INDEX(Config!$K$5:$K$16,MATCH(G1267,Config!$J$5:$J$16,0)),""))</f>
        <v/>
      </c>
      <c r="T1267" s="31">
        <f>IF(OR(G1267="",F1267=""),"",IFERROR(INDEX(Config!$M$5:$R$16,MATCH(G1267,Config!$J$5:$J$16,0),MATCH(F1267,Config!$H$5:$H$10,0)),""))</f>
        <v/>
      </c>
      <c r="U1267" s="47">
        <f>IF(AND(H1267="Realizado",L1267&lt;&gt;""),L1267/60,0)</f>
        <v>0</v>
      </c>
      <c r="V1267" s="47">
        <f>IF(AND(H1267="Realizado",OR(L1267="",M1267="")),1,0)</f>
        <v>0</v>
      </c>
    </row>
    <row r="1268">
      <c r="A1268" s="43" t="n"/>
      <c r="B1268" s="44" t="n"/>
      <c r="C1268" s="38" t="n"/>
      <c r="D1268" s="38" t="n"/>
      <c r="E1268" s="37" t="n"/>
      <c r="F1268" s="38" t="n"/>
      <c r="G1268" s="38" t="n"/>
      <c r="H1268" s="38" t="n"/>
      <c r="I1268" s="38" t="n"/>
      <c r="J1268" s="38" t="n"/>
      <c r="K1268" s="37" t="n"/>
      <c r="L1268" s="39" t="n"/>
      <c r="M1268" s="40" t="n"/>
      <c r="N1268" s="30">
        <f>IF(A1268="","",MONTH(A1268))</f>
        <v/>
      </c>
      <c r="O1268" s="30">
        <f>IF(A1268="","",YEAR(A1268))</f>
        <v/>
      </c>
      <c r="P1268" s="30">
        <f>IF(A1268="","",CHOOSE(WEEKDAY(A1268,2),"Segunda","Terça","Quarta","Quinta","Sexta","Sábado","Domingo"))</f>
        <v/>
      </c>
      <c r="Q1268" s="30">
        <f>IF(B1268="","",IF(B1268&lt;TIME(12,0,0),"Manhã",IF(B1268&lt;TIME(18,0,0),"Tarde","Noite")))</f>
        <v/>
      </c>
      <c r="R1268" s="46">
        <f>IF(AND(H1268="Realizado",L1268&lt;&gt;"",A1268&lt;=Config!$B$9),L1268/60,0)</f>
        <v>0</v>
      </c>
      <c r="S1268" s="45">
        <f>IF(G1268="","",IFERROR(INDEX(Config!$K$5:$K$16,MATCH(G1268,Config!$J$5:$J$16,0)),""))</f>
        <v/>
      </c>
      <c r="T1268" s="31">
        <f>IF(OR(G1268="",F1268=""),"",IFERROR(INDEX(Config!$M$5:$R$16,MATCH(G1268,Config!$J$5:$J$16,0),MATCH(F1268,Config!$H$5:$H$10,0)),""))</f>
        <v/>
      </c>
      <c r="U1268" s="47">
        <f>IF(AND(H1268="Realizado",L1268&lt;&gt;""),L1268/60,0)</f>
        <v>0</v>
      </c>
      <c r="V1268" s="47">
        <f>IF(AND(H1268="Realizado",OR(L1268="",M1268="")),1,0)</f>
        <v>0</v>
      </c>
    </row>
    <row r="1269">
      <c r="A1269" s="43" t="n"/>
      <c r="B1269" s="44" t="n"/>
      <c r="C1269" s="38" t="n"/>
      <c r="D1269" s="38" t="n"/>
      <c r="E1269" s="37" t="n"/>
      <c r="F1269" s="38" t="n"/>
      <c r="G1269" s="38" t="n"/>
      <c r="H1269" s="38" t="n"/>
      <c r="I1269" s="38" t="n"/>
      <c r="J1269" s="38" t="n"/>
      <c r="K1269" s="37" t="n"/>
      <c r="L1269" s="39" t="n"/>
      <c r="M1269" s="40" t="n"/>
      <c r="N1269" s="30">
        <f>IF(A1269="","",MONTH(A1269))</f>
        <v/>
      </c>
      <c r="O1269" s="30">
        <f>IF(A1269="","",YEAR(A1269))</f>
        <v/>
      </c>
      <c r="P1269" s="30">
        <f>IF(A1269="","",CHOOSE(WEEKDAY(A1269,2),"Segunda","Terça","Quarta","Quinta","Sexta","Sábado","Domingo"))</f>
        <v/>
      </c>
      <c r="Q1269" s="30">
        <f>IF(B1269="","",IF(B1269&lt;TIME(12,0,0),"Manhã",IF(B1269&lt;TIME(18,0,0),"Tarde","Noite")))</f>
        <v/>
      </c>
      <c r="R1269" s="46">
        <f>IF(AND(H1269="Realizado",L1269&lt;&gt;"",A1269&lt;=Config!$B$9),L1269/60,0)</f>
        <v>0</v>
      </c>
      <c r="S1269" s="45">
        <f>IF(G1269="","",IFERROR(INDEX(Config!$K$5:$K$16,MATCH(G1269,Config!$J$5:$J$16,0)),""))</f>
        <v/>
      </c>
      <c r="T1269" s="31">
        <f>IF(OR(G1269="",F1269=""),"",IFERROR(INDEX(Config!$M$5:$R$16,MATCH(G1269,Config!$J$5:$J$16,0),MATCH(F1269,Config!$H$5:$H$10,0)),""))</f>
        <v/>
      </c>
      <c r="U1269" s="47">
        <f>IF(AND(H1269="Realizado",L1269&lt;&gt;""),L1269/60,0)</f>
        <v>0</v>
      </c>
      <c r="V1269" s="47">
        <f>IF(AND(H1269="Realizado",OR(L1269="",M1269="")),1,0)</f>
        <v>0</v>
      </c>
    </row>
    <row r="1270">
      <c r="A1270" s="43" t="n"/>
      <c r="B1270" s="44" t="n"/>
      <c r="C1270" s="38" t="n"/>
      <c r="D1270" s="38" t="n"/>
      <c r="E1270" s="37" t="n"/>
      <c r="F1270" s="38" t="n"/>
      <c r="G1270" s="38" t="n"/>
      <c r="H1270" s="38" t="n"/>
      <c r="I1270" s="38" t="n"/>
      <c r="J1270" s="38" t="n"/>
      <c r="K1270" s="37" t="n"/>
      <c r="L1270" s="39" t="n"/>
      <c r="M1270" s="40" t="n"/>
      <c r="N1270" s="30">
        <f>IF(A1270="","",MONTH(A1270))</f>
        <v/>
      </c>
      <c r="O1270" s="30">
        <f>IF(A1270="","",YEAR(A1270))</f>
        <v/>
      </c>
      <c r="P1270" s="30">
        <f>IF(A1270="","",CHOOSE(WEEKDAY(A1270,2),"Segunda","Terça","Quarta","Quinta","Sexta","Sábado","Domingo"))</f>
        <v/>
      </c>
      <c r="Q1270" s="30">
        <f>IF(B1270="","",IF(B1270&lt;TIME(12,0,0),"Manhã",IF(B1270&lt;TIME(18,0,0),"Tarde","Noite")))</f>
        <v/>
      </c>
      <c r="R1270" s="46">
        <f>IF(AND(H1270="Realizado",L1270&lt;&gt;"",A1270&lt;=Config!$B$9),L1270/60,0)</f>
        <v>0</v>
      </c>
      <c r="S1270" s="45">
        <f>IF(G1270="","",IFERROR(INDEX(Config!$K$5:$K$16,MATCH(G1270,Config!$J$5:$J$16,0)),""))</f>
        <v/>
      </c>
      <c r="T1270" s="31">
        <f>IF(OR(G1270="",F1270=""),"",IFERROR(INDEX(Config!$M$5:$R$16,MATCH(G1270,Config!$J$5:$J$16,0),MATCH(F1270,Config!$H$5:$H$10,0)),""))</f>
        <v/>
      </c>
      <c r="U1270" s="47">
        <f>IF(AND(H1270="Realizado",L1270&lt;&gt;""),L1270/60,0)</f>
        <v>0</v>
      </c>
      <c r="V1270" s="47">
        <f>IF(AND(H1270="Realizado",OR(L1270="",M1270="")),1,0)</f>
        <v>0</v>
      </c>
    </row>
    <row r="1271">
      <c r="A1271" s="43" t="n"/>
      <c r="B1271" s="44" t="n"/>
      <c r="C1271" s="38" t="n"/>
      <c r="D1271" s="38" t="n"/>
      <c r="E1271" s="37" t="n"/>
      <c r="F1271" s="38" t="n"/>
      <c r="G1271" s="38" t="n"/>
      <c r="H1271" s="38" t="n"/>
      <c r="I1271" s="38" t="n"/>
      <c r="J1271" s="38" t="n"/>
      <c r="K1271" s="37" t="n"/>
      <c r="L1271" s="39" t="n"/>
      <c r="M1271" s="40" t="n"/>
      <c r="N1271" s="30">
        <f>IF(A1271="","",MONTH(A1271))</f>
        <v/>
      </c>
      <c r="O1271" s="30">
        <f>IF(A1271="","",YEAR(A1271))</f>
        <v/>
      </c>
      <c r="P1271" s="30">
        <f>IF(A1271="","",CHOOSE(WEEKDAY(A1271,2),"Segunda","Terça","Quarta","Quinta","Sexta","Sábado","Domingo"))</f>
        <v/>
      </c>
      <c r="Q1271" s="30">
        <f>IF(B1271="","",IF(B1271&lt;TIME(12,0,0),"Manhã",IF(B1271&lt;TIME(18,0,0),"Tarde","Noite")))</f>
        <v/>
      </c>
      <c r="R1271" s="46">
        <f>IF(AND(H1271="Realizado",L1271&lt;&gt;"",A1271&lt;=Config!$B$9),L1271/60,0)</f>
        <v>0</v>
      </c>
      <c r="S1271" s="45">
        <f>IF(G1271="","",IFERROR(INDEX(Config!$K$5:$K$16,MATCH(G1271,Config!$J$5:$J$16,0)),""))</f>
        <v/>
      </c>
      <c r="T1271" s="31">
        <f>IF(OR(G1271="",F1271=""),"",IFERROR(INDEX(Config!$M$5:$R$16,MATCH(G1271,Config!$J$5:$J$16,0),MATCH(F1271,Config!$H$5:$H$10,0)),""))</f>
        <v/>
      </c>
      <c r="U1271" s="47">
        <f>IF(AND(H1271="Realizado",L1271&lt;&gt;""),L1271/60,0)</f>
        <v>0</v>
      </c>
      <c r="V1271" s="47">
        <f>IF(AND(H1271="Realizado",OR(L1271="",M1271="")),1,0)</f>
        <v>0</v>
      </c>
    </row>
    <row r="1272">
      <c r="A1272" s="43" t="n"/>
      <c r="B1272" s="44" t="n"/>
      <c r="C1272" s="38" t="n"/>
      <c r="D1272" s="38" t="n"/>
      <c r="E1272" s="37" t="n"/>
      <c r="F1272" s="38" t="n"/>
      <c r="G1272" s="38" t="n"/>
      <c r="H1272" s="38" t="n"/>
      <c r="I1272" s="38" t="n"/>
      <c r="J1272" s="38" t="n"/>
      <c r="K1272" s="37" t="n"/>
      <c r="L1272" s="39" t="n"/>
      <c r="M1272" s="40" t="n"/>
      <c r="N1272" s="30">
        <f>IF(A1272="","",MONTH(A1272))</f>
        <v/>
      </c>
      <c r="O1272" s="30">
        <f>IF(A1272="","",YEAR(A1272))</f>
        <v/>
      </c>
      <c r="P1272" s="30">
        <f>IF(A1272="","",CHOOSE(WEEKDAY(A1272,2),"Segunda","Terça","Quarta","Quinta","Sexta","Sábado","Domingo"))</f>
        <v/>
      </c>
      <c r="Q1272" s="30">
        <f>IF(B1272="","",IF(B1272&lt;TIME(12,0,0),"Manhã",IF(B1272&lt;TIME(18,0,0),"Tarde","Noite")))</f>
        <v/>
      </c>
      <c r="R1272" s="46">
        <f>IF(AND(H1272="Realizado",L1272&lt;&gt;"",A1272&lt;=Config!$B$9),L1272/60,0)</f>
        <v>0</v>
      </c>
      <c r="S1272" s="45">
        <f>IF(G1272="","",IFERROR(INDEX(Config!$K$5:$K$16,MATCH(G1272,Config!$J$5:$J$16,0)),""))</f>
        <v/>
      </c>
      <c r="T1272" s="31">
        <f>IF(OR(G1272="",F1272=""),"",IFERROR(INDEX(Config!$M$5:$R$16,MATCH(G1272,Config!$J$5:$J$16,0),MATCH(F1272,Config!$H$5:$H$10,0)),""))</f>
        <v/>
      </c>
      <c r="U1272" s="47">
        <f>IF(AND(H1272="Realizado",L1272&lt;&gt;""),L1272/60,0)</f>
        <v>0</v>
      </c>
      <c r="V1272" s="47">
        <f>IF(AND(H1272="Realizado",OR(L1272="",M1272="")),1,0)</f>
        <v>0</v>
      </c>
    </row>
    <row r="1273">
      <c r="A1273" s="43" t="n"/>
      <c r="B1273" s="44" t="n"/>
      <c r="C1273" s="38" t="n"/>
      <c r="D1273" s="38" t="n"/>
      <c r="E1273" s="37" t="n"/>
      <c r="F1273" s="38" t="n"/>
      <c r="G1273" s="38" t="n"/>
      <c r="H1273" s="38" t="n"/>
      <c r="I1273" s="38" t="n"/>
      <c r="J1273" s="38" t="n"/>
      <c r="K1273" s="37" t="n"/>
      <c r="L1273" s="39" t="n"/>
      <c r="M1273" s="40" t="n"/>
      <c r="N1273" s="30">
        <f>IF(A1273="","",MONTH(A1273))</f>
        <v/>
      </c>
      <c r="O1273" s="30">
        <f>IF(A1273="","",YEAR(A1273))</f>
        <v/>
      </c>
      <c r="P1273" s="30">
        <f>IF(A1273="","",CHOOSE(WEEKDAY(A1273,2),"Segunda","Terça","Quarta","Quinta","Sexta","Sábado","Domingo"))</f>
        <v/>
      </c>
      <c r="Q1273" s="30">
        <f>IF(B1273="","",IF(B1273&lt;TIME(12,0,0),"Manhã",IF(B1273&lt;TIME(18,0,0),"Tarde","Noite")))</f>
        <v/>
      </c>
      <c r="R1273" s="46">
        <f>IF(AND(H1273="Realizado",L1273&lt;&gt;"",A1273&lt;=Config!$B$9),L1273/60,0)</f>
        <v>0</v>
      </c>
      <c r="S1273" s="45">
        <f>IF(G1273="","",IFERROR(INDEX(Config!$K$5:$K$16,MATCH(G1273,Config!$J$5:$J$16,0)),""))</f>
        <v/>
      </c>
      <c r="T1273" s="31">
        <f>IF(OR(G1273="",F1273=""),"",IFERROR(INDEX(Config!$M$5:$R$16,MATCH(G1273,Config!$J$5:$J$16,0),MATCH(F1273,Config!$H$5:$H$10,0)),""))</f>
        <v/>
      </c>
      <c r="U1273" s="47">
        <f>IF(AND(H1273="Realizado",L1273&lt;&gt;""),L1273/60,0)</f>
        <v>0</v>
      </c>
      <c r="V1273" s="47">
        <f>IF(AND(H1273="Realizado",OR(L1273="",M1273="")),1,0)</f>
        <v>0</v>
      </c>
    </row>
    <row r="1274">
      <c r="A1274" s="43" t="n"/>
      <c r="B1274" s="44" t="n"/>
      <c r="C1274" s="38" t="n"/>
      <c r="D1274" s="38" t="n"/>
      <c r="E1274" s="37" t="n"/>
      <c r="F1274" s="38" t="n"/>
      <c r="G1274" s="38" t="n"/>
      <c r="H1274" s="38" t="n"/>
      <c r="I1274" s="38" t="n"/>
      <c r="J1274" s="38" t="n"/>
      <c r="K1274" s="37" t="n"/>
      <c r="L1274" s="39" t="n"/>
      <c r="M1274" s="40" t="n"/>
      <c r="N1274" s="30">
        <f>IF(A1274="","",MONTH(A1274))</f>
        <v/>
      </c>
      <c r="O1274" s="30">
        <f>IF(A1274="","",YEAR(A1274))</f>
        <v/>
      </c>
      <c r="P1274" s="30">
        <f>IF(A1274="","",CHOOSE(WEEKDAY(A1274,2),"Segunda","Terça","Quarta","Quinta","Sexta","Sábado","Domingo"))</f>
        <v/>
      </c>
      <c r="Q1274" s="30">
        <f>IF(B1274="","",IF(B1274&lt;TIME(12,0,0),"Manhã",IF(B1274&lt;TIME(18,0,0),"Tarde","Noite")))</f>
        <v/>
      </c>
      <c r="R1274" s="46">
        <f>IF(AND(H1274="Realizado",L1274&lt;&gt;"",A1274&lt;=Config!$B$9),L1274/60,0)</f>
        <v>0</v>
      </c>
      <c r="S1274" s="45">
        <f>IF(G1274="","",IFERROR(INDEX(Config!$K$5:$K$16,MATCH(G1274,Config!$J$5:$J$16,0)),""))</f>
        <v/>
      </c>
      <c r="T1274" s="31">
        <f>IF(OR(G1274="",F1274=""),"",IFERROR(INDEX(Config!$M$5:$R$16,MATCH(G1274,Config!$J$5:$J$16,0),MATCH(F1274,Config!$H$5:$H$10,0)),""))</f>
        <v/>
      </c>
      <c r="U1274" s="47">
        <f>IF(AND(H1274="Realizado",L1274&lt;&gt;""),L1274/60,0)</f>
        <v>0</v>
      </c>
      <c r="V1274" s="47">
        <f>IF(AND(H1274="Realizado",OR(L1274="",M1274="")),1,0)</f>
        <v>0</v>
      </c>
    </row>
    <row r="1275">
      <c r="A1275" s="43" t="n"/>
      <c r="B1275" s="44" t="n"/>
      <c r="C1275" s="38" t="n"/>
      <c r="D1275" s="38" t="n"/>
      <c r="E1275" s="37" t="n"/>
      <c r="F1275" s="38" t="n"/>
      <c r="G1275" s="38" t="n"/>
      <c r="H1275" s="38" t="n"/>
      <c r="I1275" s="38" t="n"/>
      <c r="J1275" s="38" t="n"/>
      <c r="K1275" s="37" t="n"/>
      <c r="L1275" s="39" t="n"/>
      <c r="M1275" s="40" t="n"/>
      <c r="N1275" s="30">
        <f>IF(A1275="","",MONTH(A1275))</f>
        <v/>
      </c>
      <c r="O1275" s="30">
        <f>IF(A1275="","",YEAR(A1275))</f>
        <v/>
      </c>
      <c r="P1275" s="30">
        <f>IF(A1275="","",CHOOSE(WEEKDAY(A1275,2),"Segunda","Terça","Quarta","Quinta","Sexta","Sábado","Domingo"))</f>
        <v/>
      </c>
      <c r="Q1275" s="30">
        <f>IF(B1275="","",IF(B1275&lt;TIME(12,0,0),"Manhã",IF(B1275&lt;TIME(18,0,0),"Tarde","Noite")))</f>
        <v/>
      </c>
      <c r="R1275" s="46">
        <f>IF(AND(H1275="Realizado",L1275&lt;&gt;"",A1275&lt;=Config!$B$9),L1275/60,0)</f>
        <v>0</v>
      </c>
      <c r="S1275" s="45">
        <f>IF(G1275="","",IFERROR(INDEX(Config!$K$5:$K$16,MATCH(G1275,Config!$J$5:$J$16,0)),""))</f>
        <v/>
      </c>
      <c r="T1275" s="31">
        <f>IF(OR(G1275="",F1275=""),"",IFERROR(INDEX(Config!$M$5:$R$16,MATCH(G1275,Config!$J$5:$J$16,0),MATCH(F1275,Config!$H$5:$H$10,0)),""))</f>
        <v/>
      </c>
      <c r="U1275" s="47">
        <f>IF(AND(H1275="Realizado",L1275&lt;&gt;""),L1275/60,0)</f>
        <v>0</v>
      </c>
      <c r="V1275" s="47">
        <f>IF(AND(H1275="Realizado",OR(L1275="",M1275="")),1,0)</f>
        <v>0</v>
      </c>
    </row>
    <row r="1276">
      <c r="A1276" s="43" t="n"/>
      <c r="B1276" s="44" t="n"/>
      <c r="C1276" s="38" t="n"/>
      <c r="D1276" s="38" t="n"/>
      <c r="E1276" s="37" t="n"/>
      <c r="F1276" s="38" t="n"/>
      <c r="G1276" s="38" t="n"/>
      <c r="H1276" s="38" t="n"/>
      <c r="I1276" s="38" t="n"/>
      <c r="J1276" s="38" t="n"/>
      <c r="K1276" s="37" t="n"/>
      <c r="L1276" s="39" t="n"/>
      <c r="M1276" s="40" t="n"/>
      <c r="N1276" s="30">
        <f>IF(A1276="","",MONTH(A1276))</f>
        <v/>
      </c>
      <c r="O1276" s="30">
        <f>IF(A1276="","",YEAR(A1276))</f>
        <v/>
      </c>
      <c r="P1276" s="30">
        <f>IF(A1276="","",CHOOSE(WEEKDAY(A1276,2),"Segunda","Terça","Quarta","Quinta","Sexta","Sábado","Domingo"))</f>
        <v/>
      </c>
      <c r="Q1276" s="30">
        <f>IF(B1276="","",IF(B1276&lt;TIME(12,0,0),"Manhã",IF(B1276&lt;TIME(18,0,0),"Tarde","Noite")))</f>
        <v/>
      </c>
      <c r="R1276" s="46">
        <f>IF(AND(H1276="Realizado",L1276&lt;&gt;"",A1276&lt;=Config!$B$9),L1276/60,0)</f>
        <v>0</v>
      </c>
      <c r="S1276" s="45">
        <f>IF(G1276="","",IFERROR(INDEX(Config!$K$5:$K$16,MATCH(G1276,Config!$J$5:$J$16,0)),""))</f>
        <v/>
      </c>
      <c r="T1276" s="31">
        <f>IF(OR(G1276="",F1276=""),"",IFERROR(INDEX(Config!$M$5:$R$16,MATCH(G1276,Config!$J$5:$J$16,0),MATCH(F1276,Config!$H$5:$H$10,0)),""))</f>
        <v/>
      </c>
      <c r="U1276" s="47">
        <f>IF(AND(H1276="Realizado",L1276&lt;&gt;""),L1276/60,0)</f>
        <v>0</v>
      </c>
      <c r="V1276" s="47">
        <f>IF(AND(H1276="Realizado",OR(L1276="",M1276="")),1,0)</f>
        <v>0</v>
      </c>
    </row>
    <row r="1277">
      <c r="A1277" s="43" t="n"/>
      <c r="B1277" s="44" t="n"/>
      <c r="C1277" s="38" t="n"/>
      <c r="D1277" s="38" t="n"/>
      <c r="E1277" s="37" t="n"/>
      <c r="F1277" s="38" t="n"/>
      <c r="G1277" s="38" t="n"/>
      <c r="H1277" s="38" t="n"/>
      <c r="I1277" s="38" t="n"/>
      <c r="J1277" s="38" t="n"/>
      <c r="K1277" s="37" t="n"/>
      <c r="L1277" s="39" t="n"/>
      <c r="M1277" s="40" t="n"/>
      <c r="N1277" s="30">
        <f>IF(A1277="","",MONTH(A1277))</f>
        <v/>
      </c>
      <c r="O1277" s="30">
        <f>IF(A1277="","",YEAR(A1277))</f>
        <v/>
      </c>
      <c r="P1277" s="30">
        <f>IF(A1277="","",CHOOSE(WEEKDAY(A1277,2),"Segunda","Terça","Quarta","Quinta","Sexta","Sábado","Domingo"))</f>
        <v/>
      </c>
      <c r="Q1277" s="30">
        <f>IF(B1277="","",IF(B1277&lt;TIME(12,0,0),"Manhã",IF(B1277&lt;TIME(18,0,0),"Tarde","Noite")))</f>
        <v/>
      </c>
      <c r="R1277" s="46">
        <f>IF(AND(H1277="Realizado",L1277&lt;&gt;"",A1277&lt;=Config!$B$9),L1277/60,0)</f>
        <v>0</v>
      </c>
      <c r="S1277" s="45">
        <f>IF(G1277="","",IFERROR(INDEX(Config!$K$5:$K$16,MATCH(G1277,Config!$J$5:$J$16,0)),""))</f>
        <v/>
      </c>
      <c r="T1277" s="31">
        <f>IF(OR(G1277="",F1277=""),"",IFERROR(INDEX(Config!$M$5:$R$16,MATCH(G1277,Config!$J$5:$J$16,0),MATCH(F1277,Config!$H$5:$H$10,0)),""))</f>
        <v/>
      </c>
      <c r="U1277" s="47">
        <f>IF(AND(H1277="Realizado",L1277&lt;&gt;""),L1277/60,0)</f>
        <v>0</v>
      </c>
      <c r="V1277" s="47">
        <f>IF(AND(H1277="Realizado",OR(L1277="",M1277="")),1,0)</f>
        <v>0</v>
      </c>
    </row>
    <row r="1278">
      <c r="A1278" s="43" t="n"/>
      <c r="B1278" s="44" t="n"/>
      <c r="C1278" s="38" t="n"/>
      <c r="D1278" s="38" t="n"/>
      <c r="E1278" s="37" t="n"/>
      <c r="F1278" s="38" t="n"/>
      <c r="G1278" s="38" t="n"/>
      <c r="H1278" s="38" t="n"/>
      <c r="I1278" s="38" t="n"/>
      <c r="J1278" s="38" t="n"/>
      <c r="K1278" s="37" t="n"/>
      <c r="L1278" s="39" t="n"/>
      <c r="M1278" s="40" t="n"/>
      <c r="N1278" s="30">
        <f>IF(A1278="","",MONTH(A1278))</f>
        <v/>
      </c>
      <c r="O1278" s="30">
        <f>IF(A1278="","",YEAR(A1278))</f>
        <v/>
      </c>
      <c r="P1278" s="30">
        <f>IF(A1278="","",CHOOSE(WEEKDAY(A1278,2),"Segunda","Terça","Quarta","Quinta","Sexta","Sábado","Domingo"))</f>
        <v/>
      </c>
      <c r="Q1278" s="30">
        <f>IF(B1278="","",IF(B1278&lt;TIME(12,0,0),"Manhã",IF(B1278&lt;TIME(18,0,0),"Tarde","Noite")))</f>
        <v/>
      </c>
      <c r="R1278" s="46">
        <f>IF(AND(H1278="Realizado",L1278&lt;&gt;"",A1278&lt;=Config!$B$9),L1278/60,0)</f>
        <v>0</v>
      </c>
      <c r="S1278" s="45">
        <f>IF(G1278="","",IFERROR(INDEX(Config!$K$5:$K$16,MATCH(G1278,Config!$J$5:$J$16,0)),""))</f>
        <v/>
      </c>
      <c r="T1278" s="31">
        <f>IF(OR(G1278="",F1278=""),"",IFERROR(INDEX(Config!$M$5:$R$16,MATCH(G1278,Config!$J$5:$J$16,0),MATCH(F1278,Config!$H$5:$H$10,0)),""))</f>
        <v/>
      </c>
      <c r="U1278" s="47">
        <f>IF(AND(H1278="Realizado",L1278&lt;&gt;""),L1278/60,0)</f>
        <v>0</v>
      </c>
      <c r="V1278" s="47">
        <f>IF(AND(H1278="Realizado",OR(L1278="",M1278="")),1,0)</f>
        <v>0</v>
      </c>
    </row>
    <row r="1279">
      <c r="A1279" s="43" t="n"/>
      <c r="B1279" s="44" t="n"/>
      <c r="C1279" s="38" t="n"/>
      <c r="D1279" s="38" t="n"/>
      <c r="E1279" s="37" t="n"/>
      <c r="F1279" s="38" t="n"/>
      <c r="G1279" s="38" t="n"/>
      <c r="H1279" s="38" t="n"/>
      <c r="I1279" s="38" t="n"/>
      <c r="J1279" s="38" t="n"/>
      <c r="K1279" s="37" t="n"/>
      <c r="L1279" s="39" t="n"/>
      <c r="M1279" s="40" t="n"/>
      <c r="N1279" s="30">
        <f>IF(A1279="","",MONTH(A1279))</f>
        <v/>
      </c>
      <c r="O1279" s="30">
        <f>IF(A1279="","",YEAR(A1279))</f>
        <v/>
      </c>
      <c r="P1279" s="30">
        <f>IF(A1279="","",CHOOSE(WEEKDAY(A1279,2),"Segunda","Terça","Quarta","Quinta","Sexta","Sábado","Domingo"))</f>
        <v/>
      </c>
      <c r="Q1279" s="30">
        <f>IF(B1279="","",IF(B1279&lt;TIME(12,0,0),"Manhã",IF(B1279&lt;TIME(18,0,0),"Tarde","Noite")))</f>
        <v/>
      </c>
      <c r="R1279" s="46">
        <f>IF(AND(H1279="Realizado",L1279&lt;&gt;"",A1279&lt;=Config!$B$9),L1279/60,0)</f>
        <v>0</v>
      </c>
      <c r="S1279" s="45">
        <f>IF(G1279="","",IFERROR(INDEX(Config!$K$5:$K$16,MATCH(G1279,Config!$J$5:$J$16,0)),""))</f>
        <v/>
      </c>
      <c r="T1279" s="31">
        <f>IF(OR(G1279="",F1279=""),"",IFERROR(INDEX(Config!$M$5:$R$16,MATCH(G1279,Config!$J$5:$J$16,0),MATCH(F1279,Config!$H$5:$H$10,0)),""))</f>
        <v/>
      </c>
      <c r="U1279" s="47">
        <f>IF(AND(H1279="Realizado",L1279&lt;&gt;""),L1279/60,0)</f>
        <v>0</v>
      </c>
      <c r="V1279" s="47">
        <f>IF(AND(H1279="Realizado",OR(L1279="",M1279="")),1,0)</f>
        <v>0</v>
      </c>
    </row>
    <row r="1280">
      <c r="A1280" s="43" t="n"/>
      <c r="B1280" s="44" t="n"/>
      <c r="C1280" s="38" t="n"/>
      <c r="D1280" s="38" t="n"/>
      <c r="E1280" s="37" t="n"/>
      <c r="F1280" s="38" t="n"/>
      <c r="G1280" s="38" t="n"/>
      <c r="H1280" s="38" t="n"/>
      <c r="I1280" s="38" t="n"/>
      <c r="J1280" s="38" t="n"/>
      <c r="K1280" s="37" t="n"/>
      <c r="L1280" s="39" t="n"/>
      <c r="M1280" s="40" t="n"/>
      <c r="N1280" s="30">
        <f>IF(A1280="","",MONTH(A1280))</f>
        <v/>
      </c>
      <c r="O1280" s="30">
        <f>IF(A1280="","",YEAR(A1280))</f>
        <v/>
      </c>
      <c r="P1280" s="30">
        <f>IF(A1280="","",CHOOSE(WEEKDAY(A1280,2),"Segunda","Terça","Quarta","Quinta","Sexta","Sábado","Domingo"))</f>
        <v/>
      </c>
      <c r="Q1280" s="30">
        <f>IF(B1280="","",IF(B1280&lt;TIME(12,0,0),"Manhã",IF(B1280&lt;TIME(18,0,0),"Tarde","Noite")))</f>
        <v/>
      </c>
      <c r="R1280" s="46">
        <f>IF(AND(H1280="Realizado",L1280&lt;&gt;"",A1280&lt;=Config!$B$9),L1280/60,0)</f>
        <v>0</v>
      </c>
      <c r="S1280" s="45">
        <f>IF(G1280="","",IFERROR(INDEX(Config!$K$5:$K$16,MATCH(G1280,Config!$J$5:$J$16,0)),""))</f>
        <v/>
      </c>
      <c r="T1280" s="31">
        <f>IF(OR(G1280="",F1280=""),"",IFERROR(INDEX(Config!$M$5:$R$16,MATCH(G1280,Config!$J$5:$J$16,0),MATCH(F1280,Config!$H$5:$H$10,0)),""))</f>
        <v/>
      </c>
      <c r="U1280" s="47">
        <f>IF(AND(H1280="Realizado",L1280&lt;&gt;""),L1280/60,0)</f>
        <v>0</v>
      </c>
      <c r="V1280" s="47">
        <f>IF(AND(H1280="Realizado",OR(L1280="",M1280="")),1,0)</f>
        <v>0</v>
      </c>
    </row>
    <row r="1281">
      <c r="A1281" s="43" t="n"/>
      <c r="B1281" s="44" t="n"/>
      <c r="C1281" s="38" t="n"/>
      <c r="D1281" s="38" t="n"/>
      <c r="E1281" s="37" t="n"/>
      <c r="F1281" s="38" t="n"/>
      <c r="G1281" s="38" t="n"/>
      <c r="H1281" s="38" t="n"/>
      <c r="I1281" s="38" t="n"/>
      <c r="J1281" s="38" t="n"/>
      <c r="K1281" s="37" t="n"/>
      <c r="L1281" s="39" t="n"/>
      <c r="M1281" s="40" t="n"/>
      <c r="N1281" s="30">
        <f>IF(A1281="","",MONTH(A1281))</f>
        <v/>
      </c>
      <c r="O1281" s="30">
        <f>IF(A1281="","",YEAR(A1281))</f>
        <v/>
      </c>
      <c r="P1281" s="30">
        <f>IF(A1281="","",CHOOSE(WEEKDAY(A1281,2),"Segunda","Terça","Quarta","Quinta","Sexta","Sábado","Domingo"))</f>
        <v/>
      </c>
      <c r="Q1281" s="30">
        <f>IF(B1281="","",IF(B1281&lt;TIME(12,0,0),"Manhã",IF(B1281&lt;TIME(18,0,0),"Tarde","Noite")))</f>
        <v/>
      </c>
      <c r="R1281" s="46">
        <f>IF(AND(H1281="Realizado",L1281&lt;&gt;"",A1281&lt;=Config!$B$9),L1281/60,0)</f>
        <v>0</v>
      </c>
      <c r="S1281" s="45">
        <f>IF(G1281="","",IFERROR(INDEX(Config!$K$5:$K$16,MATCH(G1281,Config!$J$5:$J$16,0)),""))</f>
        <v/>
      </c>
      <c r="T1281" s="31">
        <f>IF(OR(G1281="",F1281=""),"",IFERROR(INDEX(Config!$M$5:$R$16,MATCH(G1281,Config!$J$5:$J$16,0),MATCH(F1281,Config!$H$5:$H$10,0)),""))</f>
        <v/>
      </c>
      <c r="U1281" s="47">
        <f>IF(AND(H1281="Realizado",L1281&lt;&gt;""),L1281/60,0)</f>
        <v>0</v>
      </c>
      <c r="V1281" s="47">
        <f>IF(AND(H1281="Realizado",OR(L1281="",M1281="")),1,0)</f>
        <v>0</v>
      </c>
    </row>
    <row r="1282">
      <c r="A1282" s="43" t="n"/>
      <c r="B1282" s="44" t="n"/>
      <c r="C1282" s="38" t="n"/>
      <c r="D1282" s="38" t="n"/>
      <c r="E1282" s="37" t="n"/>
      <c r="F1282" s="38" t="n"/>
      <c r="G1282" s="38" t="n"/>
      <c r="H1282" s="38" t="n"/>
      <c r="I1282" s="38" t="n"/>
      <c r="J1282" s="38" t="n"/>
      <c r="K1282" s="37" t="n"/>
      <c r="L1282" s="39" t="n"/>
      <c r="M1282" s="40" t="n"/>
      <c r="N1282" s="30">
        <f>IF(A1282="","",MONTH(A1282))</f>
        <v/>
      </c>
      <c r="O1282" s="30">
        <f>IF(A1282="","",YEAR(A1282))</f>
        <v/>
      </c>
      <c r="P1282" s="30">
        <f>IF(A1282="","",CHOOSE(WEEKDAY(A1282,2),"Segunda","Terça","Quarta","Quinta","Sexta","Sábado","Domingo"))</f>
        <v/>
      </c>
      <c r="Q1282" s="30">
        <f>IF(B1282="","",IF(B1282&lt;TIME(12,0,0),"Manhã",IF(B1282&lt;TIME(18,0,0),"Tarde","Noite")))</f>
        <v/>
      </c>
      <c r="R1282" s="46">
        <f>IF(AND(H1282="Realizado",L1282&lt;&gt;"",A1282&lt;=Config!$B$9),L1282/60,0)</f>
        <v>0</v>
      </c>
      <c r="S1282" s="45">
        <f>IF(G1282="","",IFERROR(INDEX(Config!$K$5:$K$16,MATCH(G1282,Config!$J$5:$J$16,0)),""))</f>
        <v/>
      </c>
      <c r="T1282" s="31">
        <f>IF(OR(G1282="",F1282=""),"",IFERROR(INDEX(Config!$M$5:$R$16,MATCH(G1282,Config!$J$5:$J$16,0),MATCH(F1282,Config!$H$5:$H$10,0)),""))</f>
        <v/>
      </c>
      <c r="U1282" s="47">
        <f>IF(AND(H1282="Realizado",L1282&lt;&gt;""),L1282/60,0)</f>
        <v>0</v>
      </c>
      <c r="V1282" s="47">
        <f>IF(AND(H1282="Realizado",OR(L1282="",M1282="")),1,0)</f>
        <v>0</v>
      </c>
    </row>
    <row r="1283">
      <c r="A1283" s="43" t="n"/>
      <c r="B1283" s="44" t="n"/>
      <c r="C1283" s="38" t="n"/>
      <c r="D1283" s="38" t="n"/>
      <c r="E1283" s="37" t="n"/>
      <c r="F1283" s="38" t="n"/>
      <c r="G1283" s="38" t="n"/>
      <c r="H1283" s="38" t="n"/>
      <c r="I1283" s="38" t="n"/>
      <c r="J1283" s="38" t="n"/>
      <c r="K1283" s="37" t="n"/>
      <c r="L1283" s="39" t="n"/>
      <c r="M1283" s="40" t="n"/>
      <c r="N1283" s="30">
        <f>IF(A1283="","",MONTH(A1283))</f>
        <v/>
      </c>
      <c r="O1283" s="30">
        <f>IF(A1283="","",YEAR(A1283))</f>
        <v/>
      </c>
      <c r="P1283" s="30">
        <f>IF(A1283="","",CHOOSE(WEEKDAY(A1283,2),"Segunda","Terça","Quarta","Quinta","Sexta","Sábado","Domingo"))</f>
        <v/>
      </c>
      <c r="Q1283" s="30">
        <f>IF(B1283="","",IF(B1283&lt;TIME(12,0,0),"Manhã",IF(B1283&lt;TIME(18,0,0),"Tarde","Noite")))</f>
        <v/>
      </c>
      <c r="R1283" s="46">
        <f>IF(AND(H1283="Realizado",L1283&lt;&gt;"",A1283&lt;=Config!$B$9),L1283/60,0)</f>
        <v>0</v>
      </c>
      <c r="S1283" s="45">
        <f>IF(G1283="","",IFERROR(INDEX(Config!$K$5:$K$16,MATCH(G1283,Config!$J$5:$J$16,0)),""))</f>
        <v/>
      </c>
      <c r="T1283" s="31">
        <f>IF(OR(G1283="",F1283=""),"",IFERROR(INDEX(Config!$M$5:$R$16,MATCH(G1283,Config!$J$5:$J$16,0),MATCH(F1283,Config!$H$5:$H$10,0)),""))</f>
        <v/>
      </c>
      <c r="U1283" s="47">
        <f>IF(AND(H1283="Realizado",L1283&lt;&gt;""),L1283/60,0)</f>
        <v>0</v>
      </c>
      <c r="V1283" s="47">
        <f>IF(AND(H1283="Realizado",OR(L1283="",M1283="")),1,0)</f>
        <v>0</v>
      </c>
    </row>
    <row r="1284">
      <c r="A1284" s="43" t="n"/>
      <c r="B1284" s="44" t="n"/>
      <c r="C1284" s="38" t="n"/>
      <c r="D1284" s="38" t="n"/>
      <c r="E1284" s="37" t="n"/>
      <c r="F1284" s="38" t="n"/>
      <c r="G1284" s="38" t="n"/>
      <c r="H1284" s="38" t="n"/>
      <c r="I1284" s="38" t="n"/>
      <c r="J1284" s="38" t="n"/>
      <c r="K1284" s="37" t="n"/>
      <c r="L1284" s="39" t="n"/>
      <c r="M1284" s="40" t="n"/>
      <c r="N1284" s="30">
        <f>IF(A1284="","",MONTH(A1284))</f>
        <v/>
      </c>
      <c r="O1284" s="30">
        <f>IF(A1284="","",YEAR(A1284))</f>
        <v/>
      </c>
      <c r="P1284" s="30">
        <f>IF(A1284="","",CHOOSE(WEEKDAY(A1284,2),"Segunda","Terça","Quarta","Quinta","Sexta","Sábado","Domingo"))</f>
        <v/>
      </c>
      <c r="Q1284" s="30">
        <f>IF(B1284="","",IF(B1284&lt;TIME(12,0,0),"Manhã",IF(B1284&lt;TIME(18,0,0),"Tarde","Noite")))</f>
        <v/>
      </c>
      <c r="R1284" s="46">
        <f>IF(AND(H1284="Realizado",L1284&lt;&gt;"",A1284&lt;=Config!$B$9),L1284/60,0)</f>
        <v>0</v>
      </c>
      <c r="S1284" s="45">
        <f>IF(G1284="","",IFERROR(INDEX(Config!$K$5:$K$16,MATCH(G1284,Config!$J$5:$J$16,0)),""))</f>
        <v/>
      </c>
      <c r="T1284" s="31">
        <f>IF(OR(G1284="",F1284=""),"",IFERROR(INDEX(Config!$M$5:$R$16,MATCH(G1284,Config!$J$5:$J$16,0),MATCH(F1284,Config!$H$5:$H$10,0)),""))</f>
        <v/>
      </c>
      <c r="U1284" s="47">
        <f>IF(AND(H1284="Realizado",L1284&lt;&gt;""),L1284/60,0)</f>
        <v>0</v>
      </c>
      <c r="V1284" s="47">
        <f>IF(AND(H1284="Realizado",OR(L1284="",M1284="")),1,0)</f>
        <v>0</v>
      </c>
    </row>
    <row r="1285">
      <c r="A1285" s="43" t="n"/>
      <c r="B1285" s="44" t="n"/>
      <c r="C1285" s="38" t="n"/>
      <c r="D1285" s="38" t="n"/>
      <c r="E1285" s="37" t="n"/>
      <c r="F1285" s="38" t="n"/>
      <c r="G1285" s="38" t="n"/>
      <c r="H1285" s="38" t="n"/>
      <c r="I1285" s="38" t="n"/>
      <c r="J1285" s="38" t="n"/>
      <c r="K1285" s="37" t="n"/>
      <c r="L1285" s="39" t="n"/>
      <c r="M1285" s="40" t="n"/>
      <c r="N1285" s="30">
        <f>IF(A1285="","",MONTH(A1285))</f>
        <v/>
      </c>
      <c r="O1285" s="30">
        <f>IF(A1285="","",YEAR(A1285))</f>
        <v/>
      </c>
      <c r="P1285" s="30">
        <f>IF(A1285="","",CHOOSE(WEEKDAY(A1285,2),"Segunda","Terça","Quarta","Quinta","Sexta","Sábado","Domingo"))</f>
        <v/>
      </c>
      <c r="Q1285" s="30">
        <f>IF(B1285="","",IF(B1285&lt;TIME(12,0,0),"Manhã",IF(B1285&lt;TIME(18,0,0),"Tarde","Noite")))</f>
        <v/>
      </c>
      <c r="R1285" s="46">
        <f>IF(AND(H1285="Realizado",L1285&lt;&gt;"",A1285&lt;=Config!$B$9),L1285/60,0)</f>
        <v>0</v>
      </c>
      <c r="S1285" s="45">
        <f>IF(G1285="","",IFERROR(INDEX(Config!$K$5:$K$16,MATCH(G1285,Config!$J$5:$J$16,0)),""))</f>
        <v/>
      </c>
      <c r="T1285" s="31">
        <f>IF(OR(G1285="",F1285=""),"",IFERROR(INDEX(Config!$M$5:$R$16,MATCH(G1285,Config!$J$5:$J$16,0),MATCH(F1285,Config!$H$5:$H$10,0)),""))</f>
        <v/>
      </c>
      <c r="U1285" s="47">
        <f>IF(AND(H1285="Realizado",L1285&lt;&gt;""),L1285/60,0)</f>
        <v>0</v>
      </c>
      <c r="V1285" s="47">
        <f>IF(AND(H1285="Realizado",OR(L1285="",M1285="")),1,0)</f>
        <v>0</v>
      </c>
    </row>
    <row r="1286">
      <c r="A1286" s="43" t="n"/>
      <c r="B1286" s="44" t="n"/>
      <c r="C1286" s="38" t="n"/>
      <c r="D1286" s="38" t="n"/>
      <c r="E1286" s="37" t="n"/>
      <c r="F1286" s="38" t="n"/>
      <c r="G1286" s="38" t="n"/>
      <c r="H1286" s="38" t="n"/>
      <c r="I1286" s="38" t="n"/>
      <c r="J1286" s="38" t="n"/>
      <c r="K1286" s="37" t="n"/>
      <c r="L1286" s="39" t="n"/>
      <c r="M1286" s="40" t="n"/>
      <c r="N1286" s="30">
        <f>IF(A1286="","",MONTH(A1286))</f>
        <v/>
      </c>
      <c r="O1286" s="30">
        <f>IF(A1286="","",YEAR(A1286))</f>
        <v/>
      </c>
      <c r="P1286" s="30">
        <f>IF(A1286="","",CHOOSE(WEEKDAY(A1286,2),"Segunda","Terça","Quarta","Quinta","Sexta","Sábado","Domingo"))</f>
        <v/>
      </c>
      <c r="Q1286" s="30">
        <f>IF(B1286="","",IF(B1286&lt;TIME(12,0,0),"Manhã",IF(B1286&lt;TIME(18,0,0),"Tarde","Noite")))</f>
        <v/>
      </c>
      <c r="R1286" s="46">
        <f>IF(AND(H1286="Realizado",L1286&lt;&gt;"",A1286&lt;=Config!$B$9),L1286/60,0)</f>
        <v>0</v>
      </c>
      <c r="S1286" s="45">
        <f>IF(G1286="","",IFERROR(INDEX(Config!$K$5:$K$16,MATCH(G1286,Config!$J$5:$J$16,0)),""))</f>
        <v/>
      </c>
      <c r="T1286" s="31">
        <f>IF(OR(G1286="",F1286=""),"",IFERROR(INDEX(Config!$M$5:$R$16,MATCH(G1286,Config!$J$5:$J$16,0),MATCH(F1286,Config!$H$5:$H$10,0)),""))</f>
        <v/>
      </c>
      <c r="U1286" s="47">
        <f>IF(AND(H1286="Realizado",L1286&lt;&gt;""),L1286/60,0)</f>
        <v>0</v>
      </c>
      <c r="V1286" s="47">
        <f>IF(AND(H1286="Realizado",OR(L1286="",M1286="")),1,0)</f>
        <v>0</v>
      </c>
    </row>
    <row r="1287">
      <c r="A1287" s="43" t="n"/>
      <c r="B1287" s="44" t="n"/>
      <c r="C1287" s="38" t="n"/>
      <c r="D1287" s="38" t="n"/>
      <c r="E1287" s="37" t="n"/>
      <c r="F1287" s="38" t="n"/>
      <c r="G1287" s="38" t="n"/>
      <c r="H1287" s="38" t="n"/>
      <c r="I1287" s="38" t="n"/>
      <c r="J1287" s="38" t="n"/>
      <c r="K1287" s="37" t="n"/>
      <c r="L1287" s="39" t="n"/>
      <c r="M1287" s="40" t="n"/>
      <c r="N1287" s="30">
        <f>IF(A1287="","",MONTH(A1287))</f>
        <v/>
      </c>
      <c r="O1287" s="30">
        <f>IF(A1287="","",YEAR(A1287))</f>
        <v/>
      </c>
      <c r="P1287" s="30">
        <f>IF(A1287="","",CHOOSE(WEEKDAY(A1287,2),"Segunda","Terça","Quarta","Quinta","Sexta","Sábado","Domingo"))</f>
        <v/>
      </c>
      <c r="Q1287" s="30">
        <f>IF(B1287="","",IF(B1287&lt;TIME(12,0,0),"Manhã",IF(B1287&lt;TIME(18,0,0),"Tarde","Noite")))</f>
        <v/>
      </c>
      <c r="R1287" s="46">
        <f>IF(AND(H1287="Realizado",L1287&lt;&gt;"",A1287&lt;=Config!$B$9),L1287/60,0)</f>
        <v>0</v>
      </c>
      <c r="S1287" s="45">
        <f>IF(G1287="","",IFERROR(INDEX(Config!$K$5:$K$16,MATCH(G1287,Config!$J$5:$J$16,0)),""))</f>
        <v/>
      </c>
      <c r="T1287" s="31">
        <f>IF(OR(G1287="",F1287=""),"",IFERROR(INDEX(Config!$M$5:$R$16,MATCH(G1287,Config!$J$5:$J$16,0),MATCH(F1287,Config!$H$5:$H$10,0)),""))</f>
        <v/>
      </c>
      <c r="U1287" s="47">
        <f>IF(AND(H1287="Realizado",L1287&lt;&gt;""),L1287/60,0)</f>
        <v>0</v>
      </c>
      <c r="V1287" s="47">
        <f>IF(AND(H1287="Realizado",OR(L1287="",M1287="")),1,0)</f>
        <v>0</v>
      </c>
    </row>
    <row r="1288">
      <c r="A1288" s="43" t="n"/>
      <c r="B1288" s="44" t="n"/>
      <c r="C1288" s="38" t="n"/>
      <c r="D1288" s="38" t="n"/>
      <c r="E1288" s="37" t="n"/>
      <c r="F1288" s="38" t="n"/>
      <c r="G1288" s="38" t="n"/>
      <c r="H1288" s="38" t="n"/>
      <c r="I1288" s="38" t="n"/>
      <c r="J1288" s="38" t="n"/>
      <c r="K1288" s="37" t="n"/>
      <c r="L1288" s="39" t="n"/>
      <c r="M1288" s="40" t="n"/>
      <c r="N1288" s="30">
        <f>IF(A1288="","",MONTH(A1288))</f>
        <v/>
      </c>
      <c r="O1288" s="30">
        <f>IF(A1288="","",YEAR(A1288))</f>
        <v/>
      </c>
      <c r="P1288" s="30">
        <f>IF(A1288="","",CHOOSE(WEEKDAY(A1288,2),"Segunda","Terça","Quarta","Quinta","Sexta","Sábado","Domingo"))</f>
        <v/>
      </c>
      <c r="Q1288" s="30">
        <f>IF(B1288="","",IF(B1288&lt;TIME(12,0,0),"Manhã",IF(B1288&lt;TIME(18,0,0),"Tarde","Noite")))</f>
        <v/>
      </c>
      <c r="R1288" s="46">
        <f>IF(AND(H1288="Realizado",L1288&lt;&gt;"",A1288&lt;=Config!$B$9),L1288/60,0)</f>
        <v>0</v>
      </c>
      <c r="S1288" s="45">
        <f>IF(G1288="","",IFERROR(INDEX(Config!$K$5:$K$16,MATCH(G1288,Config!$J$5:$J$16,0)),""))</f>
        <v/>
      </c>
      <c r="T1288" s="31">
        <f>IF(OR(G1288="",F1288=""),"",IFERROR(INDEX(Config!$M$5:$R$16,MATCH(G1288,Config!$J$5:$J$16,0),MATCH(F1288,Config!$H$5:$H$10,0)),""))</f>
        <v/>
      </c>
      <c r="U1288" s="47">
        <f>IF(AND(H1288="Realizado",L1288&lt;&gt;""),L1288/60,0)</f>
        <v>0</v>
      </c>
      <c r="V1288" s="47">
        <f>IF(AND(H1288="Realizado",OR(L1288="",M1288="")),1,0)</f>
        <v>0</v>
      </c>
    </row>
    <row r="1289">
      <c r="A1289" s="43" t="n"/>
      <c r="B1289" s="44" t="n"/>
      <c r="C1289" s="38" t="n"/>
      <c r="D1289" s="38" t="n"/>
      <c r="E1289" s="37" t="n"/>
      <c r="F1289" s="38" t="n"/>
      <c r="G1289" s="38" t="n"/>
      <c r="H1289" s="38" t="n"/>
      <c r="I1289" s="38" t="n"/>
      <c r="J1289" s="38" t="n"/>
      <c r="K1289" s="37" t="n"/>
      <c r="L1289" s="39" t="n"/>
      <c r="M1289" s="40" t="n"/>
      <c r="N1289" s="30">
        <f>IF(A1289="","",MONTH(A1289))</f>
        <v/>
      </c>
      <c r="O1289" s="30">
        <f>IF(A1289="","",YEAR(A1289))</f>
        <v/>
      </c>
      <c r="P1289" s="30">
        <f>IF(A1289="","",CHOOSE(WEEKDAY(A1289,2),"Segunda","Terça","Quarta","Quinta","Sexta","Sábado","Domingo"))</f>
        <v/>
      </c>
      <c r="Q1289" s="30">
        <f>IF(B1289="","",IF(B1289&lt;TIME(12,0,0),"Manhã",IF(B1289&lt;TIME(18,0,0),"Tarde","Noite")))</f>
        <v/>
      </c>
      <c r="R1289" s="46">
        <f>IF(AND(H1289="Realizado",L1289&lt;&gt;"",A1289&lt;=Config!$B$9),L1289/60,0)</f>
        <v>0</v>
      </c>
      <c r="S1289" s="45">
        <f>IF(G1289="","",IFERROR(INDEX(Config!$K$5:$K$16,MATCH(G1289,Config!$J$5:$J$16,0)),""))</f>
        <v/>
      </c>
      <c r="T1289" s="31">
        <f>IF(OR(G1289="",F1289=""),"",IFERROR(INDEX(Config!$M$5:$R$16,MATCH(G1289,Config!$J$5:$J$16,0),MATCH(F1289,Config!$H$5:$H$10,0)),""))</f>
        <v/>
      </c>
      <c r="U1289" s="47">
        <f>IF(AND(H1289="Realizado",L1289&lt;&gt;""),L1289/60,0)</f>
        <v>0</v>
      </c>
      <c r="V1289" s="47">
        <f>IF(AND(H1289="Realizado",OR(L1289="",M1289="")),1,0)</f>
        <v>0</v>
      </c>
    </row>
    <row r="1290">
      <c r="A1290" s="43" t="n"/>
      <c r="B1290" s="44" t="n"/>
      <c r="C1290" s="38" t="n"/>
      <c r="D1290" s="38" t="n"/>
      <c r="E1290" s="37" t="n"/>
      <c r="F1290" s="38" t="n"/>
      <c r="G1290" s="38" t="n"/>
      <c r="H1290" s="38" t="n"/>
      <c r="I1290" s="38" t="n"/>
      <c r="J1290" s="38" t="n"/>
      <c r="K1290" s="37" t="n"/>
      <c r="L1290" s="39" t="n"/>
      <c r="M1290" s="40" t="n"/>
      <c r="N1290" s="30">
        <f>IF(A1290="","",MONTH(A1290))</f>
        <v/>
      </c>
      <c r="O1290" s="30">
        <f>IF(A1290="","",YEAR(A1290))</f>
        <v/>
      </c>
      <c r="P1290" s="30">
        <f>IF(A1290="","",CHOOSE(WEEKDAY(A1290,2),"Segunda","Terça","Quarta","Quinta","Sexta","Sábado","Domingo"))</f>
        <v/>
      </c>
      <c r="Q1290" s="30">
        <f>IF(B1290="","",IF(B1290&lt;TIME(12,0,0),"Manhã",IF(B1290&lt;TIME(18,0,0),"Tarde","Noite")))</f>
        <v/>
      </c>
      <c r="R1290" s="46">
        <f>IF(AND(H1290="Realizado",L1290&lt;&gt;"",A1290&lt;=Config!$B$9),L1290/60,0)</f>
        <v>0</v>
      </c>
      <c r="S1290" s="45">
        <f>IF(G1290="","",IFERROR(INDEX(Config!$K$5:$K$16,MATCH(G1290,Config!$J$5:$J$16,0)),""))</f>
        <v/>
      </c>
      <c r="T1290" s="31">
        <f>IF(OR(G1290="",F1290=""),"",IFERROR(INDEX(Config!$M$5:$R$16,MATCH(G1290,Config!$J$5:$J$16,0),MATCH(F1290,Config!$H$5:$H$10,0)),""))</f>
        <v/>
      </c>
      <c r="U1290" s="47">
        <f>IF(AND(H1290="Realizado",L1290&lt;&gt;""),L1290/60,0)</f>
        <v>0</v>
      </c>
      <c r="V1290" s="47">
        <f>IF(AND(H1290="Realizado",OR(L1290="",M1290="")),1,0)</f>
        <v>0</v>
      </c>
    </row>
    <row r="1291">
      <c r="A1291" s="43" t="n"/>
      <c r="B1291" s="44" t="n"/>
      <c r="C1291" s="38" t="n"/>
      <c r="D1291" s="38" t="n"/>
      <c r="E1291" s="37" t="n"/>
      <c r="F1291" s="38" t="n"/>
      <c r="G1291" s="38" t="n"/>
      <c r="H1291" s="38" t="n"/>
      <c r="I1291" s="38" t="n"/>
      <c r="J1291" s="38" t="n"/>
      <c r="K1291" s="37" t="n"/>
      <c r="L1291" s="39" t="n"/>
      <c r="M1291" s="40" t="n"/>
      <c r="N1291" s="30">
        <f>IF(A1291="","",MONTH(A1291))</f>
        <v/>
      </c>
      <c r="O1291" s="30">
        <f>IF(A1291="","",YEAR(A1291))</f>
        <v/>
      </c>
      <c r="P1291" s="30">
        <f>IF(A1291="","",CHOOSE(WEEKDAY(A1291,2),"Segunda","Terça","Quarta","Quinta","Sexta","Sábado","Domingo"))</f>
        <v/>
      </c>
      <c r="Q1291" s="30">
        <f>IF(B1291="","",IF(B1291&lt;TIME(12,0,0),"Manhã",IF(B1291&lt;TIME(18,0,0),"Tarde","Noite")))</f>
        <v/>
      </c>
      <c r="R1291" s="46">
        <f>IF(AND(H1291="Realizado",L1291&lt;&gt;"",A1291&lt;=Config!$B$9),L1291/60,0)</f>
        <v>0</v>
      </c>
      <c r="S1291" s="45">
        <f>IF(G1291="","",IFERROR(INDEX(Config!$K$5:$K$16,MATCH(G1291,Config!$J$5:$J$16,0)),""))</f>
        <v/>
      </c>
      <c r="T1291" s="31">
        <f>IF(OR(G1291="",F1291=""),"",IFERROR(INDEX(Config!$M$5:$R$16,MATCH(G1291,Config!$J$5:$J$16,0),MATCH(F1291,Config!$H$5:$H$10,0)),""))</f>
        <v/>
      </c>
      <c r="U1291" s="47">
        <f>IF(AND(H1291="Realizado",L1291&lt;&gt;""),L1291/60,0)</f>
        <v>0</v>
      </c>
      <c r="V1291" s="47">
        <f>IF(AND(H1291="Realizado",OR(L1291="",M1291="")),1,0)</f>
        <v>0</v>
      </c>
    </row>
    <row r="1292">
      <c r="A1292" s="43" t="n"/>
      <c r="B1292" s="44" t="n"/>
      <c r="C1292" s="38" t="n"/>
      <c r="D1292" s="38" t="n"/>
      <c r="E1292" s="37" t="n"/>
      <c r="F1292" s="38" t="n"/>
      <c r="G1292" s="38" t="n"/>
      <c r="H1292" s="38" t="n"/>
      <c r="I1292" s="38" t="n"/>
      <c r="J1292" s="38" t="n"/>
      <c r="K1292" s="37" t="n"/>
      <c r="L1292" s="39" t="n"/>
      <c r="M1292" s="40" t="n"/>
      <c r="N1292" s="30">
        <f>IF(A1292="","",MONTH(A1292))</f>
        <v/>
      </c>
      <c r="O1292" s="30">
        <f>IF(A1292="","",YEAR(A1292))</f>
        <v/>
      </c>
      <c r="P1292" s="30">
        <f>IF(A1292="","",CHOOSE(WEEKDAY(A1292,2),"Segunda","Terça","Quarta","Quinta","Sexta","Sábado","Domingo"))</f>
        <v/>
      </c>
      <c r="Q1292" s="30">
        <f>IF(B1292="","",IF(B1292&lt;TIME(12,0,0),"Manhã",IF(B1292&lt;TIME(18,0,0),"Tarde","Noite")))</f>
        <v/>
      </c>
      <c r="R1292" s="46">
        <f>IF(AND(H1292="Realizado",L1292&lt;&gt;"",A1292&lt;=Config!$B$9),L1292/60,0)</f>
        <v>0</v>
      </c>
      <c r="S1292" s="45">
        <f>IF(G1292="","",IFERROR(INDEX(Config!$K$5:$K$16,MATCH(G1292,Config!$J$5:$J$16,0)),""))</f>
        <v/>
      </c>
      <c r="T1292" s="31">
        <f>IF(OR(G1292="",F1292=""),"",IFERROR(INDEX(Config!$M$5:$R$16,MATCH(G1292,Config!$J$5:$J$16,0),MATCH(F1292,Config!$H$5:$H$10,0)),""))</f>
        <v/>
      </c>
      <c r="U1292" s="47">
        <f>IF(AND(H1292="Realizado",L1292&lt;&gt;""),L1292/60,0)</f>
        <v>0</v>
      </c>
      <c r="V1292" s="47">
        <f>IF(AND(H1292="Realizado",OR(L1292="",M1292="")),1,0)</f>
        <v>0</v>
      </c>
    </row>
    <row r="1293">
      <c r="A1293" s="43" t="n"/>
      <c r="B1293" s="44" t="n"/>
      <c r="C1293" s="38" t="n"/>
      <c r="D1293" s="38" t="n"/>
      <c r="E1293" s="37" t="n"/>
      <c r="F1293" s="38" t="n"/>
      <c r="G1293" s="38" t="n"/>
      <c r="H1293" s="38" t="n"/>
      <c r="I1293" s="38" t="n"/>
      <c r="J1293" s="38" t="n"/>
      <c r="K1293" s="37" t="n"/>
      <c r="L1293" s="39" t="n"/>
      <c r="M1293" s="40" t="n"/>
      <c r="N1293" s="30">
        <f>IF(A1293="","",MONTH(A1293))</f>
        <v/>
      </c>
      <c r="O1293" s="30">
        <f>IF(A1293="","",YEAR(A1293))</f>
        <v/>
      </c>
      <c r="P1293" s="30">
        <f>IF(A1293="","",CHOOSE(WEEKDAY(A1293,2),"Segunda","Terça","Quarta","Quinta","Sexta","Sábado","Domingo"))</f>
        <v/>
      </c>
      <c r="Q1293" s="30">
        <f>IF(B1293="","",IF(B1293&lt;TIME(12,0,0),"Manhã",IF(B1293&lt;TIME(18,0,0),"Tarde","Noite")))</f>
        <v/>
      </c>
      <c r="R1293" s="46">
        <f>IF(AND(H1293="Realizado",L1293&lt;&gt;"",A1293&lt;=Config!$B$9),L1293/60,0)</f>
        <v>0</v>
      </c>
      <c r="S1293" s="45">
        <f>IF(G1293="","",IFERROR(INDEX(Config!$K$5:$K$16,MATCH(G1293,Config!$J$5:$J$16,0)),""))</f>
        <v/>
      </c>
      <c r="T1293" s="31">
        <f>IF(OR(G1293="",F1293=""),"",IFERROR(INDEX(Config!$M$5:$R$16,MATCH(G1293,Config!$J$5:$J$16,0),MATCH(F1293,Config!$H$5:$H$10,0)),""))</f>
        <v/>
      </c>
      <c r="U1293" s="47">
        <f>IF(AND(H1293="Realizado",L1293&lt;&gt;""),L1293/60,0)</f>
        <v>0</v>
      </c>
      <c r="V1293" s="47">
        <f>IF(AND(H1293="Realizado",OR(L1293="",M1293="")),1,0)</f>
        <v>0</v>
      </c>
    </row>
    <row r="1294">
      <c r="A1294" s="43" t="n"/>
      <c r="B1294" s="44" t="n"/>
      <c r="C1294" s="38" t="n"/>
      <c r="D1294" s="38" t="n"/>
      <c r="E1294" s="37" t="n"/>
      <c r="F1294" s="38" t="n"/>
      <c r="G1294" s="38" t="n"/>
      <c r="H1294" s="38" t="n"/>
      <c r="I1294" s="38" t="n"/>
      <c r="J1294" s="38" t="n"/>
      <c r="K1294" s="37" t="n"/>
      <c r="L1294" s="39" t="n"/>
      <c r="M1294" s="40" t="n"/>
      <c r="N1294" s="30">
        <f>IF(A1294="","",MONTH(A1294))</f>
        <v/>
      </c>
      <c r="O1294" s="30">
        <f>IF(A1294="","",YEAR(A1294))</f>
        <v/>
      </c>
      <c r="P1294" s="30">
        <f>IF(A1294="","",CHOOSE(WEEKDAY(A1294,2),"Segunda","Terça","Quarta","Quinta","Sexta","Sábado","Domingo"))</f>
        <v/>
      </c>
      <c r="Q1294" s="30">
        <f>IF(B1294="","",IF(B1294&lt;TIME(12,0,0),"Manhã",IF(B1294&lt;TIME(18,0,0),"Tarde","Noite")))</f>
        <v/>
      </c>
      <c r="R1294" s="46">
        <f>IF(AND(H1294="Realizado",L1294&lt;&gt;"",A1294&lt;=Config!$B$9),L1294/60,0)</f>
        <v>0</v>
      </c>
      <c r="S1294" s="45">
        <f>IF(G1294="","",IFERROR(INDEX(Config!$K$5:$K$16,MATCH(G1294,Config!$J$5:$J$16,0)),""))</f>
        <v/>
      </c>
      <c r="T1294" s="31">
        <f>IF(OR(G1294="",F1294=""),"",IFERROR(INDEX(Config!$M$5:$R$16,MATCH(G1294,Config!$J$5:$J$16,0),MATCH(F1294,Config!$H$5:$H$10,0)),""))</f>
        <v/>
      </c>
      <c r="U1294" s="47">
        <f>IF(AND(H1294="Realizado",L1294&lt;&gt;""),L1294/60,0)</f>
        <v>0</v>
      </c>
      <c r="V1294" s="47">
        <f>IF(AND(H1294="Realizado",OR(L1294="",M1294="")),1,0)</f>
        <v>0</v>
      </c>
    </row>
    <row r="1295">
      <c r="A1295" s="43" t="n"/>
      <c r="B1295" s="44" t="n"/>
      <c r="C1295" s="38" t="n"/>
      <c r="D1295" s="38" t="n"/>
      <c r="E1295" s="37" t="n"/>
      <c r="F1295" s="38" t="n"/>
      <c r="G1295" s="38" t="n"/>
      <c r="H1295" s="38" t="n"/>
      <c r="I1295" s="38" t="n"/>
      <c r="J1295" s="38" t="n"/>
      <c r="K1295" s="37" t="n"/>
      <c r="L1295" s="39" t="n"/>
      <c r="M1295" s="40" t="n"/>
      <c r="N1295" s="30">
        <f>IF(A1295="","",MONTH(A1295))</f>
        <v/>
      </c>
      <c r="O1295" s="30">
        <f>IF(A1295="","",YEAR(A1295))</f>
        <v/>
      </c>
      <c r="P1295" s="30">
        <f>IF(A1295="","",CHOOSE(WEEKDAY(A1295,2),"Segunda","Terça","Quarta","Quinta","Sexta","Sábado","Domingo"))</f>
        <v/>
      </c>
      <c r="Q1295" s="30">
        <f>IF(B1295="","",IF(B1295&lt;TIME(12,0,0),"Manhã",IF(B1295&lt;TIME(18,0,0),"Tarde","Noite")))</f>
        <v/>
      </c>
      <c r="R1295" s="46">
        <f>IF(AND(H1295="Realizado",L1295&lt;&gt;"",A1295&lt;=Config!$B$9),L1295/60,0)</f>
        <v>0</v>
      </c>
      <c r="S1295" s="45">
        <f>IF(G1295="","",IFERROR(INDEX(Config!$K$5:$K$16,MATCH(G1295,Config!$J$5:$J$16,0)),""))</f>
        <v/>
      </c>
      <c r="T1295" s="31">
        <f>IF(OR(G1295="",F1295=""),"",IFERROR(INDEX(Config!$M$5:$R$16,MATCH(G1295,Config!$J$5:$J$16,0),MATCH(F1295,Config!$H$5:$H$10,0)),""))</f>
        <v/>
      </c>
      <c r="U1295" s="47">
        <f>IF(AND(H1295="Realizado",L1295&lt;&gt;""),L1295/60,0)</f>
        <v>0</v>
      </c>
      <c r="V1295" s="47">
        <f>IF(AND(H1295="Realizado",OR(L1295="",M1295="")),1,0)</f>
        <v>0</v>
      </c>
    </row>
    <row r="1296">
      <c r="A1296" s="43" t="n"/>
      <c r="B1296" s="44" t="n"/>
      <c r="C1296" s="38" t="n"/>
      <c r="D1296" s="38" t="n"/>
      <c r="E1296" s="37" t="n"/>
      <c r="F1296" s="38" t="n"/>
      <c r="G1296" s="38" t="n"/>
      <c r="H1296" s="38" t="n"/>
      <c r="I1296" s="38" t="n"/>
      <c r="J1296" s="38" t="n"/>
      <c r="K1296" s="37" t="n"/>
      <c r="L1296" s="39" t="n"/>
      <c r="M1296" s="40" t="n"/>
      <c r="N1296" s="30">
        <f>IF(A1296="","",MONTH(A1296))</f>
        <v/>
      </c>
      <c r="O1296" s="30">
        <f>IF(A1296="","",YEAR(A1296))</f>
        <v/>
      </c>
      <c r="P1296" s="30">
        <f>IF(A1296="","",CHOOSE(WEEKDAY(A1296,2),"Segunda","Terça","Quarta","Quinta","Sexta","Sábado","Domingo"))</f>
        <v/>
      </c>
      <c r="Q1296" s="30">
        <f>IF(B1296="","",IF(B1296&lt;TIME(12,0,0),"Manhã",IF(B1296&lt;TIME(18,0,0),"Tarde","Noite")))</f>
        <v/>
      </c>
      <c r="R1296" s="46">
        <f>IF(AND(H1296="Realizado",L1296&lt;&gt;"",A1296&lt;=Config!$B$9),L1296/60,0)</f>
        <v>0</v>
      </c>
      <c r="S1296" s="45">
        <f>IF(G1296="","",IFERROR(INDEX(Config!$K$5:$K$16,MATCH(G1296,Config!$J$5:$J$16,0)),""))</f>
        <v/>
      </c>
      <c r="T1296" s="31">
        <f>IF(OR(G1296="",F1296=""),"",IFERROR(INDEX(Config!$M$5:$R$16,MATCH(G1296,Config!$J$5:$J$16,0),MATCH(F1296,Config!$H$5:$H$10,0)),""))</f>
        <v/>
      </c>
      <c r="U1296" s="47">
        <f>IF(AND(H1296="Realizado",L1296&lt;&gt;""),L1296/60,0)</f>
        <v>0</v>
      </c>
      <c r="V1296" s="47">
        <f>IF(AND(H1296="Realizado",OR(L1296="",M1296="")),1,0)</f>
        <v>0</v>
      </c>
    </row>
    <row r="1297">
      <c r="A1297" s="43" t="n"/>
      <c r="B1297" s="44" t="n"/>
      <c r="C1297" s="38" t="n"/>
      <c r="D1297" s="38" t="n"/>
      <c r="E1297" s="37" t="n"/>
      <c r="F1297" s="38" t="n"/>
      <c r="G1297" s="38" t="n"/>
      <c r="H1297" s="38" t="n"/>
      <c r="I1297" s="38" t="n"/>
      <c r="J1297" s="38" t="n"/>
      <c r="K1297" s="37" t="n"/>
      <c r="L1297" s="39" t="n"/>
      <c r="M1297" s="40" t="n"/>
      <c r="N1297" s="30">
        <f>IF(A1297="","",MONTH(A1297))</f>
        <v/>
      </c>
      <c r="O1297" s="30">
        <f>IF(A1297="","",YEAR(A1297))</f>
        <v/>
      </c>
      <c r="P1297" s="30">
        <f>IF(A1297="","",CHOOSE(WEEKDAY(A1297,2),"Segunda","Terça","Quarta","Quinta","Sexta","Sábado","Domingo"))</f>
        <v/>
      </c>
      <c r="Q1297" s="30">
        <f>IF(B1297="","",IF(B1297&lt;TIME(12,0,0),"Manhã",IF(B1297&lt;TIME(18,0,0),"Tarde","Noite")))</f>
        <v/>
      </c>
      <c r="R1297" s="46">
        <f>IF(AND(H1297="Realizado",L1297&lt;&gt;"",A1297&lt;=Config!$B$9),L1297/60,0)</f>
        <v>0</v>
      </c>
      <c r="S1297" s="45">
        <f>IF(G1297="","",IFERROR(INDEX(Config!$K$5:$K$16,MATCH(G1297,Config!$J$5:$J$16,0)),""))</f>
        <v/>
      </c>
      <c r="T1297" s="31">
        <f>IF(OR(G1297="",F1297=""),"",IFERROR(INDEX(Config!$M$5:$R$16,MATCH(G1297,Config!$J$5:$J$16,0),MATCH(F1297,Config!$H$5:$H$10,0)),""))</f>
        <v/>
      </c>
      <c r="U1297" s="47">
        <f>IF(AND(H1297="Realizado",L1297&lt;&gt;""),L1297/60,0)</f>
        <v>0</v>
      </c>
      <c r="V1297" s="47">
        <f>IF(AND(H1297="Realizado",OR(L1297="",M1297="")),1,0)</f>
        <v>0</v>
      </c>
    </row>
    <row r="1298">
      <c r="A1298" s="43" t="n"/>
      <c r="B1298" s="44" t="n"/>
      <c r="C1298" s="38" t="n"/>
      <c r="D1298" s="38" t="n"/>
      <c r="E1298" s="37" t="n"/>
      <c r="F1298" s="38" t="n"/>
      <c r="G1298" s="38" t="n"/>
      <c r="H1298" s="38" t="n"/>
      <c r="I1298" s="38" t="n"/>
      <c r="J1298" s="38" t="n"/>
      <c r="K1298" s="37" t="n"/>
      <c r="L1298" s="39" t="n"/>
      <c r="M1298" s="40" t="n"/>
      <c r="N1298" s="30">
        <f>IF(A1298="","",MONTH(A1298))</f>
        <v/>
      </c>
      <c r="O1298" s="30">
        <f>IF(A1298="","",YEAR(A1298))</f>
        <v/>
      </c>
      <c r="P1298" s="30">
        <f>IF(A1298="","",CHOOSE(WEEKDAY(A1298,2),"Segunda","Terça","Quarta","Quinta","Sexta","Sábado","Domingo"))</f>
        <v/>
      </c>
      <c r="Q1298" s="30">
        <f>IF(B1298="","",IF(B1298&lt;TIME(12,0,0),"Manhã",IF(B1298&lt;TIME(18,0,0),"Tarde","Noite")))</f>
        <v/>
      </c>
      <c r="R1298" s="46">
        <f>IF(AND(H1298="Realizado",L1298&lt;&gt;"",A1298&lt;=Config!$B$9),L1298/60,0)</f>
        <v>0</v>
      </c>
      <c r="S1298" s="45">
        <f>IF(G1298="","",IFERROR(INDEX(Config!$K$5:$K$16,MATCH(G1298,Config!$J$5:$J$16,0)),""))</f>
        <v/>
      </c>
      <c r="T1298" s="31">
        <f>IF(OR(G1298="",F1298=""),"",IFERROR(INDEX(Config!$M$5:$R$16,MATCH(G1298,Config!$J$5:$J$16,0),MATCH(F1298,Config!$H$5:$H$10,0)),""))</f>
        <v/>
      </c>
      <c r="U1298" s="47">
        <f>IF(AND(H1298="Realizado",L1298&lt;&gt;""),L1298/60,0)</f>
        <v>0</v>
      </c>
      <c r="V1298" s="47">
        <f>IF(AND(H1298="Realizado",OR(L1298="",M1298="")),1,0)</f>
        <v>0</v>
      </c>
    </row>
    <row r="1299">
      <c r="A1299" s="43" t="n"/>
      <c r="B1299" s="44" t="n"/>
      <c r="C1299" s="38" t="n"/>
      <c r="D1299" s="38" t="n"/>
      <c r="E1299" s="37" t="n"/>
      <c r="F1299" s="38" t="n"/>
      <c r="G1299" s="38" t="n"/>
      <c r="H1299" s="38" t="n"/>
      <c r="I1299" s="38" t="n"/>
      <c r="J1299" s="38" t="n"/>
      <c r="K1299" s="37" t="n"/>
      <c r="L1299" s="39" t="n"/>
      <c r="M1299" s="40" t="n"/>
      <c r="N1299" s="30">
        <f>IF(A1299="","",MONTH(A1299))</f>
        <v/>
      </c>
      <c r="O1299" s="30">
        <f>IF(A1299="","",YEAR(A1299))</f>
        <v/>
      </c>
      <c r="P1299" s="30">
        <f>IF(A1299="","",CHOOSE(WEEKDAY(A1299,2),"Segunda","Terça","Quarta","Quinta","Sexta","Sábado","Domingo"))</f>
        <v/>
      </c>
      <c r="Q1299" s="30">
        <f>IF(B1299="","",IF(B1299&lt;TIME(12,0,0),"Manhã",IF(B1299&lt;TIME(18,0,0),"Tarde","Noite")))</f>
        <v/>
      </c>
      <c r="R1299" s="46">
        <f>IF(AND(H1299="Realizado",L1299&lt;&gt;"",A1299&lt;=Config!$B$9),L1299/60,0)</f>
        <v>0</v>
      </c>
      <c r="S1299" s="45">
        <f>IF(G1299="","",IFERROR(INDEX(Config!$K$5:$K$16,MATCH(G1299,Config!$J$5:$J$16,0)),""))</f>
        <v/>
      </c>
      <c r="T1299" s="31">
        <f>IF(OR(G1299="",F1299=""),"",IFERROR(INDEX(Config!$M$5:$R$16,MATCH(G1299,Config!$J$5:$J$16,0),MATCH(F1299,Config!$H$5:$H$10,0)),""))</f>
        <v/>
      </c>
      <c r="U1299" s="47">
        <f>IF(AND(H1299="Realizado",L1299&lt;&gt;""),L1299/60,0)</f>
        <v>0</v>
      </c>
      <c r="V1299" s="47">
        <f>IF(AND(H1299="Realizado",OR(L1299="",M1299="")),1,0)</f>
        <v>0</v>
      </c>
    </row>
    <row r="1300">
      <c r="A1300" s="43" t="n"/>
      <c r="B1300" s="44" t="n"/>
      <c r="C1300" s="38" t="n"/>
      <c r="D1300" s="38" t="n"/>
      <c r="E1300" s="37" t="n"/>
      <c r="F1300" s="38" t="n"/>
      <c r="G1300" s="38" t="n"/>
      <c r="H1300" s="38" t="n"/>
      <c r="I1300" s="38" t="n"/>
      <c r="J1300" s="38" t="n"/>
      <c r="K1300" s="37" t="n"/>
      <c r="L1300" s="39" t="n"/>
      <c r="M1300" s="40" t="n"/>
      <c r="N1300" s="30">
        <f>IF(A1300="","",MONTH(A1300))</f>
        <v/>
      </c>
      <c r="O1300" s="30">
        <f>IF(A1300="","",YEAR(A1300))</f>
        <v/>
      </c>
      <c r="P1300" s="30">
        <f>IF(A1300="","",CHOOSE(WEEKDAY(A1300,2),"Segunda","Terça","Quarta","Quinta","Sexta","Sábado","Domingo"))</f>
        <v/>
      </c>
      <c r="Q1300" s="30">
        <f>IF(B1300="","",IF(B1300&lt;TIME(12,0,0),"Manhã",IF(B1300&lt;TIME(18,0,0),"Tarde","Noite")))</f>
        <v/>
      </c>
      <c r="R1300" s="46">
        <f>IF(AND(H1300="Realizado",L1300&lt;&gt;"",A1300&lt;=Config!$B$9),L1300/60,0)</f>
        <v>0</v>
      </c>
      <c r="S1300" s="45">
        <f>IF(G1300="","",IFERROR(INDEX(Config!$K$5:$K$16,MATCH(G1300,Config!$J$5:$J$16,0)),""))</f>
        <v/>
      </c>
      <c r="T1300" s="31">
        <f>IF(OR(G1300="",F1300=""),"",IFERROR(INDEX(Config!$M$5:$R$16,MATCH(G1300,Config!$J$5:$J$16,0),MATCH(F1300,Config!$H$5:$H$10,0)),""))</f>
        <v/>
      </c>
      <c r="U1300" s="47">
        <f>IF(AND(H1300="Realizado",L1300&lt;&gt;""),L1300/60,0)</f>
        <v>0</v>
      </c>
      <c r="V1300" s="47">
        <f>IF(AND(H1300="Realizado",OR(L1300="",M1300="")),1,0)</f>
        <v>0</v>
      </c>
    </row>
    <row r="1301">
      <c r="A1301" s="43" t="n"/>
      <c r="B1301" s="44" t="n"/>
      <c r="C1301" s="38" t="n"/>
      <c r="D1301" s="38" t="n"/>
      <c r="E1301" s="37" t="n"/>
      <c r="F1301" s="38" t="n"/>
      <c r="G1301" s="38" t="n"/>
      <c r="H1301" s="38" t="n"/>
      <c r="I1301" s="38" t="n"/>
      <c r="J1301" s="38" t="n"/>
      <c r="K1301" s="37" t="n"/>
      <c r="L1301" s="39" t="n"/>
      <c r="M1301" s="40" t="n"/>
      <c r="N1301" s="30">
        <f>IF(A1301="","",MONTH(A1301))</f>
        <v/>
      </c>
      <c r="O1301" s="30">
        <f>IF(A1301="","",YEAR(A1301))</f>
        <v/>
      </c>
      <c r="P1301" s="30">
        <f>IF(A1301="","",CHOOSE(WEEKDAY(A1301,2),"Segunda","Terça","Quarta","Quinta","Sexta","Sábado","Domingo"))</f>
        <v/>
      </c>
      <c r="Q1301" s="30">
        <f>IF(B1301="","",IF(B1301&lt;TIME(12,0,0),"Manhã",IF(B1301&lt;TIME(18,0,0),"Tarde","Noite")))</f>
        <v/>
      </c>
      <c r="R1301" s="46">
        <f>IF(AND(H1301="Realizado",L1301&lt;&gt;"",A1301&lt;=Config!$B$9),L1301/60,0)</f>
        <v>0</v>
      </c>
      <c r="S1301" s="45">
        <f>IF(G1301="","",IFERROR(INDEX(Config!$K$5:$K$16,MATCH(G1301,Config!$J$5:$J$16,0)),""))</f>
        <v/>
      </c>
      <c r="T1301" s="31">
        <f>IF(OR(G1301="",F1301=""),"",IFERROR(INDEX(Config!$M$5:$R$16,MATCH(G1301,Config!$J$5:$J$16,0),MATCH(F1301,Config!$H$5:$H$10,0)),""))</f>
        <v/>
      </c>
      <c r="U1301" s="47">
        <f>IF(AND(H1301="Realizado",L1301&lt;&gt;""),L1301/60,0)</f>
        <v>0</v>
      </c>
      <c r="V1301" s="47">
        <f>IF(AND(H1301="Realizado",OR(L1301="",M1301="")),1,0)</f>
        <v>0</v>
      </c>
    </row>
    <row r="1302">
      <c r="A1302" s="43" t="n"/>
      <c r="B1302" s="44" t="n"/>
      <c r="C1302" s="38" t="n"/>
      <c r="D1302" s="38" t="n"/>
      <c r="E1302" s="37" t="n"/>
      <c r="F1302" s="38" t="n"/>
      <c r="G1302" s="38" t="n"/>
      <c r="H1302" s="38" t="n"/>
      <c r="I1302" s="38" t="n"/>
      <c r="J1302" s="38" t="n"/>
      <c r="K1302" s="37" t="n"/>
      <c r="L1302" s="39" t="n"/>
      <c r="M1302" s="40" t="n"/>
      <c r="N1302" s="30">
        <f>IF(A1302="","",MONTH(A1302))</f>
        <v/>
      </c>
      <c r="O1302" s="30">
        <f>IF(A1302="","",YEAR(A1302))</f>
        <v/>
      </c>
      <c r="P1302" s="30">
        <f>IF(A1302="","",CHOOSE(WEEKDAY(A1302,2),"Segunda","Terça","Quarta","Quinta","Sexta","Sábado","Domingo"))</f>
        <v/>
      </c>
      <c r="Q1302" s="30">
        <f>IF(B1302="","",IF(B1302&lt;TIME(12,0,0),"Manhã",IF(B1302&lt;TIME(18,0,0),"Tarde","Noite")))</f>
        <v/>
      </c>
      <c r="R1302" s="46">
        <f>IF(AND(H1302="Realizado",L1302&lt;&gt;"",A1302&lt;=Config!$B$9),L1302/60,0)</f>
        <v>0</v>
      </c>
      <c r="S1302" s="45">
        <f>IF(G1302="","",IFERROR(INDEX(Config!$K$5:$K$16,MATCH(G1302,Config!$J$5:$J$16,0)),""))</f>
        <v/>
      </c>
      <c r="T1302" s="31">
        <f>IF(OR(G1302="",F1302=""),"",IFERROR(INDEX(Config!$M$5:$R$16,MATCH(G1302,Config!$J$5:$J$16,0),MATCH(F1302,Config!$H$5:$H$10,0)),""))</f>
        <v/>
      </c>
      <c r="U1302" s="47">
        <f>IF(AND(H1302="Realizado",L1302&lt;&gt;""),L1302/60,0)</f>
        <v>0</v>
      </c>
      <c r="V1302" s="47">
        <f>IF(AND(H1302="Realizado",OR(L1302="",M1302="")),1,0)</f>
        <v>0</v>
      </c>
    </row>
    <row r="1303">
      <c r="A1303" s="43" t="n"/>
      <c r="B1303" s="44" t="n"/>
      <c r="C1303" s="38" t="n"/>
      <c r="D1303" s="38" t="n"/>
      <c r="E1303" s="37" t="n"/>
      <c r="F1303" s="38" t="n"/>
      <c r="G1303" s="38" t="n"/>
      <c r="H1303" s="38" t="n"/>
      <c r="I1303" s="38" t="n"/>
      <c r="J1303" s="38" t="n"/>
      <c r="K1303" s="37" t="n"/>
      <c r="L1303" s="39" t="n"/>
      <c r="M1303" s="40" t="n"/>
      <c r="N1303" s="30">
        <f>IF(A1303="","",MONTH(A1303))</f>
        <v/>
      </c>
      <c r="O1303" s="30">
        <f>IF(A1303="","",YEAR(A1303))</f>
        <v/>
      </c>
      <c r="P1303" s="30">
        <f>IF(A1303="","",CHOOSE(WEEKDAY(A1303,2),"Segunda","Terça","Quarta","Quinta","Sexta","Sábado","Domingo"))</f>
        <v/>
      </c>
      <c r="Q1303" s="30">
        <f>IF(B1303="","",IF(B1303&lt;TIME(12,0,0),"Manhã",IF(B1303&lt;TIME(18,0,0),"Tarde","Noite")))</f>
        <v/>
      </c>
      <c r="R1303" s="46">
        <f>IF(AND(H1303="Realizado",L1303&lt;&gt;"",A1303&lt;=Config!$B$9),L1303/60,0)</f>
        <v>0</v>
      </c>
      <c r="S1303" s="45">
        <f>IF(G1303="","",IFERROR(INDEX(Config!$K$5:$K$16,MATCH(G1303,Config!$J$5:$J$16,0)),""))</f>
        <v/>
      </c>
      <c r="T1303" s="31">
        <f>IF(OR(G1303="",F1303=""),"",IFERROR(INDEX(Config!$M$5:$R$16,MATCH(G1303,Config!$J$5:$J$16,0),MATCH(F1303,Config!$H$5:$H$10,0)),""))</f>
        <v/>
      </c>
      <c r="U1303" s="47">
        <f>IF(AND(H1303="Realizado",L1303&lt;&gt;""),L1303/60,0)</f>
        <v>0</v>
      </c>
      <c r="V1303" s="47">
        <f>IF(AND(H1303="Realizado",OR(L1303="",M1303="")),1,0)</f>
        <v>0</v>
      </c>
    </row>
    <row r="1304">
      <c r="A1304" s="43" t="n"/>
      <c r="B1304" s="44" t="n"/>
      <c r="C1304" s="38" t="n"/>
      <c r="D1304" s="38" t="n"/>
      <c r="E1304" s="37" t="n"/>
      <c r="F1304" s="38" t="n"/>
      <c r="G1304" s="38" t="n"/>
      <c r="H1304" s="38" t="n"/>
      <c r="I1304" s="38" t="n"/>
      <c r="J1304" s="38" t="n"/>
      <c r="K1304" s="37" t="n"/>
      <c r="L1304" s="39" t="n"/>
      <c r="M1304" s="40" t="n"/>
      <c r="N1304" s="30">
        <f>IF(A1304="","",MONTH(A1304))</f>
        <v/>
      </c>
      <c r="O1304" s="30">
        <f>IF(A1304="","",YEAR(A1304))</f>
        <v/>
      </c>
      <c r="P1304" s="30">
        <f>IF(A1304="","",CHOOSE(WEEKDAY(A1304,2),"Segunda","Terça","Quarta","Quinta","Sexta","Sábado","Domingo"))</f>
        <v/>
      </c>
      <c r="Q1304" s="30">
        <f>IF(B1304="","",IF(B1304&lt;TIME(12,0,0),"Manhã",IF(B1304&lt;TIME(18,0,0),"Tarde","Noite")))</f>
        <v/>
      </c>
      <c r="R1304" s="46">
        <f>IF(AND(H1304="Realizado",L1304&lt;&gt;"",A1304&lt;=Config!$B$9),L1304/60,0)</f>
        <v>0</v>
      </c>
      <c r="S1304" s="45">
        <f>IF(G1304="","",IFERROR(INDEX(Config!$K$5:$K$16,MATCH(G1304,Config!$J$5:$J$16,0)),""))</f>
        <v/>
      </c>
      <c r="T1304" s="31">
        <f>IF(OR(G1304="",F1304=""),"",IFERROR(INDEX(Config!$M$5:$R$16,MATCH(G1304,Config!$J$5:$J$16,0),MATCH(F1304,Config!$H$5:$H$10,0)),""))</f>
        <v/>
      </c>
      <c r="U1304" s="47">
        <f>IF(AND(H1304="Realizado",L1304&lt;&gt;""),L1304/60,0)</f>
        <v>0</v>
      </c>
      <c r="V1304" s="47">
        <f>IF(AND(H1304="Realizado",OR(L1304="",M1304="")),1,0)</f>
        <v>0</v>
      </c>
    </row>
    <row r="1305">
      <c r="A1305" s="43" t="n"/>
      <c r="B1305" s="44" t="n"/>
      <c r="C1305" s="38" t="n"/>
      <c r="D1305" s="38" t="n"/>
      <c r="E1305" s="37" t="n"/>
      <c r="F1305" s="38" t="n"/>
      <c r="G1305" s="38" t="n"/>
      <c r="H1305" s="38" t="n"/>
      <c r="I1305" s="38" t="n"/>
      <c r="J1305" s="38" t="n"/>
      <c r="K1305" s="37" t="n"/>
      <c r="L1305" s="39" t="n"/>
      <c r="M1305" s="40" t="n"/>
      <c r="N1305" s="30">
        <f>IF(A1305="","",MONTH(A1305))</f>
        <v/>
      </c>
      <c r="O1305" s="30">
        <f>IF(A1305="","",YEAR(A1305))</f>
        <v/>
      </c>
      <c r="P1305" s="30">
        <f>IF(A1305="","",CHOOSE(WEEKDAY(A1305,2),"Segunda","Terça","Quarta","Quinta","Sexta","Sábado","Domingo"))</f>
        <v/>
      </c>
      <c r="Q1305" s="30">
        <f>IF(B1305="","",IF(B1305&lt;TIME(12,0,0),"Manhã",IF(B1305&lt;TIME(18,0,0),"Tarde","Noite")))</f>
        <v/>
      </c>
      <c r="R1305" s="46">
        <f>IF(AND(H1305="Realizado",L1305&lt;&gt;"",A1305&lt;=Config!$B$9),L1305/60,0)</f>
        <v>0</v>
      </c>
      <c r="S1305" s="45">
        <f>IF(G1305="","",IFERROR(INDEX(Config!$K$5:$K$16,MATCH(G1305,Config!$J$5:$J$16,0)),""))</f>
        <v/>
      </c>
      <c r="T1305" s="31">
        <f>IF(OR(G1305="",F1305=""),"",IFERROR(INDEX(Config!$M$5:$R$16,MATCH(G1305,Config!$J$5:$J$16,0),MATCH(F1305,Config!$H$5:$H$10,0)),""))</f>
        <v/>
      </c>
      <c r="U1305" s="47">
        <f>IF(AND(H1305="Realizado",L1305&lt;&gt;""),L1305/60,0)</f>
        <v>0</v>
      </c>
      <c r="V1305" s="47">
        <f>IF(AND(H1305="Realizado",OR(L1305="",M1305="")),1,0)</f>
        <v>0</v>
      </c>
    </row>
    <row r="1306">
      <c r="A1306" s="43" t="n"/>
      <c r="B1306" s="44" t="n"/>
      <c r="C1306" s="38" t="n"/>
      <c r="D1306" s="38" t="n"/>
      <c r="E1306" s="37" t="n"/>
      <c r="F1306" s="38" t="n"/>
      <c r="G1306" s="38" t="n"/>
      <c r="H1306" s="38" t="n"/>
      <c r="I1306" s="38" t="n"/>
      <c r="J1306" s="38" t="n"/>
      <c r="K1306" s="37" t="n"/>
      <c r="L1306" s="39" t="n"/>
      <c r="M1306" s="40" t="n"/>
      <c r="N1306" s="30">
        <f>IF(A1306="","",MONTH(A1306))</f>
        <v/>
      </c>
      <c r="O1306" s="30">
        <f>IF(A1306="","",YEAR(A1306))</f>
        <v/>
      </c>
      <c r="P1306" s="30">
        <f>IF(A1306="","",CHOOSE(WEEKDAY(A1306,2),"Segunda","Terça","Quarta","Quinta","Sexta","Sábado","Domingo"))</f>
        <v/>
      </c>
      <c r="Q1306" s="30">
        <f>IF(B1306="","",IF(B1306&lt;TIME(12,0,0),"Manhã",IF(B1306&lt;TIME(18,0,0),"Tarde","Noite")))</f>
        <v/>
      </c>
      <c r="R1306" s="46">
        <f>IF(AND(H1306="Realizado",L1306&lt;&gt;"",A1306&lt;=Config!$B$9),L1306/60,0)</f>
        <v>0</v>
      </c>
      <c r="S1306" s="45">
        <f>IF(G1306="","",IFERROR(INDEX(Config!$K$5:$K$16,MATCH(G1306,Config!$J$5:$J$16,0)),""))</f>
        <v/>
      </c>
      <c r="T1306" s="31">
        <f>IF(OR(G1306="",F1306=""),"",IFERROR(INDEX(Config!$M$5:$R$16,MATCH(G1306,Config!$J$5:$J$16,0),MATCH(F1306,Config!$H$5:$H$10,0)),""))</f>
        <v/>
      </c>
      <c r="U1306" s="47">
        <f>IF(AND(H1306="Realizado",L1306&lt;&gt;""),L1306/60,0)</f>
        <v>0</v>
      </c>
      <c r="V1306" s="47">
        <f>IF(AND(H1306="Realizado",OR(L1306="",M1306="")),1,0)</f>
        <v>0</v>
      </c>
    </row>
    <row r="1307">
      <c r="A1307" s="43" t="n"/>
      <c r="B1307" s="44" t="n"/>
      <c r="C1307" s="38" t="n"/>
      <c r="D1307" s="38" t="n"/>
      <c r="E1307" s="37" t="n"/>
      <c r="F1307" s="38" t="n"/>
      <c r="G1307" s="38" t="n"/>
      <c r="H1307" s="38" t="n"/>
      <c r="I1307" s="38" t="n"/>
      <c r="J1307" s="38" t="n"/>
      <c r="K1307" s="37" t="n"/>
      <c r="L1307" s="39" t="n"/>
      <c r="M1307" s="40" t="n"/>
      <c r="N1307" s="30">
        <f>IF(A1307="","",MONTH(A1307))</f>
        <v/>
      </c>
      <c r="O1307" s="30">
        <f>IF(A1307="","",YEAR(A1307))</f>
        <v/>
      </c>
      <c r="P1307" s="30">
        <f>IF(A1307="","",CHOOSE(WEEKDAY(A1307,2),"Segunda","Terça","Quarta","Quinta","Sexta","Sábado","Domingo"))</f>
        <v/>
      </c>
      <c r="Q1307" s="30">
        <f>IF(B1307="","",IF(B1307&lt;TIME(12,0,0),"Manhã",IF(B1307&lt;TIME(18,0,0),"Tarde","Noite")))</f>
        <v/>
      </c>
      <c r="R1307" s="46">
        <f>IF(AND(H1307="Realizado",L1307&lt;&gt;"",A1307&lt;=Config!$B$9),L1307/60,0)</f>
        <v>0</v>
      </c>
      <c r="S1307" s="45">
        <f>IF(G1307="","",IFERROR(INDEX(Config!$K$5:$K$16,MATCH(G1307,Config!$J$5:$J$16,0)),""))</f>
        <v/>
      </c>
      <c r="T1307" s="31">
        <f>IF(OR(G1307="",F1307=""),"",IFERROR(INDEX(Config!$M$5:$R$16,MATCH(G1307,Config!$J$5:$J$16,0),MATCH(F1307,Config!$H$5:$H$10,0)),""))</f>
        <v/>
      </c>
      <c r="U1307" s="47">
        <f>IF(AND(H1307="Realizado",L1307&lt;&gt;""),L1307/60,0)</f>
        <v>0</v>
      </c>
      <c r="V1307" s="47">
        <f>IF(AND(H1307="Realizado",OR(L1307="",M1307="")),1,0)</f>
        <v>0</v>
      </c>
    </row>
    <row r="1308">
      <c r="A1308" s="43" t="n"/>
      <c r="B1308" s="44" t="n"/>
      <c r="C1308" s="38" t="n"/>
      <c r="D1308" s="38" t="n"/>
      <c r="E1308" s="37" t="n"/>
      <c r="F1308" s="38" t="n"/>
      <c r="G1308" s="38" t="n"/>
      <c r="H1308" s="38" t="n"/>
      <c r="I1308" s="38" t="n"/>
      <c r="J1308" s="38" t="n"/>
      <c r="K1308" s="37" t="n"/>
      <c r="L1308" s="39" t="n"/>
      <c r="M1308" s="40" t="n"/>
      <c r="N1308" s="30">
        <f>IF(A1308="","",MONTH(A1308))</f>
        <v/>
      </c>
      <c r="O1308" s="30">
        <f>IF(A1308="","",YEAR(A1308))</f>
        <v/>
      </c>
      <c r="P1308" s="30">
        <f>IF(A1308="","",CHOOSE(WEEKDAY(A1308,2),"Segunda","Terça","Quarta","Quinta","Sexta","Sábado","Domingo"))</f>
        <v/>
      </c>
      <c r="Q1308" s="30">
        <f>IF(B1308="","",IF(B1308&lt;TIME(12,0,0),"Manhã",IF(B1308&lt;TIME(18,0,0),"Tarde","Noite")))</f>
        <v/>
      </c>
      <c r="R1308" s="46">
        <f>IF(AND(H1308="Realizado",L1308&lt;&gt;"",A1308&lt;=Config!$B$9),L1308/60,0)</f>
        <v>0</v>
      </c>
      <c r="S1308" s="45">
        <f>IF(G1308="","",IFERROR(INDEX(Config!$K$5:$K$16,MATCH(G1308,Config!$J$5:$J$16,0)),""))</f>
        <v/>
      </c>
      <c r="T1308" s="31">
        <f>IF(OR(G1308="",F1308=""),"",IFERROR(INDEX(Config!$M$5:$R$16,MATCH(G1308,Config!$J$5:$J$16,0),MATCH(F1308,Config!$H$5:$H$10,0)),""))</f>
        <v/>
      </c>
      <c r="U1308" s="47">
        <f>IF(AND(H1308="Realizado",L1308&lt;&gt;""),L1308/60,0)</f>
        <v>0</v>
      </c>
      <c r="V1308" s="47">
        <f>IF(AND(H1308="Realizado",OR(L1308="",M1308="")),1,0)</f>
        <v>0</v>
      </c>
    </row>
    <row r="1309">
      <c r="A1309" s="43" t="n"/>
      <c r="B1309" s="44" t="n"/>
      <c r="C1309" s="38" t="n"/>
      <c r="D1309" s="38" t="n"/>
      <c r="E1309" s="37" t="n"/>
      <c r="F1309" s="38" t="n"/>
      <c r="G1309" s="38" t="n"/>
      <c r="H1309" s="38" t="n"/>
      <c r="I1309" s="38" t="n"/>
      <c r="J1309" s="38" t="n"/>
      <c r="K1309" s="37" t="n"/>
      <c r="L1309" s="39" t="n"/>
      <c r="M1309" s="40" t="n"/>
      <c r="N1309" s="30">
        <f>IF(A1309="","",MONTH(A1309))</f>
        <v/>
      </c>
      <c r="O1309" s="30">
        <f>IF(A1309="","",YEAR(A1309))</f>
        <v/>
      </c>
      <c r="P1309" s="30">
        <f>IF(A1309="","",CHOOSE(WEEKDAY(A1309,2),"Segunda","Terça","Quarta","Quinta","Sexta","Sábado","Domingo"))</f>
        <v/>
      </c>
      <c r="Q1309" s="30">
        <f>IF(B1309="","",IF(B1309&lt;TIME(12,0,0),"Manhã",IF(B1309&lt;TIME(18,0,0),"Tarde","Noite")))</f>
        <v/>
      </c>
      <c r="R1309" s="46">
        <f>IF(AND(H1309="Realizado",L1309&lt;&gt;"",A1309&lt;=Config!$B$9),L1309/60,0)</f>
        <v>0</v>
      </c>
      <c r="S1309" s="45">
        <f>IF(G1309="","",IFERROR(INDEX(Config!$K$5:$K$16,MATCH(G1309,Config!$J$5:$J$16,0)),""))</f>
        <v/>
      </c>
      <c r="T1309" s="31">
        <f>IF(OR(G1309="",F1309=""),"",IFERROR(INDEX(Config!$M$5:$R$16,MATCH(G1309,Config!$J$5:$J$16,0),MATCH(F1309,Config!$H$5:$H$10,0)),""))</f>
        <v/>
      </c>
      <c r="U1309" s="47">
        <f>IF(AND(H1309="Realizado",L1309&lt;&gt;""),L1309/60,0)</f>
        <v>0</v>
      </c>
      <c r="V1309" s="47">
        <f>IF(AND(H1309="Realizado",OR(L1309="",M1309="")),1,0)</f>
        <v>0</v>
      </c>
    </row>
    <row r="1310">
      <c r="A1310" s="43" t="n"/>
      <c r="B1310" s="44" t="n"/>
      <c r="C1310" s="38" t="n"/>
      <c r="D1310" s="38" t="n"/>
      <c r="E1310" s="37" t="n"/>
      <c r="F1310" s="38" t="n"/>
      <c r="G1310" s="38" t="n"/>
      <c r="H1310" s="38" t="n"/>
      <c r="I1310" s="38" t="n"/>
      <c r="J1310" s="38" t="n"/>
      <c r="K1310" s="37" t="n"/>
      <c r="L1310" s="39" t="n"/>
      <c r="M1310" s="40" t="n"/>
      <c r="N1310" s="30">
        <f>IF(A1310="","",MONTH(A1310))</f>
        <v/>
      </c>
      <c r="O1310" s="30">
        <f>IF(A1310="","",YEAR(A1310))</f>
        <v/>
      </c>
      <c r="P1310" s="30">
        <f>IF(A1310="","",CHOOSE(WEEKDAY(A1310,2),"Segunda","Terça","Quarta","Quinta","Sexta","Sábado","Domingo"))</f>
        <v/>
      </c>
      <c r="Q1310" s="30">
        <f>IF(B1310="","",IF(B1310&lt;TIME(12,0,0),"Manhã",IF(B1310&lt;TIME(18,0,0),"Tarde","Noite")))</f>
        <v/>
      </c>
      <c r="R1310" s="46">
        <f>IF(AND(H1310="Realizado",L1310&lt;&gt;"",A1310&lt;=Config!$B$9),L1310/60,0)</f>
        <v>0</v>
      </c>
      <c r="S1310" s="45">
        <f>IF(G1310="","",IFERROR(INDEX(Config!$K$5:$K$16,MATCH(G1310,Config!$J$5:$J$16,0)),""))</f>
        <v/>
      </c>
      <c r="T1310" s="31">
        <f>IF(OR(G1310="",F1310=""),"",IFERROR(INDEX(Config!$M$5:$R$16,MATCH(G1310,Config!$J$5:$J$16,0),MATCH(F1310,Config!$H$5:$H$10,0)),""))</f>
        <v/>
      </c>
      <c r="U1310" s="47">
        <f>IF(AND(H1310="Realizado",L1310&lt;&gt;""),L1310/60,0)</f>
        <v>0</v>
      </c>
      <c r="V1310" s="47">
        <f>IF(AND(H1310="Realizado",OR(L1310="",M1310="")),1,0)</f>
        <v>0</v>
      </c>
    </row>
    <row r="1311">
      <c r="A1311" s="43" t="n"/>
      <c r="B1311" s="44" t="n"/>
      <c r="C1311" s="38" t="n"/>
      <c r="D1311" s="38" t="n"/>
      <c r="E1311" s="37" t="n"/>
      <c r="F1311" s="38" t="n"/>
      <c r="G1311" s="38" t="n"/>
      <c r="H1311" s="38" t="n"/>
      <c r="I1311" s="38" t="n"/>
      <c r="J1311" s="38" t="n"/>
      <c r="K1311" s="37" t="n"/>
      <c r="L1311" s="39" t="n"/>
      <c r="M1311" s="40" t="n"/>
      <c r="N1311" s="30">
        <f>IF(A1311="","",MONTH(A1311))</f>
        <v/>
      </c>
      <c r="O1311" s="30">
        <f>IF(A1311="","",YEAR(A1311))</f>
        <v/>
      </c>
      <c r="P1311" s="30">
        <f>IF(A1311="","",CHOOSE(WEEKDAY(A1311,2),"Segunda","Terça","Quarta","Quinta","Sexta","Sábado","Domingo"))</f>
        <v/>
      </c>
      <c r="Q1311" s="30">
        <f>IF(B1311="","",IF(B1311&lt;TIME(12,0,0),"Manhã",IF(B1311&lt;TIME(18,0,0),"Tarde","Noite")))</f>
        <v/>
      </c>
      <c r="R1311" s="46">
        <f>IF(AND(H1311="Realizado",L1311&lt;&gt;"",A1311&lt;=Config!$B$9),L1311/60,0)</f>
        <v>0</v>
      </c>
      <c r="S1311" s="45">
        <f>IF(G1311="","",IFERROR(INDEX(Config!$K$5:$K$16,MATCH(G1311,Config!$J$5:$J$16,0)),""))</f>
        <v/>
      </c>
      <c r="T1311" s="31">
        <f>IF(OR(G1311="",F1311=""),"",IFERROR(INDEX(Config!$M$5:$R$16,MATCH(G1311,Config!$J$5:$J$16,0),MATCH(F1311,Config!$H$5:$H$10,0)),""))</f>
        <v/>
      </c>
      <c r="U1311" s="47">
        <f>IF(AND(H1311="Realizado",L1311&lt;&gt;""),L1311/60,0)</f>
        <v>0</v>
      </c>
      <c r="V1311" s="47">
        <f>IF(AND(H1311="Realizado",OR(L1311="",M1311="")),1,0)</f>
        <v>0</v>
      </c>
    </row>
    <row r="1312">
      <c r="A1312" s="43" t="n"/>
      <c r="B1312" s="44" t="n"/>
      <c r="C1312" s="38" t="n"/>
      <c r="D1312" s="38" t="n"/>
      <c r="E1312" s="37" t="n"/>
      <c r="F1312" s="38" t="n"/>
      <c r="G1312" s="38" t="n"/>
      <c r="H1312" s="38" t="n"/>
      <c r="I1312" s="38" t="n"/>
      <c r="J1312" s="38" t="n"/>
      <c r="K1312" s="37" t="n"/>
      <c r="L1312" s="39" t="n"/>
      <c r="M1312" s="40" t="n"/>
      <c r="N1312" s="30">
        <f>IF(A1312="","",MONTH(A1312))</f>
        <v/>
      </c>
      <c r="O1312" s="30">
        <f>IF(A1312="","",YEAR(A1312))</f>
        <v/>
      </c>
      <c r="P1312" s="30">
        <f>IF(A1312="","",CHOOSE(WEEKDAY(A1312,2),"Segunda","Terça","Quarta","Quinta","Sexta","Sábado","Domingo"))</f>
        <v/>
      </c>
      <c r="Q1312" s="30">
        <f>IF(B1312="","",IF(B1312&lt;TIME(12,0,0),"Manhã",IF(B1312&lt;TIME(18,0,0),"Tarde","Noite")))</f>
        <v/>
      </c>
      <c r="R1312" s="46">
        <f>IF(AND(H1312="Realizado",L1312&lt;&gt;"",A1312&lt;=Config!$B$9),L1312/60,0)</f>
        <v>0</v>
      </c>
      <c r="S1312" s="45">
        <f>IF(G1312="","",IFERROR(INDEX(Config!$K$5:$K$16,MATCH(G1312,Config!$J$5:$J$16,0)),""))</f>
        <v/>
      </c>
      <c r="T1312" s="31">
        <f>IF(OR(G1312="",F1312=""),"",IFERROR(INDEX(Config!$M$5:$R$16,MATCH(G1312,Config!$J$5:$J$16,0),MATCH(F1312,Config!$H$5:$H$10,0)),""))</f>
        <v/>
      </c>
      <c r="U1312" s="47">
        <f>IF(AND(H1312="Realizado",L1312&lt;&gt;""),L1312/60,0)</f>
        <v>0</v>
      </c>
      <c r="V1312" s="47">
        <f>IF(AND(H1312="Realizado",OR(L1312="",M1312="")),1,0)</f>
        <v>0</v>
      </c>
    </row>
    <row r="1313">
      <c r="A1313" s="43" t="n"/>
      <c r="B1313" s="44" t="n"/>
      <c r="C1313" s="38" t="n"/>
      <c r="D1313" s="38" t="n"/>
      <c r="E1313" s="37" t="n"/>
      <c r="F1313" s="38" t="n"/>
      <c r="G1313" s="38" t="n"/>
      <c r="H1313" s="38" t="n"/>
      <c r="I1313" s="38" t="n"/>
      <c r="J1313" s="38" t="n"/>
      <c r="K1313" s="37" t="n"/>
      <c r="L1313" s="39" t="n"/>
      <c r="M1313" s="40" t="n"/>
      <c r="N1313" s="30">
        <f>IF(A1313="","",MONTH(A1313))</f>
        <v/>
      </c>
      <c r="O1313" s="30">
        <f>IF(A1313="","",YEAR(A1313))</f>
        <v/>
      </c>
      <c r="P1313" s="30">
        <f>IF(A1313="","",CHOOSE(WEEKDAY(A1313,2),"Segunda","Terça","Quarta","Quinta","Sexta","Sábado","Domingo"))</f>
        <v/>
      </c>
      <c r="Q1313" s="30">
        <f>IF(B1313="","",IF(B1313&lt;TIME(12,0,0),"Manhã",IF(B1313&lt;TIME(18,0,0),"Tarde","Noite")))</f>
        <v/>
      </c>
      <c r="R1313" s="46">
        <f>IF(AND(H1313="Realizado",L1313&lt;&gt;"",A1313&lt;=Config!$B$9),L1313/60,0)</f>
        <v>0</v>
      </c>
      <c r="S1313" s="45">
        <f>IF(G1313="","",IFERROR(INDEX(Config!$K$5:$K$16,MATCH(G1313,Config!$J$5:$J$16,0)),""))</f>
        <v/>
      </c>
      <c r="T1313" s="31">
        <f>IF(OR(G1313="",F1313=""),"",IFERROR(INDEX(Config!$M$5:$R$16,MATCH(G1313,Config!$J$5:$J$16,0),MATCH(F1313,Config!$H$5:$H$10,0)),""))</f>
        <v/>
      </c>
      <c r="U1313" s="47">
        <f>IF(AND(H1313="Realizado",L1313&lt;&gt;""),L1313/60,0)</f>
        <v>0</v>
      </c>
      <c r="V1313" s="47">
        <f>IF(AND(H1313="Realizado",OR(L1313="",M1313="")),1,0)</f>
        <v>0</v>
      </c>
    </row>
    <row r="1314">
      <c r="A1314" s="43" t="n"/>
      <c r="B1314" s="44" t="n"/>
      <c r="C1314" s="38" t="n"/>
      <c r="D1314" s="38" t="n"/>
      <c r="E1314" s="37" t="n"/>
      <c r="F1314" s="38" t="n"/>
      <c r="G1314" s="38" t="n"/>
      <c r="H1314" s="38" t="n"/>
      <c r="I1314" s="38" t="n"/>
      <c r="J1314" s="38" t="n"/>
      <c r="K1314" s="37" t="n"/>
      <c r="L1314" s="39" t="n"/>
      <c r="M1314" s="40" t="n"/>
      <c r="N1314" s="30">
        <f>IF(A1314="","",MONTH(A1314))</f>
        <v/>
      </c>
      <c r="O1314" s="30">
        <f>IF(A1314="","",YEAR(A1314))</f>
        <v/>
      </c>
      <c r="P1314" s="30">
        <f>IF(A1314="","",CHOOSE(WEEKDAY(A1314,2),"Segunda","Terça","Quarta","Quinta","Sexta","Sábado","Domingo"))</f>
        <v/>
      </c>
      <c r="Q1314" s="30">
        <f>IF(B1314="","",IF(B1314&lt;TIME(12,0,0),"Manhã",IF(B1314&lt;TIME(18,0,0),"Tarde","Noite")))</f>
        <v/>
      </c>
      <c r="R1314" s="46">
        <f>IF(AND(H1314="Realizado",L1314&lt;&gt;"",A1314&lt;=Config!$B$9),L1314/60,0)</f>
        <v>0</v>
      </c>
      <c r="S1314" s="45">
        <f>IF(G1314="","",IFERROR(INDEX(Config!$K$5:$K$16,MATCH(G1314,Config!$J$5:$J$16,0)),""))</f>
        <v/>
      </c>
      <c r="T1314" s="31">
        <f>IF(OR(G1314="",F1314=""),"",IFERROR(INDEX(Config!$M$5:$R$16,MATCH(G1314,Config!$J$5:$J$16,0),MATCH(F1314,Config!$H$5:$H$10,0)),""))</f>
        <v/>
      </c>
      <c r="U1314" s="47">
        <f>IF(AND(H1314="Realizado",L1314&lt;&gt;""),L1314/60,0)</f>
        <v>0</v>
      </c>
      <c r="V1314" s="47">
        <f>IF(AND(H1314="Realizado",OR(L1314="",M1314="")),1,0)</f>
        <v>0</v>
      </c>
    </row>
    <row r="1315">
      <c r="A1315" s="43" t="n"/>
      <c r="B1315" s="44" t="n"/>
      <c r="C1315" s="38" t="n"/>
      <c r="D1315" s="38" t="n"/>
      <c r="E1315" s="37" t="n"/>
      <c r="F1315" s="38" t="n"/>
      <c r="G1315" s="38" t="n"/>
      <c r="H1315" s="38" t="n"/>
      <c r="I1315" s="38" t="n"/>
      <c r="J1315" s="38" t="n"/>
      <c r="K1315" s="37" t="n"/>
      <c r="L1315" s="39" t="n"/>
      <c r="M1315" s="40" t="n"/>
      <c r="N1315" s="30">
        <f>IF(A1315="","",MONTH(A1315))</f>
        <v/>
      </c>
      <c r="O1315" s="30">
        <f>IF(A1315="","",YEAR(A1315))</f>
        <v/>
      </c>
      <c r="P1315" s="30">
        <f>IF(A1315="","",CHOOSE(WEEKDAY(A1315,2),"Segunda","Terça","Quarta","Quinta","Sexta","Sábado","Domingo"))</f>
        <v/>
      </c>
      <c r="Q1315" s="30">
        <f>IF(B1315="","",IF(B1315&lt;TIME(12,0,0),"Manhã",IF(B1315&lt;TIME(18,0,0),"Tarde","Noite")))</f>
        <v/>
      </c>
      <c r="R1315" s="46">
        <f>IF(AND(H1315="Realizado",L1315&lt;&gt;"",A1315&lt;=Config!$B$9),L1315/60,0)</f>
        <v>0</v>
      </c>
      <c r="S1315" s="45">
        <f>IF(G1315="","",IFERROR(INDEX(Config!$K$5:$K$16,MATCH(G1315,Config!$J$5:$J$16,0)),""))</f>
        <v/>
      </c>
      <c r="T1315" s="31">
        <f>IF(OR(G1315="",F1315=""),"",IFERROR(INDEX(Config!$M$5:$R$16,MATCH(G1315,Config!$J$5:$J$16,0),MATCH(F1315,Config!$H$5:$H$10,0)),""))</f>
        <v/>
      </c>
      <c r="U1315" s="47">
        <f>IF(AND(H1315="Realizado",L1315&lt;&gt;""),L1315/60,0)</f>
        <v>0</v>
      </c>
      <c r="V1315" s="47">
        <f>IF(AND(H1315="Realizado",OR(L1315="",M1315="")),1,0)</f>
        <v>0</v>
      </c>
    </row>
    <row r="1316">
      <c r="A1316" s="43" t="n"/>
      <c r="B1316" s="44" t="n"/>
      <c r="C1316" s="38" t="n"/>
      <c r="D1316" s="38" t="n"/>
      <c r="E1316" s="37" t="n"/>
      <c r="F1316" s="38" t="n"/>
      <c r="G1316" s="38" t="n"/>
      <c r="H1316" s="38" t="n"/>
      <c r="I1316" s="38" t="n"/>
      <c r="J1316" s="38" t="n"/>
      <c r="K1316" s="37" t="n"/>
      <c r="L1316" s="39" t="n"/>
      <c r="M1316" s="40" t="n"/>
      <c r="N1316" s="30">
        <f>IF(A1316="","",MONTH(A1316))</f>
        <v/>
      </c>
      <c r="O1316" s="30">
        <f>IF(A1316="","",YEAR(A1316))</f>
        <v/>
      </c>
      <c r="P1316" s="30">
        <f>IF(A1316="","",CHOOSE(WEEKDAY(A1316,2),"Segunda","Terça","Quarta","Quinta","Sexta","Sábado","Domingo"))</f>
        <v/>
      </c>
      <c r="Q1316" s="30">
        <f>IF(B1316="","",IF(B1316&lt;TIME(12,0,0),"Manhã",IF(B1316&lt;TIME(18,0,0),"Tarde","Noite")))</f>
        <v/>
      </c>
      <c r="R1316" s="46">
        <f>IF(AND(H1316="Realizado",L1316&lt;&gt;"",A1316&lt;=Config!$B$9),L1316/60,0)</f>
        <v>0</v>
      </c>
      <c r="S1316" s="45">
        <f>IF(G1316="","",IFERROR(INDEX(Config!$K$5:$K$16,MATCH(G1316,Config!$J$5:$J$16,0)),""))</f>
        <v/>
      </c>
      <c r="T1316" s="31">
        <f>IF(OR(G1316="",F1316=""),"",IFERROR(INDEX(Config!$M$5:$R$16,MATCH(G1316,Config!$J$5:$J$16,0),MATCH(F1316,Config!$H$5:$H$10,0)),""))</f>
        <v/>
      </c>
      <c r="U1316" s="47">
        <f>IF(AND(H1316="Realizado",L1316&lt;&gt;""),L1316/60,0)</f>
        <v>0</v>
      </c>
      <c r="V1316" s="47">
        <f>IF(AND(H1316="Realizado",OR(L1316="",M1316="")),1,0)</f>
        <v>0</v>
      </c>
    </row>
    <row r="1317">
      <c r="A1317" s="43" t="n"/>
      <c r="B1317" s="44" t="n"/>
      <c r="C1317" s="38" t="n"/>
      <c r="D1317" s="38" t="n"/>
      <c r="E1317" s="37" t="n"/>
      <c r="F1317" s="38" t="n"/>
      <c r="G1317" s="38" t="n"/>
      <c r="H1317" s="38" t="n"/>
      <c r="I1317" s="38" t="n"/>
      <c r="J1317" s="38" t="n"/>
      <c r="K1317" s="37" t="n"/>
      <c r="L1317" s="39" t="n"/>
      <c r="M1317" s="40" t="n"/>
      <c r="N1317" s="30">
        <f>IF(A1317="","",MONTH(A1317))</f>
        <v/>
      </c>
      <c r="O1317" s="30">
        <f>IF(A1317="","",YEAR(A1317))</f>
        <v/>
      </c>
      <c r="P1317" s="30">
        <f>IF(A1317="","",CHOOSE(WEEKDAY(A1317,2),"Segunda","Terça","Quarta","Quinta","Sexta","Sábado","Domingo"))</f>
        <v/>
      </c>
      <c r="Q1317" s="30">
        <f>IF(B1317="","",IF(B1317&lt;TIME(12,0,0),"Manhã",IF(B1317&lt;TIME(18,0,0),"Tarde","Noite")))</f>
        <v/>
      </c>
      <c r="R1317" s="46">
        <f>IF(AND(H1317="Realizado",L1317&lt;&gt;"",A1317&lt;=Config!$B$9),L1317/60,0)</f>
        <v>0</v>
      </c>
      <c r="S1317" s="45">
        <f>IF(G1317="","",IFERROR(INDEX(Config!$K$5:$K$16,MATCH(G1317,Config!$J$5:$J$16,0)),""))</f>
        <v/>
      </c>
      <c r="T1317" s="31">
        <f>IF(OR(G1317="",F1317=""),"",IFERROR(INDEX(Config!$M$5:$R$16,MATCH(G1317,Config!$J$5:$J$16,0),MATCH(F1317,Config!$H$5:$H$10,0)),""))</f>
        <v/>
      </c>
      <c r="U1317" s="47">
        <f>IF(AND(H1317="Realizado",L1317&lt;&gt;""),L1317/60,0)</f>
        <v>0</v>
      </c>
      <c r="V1317" s="47">
        <f>IF(AND(H1317="Realizado",OR(L1317="",M1317="")),1,0)</f>
        <v>0</v>
      </c>
    </row>
    <row r="1318">
      <c r="A1318" s="43" t="n"/>
      <c r="B1318" s="44" t="n"/>
      <c r="C1318" s="38" t="n"/>
      <c r="D1318" s="38" t="n"/>
      <c r="E1318" s="37" t="n"/>
      <c r="F1318" s="38" t="n"/>
      <c r="G1318" s="38" t="n"/>
      <c r="H1318" s="38" t="n"/>
      <c r="I1318" s="38" t="n"/>
      <c r="J1318" s="38" t="n"/>
      <c r="K1318" s="37" t="n"/>
      <c r="L1318" s="39" t="n"/>
      <c r="M1318" s="40" t="n"/>
      <c r="N1318" s="30">
        <f>IF(A1318="","",MONTH(A1318))</f>
        <v/>
      </c>
      <c r="O1318" s="30">
        <f>IF(A1318="","",YEAR(A1318))</f>
        <v/>
      </c>
      <c r="P1318" s="30">
        <f>IF(A1318="","",CHOOSE(WEEKDAY(A1318,2),"Segunda","Terça","Quarta","Quinta","Sexta","Sábado","Domingo"))</f>
        <v/>
      </c>
      <c r="Q1318" s="30">
        <f>IF(B1318="","",IF(B1318&lt;TIME(12,0,0),"Manhã",IF(B1318&lt;TIME(18,0,0),"Tarde","Noite")))</f>
        <v/>
      </c>
      <c r="R1318" s="46">
        <f>IF(AND(H1318="Realizado",L1318&lt;&gt;"",A1318&lt;=Config!$B$9),L1318/60,0)</f>
        <v>0</v>
      </c>
      <c r="S1318" s="45">
        <f>IF(G1318="","",IFERROR(INDEX(Config!$K$5:$K$16,MATCH(G1318,Config!$J$5:$J$16,0)),""))</f>
        <v/>
      </c>
      <c r="T1318" s="31">
        <f>IF(OR(G1318="",F1318=""),"",IFERROR(INDEX(Config!$M$5:$R$16,MATCH(G1318,Config!$J$5:$J$16,0),MATCH(F1318,Config!$H$5:$H$10,0)),""))</f>
        <v/>
      </c>
      <c r="U1318" s="47">
        <f>IF(AND(H1318="Realizado",L1318&lt;&gt;""),L1318/60,0)</f>
        <v>0</v>
      </c>
      <c r="V1318" s="47">
        <f>IF(AND(H1318="Realizado",OR(L1318="",M1318="")),1,0)</f>
        <v>0</v>
      </c>
    </row>
    <row r="1319">
      <c r="A1319" s="43" t="n"/>
      <c r="B1319" s="44" t="n"/>
      <c r="C1319" s="38" t="n"/>
      <c r="D1319" s="38" t="n"/>
      <c r="E1319" s="37" t="n"/>
      <c r="F1319" s="38" t="n"/>
      <c r="G1319" s="38" t="n"/>
      <c r="H1319" s="38" t="n"/>
      <c r="I1319" s="38" t="n"/>
      <c r="J1319" s="38" t="n"/>
      <c r="K1319" s="37" t="n"/>
      <c r="L1319" s="39" t="n"/>
      <c r="M1319" s="40" t="n"/>
      <c r="N1319" s="30">
        <f>IF(A1319="","",MONTH(A1319))</f>
        <v/>
      </c>
      <c r="O1319" s="30">
        <f>IF(A1319="","",YEAR(A1319))</f>
        <v/>
      </c>
      <c r="P1319" s="30">
        <f>IF(A1319="","",CHOOSE(WEEKDAY(A1319,2),"Segunda","Terça","Quarta","Quinta","Sexta","Sábado","Domingo"))</f>
        <v/>
      </c>
      <c r="Q1319" s="30">
        <f>IF(B1319="","",IF(B1319&lt;TIME(12,0,0),"Manhã",IF(B1319&lt;TIME(18,0,0),"Tarde","Noite")))</f>
        <v/>
      </c>
      <c r="R1319" s="46">
        <f>IF(AND(H1319="Realizado",L1319&lt;&gt;"",A1319&lt;=Config!$B$9),L1319/60,0)</f>
        <v>0</v>
      </c>
      <c r="S1319" s="45">
        <f>IF(G1319="","",IFERROR(INDEX(Config!$K$5:$K$16,MATCH(G1319,Config!$J$5:$J$16,0)),""))</f>
        <v/>
      </c>
      <c r="T1319" s="31">
        <f>IF(OR(G1319="",F1319=""),"",IFERROR(INDEX(Config!$M$5:$R$16,MATCH(G1319,Config!$J$5:$J$16,0),MATCH(F1319,Config!$H$5:$H$10,0)),""))</f>
        <v/>
      </c>
      <c r="U1319" s="47">
        <f>IF(AND(H1319="Realizado",L1319&lt;&gt;""),L1319/60,0)</f>
        <v>0</v>
      </c>
      <c r="V1319" s="47">
        <f>IF(AND(H1319="Realizado",OR(L1319="",M1319="")),1,0)</f>
        <v>0</v>
      </c>
    </row>
    <row r="1320">
      <c r="A1320" s="43" t="n"/>
      <c r="B1320" s="44" t="n"/>
      <c r="C1320" s="38" t="n"/>
      <c r="D1320" s="38" t="n"/>
      <c r="E1320" s="37" t="n"/>
      <c r="F1320" s="38" t="n"/>
      <c r="G1320" s="38" t="n"/>
      <c r="H1320" s="38" t="n"/>
      <c r="I1320" s="38" t="n"/>
      <c r="J1320" s="38" t="n"/>
      <c r="K1320" s="37" t="n"/>
      <c r="L1320" s="39" t="n"/>
      <c r="M1320" s="40" t="n"/>
      <c r="N1320" s="30">
        <f>IF(A1320="","",MONTH(A1320))</f>
        <v/>
      </c>
      <c r="O1320" s="30">
        <f>IF(A1320="","",YEAR(A1320))</f>
        <v/>
      </c>
      <c r="P1320" s="30">
        <f>IF(A1320="","",CHOOSE(WEEKDAY(A1320,2),"Segunda","Terça","Quarta","Quinta","Sexta","Sábado","Domingo"))</f>
        <v/>
      </c>
      <c r="Q1320" s="30">
        <f>IF(B1320="","",IF(B1320&lt;TIME(12,0,0),"Manhã",IF(B1320&lt;TIME(18,0,0),"Tarde","Noite")))</f>
        <v/>
      </c>
      <c r="R1320" s="46">
        <f>IF(AND(H1320="Realizado",L1320&lt;&gt;"",A1320&lt;=Config!$B$9),L1320/60,0)</f>
        <v>0</v>
      </c>
      <c r="S1320" s="45">
        <f>IF(G1320="","",IFERROR(INDEX(Config!$K$5:$K$16,MATCH(G1320,Config!$J$5:$J$16,0)),""))</f>
        <v/>
      </c>
      <c r="T1320" s="31">
        <f>IF(OR(G1320="",F1320=""),"",IFERROR(INDEX(Config!$M$5:$R$16,MATCH(G1320,Config!$J$5:$J$16,0),MATCH(F1320,Config!$H$5:$H$10,0)),""))</f>
        <v/>
      </c>
      <c r="U1320" s="47">
        <f>IF(AND(H1320="Realizado",L1320&lt;&gt;""),L1320/60,0)</f>
        <v>0</v>
      </c>
      <c r="V1320" s="47">
        <f>IF(AND(H1320="Realizado",OR(L1320="",M1320="")),1,0)</f>
        <v>0</v>
      </c>
    </row>
    <row r="1321">
      <c r="A1321" s="43" t="n"/>
      <c r="B1321" s="44" t="n"/>
      <c r="C1321" s="38" t="n"/>
      <c r="D1321" s="38" t="n"/>
      <c r="E1321" s="37" t="n"/>
      <c r="F1321" s="38" t="n"/>
      <c r="G1321" s="38" t="n"/>
      <c r="H1321" s="38" t="n"/>
      <c r="I1321" s="38" t="n"/>
      <c r="J1321" s="38" t="n"/>
      <c r="K1321" s="37" t="n"/>
      <c r="L1321" s="39" t="n"/>
      <c r="M1321" s="40" t="n"/>
      <c r="N1321" s="30">
        <f>IF(A1321="","",MONTH(A1321))</f>
        <v/>
      </c>
      <c r="O1321" s="30">
        <f>IF(A1321="","",YEAR(A1321))</f>
        <v/>
      </c>
      <c r="P1321" s="30">
        <f>IF(A1321="","",CHOOSE(WEEKDAY(A1321,2),"Segunda","Terça","Quarta","Quinta","Sexta","Sábado","Domingo"))</f>
        <v/>
      </c>
      <c r="Q1321" s="30">
        <f>IF(B1321="","",IF(B1321&lt;TIME(12,0,0),"Manhã",IF(B1321&lt;TIME(18,0,0),"Tarde","Noite")))</f>
        <v/>
      </c>
      <c r="R1321" s="46">
        <f>IF(AND(H1321="Realizado",L1321&lt;&gt;"",A1321&lt;=Config!$B$9),L1321/60,0)</f>
        <v>0</v>
      </c>
      <c r="S1321" s="45">
        <f>IF(G1321="","",IFERROR(INDEX(Config!$K$5:$K$16,MATCH(G1321,Config!$J$5:$J$16,0)),""))</f>
        <v/>
      </c>
      <c r="T1321" s="31">
        <f>IF(OR(G1321="",F1321=""),"",IFERROR(INDEX(Config!$M$5:$R$16,MATCH(G1321,Config!$J$5:$J$16,0),MATCH(F1321,Config!$H$5:$H$10,0)),""))</f>
        <v/>
      </c>
      <c r="U1321" s="47">
        <f>IF(AND(H1321="Realizado",L1321&lt;&gt;""),L1321/60,0)</f>
        <v>0</v>
      </c>
      <c r="V1321" s="47">
        <f>IF(AND(H1321="Realizado",OR(L1321="",M1321="")),1,0)</f>
        <v>0</v>
      </c>
    </row>
    <row r="1322">
      <c r="A1322" s="43" t="n"/>
      <c r="B1322" s="44" t="n"/>
      <c r="C1322" s="38" t="n"/>
      <c r="D1322" s="38" t="n"/>
      <c r="E1322" s="37" t="n"/>
      <c r="F1322" s="38" t="n"/>
      <c r="G1322" s="38" t="n"/>
      <c r="H1322" s="38" t="n"/>
      <c r="I1322" s="38" t="n"/>
      <c r="J1322" s="38" t="n"/>
      <c r="K1322" s="37" t="n"/>
      <c r="L1322" s="39" t="n"/>
      <c r="M1322" s="40" t="n"/>
      <c r="N1322" s="30">
        <f>IF(A1322="","",MONTH(A1322))</f>
        <v/>
      </c>
      <c r="O1322" s="30">
        <f>IF(A1322="","",YEAR(A1322))</f>
        <v/>
      </c>
      <c r="P1322" s="30">
        <f>IF(A1322="","",CHOOSE(WEEKDAY(A1322,2),"Segunda","Terça","Quarta","Quinta","Sexta","Sábado","Domingo"))</f>
        <v/>
      </c>
      <c r="Q1322" s="30">
        <f>IF(B1322="","",IF(B1322&lt;TIME(12,0,0),"Manhã",IF(B1322&lt;TIME(18,0,0),"Tarde","Noite")))</f>
        <v/>
      </c>
      <c r="R1322" s="46">
        <f>IF(AND(H1322="Realizado",L1322&lt;&gt;"",A1322&lt;=Config!$B$9),L1322/60,0)</f>
        <v>0</v>
      </c>
      <c r="S1322" s="45">
        <f>IF(G1322="","",IFERROR(INDEX(Config!$K$5:$K$16,MATCH(G1322,Config!$J$5:$J$16,0)),""))</f>
        <v/>
      </c>
      <c r="T1322" s="31">
        <f>IF(OR(G1322="",F1322=""),"",IFERROR(INDEX(Config!$M$5:$R$16,MATCH(G1322,Config!$J$5:$J$16,0),MATCH(F1322,Config!$H$5:$H$10,0)),""))</f>
        <v/>
      </c>
      <c r="U1322" s="47">
        <f>IF(AND(H1322="Realizado",L1322&lt;&gt;""),L1322/60,0)</f>
        <v>0</v>
      </c>
      <c r="V1322" s="47">
        <f>IF(AND(H1322="Realizado",OR(L1322="",M1322="")),1,0)</f>
        <v>0</v>
      </c>
    </row>
    <row r="1323">
      <c r="A1323" s="43" t="n"/>
      <c r="B1323" s="44" t="n"/>
      <c r="C1323" s="38" t="n"/>
      <c r="D1323" s="38" t="n"/>
      <c r="E1323" s="37" t="n"/>
      <c r="F1323" s="38" t="n"/>
      <c r="G1323" s="38" t="n"/>
      <c r="H1323" s="38" t="n"/>
      <c r="I1323" s="38" t="n"/>
      <c r="J1323" s="38" t="n"/>
      <c r="K1323" s="37" t="n"/>
      <c r="L1323" s="39" t="n"/>
      <c r="M1323" s="40" t="n"/>
      <c r="N1323" s="30">
        <f>IF(A1323="","",MONTH(A1323))</f>
        <v/>
      </c>
      <c r="O1323" s="30">
        <f>IF(A1323="","",YEAR(A1323))</f>
        <v/>
      </c>
      <c r="P1323" s="30">
        <f>IF(A1323="","",CHOOSE(WEEKDAY(A1323,2),"Segunda","Terça","Quarta","Quinta","Sexta","Sábado","Domingo"))</f>
        <v/>
      </c>
      <c r="Q1323" s="30">
        <f>IF(B1323="","",IF(B1323&lt;TIME(12,0,0),"Manhã",IF(B1323&lt;TIME(18,0,0),"Tarde","Noite")))</f>
        <v/>
      </c>
      <c r="R1323" s="46">
        <f>IF(AND(H1323="Realizado",L1323&lt;&gt;"",A1323&lt;=Config!$B$9),L1323/60,0)</f>
        <v>0</v>
      </c>
      <c r="S1323" s="45">
        <f>IF(G1323="","",IFERROR(INDEX(Config!$K$5:$K$16,MATCH(G1323,Config!$J$5:$J$16,0)),""))</f>
        <v/>
      </c>
      <c r="T1323" s="31">
        <f>IF(OR(G1323="",F1323=""),"",IFERROR(INDEX(Config!$M$5:$R$16,MATCH(G1323,Config!$J$5:$J$16,0),MATCH(F1323,Config!$H$5:$H$10,0)),""))</f>
        <v/>
      </c>
      <c r="U1323" s="47">
        <f>IF(AND(H1323="Realizado",L1323&lt;&gt;""),L1323/60,0)</f>
        <v>0</v>
      </c>
      <c r="V1323" s="47">
        <f>IF(AND(H1323="Realizado",OR(L1323="",M1323="")),1,0)</f>
        <v>0</v>
      </c>
    </row>
    <row r="1324">
      <c r="A1324" s="43" t="n"/>
      <c r="B1324" s="44" t="n"/>
      <c r="C1324" s="38" t="n"/>
      <c r="D1324" s="38" t="n"/>
      <c r="E1324" s="37" t="n"/>
      <c r="F1324" s="38" t="n"/>
      <c r="G1324" s="38" t="n"/>
      <c r="H1324" s="38" t="n"/>
      <c r="I1324" s="38" t="n"/>
      <c r="J1324" s="38" t="n"/>
      <c r="K1324" s="37" t="n"/>
      <c r="L1324" s="39" t="n"/>
      <c r="M1324" s="40" t="n"/>
      <c r="N1324" s="30">
        <f>IF(A1324="","",MONTH(A1324))</f>
        <v/>
      </c>
      <c r="O1324" s="30">
        <f>IF(A1324="","",YEAR(A1324))</f>
        <v/>
      </c>
      <c r="P1324" s="30">
        <f>IF(A1324="","",CHOOSE(WEEKDAY(A1324,2),"Segunda","Terça","Quarta","Quinta","Sexta","Sábado","Domingo"))</f>
        <v/>
      </c>
      <c r="Q1324" s="30">
        <f>IF(B1324="","",IF(B1324&lt;TIME(12,0,0),"Manhã",IF(B1324&lt;TIME(18,0,0),"Tarde","Noite")))</f>
        <v/>
      </c>
      <c r="R1324" s="46">
        <f>IF(AND(H1324="Realizado",L1324&lt;&gt;"",A1324&lt;=Config!$B$9),L1324/60,0)</f>
        <v>0</v>
      </c>
      <c r="S1324" s="45">
        <f>IF(G1324="","",IFERROR(INDEX(Config!$K$5:$K$16,MATCH(G1324,Config!$J$5:$J$16,0)),""))</f>
        <v/>
      </c>
      <c r="T1324" s="31">
        <f>IF(OR(G1324="",F1324=""),"",IFERROR(INDEX(Config!$M$5:$R$16,MATCH(G1324,Config!$J$5:$J$16,0),MATCH(F1324,Config!$H$5:$H$10,0)),""))</f>
        <v/>
      </c>
      <c r="U1324" s="47">
        <f>IF(AND(H1324="Realizado",L1324&lt;&gt;""),L1324/60,0)</f>
        <v>0</v>
      </c>
      <c r="V1324" s="47">
        <f>IF(AND(H1324="Realizado",OR(L1324="",M1324="")),1,0)</f>
        <v>0</v>
      </c>
    </row>
    <row r="1325">
      <c r="A1325" s="43" t="n"/>
      <c r="B1325" s="44" t="n"/>
      <c r="C1325" s="38" t="n"/>
      <c r="D1325" s="38" t="n"/>
      <c r="E1325" s="37" t="n"/>
      <c r="F1325" s="38" t="n"/>
      <c r="G1325" s="38" t="n"/>
      <c r="H1325" s="38" t="n"/>
      <c r="I1325" s="38" t="n"/>
      <c r="J1325" s="38" t="n"/>
      <c r="K1325" s="37" t="n"/>
      <c r="L1325" s="39" t="n"/>
      <c r="M1325" s="40" t="n"/>
      <c r="N1325" s="30">
        <f>IF(A1325="","",MONTH(A1325))</f>
        <v/>
      </c>
      <c r="O1325" s="30">
        <f>IF(A1325="","",YEAR(A1325))</f>
        <v/>
      </c>
      <c r="P1325" s="30">
        <f>IF(A1325="","",CHOOSE(WEEKDAY(A1325,2),"Segunda","Terça","Quarta","Quinta","Sexta","Sábado","Domingo"))</f>
        <v/>
      </c>
      <c r="Q1325" s="30">
        <f>IF(B1325="","",IF(B1325&lt;TIME(12,0,0),"Manhã",IF(B1325&lt;TIME(18,0,0),"Tarde","Noite")))</f>
        <v/>
      </c>
      <c r="R1325" s="46">
        <f>IF(AND(H1325="Realizado",L1325&lt;&gt;"",A1325&lt;=Config!$B$9),L1325/60,0)</f>
        <v>0</v>
      </c>
      <c r="S1325" s="45">
        <f>IF(G1325="","",IFERROR(INDEX(Config!$K$5:$K$16,MATCH(G1325,Config!$J$5:$J$16,0)),""))</f>
        <v/>
      </c>
      <c r="T1325" s="31">
        <f>IF(OR(G1325="",F1325=""),"",IFERROR(INDEX(Config!$M$5:$R$16,MATCH(G1325,Config!$J$5:$J$16,0),MATCH(F1325,Config!$H$5:$H$10,0)),""))</f>
        <v/>
      </c>
      <c r="U1325" s="47">
        <f>IF(AND(H1325="Realizado",L1325&lt;&gt;""),L1325/60,0)</f>
        <v>0</v>
      </c>
      <c r="V1325" s="47">
        <f>IF(AND(H1325="Realizado",OR(L1325="",M1325="")),1,0)</f>
        <v>0</v>
      </c>
    </row>
    <row r="1326">
      <c r="A1326" s="43" t="n"/>
      <c r="B1326" s="44" t="n"/>
      <c r="C1326" s="38" t="n"/>
      <c r="D1326" s="38" t="n"/>
      <c r="E1326" s="37" t="n"/>
      <c r="F1326" s="38" t="n"/>
      <c r="G1326" s="38" t="n"/>
      <c r="H1326" s="38" t="n"/>
      <c r="I1326" s="38" t="n"/>
      <c r="J1326" s="38" t="n"/>
      <c r="K1326" s="37" t="n"/>
      <c r="L1326" s="39" t="n"/>
      <c r="M1326" s="40" t="n"/>
      <c r="N1326" s="30">
        <f>IF(A1326="","",MONTH(A1326))</f>
        <v/>
      </c>
      <c r="O1326" s="30">
        <f>IF(A1326="","",YEAR(A1326))</f>
        <v/>
      </c>
      <c r="P1326" s="30">
        <f>IF(A1326="","",CHOOSE(WEEKDAY(A1326,2),"Segunda","Terça","Quarta","Quinta","Sexta","Sábado","Domingo"))</f>
        <v/>
      </c>
      <c r="Q1326" s="30">
        <f>IF(B1326="","",IF(B1326&lt;TIME(12,0,0),"Manhã",IF(B1326&lt;TIME(18,0,0),"Tarde","Noite")))</f>
        <v/>
      </c>
      <c r="R1326" s="46">
        <f>IF(AND(H1326="Realizado",L1326&lt;&gt;"",A1326&lt;=Config!$B$9),L1326/60,0)</f>
        <v>0</v>
      </c>
      <c r="S1326" s="45">
        <f>IF(G1326="","",IFERROR(INDEX(Config!$K$5:$K$16,MATCH(G1326,Config!$J$5:$J$16,0)),""))</f>
        <v/>
      </c>
      <c r="T1326" s="31">
        <f>IF(OR(G1326="",F1326=""),"",IFERROR(INDEX(Config!$M$5:$R$16,MATCH(G1326,Config!$J$5:$J$16,0),MATCH(F1326,Config!$H$5:$H$10,0)),""))</f>
        <v/>
      </c>
      <c r="U1326" s="47">
        <f>IF(AND(H1326="Realizado",L1326&lt;&gt;""),L1326/60,0)</f>
        <v>0</v>
      </c>
      <c r="V1326" s="47">
        <f>IF(AND(H1326="Realizado",OR(L1326="",M1326="")),1,0)</f>
        <v>0</v>
      </c>
    </row>
    <row r="1327">
      <c r="A1327" s="43" t="n"/>
      <c r="B1327" s="44" t="n"/>
      <c r="C1327" s="38" t="n"/>
      <c r="D1327" s="38" t="n"/>
      <c r="E1327" s="37" t="n"/>
      <c r="F1327" s="38" t="n"/>
      <c r="G1327" s="38" t="n"/>
      <c r="H1327" s="38" t="n"/>
      <c r="I1327" s="38" t="n"/>
      <c r="J1327" s="38" t="n"/>
      <c r="K1327" s="37" t="n"/>
      <c r="L1327" s="39" t="n"/>
      <c r="M1327" s="40" t="n"/>
      <c r="N1327" s="30">
        <f>IF(A1327="","",MONTH(A1327))</f>
        <v/>
      </c>
      <c r="O1327" s="30">
        <f>IF(A1327="","",YEAR(A1327))</f>
        <v/>
      </c>
      <c r="P1327" s="30">
        <f>IF(A1327="","",CHOOSE(WEEKDAY(A1327,2),"Segunda","Terça","Quarta","Quinta","Sexta","Sábado","Domingo"))</f>
        <v/>
      </c>
      <c r="Q1327" s="30">
        <f>IF(B1327="","",IF(B1327&lt;TIME(12,0,0),"Manhã",IF(B1327&lt;TIME(18,0,0),"Tarde","Noite")))</f>
        <v/>
      </c>
      <c r="R1327" s="46">
        <f>IF(AND(H1327="Realizado",L1327&lt;&gt;"",A1327&lt;=Config!$B$9),L1327/60,0)</f>
        <v>0</v>
      </c>
      <c r="S1327" s="45">
        <f>IF(G1327="","",IFERROR(INDEX(Config!$K$5:$K$16,MATCH(G1327,Config!$J$5:$J$16,0)),""))</f>
        <v/>
      </c>
      <c r="T1327" s="31">
        <f>IF(OR(G1327="",F1327=""),"",IFERROR(INDEX(Config!$M$5:$R$16,MATCH(G1327,Config!$J$5:$J$16,0),MATCH(F1327,Config!$H$5:$H$10,0)),""))</f>
        <v/>
      </c>
      <c r="U1327" s="47">
        <f>IF(AND(H1327="Realizado",L1327&lt;&gt;""),L1327/60,0)</f>
        <v>0</v>
      </c>
      <c r="V1327" s="47">
        <f>IF(AND(H1327="Realizado",OR(L1327="",M1327="")),1,0)</f>
        <v>0</v>
      </c>
    </row>
    <row r="1328">
      <c r="A1328" s="43" t="n"/>
      <c r="B1328" s="44" t="n"/>
      <c r="C1328" s="38" t="n"/>
      <c r="D1328" s="38" t="n"/>
      <c r="E1328" s="37" t="n"/>
      <c r="F1328" s="38" t="n"/>
      <c r="G1328" s="38" t="n"/>
      <c r="H1328" s="38" t="n"/>
      <c r="I1328" s="38" t="n"/>
      <c r="J1328" s="38" t="n"/>
      <c r="K1328" s="37" t="n"/>
      <c r="L1328" s="39" t="n"/>
      <c r="M1328" s="40" t="n"/>
      <c r="N1328" s="30">
        <f>IF(A1328="","",MONTH(A1328))</f>
        <v/>
      </c>
      <c r="O1328" s="30">
        <f>IF(A1328="","",YEAR(A1328))</f>
        <v/>
      </c>
      <c r="P1328" s="30">
        <f>IF(A1328="","",CHOOSE(WEEKDAY(A1328,2),"Segunda","Terça","Quarta","Quinta","Sexta","Sábado","Domingo"))</f>
        <v/>
      </c>
      <c r="Q1328" s="30">
        <f>IF(B1328="","",IF(B1328&lt;TIME(12,0,0),"Manhã",IF(B1328&lt;TIME(18,0,0),"Tarde","Noite")))</f>
        <v/>
      </c>
      <c r="R1328" s="46">
        <f>IF(AND(H1328="Realizado",L1328&lt;&gt;"",A1328&lt;=Config!$B$9),L1328/60,0)</f>
        <v>0</v>
      </c>
      <c r="S1328" s="45">
        <f>IF(G1328="","",IFERROR(INDEX(Config!$K$5:$K$16,MATCH(G1328,Config!$J$5:$J$16,0)),""))</f>
        <v/>
      </c>
      <c r="T1328" s="31">
        <f>IF(OR(G1328="",F1328=""),"",IFERROR(INDEX(Config!$M$5:$R$16,MATCH(G1328,Config!$J$5:$J$16,0),MATCH(F1328,Config!$H$5:$H$10,0)),""))</f>
        <v/>
      </c>
      <c r="U1328" s="47">
        <f>IF(AND(H1328="Realizado",L1328&lt;&gt;""),L1328/60,0)</f>
        <v>0</v>
      </c>
      <c r="V1328" s="47">
        <f>IF(AND(H1328="Realizado",OR(L1328="",M1328="")),1,0)</f>
        <v>0</v>
      </c>
    </row>
    <row r="1329">
      <c r="A1329" s="43" t="n"/>
      <c r="B1329" s="44" t="n"/>
      <c r="C1329" s="38" t="n"/>
      <c r="D1329" s="38" t="n"/>
      <c r="E1329" s="37" t="n"/>
      <c r="F1329" s="38" t="n"/>
      <c r="G1329" s="38" t="n"/>
      <c r="H1329" s="38" t="n"/>
      <c r="I1329" s="38" t="n"/>
      <c r="J1329" s="38" t="n"/>
      <c r="K1329" s="37" t="n"/>
      <c r="L1329" s="39" t="n"/>
      <c r="M1329" s="40" t="n"/>
      <c r="N1329" s="30">
        <f>IF(A1329="","",MONTH(A1329))</f>
        <v/>
      </c>
      <c r="O1329" s="30">
        <f>IF(A1329="","",YEAR(A1329))</f>
        <v/>
      </c>
      <c r="P1329" s="30">
        <f>IF(A1329="","",CHOOSE(WEEKDAY(A1329,2),"Segunda","Terça","Quarta","Quinta","Sexta","Sábado","Domingo"))</f>
        <v/>
      </c>
      <c r="Q1329" s="30">
        <f>IF(B1329="","",IF(B1329&lt;TIME(12,0,0),"Manhã",IF(B1329&lt;TIME(18,0,0),"Tarde","Noite")))</f>
        <v/>
      </c>
      <c r="R1329" s="46">
        <f>IF(AND(H1329="Realizado",L1329&lt;&gt;"",A1329&lt;=Config!$B$9),L1329/60,0)</f>
        <v>0</v>
      </c>
      <c r="S1329" s="45">
        <f>IF(G1329="","",IFERROR(INDEX(Config!$K$5:$K$16,MATCH(G1329,Config!$J$5:$J$16,0)),""))</f>
        <v/>
      </c>
      <c r="T1329" s="31">
        <f>IF(OR(G1329="",F1329=""),"",IFERROR(INDEX(Config!$M$5:$R$16,MATCH(G1329,Config!$J$5:$J$16,0),MATCH(F1329,Config!$H$5:$H$10,0)),""))</f>
        <v/>
      </c>
      <c r="U1329" s="47">
        <f>IF(AND(H1329="Realizado",L1329&lt;&gt;""),L1329/60,0)</f>
        <v>0</v>
      </c>
      <c r="V1329" s="47">
        <f>IF(AND(H1329="Realizado",OR(L1329="",M1329="")),1,0)</f>
        <v>0</v>
      </c>
    </row>
    <row r="1330">
      <c r="A1330" s="43" t="n"/>
      <c r="B1330" s="44" t="n"/>
      <c r="C1330" s="38" t="n"/>
      <c r="D1330" s="38" t="n"/>
      <c r="E1330" s="37" t="n"/>
      <c r="F1330" s="38" t="n"/>
      <c r="G1330" s="38" t="n"/>
      <c r="H1330" s="38" t="n"/>
      <c r="I1330" s="38" t="n"/>
      <c r="J1330" s="38" t="n"/>
      <c r="K1330" s="37" t="n"/>
      <c r="L1330" s="39" t="n"/>
      <c r="M1330" s="40" t="n"/>
      <c r="N1330" s="30">
        <f>IF(A1330="","",MONTH(A1330))</f>
        <v/>
      </c>
      <c r="O1330" s="30">
        <f>IF(A1330="","",YEAR(A1330))</f>
        <v/>
      </c>
      <c r="P1330" s="30">
        <f>IF(A1330="","",CHOOSE(WEEKDAY(A1330,2),"Segunda","Terça","Quarta","Quinta","Sexta","Sábado","Domingo"))</f>
        <v/>
      </c>
      <c r="Q1330" s="30">
        <f>IF(B1330="","",IF(B1330&lt;TIME(12,0,0),"Manhã",IF(B1330&lt;TIME(18,0,0),"Tarde","Noite")))</f>
        <v/>
      </c>
      <c r="R1330" s="46">
        <f>IF(AND(H1330="Realizado",L1330&lt;&gt;"",A1330&lt;=Config!$B$9),L1330/60,0)</f>
        <v>0</v>
      </c>
      <c r="S1330" s="45">
        <f>IF(G1330="","",IFERROR(INDEX(Config!$K$5:$K$16,MATCH(G1330,Config!$J$5:$J$16,0)),""))</f>
        <v/>
      </c>
      <c r="T1330" s="31">
        <f>IF(OR(G1330="",F1330=""),"",IFERROR(INDEX(Config!$M$5:$R$16,MATCH(G1330,Config!$J$5:$J$16,0),MATCH(F1330,Config!$H$5:$H$10,0)),""))</f>
        <v/>
      </c>
      <c r="U1330" s="47">
        <f>IF(AND(H1330="Realizado",L1330&lt;&gt;""),L1330/60,0)</f>
        <v>0</v>
      </c>
      <c r="V1330" s="47">
        <f>IF(AND(H1330="Realizado",OR(L1330="",M1330="")),1,0)</f>
        <v>0</v>
      </c>
    </row>
    <row r="1331">
      <c r="A1331" s="43" t="n"/>
      <c r="B1331" s="44" t="n"/>
      <c r="C1331" s="38" t="n"/>
      <c r="D1331" s="38" t="n"/>
      <c r="E1331" s="37" t="n"/>
      <c r="F1331" s="38" t="n"/>
      <c r="G1331" s="38" t="n"/>
      <c r="H1331" s="38" t="n"/>
      <c r="I1331" s="38" t="n"/>
      <c r="J1331" s="38" t="n"/>
      <c r="K1331" s="37" t="n"/>
      <c r="L1331" s="39" t="n"/>
      <c r="M1331" s="40" t="n"/>
      <c r="N1331" s="30">
        <f>IF(A1331="","",MONTH(A1331))</f>
        <v/>
      </c>
      <c r="O1331" s="30">
        <f>IF(A1331="","",YEAR(A1331))</f>
        <v/>
      </c>
      <c r="P1331" s="30">
        <f>IF(A1331="","",CHOOSE(WEEKDAY(A1331,2),"Segunda","Terça","Quarta","Quinta","Sexta","Sábado","Domingo"))</f>
        <v/>
      </c>
      <c r="Q1331" s="30">
        <f>IF(B1331="","",IF(B1331&lt;TIME(12,0,0),"Manhã",IF(B1331&lt;TIME(18,0,0),"Tarde","Noite")))</f>
        <v/>
      </c>
      <c r="R1331" s="46">
        <f>IF(AND(H1331="Realizado",L1331&lt;&gt;"",A1331&lt;=Config!$B$9),L1331/60,0)</f>
        <v>0</v>
      </c>
      <c r="S1331" s="45">
        <f>IF(G1331="","",IFERROR(INDEX(Config!$K$5:$K$16,MATCH(G1331,Config!$J$5:$J$16,0)),""))</f>
        <v/>
      </c>
      <c r="T1331" s="31">
        <f>IF(OR(G1331="",F1331=""),"",IFERROR(INDEX(Config!$M$5:$R$16,MATCH(G1331,Config!$J$5:$J$16,0),MATCH(F1331,Config!$H$5:$H$10,0)),""))</f>
        <v/>
      </c>
      <c r="U1331" s="47">
        <f>IF(AND(H1331="Realizado",L1331&lt;&gt;""),L1331/60,0)</f>
        <v>0</v>
      </c>
      <c r="V1331" s="47">
        <f>IF(AND(H1331="Realizado",OR(L1331="",M1331="")),1,0)</f>
        <v>0</v>
      </c>
    </row>
    <row r="1332">
      <c r="A1332" s="43" t="n"/>
      <c r="B1332" s="44" t="n"/>
      <c r="C1332" s="38" t="n"/>
      <c r="D1332" s="38" t="n"/>
      <c r="E1332" s="37" t="n"/>
      <c r="F1332" s="38" t="n"/>
      <c r="G1332" s="38" t="n"/>
      <c r="H1332" s="38" t="n"/>
      <c r="I1332" s="38" t="n"/>
      <c r="J1332" s="38" t="n"/>
      <c r="K1332" s="37" t="n"/>
      <c r="L1332" s="39" t="n"/>
      <c r="M1332" s="40" t="n"/>
      <c r="N1332" s="30">
        <f>IF(A1332="","",MONTH(A1332))</f>
        <v/>
      </c>
      <c r="O1332" s="30">
        <f>IF(A1332="","",YEAR(A1332))</f>
        <v/>
      </c>
      <c r="P1332" s="30">
        <f>IF(A1332="","",CHOOSE(WEEKDAY(A1332,2),"Segunda","Terça","Quarta","Quinta","Sexta","Sábado","Domingo"))</f>
        <v/>
      </c>
      <c r="Q1332" s="30">
        <f>IF(B1332="","",IF(B1332&lt;TIME(12,0,0),"Manhã",IF(B1332&lt;TIME(18,0,0),"Tarde","Noite")))</f>
        <v/>
      </c>
      <c r="R1332" s="46">
        <f>IF(AND(H1332="Realizado",L1332&lt;&gt;"",A1332&lt;=Config!$B$9),L1332/60,0)</f>
        <v>0</v>
      </c>
      <c r="S1332" s="45">
        <f>IF(G1332="","",IFERROR(INDEX(Config!$K$5:$K$16,MATCH(G1332,Config!$J$5:$J$16,0)),""))</f>
        <v/>
      </c>
      <c r="T1332" s="31">
        <f>IF(OR(G1332="",F1332=""),"",IFERROR(INDEX(Config!$M$5:$R$16,MATCH(G1332,Config!$J$5:$J$16,0),MATCH(F1332,Config!$H$5:$H$10,0)),""))</f>
        <v/>
      </c>
      <c r="U1332" s="47">
        <f>IF(AND(H1332="Realizado",L1332&lt;&gt;""),L1332/60,0)</f>
        <v>0</v>
      </c>
      <c r="V1332" s="47">
        <f>IF(AND(H1332="Realizado",OR(L1332="",M1332="")),1,0)</f>
        <v>0</v>
      </c>
    </row>
    <row r="1333">
      <c r="A1333" s="43" t="n"/>
      <c r="B1333" s="44" t="n"/>
      <c r="C1333" s="38" t="n"/>
      <c r="D1333" s="38" t="n"/>
      <c r="E1333" s="37" t="n"/>
      <c r="F1333" s="38" t="n"/>
      <c r="G1333" s="38" t="n"/>
      <c r="H1333" s="38" t="n"/>
      <c r="I1333" s="38" t="n"/>
      <c r="J1333" s="38" t="n"/>
      <c r="K1333" s="37" t="n"/>
      <c r="L1333" s="39" t="n"/>
      <c r="M1333" s="40" t="n"/>
      <c r="N1333" s="30">
        <f>IF(A1333="","",MONTH(A1333))</f>
        <v/>
      </c>
      <c r="O1333" s="30">
        <f>IF(A1333="","",YEAR(A1333))</f>
        <v/>
      </c>
      <c r="P1333" s="30">
        <f>IF(A1333="","",CHOOSE(WEEKDAY(A1333,2),"Segunda","Terça","Quarta","Quinta","Sexta","Sábado","Domingo"))</f>
        <v/>
      </c>
      <c r="Q1333" s="30">
        <f>IF(B1333="","",IF(B1333&lt;TIME(12,0,0),"Manhã",IF(B1333&lt;TIME(18,0,0),"Tarde","Noite")))</f>
        <v/>
      </c>
      <c r="R1333" s="46">
        <f>IF(AND(H1333="Realizado",L1333&lt;&gt;"",A1333&lt;=Config!$B$9),L1333/60,0)</f>
        <v>0</v>
      </c>
      <c r="S1333" s="45">
        <f>IF(G1333="","",IFERROR(INDEX(Config!$K$5:$K$16,MATCH(G1333,Config!$J$5:$J$16,0)),""))</f>
        <v/>
      </c>
      <c r="T1333" s="31">
        <f>IF(OR(G1333="",F1333=""),"",IFERROR(INDEX(Config!$M$5:$R$16,MATCH(G1333,Config!$J$5:$J$16,0),MATCH(F1333,Config!$H$5:$H$10,0)),""))</f>
        <v/>
      </c>
      <c r="U1333" s="47">
        <f>IF(AND(H1333="Realizado",L1333&lt;&gt;""),L1333/60,0)</f>
        <v>0</v>
      </c>
      <c r="V1333" s="47">
        <f>IF(AND(H1333="Realizado",OR(L1333="",M1333="")),1,0)</f>
        <v>0</v>
      </c>
    </row>
    <row r="1334">
      <c r="A1334" s="43" t="n"/>
      <c r="B1334" s="44" t="n"/>
      <c r="C1334" s="38" t="n"/>
      <c r="D1334" s="38" t="n"/>
      <c r="E1334" s="37" t="n"/>
      <c r="F1334" s="38" t="n"/>
      <c r="G1334" s="38" t="n"/>
      <c r="H1334" s="38" t="n"/>
      <c r="I1334" s="38" t="n"/>
      <c r="J1334" s="38" t="n"/>
      <c r="K1334" s="37" t="n"/>
      <c r="L1334" s="39" t="n"/>
      <c r="M1334" s="40" t="n"/>
      <c r="N1334" s="30">
        <f>IF(A1334="","",MONTH(A1334))</f>
        <v/>
      </c>
      <c r="O1334" s="30">
        <f>IF(A1334="","",YEAR(A1334))</f>
        <v/>
      </c>
      <c r="P1334" s="30">
        <f>IF(A1334="","",CHOOSE(WEEKDAY(A1334,2),"Segunda","Terça","Quarta","Quinta","Sexta","Sábado","Domingo"))</f>
        <v/>
      </c>
      <c r="Q1334" s="30">
        <f>IF(B1334="","",IF(B1334&lt;TIME(12,0,0),"Manhã",IF(B1334&lt;TIME(18,0,0),"Tarde","Noite")))</f>
        <v/>
      </c>
      <c r="R1334" s="46">
        <f>IF(AND(H1334="Realizado",L1334&lt;&gt;"",A1334&lt;=Config!$B$9),L1334/60,0)</f>
        <v>0</v>
      </c>
      <c r="S1334" s="45">
        <f>IF(G1334="","",IFERROR(INDEX(Config!$K$5:$K$16,MATCH(G1334,Config!$J$5:$J$16,0)),""))</f>
        <v/>
      </c>
      <c r="T1334" s="31">
        <f>IF(OR(G1334="",F1334=""),"",IFERROR(INDEX(Config!$M$5:$R$16,MATCH(G1334,Config!$J$5:$J$16,0),MATCH(F1334,Config!$H$5:$H$10,0)),""))</f>
        <v/>
      </c>
      <c r="U1334" s="47">
        <f>IF(AND(H1334="Realizado",L1334&lt;&gt;""),L1334/60,0)</f>
        <v>0</v>
      </c>
      <c r="V1334" s="47">
        <f>IF(AND(H1334="Realizado",OR(L1334="",M1334="")),1,0)</f>
        <v>0</v>
      </c>
    </row>
    <row r="1335">
      <c r="A1335" s="43" t="n"/>
      <c r="B1335" s="44" t="n"/>
      <c r="C1335" s="38" t="n"/>
      <c r="D1335" s="38" t="n"/>
      <c r="E1335" s="37" t="n"/>
      <c r="F1335" s="38" t="n"/>
      <c r="G1335" s="38" t="n"/>
      <c r="H1335" s="38" t="n"/>
      <c r="I1335" s="38" t="n"/>
      <c r="J1335" s="38" t="n"/>
      <c r="K1335" s="37" t="n"/>
      <c r="L1335" s="39" t="n"/>
      <c r="M1335" s="40" t="n"/>
      <c r="N1335" s="30">
        <f>IF(A1335="","",MONTH(A1335))</f>
        <v/>
      </c>
      <c r="O1335" s="30">
        <f>IF(A1335="","",YEAR(A1335))</f>
        <v/>
      </c>
      <c r="P1335" s="30">
        <f>IF(A1335="","",CHOOSE(WEEKDAY(A1335,2),"Segunda","Terça","Quarta","Quinta","Sexta","Sábado","Domingo"))</f>
        <v/>
      </c>
      <c r="Q1335" s="30">
        <f>IF(B1335="","",IF(B1335&lt;TIME(12,0,0),"Manhã",IF(B1335&lt;TIME(18,0,0),"Tarde","Noite")))</f>
        <v/>
      </c>
      <c r="R1335" s="46">
        <f>IF(AND(H1335="Realizado",L1335&lt;&gt;"",A1335&lt;=Config!$B$9),L1335/60,0)</f>
        <v>0</v>
      </c>
      <c r="S1335" s="45">
        <f>IF(G1335="","",IFERROR(INDEX(Config!$K$5:$K$16,MATCH(G1335,Config!$J$5:$J$16,0)),""))</f>
        <v/>
      </c>
      <c r="T1335" s="31">
        <f>IF(OR(G1335="",F1335=""),"",IFERROR(INDEX(Config!$M$5:$R$16,MATCH(G1335,Config!$J$5:$J$16,0),MATCH(F1335,Config!$H$5:$H$10,0)),""))</f>
        <v/>
      </c>
      <c r="U1335" s="47">
        <f>IF(AND(H1335="Realizado",L1335&lt;&gt;""),L1335/60,0)</f>
        <v>0</v>
      </c>
      <c r="V1335" s="47">
        <f>IF(AND(H1335="Realizado",OR(L1335="",M1335="")),1,0)</f>
        <v>0</v>
      </c>
    </row>
    <row r="1336">
      <c r="A1336" s="43" t="n"/>
      <c r="B1336" s="44" t="n"/>
      <c r="C1336" s="38" t="n"/>
      <c r="D1336" s="38" t="n"/>
      <c r="E1336" s="37" t="n"/>
      <c r="F1336" s="38" t="n"/>
      <c r="G1336" s="38" t="n"/>
      <c r="H1336" s="38" t="n"/>
      <c r="I1336" s="38" t="n"/>
      <c r="J1336" s="38" t="n"/>
      <c r="K1336" s="37" t="n"/>
      <c r="L1336" s="39" t="n"/>
      <c r="M1336" s="40" t="n"/>
      <c r="N1336" s="30">
        <f>IF(A1336="","",MONTH(A1336))</f>
        <v/>
      </c>
      <c r="O1336" s="30">
        <f>IF(A1336="","",YEAR(A1336))</f>
        <v/>
      </c>
      <c r="P1336" s="30">
        <f>IF(A1336="","",CHOOSE(WEEKDAY(A1336,2),"Segunda","Terça","Quarta","Quinta","Sexta","Sábado","Domingo"))</f>
        <v/>
      </c>
      <c r="Q1336" s="30">
        <f>IF(B1336="","",IF(B1336&lt;TIME(12,0,0),"Manhã",IF(B1336&lt;TIME(18,0,0),"Tarde","Noite")))</f>
        <v/>
      </c>
      <c r="R1336" s="46">
        <f>IF(AND(H1336="Realizado",L1336&lt;&gt;"",A1336&lt;=Config!$B$9),L1336/60,0)</f>
        <v>0</v>
      </c>
      <c r="S1336" s="45">
        <f>IF(G1336="","",IFERROR(INDEX(Config!$K$5:$K$16,MATCH(G1336,Config!$J$5:$J$16,0)),""))</f>
        <v/>
      </c>
      <c r="T1336" s="31">
        <f>IF(OR(G1336="",F1336=""),"",IFERROR(INDEX(Config!$M$5:$R$16,MATCH(G1336,Config!$J$5:$J$16,0),MATCH(F1336,Config!$H$5:$H$10,0)),""))</f>
        <v/>
      </c>
      <c r="U1336" s="47">
        <f>IF(AND(H1336="Realizado",L1336&lt;&gt;""),L1336/60,0)</f>
        <v>0</v>
      </c>
      <c r="V1336" s="47">
        <f>IF(AND(H1336="Realizado",OR(L1336="",M1336="")),1,0)</f>
        <v>0</v>
      </c>
    </row>
    <row r="1337">
      <c r="A1337" s="43" t="n"/>
      <c r="B1337" s="44" t="n"/>
      <c r="C1337" s="38" t="n"/>
      <c r="D1337" s="38" t="n"/>
      <c r="E1337" s="37" t="n"/>
      <c r="F1337" s="38" t="n"/>
      <c r="G1337" s="38" t="n"/>
      <c r="H1337" s="38" t="n"/>
      <c r="I1337" s="38" t="n"/>
      <c r="J1337" s="38" t="n"/>
      <c r="K1337" s="37" t="n"/>
      <c r="L1337" s="39" t="n"/>
      <c r="M1337" s="40" t="n"/>
      <c r="N1337" s="30">
        <f>IF(A1337="","",MONTH(A1337))</f>
        <v/>
      </c>
      <c r="O1337" s="30">
        <f>IF(A1337="","",YEAR(A1337))</f>
        <v/>
      </c>
      <c r="P1337" s="30">
        <f>IF(A1337="","",CHOOSE(WEEKDAY(A1337,2),"Segunda","Terça","Quarta","Quinta","Sexta","Sábado","Domingo"))</f>
        <v/>
      </c>
      <c r="Q1337" s="30">
        <f>IF(B1337="","",IF(B1337&lt;TIME(12,0,0),"Manhã",IF(B1337&lt;TIME(18,0,0),"Tarde","Noite")))</f>
        <v/>
      </c>
      <c r="R1337" s="46">
        <f>IF(AND(H1337="Realizado",L1337&lt;&gt;"",A1337&lt;=Config!$B$9),L1337/60,0)</f>
        <v>0</v>
      </c>
      <c r="S1337" s="45">
        <f>IF(G1337="","",IFERROR(INDEX(Config!$K$5:$K$16,MATCH(G1337,Config!$J$5:$J$16,0)),""))</f>
        <v/>
      </c>
      <c r="T1337" s="31">
        <f>IF(OR(G1337="",F1337=""),"",IFERROR(INDEX(Config!$M$5:$R$16,MATCH(G1337,Config!$J$5:$J$16,0),MATCH(F1337,Config!$H$5:$H$10,0)),""))</f>
        <v/>
      </c>
      <c r="U1337" s="47">
        <f>IF(AND(H1337="Realizado",L1337&lt;&gt;""),L1337/60,0)</f>
        <v>0</v>
      </c>
      <c r="V1337" s="47">
        <f>IF(AND(H1337="Realizado",OR(L1337="",M1337="")),1,0)</f>
        <v>0</v>
      </c>
    </row>
    <row r="1338">
      <c r="A1338" s="43" t="n"/>
      <c r="B1338" s="44" t="n"/>
      <c r="C1338" s="38" t="n"/>
      <c r="D1338" s="38" t="n"/>
      <c r="E1338" s="37" t="n"/>
      <c r="F1338" s="38" t="n"/>
      <c r="G1338" s="38" t="n"/>
      <c r="H1338" s="38" t="n"/>
      <c r="I1338" s="38" t="n"/>
      <c r="J1338" s="38" t="n"/>
      <c r="K1338" s="37" t="n"/>
      <c r="L1338" s="39" t="n"/>
      <c r="M1338" s="40" t="n"/>
      <c r="N1338" s="30">
        <f>IF(A1338="","",MONTH(A1338))</f>
        <v/>
      </c>
      <c r="O1338" s="30">
        <f>IF(A1338="","",YEAR(A1338))</f>
        <v/>
      </c>
      <c r="P1338" s="30">
        <f>IF(A1338="","",CHOOSE(WEEKDAY(A1338,2),"Segunda","Terça","Quarta","Quinta","Sexta","Sábado","Domingo"))</f>
        <v/>
      </c>
      <c r="Q1338" s="30">
        <f>IF(B1338="","",IF(B1338&lt;TIME(12,0,0),"Manhã",IF(B1338&lt;TIME(18,0,0),"Tarde","Noite")))</f>
        <v/>
      </c>
      <c r="R1338" s="46">
        <f>IF(AND(H1338="Realizado",L1338&lt;&gt;"",A1338&lt;=Config!$B$9),L1338/60,0)</f>
        <v>0</v>
      </c>
      <c r="S1338" s="45">
        <f>IF(G1338="","",IFERROR(INDEX(Config!$K$5:$K$16,MATCH(G1338,Config!$J$5:$J$16,0)),""))</f>
        <v/>
      </c>
      <c r="T1338" s="31">
        <f>IF(OR(G1338="",F1338=""),"",IFERROR(INDEX(Config!$M$5:$R$16,MATCH(G1338,Config!$J$5:$J$16,0),MATCH(F1338,Config!$H$5:$H$10,0)),""))</f>
        <v/>
      </c>
      <c r="U1338" s="47">
        <f>IF(AND(H1338="Realizado",L1338&lt;&gt;""),L1338/60,0)</f>
        <v>0</v>
      </c>
      <c r="V1338" s="47">
        <f>IF(AND(H1338="Realizado",OR(L1338="",M1338="")),1,0)</f>
        <v>0</v>
      </c>
    </row>
    <row r="1339">
      <c r="A1339" s="43" t="n"/>
      <c r="B1339" s="44" t="n"/>
      <c r="C1339" s="38" t="n"/>
      <c r="D1339" s="38" t="n"/>
      <c r="E1339" s="37" t="n"/>
      <c r="F1339" s="38" t="n"/>
      <c r="G1339" s="38" t="n"/>
      <c r="H1339" s="38" t="n"/>
      <c r="I1339" s="38" t="n"/>
      <c r="J1339" s="38" t="n"/>
      <c r="K1339" s="37" t="n"/>
      <c r="L1339" s="39" t="n"/>
      <c r="M1339" s="40" t="n"/>
      <c r="N1339" s="30">
        <f>IF(A1339="","",MONTH(A1339))</f>
        <v/>
      </c>
      <c r="O1339" s="30">
        <f>IF(A1339="","",YEAR(A1339))</f>
        <v/>
      </c>
      <c r="P1339" s="30">
        <f>IF(A1339="","",CHOOSE(WEEKDAY(A1339,2),"Segunda","Terça","Quarta","Quinta","Sexta","Sábado","Domingo"))</f>
        <v/>
      </c>
      <c r="Q1339" s="30">
        <f>IF(B1339="","",IF(B1339&lt;TIME(12,0,0),"Manhã",IF(B1339&lt;TIME(18,0,0),"Tarde","Noite")))</f>
        <v/>
      </c>
      <c r="R1339" s="46">
        <f>IF(AND(H1339="Realizado",L1339&lt;&gt;"",A1339&lt;=Config!$B$9),L1339/60,0)</f>
        <v>0</v>
      </c>
      <c r="S1339" s="45">
        <f>IF(G1339="","",IFERROR(INDEX(Config!$K$5:$K$16,MATCH(G1339,Config!$J$5:$J$16,0)),""))</f>
        <v/>
      </c>
      <c r="T1339" s="31">
        <f>IF(OR(G1339="",F1339=""),"",IFERROR(INDEX(Config!$M$5:$R$16,MATCH(G1339,Config!$J$5:$J$16,0),MATCH(F1339,Config!$H$5:$H$10,0)),""))</f>
        <v/>
      </c>
      <c r="U1339" s="47">
        <f>IF(AND(H1339="Realizado",L1339&lt;&gt;""),L1339/60,0)</f>
        <v>0</v>
      </c>
      <c r="V1339" s="47">
        <f>IF(AND(H1339="Realizado",OR(L1339="",M1339="")),1,0)</f>
        <v>0</v>
      </c>
    </row>
    <row r="1340">
      <c r="A1340" s="43" t="n"/>
      <c r="B1340" s="44" t="n"/>
      <c r="C1340" s="38" t="n"/>
      <c r="D1340" s="38" t="n"/>
      <c r="E1340" s="37" t="n"/>
      <c r="F1340" s="38" t="n"/>
      <c r="G1340" s="38" t="n"/>
      <c r="H1340" s="38" t="n"/>
      <c r="I1340" s="38" t="n"/>
      <c r="J1340" s="38" t="n"/>
      <c r="K1340" s="37" t="n"/>
      <c r="L1340" s="39" t="n"/>
      <c r="M1340" s="40" t="n"/>
      <c r="N1340" s="30">
        <f>IF(A1340="","",MONTH(A1340))</f>
        <v/>
      </c>
      <c r="O1340" s="30">
        <f>IF(A1340="","",YEAR(A1340))</f>
        <v/>
      </c>
      <c r="P1340" s="30">
        <f>IF(A1340="","",CHOOSE(WEEKDAY(A1340,2),"Segunda","Terça","Quarta","Quinta","Sexta","Sábado","Domingo"))</f>
        <v/>
      </c>
      <c r="Q1340" s="30">
        <f>IF(B1340="","",IF(B1340&lt;TIME(12,0,0),"Manhã",IF(B1340&lt;TIME(18,0,0),"Tarde","Noite")))</f>
        <v/>
      </c>
      <c r="R1340" s="46">
        <f>IF(AND(H1340="Realizado",L1340&lt;&gt;"",A1340&lt;=Config!$B$9),L1340/60,0)</f>
        <v>0</v>
      </c>
      <c r="S1340" s="45">
        <f>IF(G1340="","",IFERROR(INDEX(Config!$K$5:$K$16,MATCH(G1340,Config!$J$5:$J$16,0)),""))</f>
        <v/>
      </c>
      <c r="T1340" s="31">
        <f>IF(OR(G1340="",F1340=""),"",IFERROR(INDEX(Config!$M$5:$R$16,MATCH(G1340,Config!$J$5:$J$16,0),MATCH(F1340,Config!$H$5:$H$10,0)),""))</f>
        <v/>
      </c>
      <c r="U1340" s="47">
        <f>IF(AND(H1340="Realizado",L1340&lt;&gt;""),L1340/60,0)</f>
        <v>0</v>
      </c>
      <c r="V1340" s="47">
        <f>IF(AND(H1340="Realizado",OR(L1340="",M1340="")),1,0)</f>
        <v>0</v>
      </c>
    </row>
    <row r="1341">
      <c r="A1341" s="43" t="n"/>
      <c r="B1341" s="44" t="n"/>
      <c r="C1341" s="38" t="n"/>
      <c r="D1341" s="38" t="n"/>
      <c r="E1341" s="37" t="n"/>
      <c r="F1341" s="38" t="n"/>
      <c r="G1341" s="38" t="n"/>
      <c r="H1341" s="38" t="n"/>
      <c r="I1341" s="38" t="n"/>
      <c r="J1341" s="38" t="n"/>
      <c r="K1341" s="37" t="n"/>
      <c r="L1341" s="39" t="n"/>
      <c r="M1341" s="40" t="n"/>
      <c r="N1341" s="30">
        <f>IF(A1341="","",MONTH(A1341))</f>
        <v/>
      </c>
      <c r="O1341" s="30">
        <f>IF(A1341="","",YEAR(A1341))</f>
        <v/>
      </c>
      <c r="P1341" s="30">
        <f>IF(A1341="","",CHOOSE(WEEKDAY(A1341,2),"Segunda","Terça","Quarta","Quinta","Sexta","Sábado","Domingo"))</f>
        <v/>
      </c>
      <c r="Q1341" s="30">
        <f>IF(B1341="","",IF(B1341&lt;TIME(12,0,0),"Manhã",IF(B1341&lt;TIME(18,0,0),"Tarde","Noite")))</f>
        <v/>
      </c>
      <c r="R1341" s="46">
        <f>IF(AND(H1341="Realizado",L1341&lt;&gt;"",A1341&lt;=Config!$B$9),L1341/60,0)</f>
        <v>0</v>
      </c>
      <c r="S1341" s="45">
        <f>IF(G1341="","",IFERROR(INDEX(Config!$K$5:$K$16,MATCH(G1341,Config!$J$5:$J$16,0)),""))</f>
        <v/>
      </c>
      <c r="T1341" s="31">
        <f>IF(OR(G1341="",F1341=""),"",IFERROR(INDEX(Config!$M$5:$R$16,MATCH(G1341,Config!$J$5:$J$16,0),MATCH(F1341,Config!$H$5:$H$10,0)),""))</f>
        <v/>
      </c>
      <c r="U1341" s="47">
        <f>IF(AND(H1341="Realizado",L1341&lt;&gt;""),L1341/60,0)</f>
        <v>0</v>
      </c>
      <c r="V1341" s="47">
        <f>IF(AND(H1341="Realizado",OR(L1341="",M1341="")),1,0)</f>
        <v>0</v>
      </c>
    </row>
    <row r="1342">
      <c r="A1342" s="43" t="n"/>
      <c r="B1342" s="44" t="n"/>
      <c r="C1342" s="38" t="n"/>
      <c r="D1342" s="38" t="n"/>
      <c r="E1342" s="37" t="n"/>
      <c r="F1342" s="38" t="n"/>
      <c r="G1342" s="38" t="n"/>
      <c r="H1342" s="38" t="n"/>
      <c r="I1342" s="38" t="n"/>
      <c r="J1342" s="38" t="n"/>
      <c r="K1342" s="37" t="n"/>
      <c r="L1342" s="39" t="n"/>
      <c r="M1342" s="40" t="n"/>
      <c r="N1342" s="30">
        <f>IF(A1342="","",MONTH(A1342))</f>
        <v/>
      </c>
      <c r="O1342" s="30">
        <f>IF(A1342="","",YEAR(A1342))</f>
        <v/>
      </c>
      <c r="P1342" s="30">
        <f>IF(A1342="","",CHOOSE(WEEKDAY(A1342,2),"Segunda","Terça","Quarta","Quinta","Sexta","Sábado","Domingo"))</f>
        <v/>
      </c>
      <c r="Q1342" s="30">
        <f>IF(B1342="","",IF(B1342&lt;TIME(12,0,0),"Manhã",IF(B1342&lt;TIME(18,0,0),"Tarde","Noite")))</f>
        <v/>
      </c>
      <c r="R1342" s="46">
        <f>IF(AND(H1342="Realizado",L1342&lt;&gt;"",A1342&lt;=Config!$B$9),L1342/60,0)</f>
        <v>0</v>
      </c>
      <c r="S1342" s="45">
        <f>IF(G1342="","",IFERROR(INDEX(Config!$K$5:$K$16,MATCH(G1342,Config!$J$5:$J$16,0)),""))</f>
        <v/>
      </c>
      <c r="T1342" s="31">
        <f>IF(OR(G1342="",F1342=""),"",IFERROR(INDEX(Config!$M$5:$R$16,MATCH(G1342,Config!$J$5:$J$16,0),MATCH(F1342,Config!$H$5:$H$10,0)),""))</f>
        <v/>
      </c>
      <c r="U1342" s="47">
        <f>IF(AND(H1342="Realizado",L1342&lt;&gt;""),L1342/60,0)</f>
        <v>0</v>
      </c>
      <c r="V1342" s="47">
        <f>IF(AND(H1342="Realizado",OR(L1342="",M1342="")),1,0)</f>
        <v>0</v>
      </c>
    </row>
    <row r="1343">
      <c r="A1343" s="43" t="n"/>
      <c r="B1343" s="44" t="n"/>
      <c r="C1343" s="38" t="n"/>
      <c r="D1343" s="38" t="n"/>
      <c r="E1343" s="37" t="n"/>
      <c r="F1343" s="38" t="n"/>
      <c r="G1343" s="38" t="n"/>
      <c r="H1343" s="38" t="n"/>
      <c r="I1343" s="38" t="n"/>
      <c r="J1343" s="38" t="n"/>
      <c r="K1343" s="37" t="n"/>
      <c r="L1343" s="39" t="n"/>
      <c r="M1343" s="40" t="n"/>
      <c r="N1343" s="30">
        <f>IF(A1343="","",MONTH(A1343))</f>
        <v/>
      </c>
      <c r="O1343" s="30">
        <f>IF(A1343="","",YEAR(A1343))</f>
        <v/>
      </c>
      <c r="P1343" s="30">
        <f>IF(A1343="","",CHOOSE(WEEKDAY(A1343,2),"Segunda","Terça","Quarta","Quinta","Sexta","Sábado","Domingo"))</f>
        <v/>
      </c>
      <c r="Q1343" s="30">
        <f>IF(B1343="","",IF(B1343&lt;TIME(12,0,0),"Manhã",IF(B1343&lt;TIME(18,0,0),"Tarde","Noite")))</f>
        <v/>
      </c>
      <c r="R1343" s="46">
        <f>IF(AND(H1343="Realizado",L1343&lt;&gt;"",A1343&lt;=Config!$B$9),L1343/60,0)</f>
        <v>0</v>
      </c>
      <c r="S1343" s="45">
        <f>IF(G1343="","",IFERROR(INDEX(Config!$K$5:$K$16,MATCH(G1343,Config!$J$5:$J$16,0)),""))</f>
        <v/>
      </c>
      <c r="T1343" s="31">
        <f>IF(OR(G1343="",F1343=""),"",IFERROR(INDEX(Config!$M$5:$R$16,MATCH(G1343,Config!$J$5:$J$16,0),MATCH(F1343,Config!$H$5:$H$10,0)),""))</f>
        <v/>
      </c>
      <c r="U1343" s="47">
        <f>IF(AND(H1343="Realizado",L1343&lt;&gt;""),L1343/60,0)</f>
        <v>0</v>
      </c>
      <c r="V1343" s="47">
        <f>IF(AND(H1343="Realizado",OR(L1343="",M1343="")),1,0)</f>
        <v>0</v>
      </c>
    </row>
    <row r="1344">
      <c r="A1344" s="43" t="n"/>
      <c r="B1344" s="44" t="n"/>
      <c r="C1344" s="38" t="n"/>
      <c r="D1344" s="38" t="n"/>
      <c r="E1344" s="37" t="n"/>
      <c r="F1344" s="38" t="n"/>
      <c r="G1344" s="38" t="n"/>
      <c r="H1344" s="38" t="n"/>
      <c r="I1344" s="38" t="n"/>
      <c r="J1344" s="38" t="n"/>
      <c r="K1344" s="37" t="n"/>
      <c r="L1344" s="39" t="n"/>
      <c r="M1344" s="40" t="n"/>
      <c r="N1344" s="30">
        <f>IF(A1344="","",MONTH(A1344))</f>
        <v/>
      </c>
      <c r="O1344" s="30">
        <f>IF(A1344="","",YEAR(A1344))</f>
        <v/>
      </c>
      <c r="P1344" s="30">
        <f>IF(A1344="","",CHOOSE(WEEKDAY(A1344,2),"Segunda","Terça","Quarta","Quinta","Sexta","Sábado","Domingo"))</f>
        <v/>
      </c>
      <c r="Q1344" s="30">
        <f>IF(B1344="","",IF(B1344&lt;TIME(12,0,0),"Manhã",IF(B1344&lt;TIME(18,0,0),"Tarde","Noite")))</f>
        <v/>
      </c>
      <c r="R1344" s="46">
        <f>IF(AND(H1344="Realizado",L1344&lt;&gt;"",A1344&lt;=Config!$B$9),L1344/60,0)</f>
        <v>0</v>
      </c>
      <c r="S1344" s="45">
        <f>IF(G1344="","",IFERROR(INDEX(Config!$K$5:$K$16,MATCH(G1344,Config!$J$5:$J$16,0)),""))</f>
        <v/>
      </c>
      <c r="T1344" s="31">
        <f>IF(OR(G1344="",F1344=""),"",IFERROR(INDEX(Config!$M$5:$R$16,MATCH(G1344,Config!$J$5:$J$16,0),MATCH(F1344,Config!$H$5:$H$10,0)),""))</f>
        <v/>
      </c>
      <c r="U1344" s="47">
        <f>IF(AND(H1344="Realizado",L1344&lt;&gt;""),L1344/60,0)</f>
        <v>0</v>
      </c>
      <c r="V1344" s="47">
        <f>IF(AND(H1344="Realizado",OR(L1344="",M1344="")),1,0)</f>
        <v>0</v>
      </c>
    </row>
    <row r="1345">
      <c r="A1345" s="43" t="n"/>
      <c r="B1345" s="44" t="n"/>
      <c r="C1345" s="38" t="n"/>
      <c r="D1345" s="38" t="n"/>
      <c r="E1345" s="37" t="n"/>
      <c r="F1345" s="38" t="n"/>
      <c r="G1345" s="38" t="n"/>
      <c r="H1345" s="38" t="n"/>
      <c r="I1345" s="38" t="n"/>
      <c r="J1345" s="38" t="n"/>
      <c r="K1345" s="37" t="n"/>
      <c r="L1345" s="39" t="n"/>
      <c r="M1345" s="40" t="n"/>
      <c r="N1345" s="30">
        <f>IF(A1345="","",MONTH(A1345))</f>
        <v/>
      </c>
      <c r="O1345" s="30">
        <f>IF(A1345="","",YEAR(A1345))</f>
        <v/>
      </c>
      <c r="P1345" s="30">
        <f>IF(A1345="","",CHOOSE(WEEKDAY(A1345,2),"Segunda","Terça","Quarta","Quinta","Sexta","Sábado","Domingo"))</f>
        <v/>
      </c>
      <c r="Q1345" s="30">
        <f>IF(B1345="","",IF(B1345&lt;TIME(12,0,0),"Manhã",IF(B1345&lt;TIME(18,0,0),"Tarde","Noite")))</f>
        <v/>
      </c>
      <c r="R1345" s="46">
        <f>IF(AND(H1345="Realizado",L1345&lt;&gt;"",A1345&lt;=Config!$B$9),L1345/60,0)</f>
        <v>0</v>
      </c>
      <c r="S1345" s="45">
        <f>IF(G1345="","",IFERROR(INDEX(Config!$K$5:$K$16,MATCH(G1345,Config!$J$5:$J$16,0)),""))</f>
        <v/>
      </c>
      <c r="T1345" s="31">
        <f>IF(OR(G1345="",F1345=""),"",IFERROR(INDEX(Config!$M$5:$R$16,MATCH(G1345,Config!$J$5:$J$16,0),MATCH(F1345,Config!$H$5:$H$10,0)),""))</f>
        <v/>
      </c>
      <c r="U1345" s="47">
        <f>IF(AND(H1345="Realizado",L1345&lt;&gt;""),L1345/60,0)</f>
        <v>0</v>
      </c>
      <c r="V1345" s="47">
        <f>IF(AND(H1345="Realizado",OR(L1345="",M1345="")),1,0)</f>
        <v>0</v>
      </c>
    </row>
    <row r="1346">
      <c r="A1346" s="43" t="n"/>
      <c r="B1346" s="44" t="n"/>
      <c r="C1346" s="38" t="n"/>
      <c r="D1346" s="38" t="n"/>
      <c r="E1346" s="37" t="n"/>
      <c r="F1346" s="38" t="n"/>
      <c r="G1346" s="38" t="n"/>
      <c r="H1346" s="38" t="n"/>
      <c r="I1346" s="38" t="n"/>
      <c r="J1346" s="38" t="n"/>
      <c r="K1346" s="37" t="n"/>
      <c r="L1346" s="39" t="n"/>
      <c r="M1346" s="40" t="n"/>
      <c r="N1346" s="30">
        <f>IF(A1346="","",MONTH(A1346))</f>
        <v/>
      </c>
      <c r="O1346" s="30">
        <f>IF(A1346="","",YEAR(A1346))</f>
        <v/>
      </c>
      <c r="P1346" s="30">
        <f>IF(A1346="","",CHOOSE(WEEKDAY(A1346,2),"Segunda","Terça","Quarta","Quinta","Sexta","Sábado","Domingo"))</f>
        <v/>
      </c>
      <c r="Q1346" s="30">
        <f>IF(B1346="","",IF(B1346&lt;TIME(12,0,0),"Manhã",IF(B1346&lt;TIME(18,0,0),"Tarde","Noite")))</f>
        <v/>
      </c>
      <c r="R1346" s="46">
        <f>IF(AND(H1346="Realizado",L1346&lt;&gt;"",A1346&lt;=Config!$B$9),L1346/60,0)</f>
        <v>0</v>
      </c>
      <c r="S1346" s="45">
        <f>IF(G1346="","",IFERROR(INDEX(Config!$K$5:$K$16,MATCH(G1346,Config!$J$5:$J$16,0)),""))</f>
        <v/>
      </c>
      <c r="T1346" s="31">
        <f>IF(OR(G1346="",F1346=""),"",IFERROR(INDEX(Config!$M$5:$R$16,MATCH(G1346,Config!$J$5:$J$16,0),MATCH(F1346,Config!$H$5:$H$10,0)),""))</f>
        <v/>
      </c>
      <c r="U1346" s="47">
        <f>IF(AND(H1346="Realizado",L1346&lt;&gt;""),L1346/60,0)</f>
        <v>0</v>
      </c>
      <c r="V1346" s="47">
        <f>IF(AND(H1346="Realizado",OR(L1346="",M1346="")),1,0)</f>
        <v>0</v>
      </c>
    </row>
    <row r="1347">
      <c r="A1347" s="43" t="n"/>
      <c r="B1347" s="44" t="n"/>
      <c r="C1347" s="38" t="n"/>
      <c r="D1347" s="38" t="n"/>
      <c r="E1347" s="37" t="n"/>
      <c r="F1347" s="38" t="n"/>
      <c r="G1347" s="38" t="n"/>
      <c r="H1347" s="38" t="n"/>
      <c r="I1347" s="38" t="n"/>
      <c r="J1347" s="38" t="n"/>
      <c r="K1347" s="37" t="n"/>
      <c r="L1347" s="39" t="n"/>
      <c r="M1347" s="40" t="n"/>
      <c r="N1347" s="30">
        <f>IF(A1347="","",MONTH(A1347))</f>
        <v/>
      </c>
      <c r="O1347" s="30">
        <f>IF(A1347="","",YEAR(A1347))</f>
        <v/>
      </c>
      <c r="P1347" s="30">
        <f>IF(A1347="","",CHOOSE(WEEKDAY(A1347,2),"Segunda","Terça","Quarta","Quinta","Sexta","Sábado","Domingo"))</f>
        <v/>
      </c>
      <c r="Q1347" s="30">
        <f>IF(B1347="","",IF(B1347&lt;TIME(12,0,0),"Manhã",IF(B1347&lt;TIME(18,0,0),"Tarde","Noite")))</f>
        <v/>
      </c>
      <c r="R1347" s="46">
        <f>IF(AND(H1347="Realizado",L1347&lt;&gt;"",A1347&lt;=Config!$B$9),L1347/60,0)</f>
        <v>0</v>
      </c>
      <c r="S1347" s="45">
        <f>IF(G1347="","",IFERROR(INDEX(Config!$K$5:$K$16,MATCH(G1347,Config!$J$5:$J$16,0)),""))</f>
        <v/>
      </c>
      <c r="T1347" s="31">
        <f>IF(OR(G1347="",F1347=""),"",IFERROR(INDEX(Config!$M$5:$R$16,MATCH(G1347,Config!$J$5:$J$16,0),MATCH(F1347,Config!$H$5:$H$10,0)),""))</f>
        <v/>
      </c>
      <c r="U1347" s="47">
        <f>IF(AND(H1347="Realizado",L1347&lt;&gt;""),L1347/60,0)</f>
        <v>0</v>
      </c>
      <c r="V1347" s="47">
        <f>IF(AND(H1347="Realizado",OR(L1347="",M1347="")),1,0)</f>
        <v>0</v>
      </c>
    </row>
    <row r="1348">
      <c r="A1348" s="43" t="n"/>
      <c r="B1348" s="44" t="n"/>
      <c r="C1348" s="38" t="n"/>
      <c r="D1348" s="38" t="n"/>
      <c r="E1348" s="37" t="n"/>
      <c r="F1348" s="38" t="n"/>
      <c r="G1348" s="38" t="n"/>
      <c r="H1348" s="38" t="n"/>
      <c r="I1348" s="38" t="n"/>
      <c r="J1348" s="38" t="n"/>
      <c r="K1348" s="37" t="n"/>
      <c r="L1348" s="39" t="n"/>
      <c r="M1348" s="40" t="n"/>
      <c r="N1348" s="30">
        <f>IF(A1348="","",MONTH(A1348))</f>
        <v/>
      </c>
      <c r="O1348" s="30">
        <f>IF(A1348="","",YEAR(A1348))</f>
        <v/>
      </c>
      <c r="P1348" s="30">
        <f>IF(A1348="","",CHOOSE(WEEKDAY(A1348,2),"Segunda","Terça","Quarta","Quinta","Sexta","Sábado","Domingo"))</f>
        <v/>
      </c>
      <c r="Q1348" s="30">
        <f>IF(B1348="","",IF(B1348&lt;TIME(12,0,0),"Manhã",IF(B1348&lt;TIME(18,0,0),"Tarde","Noite")))</f>
        <v/>
      </c>
      <c r="R1348" s="46">
        <f>IF(AND(H1348="Realizado",L1348&lt;&gt;"",A1348&lt;=Config!$B$9),L1348/60,0)</f>
        <v>0</v>
      </c>
      <c r="S1348" s="45">
        <f>IF(G1348="","",IFERROR(INDEX(Config!$K$5:$K$16,MATCH(G1348,Config!$J$5:$J$16,0)),""))</f>
        <v/>
      </c>
      <c r="T1348" s="31">
        <f>IF(OR(G1348="",F1348=""),"",IFERROR(INDEX(Config!$M$5:$R$16,MATCH(G1348,Config!$J$5:$J$16,0),MATCH(F1348,Config!$H$5:$H$10,0)),""))</f>
        <v/>
      </c>
      <c r="U1348" s="47">
        <f>IF(AND(H1348="Realizado",L1348&lt;&gt;""),L1348/60,0)</f>
        <v>0</v>
      </c>
      <c r="V1348" s="47">
        <f>IF(AND(H1348="Realizado",OR(L1348="",M1348="")),1,0)</f>
        <v>0</v>
      </c>
    </row>
    <row r="1349">
      <c r="A1349" s="43" t="n"/>
      <c r="B1349" s="44" t="n"/>
      <c r="C1349" s="38" t="n"/>
      <c r="D1349" s="38" t="n"/>
      <c r="E1349" s="37" t="n"/>
      <c r="F1349" s="38" t="n"/>
      <c r="G1349" s="38" t="n"/>
      <c r="H1349" s="38" t="n"/>
      <c r="I1349" s="38" t="n"/>
      <c r="J1349" s="38" t="n"/>
      <c r="K1349" s="37" t="n"/>
      <c r="L1349" s="39" t="n"/>
      <c r="M1349" s="40" t="n"/>
      <c r="N1349" s="30">
        <f>IF(A1349="","",MONTH(A1349))</f>
        <v/>
      </c>
      <c r="O1349" s="30">
        <f>IF(A1349="","",YEAR(A1349))</f>
        <v/>
      </c>
      <c r="P1349" s="30">
        <f>IF(A1349="","",CHOOSE(WEEKDAY(A1349,2),"Segunda","Terça","Quarta","Quinta","Sexta","Sábado","Domingo"))</f>
        <v/>
      </c>
      <c r="Q1349" s="30">
        <f>IF(B1349="","",IF(B1349&lt;TIME(12,0,0),"Manhã",IF(B1349&lt;TIME(18,0,0),"Tarde","Noite")))</f>
        <v/>
      </c>
      <c r="R1349" s="46">
        <f>IF(AND(H1349="Realizado",L1349&lt;&gt;"",A1349&lt;=Config!$B$9),L1349/60,0)</f>
        <v>0</v>
      </c>
      <c r="S1349" s="45">
        <f>IF(G1349="","",IFERROR(INDEX(Config!$K$5:$K$16,MATCH(G1349,Config!$J$5:$J$16,0)),""))</f>
        <v/>
      </c>
      <c r="T1349" s="31">
        <f>IF(OR(G1349="",F1349=""),"",IFERROR(INDEX(Config!$M$5:$R$16,MATCH(G1349,Config!$J$5:$J$16,0),MATCH(F1349,Config!$H$5:$H$10,0)),""))</f>
        <v/>
      </c>
      <c r="U1349" s="47">
        <f>IF(AND(H1349="Realizado",L1349&lt;&gt;""),L1349/60,0)</f>
        <v>0</v>
      </c>
      <c r="V1349" s="47">
        <f>IF(AND(H1349="Realizado",OR(L1349="",M1349="")),1,0)</f>
        <v>0</v>
      </c>
    </row>
    <row r="1350">
      <c r="A1350" s="43" t="n"/>
      <c r="B1350" s="44" t="n"/>
      <c r="C1350" s="38" t="n"/>
      <c r="D1350" s="38" t="n"/>
      <c r="E1350" s="37" t="n"/>
      <c r="F1350" s="38" t="n"/>
      <c r="G1350" s="38" t="n"/>
      <c r="H1350" s="38" t="n"/>
      <c r="I1350" s="38" t="n"/>
      <c r="J1350" s="38" t="n"/>
      <c r="K1350" s="37" t="n"/>
      <c r="L1350" s="39" t="n"/>
      <c r="M1350" s="40" t="n"/>
      <c r="N1350" s="30">
        <f>IF(A1350="","",MONTH(A1350))</f>
        <v/>
      </c>
      <c r="O1350" s="30">
        <f>IF(A1350="","",YEAR(A1350))</f>
        <v/>
      </c>
      <c r="P1350" s="30">
        <f>IF(A1350="","",CHOOSE(WEEKDAY(A1350,2),"Segunda","Terça","Quarta","Quinta","Sexta","Sábado","Domingo"))</f>
        <v/>
      </c>
      <c r="Q1350" s="30">
        <f>IF(B1350="","",IF(B1350&lt;TIME(12,0,0),"Manhã",IF(B1350&lt;TIME(18,0,0),"Tarde","Noite")))</f>
        <v/>
      </c>
      <c r="R1350" s="46">
        <f>IF(AND(H1350="Realizado",L1350&lt;&gt;"",A1350&lt;=Config!$B$9),L1350/60,0)</f>
        <v>0</v>
      </c>
      <c r="S1350" s="45">
        <f>IF(G1350="","",IFERROR(INDEX(Config!$K$5:$K$16,MATCH(G1350,Config!$J$5:$J$16,0)),""))</f>
        <v/>
      </c>
      <c r="T1350" s="31">
        <f>IF(OR(G1350="",F1350=""),"",IFERROR(INDEX(Config!$M$5:$R$16,MATCH(G1350,Config!$J$5:$J$16,0),MATCH(F1350,Config!$H$5:$H$10,0)),""))</f>
        <v/>
      </c>
      <c r="U1350" s="47">
        <f>IF(AND(H1350="Realizado",L1350&lt;&gt;""),L1350/60,0)</f>
        <v>0</v>
      </c>
      <c r="V1350" s="47">
        <f>IF(AND(H1350="Realizado",OR(L1350="",M1350="")),1,0)</f>
        <v>0</v>
      </c>
    </row>
    <row r="1351">
      <c r="A1351" s="43" t="n"/>
      <c r="B1351" s="44" t="n"/>
      <c r="C1351" s="38" t="n"/>
      <c r="D1351" s="38" t="n"/>
      <c r="E1351" s="37" t="n"/>
      <c r="F1351" s="38" t="n"/>
      <c r="G1351" s="38" t="n"/>
      <c r="H1351" s="38" t="n"/>
      <c r="I1351" s="38" t="n"/>
      <c r="J1351" s="38" t="n"/>
      <c r="K1351" s="37" t="n"/>
      <c r="L1351" s="39" t="n"/>
      <c r="M1351" s="40" t="n"/>
      <c r="N1351" s="30">
        <f>IF(A1351="","",MONTH(A1351))</f>
        <v/>
      </c>
      <c r="O1351" s="30">
        <f>IF(A1351="","",YEAR(A1351))</f>
        <v/>
      </c>
      <c r="P1351" s="30">
        <f>IF(A1351="","",CHOOSE(WEEKDAY(A1351,2),"Segunda","Terça","Quarta","Quinta","Sexta","Sábado","Domingo"))</f>
        <v/>
      </c>
      <c r="Q1351" s="30">
        <f>IF(B1351="","",IF(B1351&lt;TIME(12,0,0),"Manhã",IF(B1351&lt;TIME(18,0,0),"Tarde","Noite")))</f>
        <v/>
      </c>
      <c r="R1351" s="46">
        <f>IF(AND(H1351="Realizado",L1351&lt;&gt;"",A1351&lt;=Config!$B$9),L1351/60,0)</f>
        <v>0</v>
      </c>
      <c r="S1351" s="45">
        <f>IF(G1351="","",IFERROR(INDEX(Config!$K$5:$K$16,MATCH(G1351,Config!$J$5:$J$16,0)),""))</f>
        <v/>
      </c>
      <c r="T1351" s="31">
        <f>IF(OR(G1351="",F1351=""),"",IFERROR(INDEX(Config!$M$5:$R$16,MATCH(G1351,Config!$J$5:$J$16,0),MATCH(F1351,Config!$H$5:$H$10,0)),""))</f>
        <v/>
      </c>
      <c r="U1351" s="47">
        <f>IF(AND(H1351="Realizado",L1351&lt;&gt;""),L1351/60,0)</f>
        <v>0</v>
      </c>
      <c r="V1351" s="47">
        <f>IF(AND(H1351="Realizado",OR(L1351="",M1351="")),1,0)</f>
        <v>0</v>
      </c>
    </row>
    <row r="1352">
      <c r="A1352" s="43" t="n"/>
      <c r="B1352" s="44" t="n"/>
      <c r="C1352" s="38" t="n"/>
      <c r="D1352" s="38" t="n"/>
      <c r="E1352" s="37" t="n"/>
      <c r="F1352" s="38" t="n"/>
      <c r="G1352" s="38" t="n"/>
      <c r="H1352" s="38" t="n"/>
      <c r="I1352" s="38" t="n"/>
      <c r="J1352" s="38" t="n"/>
      <c r="K1352" s="37" t="n"/>
      <c r="L1352" s="39" t="n"/>
      <c r="M1352" s="40" t="n"/>
      <c r="N1352" s="30">
        <f>IF(A1352="","",MONTH(A1352))</f>
        <v/>
      </c>
      <c r="O1352" s="30">
        <f>IF(A1352="","",YEAR(A1352))</f>
        <v/>
      </c>
      <c r="P1352" s="30">
        <f>IF(A1352="","",CHOOSE(WEEKDAY(A1352,2),"Segunda","Terça","Quarta","Quinta","Sexta","Sábado","Domingo"))</f>
        <v/>
      </c>
      <c r="Q1352" s="30">
        <f>IF(B1352="","",IF(B1352&lt;TIME(12,0,0),"Manhã",IF(B1352&lt;TIME(18,0,0),"Tarde","Noite")))</f>
        <v/>
      </c>
      <c r="R1352" s="46">
        <f>IF(AND(H1352="Realizado",L1352&lt;&gt;"",A1352&lt;=Config!$B$9),L1352/60,0)</f>
        <v>0</v>
      </c>
      <c r="S1352" s="45">
        <f>IF(G1352="","",IFERROR(INDEX(Config!$K$5:$K$16,MATCH(G1352,Config!$J$5:$J$16,0)),""))</f>
        <v/>
      </c>
      <c r="T1352" s="31">
        <f>IF(OR(G1352="",F1352=""),"",IFERROR(INDEX(Config!$M$5:$R$16,MATCH(G1352,Config!$J$5:$J$16,0),MATCH(F1352,Config!$H$5:$H$10,0)),""))</f>
        <v/>
      </c>
      <c r="U1352" s="47">
        <f>IF(AND(H1352="Realizado",L1352&lt;&gt;""),L1352/60,0)</f>
        <v>0</v>
      </c>
      <c r="V1352" s="47">
        <f>IF(AND(H1352="Realizado",OR(L1352="",M1352="")),1,0)</f>
        <v>0</v>
      </c>
    </row>
    <row r="1353">
      <c r="A1353" s="43" t="n"/>
      <c r="B1353" s="44" t="n"/>
      <c r="C1353" s="38" t="n"/>
      <c r="D1353" s="38" t="n"/>
      <c r="E1353" s="37" t="n"/>
      <c r="F1353" s="38" t="n"/>
      <c r="G1353" s="38" t="n"/>
      <c r="H1353" s="38" t="n"/>
      <c r="I1353" s="38" t="n"/>
      <c r="J1353" s="38" t="n"/>
      <c r="K1353" s="37" t="n"/>
      <c r="L1353" s="39" t="n"/>
      <c r="M1353" s="40" t="n"/>
      <c r="N1353" s="30">
        <f>IF(A1353="","",MONTH(A1353))</f>
        <v/>
      </c>
      <c r="O1353" s="30">
        <f>IF(A1353="","",YEAR(A1353))</f>
        <v/>
      </c>
      <c r="P1353" s="30">
        <f>IF(A1353="","",CHOOSE(WEEKDAY(A1353,2),"Segunda","Terça","Quarta","Quinta","Sexta","Sábado","Domingo"))</f>
        <v/>
      </c>
      <c r="Q1353" s="30">
        <f>IF(B1353="","",IF(B1353&lt;TIME(12,0,0),"Manhã",IF(B1353&lt;TIME(18,0,0),"Tarde","Noite")))</f>
        <v/>
      </c>
      <c r="R1353" s="46">
        <f>IF(AND(H1353="Realizado",L1353&lt;&gt;"",A1353&lt;=Config!$B$9),L1353/60,0)</f>
        <v>0</v>
      </c>
      <c r="S1353" s="45">
        <f>IF(G1353="","",IFERROR(INDEX(Config!$K$5:$K$16,MATCH(G1353,Config!$J$5:$J$16,0)),""))</f>
        <v/>
      </c>
      <c r="T1353" s="31">
        <f>IF(OR(G1353="",F1353=""),"",IFERROR(INDEX(Config!$M$5:$R$16,MATCH(G1353,Config!$J$5:$J$16,0),MATCH(F1353,Config!$H$5:$H$10,0)),""))</f>
        <v/>
      </c>
      <c r="U1353" s="47">
        <f>IF(AND(H1353="Realizado",L1353&lt;&gt;""),L1353/60,0)</f>
        <v>0</v>
      </c>
      <c r="V1353" s="47">
        <f>IF(AND(H1353="Realizado",OR(L1353="",M1353="")),1,0)</f>
        <v>0</v>
      </c>
    </row>
    <row r="1354">
      <c r="A1354" s="43" t="n"/>
      <c r="B1354" s="44" t="n"/>
      <c r="C1354" s="38" t="n"/>
      <c r="D1354" s="38" t="n"/>
      <c r="E1354" s="37" t="n"/>
      <c r="F1354" s="38" t="n"/>
      <c r="G1354" s="38" t="n"/>
      <c r="H1354" s="38" t="n"/>
      <c r="I1354" s="38" t="n"/>
      <c r="J1354" s="38" t="n"/>
      <c r="K1354" s="37" t="n"/>
      <c r="L1354" s="39" t="n"/>
      <c r="M1354" s="40" t="n"/>
      <c r="N1354" s="30">
        <f>IF(A1354="","",MONTH(A1354))</f>
        <v/>
      </c>
      <c r="O1354" s="30">
        <f>IF(A1354="","",YEAR(A1354))</f>
        <v/>
      </c>
      <c r="P1354" s="30">
        <f>IF(A1354="","",CHOOSE(WEEKDAY(A1354,2),"Segunda","Terça","Quarta","Quinta","Sexta","Sábado","Domingo"))</f>
        <v/>
      </c>
      <c r="Q1354" s="30">
        <f>IF(B1354="","",IF(B1354&lt;TIME(12,0,0),"Manhã",IF(B1354&lt;TIME(18,0,0),"Tarde","Noite")))</f>
        <v/>
      </c>
      <c r="R1354" s="46">
        <f>IF(AND(H1354="Realizado",L1354&lt;&gt;"",A1354&lt;=Config!$B$9),L1354/60,0)</f>
        <v>0</v>
      </c>
      <c r="S1354" s="45">
        <f>IF(G1354="","",IFERROR(INDEX(Config!$K$5:$K$16,MATCH(G1354,Config!$J$5:$J$16,0)),""))</f>
        <v/>
      </c>
      <c r="T1354" s="31">
        <f>IF(OR(G1354="",F1354=""),"",IFERROR(INDEX(Config!$M$5:$R$16,MATCH(G1354,Config!$J$5:$J$16,0),MATCH(F1354,Config!$H$5:$H$10,0)),""))</f>
        <v/>
      </c>
      <c r="U1354" s="47">
        <f>IF(AND(H1354="Realizado",L1354&lt;&gt;""),L1354/60,0)</f>
        <v>0</v>
      </c>
      <c r="V1354" s="47">
        <f>IF(AND(H1354="Realizado",OR(L1354="",M1354="")),1,0)</f>
        <v>0</v>
      </c>
    </row>
    <row r="1355">
      <c r="A1355" s="43" t="n"/>
      <c r="B1355" s="44" t="n"/>
      <c r="C1355" s="38" t="n"/>
      <c r="D1355" s="38" t="n"/>
      <c r="E1355" s="37" t="n"/>
      <c r="F1355" s="38" t="n"/>
      <c r="G1355" s="38" t="n"/>
      <c r="H1355" s="38" t="n"/>
      <c r="I1355" s="38" t="n"/>
      <c r="J1355" s="38" t="n"/>
      <c r="K1355" s="37" t="n"/>
      <c r="L1355" s="39" t="n"/>
      <c r="M1355" s="40" t="n"/>
      <c r="N1355" s="30">
        <f>IF(A1355="","",MONTH(A1355))</f>
        <v/>
      </c>
      <c r="O1355" s="30">
        <f>IF(A1355="","",YEAR(A1355))</f>
        <v/>
      </c>
      <c r="P1355" s="30">
        <f>IF(A1355="","",CHOOSE(WEEKDAY(A1355,2),"Segunda","Terça","Quarta","Quinta","Sexta","Sábado","Domingo"))</f>
        <v/>
      </c>
      <c r="Q1355" s="30">
        <f>IF(B1355="","",IF(B1355&lt;TIME(12,0,0),"Manhã",IF(B1355&lt;TIME(18,0,0),"Tarde","Noite")))</f>
        <v/>
      </c>
      <c r="R1355" s="46">
        <f>IF(AND(H1355="Realizado",L1355&lt;&gt;"",A1355&lt;=Config!$B$9),L1355/60,0)</f>
        <v>0</v>
      </c>
      <c r="S1355" s="45">
        <f>IF(G1355="","",IFERROR(INDEX(Config!$K$5:$K$16,MATCH(G1355,Config!$J$5:$J$16,0)),""))</f>
        <v/>
      </c>
      <c r="T1355" s="31">
        <f>IF(OR(G1355="",F1355=""),"",IFERROR(INDEX(Config!$M$5:$R$16,MATCH(G1355,Config!$J$5:$J$16,0),MATCH(F1355,Config!$H$5:$H$10,0)),""))</f>
        <v/>
      </c>
      <c r="U1355" s="47">
        <f>IF(AND(H1355="Realizado",L1355&lt;&gt;""),L1355/60,0)</f>
        <v>0</v>
      </c>
      <c r="V1355" s="47">
        <f>IF(AND(H1355="Realizado",OR(L1355="",M1355="")),1,0)</f>
        <v>0</v>
      </c>
    </row>
    <row r="1356">
      <c r="A1356" s="43" t="n"/>
      <c r="B1356" s="44" t="n"/>
      <c r="C1356" s="38" t="n"/>
      <c r="D1356" s="38" t="n"/>
      <c r="E1356" s="37" t="n"/>
      <c r="F1356" s="38" t="n"/>
      <c r="G1356" s="38" t="n"/>
      <c r="H1356" s="38" t="n"/>
      <c r="I1356" s="38" t="n"/>
      <c r="J1356" s="38" t="n"/>
      <c r="K1356" s="37" t="n"/>
      <c r="L1356" s="39" t="n"/>
      <c r="M1356" s="40" t="n"/>
      <c r="N1356" s="30">
        <f>IF(A1356="","",MONTH(A1356))</f>
        <v/>
      </c>
      <c r="O1356" s="30">
        <f>IF(A1356="","",YEAR(A1356))</f>
        <v/>
      </c>
      <c r="P1356" s="30">
        <f>IF(A1356="","",CHOOSE(WEEKDAY(A1356,2),"Segunda","Terça","Quarta","Quinta","Sexta","Sábado","Domingo"))</f>
        <v/>
      </c>
      <c r="Q1356" s="30">
        <f>IF(B1356="","",IF(B1356&lt;TIME(12,0,0),"Manhã",IF(B1356&lt;TIME(18,0,0),"Tarde","Noite")))</f>
        <v/>
      </c>
      <c r="R1356" s="46">
        <f>IF(AND(H1356="Realizado",L1356&lt;&gt;"",A1356&lt;=Config!$B$9),L1356/60,0)</f>
        <v>0</v>
      </c>
      <c r="S1356" s="45">
        <f>IF(G1356="","",IFERROR(INDEX(Config!$K$5:$K$16,MATCH(G1356,Config!$J$5:$J$16,0)),""))</f>
        <v/>
      </c>
      <c r="T1356" s="31">
        <f>IF(OR(G1356="",F1356=""),"",IFERROR(INDEX(Config!$M$5:$R$16,MATCH(G1356,Config!$J$5:$J$16,0),MATCH(F1356,Config!$H$5:$H$10,0)),""))</f>
        <v/>
      </c>
      <c r="U1356" s="47">
        <f>IF(AND(H1356="Realizado",L1356&lt;&gt;""),L1356/60,0)</f>
        <v>0</v>
      </c>
      <c r="V1356" s="47">
        <f>IF(AND(H1356="Realizado",OR(L1356="",M1356="")),1,0)</f>
        <v>0</v>
      </c>
    </row>
    <row r="1357">
      <c r="A1357" s="43" t="n"/>
      <c r="B1357" s="44" t="n"/>
      <c r="C1357" s="38" t="n"/>
      <c r="D1357" s="38" t="n"/>
      <c r="E1357" s="37" t="n"/>
      <c r="F1357" s="38" t="n"/>
      <c r="G1357" s="38" t="n"/>
      <c r="H1357" s="38" t="n"/>
      <c r="I1357" s="38" t="n"/>
      <c r="J1357" s="38" t="n"/>
      <c r="K1357" s="37" t="n"/>
      <c r="L1357" s="39" t="n"/>
      <c r="M1357" s="40" t="n"/>
      <c r="N1357" s="30">
        <f>IF(A1357="","",MONTH(A1357))</f>
        <v/>
      </c>
      <c r="O1357" s="30">
        <f>IF(A1357="","",YEAR(A1357))</f>
        <v/>
      </c>
      <c r="P1357" s="30">
        <f>IF(A1357="","",CHOOSE(WEEKDAY(A1357,2),"Segunda","Terça","Quarta","Quinta","Sexta","Sábado","Domingo"))</f>
        <v/>
      </c>
      <c r="Q1357" s="30">
        <f>IF(B1357="","",IF(B1357&lt;TIME(12,0,0),"Manhã",IF(B1357&lt;TIME(18,0,0),"Tarde","Noite")))</f>
        <v/>
      </c>
      <c r="R1357" s="46">
        <f>IF(AND(H1357="Realizado",L1357&lt;&gt;"",A1357&lt;=Config!$B$9),L1357/60,0)</f>
        <v>0</v>
      </c>
      <c r="S1357" s="45">
        <f>IF(G1357="","",IFERROR(INDEX(Config!$K$5:$K$16,MATCH(G1357,Config!$J$5:$J$16,0)),""))</f>
        <v/>
      </c>
      <c r="T1357" s="31">
        <f>IF(OR(G1357="",F1357=""),"",IFERROR(INDEX(Config!$M$5:$R$16,MATCH(G1357,Config!$J$5:$J$16,0),MATCH(F1357,Config!$H$5:$H$10,0)),""))</f>
        <v/>
      </c>
      <c r="U1357" s="47">
        <f>IF(AND(H1357="Realizado",L1357&lt;&gt;""),L1357/60,0)</f>
        <v>0</v>
      </c>
      <c r="V1357" s="47">
        <f>IF(AND(H1357="Realizado",OR(L1357="",M1357="")),1,0)</f>
        <v>0</v>
      </c>
    </row>
    <row r="1358">
      <c r="A1358" s="43" t="n"/>
      <c r="B1358" s="44" t="n"/>
      <c r="C1358" s="38" t="n"/>
      <c r="D1358" s="38" t="n"/>
      <c r="E1358" s="37" t="n"/>
      <c r="F1358" s="38" t="n"/>
      <c r="G1358" s="38" t="n"/>
      <c r="H1358" s="38" t="n"/>
      <c r="I1358" s="38" t="n"/>
      <c r="J1358" s="38" t="n"/>
      <c r="K1358" s="37" t="n"/>
      <c r="L1358" s="39" t="n"/>
      <c r="M1358" s="40" t="n"/>
      <c r="N1358" s="30">
        <f>IF(A1358="","",MONTH(A1358))</f>
        <v/>
      </c>
      <c r="O1358" s="30">
        <f>IF(A1358="","",YEAR(A1358))</f>
        <v/>
      </c>
      <c r="P1358" s="30">
        <f>IF(A1358="","",CHOOSE(WEEKDAY(A1358,2),"Segunda","Terça","Quarta","Quinta","Sexta","Sábado","Domingo"))</f>
        <v/>
      </c>
      <c r="Q1358" s="30">
        <f>IF(B1358="","",IF(B1358&lt;TIME(12,0,0),"Manhã",IF(B1358&lt;TIME(18,0,0),"Tarde","Noite")))</f>
        <v/>
      </c>
      <c r="R1358" s="46">
        <f>IF(AND(H1358="Realizado",L1358&lt;&gt;"",A1358&lt;=Config!$B$9),L1358/60,0)</f>
        <v>0</v>
      </c>
      <c r="S1358" s="45">
        <f>IF(G1358="","",IFERROR(INDEX(Config!$K$5:$K$16,MATCH(G1358,Config!$J$5:$J$16,0)),""))</f>
        <v/>
      </c>
      <c r="T1358" s="31">
        <f>IF(OR(G1358="",F1358=""),"",IFERROR(INDEX(Config!$M$5:$R$16,MATCH(G1358,Config!$J$5:$J$16,0),MATCH(F1358,Config!$H$5:$H$10,0)),""))</f>
        <v/>
      </c>
      <c r="U1358" s="47">
        <f>IF(AND(H1358="Realizado",L1358&lt;&gt;""),L1358/60,0)</f>
        <v>0</v>
      </c>
      <c r="V1358" s="47">
        <f>IF(AND(H1358="Realizado",OR(L1358="",M1358="")),1,0)</f>
        <v>0</v>
      </c>
    </row>
    <row r="1359">
      <c r="A1359" s="43" t="n"/>
      <c r="B1359" s="44" t="n"/>
      <c r="C1359" s="38" t="n"/>
      <c r="D1359" s="38" t="n"/>
      <c r="E1359" s="37" t="n"/>
      <c r="F1359" s="38" t="n"/>
      <c r="G1359" s="38" t="n"/>
      <c r="H1359" s="38" t="n"/>
      <c r="I1359" s="38" t="n"/>
      <c r="J1359" s="38" t="n"/>
      <c r="K1359" s="37" t="n"/>
      <c r="L1359" s="39" t="n"/>
      <c r="M1359" s="40" t="n"/>
      <c r="N1359" s="30">
        <f>IF(A1359="","",MONTH(A1359))</f>
        <v/>
      </c>
      <c r="O1359" s="30">
        <f>IF(A1359="","",YEAR(A1359))</f>
        <v/>
      </c>
      <c r="P1359" s="30">
        <f>IF(A1359="","",CHOOSE(WEEKDAY(A1359,2),"Segunda","Terça","Quarta","Quinta","Sexta","Sábado","Domingo"))</f>
        <v/>
      </c>
      <c r="Q1359" s="30">
        <f>IF(B1359="","",IF(B1359&lt;TIME(12,0,0),"Manhã",IF(B1359&lt;TIME(18,0,0),"Tarde","Noite")))</f>
        <v/>
      </c>
      <c r="R1359" s="46">
        <f>IF(AND(H1359="Realizado",L1359&lt;&gt;"",A1359&lt;=Config!$B$9),L1359/60,0)</f>
        <v>0</v>
      </c>
      <c r="S1359" s="45">
        <f>IF(G1359="","",IFERROR(INDEX(Config!$K$5:$K$16,MATCH(G1359,Config!$J$5:$J$16,0)),""))</f>
        <v/>
      </c>
      <c r="T1359" s="31">
        <f>IF(OR(G1359="",F1359=""),"",IFERROR(INDEX(Config!$M$5:$R$16,MATCH(G1359,Config!$J$5:$J$16,0),MATCH(F1359,Config!$H$5:$H$10,0)),""))</f>
        <v/>
      </c>
      <c r="U1359" s="47">
        <f>IF(AND(H1359="Realizado",L1359&lt;&gt;""),L1359/60,0)</f>
        <v>0</v>
      </c>
      <c r="V1359" s="47">
        <f>IF(AND(H1359="Realizado",OR(L1359="",M1359="")),1,0)</f>
        <v>0</v>
      </c>
    </row>
    <row r="1360">
      <c r="A1360" s="43" t="n"/>
      <c r="B1360" s="44" t="n"/>
      <c r="C1360" s="38" t="n"/>
      <c r="D1360" s="38" t="n"/>
      <c r="E1360" s="37" t="n"/>
      <c r="F1360" s="38" t="n"/>
      <c r="G1360" s="38" t="n"/>
      <c r="H1360" s="38" t="n"/>
      <c r="I1360" s="38" t="n"/>
      <c r="J1360" s="38" t="n"/>
      <c r="K1360" s="37" t="n"/>
      <c r="L1360" s="39" t="n"/>
      <c r="M1360" s="40" t="n"/>
      <c r="N1360" s="30">
        <f>IF(A1360="","",MONTH(A1360))</f>
        <v/>
      </c>
      <c r="O1360" s="30">
        <f>IF(A1360="","",YEAR(A1360))</f>
        <v/>
      </c>
      <c r="P1360" s="30">
        <f>IF(A1360="","",CHOOSE(WEEKDAY(A1360,2),"Segunda","Terça","Quarta","Quinta","Sexta","Sábado","Domingo"))</f>
        <v/>
      </c>
      <c r="Q1360" s="30">
        <f>IF(B1360="","",IF(B1360&lt;TIME(12,0,0),"Manhã",IF(B1360&lt;TIME(18,0,0),"Tarde","Noite")))</f>
        <v/>
      </c>
      <c r="R1360" s="46">
        <f>IF(AND(H1360="Realizado",L1360&lt;&gt;"",A1360&lt;=Config!$B$9),L1360/60,0)</f>
        <v>0</v>
      </c>
      <c r="S1360" s="45">
        <f>IF(G1360="","",IFERROR(INDEX(Config!$K$5:$K$16,MATCH(G1360,Config!$J$5:$J$16,0)),""))</f>
        <v/>
      </c>
      <c r="T1360" s="31">
        <f>IF(OR(G1360="",F1360=""),"",IFERROR(INDEX(Config!$M$5:$R$16,MATCH(G1360,Config!$J$5:$J$16,0),MATCH(F1360,Config!$H$5:$H$10,0)),""))</f>
        <v/>
      </c>
      <c r="U1360" s="47">
        <f>IF(AND(H1360="Realizado",L1360&lt;&gt;""),L1360/60,0)</f>
        <v>0</v>
      </c>
      <c r="V1360" s="47">
        <f>IF(AND(H1360="Realizado",OR(L1360="",M1360="")),1,0)</f>
        <v>0</v>
      </c>
    </row>
    <row r="1361">
      <c r="A1361" s="43" t="n"/>
      <c r="B1361" s="44" t="n"/>
      <c r="C1361" s="38" t="n"/>
      <c r="D1361" s="38" t="n"/>
      <c r="E1361" s="37" t="n"/>
      <c r="F1361" s="38" t="n"/>
      <c r="G1361" s="38" t="n"/>
      <c r="H1361" s="38" t="n"/>
      <c r="I1361" s="38" t="n"/>
      <c r="J1361" s="38" t="n"/>
      <c r="K1361" s="37" t="n"/>
      <c r="L1361" s="39" t="n"/>
      <c r="M1361" s="40" t="n"/>
      <c r="N1361" s="30">
        <f>IF(A1361="","",MONTH(A1361))</f>
        <v/>
      </c>
      <c r="O1361" s="30">
        <f>IF(A1361="","",YEAR(A1361))</f>
        <v/>
      </c>
      <c r="P1361" s="30">
        <f>IF(A1361="","",CHOOSE(WEEKDAY(A1361,2),"Segunda","Terça","Quarta","Quinta","Sexta","Sábado","Domingo"))</f>
        <v/>
      </c>
      <c r="Q1361" s="30">
        <f>IF(B1361="","",IF(B1361&lt;TIME(12,0,0),"Manhã",IF(B1361&lt;TIME(18,0,0),"Tarde","Noite")))</f>
        <v/>
      </c>
      <c r="R1361" s="46">
        <f>IF(AND(H1361="Realizado",L1361&lt;&gt;"",A1361&lt;=Config!$B$9),L1361/60,0)</f>
        <v>0</v>
      </c>
      <c r="S1361" s="45">
        <f>IF(G1361="","",IFERROR(INDEX(Config!$K$5:$K$16,MATCH(G1361,Config!$J$5:$J$16,0)),""))</f>
        <v/>
      </c>
      <c r="T1361" s="31">
        <f>IF(OR(G1361="",F1361=""),"",IFERROR(INDEX(Config!$M$5:$R$16,MATCH(G1361,Config!$J$5:$J$16,0),MATCH(F1361,Config!$H$5:$H$10,0)),""))</f>
        <v/>
      </c>
      <c r="U1361" s="47">
        <f>IF(AND(H1361="Realizado",L1361&lt;&gt;""),L1361/60,0)</f>
        <v>0</v>
      </c>
      <c r="V1361" s="47">
        <f>IF(AND(H1361="Realizado",OR(L1361="",M1361="")),1,0)</f>
        <v>0</v>
      </c>
    </row>
    <row r="1362">
      <c r="A1362" s="43" t="n"/>
      <c r="B1362" s="44" t="n"/>
      <c r="C1362" s="38" t="n"/>
      <c r="D1362" s="38" t="n"/>
      <c r="E1362" s="37" t="n"/>
      <c r="F1362" s="38" t="n"/>
      <c r="G1362" s="38" t="n"/>
      <c r="H1362" s="38" t="n"/>
      <c r="I1362" s="38" t="n"/>
      <c r="J1362" s="38" t="n"/>
      <c r="K1362" s="37" t="n"/>
      <c r="L1362" s="39" t="n"/>
      <c r="M1362" s="40" t="n"/>
      <c r="N1362" s="30">
        <f>IF(A1362="","",MONTH(A1362))</f>
        <v/>
      </c>
      <c r="O1362" s="30">
        <f>IF(A1362="","",YEAR(A1362))</f>
        <v/>
      </c>
      <c r="P1362" s="30">
        <f>IF(A1362="","",CHOOSE(WEEKDAY(A1362,2),"Segunda","Terça","Quarta","Quinta","Sexta","Sábado","Domingo"))</f>
        <v/>
      </c>
      <c r="Q1362" s="30">
        <f>IF(B1362="","",IF(B1362&lt;TIME(12,0,0),"Manhã",IF(B1362&lt;TIME(18,0,0),"Tarde","Noite")))</f>
        <v/>
      </c>
      <c r="R1362" s="46">
        <f>IF(AND(H1362="Realizado",L1362&lt;&gt;"",A1362&lt;=Config!$B$9),L1362/60,0)</f>
        <v>0</v>
      </c>
      <c r="S1362" s="45">
        <f>IF(G1362="","",IFERROR(INDEX(Config!$K$5:$K$16,MATCH(G1362,Config!$J$5:$J$16,0)),""))</f>
        <v/>
      </c>
      <c r="T1362" s="31">
        <f>IF(OR(G1362="",F1362=""),"",IFERROR(INDEX(Config!$M$5:$R$16,MATCH(G1362,Config!$J$5:$J$16,0),MATCH(F1362,Config!$H$5:$H$10,0)),""))</f>
        <v/>
      </c>
      <c r="U1362" s="47">
        <f>IF(AND(H1362="Realizado",L1362&lt;&gt;""),L1362/60,0)</f>
        <v>0</v>
      </c>
      <c r="V1362" s="47">
        <f>IF(AND(H1362="Realizado",OR(L1362="",M1362="")),1,0)</f>
        <v>0</v>
      </c>
    </row>
    <row r="1363">
      <c r="A1363" s="43" t="n"/>
      <c r="B1363" s="44" t="n"/>
      <c r="C1363" s="38" t="n"/>
      <c r="D1363" s="38" t="n"/>
      <c r="E1363" s="37" t="n"/>
      <c r="F1363" s="38" t="n"/>
      <c r="G1363" s="38" t="n"/>
      <c r="H1363" s="38" t="n"/>
      <c r="I1363" s="38" t="n"/>
      <c r="J1363" s="38" t="n"/>
      <c r="K1363" s="37" t="n"/>
      <c r="L1363" s="39" t="n"/>
      <c r="M1363" s="40" t="n"/>
      <c r="N1363" s="30">
        <f>IF(A1363="","",MONTH(A1363))</f>
        <v/>
      </c>
      <c r="O1363" s="30">
        <f>IF(A1363="","",YEAR(A1363))</f>
        <v/>
      </c>
      <c r="P1363" s="30">
        <f>IF(A1363="","",CHOOSE(WEEKDAY(A1363,2),"Segunda","Terça","Quarta","Quinta","Sexta","Sábado","Domingo"))</f>
        <v/>
      </c>
      <c r="Q1363" s="30">
        <f>IF(B1363="","",IF(B1363&lt;TIME(12,0,0),"Manhã",IF(B1363&lt;TIME(18,0,0),"Tarde","Noite")))</f>
        <v/>
      </c>
      <c r="R1363" s="46">
        <f>IF(AND(H1363="Realizado",L1363&lt;&gt;"",A1363&lt;=Config!$B$9),L1363/60,0)</f>
        <v>0</v>
      </c>
      <c r="S1363" s="45">
        <f>IF(G1363="","",IFERROR(INDEX(Config!$K$5:$K$16,MATCH(G1363,Config!$J$5:$J$16,0)),""))</f>
        <v/>
      </c>
      <c r="T1363" s="31">
        <f>IF(OR(G1363="",F1363=""),"",IFERROR(INDEX(Config!$M$5:$R$16,MATCH(G1363,Config!$J$5:$J$16,0),MATCH(F1363,Config!$H$5:$H$10,0)),""))</f>
        <v/>
      </c>
      <c r="U1363" s="47">
        <f>IF(AND(H1363="Realizado",L1363&lt;&gt;""),L1363/60,0)</f>
        <v>0</v>
      </c>
      <c r="V1363" s="47">
        <f>IF(AND(H1363="Realizado",OR(L1363="",M1363="")),1,0)</f>
        <v>0</v>
      </c>
    </row>
    <row r="1364">
      <c r="A1364" s="43" t="n"/>
      <c r="B1364" s="44" t="n"/>
      <c r="C1364" s="38" t="n"/>
      <c r="D1364" s="38" t="n"/>
      <c r="E1364" s="37" t="n"/>
      <c r="F1364" s="38" t="n"/>
      <c r="G1364" s="38" t="n"/>
      <c r="H1364" s="38" t="n"/>
      <c r="I1364" s="38" t="n"/>
      <c r="J1364" s="38" t="n"/>
      <c r="K1364" s="37" t="n"/>
      <c r="L1364" s="39" t="n"/>
      <c r="M1364" s="40" t="n"/>
      <c r="N1364" s="30">
        <f>IF(A1364="","",MONTH(A1364))</f>
        <v/>
      </c>
      <c r="O1364" s="30">
        <f>IF(A1364="","",YEAR(A1364))</f>
        <v/>
      </c>
      <c r="P1364" s="30">
        <f>IF(A1364="","",CHOOSE(WEEKDAY(A1364,2),"Segunda","Terça","Quarta","Quinta","Sexta","Sábado","Domingo"))</f>
        <v/>
      </c>
      <c r="Q1364" s="30">
        <f>IF(B1364="","",IF(B1364&lt;TIME(12,0,0),"Manhã",IF(B1364&lt;TIME(18,0,0),"Tarde","Noite")))</f>
        <v/>
      </c>
      <c r="R1364" s="46">
        <f>IF(AND(H1364="Realizado",L1364&lt;&gt;"",A1364&lt;=Config!$B$9),L1364/60,0)</f>
        <v>0</v>
      </c>
      <c r="S1364" s="45">
        <f>IF(G1364="","",IFERROR(INDEX(Config!$K$5:$K$16,MATCH(G1364,Config!$J$5:$J$16,0)),""))</f>
        <v/>
      </c>
      <c r="T1364" s="31">
        <f>IF(OR(G1364="",F1364=""),"",IFERROR(INDEX(Config!$M$5:$R$16,MATCH(G1364,Config!$J$5:$J$16,0),MATCH(F1364,Config!$H$5:$H$10,0)),""))</f>
        <v/>
      </c>
      <c r="U1364" s="47">
        <f>IF(AND(H1364="Realizado",L1364&lt;&gt;""),L1364/60,0)</f>
        <v>0</v>
      </c>
      <c r="V1364" s="47">
        <f>IF(AND(H1364="Realizado",OR(L1364="",M1364="")),1,0)</f>
        <v>0</v>
      </c>
    </row>
    <row r="1365">
      <c r="A1365" s="43" t="n"/>
      <c r="B1365" s="44" t="n"/>
      <c r="C1365" s="38" t="n"/>
      <c r="D1365" s="38" t="n"/>
      <c r="E1365" s="37" t="n"/>
      <c r="F1365" s="38" t="n"/>
      <c r="G1365" s="38" t="n"/>
      <c r="H1365" s="38" t="n"/>
      <c r="I1365" s="38" t="n"/>
      <c r="J1365" s="38" t="n"/>
      <c r="K1365" s="37" t="n"/>
      <c r="L1365" s="39" t="n"/>
      <c r="M1365" s="40" t="n"/>
      <c r="N1365" s="30">
        <f>IF(A1365="","",MONTH(A1365))</f>
        <v/>
      </c>
      <c r="O1365" s="30">
        <f>IF(A1365="","",YEAR(A1365))</f>
        <v/>
      </c>
      <c r="P1365" s="30">
        <f>IF(A1365="","",CHOOSE(WEEKDAY(A1365,2),"Segunda","Terça","Quarta","Quinta","Sexta","Sábado","Domingo"))</f>
        <v/>
      </c>
      <c r="Q1365" s="30">
        <f>IF(B1365="","",IF(B1365&lt;TIME(12,0,0),"Manhã",IF(B1365&lt;TIME(18,0,0),"Tarde","Noite")))</f>
        <v/>
      </c>
      <c r="R1365" s="46">
        <f>IF(AND(H1365="Realizado",L1365&lt;&gt;"",A1365&lt;=Config!$B$9),L1365/60,0)</f>
        <v>0</v>
      </c>
      <c r="S1365" s="45">
        <f>IF(G1365="","",IFERROR(INDEX(Config!$K$5:$K$16,MATCH(G1365,Config!$J$5:$J$16,0)),""))</f>
        <v/>
      </c>
      <c r="T1365" s="31">
        <f>IF(OR(G1365="",F1365=""),"",IFERROR(INDEX(Config!$M$5:$R$16,MATCH(G1365,Config!$J$5:$J$16,0),MATCH(F1365,Config!$H$5:$H$10,0)),""))</f>
        <v/>
      </c>
      <c r="U1365" s="47">
        <f>IF(AND(H1365="Realizado",L1365&lt;&gt;""),L1365/60,0)</f>
        <v>0</v>
      </c>
      <c r="V1365" s="47">
        <f>IF(AND(H1365="Realizado",OR(L1365="",M1365="")),1,0)</f>
        <v>0</v>
      </c>
    </row>
    <row r="1366">
      <c r="A1366" s="43" t="n"/>
      <c r="B1366" s="44" t="n"/>
      <c r="C1366" s="38" t="n"/>
      <c r="D1366" s="38" t="n"/>
      <c r="E1366" s="37" t="n"/>
      <c r="F1366" s="38" t="n"/>
      <c r="G1366" s="38" t="n"/>
      <c r="H1366" s="38" t="n"/>
      <c r="I1366" s="38" t="n"/>
      <c r="J1366" s="38" t="n"/>
      <c r="K1366" s="37" t="n"/>
      <c r="L1366" s="39" t="n"/>
      <c r="M1366" s="40" t="n"/>
      <c r="N1366" s="30">
        <f>IF(A1366="","",MONTH(A1366))</f>
        <v/>
      </c>
      <c r="O1366" s="30">
        <f>IF(A1366="","",YEAR(A1366))</f>
        <v/>
      </c>
      <c r="P1366" s="30">
        <f>IF(A1366="","",CHOOSE(WEEKDAY(A1366,2),"Segunda","Terça","Quarta","Quinta","Sexta","Sábado","Domingo"))</f>
        <v/>
      </c>
      <c r="Q1366" s="30">
        <f>IF(B1366="","",IF(B1366&lt;TIME(12,0,0),"Manhã",IF(B1366&lt;TIME(18,0,0),"Tarde","Noite")))</f>
        <v/>
      </c>
      <c r="R1366" s="46">
        <f>IF(AND(H1366="Realizado",L1366&lt;&gt;"",A1366&lt;=Config!$B$9),L1366/60,0)</f>
        <v>0</v>
      </c>
      <c r="S1366" s="45">
        <f>IF(G1366="","",IFERROR(INDEX(Config!$K$5:$K$16,MATCH(G1366,Config!$J$5:$J$16,0)),""))</f>
        <v/>
      </c>
      <c r="T1366" s="31">
        <f>IF(OR(G1366="",F1366=""),"",IFERROR(INDEX(Config!$M$5:$R$16,MATCH(G1366,Config!$J$5:$J$16,0),MATCH(F1366,Config!$H$5:$H$10,0)),""))</f>
        <v/>
      </c>
      <c r="U1366" s="47">
        <f>IF(AND(H1366="Realizado",L1366&lt;&gt;""),L1366/60,0)</f>
        <v>0</v>
      </c>
      <c r="V1366" s="47">
        <f>IF(AND(H1366="Realizado",OR(L1366="",M1366="")),1,0)</f>
        <v>0</v>
      </c>
    </row>
    <row r="1367">
      <c r="A1367" s="43" t="n"/>
      <c r="B1367" s="44" t="n"/>
      <c r="C1367" s="38" t="n"/>
      <c r="D1367" s="38" t="n"/>
      <c r="E1367" s="37" t="n"/>
      <c r="F1367" s="38" t="n"/>
      <c r="G1367" s="38" t="n"/>
      <c r="H1367" s="38" t="n"/>
      <c r="I1367" s="38" t="n"/>
      <c r="J1367" s="38" t="n"/>
      <c r="K1367" s="37" t="n"/>
      <c r="L1367" s="39" t="n"/>
      <c r="M1367" s="40" t="n"/>
      <c r="N1367" s="30">
        <f>IF(A1367="","",MONTH(A1367))</f>
        <v/>
      </c>
      <c r="O1367" s="30">
        <f>IF(A1367="","",YEAR(A1367))</f>
        <v/>
      </c>
      <c r="P1367" s="30">
        <f>IF(A1367="","",CHOOSE(WEEKDAY(A1367,2),"Segunda","Terça","Quarta","Quinta","Sexta","Sábado","Domingo"))</f>
        <v/>
      </c>
      <c r="Q1367" s="30">
        <f>IF(B1367="","",IF(B1367&lt;TIME(12,0,0),"Manhã",IF(B1367&lt;TIME(18,0,0),"Tarde","Noite")))</f>
        <v/>
      </c>
      <c r="R1367" s="46">
        <f>IF(AND(H1367="Realizado",L1367&lt;&gt;"",A1367&lt;=Config!$B$9),L1367/60,0)</f>
        <v>0</v>
      </c>
      <c r="S1367" s="45">
        <f>IF(G1367="","",IFERROR(INDEX(Config!$K$5:$K$16,MATCH(G1367,Config!$J$5:$J$16,0)),""))</f>
        <v/>
      </c>
      <c r="T1367" s="31">
        <f>IF(OR(G1367="",F1367=""),"",IFERROR(INDEX(Config!$M$5:$R$16,MATCH(G1367,Config!$J$5:$J$16,0),MATCH(F1367,Config!$H$5:$H$10,0)),""))</f>
        <v/>
      </c>
      <c r="U1367" s="47">
        <f>IF(AND(H1367="Realizado",L1367&lt;&gt;""),L1367/60,0)</f>
        <v>0</v>
      </c>
      <c r="V1367" s="47">
        <f>IF(AND(H1367="Realizado",OR(L1367="",M1367="")),1,0)</f>
        <v>0</v>
      </c>
    </row>
    <row r="1368">
      <c r="A1368" s="43" t="n"/>
      <c r="B1368" s="44" t="n"/>
      <c r="C1368" s="38" t="n"/>
      <c r="D1368" s="38" t="n"/>
      <c r="E1368" s="37" t="n"/>
      <c r="F1368" s="38" t="n"/>
      <c r="G1368" s="38" t="n"/>
      <c r="H1368" s="38" t="n"/>
      <c r="I1368" s="38" t="n"/>
      <c r="J1368" s="38" t="n"/>
      <c r="K1368" s="37" t="n"/>
      <c r="L1368" s="39" t="n"/>
      <c r="M1368" s="40" t="n"/>
      <c r="N1368" s="30">
        <f>IF(A1368="","",MONTH(A1368))</f>
        <v/>
      </c>
      <c r="O1368" s="30">
        <f>IF(A1368="","",YEAR(A1368))</f>
        <v/>
      </c>
      <c r="P1368" s="30">
        <f>IF(A1368="","",CHOOSE(WEEKDAY(A1368,2),"Segunda","Terça","Quarta","Quinta","Sexta","Sábado","Domingo"))</f>
        <v/>
      </c>
      <c r="Q1368" s="30">
        <f>IF(B1368="","",IF(B1368&lt;TIME(12,0,0),"Manhã",IF(B1368&lt;TIME(18,0,0),"Tarde","Noite")))</f>
        <v/>
      </c>
      <c r="R1368" s="46">
        <f>IF(AND(H1368="Realizado",L1368&lt;&gt;"",A1368&lt;=Config!$B$9),L1368/60,0)</f>
        <v>0</v>
      </c>
      <c r="S1368" s="45">
        <f>IF(G1368="","",IFERROR(INDEX(Config!$K$5:$K$16,MATCH(G1368,Config!$J$5:$J$16,0)),""))</f>
        <v/>
      </c>
      <c r="T1368" s="31">
        <f>IF(OR(G1368="",F1368=""),"",IFERROR(INDEX(Config!$M$5:$R$16,MATCH(G1368,Config!$J$5:$J$16,0),MATCH(F1368,Config!$H$5:$H$10,0)),""))</f>
        <v/>
      </c>
      <c r="U1368" s="47">
        <f>IF(AND(H1368="Realizado",L1368&lt;&gt;""),L1368/60,0)</f>
        <v>0</v>
      </c>
      <c r="V1368" s="47">
        <f>IF(AND(H1368="Realizado",OR(L1368="",M1368="")),1,0)</f>
        <v>0</v>
      </c>
    </row>
    <row r="1369">
      <c r="A1369" s="43" t="n"/>
      <c r="B1369" s="44" t="n"/>
      <c r="C1369" s="38" t="n"/>
      <c r="D1369" s="38" t="n"/>
      <c r="E1369" s="37" t="n"/>
      <c r="F1369" s="38" t="n"/>
      <c r="G1369" s="38" t="n"/>
      <c r="H1369" s="38" t="n"/>
      <c r="I1369" s="38" t="n"/>
      <c r="J1369" s="38" t="n"/>
      <c r="K1369" s="37" t="n"/>
      <c r="L1369" s="39" t="n"/>
      <c r="M1369" s="40" t="n"/>
      <c r="N1369" s="30">
        <f>IF(A1369="","",MONTH(A1369))</f>
        <v/>
      </c>
      <c r="O1369" s="30">
        <f>IF(A1369="","",YEAR(A1369))</f>
        <v/>
      </c>
      <c r="P1369" s="30">
        <f>IF(A1369="","",CHOOSE(WEEKDAY(A1369,2),"Segunda","Terça","Quarta","Quinta","Sexta","Sábado","Domingo"))</f>
        <v/>
      </c>
      <c r="Q1369" s="30">
        <f>IF(B1369="","",IF(B1369&lt;TIME(12,0,0),"Manhã",IF(B1369&lt;TIME(18,0,0),"Tarde","Noite")))</f>
        <v/>
      </c>
      <c r="R1369" s="46">
        <f>IF(AND(H1369="Realizado",L1369&lt;&gt;"",A1369&lt;=Config!$B$9),L1369/60,0)</f>
        <v>0</v>
      </c>
      <c r="S1369" s="45">
        <f>IF(G1369="","",IFERROR(INDEX(Config!$K$5:$K$16,MATCH(G1369,Config!$J$5:$J$16,0)),""))</f>
        <v/>
      </c>
      <c r="T1369" s="31">
        <f>IF(OR(G1369="",F1369=""),"",IFERROR(INDEX(Config!$M$5:$R$16,MATCH(G1369,Config!$J$5:$J$16,0),MATCH(F1369,Config!$H$5:$H$10,0)),""))</f>
        <v/>
      </c>
      <c r="U1369" s="47">
        <f>IF(AND(H1369="Realizado",L1369&lt;&gt;""),L1369/60,0)</f>
        <v>0</v>
      </c>
      <c r="V1369" s="47">
        <f>IF(AND(H1369="Realizado",OR(L1369="",M1369="")),1,0)</f>
        <v>0</v>
      </c>
    </row>
    <row r="1370">
      <c r="A1370" s="43" t="n"/>
      <c r="B1370" s="44" t="n"/>
      <c r="C1370" s="38" t="n"/>
      <c r="D1370" s="38" t="n"/>
      <c r="E1370" s="37" t="n"/>
      <c r="F1370" s="38" t="n"/>
      <c r="G1370" s="38" t="n"/>
      <c r="H1370" s="38" t="n"/>
      <c r="I1370" s="38" t="n"/>
      <c r="J1370" s="38" t="n"/>
      <c r="K1370" s="37" t="n"/>
      <c r="L1370" s="39" t="n"/>
      <c r="M1370" s="40" t="n"/>
      <c r="N1370" s="30">
        <f>IF(A1370="","",MONTH(A1370))</f>
        <v/>
      </c>
      <c r="O1370" s="30">
        <f>IF(A1370="","",YEAR(A1370))</f>
        <v/>
      </c>
      <c r="P1370" s="30">
        <f>IF(A1370="","",CHOOSE(WEEKDAY(A1370,2),"Segunda","Terça","Quarta","Quinta","Sexta","Sábado","Domingo"))</f>
        <v/>
      </c>
      <c r="Q1370" s="30">
        <f>IF(B1370="","",IF(B1370&lt;TIME(12,0,0),"Manhã",IF(B1370&lt;TIME(18,0,0),"Tarde","Noite")))</f>
        <v/>
      </c>
      <c r="R1370" s="46">
        <f>IF(AND(H1370="Realizado",L1370&lt;&gt;"",A1370&lt;=Config!$B$9),L1370/60,0)</f>
        <v>0</v>
      </c>
      <c r="S1370" s="45">
        <f>IF(G1370="","",IFERROR(INDEX(Config!$K$5:$K$16,MATCH(G1370,Config!$J$5:$J$16,0)),""))</f>
        <v/>
      </c>
      <c r="T1370" s="31">
        <f>IF(OR(G1370="",F1370=""),"",IFERROR(INDEX(Config!$M$5:$R$16,MATCH(G1370,Config!$J$5:$J$16,0),MATCH(F1370,Config!$H$5:$H$10,0)),""))</f>
        <v/>
      </c>
      <c r="U1370" s="47">
        <f>IF(AND(H1370="Realizado",L1370&lt;&gt;""),L1370/60,0)</f>
        <v>0</v>
      </c>
      <c r="V1370" s="47">
        <f>IF(AND(H1370="Realizado",OR(L1370="",M1370="")),1,0)</f>
        <v>0</v>
      </c>
    </row>
    <row r="1371">
      <c r="A1371" s="43" t="n"/>
      <c r="B1371" s="44" t="n"/>
      <c r="C1371" s="38" t="n"/>
      <c r="D1371" s="38" t="n"/>
      <c r="E1371" s="37" t="n"/>
      <c r="F1371" s="38" t="n"/>
      <c r="G1371" s="38" t="n"/>
      <c r="H1371" s="38" t="n"/>
      <c r="I1371" s="38" t="n"/>
      <c r="J1371" s="38" t="n"/>
      <c r="K1371" s="37" t="n"/>
      <c r="L1371" s="39" t="n"/>
      <c r="M1371" s="40" t="n"/>
      <c r="N1371" s="30">
        <f>IF(A1371="","",MONTH(A1371))</f>
        <v/>
      </c>
      <c r="O1371" s="30">
        <f>IF(A1371="","",YEAR(A1371))</f>
        <v/>
      </c>
      <c r="P1371" s="30">
        <f>IF(A1371="","",CHOOSE(WEEKDAY(A1371,2),"Segunda","Terça","Quarta","Quinta","Sexta","Sábado","Domingo"))</f>
        <v/>
      </c>
      <c r="Q1371" s="30">
        <f>IF(B1371="","",IF(B1371&lt;TIME(12,0,0),"Manhã",IF(B1371&lt;TIME(18,0,0),"Tarde","Noite")))</f>
        <v/>
      </c>
      <c r="R1371" s="46">
        <f>IF(AND(H1371="Realizado",L1371&lt;&gt;"",A1371&lt;=Config!$B$9),L1371/60,0)</f>
        <v>0</v>
      </c>
      <c r="S1371" s="45">
        <f>IF(G1371="","",IFERROR(INDEX(Config!$K$5:$K$16,MATCH(G1371,Config!$J$5:$J$16,0)),""))</f>
        <v/>
      </c>
      <c r="T1371" s="31">
        <f>IF(OR(G1371="",F1371=""),"",IFERROR(INDEX(Config!$M$5:$R$16,MATCH(G1371,Config!$J$5:$J$16,0),MATCH(F1371,Config!$H$5:$H$10,0)),""))</f>
        <v/>
      </c>
      <c r="U1371" s="47">
        <f>IF(AND(H1371="Realizado",L1371&lt;&gt;""),L1371/60,0)</f>
        <v>0</v>
      </c>
      <c r="V1371" s="47">
        <f>IF(AND(H1371="Realizado",OR(L1371="",M1371="")),1,0)</f>
        <v>0</v>
      </c>
    </row>
    <row r="1372">
      <c r="A1372" s="43" t="n"/>
      <c r="B1372" s="44" t="n"/>
      <c r="C1372" s="38" t="n"/>
      <c r="D1372" s="38" t="n"/>
      <c r="E1372" s="37" t="n"/>
      <c r="F1372" s="38" t="n"/>
      <c r="G1372" s="38" t="n"/>
      <c r="H1372" s="38" t="n"/>
      <c r="I1372" s="38" t="n"/>
      <c r="J1372" s="38" t="n"/>
      <c r="K1372" s="37" t="n"/>
      <c r="L1372" s="39" t="n"/>
      <c r="M1372" s="40" t="n"/>
      <c r="N1372" s="30">
        <f>IF(A1372="","",MONTH(A1372))</f>
        <v/>
      </c>
      <c r="O1372" s="30">
        <f>IF(A1372="","",YEAR(A1372))</f>
        <v/>
      </c>
      <c r="P1372" s="30">
        <f>IF(A1372="","",CHOOSE(WEEKDAY(A1372,2),"Segunda","Terça","Quarta","Quinta","Sexta","Sábado","Domingo"))</f>
        <v/>
      </c>
      <c r="Q1372" s="30">
        <f>IF(B1372="","",IF(B1372&lt;TIME(12,0,0),"Manhã",IF(B1372&lt;TIME(18,0,0),"Tarde","Noite")))</f>
        <v/>
      </c>
      <c r="R1372" s="46">
        <f>IF(AND(H1372="Realizado",L1372&lt;&gt;"",A1372&lt;=Config!$B$9),L1372/60,0)</f>
        <v>0</v>
      </c>
      <c r="S1372" s="45">
        <f>IF(G1372="","",IFERROR(INDEX(Config!$K$5:$K$16,MATCH(G1372,Config!$J$5:$J$16,0)),""))</f>
        <v/>
      </c>
      <c r="T1372" s="31">
        <f>IF(OR(G1372="",F1372=""),"",IFERROR(INDEX(Config!$M$5:$R$16,MATCH(G1372,Config!$J$5:$J$16,0),MATCH(F1372,Config!$H$5:$H$10,0)),""))</f>
        <v/>
      </c>
      <c r="U1372" s="47">
        <f>IF(AND(H1372="Realizado",L1372&lt;&gt;""),L1372/60,0)</f>
        <v>0</v>
      </c>
      <c r="V1372" s="47">
        <f>IF(AND(H1372="Realizado",OR(L1372="",M1372="")),1,0)</f>
        <v>0</v>
      </c>
    </row>
    <row r="1373">
      <c r="A1373" s="43" t="n"/>
      <c r="B1373" s="44" t="n"/>
      <c r="C1373" s="38" t="n"/>
      <c r="D1373" s="38" t="n"/>
      <c r="E1373" s="37" t="n"/>
      <c r="F1373" s="38" t="n"/>
      <c r="G1373" s="38" t="n"/>
      <c r="H1373" s="38" t="n"/>
      <c r="I1373" s="38" t="n"/>
      <c r="J1373" s="38" t="n"/>
      <c r="K1373" s="37" t="n"/>
      <c r="L1373" s="39" t="n"/>
      <c r="M1373" s="40" t="n"/>
      <c r="N1373" s="30">
        <f>IF(A1373="","",MONTH(A1373))</f>
        <v/>
      </c>
      <c r="O1373" s="30">
        <f>IF(A1373="","",YEAR(A1373))</f>
        <v/>
      </c>
      <c r="P1373" s="30">
        <f>IF(A1373="","",CHOOSE(WEEKDAY(A1373,2),"Segunda","Terça","Quarta","Quinta","Sexta","Sábado","Domingo"))</f>
        <v/>
      </c>
      <c r="Q1373" s="30">
        <f>IF(B1373="","",IF(B1373&lt;TIME(12,0,0),"Manhã",IF(B1373&lt;TIME(18,0,0),"Tarde","Noite")))</f>
        <v/>
      </c>
      <c r="R1373" s="46">
        <f>IF(AND(H1373="Realizado",L1373&lt;&gt;"",A1373&lt;=Config!$B$9),L1373/60,0)</f>
        <v>0</v>
      </c>
      <c r="S1373" s="45">
        <f>IF(G1373="","",IFERROR(INDEX(Config!$K$5:$K$16,MATCH(G1373,Config!$J$5:$J$16,0)),""))</f>
        <v/>
      </c>
      <c r="T1373" s="31">
        <f>IF(OR(G1373="",F1373=""),"",IFERROR(INDEX(Config!$M$5:$R$16,MATCH(G1373,Config!$J$5:$J$16,0),MATCH(F1373,Config!$H$5:$H$10,0)),""))</f>
        <v/>
      </c>
      <c r="U1373" s="47">
        <f>IF(AND(H1373="Realizado",L1373&lt;&gt;""),L1373/60,0)</f>
        <v>0</v>
      </c>
      <c r="V1373" s="47">
        <f>IF(AND(H1373="Realizado",OR(L1373="",M1373="")),1,0)</f>
        <v>0</v>
      </c>
    </row>
    <row r="1374">
      <c r="A1374" s="43" t="n"/>
      <c r="B1374" s="44" t="n"/>
      <c r="C1374" s="38" t="n"/>
      <c r="D1374" s="38" t="n"/>
      <c r="E1374" s="37" t="n"/>
      <c r="F1374" s="38" t="n"/>
      <c r="G1374" s="38" t="n"/>
      <c r="H1374" s="38" t="n"/>
      <c r="I1374" s="38" t="n"/>
      <c r="J1374" s="38" t="n"/>
      <c r="K1374" s="37" t="n"/>
      <c r="L1374" s="39" t="n"/>
      <c r="M1374" s="40" t="n"/>
      <c r="N1374" s="30">
        <f>IF(A1374="","",MONTH(A1374))</f>
        <v/>
      </c>
      <c r="O1374" s="30">
        <f>IF(A1374="","",YEAR(A1374))</f>
        <v/>
      </c>
      <c r="P1374" s="30">
        <f>IF(A1374="","",CHOOSE(WEEKDAY(A1374,2),"Segunda","Terça","Quarta","Quinta","Sexta","Sábado","Domingo"))</f>
        <v/>
      </c>
      <c r="Q1374" s="30">
        <f>IF(B1374="","",IF(B1374&lt;TIME(12,0,0),"Manhã",IF(B1374&lt;TIME(18,0,0),"Tarde","Noite")))</f>
        <v/>
      </c>
      <c r="R1374" s="46">
        <f>IF(AND(H1374="Realizado",L1374&lt;&gt;"",A1374&lt;=Config!$B$9),L1374/60,0)</f>
        <v>0</v>
      </c>
      <c r="S1374" s="45">
        <f>IF(G1374="","",IFERROR(INDEX(Config!$K$5:$K$16,MATCH(G1374,Config!$J$5:$J$16,0)),""))</f>
        <v/>
      </c>
      <c r="T1374" s="31">
        <f>IF(OR(G1374="",F1374=""),"",IFERROR(INDEX(Config!$M$5:$R$16,MATCH(G1374,Config!$J$5:$J$16,0),MATCH(F1374,Config!$H$5:$H$10,0)),""))</f>
        <v/>
      </c>
      <c r="U1374" s="47">
        <f>IF(AND(H1374="Realizado",L1374&lt;&gt;""),L1374/60,0)</f>
        <v>0</v>
      </c>
      <c r="V1374" s="47">
        <f>IF(AND(H1374="Realizado",OR(L1374="",M1374="")),1,0)</f>
        <v>0</v>
      </c>
    </row>
    <row r="1375">
      <c r="A1375" s="43" t="n"/>
      <c r="B1375" s="44" t="n"/>
      <c r="C1375" s="38" t="n"/>
      <c r="D1375" s="38" t="n"/>
      <c r="E1375" s="37" t="n"/>
      <c r="F1375" s="38" t="n"/>
      <c r="G1375" s="38" t="n"/>
      <c r="H1375" s="38" t="n"/>
      <c r="I1375" s="38" t="n"/>
      <c r="J1375" s="38" t="n"/>
      <c r="K1375" s="37" t="n"/>
      <c r="L1375" s="39" t="n"/>
      <c r="M1375" s="40" t="n"/>
      <c r="N1375" s="30">
        <f>IF(A1375="","",MONTH(A1375))</f>
        <v/>
      </c>
      <c r="O1375" s="30">
        <f>IF(A1375="","",YEAR(A1375))</f>
        <v/>
      </c>
      <c r="P1375" s="30">
        <f>IF(A1375="","",CHOOSE(WEEKDAY(A1375,2),"Segunda","Terça","Quarta","Quinta","Sexta","Sábado","Domingo"))</f>
        <v/>
      </c>
      <c r="Q1375" s="30">
        <f>IF(B1375="","",IF(B1375&lt;TIME(12,0,0),"Manhã",IF(B1375&lt;TIME(18,0,0),"Tarde","Noite")))</f>
        <v/>
      </c>
      <c r="R1375" s="46">
        <f>IF(AND(H1375="Realizado",L1375&lt;&gt;"",A1375&lt;=Config!$B$9),L1375/60,0)</f>
        <v>0</v>
      </c>
      <c r="S1375" s="45">
        <f>IF(G1375="","",IFERROR(INDEX(Config!$K$5:$K$16,MATCH(G1375,Config!$J$5:$J$16,0)),""))</f>
        <v/>
      </c>
      <c r="T1375" s="31">
        <f>IF(OR(G1375="",F1375=""),"",IFERROR(INDEX(Config!$M$5:$R$16,MATCH(G1375,Config!$J$5:$J$16,0),MATCH(F1375,Config!$H$5:$H$10,0)),""))</f>
        <v/>
      </c>
      <c r="U1375" s="47">
        <f>IF(AND(H1375="Realizado",L1375&lt;&gt;""),L1375/60,0)</f>
        <v>0</v>
      </c>
      <c r="V1375" s="47">
        <f>IF(AND(H1375="Realizado",OR(L1375="",M1375="")),1,0)</f>
        <v>0</v>
      </c>
    </row>
    <row r="1376">
      <c r="A1376" s="43" t="n"/>
      <c r="B1376" s="44" t="n"/>
      <c r="C1376" s="38" t="n"/>
      <c r="D1376" s="38" t="n"/>
      <c r="E1376" s="37" t="n"/>
      <c r="F1376" s="38" t="n"/>
      <c r="G1376" s="38" t="n"/>
      <c r="H1376" s="38" t="n"/>
      <c r="I1376" s="38" t="n"/>
      <c r="J1376" s="38" t="n"/>
      <c r="K1376" s="37" t="n"/>
      <c r="L1376" s="39" t="n"/>
      <c r="M1376" s="40" t="n"/>
      <c r="N1376" s="30">
        <f>IF(A1376="","",MONTH(A1376))</f>
        <v/>
      </c>
      <c r="O1376" s="30">
        <f>IF(A1376="","",YEAR(A1376))</f>
        <v/>
      </c>
      <c r="P1376" s="30">
        <f>IF(A1376="","",CHOOSE(WEEKDAY(A1376,2),"Segunda","Terça","Quarta","Quinta","Sexta","Sábado","Domingo"))</f>
        <v/>
      </c>
      <c r="Q1376" s="30">
        <f>IF(B1376="","",IF(B1376&lt;TIME(12,0,0),"Manhã",IF(B1376&lt;TIME(18,0,0),"Tarde","Noite")))</f>
        <v/>
      </c>
      <c r="R1376" s="46">
        <f>IF(AND(H1376="Realizado",L1376&lt;&gt;"",A1376&lt;=Config!$B$9),L1376/60,0)</f>
        <v>0</v>
      </c>
      <c r="S1376" s="45">
        <f>IF(G1376="","",IFERROR(INDEX(Config!$K$5:$K$16,MATCH(G1376,Config!$J$5:$J$16,0)),""))</f>
        <v/>
      </c>
      <c r="T1376" s="31">
        <f>IF(OR(G1376="",F1376=""),"",IFERROR(INDEX(Config!$M$5:$R$16,MATCH(G1376,Config!$J$5:$J$16,0),MATCH(F1376,Config!$H$5:$H$10,0)),""))</f>
        <v/>
      </c>
      <c r="U1376" s="47">
        <f>IF(AND(H1376="Realizado",L1376&lt;&gt;""),L1376/60,0)</f>
        <v>0</v>
      </c>
      <c r="V1376" s="47">
        <f>IF(AND(H1376="Realizado",OR(L1376="",M1376="")),1,0)</f>
        <v>0</v>
      </c>
    </row>
    <row r="1377">
      <c r="A1377" s="43" t="n"/>
      <c r="B1377" s="44" t="n"/>
      <c r="C1377" s="38" t="n"/>
      <c r="D1377" s="38" t="n"/>
      <c r="E1377" s="37" t="n"/>
      <c r="F1377" s="38" t="n"/>
      <c r="G1377" s="38" t="n"/>
      <c r="H1377" s="38" t="n"/>
      <c r="I1377" s="38" t="n"/>
      <c r="J1377" s="38" t="n"/>
      <c r="K1377" s="37" t="n"/>
      <c r="L1377" s="39" t="n"/>
      <c r="M1377" s="40" t="n"/>
      <c r="N1377" s="30">
        <f>IF(A1377="","",MONTH(A1377))</f>
        <v/>
      </c>
      <c r="O1377" s="30">
        <f>IF(A1377="","",YEAR(A1377))</f>
        <v/>
      </c>
      <c r="P1377" s="30">
        <f>IF(A1377="","",CHOOSE(WEEKDAY(A1377,2),"Segunda","Terça","Quarta","Quinta","Sexta","Sábado","Domingo"))</f>
        <v/>
      </c>
      <c r="Q1377" s="30">
        <f>IF(B1377="","",IF(B1377&lt;TIME(12,0,0),"Manhã",IF(B1377&lt;TIME(18,0,0),"Tarde","Noite")))</f>
        <v/>
      </c>
      <c r="R1377" s="46">
        <f>IF(AND(H1377="Realizado",L1377&lt;&gt;"",A1377&lt;=Config!$B$9),L1377/60,0)</f>
        <v>0</v>
      </c>
      <c r="S1377" s="45">
        <f>IF(G1377="","",IFERROR(INDEX(Config!$K$5:$K$16,MATCH(G1377,Config!$J$5:$J$16,0)),""))</f>
        <v/>
      </c>
      <c r="T1377" s="31">
        <f>IF(OR(G1377="",F1377=""),"",IFERROR(INDEX(Config!$M$5:$R$16,MATCH(G1377,Config!$J$5:$J$16,0),MATCH(F1377,Config!$H$5:$H$10,0)),""))</f>
        <v/>
      </c>
      <c r="U1377" s="47">
        <f>IF(AND(H1377="Realizado",L1377&lt;&gt;""),L1377/60,0)</f>
        <v>0</v>
      </c>
      <c r="V1377" s="47">
        <f>IF(AND(H1377="Realizado",OR(L1377="",M1377="")),1,0)</f>
        <v>0</v>
      </c>
    </row>
    <row r="1378">
      <c r="A1378" s="43" t="n"/>
      <c r="B1378" s="44" t="n"/>
      <c r="C1378" s="38" t="n"/>
      <c r="D1378" s="38" t="n"/>
      <c r="E1378" s="37" t="n"/>
      <c r="F1378" s="38" t="n"/>
      <c r="G1378" s="38" t="n"/>
      <c r="H1378" s="38" t="n"/>
      <c r="I1378" s="38" t="n"/>
      <c r="J1378" s="38" t="n"/>
      <c r="K1378" s="37" t="n"/>
      <c r="L1378" s="39" t="n"/>
      <c r="M1378" s="40" t="n"/>
      <c r="N1378" s="30">
        <f>IF(A1378="","",MONTH(A1378))</f>
        <v/>
      </c>
      <c r="O1378" s="30">
        <f>IF(A1378="","",YEAR(A1378))</f>
        <v/>
      </c>
      <c r="P1378" s="30">
        <f>IF(A1378="","",CHOOSE(WEEKDAY(A1378,2),"Segunda","Terça","Quarta","Quinta","Sexta","Sábado","Domingo"))</f>
        <v/>
      </c>
      <c r="Q1378" s="30">
        <f>IF(B1378="","",IF(B1378&lt;TIME(12,0,0),"Manhã",IF(B1378&lt;TIME(18,0,0),"Tarde","Noite")))</f>
        <v/>
      </c>
      <c r="R1378" s="46">
        <f>IF(AND(H1378="Realizado",L1378&lt;&gt;"",A1378&lt;=Config!$B$9),L1378/60,0)</f>
        <v>0</v>
      </c>
      <c r="S1378" s="45">
        <f>IF(G1378="","",IFERROR(INDEX(Config!$K$5:$K$16,MATCH(G1378,Config!$J$5:$J$16,0)),""))</f>
        <v/>
      </c>
      <c r="T1378" s="31">
        <f>IF(OR(G1378="",F1378=""),"",IFERROR(INDEX(Config!$M$5:$R$16,MATCH(G1378,Config!$J$5:$J$16,0),MATCH(F1378,Config!$H$5:$H$10,0)),""))</f>
        <v/>
      </c>
      <c r="U1378" s="47">
        <f>IF(AND(H1378="Realizado",L1378&lt;&gt;""),L1378/60,0)</f>
        <v>0</v>
      </c>
      <c r="V1378" s="47">
        <f>IF(AND(H1378="Realizado",OR(L1378="",M1378="")),1,0)</f>
        <v>0</v>
      </c>
    </row>
    <row r="1379">
      <c r="A1379" s="43" t="n"/>
      <c r="B1379" s="44" t="n"/>
      <c r="C1379" s="38" t="n"/>
      <c r="D1379" s="38" t="n"/>
      <c r="E1379" s="37" t="n"/>
      <c r="F1379" s="38" t="n"/>
      <c r="G1379" s="38" t="n"/>
      <c r="H1379" s="38" t="n"/>
      <c r="I1379" s="38" t="n"/>
      <c r="J1379" s="38" t="n"/>
      <c r="K1379" s="37" t="n"/>
      <c r="L1379" s="39" t="n"/>
      <c r="M1379" s="40" t="n"/>
      <c r="N1379" s="30">
        <f>IF(A1379="","",MONTH(A1379))</f>
        <v/>
      </c>
      <c r="O1379" s="30">
        <f>IF(A1379="","",YEAR(A1379))</f>
        <v/>
      </c>
      <c r="P1379" s="30">
        <f>IF(A1379="","",CHOOSE(WEEKDAY(A1379,2),"Segunda","Terça","Quarta","Quinta","Sexta","Sábado","Domingo"))</f>
        <v/>
      </c>
      <c r="Q1379" s="30">
        <f>IF(B1379="","",IF(B1379&lt;TIME(12,0,0),"Manhã",IF(B1379&lt;TIME(18,0,0),"Tarde","Noite")))</f>
        <v/>
      </c>
      <c r="R1379" s="46">
        <f>IF(AND(H1379="Realizado",L1379&lt;&gt;"",A1379&lt;=Config!$B$9),L1379/60,0)</f>
        <v>0</v>
      </c>
      <c r="S1379" s="45">
        <f>IF(G1379="","",IFERROR(INDEX(Config!$K$5:$K$16,MATCH(G1379,Config!$J$5:$J$16,0)),""))</f>
        <v/>
      </c>
      <c r="T1379" s="31">
        <f>IF(OR(G1379="",F1379=""),"",IFERROR(INDEX(Config!$M$5:$R$16,MATCH(G1379,Config!$J$5:$J$16,0),MATCH(F1379,Config!$H$5:$H$10,0)),""))</f>
        <v/>
      </c>
      <c r="U1379" s="47">
        <f>IF(AND(H1379="Realizado",L1379&lt;&gt;""),L1379/60,0)</f>
        <v>0</v>
      </c>
      <c r="V1379" s="47">
        <f>IF(AND(H1379="Realizado",OR(L1379="",M1379="")),1,0)</f>
        <v>0</v>
      </c>
    </row>
    <row r="1380">
      <c r="A1380" s="43" t="n"/>
      <c r="B1380" s="44" t="n"/>
      <c r="C1380" s="38" t="n"/>
      <c r="D1380" s="38" t="n"/>
      <c r="E1380" s="37" t="n"/>
      <c r="F1380" s="38" t="n"/>
      <c r="G1380" s="38" t="n"/>
      <c r="H1380" s="38" t="n"/>
      <c r="I1380" s="38" t="n"/>
      <c r="J1380" s="38" t="n"/>
      <c r="K1380" s="37" t="n"/>
      <c r="L1380" s="39" t="n"/>
      <c r="M1380" s="40" t="n"/>
      <c r="N1380" s="30">
        <f>IF(A1380="","",MONTH(A1380))</f>
        <v/>
      </c>
      <c r="O1380" s="30">
        <f>IF(A1380="","",YEAR(A1380))</f>
        <v/>
      </c>
      <c r="P1380" s="30">
        <f>IF(A1380="","",CHOOSE(WEEKDAY(A1380,2),"Segunda","Terça","Quarta","Quinta","Sexta","Sábado","Domingo"))</f>
        <v/>
      </c>
      <c r="Q1380" s="30">
        <f>IF(B1380="","",IF(B1380&lt;TIME(12,0,0),"Manhã",IF(B1380&lt;TIME(18,0,0),"Tarde","Noite")))</f>
        <v/>
      </c>
      <c r="R1380" s="46">
        <f>IF(AND(H1380="Realizado",L1380&lt;&gt;"",A1380&lt;=Config!$B$9),L1380/60,0)</f>
        <v>0</v>
      </c>
      <c r="S1380" s="45">
        <f>IF(G1380="","",IFERROR(INDEX(Config!$K$5:$K$16,MATCH(G1380,Config!$J$5:$J$16,0)),""))</f>
        <v/>
      </c>
      <c r="T1380" s="31">
        <f>IF(OR(G1380="",F1380=""),"",IFERROR(INDEX(Config!$M$5:$R$16,MATCH(G1380,Config!$J$5:$J$16,0),MATCH(F1380,Config!$H$5:$H$10,0)),""))</f>
        <v/>
      </c>
      <c r="U1380" s="47">
        <f>IF(AND(H1380="Realizado",L1380&lt;&gt;""),L1380/60,0)</f>
        <v>0</v>
      </c>
      <c r="V1380" s="47">
        <f>IF(AND(H1380="Realizado",OR(L1380="",M1380="")),1,0)</f>
        <v>0</v>
      </c>
    </row>
    <row r="1381">
      <c r="A1381" s="43" t="n"/>
      <c r="B1381" s="44" t="n"/>
      <c r="C1381" s="38" t="n"/>
      <c r="D1381" s="38" t="n"/>
      <c r="E1381" s="37" t="n"/>
      <c r="F1381" s="38" t="n"/>
      <c r="G1381" s="38" t="n"/>
      <c r="H1381" s="38" t="n"/>
      <c r="I1381" s="38" t="n"/>
      <c r="J1381" s="38" t="n"/>
      <c r="K1381" s="37" t="n"/>
      <c r="L1381" s="39" t="n"/>
      <c r="M1381" s="40" t="n"/>
      <c r="N1381" s="30">
        <f>IF(A1381="","",MONTH(A1381))</f>
        <v/>
      </c>
      <c r="O1381" s="30">
        <f>IF(A1381="","",YEAR(A1381))</f>
        <v/>
      </c>
      <c r="P1381" s="30">
        <f>IF(A1381="","",CHOOSE(WEEKDAY(A1381,2),"Segunda","Terça","Quarta","Quinta","Sexta","Sábado","Domingo"))</f>
        <v/>
      </c>
      <c r="Q1381" s="30">
        <f>IF(B1381="","",IF(B1381&lt;TIME(12,0,0),"Manhã",IF(B1381&lt;TIME(18,0,0),"Tarde","Noite")))</f>
        <v/>
      </c>
      <c r="R1381" s="46">
        <f>IF(AND(H1381="Realizado",L1381&lt;&gt;"",A1381&lt;=Config!$B$9),L1381/60,0)</f>
        <v>0</v>
      </c>
      <c r="S1381" s="45">
        <f>IF(G1381="","",IFERROR(INDEX(Config!$K$5:$K$16,MATCH(G1381,Config!$J$5:$J$16,0)),""))</f>
        <v/>
      </c>
      <c r="T1381" s="31">
        <f>IF(OR(G1381="",F1381=""),"",IFERROR(INDEX(Config!$M$5:$R$16,MATCH(G1381,Config!$J$5:$J$16,0),MATCH(F1381,Config!$H$5:$H$10,0)),""))</f>
        <v/>
      </c>
      <c r="U1381" s="47">
        <f>IF(AND(H1381="Realizado",L1381&lt;&gt;""),L1381/60,0)</f>
        <v>0</v>
      </c>
      <c r="V1381" s="47">
        <f>IF(AND(H1381="Realizado",OR(L1381="",M1381="")),1,0)</f>
        <v>0</v>
      </c>
    </row>
    <row r="1382">
      <c r="A1382" s="43" t="n"/>
      <c r="B1382" s="44" t="n"/>
      <c r="C1382" s="38" t="n"/>
      <c r="D1382" s="38" t="n"/>
      <c r="E1382" s="37" t="n"/>
      <c r="F1382" s="38" t="n"/>
      <c r="G1382" s="38" t="n"/>
      <c r="H1382" s="38" t="n"/>
      <c r="I1382" s="38" t="n"/>
      <c r="J1382" s="38" t="n"/>
      <c r="K1382" s="37" t="n"/>
      <c r="L1382" s="39" t="n"/>
      <c r="M1382" s="40" t="n"/>
      <c r="N1382" s="30">
        <f>IF(A1382="","",MONTH(A1382))</f>
        <v/>
      </c>
      <c r="O1382" s="30">
        <f>IF(A1382="","",YEAR(A1382))</f>
        <v/>
      </c>
      <c r="P1382" s="30">
        <f>IF(A1382="","",CHOOSE(WEEKDAY(A1382,2),"Segunda","Terça","Quarta","Quinta","Sexta","Sábado","Domingo"))</f>
        <v/>
      </c>
      <c r="Q1382" s="30">
        <f>IF(B1382="","",IF(B1382&lt;TIME(12,0,0),"Manhã",IF(B1382&lt;TIME(18,0,0),"Tarde","Noite")))</f>
        <v/>
      </c>
      <c r="R1382" s="46">
        <f>IF(AND(H1382="Realizado",L1382&lt;&gt;"",A1382&lt;=Config!$B$9),L1382/60,0)</f>
        <v>0</v>
      </c>
      <c r="S1382" s="45">
        <f>IF(G1382="","",IFERROR(INDEX(Config!$K$5:$K$16,MATCH(G1382,Config!$J$5:$J$16,0)),""))</f>
        <v/>
      </c>
      <c r="T1382" s="31">
        <f>IF(OR(G1382="",F1382=""),"",IFERROR(INDEX(Config!$M$5:$R$16,MATCH(G1382,Config!$J$5:$J$16,0),MATCH(F1382,Config!$H$5:$H$10,0)),""))</f>
        <v/>
      </c>
      <c r="U1382" s="47">
        <f>IF(AND(H1382="Realizado",L1382&lt;&gt;""),L1382/60,0)</f>
        <v>0</v>
      </c>
      <c r="V1382" s="47">
        <f>IF(AND(H1382="Realizado",OR(L1382="",M1382="")),1,0)</f>
        <v>0</v>
      </c>
    </row>
    <row r="1383">
      <c r="A1383" s="43" t="n"/>
      <c r="B1383" s="44" t="n"/>
      <c r="C1383" s="38" t="n"/>
      <c r="D1383" s="38" t="n"/>
      <c r="E1383" s="37" t="n"/>
      <c r="F1383" s="38" t="n"/>
      <c r="G1383" s="38" t="n"/>
      <c r="H1383" s="38" t="n"/>
      <c r="I1383" s="38" t="n"/>
      <c r="J1383" s="38" t="n"/>
      <c r="K1383" s="37" t="n"/>
      <c r="L1383" s="39" t="n"/>
      <c r="M1383" s="40" t="n"/>
      <c r="N1383" s="30">
        <f>IF(A1383="","",MONTH(A1383))</f>
        <v/>
      </c>
      <c r="O1383" s="30">
        <f>IF(A1383="","",YEAR(A1383))</f>
        <v/>
      </c>
      <c r="P1383" s="30">
        <f>IF(A1383="","",CHOOSE(WEEKDAY(A1383,2),"Segunda","Terça","Quarta","Quinta","Sexta","Sábado","Domingo"))</f>
        <v/>
      </c>
      <c r="Q1383" s="30">
        <f>IF(B1383="","",IF(B1383&lt;TIME(12,0,0),"Manhã",IF(B1383&lt;TIME(18,0,0),"Tarde","Noite")))</f>
        <v/>
      </c>
      <c r="R1383" s="46">
        <f>IF(AND(H1383="Realizado",L1383&lt;&gt;"",A1383&lt;=Config!$B$9),L1383/60,0)</f>
        <v>0</v>
      </c>
      <c r="S1383" s="45">
        <f>IF(G1383="","",IFERROR(INDEX(Config!$K$5:$K$16,MATCH(G1383,Config!$J$5:$J$16,0)),""))</f>
        <v/>
      </c>
      <c r="T1383" s="31">
        <f>IF(OR(G1383="",F1383=""),"",IFERROR(INDEX(Config!$M$5:$R$16,MATCH(G1383,Config!$J$5:$J$16,0),MATCH(F1383,Config!$H$5:$H$10,0)),""))</f>
        <v/>
      </c>
      <c r="U1383" s="47">
        <f>IF(AND(H1383="Realizado",L1383&lt;&gt;""),L1383/60,0)</f>
        <v>0</v>
      </c>
      <c r="V1383" s="47">
        <f>IF(AND(H1383="Realizado",OR(L1383="",M1383="")),1,0)</f>
        <v>0</v>
      </c>
    </row>
    <row r="1384">
      <c r="A1384" s="43" t="n"/>
      <c r="B1384" s="44" t="n"/>
      <c r="C1384" s="38" t="n"/>
      <c r="D1384" s="38" t="n"/>
      <c r="E1384" s="37" t="n"/>
      <c r="F1384" s="38" t="n"/>
      <c r="G1384" s="38" t="n"/>
      <c r="H1384" s="38" t="n"/>
      <c r="I1384" s="38" t="n"/>
      <c r="J1384" s="38" t="n"/>
      <c r="K1384" s="37" t="n"/>
      <c r="L1384" s="39" t="n"/>
      <c r="M1384" s="40" t="n"/>
      <c r="N1384" s="30">
        <f>IF(A1384="","",MONTH(A1384))</f>
        <v/>
      </c>
      <c r="O1384" s="30">
        <f>IF(A1384="","",YEAR(A1384))</f>
        <v/>
      </c>
      <c r="P1384" s="30">
        <f>IF(A1384="","",CHOOSE(WEEKDAY(A1384,2),"Segunda","Terça","Quarta","Quinta","Sexta","Sábado","Domingo"))</f>
        <v/>
      </c>
      <c r="Q1384" s="30">
        <f>IF(B1384="","",IF(B1384&lt;TIME(12,0,0),"Manhã",IF(B1384&lt;TIME(18,0,0),"Tarde","Noite")))</f>
        <v/>
      </c>
      <c r="R1384" s="46">
        <f>IF(AND(H1384="Realizado",L1384&lt;&gt;"",A1384&lt;=Config!$B$9),L1384/60,0)</f>
        <v>0</v>
      </c>
      <c r="S1384" s="45">
        <f>IF(G1384="","",IFERROR(INDEX(Config!$K$5:$K$16,MATCH(G1384,Config!$J$5:$J$16,0)),""))</f>
        <v/>
      </c>
      <c r="T1384" s="31">
        <f>IF(OR(G1384="",F1384=""),"",IFERROR(INDEX(Config!$M$5:$R$16,MATCH(G1384,Config!$J$5:$J$16,0),MATCH(F1384,Config!$H$5:$H$10,0)),""))</f>
        <v/>
      </c>
      <c r="U1384" s="47">
        <f>IF(AND(H1384="Realizado",L1384&lt;&gt;""),L1384/60,0)</f>
        <v>0</v>
      </c>
      <c r="V1384" s="47">
        <f>IF(AND(H1384="Realizado",OR(L1384="",M1384="")),1,0)</f>
        <v>0</v>
      </c>
    </row>
    <row r="1385">
      <c r="A1385" s="43" t="n"/>
      <c r="B1385" s="44" t="n"/>
      <c r="C1385" s="38" t="n"/>
      <c r="D1385" s="38" t="n"/>
      <c r="E1385" s="37" t="n"/>
      <c r="F1385" s="38" t="n"/>
      <c r="G1385" s="38" t="n"/>
      <c r="H1385" s="38" t="n"/>
      <c r="I1385" s="38" t="n"/>
      <c r="J1385" s="38" t="n"/>
      <c r="K1385" s="37" t="n"/>
      <c r="L1385" s="39" t="n"/>
      <c r="M1385" s="40" t="n"/>
      <c r="N1385" s="30">
        <f>IF(A1385="","",MONTH(A1385))</f>
        <v/>
      </c>
      <c r="O1385" s="30">
        <f>IF(A1385="","",YEAR(A1385))</f>
        <v/>
      </c>
      <c r="P1385" s="30">
        <f>IF(A1385="","",CHOOSE(WEEKDAY(A1385,2),"Segunda","Terça","Quarta","Quinta","Sexta","Sábado","Domingo"))</f>
        <v/>
      </c>
      <c r="Q1385" s="30">
        <f>IF(B1385="","",IF(B1385&lt;TIME(12,0,0),"Manhã",IF(B1385&lt;TIME(18,0,0),"Tarde","Noite")))</f>
        <v/>
      </c>
      <c r="R1385" s="46">
        <f>IF(AND(H1385="Realizado",L1385&lt;&gt;"",A1385&lt;=Config!$B$9),L1385/60,0)</f>
        <v>0</v>
      </c>
      <c r="S1385" s="45">
        <f>IF(G1385="","",IFERROR(INDEX(Config!$K$5:$K$16,MATCH(G1385,Config!$J$5:$J$16,0)),""))</f>
        <v/>
      </c>
      <c r="T1385" s="31">
        <f>IF(OR(G1385="",F1385=""),"",IFERROR(INDEX(Config!$M$5:$R$16,MATCH(G1385,Config!$J$5:$J$16,0),MATCH(F1385,Config!$H$5:$H$10,0)),""))</f>
        <v/>
      </c>
      <c r="U1385" s="47">
        <f>IF(AND(H1385="Realizado",L1385&lt;&gt;""),L1385/60,0)</f>
        <v>0</v>
      </c>
      <c r="V1385" s="47">
        <f>IF(AND(H1385="Realizado",OR(L1385="",M1385="")),1,0)</f>
        <v>0</v>
      </c>
    </row>
    <row r="1386">
      <c r="A1386" s="43" t="n"/>
      <c r="B1386" s="44" t="n"/>
      <c r="C1386" s="38" t="n"/>
      <c r="D1386" s="38" t="n"/>
      <c r="E1386" s="37" t="n"/>
      <c r="F1386" s="38" t="n"/>
      <c r="G1386" s="38" t="n"/>
      <c r="H1386" s="38" t="n"/>
      <c r="I1386" s="38" t="n"/>
      <c r="J1386" s="38" t="n"/>
      <c r="K1386" s="37" t="n"/>
      <c r="L1386" s="39" t="n"/>
      <c r="M1386" s="40" t="n"/>
      <c r="N1386" s="30">
        <f>IF(A1386="","",MONTH(A1386))</f>
        <v/>
      </c>
      <c r="O1386" s="30">
        <f>IF(A1386="","",YEAR(A1386))</f>
        <v/>
      </c>
      <c r="P1386" s="30">
        <f>IF(A1386="","",CHOOSE(WEEKDAY(A1386,2),"Segunda","Terça","Quarta","Quinta","Sexta","Sábado","Domingo"))</f>
        <v/>
      </c>
      <c r="Q1386" s="30">
        <f>IF(B1386="","",IF(B1386&lt;TIME(12,0,0),"Manhã",IF(B1386&lt;TIME(18,0,0),"Tarde","Noite")))</f>
        <v/>
      </c>
      <c r="R1386" s="46">
        <f>IF(AND(H1386="Realizado",L1386&lt;&gt;"",A1386&lt;=Config!$B$9),L1386/60,0)</f>
        <v>0</v>
      </c>
      <c r="S1386" s="45">
        <f>IF(G1386="","",IFERROR(INDEX(Config!$K$5:$K$16,MATCH(G1386,Config!$J$5:$J$16,0)),""))</f>
        <v/>
      </c>
      <c r="T1386" s="31">
        <f>IF(OR(G1386="",F1386=""),"",IFERROR(INDEX(Config!$M$5:$R$16,MATCH(G1386,Config!$J$5:$J$16,0),MATCH(F1386,Config!$H$5:$H$10,0)),""))</f>
        <v/>
      </c>
      <c r="U1386" s="47">
        <f>IF(AND(H1386="Realizado",L1386&lt;&gt;""),L1386/60,0)</f>
        <v>0</v>
      </c>
      <c r="V1386" s="47">
        <f>IF(AND(H1386="Realizado",OR(L1386="",M1386="")),1,0)</f>
        <v>0</v>
      </c>
    </row>
    <row r="1387">
      <c r="A1387" s="43" t="n"/>
      <c r="B1387" s="44" t="n"/>
      <c r="C1387" s="38" t="n"/>
      <c r="D1387" s="38" t="n"/>
      <c r="E1387" s="37" t="n"/>
      <c r="F1387" s="38" t="n"/>
      <c r="G1387" s="38" t="n"/>
      <c r="H1387" s="38" t="n"/>
      <c r="I1387" s="38" t="n"/>
      <c r="J1387" s="38" t="n"/>
      <c r="K1387" s="37" t="n"/>
      <c r="L1387" s="39" t="n"/>
      <c r="M1387" s="40" t="n"/>
      <c r="N1387" s="30">
        <f>IF(A1387="","",MONTH(A1387))</f>
        <v/>
      </c>
      <c r="O1387" s="30">
        <f>IF(A1387="","",YEAR(A1387))</f>
        <v/>
      </c>
      <c r="P1387" s="30">
        <f>IF(A1387="","",CHOOSE(WEEKDAY(A1387,2),"Segunda","Terça","Quarta","Quinta","Sexta","Sábado","Domingo"))</f>
        <v/>
      </c>
      <c r="Q1387" s="30">
        <f>IF(B1387="","",IF(B1387&lt;TIME(12,0,0),"Manhã",IF(B1387&lt;TIME(18,0,0),"Tarde","Noite")))</f>
        <v/>
      </c>
      <c r="R1387" s="46">
        <f>IF(AND(H1387="Realizado",L1387&lt;&gt;"",A1387&lt;=Config!$B$9),L1387/60,0)</f>
        <v>0</v>
      </c>
      <c r="S1387" s="45">
        <f>IF(G1387="","",IFERROR(INDEX(Config!$K$5:$K$16,MATCH(G1387,Config!$J$5:$J$16,0)),""))</f>
        <v/>
      </c>
      <c r="T1387" s="31">
        <f>IF(OR(G1387="",F1387=""),"",IFERROR(INDEX(Config!$M$5:$R$16,MATCH(G1387,Config!$J$5:$J$16,0),MATCH(F1387,Config!$H$5:$H$10,0)),""))</f>
        <v/>
      </c>
      <c r="U1387" s="47">
        <f>IF(AND(H1387="Realizado",L1387&lt;&gt;""),L1387/60,0)</f>
        <v>0</v>
      </c>
      <c r="V1387" s="47">
        <f>IF(AND(H1387="Realizado",OR(L1387="",M1387="")),1,0)</f>
        <v>0</v>
      </c>
    </row>
    <row r="1388">
      <c r="A1388" s="43" t="n"/>
      <c r="B1388" s="44" t="n"/>
      <c r="C1388" s="38" t="n"/>
      <c r="D1388" s="38" t="n"/>
      <c r="E1388" s="37" t="n"/>
      <c r="F1388" s="38" t="n"/>
      <c r="G1388" s="38" t="n"/>
      <c r="H1388" s="38" t="n"/>
      <c r="I1388" s="38" t="n"/>
      <c r="J1388" s="38" t="n"/>
      <c r="K1388" s="37" t="n"/>
      <c r="L1388" s="39" t="n"/>
      <c r="M1388" s="40" t="n"/>
      <c r="N1388" s="30">
        <f>IF(A1388="","",MONTH(A1388))</f>
        <v/>
      </c>
      <c r="O1388" s="30">
        <f>IF(A1388="","",YEAR(A1388))</f>
        <v/>
      </c>
      <c r="P1388" s="30">
        <f>IF(A1388="","",CHOOSE(WEEKDAY(A1388,2),"Segunda","Terça","Quarta","Quinta","Sexta","Sábado","Domingo"))</f>
        <v/>
      </c>
      <c r="Q1388" s="30">
        <f>IF(B1388="","",IF(B1388&lt;TIME(12,0,0),"Manhã",IF(B1388&lt;TIME(18,0,0),"Tarde","Noite")))</f>
        <v/>
      </c>
      <c r="R1388" s="46">
        <f>IF(AND(H1388="Realizado",L1388&lt;&gt;"",A1388&lt;=Config!$B$9),L1388/60,0)</f>
        <v>0</v>
      </c>
      <c r="S1388" s="45">
        <f>IF(G1388="","",IFERROR(INDEX(Config!$K$5:$K$16,MATCH(G1388,Config!$J$5:$J$16,0)),""))</f>
        <v/>
      </c>
      <c r="T1388" s="31">
        <f>IF(OR(G1388="",F1388=""),"",IFERROR(INDEX(Config!$M$5:$R$16,MATCH(G1388,Config!$J$5:$J$16,0),MATCH(F1388,Config!$H$5:$H$10,0)),""))</f>
        <v/>
      </c>
      <c r="U1388" s="47">
        <f>IF(AND(H1388="Realizado",L1388&lt;&gt;""),L1388/60,0)</f>
        <v>0</v>
      </c>
      <c r="V1388" s="47">
        <f>IF(AND(H1388="Realizado",OR(L1388="",M1388="")),1,0)</f>
        <v>0</v>
      </c>
    </row>
    <row r="1389">
      <c r="A1389" s="43" t="n"/>
      <c r="B1389" s="44" t="n"/>
      <c r="C1389" s="38" t="n"/>
      <c r="D1389" s="38" t="n"/>
      <c r="E1389" s="37" t="n"/>
      <c r="F1389" s="38" t="n"/>
      <c r="G1389" s="38" t="n"/>
      <c r="H1389" s="38" t="n"/>
      <c r="I1389" s="38" t="n"/>
      <c r="J1389" s="38" t="n"/>
      <c r="K1389" s="37" t="n"/>
      <c r="L1389" s="39" t="n"/>
      <c r="M1389" s="40" t="n"/>
      <c r="N1389" s="30">
        <f>IF(A1389="","",MONTH(A1389))</f>
        <v/>
      </c>
      <c r="O1389" s="30">
        <f>IF(A1389="","",YEAR(A1389))</f>
        <v/>
      </c>
      <c r="P1389" s="30">
        <f>IF(A1389="","",CHOOSE(WEEKDAY(A1389,2),"Segunda","Terça","Quarta","Quinta","Sexta","Sábado","Domingo"))</f>
        <v/>
      </c>
      <c r="Q1389" s="30">
        <f>IF(B1389="","",IF(B1389&lt;TIME(12,0,0),"Manhã",IF(B1389&lt;TIME(18,0,0),"Tarde","Noite")))</f>
        <v/>
      </c>
      <c r="R1389" s="46">
        <f>IF(AND(H1389="Realizado",L1389&lt;&gt;"",A1389&lt;=Config!$B$9),L1389/60,0)</f>
        <v>0</v>
      </c>
      <c r="S1389" s="45">
        <f>IF(G1389="","",IFERROR(INDEX(Config!$K$5:$K$16,MATCH(G1389,Config!$J$5:$J$16,0)),""))</f>
        <v/>
      </c>
      <c r="T1389" s="31">
        <f>IF(OR(G1389="",F1389=""),"",IFERROR(INDEX(Config!$M$5:$R$16,MATCH(G1389,Config!$J$5:$J$16,0),MATCH(F1389,Config!$H$5:$H$10,0)),""))</f>
        <v/>
      </c>
      <c r="U1389" s="47">
        <f>IF(AND(H1389="Realizado",L1389&lt;&gt;""),L1389/60,0)</f>
        <v>0</v>
      </c>
      <c r="V1389" s="47">
        <f>IF(AND(H1389="Realizado",OR(L1389="",M1389="")),1,0)</f>
        <v>0</v>
      </c>
    </row>
    <row r="1390">
      <c r="A1390" s="43" t="n"/>
      <c r="B1390" s="44" t="n"/>
      <c r="C1390" s="38" t="n"/>
      <c r="D1390" s="38" t="n"/>
      <c r="E1390" s="37" t="n"/>
      <c r="F1390" s="38" t="n"/>
      <c r="G1390" s="38" t="n"/>
      <c r="H1390" s="38" t="n"/>
      <c r="I1390" s="38" t="n"/>
      <c r="J1390" s="38" t="n"/>
      <c r="K1390" s="37" t="n"/>
      <c r="L1390" s="39" t="n"/>
      <c r="M1390" s="40" t="n"/>
      <c r="N1390" s="30">
        <f>IF(A1390="","",MONTH(A1390))</f>
        <v/>
      </c>
      <c r="O1390" s="30">
        <f>IF(A1390="","",YEAR(A1390))</f>
        <v/>
      </c>
      <c r="P1390" s="30">
        <f>IF(A1390="","",CHOOSE(WEEKDAY(A1390,2),"Segunda","Terça","Quarta","Quinta","Sexta","Sábado","Domingo"))</f>
        <v/>
      </c>
      <c r="Q1390" s="30">
        <f>IF(B1390="","",IF(B1390&lt;TIME(12,0,0),"Manhã",IF(B1390&lt;TIME(18,0,0),"Tarde","Noite")))</f>
        <v/>
      </c>
      <c r="R1390" s="46">
        <f>IF(AND(H1390="Realizado",L1390&lt;&gt;"",A1390&lt;=Config!$B$9),L1390/60,0)</f>
        <v>0</v>
      </c>
      <c r="S1390" s="45">
        <f>IF(G1390="","",IFERROR(INDEX(Config!$K$5:$K$16,MATCH(G1390,Config!$J$5:$J$16,0)),""))</f>
        <v/>
      </c>
      <c r="T1390" s="31">
        <f>IF(OR(G1390="",F1390=""),"",IFERROR(INDEX(Config!$M$5:$R$16,MATCH(G1390,Config!$J$5:$J$16,0),MATCH(F1390,Config!$H$5:$H$10,0)),""))</f>
        <v/>
      </c>
      <c r="U1390" s="47">
        <f>IF(AND(H1390="Realizado",L1390&lt;&gt;""),L1390/60,0)</f>
        <v>0</v>
      </c>
      <c r="V1390" s="47">
        <f>IF(AND(H1390="Realizado",OR(L1390="",M1390="")),1,0)</f>
        <v>0</v>
      </c>
    </row>
    <row r="1391">
      <c r="A1391" s="43" t="n"/>
      <c r="B1391" s="44" t="n"/>
      <c r="C1391" s="38" t="n"/>
      <c r="D1391" s="38" t="n"/>
      <c r="E1391" s="37" t="n"/>
      <c r="F1391" s="38" t="n"/>
      <c r="G1391" s="38" t="n"/>
      <c r="H1391" s="38" t="n"/>
      <c r="I1391" s="38" t="n"/>
      <c r="J1391" s="38" t="n"/>
      <c r="K1391" s="37" t="n"/>
      <c r="L1391" s="39" t="n"/>
      <c r="M1391" s="40" t="n"/>
      <c r="N1391" s="30">
        <f>IF(A1391="","",MONTH(A1391))</f>
        <v/>
      </c>
      <c r="O1391" s="30">
        <f>IF(A1391="","",YEAR(A1391))</f>
        <v/>
      </c>
      <c r="P1391" s="30">
        <f>IF(A1391="","",CHOOSE(WEEKDAY(A1391,2),"Segunda","Terça","Quarta","Quinta","Sexta","Sábado","Domingo"))</f>
        <v/>
      </c>
      <c r="Q1391" s="30">
        <f>IF(B1391="","",IF(B1391&lt;TIME(12,0,0),"Manhã",IF(B1391&lt;TIME(18,0,0),"Tarde","Noite")))</f>
        <v/>
      </c>
      <c r="R1391" s="46">
        <f>IF(AND(H1391="Realizado",L1391&lt;&gt;"",A1391&lt;=Config!$B$9),L1391/60,0)</f>
        <v>0</v>
      </c>
      <c r="S1391" s="45">
        <f>IF(G1391="","",IFERROR(INDEX(Config!$K$5:$K$16,MATCH(G1391,Config!$J$5:$J$16,0)),""))</f>
        <v/>
      </c>
      <c r="T1391" s="31">
        <f>IF(OR(G1391="",F1391=""),"",IFERROR(INDEX(Config!$M$5:$R$16,MATCH(G1391,Config!$J$5:$J$16,0),MATCH(F1391,Config!$H$5:$H$10,0)),""))</f>
        <v/>
      </c>
      <c r="U1391" s="47">
        <f>IF(AND(H1391="Realizado",L1391&lt;&gt;""),L1391/60,0)</f>
        <v>0</v>
      </c>
      <c r="V1391" s="47">
        <f>IF(AND(H1391="Realizado",OR(L1391="",M1391="")),1,0)</f>
        <v>0</v>
      </c>
    </row>
    <row r="1392">
      <c r="A1392" s="43" t="n"/>
      <c r="B1392" s="44" t="n"/>
      <c r="C1392" s="38" t="n"/>
      <c r="D1392" s="38" t="n"/>
      <c r="E1392" s="37" t="n"/>
      <c r="F1392" s="38" t="n"/>
      <c r="G1392" s="38" t="n"/>
      <c r="H1392" s="38" t="n"/>
      <c r="I1392" s="38" t="n"/>
      <c r="J1392" s="38" t="n"/>
      <c r="K1392" s="37" t="n"/>
      <c r="L1392" s="39" t="n"/>
      <c r="M1392" s="40" t="n"/>
      <c r="N1392" s="30">
        <f>IF(A1392="","",MONTH(A1392))</f>
        <v/>
      </c>
      <c r="O1392" s="30">
        <f>IF(A1392="","",YEAR(A1392))</f>
        <v/>
      </c>
      <c r="P1392" s="30">
        <f>IF(A1392="","",CHOOSE(WEEKDAY(A1392,2),"Segunda","Terça","Quarta","Quinta","Sexta","Sábado","Domingo"))</f>
        <v/>
      </c>
      <c r="Q1392" s="30">
        <f>IF(B1392="","",IF(B1392&lt;TIME(12,0,0),"Manhã",IF(B1392&lt;TIME(18,0,0),"Tarde","Noite")))</f>
        <v/>
      </c>
      <c r="R1392" s="46">
        <f>IF(AND(H1392="Realizado",L1392&lt;&gt;"",A1392&lt;=Config!$B$9),L1392/60,0)</f>
        <v>0</v>
      </c>
      <c r="S1392" s="45">
        <f>IF(G1392="","",IFERROR(INDEX(Config!$K$5:$K$16,MATCH(G1392,Config!$J$5:$J$16,0)),""))</f>
        <v/>
      </c>
      <c r="T1392" s="31">
        <f>IF(OR(G1392="",F1392=""),"",IFERROR(INDEX(Config!$M$5:$R$16,MATCH(G1392,Config!$J$5:$J$16,0),MATCH(F1392,Config!$H$5:$H$10,0)),""))</f>
        <v/>
      </c>
      <c r="U1392" s="47">
        <f>IF(AND(H1392="Realizado",L1392&lt;&gt;""),L1392/60,0)</f>
        <v>0</v>
      </c>
      <c r="V1392" s="47">
        <f>IF(AND(H1392="Realizado",OR(L1392="",M1392="")),1,0)</f>
        <v>0</v>
      </c>
    </row>
    <row r="1393">
      <c r="A1393" s="43" t="n"/>
      <c r="B1393" s="44" t="n"/>
      <c r="C1393" s="38" t="n"/>
      <c r="D1393" s="38" t="n"/>
      <c r="E1393" s="37" t="n"/>
      <c r="F1393" s="38" t="n"/>
      <c r="G1393" s="38" t="n"/>
      <c r="H1393" s="38" t="n"/>
      <c r="I1393" s="38" t="n"/>
      <c r="J1393" s="38" t="n"/>
      <c r="K1393" s="37" t="n"/>
      <c r="L1393" s="39" t="n"/>
      <c r="M1393" s="40" t="n"/>
      <c r="N1393" s="30">
        <f>IF(A1393="","",MONTH(A1393))</f>
        <v/>
      </c>
      <c r="O1393" s="30">
        <f>IF(A1393="","",YEAR(A1393))</f>
        <v/>
      </c>
      <c r="P1393" s="30">
        <f>IF(A1393="","",CHOOSE(WEEKDAY(A1393,2),"Segunda","Terça","Quarta","Quinta","Sexta","Sábado","Domingo"))</f>
        <v/>
      </c>
      <c r="Q1393" s="30">
        <f>IF(B1393="","",IF(B1393&lt;TIME(12,0,0),"Manhã",IF(B1393&lt;TIME(18,0,0),"Tarde","Noite")))</f>
        <v/>
      </c>
      <c r="R1393" s="46">
        <f>IF(AND(H1393="Realizado",L1393&lt;&gt;"",A1393&lt;=Config!$B$9),L1393/60,0)</f>
        <v>0</v>
      </c>
      <c r="S1393" s="45">
        <f>IF(G1393="","",IFERROR(INDEX(Config!$K$5:$K$16,MATCH(G1393,Config!$J$5:$J$16,0)),""))</f>
        <v/>
      </c>
      <c r="T1393" s="31">
        <f>IF(OR(G1393="",F1393=""),"",IFERROR(INDEX(Config!$M$5:$R$16,MATCH(G1393,Config!$J$5:$J$16,0),MATCH(F1393,Config!$H$5:$H$10,0)),""))</f>
        <v/>
      </c>
      <c r="U1393" s="47">
        <f>IF(AND(H1393="Realizado",L1393&lt;&gt;""),L1393/60,0)</f>
        <v>0</v>
      </c>
      <c r="V1393" s="47">
        <f>IF(AND(H1393="Realizado",OR(L1393="",M1393="")),1,0)</f>
        <v>0</v>
      </c>
    </row>
    <row r="1394">
      <c r="A1394" s="43" t="n"/>
      <c r="B1394" s="44" t="n"/>
      <c r="C1394" s="38" t="n"/>
      <c r="D1394" s="38" t="n"/>
      <c r="E1394" s="37" t="n"/>
      <c r="F1394" s="38" t="n"/>
      <c r="G1394" s="38" t="n"/>
      <c r="H1394" s="38" t="n"/>
      <c r="I1394" s="38" t="n"/>
      <c r="J1394" s="38" t="n"/>
      <c r="K1394" s="37" t="n"/>
      <c r="L1394" s="39" t="n"/>
      <c r="M1394" s="40" t="n"/>
      <c r="N1394" s="30">
        <f>IF(A1394="","",MONTH(A1394))</f>
        <v/>
      </c>
      <c r="O1394" s="30">
        <f>IF(A1394="","",YEAR(A1394))</f>
        <v/>
      </c>
      <c r="P1394" s="30">
        <f>IF(A1394="","",CHOOSE(WEEKDAY(A1394,2),"Segunda","Terça","Quarta","Quinta","Sexta","Sábado","Domingo"))</f>
        <v/>
      </c>
      <c r="Q1394" s="30">
        <f>IF(B1394="","",IF(B1394&lt;TIME(12,0,0),"Manhã",IF(B1394&lt;TIME(18,0,0),"Tarde","Noite")))</f>
        <v/>
      </c>
      <c r="R1394" s="46">
        <f>IF(AND(H1394="Realizado",L1394&lt;&gt;"",A1394&lt;=Config!$B$9),L1394/60,0)</f>
        <v>0</v>
      </c>
      <c r="S1394" s="45">
        <f>IF(G1394="","",IFERROR(INDEX(Config!$K$5:$K$16,MATCH(G1394,Config!$J$5:$J$16,0)),""))</f>
        <v/>
      </c>
      <c r="T1394" s="31">
        <f>IF(OR(G1394="",F1394=""),"",IFERROR(INDEX(Config!$M$5:$R$16,MATCH(G1394,Config!$J$5:$J$16,0),MATCH(F1394,Config!$H$5:$H$10,0)),""))</f>
        <v/>
      </c>
      <c r="U1394" s="47">
        <f>IF(AND(H1394="Realizado",L1394&lt;&gt;""),L1394/60,0)</f>
        <v>0</v>
      </c>
      <c r="V1394" s="47">
        <f>IF(AND(H1394="Realizado",OR(L1394="",M1394="")),1,0)</f>
        <v>0</v>
      </c>
    </row>
    <row r="1395">
      <c r="A1395" s="43" t="n"/>
      <c r="B1395" s="44" t="n"/>
      <c r="C1395" s="38" t="n"/>
      <c r="D1395" s="38" t="n"/>
      <c r="E1395" s="37" t="n"/>
      <c r="F1395" s="38" t="n"/>
      <c r="G1395" s="38" t="n"/>
      <c r="H1395" s="38" t="n"/>
      <c r="I1395" s="38" t="n"/>
      <c r="J1395" s="38" t="n"/>
      <c r="K1395" s="37" t="n"/>
      <c r="L1395" s="39" t="n"/>
      <c r="M1395" s="40" t="n"/>
      <c r="N1395" s="30">
        <f>IF(A1395="","",MONTH(A1395))</f>
        <v/>
      </c>
      <c r="O1395" s="30">
        <f>IF(A1395="","",YEAR(A1395))</f>
        <v/>
      </c>
      <c r="P1395" s="30">
        <f>IF(A1395="","",CHOOSE(WEEKDAY(A1395,2),"Segunda","Terça","Quarta","Quinta","Sexta","Sábado","Domingo"))</f>
        <v/>
      </c>
      <c r="Q1395" s="30">
        <f>IF(B1395="","",IF(B1395&lt;TIME(12,0,0),"Manhã",IF(B1395&lt;TIME(18,0,0),"Tarde","Noite")))</f>
        <v/>
      </c>
      <c r="R1395" s="46">
        <f>IF(AND(H1395="Realizado",L1395&lt;&gt;"",A1395&lt;=Config!$B$9),L1395/60,0)</f>
        <v>0</v>
      </c>
      <c r="S1395" s="45">
        <f>IF(G1395="","",IFERROR(INDEX(Config!$K$5:$K$16,MATCH(G1395,Config!$J$5:$J$16,0)),""))</f>
        <v/>
      </c>
      <c r="T1395" s="31">
        <f>IF(OR(G1395="",F1395=""),"",IFERROR(INDEX(Config!$M$5:$R$16,MATCH(G1395,Config!$J$5:$J$16,0),MATCH(F1395,Config!$H$5:$H$10,0)),""))</f>
        <v/>
      </c>
      <c r="U1395" s="47">
        <f>IF(AND(H1395="Realizado",L1395&lt;&gt;""),L1395/60,0)</f>
        <v>0</v>
      </c>
      <c r="V1395" s="47">
        <f>IF(AND(H1395="Realizado",OR(L1395="",M1395="")),1,0)</f>
        <v>0</v>
      </c>
    </row>
    <row r="1396">
      <c r="A1396" s="43" t="n"/>
      <c r="B1396" s="44" t="n"/>
      <c r="C1396" s="38" t="n"/>
      <c r="D1396" s="38" t="n"/>
      <c r="E1396" s="37" t="n"/>
      <c r="F1396" s="38" t="n"/>
      <c r="G1396" s="38" t="n"/>
      <c r="H1396" s="38" t="n"/>
      <c r="I1396" s="38" t="n"/>
      <c r="J1396" s="38" t="n"/>
      <c r="K1396" s="37" t="n"/>
      <c r="L1396" s="39" t="n"/>
      <c r="M1396" s="40" t="n"/>
      <c r="N1396" s="30">
        <f>IF(A1396="","",MONTH(A1396))</f>
        <v/>
      </c>
      <c r="O1396" s="30">
        <f>IF(A1396="","",YEAR(A1396))</f>
        <v/>
      </c>
      <c r="P1396" s="30">
        <f>IF(A1396="","",CHOOSE(WEEKDAY(A1396,2),"Segunda","Terça","Quarta","Quinta","Sexta","Sábado","Domingo"))</f>
        <v/>
      </c>
      <c r="Q1396" s="30">
        <f>IF(B1396="","",IF(B1396&lt;TIME(12,0,0),"Manhã",IF(B1396&lt;TIME(18,0,0),"Tarde","Noite")))</f>
        <v/>
      </c>
      <c r="R1396" s="46">
        <f>IF(AND(H1396="Realizado",L1396&lt;&gt;"",A1396&lt;=Config!$B$9),L1396/60,0)</f>
        <v>0</v>
      </c>
      <c r="S1396" s="45">
        <f>IF(G1396="","",IFERROR(INDEX(Config!$K$5:$K$16,MATCH(G1396,Config!$J$5:$J$16,0)),""))</f>
        <v/>
      </c>
      <c r="T1396" s="31">
        <f>IF(OR(G1396="",F1396=""),"",IFERROR(INDEX(Config!$M$5:$R$16,MATCH(G1396,Config!$J$5:$J$16,0),MATCH(F1396,Config!$H$5:$H$10,0)),""))</f>
        <v/>
      </c>
      <c r="U1396" s="47">
        <f>IF(AND(H1396="Realizado",L1396&lt;&gt;""),L1396/60,0)</f>
        <v>0</v>
      </c>
      <c r="V1396" s="47">
        <f>IF(AND(H1396="Realizado",OR(L1396="",M1396="")),1,0)</f>
        <v>0</v>
      </c>
    </row>
    <row r="1397">
      <c r="A1397" s="43" t="n"/>
      <c r="B1397" s="44" t="n"/>
      <c r="C1397" s="38" t="n"/>
      <c r="D1397" s="38" t="n"/>
      <c r="E1397" s="37" t="n"/>
      <c r="F1397" s="38" t="n"/>
      <c r="G1397" s="38" t="n"/>
      <c r="H1397" s="38" t="n"/>
      <c r="I1397" s="38" t="n"/>
      <c r="J1397" s="38" t="n"/>
      <c r="K1397" s="37" t="n"/>
      <c r="L1397" s="39" t="n"/>
      <c r="M1397" s="40" t="n"/>
      <c r="N1397" s="30">
        <f>IF(A1397="","",MONTH(A1397))</f>
        <v/>
      </c>
      <c r="O1397" s="30">
        <f>IF(A1397="","",YEAR(A1397))</f>
        <v/>
      </c>
      <c r="P1397" s="30">
        <f>IF(A1397="","",CHOOSE(WEEKDAY(A1397,2),"Segunda","Terça","Quarta","Quinta","Sexta","Sábado","Domingo"))</f>
        <v/>
      </c>
      <c r="Q1397" s="30">
        <f>IF(B1397="","",IF(B1397&lt;TIME(12,0,0),"Manhã",IF(B1397&lt;TIME(18,0,0),"Tarde","Noite")))</f>
        <v/>
      </c>
      <c r="R1397" s="46">
        <f>IF(AND(H1397="Realizado",L1397&lt;&gt;"",A1397&lt;=Config!$B$9),L1397/60,0)</f>
        <v>0</v>
      </c>
      <c r="S1397" s="45">
        <f>IF(G1397="","",IFERROR(INDEX(Config!$K$5:$K$16,MATCH(G1397,Config!$J$5:$J$16,0)),""))</f>
        <v/>
      </c>
      <c r="T1397" s="31">
        <f>IF(OR(G1397="",F1397=""),"",IFERROR(INDEX(Config!$M$5:$R$16,MATCH(G1397,Config!$J$5:$J$16,0),MATCH(F1397,Config!$H$5:$H$10,0)),""))</f>
        <v/>
      </c>
      <c r="U1397" s="47">
        <f>IF(AND(H1397="Realizado",L1397&lt;&gt;""),L1397/60,0)</f>
        <v>0</v>
      </c>
      <c r="V1397" s="47">
        <f>IF(AND(H1397="Realizado",OR(L1397="",M1397="")),1,0)</f>
        <v>0</v>
      </c>
    </row>
    <row r="1398">
      <c r="A1398" s="43" t="n"/>
      <c r="B1398" s="44" t="n"/>
      <c r="C1398" s="38" t="n"/>
      <c r="D1398" s="38" t="n"/>
      <c r="E1398" s="37" t="n"/>
      <c r="F1398" s="38" t="n"/>
      <c r="G1398" s="38" t="n"/>
      <c r="H1398" s="38" t="n"/>
      <c r="I1398" s="38" t="n"/>
      <c r="J1398" s="38" t="n"/>
      <c r="K1398" s="37" t="n"/>
      <c r="L1398" s="39" t="n"/>
      <c r="M1398" s="40" t="n"/>
      <c r="N1398" s="30">
        <f>IF(A1398="","",MONTH(A1398))</f>
        <v/>
      </c>
      <c r="O1398" s="30">
        <f>IF(A1398="","",YEAR(A1398))</f>
        <v/>
      </c>
      <c r="P1398" s="30">
        <f>IF(A1398="","",CHOOSE(WEEKDAY(A1398,2),"Segunda","Terça","Quarta","Quinta","Sexta","Sábado","Domingo"))</f>
        <v/>
      </c>
      <c r="Q1398" s="30">
        <f>IF(B1398="","",IF(B1398&lt;TIME(12,0,0),"Manhã",IF(B1398&lt;TIME(18,0,0),"Tarde","Noite")))</f>
        <v/>
      </c>
      <c r="R1398" s="46">
        <f>IF(AND(H1398="Realizado",L1398&lt;&gt;"",A1398&lt;=Config!$B$9),L1398/60,0)</f>
        <v>0</v>
      </c>
      <c r="S1398" s="45">
        <f>IF(G1398="","",IFERROR(INDEX(Config!$K$5:$K$16,MATCH(G1398,Config!$J$5:$J$16,0)),""))</f>
        <v/>
      </c>
      <c r="T1398" s="31">
        <f>IF(OR(G1398="",F1398=""),"",IFERROR(INDEX(Config!$M$5:$R$16,MATCH(G1398,Config!$J$5:$J$16,0),MATCH(F1398,Config!$H$5:$H$10,0)),""))</f>
        <v/>
      </c>
      <c r="U1398" s="47">
        <f>IF(AND(H1398="Realizado",L1398&lt;&gt;""),L1398/60,0)</f>
        <v>0</v>
      </c>
      <c r="V1398" s="47">
        <f>IF(AND(H1398="Realizado",OR(L1398="",M1398="")),1,0)</f>
        <v>0</v>
      </c>
    </row>
    <row r="1399">
      <c r="A1399" s="43" t="n"/>
      <c r="B1399" s="44" t="n"/>
      <c r="C1399" s="38" t="n"/>
      <c r="D1399" s="38" t="n"/>
      <c r="E1399" s="37" t="n"/>
      <c r="F1399" s="38" t="n"/>
      <c r="G1399" s="38" t="n"/>
      <c r="H1399" s="38" t="n"/>
      <c r="I1399" s="38" t="n"/>
      <c r="J1399" s="38" t="n"/>
      <c r="K1399" s="37" t="n"/>
      <c r="L1399" s="39" t="n"/>
      <c r="M1399" s="40" t="n"/>
      <c r="N1399" s="30">
        <f>IF(A1399="","",MONTH(A1399))</f>
        <v/>
      </c>
      <c r="O1399" s="30">
        <f>IF(A1399="","",YEAR(A1399))</f>
        <v/>
      </c>
      <c r="P1399" s="30">
        <f>IF(A1399="","",CHOOSE(WEEKDAY(A1399,2),"Segunda","Terça","Quarta","Quinta","Sexta","Sábado","Domingo"))</f>
        <v/>
      </c>
      <c r="Q1399" s="30">
        <f>IF(B1399="","",IF(B1399&lt;TIME(12,0,0),"Manhã",IF(B1399&lt;TIME(18,0,0),"Tarde","Noite")))</f>
        <v/>
      </c>
      <c r="R1399" s="46">
        <f>IF(AND(H1399="Realizado",L1399&lt;&gt;"",A1399&lt;=Config!$B$9),L1399/60,0)</f>
        <v>0</v>
      </c>
      <c r="S1399" s="45">
        <f>IF(G1399="","",IFERROR(INDEX(Config!$K$5:$K$16,MATCH(G1399,Config!$J$5:$J$16,0)),""))</f>
        <v/>
      </c>
      <c r="T1399" s="31">
        <f>IF(OR(G1399="",F1399=""),"",IFERROR(INDEX(Config!$M$5:$R$16,MATCH(G1399,Config!$J$5:$J$16,0),MATCH(F1399,Config!$H$5:$H$10,0)),""))</f>
        <v/>
      </c>
      <c r="U1399" s="47">
        <f>IF(AND(H1399="Realizado",L1399&lt;&gt;""),L1399/60,0)</f>
        <v>0</v>
      </c>
      <c r="V1399" s="47">
        <f>IF(AND(H1399="Realizado",OR(L1399="",M1399="")),1,0)</f>
        <v>0</v>
      </c>
    </row>
    <row r="1400">
      <c r="A1400" s="43" t="n"/>
      <c r="B1400" s="44" t="n"/>
      <c r="C1400" s="38" t="n"/>
      <c r="D1400" s="38" t="n"/>
      <c r="E1400" s="37" t="n"/>
      <c r="F1400" s="38" t="n"/>
      <c r="G1400" s="38" t="n"/>
      <c r="H1400" s="38" t="n"/>
      <c r="I1400" s="38" t="n"/>
      <c r="J1400" s="38" t="n"/>
      <c r="K1400" s="37" t="n"/>
      <c r="L1400" s="39" t="n"/>
      <c r="M1400" s="40" t="n"/>
      <c r="N1400" s="30">
        <f>IF(A1400="","",MONTH(A1400))</f>
        <v/>
      </c>
      <c r="O1400" s="30">
        <f>IF(A1400="","",YEAR(A1400))</f>
        <v/>
      </c>
      <c r="P1400" s="30">
        <f>IF(A1400="","",CHOOSE(WEEKDAY(A1400,2),"Segunda","Terça","Quarta","Quinta","Sexta","Sábado","Domingo"))</f>
        <v/>
      </c>
      <c r="Q1400" s="30">
        <f>IF(B1400="","",IF(B1400&lt;TIME(12,0,0),"Manhã",IF(B1400&lt;TIME(18,0,0),"Tarde","Noite")))</f>
        <v/>
      </c>
      <c r="R1400" s="46">
        <f>IF(AND(H1400="Realizado",L1400&lt;&gt;"",A1400&lt;=Config!$B$9),L1400/60,0)</f>
        <v>0</v>
      </c>
      <c r="S1400" s="45">
        <f>IF(G1400="","",IFERROR(INDEX(Config!$K$5:$K$16,MATCH(G1400,Config!$J$5:$J$16,0)),""))</f>
        <v/>
      </c>
      <c r="T1400" s="31">
        <f>IF(OR(G1400="",F1400=""),"",IFERROR(INDEX(Config!$M$5:$R$16,MATCH(G1400,Config!$J$5:$J$16,0),MATCH(F1400,Config!$H$5:$H$10,0)),""))</f>
        <v/>
      </c>
      <c r="U1400" s="47">
        <f>IF(AND(H1400="Realizado",L1400&lt;&gt;""),L1400/60,0)</f>
        <v>0</v>
      </c>
      <c r="V1400" s="47">
        <f>IF(AND(H1400="Realizado",OR(L1400="",M1400="")),1,0)</f>
        <v>0</v>
      </c>
    </row>
    <row r="1401">
      <c r="A1401" s="43" t="n"/>
      <c r="B1401" s="44" t="n"/>
      <c r="C1401" s="38" t="n"/>
      <c r="D1401" s="38" t="n"/>
      <c r="E1401" s="37" t="n"/>
      <c r="F1401" s="38" t="n"/>
      <c r="G1401" s="38" t="n"/>
      <c r="H1401" s="38" t="n"/>
      <c r="I1401" s="38" t="n"/>
      <c r="J1401" s="38" t="n"/>
      <c r="K1401" s="37" t="n"/>
      <c r="L1401" s="39" t="n"/>
      <c r="M1401" s="40" t="n"/>
      <c r="N1401" s="30">
        <f>IF(A1401="","",MONTH(A1401))</f>
        <v/>
      </c>
      <c r="O1401" s="30">
        <f>IF(A1401="","",YEAR(A1401))</f>
        <v/>
      </c>
      <c r="P1401" s="30">
        <f>IF(A1401="","",CHOOSE(WEEKDAY(A1401,2),"Segunda","Terça","Quarta","Quinta","Sexta","Sábado","Domingo"))</f>
        <v/>
      </c>
      <c r="Q1401" s="30">
        <f>IF(B1401="","",IF(B1401&lt;TIME(12,0,0),"Manhã",IF(B1401&lt;TIME(18,0,0),"Tarde","Noite")))</f>
        <v/>
      </c>
      <c r="R1401" s="46">
        <f>IF(AND(H1401="Realizado",L1401&lt;&gt;"",A1401&lt;=Config!$B$9),L1401/60,0)</f>
        <v>0</v>
      </c>
      <c r="S1401" s="45">
        <f>IF(G1401="","",IFERROR(INDEX(Config!$K$5:$K$16,MATCH(G1401,Config!$J$5:$J$16,0)),""))</f>
        <v/>
      </c>
      <c r="T1401" s="31">
        <f>IF(OR(G1401="",F1401=""),"",IFERROR(INDEX(Config!$M$5:$R$16,MATCH(G1401,Config!$J$5:$J$16,0),MATCH(F1401,Config!$H$5:$H$10,0)),""))</f>
        <v/>
      </c>
      <c r="U1401" s="47">
        <f>IF(AND(H1401="Realizado",L1401&lt;&gt;""),L1401/60,0)</f>
        <v>0</v>
      </c>
      <c r="V1401" s="47">
        <f>IF(AND(H1401="Realizado",OR(L1401="",M1401="")),1,0)</f>
        <v>0</v>
      </c>
    </row>
    <row r="1402">
      <c r="A1402" s="43" t="n"/>
      <c r="B1402" s="44" t="n"/>
      <c r="C1402" s="38" t="n"/>
      <c r="D1402" s="38" t="n"/>
      <c r="E1402" s="37" t="n"/>
      <c r="F1402" s="38" t="n"/>
      <c r="G1402" s="38" t="n"/>
      <c r="H1402" s="38" t="n"/>
      <c r="I1402" s="38" t="n"/>
      <c r="J1402" s="38" t="n"/>
      <c r="K1402" s="37" t="n"/>
      <c r="L1402" s="39" t="n"/>
      <c r="M1402" s="40" t="n"/>
      <c r="N1402" s="30">
        <f>IF(A1402="","",MONTH(A1402))</f>
        <v/>
      </c>
      <c r="O1402" s="30">
        <f>IF(A1402="","",YEAR(A1402))</f>
        <v/>
      </c>
      <c r="P1402" s="30">
        <f>IF(A1402="","",CHOOSE(WEEKDAY(A1402,2),"Segunda","Terça","Quarta","Quinta","Sexta","Sábado","Domingo"))</f>
        <v/>
      </c>
      <c r="Q1402" s="30">
        <f>IF(B1402="","",IF(B1402&lt;TIME(12,0,0),"Manhã",IF(B1402&lt;TIME(18,0,0),"Tarde","Noite")))</f>
        <v/>
      </c>
      <c r="R1402" s="46">
        <f>IF(AND(H1402="Realizado",L1402&lt;&gt;"",A1402&lt;=Config!$B$9),L1402/60,0)</f>
        <v>0</v>
      </c>
      <c r="S1402" s="45">
        <f>IF(G1402="","",IFERROR(INDEX(Config!$K$5:$K$16,MATCH(G1402,Config!$J$5:$J$16,0)),""))</f>
        <v/>
      </c>
      <c r="T1402" s="31">
        <f>IF(OR(G1402="",F1402=""),"",IFERROR(INDEX(Config!$M$5:$R$16,MATCH(G1402,Config!$J$5:$J$16,0),MATCH(F1402,Config!$H$5:$H$10,0)),""))</f>
        <v/>
      </c>
      <c r="U1402" s="47">
        <f>IF(AND(H1402="Realizado",L1402&lt;&gt;""),L1402/60,0)</f>
        <v>0</v>
      </c>
      <c r="V1402" s="47">
        <f>IF(AND(H1402="Realizado",OR(L1402="",M1402="")),1,0)</f>
        <v>0</v>
      </c>
    </row>
    <row r="1403">
      <c r="A1403" s="43" t="n"/>
      <c r="B1403" s="44" t="n"/>
      <c r="C1403" s="38" t="n"/>
      <c r="D1403" s="38" t="n"/>
      <c r="E1403" s="37" t="n"/>
      <c r="F1403" s="38" t="n"/>
      <c r="G1403" s="38" t="n"/>
      <c r="H1403" s="38" t="n"/>
      <c r="I1403" s="38" t="n"/>
      <c r="J1403" s="38" t="n"/>
      <c r="K1403" s="37" t="n"/>
      <c r="L1403" s="39" t="n"/>
      <c r="M1403" s="40" t="n"/>
      <c r="N1403" s="30">
        <f>IF(A1403="","",MONTH(A1403))</f>
        <v/>
      </c>
      <c r="O1403" s="30">
        <f>IF(A1403="","",YEAR(A1403))</f>
        <v/>
      </c>
      <c r="P1403" s="30">
        <f>IF(A1403="","",CHOOSE(WEEKDAY(A1403,2),"Segunda","Terça","Quarta","Quinta","Sexta","Sábado","Domingo"))</f>
        <v/>
      </c>
      <c r="Q1403" s="30">
        <f>IF(B1403="","",IF(B1403&lt;TIME(12,0,0),"Manhã",IF(B1403&lt;TIME(18,0,0),"Tarde","Noite")))</f>
        <v/>
      </c>
      <c r="R1403" s="46">
        <f>IF(AND(H1403="Realizado",L1403&lt;&gt;"",A1403&lt;=Config!$B$9),L1403/60,0)</f>
        <v>0</v>
      </c>
      <c r="S1403" s="45">
        <f>IF(G1403="","",IFERROR(INDEX(Config!$K$5:$K$16,MATCH(G1403,Config!$J$5:$J$16,0)),""))</f>
        <v/>
      </c>
      <c r="T1403" s="31">
        <f>IF(OR(G1403="",F1403=""),"",IFERROR(INDEX(Config!$M$5:$R$16,MATCH(G1403,Config!$J$5:$J$16,0),MATCH(F1403,Config!$H$5:$H$10,0)),""))</f>
        <v/>
      </c>
      <c r="U1403" s="47">
        <f>IF(AND(H1403="Realizado",L1403&lt;&gt;""),L1403/60,0)</f>
        <v>0</v>
      </c>
      <c r="V1403" s="47">
        <f>IF(AND(H1403="Realizado",OR(L1403="",M1403="")),1,0)</f>
        <v>0</v>
      </c>
    </row>
    <row r="1404">
      <c r="A1404" s="43" t="n"/>
      <c r="B1404" s="44" t="n"/>
      <c r="C1404" s="38" t="n"/>
      <c r="D1404" s="38" t="n"/>
      <c r="E1404" s="37" t="n"/>
      <c r="F1404" s="38" t="n"/>
      <c r="G1404" s="38" t="n"/>
      <c r="H1404" s="38" t="n"/>
      <c r="I1404" s="38" t="n"/>
      <c r="J1404" s="38" t="n"/>
      <c r="K1404" s="37" t="n"/>
      <c r="L1404" s="39" t="n"/>
      <c r="M1404" s="40" t="n"/>
      <c r="N1404" s="30">
        <f>IF(A1404="","",MONTH(A1404))</f>
        <v/>
      </c>
      <c r="O1404" s="30">
        <f>IF(A1404="","",YEAR(A1404))</f>
        <v/>
      </c>
      <c r="P1404" s="30">
        <f>IF(A1404="","",CHOOSE(WEEKDAY(A1404,2),"Segunda","Terça","Quarta","Quinta","Sexta","Sábado","Domingo"))</f>
        <v/>
      </c>
      <c r="Q1404" s="30">
        <f>IF(B1404="","",IF(B1404&lt;TIME(12,0,0),"Manhã",IF(B1404&lt;TIME(18,0,0),"Tarde","Noite")))</f>
        <v/>
      </c>
      <c r="R1404" s="46">
        <f>IF(AND(H1404="Realizado",L1404&lt;&gt;"",A1404&lt;=Config!$B$9),L1404/60,0)</f>
        <v>0</v>
      </c>
      <c r="S1404" s="45">
        <f>IF(G1404="","",IFERROR(INDEX(Config!$K$5:$K$16,MATCH(G1404,Config!$J$5:$J$16,0)),""))</f>
        <v/>
      </c>
      <c r="T1404" s="31">
        <f>IF(OR(G1404="",F1404=""),"",IFERROR(INDEX(Config!$M$5:$R$16,MATCH(G1404,Config!$J$5:$J$16,0),MATCH(F1404,Config!$H$5:$H$10,0)),""))</f>
        <v/>
      </c>
      <c r="U1404" s="47">
        <f>IF(AND(H1404="Realizado",L1404&lt;&gt;""),L1404/60,0)</f>
        <v>0</v>
      </c>
      <c r="V1404" s="47">
        <f>IF(AND(H1404="Realizado",OR(L1404="",M1404="")),1,0)</f>
        <v>0</v>
      </c>
    </row>
    <row r="1405">
      <c r="A1405" s="43" t="n"/>
      <c r="B1405" s="44" t="n"/>
      <c r="C1405" s="38" t="n"/>
      <c r="D1405" s="38" t="n"/>
      <c r="E1405" s="37" t="n"/>
      <c r="F1405" s="38" t="n"/>
      <c r="G1405" s="38" t="n"/>
      <c r="H1405" s="38" t="n"/>
      <c r="I1405" s="38" t="n"/>
      <c r="J1405" s="38" t="n"/>
      <c r="K1405" s="37" t="n"/>
      <c r="L1405" s="39" t="n"/>
      <c r="M1405" s="40" t="n"/>
      <c r="N1405" s="30">
        <f>IF(A1405="","",MONTH(A1405))</f>
        <v/>
      </c>
      <c r="O1405" s="30">
        <f>IF(A1405="","",YEAR(A1405))</f>
        <v/>
      </c>
      <c r="P1405" s="30">
        <f>IF(A1405="","",CHOOSE(WEEKDAY(A1405,2),"Segunda","Terça","Quarta","Quinta","Sexta","Sábado","Domingo"))</f>
        <v/>
      </c>
      <c r="Q1405" s="30">
        <f>IF(B1405="","",IF(B1405&lt;TIME(12,0,0),"Manhã",IF(B1405&lt;TIME(18,0,0),"Tarde","Noite")))</f>
        <v/>
      </c>
      <c r="R1405" s="46">
        <f>IF(AND(H1405="Realizado",L1405&lt;&gt;"",A1405&lt;=Config!$B$9),L1405/60,0)</f>
        <v>0</v>
      </c>
      <c r="S1405" s="45">
        <f>IF(G1405="","",IFERROR(INDEX(Config!$K$5:$K$16,MATCH(G1405,Config!$J$5:$J$16,0)),""))</f>
        <v/>
      </c>
      <c r="T1405" s="31">
        <f>IF(OR(G1405="",F1405=""),"",IFERROR(INDEX(Config!$M$5:$R$16,MATCH(G1405,Config!$J$5:$J$16,0),MATCH(F1405,Config!$H$5:$H$10,0)),""))</f>
        <v/>
      </c>
      <c r="U1405" s="47">
        <f>IF(AND(H1405="Realizado",L1405&lt;&gt;""),L1405/60,0)</f>
        <v>0</v>
      </c>
      <c r="V1405" s="47">
        <f>IF(AND(H1405="Realizado",OR(L1405="",M1405="")),1,0)</f>
        <v>0</v>
      </c>
    </row>
    <row r="1406">
      <c r="A1406" s="43" t="n"/>
      <c r="B1406" s="44" t="n"/>
      <c r="C1406" s="38" t="n"/>
      <c r="D1406" s="38" t="n"/>
      <c r="E1406" s="37" t="n"/>
      <c r="F1406" s="38" t="n"/>
      <c r="G1406" s="38" t="n"/>
      <c r="H1406" s="38" t="n"/>
      <c r="I1406" s="38" t="n"/>
      <c r="J1406" s="38" t="n"/>
      <c r="K1406" s="37" t="n"/>
      <c r="L1406" s="39" t="n"/>
      <c r="M1406" s="40" t="n"/>
      <c r="N1406" s="30">
        <f>IF(A1406="","",MONTH(A1406))</f>
        <v/>
      </c>
      <c r="O1406" s="30">
        <f>IF(A1406="","",YEAR(A1406))</f>
        <v/>
      </c>
      <c r="P1406" s="30">
        <f>IF(A1406="","",CHOOSE(WEEKDAY(A1406,2),"Segunda","Terça","Quarta","Quinta","Sexta","Sábado","Domingo"))</f>
        <v/>
      </c>
      <c r="Q1406" s="30">
        <f>IF(B1406="","",IF(B1406&lt;TIME(12,0,0),"Manhã",IF(B1406&lt;TIME(18,0,0),"Tarde","Noite")))</f>
        <v/>
      </c>
      <c r="R1406" s="46">
        <f>IF(AND(H1406="Realizado",L1406&lt;&gt;"",A1406&lt;=Config!$B$9),L1406/60,0)</f>
        <v>0</v>
      </c>
      <c r="S1406" s="45">
        <f>IF(G1406="","",IFERROR(INDEX(Config!$K$5:$K$16,MATCH(G1406,Config!$J$5:$J$16,0)),""))</f>
        <v/>
      </c>
      <c r="T1406" s="31">
        <f>IF(OR(G1406="",F1406=""),"",IFERROR(INDEX(Config!$M$5:$R$16,MATCH(G1406,Config!$J$5:$J$16,0),MATCH(F1406,Config!$H$5:$H$10,0)),""))</f>
        <v/>
      </c>
      <c r="U1406" s="47">
        <f>IF(AND(H1406="Realizado",L1406&lt;&gt;""),L1406/60,0)</f>
        <v>0</v>
      </c>
      <c r="V1406" s="47">
        <f>IF(AND(H1406="Realizado",OR(L1406="",M1406="")),1,0)</f>
        <v>0</v>
      </c>
    </row>
    <row r="1407">
      <c r="A1407" s="43" t="n"/>
      <c r="B1407" s="44" t="n"/>
      <c r="C1407" s="38" t="n"/>
      <c r="D1407" s="38" t="n"/>
      <c r="E1407" s="37" t="n"/>
      <c r="F1407" s="38" t="n"/>
      <c r="G1407" s="38" t="n"/>
      <c r="H1407" s="38" t="n"/>
      <c r="I1407" s="38" t="n"/>
      <c r="J1407" s="38" t="n"/>
      <c r="K1407" s="37" t="n"/>
      <c r="L1407" s="39" t="n"/>
      <c r="M1407" s="40" t="n"/>
      <c r="N1407" s="30">
        <f>IF(A1407="","",MONTH(A1407))</f>
        <v/>
      </c>
      <c r="O1407" s="30">
        <f>IF(A1407="","",YEAR(A1407))</f>
        <v/>
      </c>
      <c r="P1407" s="30">
        <f>IF(A1407="","",CHOOSE(WEEKDAY(A1407,2),"Segunda","Terça","Quarta","Quinta","Sexta","Sábado","Domingo"))</f>
        <v/>
      </c>
      <c r="Q1407" s="30">
        <f>IF(B1407="","",IF(B1407&lt;TIME(12,0,0),"Manhã",IF(B1407&lt;TIME(18,0,0),"Tarde","Noite")))</f>
        <v/>
      </c>
      <c r="R1407" s="46">
        <f>IF(AND(H1407="Realizado",L1407&lt;&gt;"",A1407&lt;=Config!$B$9),L1407/60,0)</f>
        <v>0</v>
      </c>
      <c r="S1407" s="45">
        <f>IF(G1407="","",IFERROR(INDEX(Config!$K$5:$K$16,MATCH(G1407,Config!$J$5:$J$16,0)),""))</f>
        <v/>
      </c>
      <c r="T1407" s="31">
        <f>IF(OR(G1407="",F1407=""),"",IFERROR(INDEX(Config!$M$5:$R$16,MATCH(G1407,Config!$J$5:$J$16,0),MATCH(F1407,Config!$H$5:$H$10,0)),""))</f>
        <v/>
      </c>
      <c r="U1407" s="47">
        <f>IF(AND(H1407="Realizado",L1407&lt;&gt;""),L1407/60,0)</f>
        <v>0</v>
      </c>
      <c r="V1407" s="47">
        <f>IF(AND(H1407="Realizado",OR(L1407="",M1407="")),1,0)</f>
        <v>0</v>
      </c>
    </row>
    <row r="1408">
      <c r="A1408" s="43" t="n"/>
      <c r="B1408" s="44" t="n"/>
      <c r="C1408" s="38" t="n"/>
      <c r="D1408" s="38" t="n"/>
      <c r="E1408" s="37" t="n"/>
      <c r="F1408" s="38" t="n"/>
      <c r="G1408" s="38" t="n"/>
      <c r="H1408" s="38" t="n"/>
      <c r="I1408" s="38" t="n"/>
      <c r="J1408" s="38" t="n"/>
      <c r="K1408" s="37" t="n"/>
      <c r="L1408" s="39" t="n"/>
      <c r="M1408" s="40" t="n"/>
      <c r="N1408" s="30">
        <f>IF(A1408="","",MONTH(A1408))</f>
        <v/>
      </c>
      <c r="O1408" s="30">
        <f>IF(A1408="","",YEAR(A1408))</f>
        <v/>
      </c>
      <c r="P1408" s="30">
        <f>IF(A1408="","",CHOOSE(WEEKDAY(A1408,2),"Segunda","Terça","Quarta","Quinta","Sexta","Sábado","Domingo"))</f>
        <v/>
      </c>
      <c r="Q1408" s="30">
        <f>IF(B1408="","",IF(B1408&lt;TIME(12,0,0),"Manhã",IF(B1408&lt;TIME(18,0,0),"Tarde","Noite")))</f>
        <v/>
      </c>
      <c r="R1408" s="46">
        <f>IF(AND(H1408="Realizado",L1408&lt;&gt;"",A1408&lt;=Config!$B$9),L1408/60,0)</f>
        <v>0</v>
      </c>
      <c r="S1408" s="45">
        <f>IF(G1408="","",IFERROR(INDEX(Config!$K$5:$K$16,MATCH(G1408,Config!$J$5:$J$16,0)),""))</f>
        <v/>
      </c>
      <c r="T1408" s="31">
        <f>IF(OR(G1408="",F1408=""),"",IFERROR(INDEX(Config!$M$5:$R$16,MATCH(G1408,Config!$J$5:$J$16,0),MATCH(F1408,Config!$H$5:$H$10,0)),""))</f>
        <v/>
      </c>
      <c r="U1408" s="47">
        <f>IF(AND(H1408="Realizado",L1408&lt;&gt;""),L1408/60,0)</f>
        <v>0</v>
      </c>
      <c r="V1408" s="47">
        <f>IF(AND(H1408="Realizado",OR(L1408="",M1408="")),1,0)</f>
        <v>0</v>
      </c>
    </row>
    <row r="1409">
      <c r="A1409" s="43" t="n"/>
      <c r="B1409" s="44" t="n"/>
      <c r="C1409" s="38" t="n"/>
      <c r="D1409" s="38" t="n"/>
      <c r="E1409" s="37" t="n"/>
      <c r="F1409" s="38" t="n"/>
      <c r="G1409" s="38" t="n"/>
      <c r="H1409" s="38" t="n"/>
      <c r="I1409" s="38" t="n"/>
      <c r="J1409" s="38" t="n"/>
      <c r="K1409" s="37" t="n"/>
      <c r="L1409" s="39" t="n"/>
      <c r="M1409" s="40" t="n"/>
      <c r="N1409" s="30">
        <f>IF(A1409="","",MONTH(A1409))</f>
        <v/>
      </c>
      <c r="O1409" s="30">
        <f>IF(A1409="","",YEAR(A1409))</f>
        <v/>
      </c>
      <c r="P1409" s="30">
        <f>IF(A1409="","",CHOOSE(WEEKDAY(A1409,2),"Segunda","Terça","Quarta","Quinta","Sexta","Sábado","Domingo"))</f>
        <v/>
      </c>
      <c r="Q1409" s="30">
        <f>IF(B1409="","",IF(B1409&lt;TIME(12,0,0),"Manhã",IF(B1409&lt;TIME(18,0,0),"Tarde","Noite")))</f>
        <v/>
      </c>
      <c r="R1409" s="46">
        <f>IF(AND(H1409="Realizado",L1409&lt;&gt;"",A1409&lt;=Config!$B$9),L1409/60,0)</f>
        <v>0</v>
      </c>
      <c r="S1409" s="45">
        <f>IF(G1409="","",IFERROR(INDEX(Config!$K$5:$K$16,MATCH(G1409,Config!$J$5:$J$16,0)),""))</f>
        <v/>
      </c>
      <c r="T1409" s="31">
        <f>IF(OR(G1409="",F1409=""),"",IFERROR(INDEX(Config!$M$5:$R$16,MATCH(G1409,Config!$J$5:$J$16,0),MATCH(F1409,Config!$H$5:$H$10,0)),""))</f>
        <v/>
      </c>
      <c r="U1409" s="47">
        <f>IF(AND(H1409="Realizado",L1409&lt;&gt;""),L1409/60,0)</f>
        <v>0</v>
      </c>
      <c r="V1409" s="47">
        <f>IF(AND(H1409="Realizado",OR(L1409="",M1409="")),1,0)</f>
        <v>0</v>
      </c>
    </row>
    <row r="1410">
      <c r="A1410" s="43" t="n"/>
      <c r="B1410" s="44" t="n"/>
      <c r="C1410" s="38" t="n"/>
      <c r="D1410" s="38" t="n"/>
      <c r="E1410" s="37" t="n"/>
      <c r="F1410" s="38" t="n"/>
      <c r="G1410" s="38" t="n"/>
      <c r="H1410" s="38" t="n"/>
      <c r="I1410" s="38" t="n"/>
      <c r="J1410" s="38" t="n"/>
      <c r="K1410" s="37" t="n"/>
      <c r="L1410" s="39" t="n"/>
      <c r="M1410" s="40" t="n"/>
      <c r="N1410" s="30">
        <f>IF(A1410="","",MONTH(A1410))</f>
        <v/>
      </c>
      <c r="O1410" s="30">
        <f>IF(A1410="","",YEAR(A1410))</f>
        <v/>
      </c>
      <c r="P1410" s="30">
        <f>IF(A1410="","",CHOOSE(WEEKDAY(A1410,2),"Segunda","Terça","Quarta","Quinta","Sexta","Sábado","Domingo"))</f>
        <v/>
      </c>
      <c r="Q1410" s="30">
        <f>IF(B1410="","",IF(B1410&lt;TIME(12,0,0),"Manhã",IF(B1410&lt;TIME(18,0,0),"Tarde","Noite")))</f>
        <v/>
      </c>
      <c r="R1410" s="46">
        <f>IF(AND(H1410="Realizado",L1410&lt;&gt;"",A1410&lt;=Config!$B$9),L1410/60,0)</f>
        <v>0</v>
      </c>
      <c r="S1410" s="45">
        <f>IF(G1410="","",IFERROR(INDEX(Config!$K$5:$K$16,MATCH(G1410,Config!$J$5:$J$16,0)),""))</f>
        <v/>
      </c>
      <c r="T1410" s="31">
        <f>IF(OR(G1410="",F1410=""),"",IFERROR(INDEX(Config!$M$5:$R$16,MATCH(G1410,Config!$J$5:$J$16,0),MATCH(F1410,Config!$H$5:$H$10,0)),""))</f>
        <v/>
      </c>
      <c r="U1410" s="47">
        <f>IF(AND(H1410="Realizado",L1410&lt;&gt;""),L1410/60,0)</f>
        <v>0</v>
      </c>
      <c r="V1410" s="47">
        <f>IF(AND(H1410="Realizado",OR(L1410="",M1410="")),1,0)</f>
        <v>0</v>
      </c>
    </row>
    <row r="1411">
      <c r="A1411" s="43" t="n"/>
      <c r="B1411" s="44" t="n"/>
      <c r="C1411" s="38" t="n"/>
      <c r="D1411" s="38" t="n"/>
      <c r="E1411" s="37" t="n"/>
      <c r="F1411" s="38" t="n"/>
      <c r="G1411" s="38" t="n"/>
      <c r="H1411" s="38" t="n"/>
      <c r="I1411" s="38" t="n"/>
      <c r="J1411" s="38" t="n"/>
      <c r="K1411" s="37" t="n"/>
      <c r="L1411" s="39" t="n"/>
      <c r="M1411" s="40" t="n"/>
      <c r="N1411" s="30">
        <f>IF(A1411="","",MONTH(A1411))</f>
        <v/>
      </c>
      <c r="O1411" s="30">
        <f>IF(A1411="","",YEAR(A1411))</f>
        <v/>
      </c>
      <c r="P1411" s="30">
        <f>IF(A1411="","",CHOOSE(WEEKDAY(A1411,2),"Segunda","Terça","Quarta","Quinta","Sexta","Sábado","Domingo"))</f>
        <v/>
      </c>
      <c r="Q1411" s="30">
        <f>IF(B1411="","",IF(B1411&lt;TIME(12,0,0),"Manhã",IF(B1411&lt;TIME(18,0,0),"Tarde","Noite")))</f>
        <v/>
      </c>
      <c r="R1411" s="46">
        <f>IF(AND(H1411="Realizado",L1411&lt;&gt;"",A1411&lt;=Config!$B$9),L1411/60,0)</f>
        <v>0</v>
      </c>
      <c r="S1411" s="45">
        <f>IF(G1411="","",IFERROR(INDEX(Config!$K$5:$K$16,MATCH(G1411,Config!$J$5:$J$16,0)),""))</f>
        <v/>
      </c>
      <c r="T1411" s="31">
        <f>IF(OR(G1411="",F1411=""),"",IFERROR(INDEX(Config!$M$5:$R$16,MATCH(G1411,Config!$J$5:$J$16,0),MATCH(F1411,Config!$H$5:$H$10,0)),""))</f>
        <v/>
      </c>
      <c r="U1411" s="47">
        <f>IF(AND(H1411="Realizado",L1411&lt;&gt;""),L1411/60,0)</f>
        <v>0</v>
      </c>
      <c r="V1411" s="47">
        <f>IF(AND(H1411="Realizado",OR(L1411="",M1411="")),1,0)</f>
        <v>0</v>
      </c>
    </row>
    <row r="1412">
      <c r="A1412" s="43" t="n"/>
      <c r="B1412" s="44" t="n"/>
      <c r="C1412" s="38" t="n"/>
      <c r="D1412" s="38" t="n"/>
      <c r="E1412" s="37" t="n"/>
      <c r="F1412" s="38" t="n"/>
      <c r="G1412" s="38" t="n"/>
      <c r="H1412" s="38" t="n"/>
      <c r="I1412" s="38" t="n"/>
      <c r="J1412" s="38" t="n"/>
      <c r="K1412" s="37" t="n"/>
      <c r="L1412" s="39" t="n"/>
      <c r="M1412" s="40" t="n"/>
      <c r="N1412" s="30">
        <f>IF(A1412="","",MONTH(A1412))</f>
        <v/>
      </c>
      <c r="O1412" s="30">
        <f>IF(A1412="","",YEAR(A1412))</f>
        <v/>
      </c>
      <c r="P1412" s="30">
        <f>IF(A1412="","",CHOOSE(WEEKDAY(A1412,2),"Segunda","Terça","Quarta","Quinta","Sexta","Sábado","Domingo"))</f>
        <v/>
      </c>
      <c r="Q1412" s="30">
        <f>IF(B1412="","",IF(B1412&lt;TIME(12,0,0),"Manhã",IF(B1412&lt;TIME(18,0,0),"Tarde","Noite")))</f>
        <v/>
      </c>
      <c r="R1412" s="46">
        <f>IF(AND(H1412="Realizado",L1412&lt;&gt;"",A1412&lt;=Config!$B$9),L1412/60,0)</f>
        <v>0</v>
      </c>
      <c r="S1412" s="45">
        <f>IF(G1412="","",IFERROR(INDEX(Config!$K$5:$K$16,MATCH(G1412,Config!$J$5:$J$16,0)),""))</f>
        <v/>
      </c>
      <c r="T1412" s="31">
        <f>IF(OR(G1412="",F1412=""),"",IFERROR(INDEX(Config!$M$5:$R$16,MATCH(G1412,Config!$J$5:$J$16,0),MATCH(F1412,Config!$H$5:$H$10,0)),""))</f>
        <v/>
      </c>
      <c r="U1412" s="47">
        <f>IF(AND(H1412="Realizado",L1412&lt;&gt;""),L1412/60,0)</f>
        <v>0</v>
      </c>
      <c r="V1412" s="47">
        <f>IF(AND(H1412="Realizado",OR(L1412="",M1412="")),1,0)</f>
        <v>0</v>
      </c>
    </row>
    <row r="1413">
      <c r="A1413" s="43" t="n"/>
      <c r="B1413" s="44" t="n"/>
      <c r="C1413" s="38" t="n"/>
      <c r="D1413" s="38" t="n"/>
      <c r="E1413" s="37" t="n"/>
      <c r="F1413" s="38" t="n"/>
      <c r="G1413" s="38" t="n"/>
      <c r="H1413" s="38" t="n"/>
      <c r="I1413" s="38" t="n"/>
      <c r="J1413" s="38" t="n"/>
      <c r="K1413" s="37" t="n"/>
      <c r="L1413" s="39" t="n"/>
      <c r="M1413" s="40" t="n"/>
      <c r="N1413" s="30">
        <f>IF(A1413="","",MONTH(A1413))</f>
        <v/>
      </c>
      <c r="O1413" s="30">
        <f>IF(A1413="","",YEAR(A1413))</f>
        <v/>
      </c>
      <c r="P1413" s="30">
        <f>IF(A1413="","",CHOOSE(WEEKDAY(A1413,2),"Segunda","Terça","Quarta","Quinta","Sexta","Sábado","Domingo"))</f>
        <v/>
      </c>
      <c r="Q1413" s="30">
        <f>IF(B1413="","",IF(B1413&lt;TIME(12,0,0),"Manhã",IF(B1413&lt;TIME(18,0,0),"Tarde","Noite")))</f>
        <v/>
      </c>
      <c r="R1413" s="46">
        <f>IF(AND(H1413="Realizado",L1413&lt;&gt;"",A1413&lt;=Config!$B$9),L1413/60,0)</f>
        <v>0</v>
      </c>
      <c r="S1413" s="45">
        <f>IF(G1413="","",IFERROR(INDEX(Config!$K$5:$K$16,MATCH(G1413,Config!$J$5:$J$16,0)),""))</f>
        <v/>
      </c>
      <c r="T1413" s="31">
        <f>IF(OR(G1413="",F1413=""),"",IFERROR(INDEX(Config!$M$5:$R$16,MATCH(G1413,Config!$J$5:$J$16,0),MATCH(F1413,Config!$H$5:$H$10,0)),""))</f>
        <v/>
      </c>
      <c r="U1413" s="47">
        <f>IF(AND(H1413="Realizado",L1413&lt;&gt;""),L1413/60,0)</f>
        <v>0</v>
      </c>
      <c r="V1413" s="47">
        <f>IF(AND(H1413="Realizado",OR(L1413="",M1413="")),1,0)</f>
        <v>0</v>
      </c>
    </row>
    <row r="1414">
      <c r="A1414" s="43" t="n"/>
      <c r="B1414" s="44" t="n"/>
      <c r="C1414" s="38" t="n"/>
      <c r="D1414" s="38" t="n"/>
      <c r="E1414" s="37" t="n"/>
      <c r="F1414" s="38" t="n"/>
      <c r="G1414" s="38" t="n"/>
      <c r="H1414" s="38" t="n"/>
      <c r="I1414" s="38" t="n"/>
      <c r="J1414" s="38" t="n"/>
      <c r="K1414" s="37" t="n"/>
      <c r="L1414" s="39" t="n"/>
      <c r="M1414" s="40" t="n"/>
      <c r="N1414" s="30">
        <f>IF(A1414="","",MONTH(A1414))</f>
        <v/>
      </c>
      <c r="O1414" s="30">
        <f>IF(A1414="","",YEAR(A1414))</f>
        <v/>
      </c>
      <c r="P1414" s="30">
        <f>IF(A1414="","",CHOOSE(WEEKDAY(A1414,2),"Segunda","Terça","Quarta","Quinta","Sexta","Sábado","Domingo"))</f>
        <v/>
      </c>
      <c r="Q1414" s="30">
        <f>IF(B1414="","",IF(B1414&lt;TIME(12,0,0),"Manhã",IF(B1414&lt;TIME(18,0,0),"Tarde","Noite")))</f>
        <v/>
      </c>
      <c r="R1414" s="46">
        <f>IF(AND(H1414="Realizado",L1414&lt;&gt;"",A1414&lt;=Config!$B$9),L1414/60,0)</f>
        <v>0</v>
      </c>
      <c r="S1414" s="45">
        <f>IF(G1414="","",IFERROR(INDEX(Config!$K$5:$K$16,MATCH(G1414,Config!$J$5:$J$16,0)),""))</f>
        <v/>
      </c>
      <c r="T1414" s="31">
        <f>IF(OR(G1414="",F1414=""),"",IFERROR(INDEX(Config!$M$5:$R$16,MATCH(G1414,Config!$J$5:$J$16,0),MATCH(F1414,Config!$H$5:$H$10,0)),""))</f>
        <v/>
      </c>
      <c r="U1414" s="47">
        <f>IF(AND(H1414="Realizado",L1414&lt;&gt;""),L1414/60,0)</f>
        <v>0</v>
      </c>
      <c r="V1414" s="47">
        <f>IF(AND(H1414="Realizado",OR(L1414="",M1414="")),1,0)</f>
        <v>0</v>
      </c>
    </row>
    <row r="1415">
      <c r="A1415" s="43" t="n"/>
      <c r="B1415" s="44" t="n"/>
      <c r="C1415" s="38" t="n"/>
      <c r="D1415" s="38" t="n"/>
      <c r="E1415" s="37" t="n"/>
      <c r="F1415" s="38" t="n"/>
      <c r="G1415" s="38" t="n"/>
      <c r="H1415" s="38" t="n"/>
      <c r="I1415" s="38" t="n"/>
      <c r="J1415" s="38" t="n"/>
      <c r="K1415" s="37" t="n"/>
      <c r="L1415" s="39" t="n"/>
      <c r="M1415" s="40" t="n"/>
      <c r="N1415" s="30">
        <f>IF(A1415="","",MONTH(A1415))</f>
        <v/>
      </c>
      <c r="O1415" s="30">
        <f>IF(A1415="","",YEAR(A1415))</f>
        <v/>
      </c>
      <c r="P1415" s="30">
        <f>IF(A1415="","",CHOOSE(WEEKDAY(A1415,2),"Segunda","Terça","Quarta","Quinta","Sexta","Sábado","Domingo"))</f>
        <v/>
      </c>
      <c r="Q1415" s="30">
        <f>IF(B1415="","",IF(B1415&lt;TIME(12,0,0),"Manhã",IF(B1415&lt;TIME(18,0,0),"Tarde","Noite")))</f>
        <v/>
      </c>
      <c r="R1415" s="46">
        <f>IF(AND(H1415="Realizado",L1415&lt;&gt;"",A1415&lt;=Config!$B$9),L1415/60,0)</f>
        <v>0</v>
      </c>
      <c r="S1415" s="45">
        <f>IF(G1415="","",IFERROR(INDEX(Config!$K$5:$K$16,MATCH(G1415,Config!$J$5:$J$16,0)),""))</f>
        <v/>
      </c>
      <c r="T1415" s="31">
        <f>IF(OR(G1415="",F1415=""),"",IFERROR(INDEX(Config!$M$5:$R$16,MATCH(G1415,Config!$J$5:$J$16,0),MATCH(F1415,Config!$H$5:$H$10,0)),""))</f>
        <v/>
      </c>
      <c r="U1415" s="47">
        <f>IF(AND(H1415="Realizado",L1415&lt;&gt;""),L1415/60,0)</f>
        <v>0</v>
      </c>
      <c r="V1415" s="47">
        <f>IF(AND(H1415="Realizado",OR(L1415="",M1415="")),1,0)</f>
        <v>0</v>
      </c>
    </row>
    <row r="1416">
      <c r="A1416" s="43" t="n"/>
      <c r="B1416" s="44" t="n"/>
      <c r="C1416" s="38" t="n"/>
      <c r="D1416" s="38" t="n"/>
      <c r="E1416" s="37" t="n"/>
      <c r="F1416" s="38" t="n"/>
      <c r="G1416" s="38" t="n"/>
      <c r="H1416" s="38" t="n"/>
      <c r="I1416" s="38" t="n"/>
      <c r="J1416" s="38" t="n"/>
      <c r="K1416" s="37" t="n"/>
      <c r="L1416" s="39" t="n"/>
      <c r="M1416" s="40" t="n"/>
      <c r="N1416" s="30">
        <f>IF(A1416="","",MONTH(A1416))</f>
        <v/>
      </c>
      <c r="O1416" s="30">
        <f>IF(A1416="","",YEAR(A1416))</f>
        <v/>
      </c>
      <c r="P1416" s="30">
        <f>IF(A1416="","",CHOOSE(WEEKDAY(A1416,2),"Segunda","Terça","Quarta","Quinta","Sexta","Sábado","Domingo"))</f>
        <v/>
      </c>
      <c r="Q1416" s="30">
        <f>IF(B1416="","",IF(B1416&lt;TIME(12,0,0),"Manhã",IF(B1416&lt;TIME(18,0,0),"Tarde","Noite")))</f>
        <v/>
      </c>
      <c r="R1416" s="46">
        <f>IF(AND(H1416="Realizado",L1416&lt;&gt;"",A1416&lt;=Config!$B$9),L1416/60,0)</f>
        <v>0</v>
      </c>
      <c r="S1416" s="45">
        <f>IF(G1416="","",IFERROR(INDEX(Config!$K$5:$K$16,MATCH(G1416,Config!$J$5:$J$16,0)),""))</f>
        <v/>
      </c>
      <c r="T1416" s="31">
        <f>IF(OR(G1416="",F1416=""),"",IFERROR(INDEX(Config!$M$5:$R$16,MATCH(G1416,Config!$J$5:$J$16,0),MATCH(F1416,Config!$H$5:$H$10,0)),""))</f>
        <v/>
      </c>
      <c r="U1416" s="47">
        <f>IF(AND(H1416="Realizado",L1416&lt;&gt;""),L1416/60,0)</f>
        <v>0</v>
      </c>
      <c r="V1416" s="47">
        <f>IF(AND(H1416="Realizado",OR(L1416="",M1416="")),1,0)</f>
        <v>0</v>
      </c>
    </row>
    <row r="1417">
      <c r="A1417" s="43" t="n"/>
      <c r="B1417" s="44" t="n"/>
      <c r="C1417" s="38" t="n"/>
      <c r="D1417" s="38" t="n"/>
      <c r="E1417" s="37" t="n"/>
      <c r="F1417" s="38" t="n"/>
      <c r="G1417" s="38" t="n"/>
      <c r="H1417" s="38" t="n"/>
      <c r="I1417" s="38" t="n"/>
      <c r="J1417" s="38" t="n"/>
      <c r="K1417" s="37" t="n"/>
      <c r="L1417" s="39" t="n"/>
      <c r="M1417" s="40" t="n"/>
      <c r="N1417" s="30">
        <f>IF(A1417="","",MONTH(A1417))</f>
        <v/>
      </c>
      <c r="O1417" s="30">
        <f>IF(A1417="","",YEAR(A1417))</f>
        <v/>
      </c>
      <c r="P1417" s="30">
        <f>IF(A1417="","",CHOOSE(WEEKDAY(A1417,2),"Segunda","Terça","Quarta","Quinta","Sexta","Sábado","Domingo"))</f>
        <v/>
      </c>
      <c r="Q1417" s="30">
        <f>IF(B1417="","",IF(B1417&lt;TIME(12,0,0),"Manhã",IF(B1417&lt;TIME(18,0,0),"Tarde","Noite")))</f>
        <v/>
      </c>
      <c r="R1417" s="46">
        <f>IF(AND(H1417="Realizado",L1417&lt;&gt;"",A1417&lt;=Config!$B$9),L1417/60,0)</f>
        <v>0</v>
      </c>
      <c r="S1417" s="45">
        <f>IF(G1417="","",IFERROR(INDEX(Config!$K$5:$K$16,MATCH(G1417,Config!$J$5:$J$16,0)),""))</f>
        <v/>
      </c>
      <c r="T1417" s="31">
        <f>IF(OR(G1417="",F1417=""),"",IFERROR(INDEX(Config!$M$5:$R$16,MATCH(G1417,Config!$J$5:$J$16,0),MATCH(F1417,Config!$H$5:$H$10,0)),""))</f>
        <v/>
      </c>
      <c r="U1417" s="47">
        <f>IF(AND(H1417="Realizado",L1417&lt;&gt;""),L1417/60,0)</f>
        <v>0</v>
      </c>
      <c r="V1417" s="47">
        <f>IF(AND(H1417="Realizado",OR(L1417="",M1417="")),1,0)</f>
        <v>0</v>
      </c>
    </row>
    <row r="1418">
      <c r="A1418" s="43" t="n"/>
      <c r="B1418" s="44" t="n"/>
      <c r="C1418" s="38" t="n"/>
      <c r="D1418" s="38" t="n"/>
      <c r="E1418" s="37" t="n"/>
      <c r="F1418" s="38" t="n"/>
      <c r="G1418" s="38" t="n"/>
      <c r="H1418" s="38" t="n"/>
      <c r="I1418" s="38" t="n"/>
      <c r="J1418" s="38" t="n"/>
      <c r="K1418" s="37" t="n"/>
      <c r="L1418" s="39" t="n"/>
      <c r="M1418" s="40" t="n"/>
      <c r="N1418" s="30">
        <f>IF(A1418="","",MONTH(A1418))</f>
        <v/>
      </c>
      <c r="O1418" s="30">
        <f>IF(A1418="","",YEAR(A1418))</f>
        <v/>
      </c>
      <c r="P1418" s="30">
        <f>IF(A1418="","",CHOOSE(WEEKDAY(A1418,2),"Segunda","Terça","Quarta","Quinta","Sexta","Sábado","Domingo"))</f>
        <v/>
      </c>
      <c r="Q1418" s="30">
        <f>IF(B1418="","",IF(B1418&lt;TIME(12,0,0),"Manhã",IF(B1418&lt;TIME(18,0,0),"Tarde","Noite")))</f>
        <v/>
      </c>
      <c r="R1418" s="46">
        <f>IF(AND(H1418="Realizado",L1418&lt;&gt;"",A1418&lt;=Config!$B$9),L1418/60,0)</f>
        <v>0</v>
      </c>
      <c r="S1418" s="45">
        <f>IF(G1418="","",IFERROR(INDEX(Config!$K$5:$K$16,MATCH(G1418,Config!$J$5:$J$16,0)),""))</f>
        <v/>
      </c>
      <c r="T1418" s="31">
        <f>IF(OR(G1418="",F1418=""),"",IFERROR(INDEX(Config!$M$5:$R$16,MATCH(G1418,Config!$J$5:$J$16,0),MATCH(F1418,Config!$H$5:$H$10,0)),""))</f>
        <v/>
      </c>
      <c r="U1418" s="47">
        <f>IF(AND(H1418="Realizado",L1418&lt;&gt;""),L1418/60,0)</f>
        <v>0</v>
      </c>
      <c r="V1418" s="47">
        <f>IF(AND(H1418="Realizado",OR(L1418="",M1418="")),1,0)</f>
        <v>0</v>
      </c>
    </row>
    <row r="1419">
      <c r="A1419" s="43" t="n"/>
      <c r="B1419" s="44" t="n"/>
      <c r="C1419" s="38" t="n"/>
      <c r="D1419" s="38" t="n"/>
      <c r="E1419" s="37" t="n"/>
      <c r="F1419" s="38" t="n"/>
      <c r="G1419" s="38" t="n"/>
      <c r="H1419" s="38" t="n"/>
      <c r="I1419" s="38" t="n"/>
      <c r="J1419" s="38" t="n"/>
      <c r="K1419" s="37" t="n"/>
      <c r="L1419" s="39" t="n"/>
      <c r="M1419" s="40" t="n"/>
      <c r="N1419" s="30">
        <f>IF(A1419="","",MONTH(A1419))</f>
        <v/>
      </c>
      <c r="O1419" s="30">
        <f>IF(A1419="","",YEAR(A1419))</f>
        <v/>
      </c>
      <c r="P1419" s="30">
        <f>IF(A1419="","",CHOOSE(WEEKDAY(A1419,2),"Segunda","Terça","Quarta","Quinta","Sexta","Sábado","Domingo"))</f>
        <v/>
      </c>
      <c r="Q1419" s="30">
        <f>IF(B1419="","",IF(B1419&lt;TIME(12,0,0),"Manhã",IF(B1419&lt;TIME(18,0,0),"Tarde","Noite")))</f>
        <v/>
      </c>
      <c r="R1419" s="46">
        <f>IF(AND(H1419="Realizado",L1419&lt;&gt;"",A1419&lt;=Config!$B$9),L1419/60,0)</f>
        <v>0</v>
      </c>
      <c r="S1419" s="45">
        <f>IF(G1419="","",IFERROR(INDEX(Config!$K$5:$K$16,MATCH(G1419,Config!$J$5:$J$16,0)),""))</f>
        <v/>
      </c>
      <c r="T1419" s="31">
        <f>IF(OR(G1419="",F1419=""),"",IFERROR(INDEX(Config!$M$5:$R$16,MATCH(G1419,Config!$J$5:$J$16,0),MATCH(F1419,Config!$H$5:$H$10,0)),""))</f>
        <v/>
      </c>
      <c r="U1419" s="47">
        <f>IF(AND(H1419="Realizado",L1419&lt;&gt;""),L1419/60,0)</f>
        <v>0</v>
      </c>
      <c r="V1419" s="47">
        <f>IF(AND(H1419="Realizado",OR(L1419="",M1419="")),1,0)</f>
        <v>0</v>
      </c>
    </row>
    <row r="1420">
      <c r="A1420" s="43" t="n"/>
      <c r="B1420" s="44" t="n"/>
      <c r="C1420" s="38" t="n"/>
      <c r="D1420" s="38" t="n"/>
      <c r="E1420" s="37" t="n"/>
      <c r="F1420" s="38" t="n"/>
      <c r="G1420" s="38" t="n"/>
      <c r="H1420" s="38" t="n"/>
      <c r="I1420" s="38" t="n"/>
      <c r="J1420" s="38" t="n"/>
      <c r="K1420" s="37" t="n"/>
      <c r="L1420" s="39" t="n"/>
      <c r="M1420" s="40" t="n"/>
      <c r="N1420" s="30">
        <f>IF(A1420="","",MONTH(A1420))</f>
        <v/>
      </c>
      <c r="O1420" s="30">
        <f>IF(A1420="","",YEAR(A1420))</f>
        <v/>
      </c>
      <c r="P1420" s="30">
        <f>IF(A1420="","",CHOOSE(WEEKDAY(A1420,2),"Segunda","Terça","Quarta","Quinta","Sexta","Sábado","Domingo"))</f>
        <v/>
      </c>
      <c r="Q1420" s="30">
        <f>IF(B1420="","",IF(B1420&lt;TIME(12,0,0),"Manhã",IF(B1420&lt;TIME(18,0,0),"Tarde","Noite")))</f>
        <v/>
      </c>
      <c r="R1420" s="46">
        <f>IF(AND(H1420="Realizado",L1420&lt;&gt;"",A1420&lt;=Config!$B$9),L1420/60,0)</f>
        <v>0</v>
      </c>
      <c r="S1420" s="45">
        <f>IF(G1420="","",IFERROR(INDEX(Config!$K$5:$K$16,MATCH(G1420,Config!$J$5:$J$16,0)),""))</f>
        <v/>
      </c>
      <c r="T1420" s="31">
        <f>IF(OR(G1420="",F1420=""),"",IFERROR(INDEX(Config!$M$5:$R$16,MATCH(G1420,Config!$J$5:$J$16,0),MATCH(F1420,Config!$H$5:$H$10,0)),""))</f>
        <v/>
      </c>
      <c r="U1420" s="47">
        <f>IF(AND(H1420="Realizado",L1420&lt;&gt;""),L1420/60,0)</f>
        <v>0</v>
      </c>
      <c r="V1420" s="47">
        <f>IF(AND(H1420="Realizado",OR(L1420="",M1420="")),1,0)</f>
        <v>0</v>
      </c>
    </row>
    <row r="1421">
      <c r="A1421" s="43" t="n"/>
      <c r="B1421" s="44" t="n"/>
      <c r="C1421" s="38" t="n"/>
      <c r="D1421" s="38" t="n"/>
      <c r="E1421" s="37" t="n"/>
      <c r="F1421" s="38" t="n"/>
      <c r="G1421" s="38" t="n"/>
      <c r="H1421" s="38" t="n"/>
      <c r="I1421" s="38" t="n"/>
      <c r="J1421" s="38" t="n"/>
      <c r="K1421" s="37" t="n"/>
      <c r="L1421" s="39" t="n"/>
      <c r="M1421" s="40" t="n"/>
      <c r="N1421" s="30">
        <f>IF(A1421="","",MONTH(A1421))</f>
        <v/>
      </c>
      <c r="O1421" s="30">
        <f>IF(A1421="","",YEAR(A1421))</f>
        <v/>
      </c>
      <c r="P1421" s="30">
        <f>IF(A1421="","",CHOOSE(WEEKDAY(A1421,2),"Segunda","Terça","Quarta","Quinta","Sexta","Sábado","Domingo"))</f>
        <v/>
      </c>
      <c r="Q1421" s="30">
        <f>IF(B1421="","",IF(B1421&lt;TIME(12,0,0),"Manhã",IF(B1421&lt;TIME(18,0,0),"Tarde","Noite")))</f>
        <v/>
      </c>
      <c r="R1421" s="46">
        <f>IF(AND(H1421="Realizado",L1421&lt;&gt;"",A1421&lt;=Config!$B$9),L1421/60,0)</f>
        <v>0</v>
      </c>
      <c r="S1421" s="45">
        <f>IF(G1421="","",IFERROR(INDEX(Config!$K$5:$K$16,MATCH(G1421,Config!$J$5:$J$16,0)),""))</f>
        <v/>
      </c>
      <c r="T1421" s="31">
        <f>IF(OR(G1421="",F1421=""),"",IFERROR(INDEX(Config!$M$5:$R$16,MATCH(G1421,Config!$J$5:$J$16,0),MATCH(F1421,Config!$H$5:$H$10,0)),""))</f>
        <v/>
      </c>
      <c r="U1421" s="47">
        <f>IF(AND(H1421="Realizado",L1421&lt;&gt;""),L1421/60,0)</f>
        <v>0</v>
      </c>
      <c r="V1421" s="47">
        <f>IF(AND(H1421="Realizado",OR(L1421="",M1421="")),1,0)</f>
        <v>0</v>
      </c>
    </row>
    <row r="1422">
      <c r="A1422" s="43" t="n"/>
      <c r="B1422" s="44" t="n"/>
      <c r="C1422" s="38" t="n"/>
      <c r="D1422" s="38" t="n"/>
      <c r="E1422" s="37" t="n"/>
      <c r="F1422" s="38" t="n"/>
      <c r="G1422" s="38" t="n"/>
      <c r="H1422" s="38" t="n"/>
      <c r="I1422" s="38" t="n"/>
      <c r="J1422" s="38" t="n"/>
      <c r="K1422" s="37" t="n"/>
      <c r="L1422" s="39" t="n"/>
      <c r="M1422" s="40" t="n"/>
      <c r="N1422" s="30">
        <f>IF(A1422="","",MONTH(A1422))</f>
        <v/>
      </c>
      <c r="O1422" s="30">
        <f>IF(A1422="","",YEAR(A1422))</f>
        <v/>
      </c>
      <c r="P1422" s="30">
        <f>IF(A1422="","",CHOOSE(WEEKDAY(A1422,2),"Segunda","Terça","Quarta","Quinta","Sexta","Sábado","Domingo"))</f>
        <v/>
      </c>
      <c r="Q1422" s="30">
        <f>IF(B1422="","",IF(B1422&lt;TIME(12,0,0),"Manhã",IF(B1422&lt;TIME(18,0,0),"Tarde","Noite")))</f>
        <v/>
      </c>
      <c r="R1422" s="46">
        <f>IF(AND(H1422="Realizado",L1422&lt;&gt;"",A1422&lt;=Config!$B$9),L1422/60,0)</f>
        <v>0</v>
      </c>
      <c r="S1422" s="45">
        <f>IF(G1422="","",IFERROR(INDEX(Config!$K$5:$K$16,MATCH(G1422,Config!$J$5:$J$16,0)),""))</f>
        <v/>
      </c>
      <c r="T1422" s="31">
        <f>IF(OR(G1422="",F1422=""),"",IFERROR(INDEX(Config!$M$5:$R$16,MATCH(G1422,Config!$J$5:$J$16,0),MATCH(F1422,Config!$H$5:$H$10,0)),""))</f>
        <v/>
      </c>
      <c r="U1422" s="47">
        <f>IF(AND(H1422="Realizado",L1422&lt;&gt;""),L1422/60,0)</f>
        <v>0</v>
      </c>
      <c r="V1422" s="47">
        <f>IF(AND(H1422="Realizado",OR(L1422="",M1422="")),1,0)</f>
        <v>0</v>
      </c>
    </row>
    <row r="1423">
      <c r="A1423" s="43" t="n"/>
      <c r="B1423" s="44" t="n"/>
      <c r="C1423" s="38" t="n"/>
      <c r="D1423" s="38" t="n"/>
      <c r="E1423" s="37" t="n"/>
      <c r="F1423" s="38" t="n"/>
      <c r="G1423" s="38" t="n"/>
      <c r="H1423" s="38" t="n"/>
      <c r="I1423" s="38" t="n"/>
      <c r="J1423" s="38" t="n"/>
      <c r="K1423" s="37" t="n"/>
      <c r="L1423" s="39" t="n"/>
      <c r="M1423" s="40" t="n"/>
      <c r="N1423" s="30">
        <f>IF(A1423="","",MONTH(A1423))</f>
        <v/>
      </c>
      <c r="O1423" s="30">
        <f>IF(A1423="","",YEAR(A1423))</f>
        <v/>
      </c>
      <c r="P1423" s="30">
        <f>IF(A1423="","",CHOOSE(WEEKDAY(A1423,2),"Segunda","Terça","Quarta","Quinta","Sexta","Sábado","Domingo"))</f>
        <v/>
      </c>
      <c r="Q1423" s="30">
        <f>IF(B1423="","",IF(B1423&lt;TIME(12,0,0),"Manhã",IF(B1423&lt;TIME(18,0,0),"Tarde","Noite")))</f>
        <v/>
      </c>
      <c r="R1423" s="46">
        <f>IF(AND(H1423="Realizado",L1423&lt;&gt;"",A1423&lt;=Config!$B$9),L1423/60,0)</f>
        <v>0</v>
      </c>
      <c r="S1423" s="45">
        <f>IF(G1423="","",IFERROR(INDEX(Config!$K$5:$K$16,MATCH(G1423,Config!$J$5:$J$16,0)),""))</f>
        <v/>
      </c>
      <c r="T1423" s="31">
        <f>IF(OR(G1423="",F1423=""),"",IFERROR(INDEX(Config!$M$5:$R$16,MATCH(G1423,Config!$J$5:$J$16,0),MATCH(F1423,Config!$H$5:$H$10,0)),""))</f>
        <v/>
      </c>
      <c r="U1423" s="47">
        <f>IF(AND(H1423="Realizado",L1423&lt;&gt;""),L1423/60,0)</f>
        <v>0</v>
      </c>
      <c r="V1423" s="47">
        <f>IF(AND(H1423="Realizado",OR(L1423="",M1423="")),1,0)</f>
        <v>0</v>
      </c>
    </row>
    <row r="1424">
      <c r="A1424" s="43" t="n"/>
      <c r="B1424" s="44" t="n"/>
      <c r="C1424" s="38" t="n"/>
      <c r="D1424" s="38" t="n"/>
      <c r="E1424" s="37" t="n"/>
      <c r="F1424" s="38" t="n"/>
      <c r="G1424" s="38" t="n"/>
      <c r="H1424" s="38" t="n"/>
      <c r="I1424" s="38" t="n"/>
      <c r="J1424" s="38" t="n"/>
      <c r="K1424" s="37" t="n"/>
      <c r="L1424" s="39" t="n"/>
      <c r="M1424" s="40" t="n"/>
      <c r="N1424" s="30">
        <f>IF(A1424="","",MONTH(A1424))</f>
        <v/>
      </c>
      <c r="O1424" s="30">
        <f>IF(A1424="","",YEAR(A1424))</f>
        <v/>
      </c>
      <c r="P1424" s="30">
        <f>IF(A1424="","",CHOOSE(WEEKDAY(A1424,2),"Segunda","Terça","Quarta","Quinta","Sexta","Sábado","Domingo"))</f>
        <v/>
      </c>
      <c r="Q1424" s="30">
        <f>IF(B1424="","",IF(B1424&lt;TIME(12,0,0),"Manhã",IF(B1424&lt;TIME(18,0,0),"Tarde","Noite")))</f>
        <v/>
      </c>
      <c r="R1424" s="46">
        <f>IF(AND(H1424="Realizado",L1424&lt;&gt;"",A1424&lt;=Config!$B$9),L1424/60,0)</f>
        <v>0</v>
      </c>
      <c r="S1424" s="45">
        <f>IF(G1424="","",IFERROR(INDEX(Config!$K$5:$K$16,MATCH(G1424,Config!$J$5:$J$16,0)),""))</f>
        <v/>
      </c>
      <c r="T1424" s="31">
        <f>IF(OR(G1424="",F1424=""),"",IFERROR(INDEX(Config!$M$5:$R$16,MATCH(G1424,Config!$J$5:$J$16,0),MATCH(F1424,Config!$H$5:$H$10,0)),""))</f>
        <v/>
      </c>
      <c r="U1424" s="47">
        <f>IF(AND(H1424="Realizado",L1424&lt;&gt;""),L1424/60,0)</f>
        <v>0</v>
      </c>
      <c r="V1424" s="47">
        <f>IF(AND(H1424="Realizado",OR(L1424="",M1424="")),1,0)</f>
        <v>0</v>
      </c>
    </row>
    <row r="1425">
      <c r="A1425" s="43" t="n"/>
      <c r="B1425" s="44" t="n"/>
      <c r="C1425" s="38" t="n"/>
      <c r="D1425" s="38" t="n"/>
      <c r="E1425" s="37" t="n"/>
      <c r="F1425" s="38" t="n"/>
      <c r="G1425" s="38" t="n"/>
      <c r="H1425" s="38" t="n"/>
      <c r="I1425" s="38" t="n"/>
      <c r="J1425" s="38" t="n"/>
      <c r="K1425" s="37" t="n"/>
      <c r="L1425" s="39" t="n"/>
      <c r="M1425" s="40" t="n"/>
      <c r="N1425" s="30">
        <f>IF(A1425="","",MONTH(A1425))</f>
        <v/>
      </c>
      <c r="O1425" s="30">
        <f>IF(A1425="","",YEAR(A1425))</f>
        <v/>
      </c>
      <c r="P1425" s="30">
        <f>IF(A1425="","",CHOOSE(WEEKDAY(A1425,2),"Segunda","Terça","Quarta","Quinta","Sexta","Sábado","Domingo"))</f>
        <v/>
      </c>
      <c r="Q1425" s="30">
        <f>IF(B1425="","",IF(B1425&lt;TIME(12,0,0),"Manhã",IF(B1425&lt;TIME(18,0,0),"Tarde","Noite")))</f>
        <v/>
      </c>
      <c r="R1425" s="46">
        <f>IF(AND(H1425="Realizado",L1425&lt;&gt;"",A1425&lt;=Config!$B$9),L1425/60,0)</f>
        <v>0</v>
      </c>
      <c r="S1425" s="45">
        <f>IF(G1425="","",IFERROR(INDEX(Config!$K$5:$K$16,MATCH(G1425,Config!$J$5:$J$16,0)),""))</f>
        <v/>
      </c>
      <c r="T1425" s="31">
        <f>IF(OR(G1425="",F1425=""),"",IFERROR(INDEX(Config!$M$5:$R$16,MATCH(G1425,Config!$J$5:$J$16,0),MATCH(F1425,Config!$H$5:$H$10,0)),""))</f>
        <v/>
      </c>
      <c r="U1425" s="47">
        <f>IF(AND(H1425="Realizado",L1425&lt;&gt;""),L1425/60,0)</f>
        <v>0</v>
      </c>
      <c r="V1425" s="47">
        <f>IF(AND(H1425="Realizado",OR(L1425="",M1425="")),1,0)</f>
        <v>0</v>
      </c>
    </row>
    <row r="1426">
      <c r="A1426" s="43" t="n"/>
      <c r="B1426" s="44" t="n"/>
      <c r="C1426" s="38" t="n"/>
      <c r="D1426" s="38" t="n"/>
      <c r="E1426" s="37" t="n"/>
      <c r="F1426" s="38" t="n"/>
      <c r="G1426" s="38" t="n"/>
      <c r="H1426" s="38" t="n"/>
      <c r="I1426" s="38" t="n"/>
      <c r="J1426" s="38" t="n"/>
      <c r="K1426" s="37" t="n"/>
      <c r="L1426" s="39" t="n"/>
      <c r="M1426" s="40" t="n"/>
      <c r="N1426" s="30">
        <f>IF(A1426="","",MONTH(A1426))</f>
        <v/>
      </c>
      <c r="O1426" s="30">
        <f>IF(A1426="","",YEAR(A1426))</f>
        <v/>
      </c>
      <c r="P1426" s="30">
        <f>IF(A1426="","",CHOOSE(WEEKDAY(A1426,2),"Segunda","Terça","Quarta","Quinta","Sexta","Sábado","Domingo"))</f>
        <v/>
      </c>
      <c r="Q1426" s="30">
        <f>IF(B1426="","",IF(B1426&lt;TIME(12,0,0),"Manhã",IF(B1426&lt;TIME(18,0,0),"Tarde","Noite")))</f>
        <v/>
      </c>
      <c r="R1426" s="46">
        <f>IF(AND(H1426="Realizado",L1426&lt;&gt;"",A1426&lt;=Config!$B$9),L1426/60,0)</f>
        <v>0</v>
      </c>
      <c r="S1426" s="45">
        <f>IF(G1426="","",IFERROR(INDEX(Config!$K$5:$K$16,MATCH(G1426,Config!$J$5:$J$16,0)),""))</f>
        <v/>
      </c>
      <c r="T1426" s="31">
        <f>IF(OR(G1426="",F1426=""),"",IFERROR(INDEX(Config!$M$5:$R$16,MATCH(G1426,Config!$J$5:$J$16,0),MATCH(F1426,Config!$H$5:$H$10,0)),""))</f>
        <v/>
      </c>
      <c r="U1426" s="47">
        <f>IF(AND(H1426="Realizado",L1426&lt;&gt;""),L1426/60,0)</f>
        <v>0</v>
      </c>
      <c r="V1426" s="47">
        <f>IF(AND(H1426="Realizado",OR(L1426="",M1426="")),1,0)</f>
        <v>0</v>
      </c>
    </row>
    <row r="1427">
      <c r="A1427" s="43" t="n"/>
      <c r="B1427" s="44" t="n"/>
      <c r="C1427" s="38" t="n"/>
      <c r="D1427" s="38" t="n"/>
      <c r="E1427" s="37" t="n"/>
      <c r="F1427" s="38" t="n"/>
      <c r="G1427" s="38" t="n"/>
      <c r="H1427" s="38" t="n"/>
      <c r="I1427" s="38" t="n"/>
      <c r="J1427" s="38" t="n"/>
      <c r="K1427" s="37" t="n"/>
      <c r="L1427" s="39" t="n"/>
      <c r="M1427" s="40" t="n"/>
      <c r="N1427" s="30">
        <f>IF(A1427="","",MONTH(A1427))</f>
        <v/>
      </c>
      <c r="O1427" s="30">
        <f>IF(A1427="","",YEAR(A1427))</f>
        <v/>
      </c>
      <c r="P1427" s="30">
        <f>IF(A1427="","",CHOOSE(WEEKDAY(A1427,2),"Segunda","Terça","Quarta","Quinta","Sexta","Sábado","Domingo"))</f>
        <v/>
      </c>
      <c r="Q1427" s="30">
        <f>IF(B1427="","",IF(B1427&lt;TIME(12,0,0),"Manhã",IF(B1427&lt;TIME(18,0,0),"Tarde","Noite")))</f>
        <v/>
      </c>
      <c r="R1427" s="46">
        <f>IF(AND(H1427="Realizado",L1427&lt;&gt;"",A1427&lt;=Config!$B$9),L1427/60,0)</f>
        <v>0</v>
      </c>
      <c r="S1427" s="45">
        <f>IF(G1427="","",IFERROR(INDEX(Config!$K$5:$K$16,MATCH(G1427,Config!$J$5:$J$16,0)),""))</f>
        <v/>
      </c>
      <c r="T1427" s="31">
        <f>IF(OR(G1427="",F1427=""),"",IFERROR(INDEX(Config!$M$5:$R$16,MATCH(G1427,Config!$J$5:$J$16,0),MATCH(F1427,Config!$H$5:$H$10,0)),""))</f>
        <v/>
      </c>
      <c r="U1427" s="47">
        <f>IF(AND(H1427="Realizado",L1427&lt;&gt;""),L1427/60,0)</f>
        <v>0</v>
      </c>
      <c r="V1427" s="47">
        <f>IF(AND(H1427="Realizado",OR(L1427="",M1427="")),1,0)</f>
        <v>0</v>
      </c>
    </row>
    <row r="1428">
      <c r="A1428" s="43" t="n"/>
      <c r="B1428" s="44" t="n"/>
      <c r="C1428" s="38" t="n"/>
      <c r="D1428" s="38" t="n"/>
      <c r="E1428" s="37" t="n"/>
      <c r="F1428" s="38" t="n"/>
      <c r="G1428" s="38" t="n"/>
      <c r="H1428" s="38" t="n"/>
      <c r="I1428" s="38" t="n"/>
      <c r="J1428" s="38" t="n"/>
      <c r="K1428" s="37" t="n"/>
      <c r="L1428" s="39" t="n"/>
      <c r="M1428" s="40" t="n"/>
      <c r="N1428" s="30">
        <f>IF(A1428="","",MONTH(A1428))</f>
        <v/>
      </c>
      <c r="O1428" s="30">
        <f>IF(A1428="","",YEAR(A1428))</f>
        <v/>
      </c>
      <c r="P1428" s="30">
        <f>IF(A1428="","",CHOOSE(WEEKDAY(A1428,2),"Segunda","Terça","Quarta","Quinta","Sexta","Sábado","Domingo"))</f>
        <v/>
      </c>
      <c r="Q1428" s="30">
        <f>IF(B1428="","",IF(B1428&lt;TIME(12,0,0),"Manhã",IF(B1428&lt;TIME(18,0,0),"Tarde","Noite")))</f>
        <v/>
      </c>
      <c r="R1428" s="46">
        <f>IF(AND(H1428="Realizado",L1428&lt;&gt;"",A1428&lt;=Config!$B$9),L1428/60,0)</f>
        <v>0</v>
      </c>
      <c r="S1428" s="45">
        <f>IF(G1428="","",IFERROR(INDEX(Config!$K$5:$K$16,MATCH(G1428,Config!$J$5:$J$16,0)),""))</f>
        <v/>
      </c>
      <c r="T1428" s="31">
        <f>IF(OR(G1428="",F1428=""),"",IFERROR(INDEX(Config!$M$5:$R$16,MATCH(G1428,Config!$J$5:$J$16,0),MATCH(F1428,Config!$H$5:$H$10,0)),""))</f>
        <v/>
      </c>
      <c r="U1428" s="47">
        <f>IF(AND(H1428="Realizado",L1428&lt;&gt;""),L1428/60,0)</f>
        <v>0</v>
      </c>
      <c r="V1428" s="47">
        <f>IF(AND(H1428="Realizado",OR(L1428="",M1428="")),1,0)</f>
        <v>0</v>
      </c>
    </row>
    <row r="1429">
      <c r="A1429" s="43" t="n"/>
      <c r="B1429" s="44" t="n"/>
      <c r="C1429" s="38" t="n"/>
      <c r="D1429" s="38" t="n"/>
      <c r="E1429" s="37" t="n"/>
      <c r="F1429" s="38" t="n"/>
      <c r="G1429" s="38" t="n"/>
      <c r="H1429" s="38" t="n"/>
      <c r="I1429" s="38" t="n"/>
      <c r="J1429" s="38" t="n"/>
      <c r="K1429" s="37" t="n"/>
      <c r="L1429" s="39" t="n"/>
      <c r="M1429" s="40" t="n"/>
      <c r="N1429" s="30">
        <f>IF(A1429="","",MONTH(A1429))</f>
        <v/>
      </c>
      <c r="O1429" s="30">
        <f>IF(A1429="","",YEAR(A1429))</f>
        <v/>
      </c>
      <c r="P1429" s="30">
        <f>IF(A1429="","",CHOOSE(WEEKDAY(A1429,2),"Segunda","Terça","Quarta","Quinta","Sexta","Sábado","Domingo"))</f>
        <v/>
      </c>
      <c r="Q1429" s="30">
        <f>IF(B1429="","",IF(B1429&lt;TIME(12,0,0),"Manhã",IF(B1429&lt;TIME(18,0,0),"Tarde","Noite")))</f>
        <v/>
      </c>
      <c r="R1429" s="46">
        <f>IF(AND(H1429="Realizado",L1429&lt;&gt;"",A1429&lt;=Config!$B$9),L1429/60,0)</f>
        <v>0</v>
      </c>
      <c r="S1429" s="45">
        <f>IF(G1429="","",IFERROR(INDEX(Config!$K$5:$K$16,MATCH(G1429,Config!$J$5:$J$16,0)),""))</f>
        <v/>
      </c>
      <c r="T1429" s="31">
        <f>IF(OR(G1429="",F1429=""),"",IFERROR(INDEX(Config!$M$5:$R$16,MATCH(G1429,Config!$J$5:$J$16,0),MATCH(F1429,Config!$H$5:$H$10,0)),""))</f>
        <v/>
      </c>
      <c r="U1429" s="47">
        <f>IF(AND(H1429="Realizado",L1429&lt;&gt;""),L1429/60,0)</f>
        <v>0</v>
      </c>
      <c r="V1429" s="47">
        <f>IF(AND(H1429="Realizado",OR(L1429="",M1429="")),1,0)</f>
        <v>0</v>
      </c>
    </row>
    <row r="1430">
      <c r="A1430" s="43" t="n"/>
      <c r="B1430" s="44" t="n"/>
      <c r="C1430" s="38" t="n"/>
      <c r="D1430" s="38" t="n"/>
      <c r="E1430" s="37" t="n"/>
      <c r="F1430" s="38" t="n"/>
      <c r="G1430" s="38" t="n"/>
      <c r="H1430" s="38" t="n"/>
      <c r="I1430" s="38" t="n"/>
      <c r="J1430" s="38" t="n"/>
      <c r="K1430" s="37" t="n"/>
      <c r="L1430" s="39" t="n"/>
      <c r="M1430" s="40" t="n"/>
      <c r="N1430" s="30">
        <f>IF(A1430="","",MONTH(A1430))</f>
        <v/>
      </c>
      <c r="O1430" s="30">
        <f>IF(A1430="","",YEAR(A1430))</f>
        <v/>
      </c>
      <c r="P1430" s="30">
        <f>IF(A1430="","",CHOOSE(WEEKDAY(A1430,2),"Segunda","Terça","Quarta","Quinta","Sexta","Sábado","Domingo"))</f>
        <v/>
      </c>
      <c r="Q1430" s="30">
        <f>IF(B1430="","",IF(B1430&lt;TIME(12,0,0),"Manhã",IF(B1430&lt;TIME(18,0,0),"Tarde","Noite")))</f>
        <v/>
      </c>
      <c r="R1430" s="46">
        <f>IF(AND(H1430="Realizado",L1430&lt;&gt;"",A1430&lt;=Config!$B$9),L1430/60,0)</f>
        <v>0</v>
      </c>
      <c r="S1430" s="45">
        <f>IF(G1430="","",IFERROR(INDEX(Config!$K$5:$K$16,MATCH(G1430,Config!$J$5:$J$16,0)),""))</f>
        <v/>
      </c>
      <c r="T1430" s="31">
        <f>IF(OR(G1430="",F1430=""),"",IFERROR(INDEX(Config!$M$5:$R$16,MATCH(G1430,Config!$J$5:$J$16,0),MATCH(F1430,Config!$H$5:$H$10,0)),""))</f>
        <v/>
      </c>
      <c r="U1430" s="47">
        <f>IF(AND(H1430="Realizado",L1430&lt;&gt;""),L1430/60,0)</f>
        <v>0</v>
      </c>
      <c r="V1430" s="47">
        <f>IF(AND(H1430="Realizado",OR(L1430="",M1430="")),1,0)</f>
        <v>0</v>
      </c>
    </row>
    <row r="1431">
      <c r="A1431" s="43" t="n"/>
      <c r="B1431" s="44" t="n"/>
      <c r="C1431" s="38" t="n"/>
      <c r="D1431" s="38" t="n"/>
      <c r="E1431" s="37" t="n"/>
      <c r="F1431" s="38" t="n"/>
      <c r="G1431" s="38" t="n"/>
      <c r="H1431" s="38" t="n"/>
      <c r="I1431" s="38" t="n"/>
      <c r="J1431" s="38" t="n"/>
      <c r="K1431" s="37" t="n"/>
      <c r="L1431" s="39" t="n"/>
      <c r="M1431" s="40" t="n"/>
      <c r="N1431" s="30">
        <f>IF(A1431="","",MONTH(A1431))</f>
        <v/>
      </c>
      <c r="O1431" s="30">
        <f>IF(A1431="","",YEAR(A1431))</f>
        <v/>
      </c>
      <c r="P1431" s="30">
        <f>IF(A1431="","",CHOOSE(WEEKDAY(A1431,2),"Segunda","Terça","Quarta","Quinta","Sexta","Sábado","Domingo"))</f>
        <v/>
      </c>
      <c r="Q1431" s="30">
        <f>IF(B1431="","",IF(B1431&lt;TIME(12,0,0),"Manhã",IF(B1431&lt;TIME(18,0,0),"Tarde","Noite")))</f>
        <v/>
      </c>
      <c r="R1431" s="46">
        <f>IF(AND(H1431="Realizado",L1431&lt;&gt;"",A1431&lt;=Config!$B$9),L1431/60,0)</f>
        <v>0</v>
      </c>
      <c r="S1431" s="45">
        <f>IF(G1431="","",IFERROR(INDEX(Config!$K$5:$K$16,MATCH(G1431,Config!$J$5:$J$16,0)),""))</f>
        <v/>
      </c>
      <c r="T1431" s="31">
        <f>IF(OR(G1431="",F1431=""),"",IFERROR(INDEX(Config!$M$5:$R$16,MATCH(G1431,Config!$J$5:$J$16,0),MATCH(F1431,Config!$H$5:$H$10,0)),""))</f>
        <v/>
      </c>
      <c r="U1431" s="47">
        <f>IF(AND(H1431="Realizado",L1431&lt;&gt;""),L1431/60,0)</f>
        <v>0</v>
      </c>
      <c r="V1431" s="47">
        <f>IF(AND(H1431="Realizado",OR(L1431="",M1431="")),1,0)</f>
        <v>0</v>
      </c>
    </row>
    <row r="1432">
      <c r="A1432" s="43" t="n"/>
      <c r="B1432" s="44" t="n"/>
      <c r="C1432" s="38" t="n"/>
      <c r="D1432" s="38" t="n"/>
      <c r="E1432" s="37" t="n"/>
      <c r="F1432" s="38" t="n"/>
      <c r="G1432" s="38" t="n"/>
      <c r="H1432" s="38" t="n"/>
      <c r="I1432" s="38" t="n"/>
      <c r="J1432" s="38" t="n"/>
      <c r="K1432" s="37" t="n"/>
      <c r="L1432" s="39" t="n"/>
      <c r="M1432" s="40" t="n"/>
      <c r="N1432" s="30">
        <f>IF(A1432="","",MONTH(A1432))</f>
        <v/>
      </c>
      <c r="O1432" s="30">
        <f>IF(A1432="","",YEAR(A1432))</f>
        <v/>
      </c>
      <c r="P1432" s="30">
        <f>IF(A1432="","",CHOOSE(WEEKDAY(A1432,2),"Segunda","Terça","Quarta","Quinta","Sexta","Sábado","Domingo"))</f>
        <v/>
      </c>
      <c r="Q1432" s="30">
        <f>IF(B1432="","",IF(B1432&lt;TIME(12,0,0),"Manhã",IF(B1432&lt;TIME(18,0,0),"Tarde","Noite")))</f>
        <v/>
      </c>
      <c r="R1432" s="46">
        <f>IF(AND(H1432="Realizado",L1432&lt;&gt;"",A1432&lt;=Config!$B$9),L1432/60,0)</f>
        <v>0</v>
      </c>
      <c r="S1432" s="45">
        <f>IF(G1432="","",IFERROR(INDEX(Config!$K$5:$K$16,MATCH(G1432,Config!$J$5:$J$16,0)),""))</f>
        <v/>
      </c>
      <c r="T1432" s="31">
        <f>IF(OR(G1432="",F1432=""),"",IFERROR(INDEX(Config!$M$5:$R$16,MATCH(G1432,Config!$J$5:$J$16,0),MATCH(F1432,Config!$H$5:$H$10,0)),""))</f>
        <v/>
      </c>
      <c r="U1432" s="47">
        <f>IF(AND(H1432="Realizado",L1432&lt;&gt;""),L1432/60,0)</f>
        <v>0</v>
      </c>
      <c r="V1432" s="47">
        <f>IF(AND(H1432="Realizado",OR(L1432="",M1432="")),1,0)</f>
        <v>0</v>
      </c>
    </row>
    <row r="1433">
      <c r="A1433" s="43" t="n"/>
      <c r="B1433" s="44" t="n"/>
      <c r="C1433" s="38" t="n"/>
      <c r="D1433" s="38" t="n"/>
      <c r="E1433" s="37" t="n"/>
      <c r="F1433" s="38" t="n"/>
      <c r="G1433" s="38" t="n"/>
      <c r="H1433" s="38" t="n"/>
      <c r="I1433" s="38" t="n"/>
      <c r="J1433" s="38" t="n"/>
      <c r="K1433" s="37" t="n"/>
      <c r="L1433" s="39" t="n"/>
      <c r="M1433" s="40" t="n"/>
      <c r="N1433" s="30">
        <f>IF(A1433="","",MONTH(A1433))</f>
        <v/>
      </c>
      <c r="O1433" s="30">
        <f>IF(A1433="","",YEAR(A1433))</f>
        <v/>
      </c>
      <c r="P1433" s="30">
        <f>IF(A1433="","",CHOOSE(WEEKDAY(A1433,2),"Segunda","Terça","Quarta","Quinta","Sexta","Sábado","Domingo"))</f>
        <v/>
      </c>
      <c r="Q1433" s="30">
        <f>IF(B1433="","",IF(B1433&lt;TIME(12,0,0),"Manhã",IF(B1433&lt;TIME(18,0,0),"Tarde","Noite")))</f>
        <v/>
      </c>
      <c r="R1433" s="46">
        <f>IF(AND(H1433="Realizado",L1433&lt;&gt;"",A1433&lt;=Config!$B$9),L1433/60,0)</f>
        <v>0</v>
      </c>
      <c r="S1433" s="45">
        <f>IF(G1433="","",IFERROR(INDEX(Config!$K$5:$K$16,MATCH(G1433,Config!$J$5:$J$16,0)),""))</f>
        <v/>
      </c>
      <c r="T1433" s="31">
        <f>IF(OR(G1433="",F1433=""),"",IFERROR(INDEX(Config!$M$5:$R$16,MATCH(G1433,Config!$J$5:$J$16,0),MATCH(F1433,Config!$H$5:$H$10,0)),""))</f>
        <v/>
      </c>
      <c r="U1433" s="47">
        <f>IF(AND(H1433="Realizado",L1433&lt;&gt;""),L1433/60,0)</f>
        <v>0</v>
      </c>
      <c r="V1433" s="47">
        <f>IF(AND(H1433="Realizado",OR(L1433="",M1433="")),1,0)</f>
        <v>0</v>
      </c>
    </row>
    <row r="1434">
      <c r="A1434" s="43" t="n"/>
      <c r="B1434" s="44" t="n"/>
      <c r="C1434" s="38" t="n"/>
      <c r="D1434" s="38" t="n"/>
      <c r="E1434" s="37" t="n"/>
      <c r="F1434" s="38" t="n"/>
      <c r="G1434" s="38" t="n"/>
      <c r="H1434" s="38" t="n"/>
      <c r="I1434" s="38" t="n"/>
      <c r="J1434" s="38" t="n"/>
      <c r="K1434" s="37" t="n"/>
      <c r="L1434" s="39" t="n"/>
      <c r="M1434" s="40" t="n"/>
      <c r="N1434" s="30">
        <f>IF(A1434="","",MONTH(A1434))</f>
        <v/>
      </c>
      <c r="O1434" s="30">
        <f>IF(A1434="","",YEAR(A1434))</f>
        <v/>
      </c>
      <c r="P1434" s="30">
        <f>IF(A1434="","",CHOOSE(WEEKDAY(A1434,2),"Segunda","Terça","Quarta","Quinta","Sexta","Sábado","Domingo"))</f>
        <v/>
      </c>
      <c r="Q1434" s="30">
        <f>IF(B1434="","",IF(B1434&lt;TIME(12,0,0),"Manhã",IF(B1434&lt;TIME(18,0,0),"Tarde","Noite")))</f>
        <v/>
      </c>
      <c r="R1434" s="46">
        <f>IF(AND(H1434="Realizado",L1434&lt;&gt;"",A1434&lt;=Config!$B$9),L1434/60,0)</f>
        <v>0</v>
      </c>
      <c r="S1434" s="45">
        <f>IF(G1434="","",IFERROR(INDEX(Config!$K$5:$K$16,MATCH(G1434,Config!$J$5:$J$16,0)),""))</f>
        <v/>
      </c>
      <c r="T1434" s="31">
        <f>IF(OR(G1434="",F1434=""),"",IFERROR(INDEX(Config!$M$5:$R$16,MATCH(G1434,Config!$J$5:$J$16,0),MATCH(F1434,Config!$H$5:$H$10,0)),""))</f>
        <v/>
      </c>
      <c r="U1434" s="47">
        <f>IF(AND(H1434="Realizado",L1434&lt;&gt;""),L1434/60,0)</f>
        <v>0</v>
      </c>
      <c r="V1434" s="47">
        <f>IF(AND(H1434="Realizado",OR(L1434="",M1434="")),1,0)</f>
        <v>0</v>
      </c>
    </row>
    <row r="1435">
      <c r="A1435" s="43" t="n"/>
      <c r="B1435" s="44" t="n"/>
      <c r="C1435" s="38" t="n"/>
      <c r="D1435" s="38" t="n"/>
      <c r="E1435" s="37" t="n"/>
      <c r="F1435" s="38" t="n"/>
      <c r="G1435" s="38" t="n"/>
      <c r="H1435" s="38" t="n"/>
      <c r="I1435" s="38" t="n"/>
      <c r="J1435" s="38" t="n"/>
      <c r="K1435" s="37" t="n"/>
      <c r="L1435" s="39" t="n"/>
      <c r="M1435" s="40" t="n"/>
      <c r="N1435" s="30">
        <f>IF(A1435="","",MONTH(A1435))</f>
        <v/>
      </c>
      <c r="O1435" s="30">
        <f>IF(A1435="","",YEAR(A1435))</f>
        <v/>
      </c>
      <c r="P1435" s="30">
        <f>IF(A1435="","",CHOOSE(WEEKDAY(A1435,2),"Segunda","Terça","Quarta","Quinta","Sexta","Sábado","Domingo"))</f>
        <v/>
      </c>
      <c r="Q1435" s="30">
        <f>IF(B1435="","",IF(B1435&lt;TIME(12,0,0),"Manhã",IF(B1435&lt;TIME(18,0,0),"Tarde","Noite")))</f>
        <v/>
      </c>
      <c r="R1435" s="46">
        <f>IF(AND(H1435="Realizado",L1435&lt;&gt;"",A1435&lt;=Config!$B$9),L1435/60,0)</f>
        <v>0</v>
      </c>
      <c r="S1435" s="45">
        <f>IF(G1435="","",IFERROR(INDEX(Config!$K$5:$K$16,MATCH(G1435,Config!$J$5:$J$16,0)),""))</f>
        <v/>
      </c>
      <c r="T1435" s="31">
        <f>IF(OR(G1435="",F1435=""),"",IFERROR(INDEX(Config!$M$5:$R$16,MATCH(G1435,Config!$J$5:$J$16,0),MATCH(F1435,Config!$H$5:$H$10,0)),""))</f>
        <v/>
      </c>
      <c r="U1435" s="47">
        <f>IF(AND(H1435="Realizado",L1435&lt;&gt;""),L1435/60,0)</f>
        <v>0</v>
      </c>
      <c r="V1435" s="47">
        <f>IF(AND(H1435="Realizado",OR(L1435="",M1435="")),1,0)</f>
        <v>0</v>
      </c>
    </row>
    <row r="1436">
      <c r="A1436" s="43" t="n"/>
      <c r="B1436" s="44" t="n"/>
      <c r="C1436" s="38" t="n"/>
      <c r="D1436" s="38" t="n"/>
      <c r="E1436" s="37" t="n"/>
      <c r="F1436" s="38" t="n"/>
      <c r="G1436" s="38" t="n"/>
      <c r="H1436" s="38" t="n"/>
      <c r="I1436" s="38" t="n"/>
      <c r="J1436" s="38" t="n"/>
      <c r="K1436" s="37" t="n"/>
      <c r="L1436" s="39" t="n"/>
      <c r="M1436" s="40" t="n"/>
      <c r="N1436" s="30">
        <f>IF(A1436="","",MONTH(A1436))</f>
        <v/>
      </c>
      <c r="O1436" s="30">
        <f>IF(A1436="","",YEAR(A1436))</f>
        <v/>
      </c>
      <c r="P1436" s="30">
        <f>IF(A1436="","",CHOOSE(WEEKDAY(A1436,2),"Segunda","Terça","Quarta","Quinta","Sexta","Sábado","Domingo"))</f>
        <v/>
      </c>
      <c r="Q1436" s="30">
        <f>IF(B1436="","",IF(B1436&lt;TIME(12,0,0),"Manhã",IF(B1436&lt;TIME(18,0,0),"Tarde","Noite")))</f>
        <v/>
      </c>
      <c r="R1436" s="46">
        <f>IF(AND(H1436="Realizado",L1436&lt;&gt;"",A1436&lt;=Config!$B$9),L1436/60,0)</f>
        <v>0</v>
      </c>
      <c r="S1436" s="45">
        <f>IF(G1436="","",IFERROR(INDEX(Config!$K$5:$K$16,MATCH(G1436,Config!$J$5:$J$16,0)),""))</f>
        <v/>
      </c>
      <c r="T1436" s="31">
        <f>IF(OR(G1436="",F1436=""),"",IFERROR(INDEX(Config!$M$5:$R$16,MATCH(G1436,Config!$J$5:$J$16,0),MATCH(F1436,Config!$H$5:$H$10,0)),""))</f>
        <v/>
      </c>
      <c r="U1436" s="47">
        <f>IF(AND(H1436="Realizado",L1436&lt;&gt;""),L1436/60,0)</f>
        <v>0</v>
      </c>
      <c r="V1436" s="47">
        <f>IF(AND(H1436="Realizado",OR(L1436="",M1436="")),1,0)</f>
        <v>0</v>
      </c>
    </row>
    <row r="1437">
      <c r="A1437" s="43" t="n"/>
      <c r="B1437" s="44" t="n"/>
      <c r="C1437" s="38" t="n"/>
      <c r="D1437" s="38" t="n"/>
      <c r="E1437" s="37" t="n"/>
      <c r="F1437" s="38" t="n"/>
      <c r="G1437" s="38" t="n"/>
      <c r="H1437" s="38" t="n"/>
      <c r="I1437" s="38" t="n"/>
      <c r="J1437" s="38" t="n"/>
      <c r="K1437" s="37" t="n"/>
      <c r="L1437" s="39" t="n"/>
      <c r="M1437" s="40" t="n"/>
      <c r="N1437" s="30">
        <f>IF(A1437="","",MONTH(A1437))</f>
        <v/>
      </c>
      <c r="O1437" s="30">
        <f>IF(A1437="","",YEAR(A1437))</f>
        <v/>
      </c>
      <c r="P1437" s="30">
        <f>IF(A1437="","",CHOOSE(WEEKDAY(A1437,2),"Segunda","Terça","Quarta","Quinta","Sexta","Sábado","Domingo"))</f>
        <v/>
      </c>
      <c r="Q1437" s="30">
        <f>IF(B1437="","",IF(B1437&lt;TIME(12,0,0),"Manhã",IF(B1437&lt;TIME(18,0,0),"Tarde","Noite")))</f>
        <v/>
      </c>
      <c r="R1437" s="46">
        <f>IF(AND(H1437="Realizado",L1437&lt;&gt;"",A1437&lt;=Config!$B$9),L1437/60,0)</f>
        <v>0</v>
      </c>
      <c r="S1437" s="45">
        <f>IF(G1437="","",IFERROR(INDEX(Config!$K$5:$K$16,MATCH(G1437,Config!$J$5:$J$16,0)),""))</f>
        <v/>
      </c>
      <c r="T1437" s="31">
        <f>IF(OR(G1437="",F1437=""),"",IFERROR(INDEX(Config!$M$5:$R$16,MATCH(G1437,Config!$J$5:$J$16,0),MATCH(F1437,Config!$H$5:$H$10,0)),""))</f>
        <v/>
      </c>
      <c r="U1437" s="47">
        <f>IF(AND(H1437="Realizado",L1437&lt;&gt;""),L1437/60,0)</f>
        <v>0</v>
      </c>
      <c r="V1437" s="47">
        <f>IF(AND(H1437="Realizado",OR(L1437="",M1437="")),1,0)</f>
        <v>0</v>
      </c>
    </row>
    <row r="1438">
      <c r="A1438" s="43" t="n"/>
      <c r="B1438" s="44" t="n"/>
      <c r="C1438" s="38" t="n"/>
      <c r="D1438" s="38" t="n"/>
      <c r="E1438" s="37" t="n"/>
      <c r="F1438" s="38" t="n"/>
      <c r="G1438" s="38" t="n"/>
      <c r="H1438" s="38" t="n"/>
      <c r="I1438" s="38" t="n"/>
      <c r="J1438" s="38" t="n"/>
      <c r="K1438" s="37" t="n"/>
      <c r="L1438" s="39" t="n"/>
      <c r="M1438" s="40" t="n"/>
      <c r="N1438" s="30">
        <f>IF(A1438="","",MONTH(A1438))</f>
        <v/>
      </c>
      <c r="O1438" s="30">
        <f>IF(A1438="","",YEAR(A1438))</f>
        <v/>
      </c>
      <c r="P1438" s="30">
        <f>IF(A1438="","",CHOOSE(WEEKDAY(A1438,2),"Segunda","Terça","Quarta","Quinta","Sexta","Sábado","Domingo"))</f>
        <v/>
      </c>
      <c r="Q1438" s="30">
        <f>IF(B1438="","",IF(B1438&lt;TIME(12,0,0),"Manhã",IF(B1438&lt;TIME(18,0,0),"Tarde","Noite")))</f>
        <v/>
      </c>
      <c r="R1438" s="46">
        <f>IF(AND(H1438="Realizado",L1438&lt;&gt;"",A1438&lt;=Config!$B$9),L1438/60,0)</f>
        <v>0</v>
      </c>
      <c r="S1438" s="45">
        <f>IF(G1438="","",IFERROR(INDEX(Config!$K$5:$K$16,MATCH(G1438,Config!$J$5:$J$16,0)),""))</f>
        <v/>
      </c>
      <c r="T1438" s="31">
        <f>IF(OR(G1438="",F1438=""),"",IFERROR(INDEX(Config!$M$5:$R$16,MATCH(G1438,Config!$J$5:$J$16,0),MATCH(F1438,Config!$H$5:$H$10,0)),""))</f>
        <v/>
      </c>
      <c r="U1438" s="47">
        <f>IF(AND(H1438="Realizado",L1438&lt;&gt;""),L1438/60,0)</f>
        <v>0</v>
      </c>
      <c r="V1438" s="47">
        <f>IF(AND(H1438="Realizado",OR(L1438="",M1438="")),1,0)</f>
        <v>0</v>
      </c>
    </row>
    <row r="1439">
      <c r="A1439" s="43" t="n"/>
      <c r="B1439" s="44" t="n"/>
      <c r="C1439" s="38" t="n"/>
      <c r="D1439" s="38" t="n"/>
      <c r="E1439" s="37" t="n"/>
      <c r="F1439" s="38" t="n"/>
      <c r="G1439" s="38" t="n"/>
      <c r="H1439" s="38" t="n"/>
      <c r="I1439" s="38" t="n"/>
      <c r="J1439" s="38" t="n"/>
      <c r="K1439" s="37" t="n"/>
      <c r="L1439" s="39" t="n"/>
      <c r="M1439" s="40" t="n"/>
      <c r="N1439" s="30">
        <f>IF(A1439="","",MONTH(A1439))</f>
        <v/>
      </c>
      <c r="O1439" s="30">
        <f>IF(A1439="","",YEAR(A1439))</f>
        <v/>
      </c>
      <c r="P1439" s="30">
        <f>IF(A1439="","",CHOOSE(WEEKDAY(A1439,2),"Segunda","Terça","Quarta","Quinta","Sexta","Sábado","Domingo"))</f>
        <v/>
      </c>
      <c r="Q1439" s="30">
        <f>IF(B1439="","",IF(B1439&lt;TIME(12,0,0),"Manhã",IF(B1439&lt;TIME(18,0,0),"Tarde","Noite")))</f>
        <v/>
      </c>
      <c r="R1439" s="46">
        <f>IF(AND(H1439="Realizado",L1439&lt;&gt;"",A1439&lt;=Config!$B$9),L1439/60,0)</f>
        <v>0</v>
      </c>
      <c r="S1439" s="45">
        <f>IF(G1439="","",IFERROR(INDEX(Config!$K$5:$K$16,MATCH(G1439,Config!$J$5:$J$16,0)),""))</f>
        <v/>
      </c>
      <c r="T1439" s="31">
        <f>IF(OR(G1439="",F1439=""),"",IFERROR(INDEX(Config!$M$5:$R$16,MATCH(G1439,Config!$J$5:$J$16,0),MATCH(F1439,Config!$H$5:$H$10,0)),""))</f>
        <v/>
      </c>
      <c r="U1439" s="47">
        <f>IF(AND(H1439="Realizado",L1439&lt;&gt;""),L1439/60,0)</f>
        <v>0</v>
      </c>
      <c r="V1439" s="47">
        <f>IF(AND(H1439="Realizado",OR(L1439="",M1439="")),1,0)</f>
        <v>0</v>
      </c>
    </row>
    <row r="1440">
      <c r="A1440" s="43" t="n"/>
      <c r="B1440" s="44" t="n"/>
      <c r="C1440" s="38" t="n"/>
      <c r="D1440" s="38" t="n"/>
      <c r="E1440" s="37" t="n"/>
      <c r="F1440" s="38" t="n"/>
      <c r="G1440" s="38" t="n"/>
      <c r="H1440" s="38" t="n"/>
      <c r="I1440" s="38" t="n"/>
      <c r="J1440" s="38" t="n"/>
      <c r="K1440" s="37" t="n"/>
      <c r="L1440" s="39" t="n"/>
      <c r="M1440" s="40" t="n"/>
      <c r="N1440" s="30">
        <f>IF(A1440="","",MONTH(A1440))</f>
        <v/>
      </c>
      <c r="O1440" s="30">
        <f>IF(A1440="","",YEAR(A1440))</f>
        <v/>
      </c>
      <c r="P1440" s="30">
        <f>IF(A1440="","",CHOOSE(WEEKDAY(A1440,2),"Segunda","Terça","Quarta","Quinta","Sexta","Sábado","Domingo"))</f>
        <v/>
      </c>
      <c r="Q1440" s="30">
        <f>IF(B1440="","",IF(B1440&lt;TIME(12,0,0),"Manhã",IF(B1440&lt;TIME(18,0,0),"Tarde","Noite")))</f>
        <v/>
      </c>
      <c r="R1440" s="46">
        <f>IF(AND(H1440="Realizado",L1440&lt;&gt;"",A1440&lt;=Config!$B$9),L1440/60,0)</f>
        <v>0</v>
      </c>
      <c r="S1440" s="45">
        <f>IF(G1440="","",IFERROR(INDEX(Config!$K$5:$K$16,MATCH(G1440,Config!$J$5:$J$16,0)),""))</f>
        <v/>
      </c>
      <c r="T1440" s="31">
        <f>IF(OR(G1440="",F1440=""),"",IFERROR(INDEX(Config!$M$5:$R$16,MATCH(G1440,Config!$J$5:$J$16,0),MATCH(F1440,Config!$H$5:$H$10,0)),""))</f>
        <v/>
      </c>
      <c r="U1440" s="47">
        <f>IF(AND(H1440="Realizado",L1440&lt;&gt;""),L1440/60,0)</f>
        <v>0</v>
      </c>
      <c r="V1440" s="47">
        <f>IF(AND(H1440="Realizado",OR(L1440="",M1440="")),1,0)</f>
        <v>0</v>
      </c>
    </row>
    <row r="1441">
      <c r="A1441" s="43" t="n"/>
      <c r="B1441" s="44" t="n"/>
      <c r="C1441" s="38" t="n"/>
      <c r="D1441" s="38" t="n"/>
      <c r="E1441" s="37" t="n"/>
      <c r="F1441" s="38" t="n"/>
      <c r="G1441" s="38" t="n"/>
      <c r="H1441" s="38" t="n"/>
      <c r="I1441" s="38" t="n"/>
      <c r="J1441" s="38" t="n"/>
      <c r="K1441" s="37" t="n"/>
      <c r="L1441" s="39" t="n"/>
      <c r="M1441" s="40" t="n"/>
      <c r="N1441" s="30">
        <f>IF(A1441="","",MONTH(A1441))</f>
        <v/>
      </c>
      <c r="O1441" s="30">
        <f>IF(A1441="","",YEAR(A1441))</f>
        <v/>
      </c>
      <c r="P1441" s="30">
        <f>IF(A1441="","",CHOOSE(WEEKDAY(A1441,2),"Segunda","Terça","Quarta","Quinta","Sexta","Sábado","Domingo"))</f>
        <v/>
      </c>
      <c r="Q1441" s="30">
        <f>IF(B1441="","",IF(B1441&lt;TIME(12,0,0),"Manhã",IF(B1441&lt;TIME(18,0,0),"Tarde","Noite")))</f>
        <v/>
      </c>
      <c r="R1441" s="46">
        <f>IF(AND(H1441="Realizado",L1441&lt;&gt;"",A1441&lt;=Config!$B$9),L1441/60,0)</f>
        <v>0</v>
      </c>
      <c r="S1441" s="45">
        <f>IF(G1441="","",IFERROR(INDEX(Config!$K$5:$K$16,MATCH(G1441,Config!$J$5:$J$16,0)),""))</f>
        <v/>
      </c>
      <c r="T1441" s="31">
        <f>IF(OR(G1441="",F1441=""),"",IFERROR(INDEX(Config!$M$5:$R$16,MATCH(G1441,Config!$J$5:$J$16,0),MATCH(F1441,Config!$H$5:$H$10,0)),""))</f>
        <v/>
      </c>
      <c r="U1441" s="47">
        <f>IF(AND(H1441="Realizado",L1441&lt;&gt;""),L1441/60,0)</f>
        <v>0</v>
      </c>
      <c r="V1441" s="47">
        <f>IF(AND(H1441="Realizado",OR(L1441="",M1441="")),1,0)</f>
        <v>0</v>
      </c>
    </row>
    <row r="1442">
      <c r="A1442" s="43" t="n"/>
      <c r="B1442" s="44" t="n"/>
      <c r="C1442" s="38" t="n"/>
      <c r="D1442" s="38" t="n"/>
      <c r="E1442" s="37" t="n"/>
      <c r="F1442" s="38" t="n"/>
      <c r="G1442" s="38" t="n"/>
      <c r="H1442" s="38" t="n"/>
      <c r="I1442" s="38" t="n"/>
      <c r="J1442" s="38" t="n"/>
      <c r="K1442" s="37" t="n"/>
      <c r="L1442" s="39" t="n"/>
      <c r="M1442" s="40" t="n"/>
      <c r="N1442" s="30">
        <f>IF(A1442="","",MONTH(A1442))</f>
        <v/>
      </c>
      <c r="O1442" s="30">
        <f>IF(A1442="","",YEAR(A1442))</f>
        <v/>
      </c>
      <c r="P1442" s="30">
        <f>IF(A1442="","",CHOOSE(WEEKDAY(A1442,2),"Segunda","Terça","Quarta","Quinta","Sexta","Sábado","Domingo"))</f>
        <v/>
      </c>
      <c r="Q1442" s="30">
        <f>IF(B1442="","",IF(B1442&lt;TIME(12,0,0),"Manhã",IF(B1442&lt;TIME(18,0,0),"Tarde","Noite")))</f>
        <v/>
      </c>
      <c r="R1442" s="46">
        <f>IF(AND(H1442="Realizado",L1442&lt;&gt;"",A1442&lt;=Config!$B$9),L1442/60,0)</f>
        <v>0</v>
      </c>
      <c r="S1442" s="45">
        <f>IF(G1442="","",IFERROR(INDEX(Config!$K$5:$K$16,MATCH(G1442,Config!$J$5:$J$16,0)),""))</f>
        <v/>
      </c>
      <c r="T1442" s="31">
        <f>IF(OR(G1442="",F1442=""),"",IFERROR(INDEX(Config!$M$5:$R$16,MATCH(G1442,Config!$J$5:$J$16,0),MATCH(F1442,Config!$H$5:$H$10,0)),""))</f>
        <v/>
      </c>
      <c r="U1442" s="47">
        <f>IF(AND(H1442="Realizado",L1442&lt;&gt;""),L1442/60,0)</f>
        <v>0</v>
      </c>
      <c r="V1442" s="47">
        <f>IF(AND(H1442="Realizado",OR(L1442="",M1442="")),1,0)</f>
        <v>0</v>
      </c>
    </row>
    <row r="1443">
      <c r="A1443" s="43" t="n"/>
      <c r="B1443" s="44" t="n"/>
      <c r="C1443" s="38" t="n"/>
      <c r="D1443" s="38" t="n"/>
      <c r="E1443" s="37" t="n"/>
      <c r="F1443" s="38" t="n"/>
      <c r="G1443" s="38" t="n"/>
      <c r="H1443" s="38" t="n"/>
      <c r="I1443" s="38" t="n"/>
      <c r="J1443" s="38" t="n"/>
      <c r="K1443" s="37" t="n"/>
      <c r="L1443" s="39" t="n"/>
      <c r="M1443" s="40" t="n"/>
      <c r="N1443" s="30">
        <f>IF(A1443="","",MONTH(A1443))</f>
        <v/>
      </c>
      <c r="O1443" s="30">
        <f>IF(A1443="","",YEAR(A1443))</f>
        <v/>
      </c>
      <c r="P1443" s="30">
        <f>IF(A1443="","",CHOOSE(WEEKDAY(A1443,2),"Segunda","Terça","Quarta","Quinta","Sexta","Sábado","Domingo"))</f>
        <v/>
      </c>
      <c r="Q1443" s="30">
        <f>IF(B1443="","",IF(B1443&lt;TIME(12,0,0),"Manhã",IF(B1443&lt;TIME(18,0,0),"Tarde","Noite")))</f>
        <v/>
      </c>
      <c r="R1443" s="46">
        <f>IF(AND(H1443="Realizado",L1443&lt;&gt;"",A1443&lt;=Config!$B$9),L1443/60,0)</f>
        <v>0</v>
      </c>
      <c r="S1443" s="45">
        <f>IF(G1443="","",IFERROR(INDEX(Config!$K$5:$K$16,MATCH(G1443,Config!$J$5:$J$16,0)),""))</f>
        <v/>
      </c>
      <c r="T1443" s="31">
        <f>IF(OR(G1443="",F1443=""),"",IFERROR(INDEX(Config!$M$5:$R$16,MATCH(G1443,Config!$J$5:$J$16,0),MATCH(F1443,Config!$H$5:$H$10,0)),""))</f>
        <v/>
      </c>
      <c r="U1443" s="47">
        <f>IF(AND(H1443="Realizado",L1443&lt;&gt;""),L1443/60,0)</f>
        <v>0</v>
      </c>
      <c r="V1443" s="47">
        <f>IF(AND(H1443="Realizado",OR(L1443="",M1443="")),1,0)</f>
        <v>0</v>
      </c>
    </row>
    <row r="1444">
      <c r="A1444" s="43" t="n"/>
      <c r="B1444" s="44" t="n"/>
      <c r="C1444" s="38" t="n"/>
      <c r="D1444" s="38" t="n"/>
      <c r="E1444" s="37" t="n"/>
      <c r="F1444" s="38" t="n"/>
      <c r="G1444" s="38" t="n"/>
      <c r="H1444" s="38" t="n"/>
      <c r="I1444" s="38" t="n"/>
      <c r="J1444" s="38" t="n"/>
      <c r="K1444" s="37" t="n"/>
      <c r="L1444" s="39" t="n"/>
      <c r="M1444" s="40" t="n"/>
      <c r="N1444" s="30">
        <f>IF(A1444="","",MONTH(A1444))</f>
        <v/>
      </c>
      <c r="O1444" s="30">
        <f>IF(A1444="","",YEAR(A1444))</f>
        <v/>
      </c>
      <c r="P1444" s="30">
        <f>IF(A1444="","",CHOOSE(WEEKDAY(A1444,2),"Segunda","Terça","Quarta","Quinta","Sexta","Sábado","Domingo"))</f>
        <v/>
      </c>
      <c r="Q1444" s="30">
        <f>IF(B1444="","",IF(B1444&lt;TIME(12,0,0),"Manhã",IF(B1444&lt;TIME(18,0,0),"Tarde","Noite")))</f>
        <v/>
      </c>
      <c r="R1444" s="46">
        <f>IF(AND(H1444="Realizado",L1444&lt;&gt;"",A1444&lt;=Config!$B$9),L1444/60,0)</f>
        <v>0</v>
      </c>
      <c r="S1444" s="45">
        <f>IF(G1444="","",IFERROR(INDEX(Config!$K$5:$K$16,MATCH(G1444,Config!$J$5:$J$16,0)),""))</f>
        <v/>
      </c>
      <c r="T1444" s="31">
        <f>IF(OR(G1444="",F1444=""),"",IFERROR(INDEX(Config!$M$5:$R$16,MATCH(G1444,Config!$J$5:$J$16,0),MATCH(F1444,Config!$H$5:$H$10,0)),""))</f>
        <v/>
      </c>
      <c r="U1444" s="47">
        <f>IF(AND(H1444="Realizado",L1444&lt;&gt;""),L1444/60,0)</f>
        <v>0</v>
      </c>
      <c r="V1444" s="47">
        <f>IF(AND(H1444="Realizado",OR(L1444="",M1444="")),1,0)</f>
        <v>0</v>
      </c>
    </row>
    <row r="1445">
      <c r="A1445" s="43" t="n"/>
      <c r="B1445" s="44" t="n"/>
      <c r="C1445" s="38" t="n"/>
      <c r="D1445" s="38" t="n"/>
      <c r="E1445" s="37" t="n"/>
      <c r="F1445" s="38" t="n"/>
      <c r="G1445" s="38" t="n"/>
      <c r="H1445" s="38" t="n"/>
      <c r="I1445" s="38" t="n"/>
      <c r="J1445" s="38" t="n"/>
      <c r="K1445" s="37" t="n"/>
      <c r="L1445" s="39" t="n"/>
      <c r="M1445" s="40" t="n"/>
      <c r="N1445" s="30">
        <f>IF(A1445="","",MONTH(A1445))</f>
        <v/>
      </c>
      <c r="O1445" s="30">
        <f>IF(A1445="","",YEAR(A1445))</f>
        <v/>
      </c>
      <c r="P1445" s="30">
        <f>IF(A1445="","",CHOOSE(WEEKDAY(A1445,2),"Segunda","Terça","Quarta","Quinta","Sexta","Sábado","Domingo"))</f>
        <v/>
      </c>
      <c r="Q1445" s="30">
        <f>IF(B1445="","",IF(B1445&lt;TIME(12,0,0),"Manhã",IF(B1445&lt;TIME(18,0,0),"Tarde","Noite")))</f>
        <v/>
      </c>
      <c r="R1445" s="46">
        <f>IF(AND(H1445="Realizado",L1445&lt;&gt;"",A1445&lt;=Config!$B$9),L1445/60,0)</f>
        <v>0</v>
      </c>
      <c r="S1445" s="45">
        <f>IF(G1445="","",IFERROR(INDEX(Config!$K$5:$K$16,MATCH(G1445,Config!$J$5:$J$16,0)),""))</f>
        <v/>
      </c>
      <c r="T1445" s="31">
        <f>IF(OR(G1445="",F1445=""),"",IFERROR(INDEX(Config!$M$5:$R$16,MATCH(G1445,Config!$J$5:$J$16,0),MATCH(F1445,Config!$H$5:$H$10,0)),""))</f>
        <v/>
      </c>
      <c r="U1445" s="47">
        <f>IF(AND(H1445="Realizado",L1445&lt;&gt;""),L1445/60,0)</f>
        <v>0</v>
      </c>
      <c r="V1445" s="47">
        <f>IF(AND(H1445="Realizado",OR(L1445="",M1445="")),1,0)</f>
        <v>0</v>
      </c>
    </row>
    <row r="1446">
      <c r="A1446" s="43" t="n"/>
      <c r="B1446" s="44" t="n"/>
      <c r="C1446" s="38" t="n"/>
      <c r="D1446" s="38" t="n"/>
      <c r="E1446" s="37" t="n"/>
      <c r="F1446" s="38" t="n"/>
      <c r="G1446" s="38" t="n"/>
      <c r="H1446" s="38" t="n"/>
      <c r="I1446" s="38" t="n"/>
      <c r="J1446" s="38" t="n"/>
      <c r="K1446" s="37" t="n"/>
      <c r="L1446" s="39" t="n"/>
      <c r="M1446" s="40" t="n"/>
      <c r="N1446" s="30">
        <f>IF(A1446="","",MONTH(A1446))</f>
        <v/>
      </c>
      <c r="O1446" s="30">
        <f>IF(A1446="","",YEAR(A1446))</f>
        <v/>
      </c>
      <c r="P1446" s="30">
        <f>IF(A1446="","",CHOOSE(WEEKDAY(A1446,2),"Segunda","Terça","Quarta","Quinta","Sexta","Sábado","Domingo"))</f>
        <v/>
      </c>
      <c r="Q1446" s="30">
        <f>IF(B1446="","",IF(B1446&lt;TIME(12,0,0),"Manhã",IF(B1446&lt;TIME(18,0,0),"Tarde","Noite")))</f>
        <v/>
      </c>
      <c r="R1446" s="46">
        <f>IF(AND(H1446="Realizado",L1446&lt;&gt;"",A1446&lt;=Config!$B$9),L1446/60,0)</f>
        <v>0</v>
      </c>
      <c r="S1446" s="45">
        <f>IF(G1446="","",IFERROR(INDEX(Config!$K$5:$K$16,MATCH(G1446,Config!$J$5:$J$16,0)),""))</f>
        <v/>
      </c>
      <c r="T1446" s="31">
        <f>IF(OR(G1446="",F1446=""),"",IFERROR(INDEX(Config!$M$5:$R$16,MATCH(G1446,Config!$J$5:$J$16,0),MATCH(F1446,Config!$H$5:$H$10,0)),""))</f>
        <v/>
      </c>
      <c r="U1446" s="47">
        <f>IF(AND(H1446="Realizado",L1446&lt;&gt;""),L1446/60,0)</f>
        <v>0</v>
      </c>
      <c r="V1446" s="47">
        <f>IF(AND(H1446="Realizado",OR(L1446="",M1446="")),1,0)</f>
        <v>0</v>
      </c>
    </row>
    <row r="1447">
      <c r="A1447" s="43" t="n"/>
      <c r="B1447" s="44" t="n"/>
      <c r="C1447" s="38" t="n"/>
      <c r="D1447" s="38" t="n"/>
      <c r="E1447" s="37" t="n"/>
      <c r="F1447" s="38" t="n"/>
      <c r="G1447" s="38" t="n"/>
      <c r="H1447" s="38" t="n"/>
      <c r="I1447" s="38" t="n"/>
      <c r="J1447" s="38" t="n"/>
      <c r="K1447" s="37" t="n"/>
      <c r="L1447" s="39" t="n"/>
      <c r="M1447" s="40" t="n"/>
      <c r="N1447" s="30">
        <f>IF(A1447="","",MONTH(A1447))</f>
        <v/>
      </c>
      <c r="O1447" s="30">
        <f>IF(A1447="","",YEAR(A1447))</f>
        <v/>
      </c>
      <c r="P1447" s="30">
        <f>IF(A1447="","",CHOOSE(WEEKDAY(A1447,2),"Segunda","Terça","Quarta","Quinta","Sexta","Sábado","Domingo"))</f>
        <v/>
      </c>
      <c r="Q1447" s="30">
        <f>IF(B1447="","",IF(B1447&lt;TIME(12,0,0),"Manhã",IF(B1447&lt;TIME(18,0,0),"Tarde","Noite")))</f>
        <v/>
      </c>
      <c r="R1447" s="46">
        <f>IF(AND(H1447="Realizado",L1447&lt;&gt;"",A1447&lt;=Config!$B$9),L1447/60,0)</f>
        <v>0</v>
      </c>
      <c r="S1447" s="45">
        <f>IF(G1447="","",IFERROR(INDEX(Config!$K$5:$K$16,MATCH(G1447,Config!$J$5:$J$16,0)),""))</f>
        <v/>
      </c>
      <c r="T1447" s="31">
        <f>IF(OR(G1447="",F1447=""),"",IFERROR(INDEX(Config!$M$5:$R$16,MATCH(G1447,Config!$J$5:$J$16,0),MATCH(F1447,Config!$H$5:$H$10,0)),""))</f>
        <v/>
      </c>
      <c r="U1447" s="47">
        <f>IF(AND(H1447="Realizado",L1447&lt;&gt;""),L1447/60,0)</f>
        <v>0</v>
      </c>
      <c r="V1447" s="47">
        <f>IF(AND(H1447="Realizado",OR(L1447="",M1447="")),1,0)</f>
        <v>0</v>
      </c>
    </row>
    <row r="1448">
      <c r="A1448" s="43" t="n"/>
      <c r="B1448" s="44" t="n"/>
      <c r="C1448" s="38" t="n"/>
      <c r="D1448" s="38" t="n"/>
      <c r="E1448" s="37" t="n"/>
      <c r="F1448" s="38" t="n"/>
      <c r="G1448" s="38" t="n"/>
      <c r="H1448" s="38" t="n"/>
      <c r="I1448" s="38" t="n"/>
      <c r="J1448" s="38" t="n"/>
      <c r="K1448" s="37" t="n"/>
      <c r="L1448" s="39" t="n"/>
      <c r="M1448" s="40" t="n"/>
      <c r="N1448" s="30">
        <f>IF(A1448="","",MONTH(A1448))</f>
        <v/>
      </c>
      <c r="O1448" s="30">
        <f>IF(A1448="","",YEAR(A1448))</f>
        <v/>
      </c>
      <c r="P1448" s="30">
        <f>IF(A1448="","",CHOOSE(WEEKDAY(A1448,2),"Segunda","Terça","Quarta","Quinta","Sexta","Sábado","Domingo"))</f>
        <v/>
      </c>
      <c r="Q1448" s="30">
        <f>IF(B1448="","",IF(B1448&lt;TIME(12,0,0),"Manhã",IF(B1448&lt;TIME(18,0,0),"Tarde","Noite")))</f>
        <v/>
      </c>
      <c r="R1448" s="46">
        <f>IF(AND(H1448="Realizado",L1448&lt;&gt;"",A1448&lt;=Config!$B$9),L1448/60,0)</f>
        <v>0</v>
      </c>
      <c r="S1448" s="45">
        <f>IF(G1448="","",IFERROR(INDEX(Config!$K$5:$K$16,MATCH(G1448,Config!$J$5:$J$16,0)),""))</f>
        <v/>
      </c>
      <c r="T1448" s="31">
        <f>IF(OR(G1448="",F1448=""),"",IFERROR(INDEX(Config!$M$5:$R$16,MATCH(G1448,Config!$J$5:$J$16,0),MATCH(F1448,Config!$H$5:$H$10,0)),""))</f>
        <v/>
      </c>
      <c r="U1448" s="47">
        <f>IF(AND(H1448="Realizado",L1448&lt;&gt;""),L1448/60,0)</f>
        <v>0</v>
      </c>
      <c r="V1448" s="47">
        <f>IF(AND(H1448="Realizado",OR(L1448="",M1448="")),1,0)</f>
        <v>0</v>
      </c>
    </row>
    <row r="1449">
      <c r="A1449" s="43" t="n"/>
      <c r="B1449" s="44" t="n"/>
      <c r="C1449" s="38" t="n"/>
      <c r="D1449" s="38" t="n"/>
      <c r="E1449" s="37" t="n"/>
      <c r="F1449" s="38" t="n"/>
      <c r="G1449" s="38" t="n"/>
      <c r="H1449" s="38" t="n"/>
      <c r="I1449" s="38" t="n"/>
      <c r="J1449" s="38" t="n"/>
      <c r="K1449" s="37" t="n"/>
      <c r="L1449" s="39" t="n"/>
      <c r="M1449" s="40" t="n"/>
      <c r="N1449" s="30">
        <f>IF(A1449="","",MONTH(A1449))</f>
        <v/>
      </c>
      <c r="O1449" s="30">
        <f>IF(A1449="","",YEAR(A1449))</f>
        <v/>
      </c>
      <c r="P1449" s="30">
        <f>IF(A1449="","",CHOOSE(WEEKDAY(A1449,2),"Segunda","Terça","Quarta","Quinta","Sexta","Sábado","Domingo"))</f>
        <v/>
      </c>
      <c r="Q1449" s="30">
        <f>IF(B1449="","",IF(B1449&lt;TIME(12,0,0),"Manhã",IF(B1449&lt;TIME(18,0,0),"Tarde","Noite")))</f>
        <v/>
      </c>
      <c r="R1449" s="46">
        <f>IF(AND(H1449="Realizado",L1449&lt;&gt;"",A1449&lt;=Config!$B$9),L1449/60,0)</f>
        <v>0</v>
      </c>
      <c r="S1449" s="45">
        <f>IF(G1449="","",IFERROR(INDEX(Config!$K$5:$K$16,MATCH(G1449,Config!$J$5:$J$16,0)),""))</f>
        <v/>
      </c>
      <c r="T1449" s="31">
        <f>IF(OR(G1449="",F1449=""),"",IFERROR(INDEX(Config!$M$5:$R$16,MATCH(G1449,Config!$J$5:$J$16,0),MATCH(F1449,Config!$H$5:$H$10,0)),""))</f>
        <v/>
      </c>
      <c r="U1449" s="47">
        <f>IF(AND(H1449="Realizado",L1449&lt;&gt;""),L1449/60,0)</f>
        <v>0</v>
      </c>
      <c r="V1449" s="47">
        <f>IF(AND(H1449="Realizado",OR(L1449="",M1449="")),1,0)</f>
        <v>0</v>
      </c>
    </row>
    <row r="1450">
      <c r="A1450" s="43" t="n"/>
      <c r="B1450" s="44" t="n"/>
      <c r="C1450" s="38" t="n"/>
      <c r="D1450" s="38" t="n"/>
      <c r="E1450" s="37" t="n"/>
      <c r="F1450" s="38" t="n"/>
      <c r="G1450" s="38" t="n"/>
      <c r="H1450" s="38" t="n"/>
      <c r="I1450" s="38" t="n"/>
      <c r="J1450" s="38" t="n"/>
      <c r="K1450" s="37" t="n"/>
      <c r="L1450" s="39" t="n"/>
      <c r="M1450" s="40" t="n"/>
      <c r="N1450" s="30">
        <f>IF(A1450="","",MONTH(A1450))</f>
        <v/>
      </c>
      <c r="O1450" s="30">
        <f>IF(A1450="","",YEAR(A1450))</f>
        <v/>
      </c>
      <c r="P1450" s="30">
        <f>IF(A1450="","",CHOOSE(WEEKDAY(A1450,2),"Segunda","Terça","Quarta","Quinta","Sexta","Sábado","Domingo"))</f>
        <v/>
      </c>
      <c r="Q1450" s="30">
        <f>IF(B1450="","",IF(B1450&lt;TIME(12,0,0),"Manhã",IF(B1450&lt;TIME(18,0,0),"Tarde","Noite")))</f>
        <v/>
      </c>
      <c r="R1450" s="46">
        <f>IF(AND(H1450="Realizado",L1450&lt;&gt;"",A1450&lt;=Config!$B$9),L1450/60,0)</f>
        <v>0</v>
      </c>
      <c r="S1450" s="45">
        <f>IF(G1450="","",IFERROR(INDEX(Config!$K$5:$K$16,MATCH(G1450,Config!$J$5:$J$16,0)),""))</f>
        <v/>
      </c>
      <c r="T1450" s="31">
        <f>IF(OR(G1450="",F1450=""),"",IFERROR(INDEX(Config!$M$5:$R$16,MATCH(G1450,Config!$J$5:$J$16,0),MATCH(F1450,Config!$H$5:$H$10,0)),""))</f>
        <v/>
      </c>
      <c r="U1450" s="47">
        <f>IF(AND(H1450="Realizado",L1450&lt;&gt;""),L1450/60,0)</f>
        <v>0</v>
      </c>
      <c r="V1450" s="47">
        <f>IF(AND(H1450="Realizado",OR(L1450="",M1450="")),1,0)</f>
        <v>0</v>
      </c>
    </row>
    <row r="1451">
      <c r="A1451" s="43" t="n"/>
      <c r="B1451" s="44" t="n"/>
      <c r="C1451" s="38" t="n"/>
      <c r="D1451" s="38" t="n"/>
      <c r="E1451" s="37" t="n"/>
      <c r="F1451" s="38" t="n"/>
      <c r="G1451" s="38" t="n"/>
      <c r="H1451" s="38" t="n"/>
      <c r="I1451" s="38" t="n"/>
      <c r="J1451" s="38" t="n"/>
      <c r="K1451" s="37" t="n"/>
      <c r="L1451" s="39" t="n"/>
      <c r="M1451" s="40" t="n"/>
      <c r="N1451" s="30">
        <f>IF(A1451="","",MONTH(A1451))</f>
        <v/>
      </c>
      <c r="O1451" s="30">
        <f>IF(A1451="","",YEAR(A1451))</f>
        <v/>
      </c>
      <c r="P1451" s="30">
        <f>IF(A1451="","",CHOOSE(WEEKDAY(A1451,2),"Segunda","Terça","Quarta","Quinta","Sexta","Sábado","Domingo"))</f>
        <v/>
      </c>
      <c r="Q1451" s="30">
        <f>IF(B1451="","",IF(B1451&lt;TIME(12,0,0),"Manhã",IF(B1451&lt;TIME(18,0,0),"Tarde","Noite")))</f>
        <v/>
      </c>
      <c r="R1451" s="46">
        <f>IF(AND(H1451="Realizado",L1451&lt;&gt;"",A1451&lt;=Config!$B$9),L1451/60,0)</f>
        <v>0</v>
      </c>
      <c r="S1451" s="45">
        <f>IF(G1451="","",IFERROR(INDEX(Config!$K$5:$K$16,MATCH(G1451,Config!$J$5:$J$16,0)),""))</f>
        <v/>
      </c>
      <c r="T1451" s="31">
        <f>IF(OR(G1451="",F1451=""),"",IFERROR(INDEX(Config!$M$5:$R$16,MATCH(G1451,Config!$J$5:$J$16,0),MATCH(F1451,Config!$H$5:$H$10,0)),""))</f>
        <v/>
      </c>
      <c r="U1451" s="47">
        <f>IF(AND(H1451="Realizado",L1451&lt;&gt;""),L1451/60,0)</f>
        <v>0</v>
      </c>
      <c r="V1451" s="47">
        <f>IF(AND(H1451="Realizado",OR(L1451="",M1451="")),1,0)</f>
        <v>0</v>
      </c>
    </row>
    <row r="1452">
      <c r="A1452" s="43" t="n"/>
      <c r="B1452" s="44" t="n"/>
      <c r="C1452" s="38" t="n"/>
      <c r="D1452" s="38" t="n"/>
      <c r="E1452" s="37" t="n"/>
      <c r="F1452" s="38" t="n"/>
      <c r="G1452" s="38" t="n"/>
      <c r="H1452" s="38" t="n"/>
      <c r="I1452" s="38" t="n"/>
      <c r="J1452" s="38" t="n"/>
      <c r="K1452" s="37" t="n"/>
      <c r="L1452" s="39" t="n"/>
      <c r="M1452" s="40" t="n"/>
      <c r="N1452" s="30">
        <f>IF(A1452="","",MONTH(A1452))</f>
        <v/>
      </c>
      <c r="O1452" s="30">
        <f>IF(A1452="","",YEAR(A1452))</f>
        <v/>
      </c>
      <c r="P1452" s="30">
        <f>IF(A1452="","",CHOOSE(WEEKDAY(A1452,2),"Segunda","Terça","Quarta","Quinta","Sexta","Sábado","Domingo"))</f>
        <v/>
      </c>
      <c r="Q1452" s="30">
        <f>IF(B1452="","",IF(B1452&lt;TIME(12,0,0),"Manhã",IF(B1452&lt;TIME(18,0,0),"Tarde","Noite")))</f>
        <v/>
      </c>
      <c r="R1452" s="46">
        <f>IF(AND(H1452="Realizado",L1452&lt;&gt;"",A1452&lt;=Config!$B$9),L1452/60,0)</f>
        <v>0</v>
      </c>
      <c r="S1452" s="45">
        <f>IF(G1452="","",IFERROR(INDEX(Config!$K$5:$K$16,MATCH(G1452,Config!$J$5:$J$16,0)),""))</f>
        <v/>
      </c>
      <c r="T1452" s="31">
        <f>IF(OR(G1452="",F1452=""),"",IFERROR(INDEX(Config!$M$5:$R$16,MATCH(G1452,Config!$J$5:$J$16,0),MATCH(F1452,Config!$H$5:$H$10,0)),""))</f>
        <v/>
      </c>
      <c r="U1452" s="47">
        <f>IF(AND(H1452="Realizado",L1452&lt;&gt;""),L1452/60,0)</f>
        <v>0</v>
      </c>
      <c r="V1452" s="47">
        <f>IF(AND(H1452="Realizado",OR(L1452="",M1452="")),1,0)</f>
        <v>0</v>
      </c>
    </row>
    <row r="1453">
      <c r="A1453" s="43" t="n"/>
      <c r="B1453" s="44" t="n"/>
      <c r="C1453" s="38" t="n"/>
      <c r="D1453" s="38" t="n"/>
      <c r="E1453" s="37" t="n"/>
      <c r="F1453" s="38" t="n"/>
      <c r="G1453" s="38" t="n"/>
      <c r="H1453" s="38" t="n"/>
      <c r="I1453" s="38" t="n"/>
      <c r="J1453" s="38" t="n"/>
      <c r="K1453" s="37" t="n"/>
      <c r="L1453" s="39" t="n"/>
      <c r="M1453" s="40" t="n"/>
      <c r="N1453" s="30">
        <f>IF(A1453="","",MONTH(A1453))</f>
        <v/>
      </c>
      <c r="O1453" s="30">
        <f>IF(A1453="","",YEAR(A1453))</f>
        <v/>
      </c>
      <c r="P1453" s="30">
        <f>IF(A1453="","",CHOOSE(WEEKDAY(A1453,2),"Segunda","Terça","Quarta","Quinta","Sexta","Sábado","Domingo"))</f>
        <v/>
      </c>
      <c r="Q1453" s="30">
        <f>IF(B1453="","",IF(B1453&lt;TIME(12,0,0),"Manhã",IF(B1453&lt;TIME(18,0,0),"Tarde","Noite")))</f>
        <v/>
      </c>
      <c r="R1453" s="46">
        <f>IF(AND(H1453="Realizado",L1453&lt;&gt;"",A1453&lt;=Config!$B$9),L1453/60,0)</f>
        <v>0</v>
      </c>
      <c r="S1453" s="45">
        <f>IF(G1453="","",IFERROR(INDEX(Config!$K$5:$K$16,MATCH(G1453,Config!$J$5:$J$16,0)),""))</f>
        <v/>
      </c>
      <c r="T1453" s="31">
        <f>IF(OR(G1453="",F1453=""),"",IFERROR(INDEX(Config!$M$5:$R$16,MATCH(G1453,Config!$J$5:$J$16,0),MATCH(F1453,Config!$H$5:$H$10,0)),""))</f>
        <v/>
      </c>
      <c r="U1453" s="47">
        <f>IF(AND(H1453="Realizado",L1453&lt;&gt;""),L1453/60,0)</f>
        <v>0</v>
      </c>
      <c r="V1453" s="47">
        <f>IF(AND(H1453="Realizado",OR(L1453="",M1453="")),1,0)</f>
        <v>0</v>
      </c>
    </row>
    <row r="1454">
      <c r="A1454" s="43" t="n"/>
      <c r="B1454" s="44" t="n"/>
      <c r="C1454" s="38" t="n"/>
      <c r="D1454" s="38" t="n"/>
      <c r="E1454" s="37" t="n"/>
      <c r="F1454" s="38" t="n"/>
      <c r="G1454" s="38" t="n"/>
      <c r="H1454" s="38" t="n"/>
      <c r="I1454" s="38" t="n"/>
      <c r="J1454" s="38" t="n"/>
      <c r="K1454" s="37" t="n"/>
      <c r="L1454" s="39" t="n"/>
      <c r="M1454" s="40" t="n"/>
      <c r="N1454" s="30">
        <f>IF(A1454="","",MONTH(A1454))</f>
        <v/>
      </c>
      <c r="O1454" s="30">
        <f>IF(A1454="","",YEAR(A1454))</f>
        <v/>
      </c>
      <c r="P1454" s="30">
        <f>IF(A1454="","",CHOOSE(WEEKDAY(A1454,2),"Segunda","Terça","Quarta","Quinta","Sexta","Sábado","Domingo"))</f>
        <v/>
      </c>
      <c r="Q1454" s="30">
        <f>IF(B1454="","",IF(B1454&lt;TIME(12,0,0),"Manhã",IF(B1454&lt;TIME(18,0,0),"Tarde","Noite")))</f>
        <v/>
      </c>
      <c r="R1454" s="46">
        <f>IF(AND(H1454="Realizado",L1454&lt;&gt;"",A1454&lt;=Config!$B$9),L1454/60,0)</f>
        <v>0</v>
      </c>
      <c r="S1454" s="45">
        <f>IF(G1454="","",IFERROR(INDEX(Config!$K$5:$K$16,MATCH(G1454,Config!$J$5:$J$16,0)),""))</f>
        <v/>
      </c>
      <c r="T1454" s="31">
        <f>IF(OR(G1454="",F1454=""),"",IFERROR(INDEX(Config!$M$5:$R$16,MATCH(G1454,Config!$J$5:$J$16,0),MATCH(F1454,Config!$H$5:$H$10,0)),""))</f>
        <v/>
      </c>
      <c r="U1454" s="47">
        <f>IF(AND(H1454="Realizado",L1454&lt;&gt;""),L1454/60,0)</f>
        <v>0</v>
      </c>
      <c r="V1454" s="47">
        <f>IF(AND(H1454="Realizado",OR(L1454="",M1454="")),1,0)</f>
        <v>0</v>
      </c>
    </row>
    <row r="1455">
      <c r="A1455" s="43" t="n"/>
      <c r="B1455" s="44" t="n"/>
      <c r="C1455" s="38" t="n"/>
      <c r="D1455" s="38" t="n"/>
      <c r="E1455" s="37" t="n"/>
      <c r="F1455" s="38" t="n"/>
      <c r="G1455" s="38" t="n"/>
      <c r="H1455" s="38" t="n"/>
      <c r="I1455" s="38" t="n"/>
      <c r="J1455" s="38" t="n"/>
      <c r="K1455" s="37" t="n"/>
      <c r="L1455" s="39" t="n"/>
      <c r="M1455" s="40" t="n"/>
      <c r="N1455" s="30">
        <f>IF(A1455="","",MONTH(A1455))</f>
        <v/>
      </c>
      <c r="O1455" s="30">
        <f>IF(A1455="","",YEAR(A1455))</f>
        <v/>
      </c>
      <c r="P1455" s="30">
        <f>IF(A1455="","",CHOOSE(WEEKDAY(A1455,2),"Segunda","Terça","Quarta","Quinta","Sexta","Sábado","Domingo"))</f>
        <v/>
      </c>
      <c r="Q1455" s="30">
        <f>IF(B1455="","",IF(B1455&lt;TIME(12,0,0),"Manhã",IF(B1455&lt;TIME(18,0,0),"Tarde","Noite")))</f>
        <v/>
      </c>
      <c r="R1455" s="46">
        <f>IF(AND(H1455="Realizado",L1455&lt;&gt;"",A1455&lt;=Config!$B$9),L1455/60,0)</f>
        <v>0</v>
      </c>
      <c r="S1455" s="45">
        <f>IF(G1455="","",IFERROR(INDEX(Config!$K$5:$K$16,MATCH(G1455,Config!$J$5:$J$16,0)),""))</f>
        <v/>
      </c>
      <c r="T1455" s="31">
        <f>IF(OR(G1455="",F1455=""),"",IFERROR(INDEX(Config!$M$5:$R$16,MATCH(G1455,Config!$J$5:$J$16,0),MATCH(F1455,Config!$H$5:$H$10,0)),""))</f>
        <v/>
      </c>
      <c r="U1455" s="47">
        <f>IF(AND(H1455="Realizado",L1455&lt;&gt;""),L1455/60,0)</f>
        <v>0</v>
      </c>
      <c r="V1455" s="47">
        <f>IF(AND(H1455="Realizado",OR(L1455="",M1455="")),1,0)</f>
        <v>0</v>
      </c>
    </row>
    <row r="1456">
      <c r="A1456" s="43" t="n"/>
      <c r="B1456" s="44" t="n"/>
      <c r="C1456" s="38" t="n"/>
      <c r="D1456" s="38" t="n"/>
      <c r="E1456" s="37" t="n"/>
      <c r="F1456" s="38" t="n"/>
      <c r="G1456" s="38" t="n"/>
      <c r="H1456" s="38" t="n"/>
      <c r="I1456" s="38" t="n"/>
      <c r="J1456" s="38" t="n"/>
      <c r="K1456" s="37" t="n"/>
      <c r="L1456" s="39" t="n"/>
      <c r="M1456" s="40" t="n"/>
      <c r="N1456" s="30">
        <f>IF(A1456="","",MONTH(A1456))</f>
        <v/>
      </c>
      <c r="O1456" s="30">
        <f>IF(A1456="","",YEAR(A1456))</f>
        <v/>
      </c>
      <c r="P1456" s="30">
        <f>IF(A1456="","",CHOOSE(WEEKDAY(A1456,2),"Segunda","Terça","Quarta","Quinta","Sexta","Sábado","Domingo"))</f>
        <v/>
      </c>
      <c r="Q1456" s="30">
        <f>IF(B1456="","",IF(B1456&lt;TIME(12,0,0),"Manhã",IF(B1456&lt;TIME(18,0,0),"Tarde","Noite")))</f>
        <v/>
      </c>
      <c r="R1456" s="46">
        <f>IF(AND(H1456="Realizado",L1456&lt;&gt;"",A1456&lt;=Config!$B$9),L1456/60,0)</f>
        <v>0</v>
      </c>
      <c r="S1456" s="45">
        <f>IF(G1456="","",IFERROR(INDEX(Config!$K$5:$K$16,MATCH(G1456,Config!$J$5:$J$16,0)),""))</f>
        <v/>
      </c>
      <c r="T1456" s="31">
        <f>IF(OR(G1456="",F1456=""),"",IFERROR(INDEX(Config!$M$5:$R$16,MATCH(G1456,Config!$J$5:$J$16,0),MATCH(F1456,Config!$H$5:$H$10,0)),""))</f>
        <v/>
      </c>
      <c r="U1456" s="47">
        <f>IF(AND(H1456="Realizado",L1456&lt;&gt;""),L1456/60,0)</f>
        <v>0</v>
      </c>
      <c r="V1456" s="47">
        <f>IF(AND(H1456="Realizado",OR(L1456="",M1456="")),1,0)</f>
        <v>0</v>
      </c>
    </row>
    <row r="1457">
      <c r="A1457" s="43" t="n"/>
      <c r="B1457" s="44" t="n"/>
      <c r="C1457" s="38" t="n"/>
      <c r="D1457" s="38" t="n"/>
      <c r="E1457" s="37" t="n"/>
      <c r="F1457" s="38" t="n"/>
      <c r="G1457" s="38" t="n"/>
      <c r="H1457" s="38" t="n"/>
      <c r="I1457" s="38" t="n"/>
      <c r="J1457" s="38" t="n"/>
      <c r="K1457" s="37" t="n"/>
      <c r="L1457" s="39" t="n"/>
      <c r="M1457" s="40" t="n"/>
      <c r="N1457" s="30">
        <f>IF(A1457="","",MONTH(A1457))</f>
        <v/>
      </c>
      <c r="O1457" s="30">
        <f>IF(A1457="","",YEAR(A1457))</f>
        <v/>
      </c>
      <c r="P1457" s="30">
        <f>IF(A1457="","",CHOOSE(WEEKDAY(A1457,2),"Segunda","Terça","Quarta","Quinta","Sexta","Sábado","Domingo"))</f>
        <v/>
      </c>
      <c r="Q1457" s="30">
        <f>IF(B1457="","",IF(B1457&lt;TIME(12,0,0),"Manhã",IF(B1457&lt;TIME(18,0,0),"Tarde","Noite")))</f>
        <v/>
      </c>
      <c r="R1457" s="46">
        <f>IF(AND(H1457="Realizado",L1457&lt;&gt;"",A1457&lt;=Config!$B$9),L1457/60,0)</f>
        <v>0</v>
      </c>
      <c r="S1457" s="45">
        <f>IF(G1457="","",IFERROR(INDEX(Config!$K$5:$K$16,MATCH(G1457,Config!$J$5:$J$16,0)),""))</f>
        <v/>
      </c>
      <c r="T1457" s="31">
        <f>IF(OR(G1457="",F1457=""),"",IFERROR(INDEX(Config!$M$5:$R$16,MATCH(G1457,Config!$J$5:$J$16,0),MATCH(F1457,Config!$H$5:$H$10,0)),""))</f>
        <v/>
      </c>
      <c r="U1457" s="47">
        <f>IF(AND(H1457="Realizado",L1457&lt;&gt;""),L1457/60,0)</f>
        <v>0</v>
      </c>
      <c r="V1457" s="47">
        <f>IF(AND(H1457="Realizado",OR(L1457="",M1457="")),1,0)</f>
        <v>0</v>
      </c>
    </row>
    <row r="1458">
      <c r="A1458" s="43" t="n"/>
      <c r="B1458" s="44" t="n"/>
      <c r="C1458" s="38" t="n"/>
      <c r="D1458" s="38" t="n"/>
      <c r="E1458" s="37" t="n"/>
      <c r="F1458" s="38" t="n"/>
      <c r="G1458" s="38" t="n"/>
      <c r="H1458" s="38" t="n"/>
      <c r="I1458" s="38" t="n"/>
      <c r="J1458" s="38" t="n"/>
      <c r="K1458" s="37" t="n"/>
      <c r="L1458" s="39" t="n"/>
      <c r="M1458" s="40" t="n"/>
      <c r="N1458" s="30">
        <f>IF(A1458="","",MONTH(A1458))</f>
        <v/>
      </c>
      <c r="O1458" s="30">
        <f>IF(A1458="","",YEAR(A1458))</f>
        <v/>
      </c>
      <c r="P1458" s="30">
        <f>IF(A1458="","",CHOOSE(WEEKDAY(A1458,2),"Segunda","Terça","Quarta","Quinta","Sexta","Sábado","Domingo"))</f>
        <v/>
      </c>
      <c r="Q1458" s="30">
        <f>IF(B1458="","",IF(B1458&lt;TIME(12,0,0),"Manhã",IF(B1458&lt;TIME(18,0,0),"Tarde","Noite")))</f>
        <v/>
      </c>
      <c r="R1458" s="46">
        <f>IF(AND(H1458="Realizado",L1458&lt;&gt;"",A1458&lt;=Config!$B$9),L1458/60,0)</f>
        <v>0</v>
      </c>
      <c r="S1458" s="45">
        <f>IF(G1458="","",IFERROR(INDEX(Config!$K$5:$K$16,MATCH(G1458,Config!$J$5:$J$16,0)),""))</f>
        <v/>
      </c>
      <c r="T1458" s="31">
        <f>IF(OR(G1458="",F1458=""),"",IFERROR(INDEX(Config!$M$5:$R$16,MATCH(G1458,Config!$J$5:$J$16,0),MATCH(F1458,Config!$H$5:$H$10,0)),""))</f>
        <v/>
      </c>
      <c r="U1458" s="47">
        <f>IF(AND(H1458="Realizado",L1458&lt;&gt;""),L1458/60,0)</f>
        <v>0</v>
      </c>
      <c r="V1458" s="47">
        <f>IF(AND(H1458="Realizado",OR(L1458="",M1458="")),1,0)</f>
        <v>0</v>
      </c>
    </row>
    <row r="1459">
      <c r="A1459" s="43" t="n"/>
      <c r="B1459" s="44" t="n"/>
      <c r="C1459" s="38" t="n"/>
      <c r="D1459" s="38" t="n"/>
      <c r="E1459" s="37" t="n"/>
      <c r="F1459" s="38" t="n"/>
      <c r="G1459" s="38" t="n"/>
      <c r="H1459" s="38" t="n"/>
      <c r="I1459" s="38" t="n"/>
      <c r="J1459" s="38" t="n"/>
      <c r="K1459" s="37" t="n"/>
      <c r="L1459" s="39" t="n"/>
      <c r="M1459" s="40" t="n"/>
      <c r="N1459" s="30">
        <f>IF(A1459="","",MONTH(A1459))</f>
        <v/>
      </c>
      <c r="O1459" s="30">
        <f>IF(A1459="","",YEAR(A1459))</f>
        <v/>
      </c>
      <c r="P1459" s="30">
        <f>IF(A1459="","",CHOOSE(WEEKDAY(A1459,2),"Segunda","Terça","Quarta","Quinta","Sexta","Sábado","Domingo"))</f>
        <v/>
      </c>
      <c r="Q1459" s="30">
        <f>IF(B1459="","",IF(B1459&lt;TIME(12,0,0),"Manhã",IF(B1459&lt;TIME(18,0,0),"Tarde","Noite")))</f>
        <v/>
      </c>
      <c r="R1459" s="46">
        <f>IF(AND(H1459="Realizado",L1459&lt;&gt;"",A1459&lt;=Config!$B$9),L1459/60,0)</f>
        <v>0</v>
      </c>
      <c r="S1459" s="45">
        <f>IF(G1459="","",IFERROR(INDEX(Config!$K$5:$K$16,MATCH(G1459,Config!$J$5:$J$16,0)),""))</f>
        <v/>
      </c>
      <c r="T1459" s="31">
        <f>IF(OR(G1459="",F1459=""),"",IFERROR(INDEX(Config!$M$5:$R$16,MATCH(G1459,Config!$J$5:$J$16,0),MATCH(F1459,Config!$H$5:$H$10,0)),""))</f>
        <v/>
      </c>
      <c r="U1459" s="47">
        <f>IF(AND(H1459="Realizado",L1459&lt;&gt;""),L1459/60,0)</f>
        <v>0</v>
      </c>
      <c r="V1459" s="47">
        <f>IF(AND(H1459="Realizado",OR(L1459="",M1459="")),1,0)</f>
        <v>0</v>
      </c>
    </row>
    <row r="1460">
      <c r="A1460" s="43" t="n"/>
      <c r="B1460" s="44" t="n"/>
      <c r="C1460" s="38" t="n"/>
      <c r="D1460" s="38" t="n"/>
      <c r="E1460" s="37" t="n"/>
      <c r="F1460" s="38" t="n"/>
      <c r="G1460" s="38" t="n"/>
      <c r="H1460" s="38" t="n"/>
      <c r="I1460" s="38" t="n"/>
      <c r="J1460" s="38" t="n"/>
      <c r="K1460" s="37" t="n"/>
      <c r="L1460" s="39" t="n"/>
      <c r="M1460" s="40" t="n"/>
      <c r="N1460" s="30">
        <f>IF(A1460="","",MONTH(A1460))</f>
        <v/>
      </c>
      <c r="O1460" s="30">
        <f>IF(A1460="","",YEAR(A1460))</f>
        <v/>
      </c>
      <c r="P1460" s="30">
        <f>IF(A1460="","",CHOOSE(WEEKDAY(A1460,2),"Segunda","Terça","Quarta","Quinta","Sexta","Sábado","Domingo"))</f>
        <v/>
      </c>
      <c r="Q1460" s="30">
        <f>IF(B1460="","",IF(B1460&lt;TIME(12,0,0),"Manhã",IF(B1460&lt;TIME(18,0,0),"Tarde","Noite")))</f>
        <v/>
      </c>
      <c r="R1460" s="46">
        <f>IF(AND(H1460="Realizado",L1460&lt;&gt;"",A1460&lt;=Config!$B$9),L1460/60,0)</f>
        <v>0</v>
      </c>
      <c r="S1460" s="45">
        <f>IF(G1460="","",IFERROR(INDEX(Config!$K$5:$K$16,MATCH(G1460,Config!$J$5:$J$16,0)),""))</f>
        <v/>
      </c>
      <c r="T1460" s="31">
        <f>IF(OR(G1460="",F1460=""),"",IFERROR(INDEX(Config!$M$5:$R$16,MATCH(G1460,Config!$J$5:$J$16,0),MATCH(F1460,Config!$H$5:$H$10,0)),""))</f>
        <v/>
      </c>
      <c r="U1460" s="47">
        <f>IF(AND(H1460="Realizado",L1460&lt;&gt;""),L1460/60,0)</f>
        <v>0</v>
      </c>
      <c r="V1460" s="47">
        <f>IF(AND(H1460="Realizado",OR(L1460="",M1460="")),1,0)</f>
        <v>0</v>
      </c>
    </row>
    <row r="1461">
      <c r="A1461" s="43" t="n"/>
      <c r="B1461" s="44" t="n"/>
      <c r="C1461" s="38" t="n"/>
      <c r="D1461" s="38" t="n"/>
      <c r="E1461" s="37" t="n"/>
      <c r="F1461" s="38" t="n"/>
      <c r="G1461" s="38" t="n"/>
      <c r="H1461" s="38" t="n"/>
      <c r="I1461" s="38" t="n"/>
      <c r="J1461" s="38" t="n"/>
      <c r="K1461" s="37" t="n"/>
      <c r="L1461" s="39" t="n"/>
      <c r="M1461" s="40" t="n"/>
      <c r="N1461" s="30">
        <f>IF(A1461="","",MONTH(A1461))</f>
        <v/>
      </c>
      <c r="O1461" s="30">
        <f>IF(A1461="","",YEAR(A1461))</f>
        <v/>
      </c>
      <c r="P1461" s="30">
        <f>IF(A1461="","",CHOOSE(WEEKDAY(A1461,2),"Segunda","Terça","Quarta","Quinta","Sexta","Sábado","Domingo"))</f>
        <v/>
      </c>
      <c r="Q1461" s="30">
        <f>IF(B1461="","",IF(B1461&lt;TIME(12,0,0),"Manhã",IF(B1461&lt;TIME(18,0,0),"Tarde","Noite")))</f>
        <v/>
      </c>
      <c r="R1461" s="46">
        <f>IF(AND(H1461="Realizado",L1461&lt;&gt;"",A1461&lt;=Config!$B$9),L1461/60,0)</f>
        <v>0</v>
      </c>
      <c r="S1461" s="45">
        <f>IF(G1461="","",IFERROR(INDEX(Config!$K$5:$K$16,MATCH(G1461,Config!$J$5:$J$16,0)),""))</f>
        <v/>
      </c>
      <c r="T1461" s="31">
        <f>IF(OR(G1461="",F1461=""),"",IFERROR(INDEX(Config!$M$5:$R$16,MATCH(G1461,Config!$J$5:$J$16,0),MATCH(F1461,Config!$H$5:$H$10,0)),""))</f>
        <v/>
      </c>
      <c r="U1461" s="47">
        <f>IF(AND(H1461="Realizado",L1461&lt;&gt;""),L1461/60,0)</f>
        <v>0</v>
      </c>
      <c r="V1461" s="47">
        <f>IF(AND(H1461="Realizado",OR(L1461="",M1461="")),1,0)</f>
        <v>0</v>
      </c>
    </row>
    <row r="1462">
      <c r="A1462" s="43" t="n"/>
      <c r="B1462" s="44" t="n"/>
      <c r="C1462" s="38" t="n"/>
      <c r="D1462" s="38" t="n"/>
      <c r="E1462" s="37" t="n"/>
      <c r="F1462" s="38" t="n"/>
      <c r="G1462" s="38" t="n"/>
      <c r="H1462" s="38" t="n"/>
      <c r="I1462" s="38" t="n"/>
      <c r="J1462" s="38" t="n"/>
      <c r="K1462" s="37" t="n"/>
      <c r="L1462" s="39" t="n"/>
      <c r="M1462" s="40" t="n"/>
      <c r="N1462" s="30">
        <f>IF(A1462="","",MONTH(A1462))</f>
        <v/>
      </c>
      <c r="O1462" s="30">
        <f>IF(A1462="","",YEAR(A1462))</f>
        <v/>
      </c>
      <c r="P1462" s="30">
        <f>IF(A1462="","",CHOOSE(WEEKDAY(A1462,2),"Segunda","Terça","Quarta","Quinta","Sexta","Sábado","Domingo"))</f>
        <v/>
      </c>
      <c r="Q1462" s="30">
        <f>IF(B1462="","",IF(B1462&lt;TIME(12,0,0),"Manhã",IF(B1462&lt;TIME(18,0,0),"Tarde","Noite")))</f>
        <v/>
      </c>
      <c r="R1462" s="46">
        <f>IF(AND(H1462="Realizado",L1462&lt;&gt;"",A1462&lt;=Config!$B$9),L1462/60,0)</f>
        <v>0</v>
      </c>
      <c r="S1462" s="45">
        <f>IF(G1462="","",IFERROR(INDEX(Config!$K$5:$K$16,MATCH(G1462,Config!$J$5:$J$16,0)),""))</f>
        <v/>
      </c>
      <c r="T1462" s="31">
        <f>IF(OR(G1462="",F1462=""),"",IFERROR(INDEX(Config!$M$5:$R$16,MATCH(G1462,Config!$J$5:$J$16,0),MATCH(F1462,Config!$H$5:$H$10,0)),""))</f>
        <v/>
      </c>
      <c r="U1462" s="47">
        <f>IF(AND(H1462="Realizado",L1462&lt;&gt;""),L1462/60,0)</f>
        <v>0</v>
      </c>
      <c r="V1462" s="47">
        <f>IF(AND(H1462="Realizado",OR(L1462="",M1462="")),1,0)</f>
        <v>0</v>
      </c>
    </row>
    <row r="1463">
      <c r="A1463" s="43" t="n"/>
      <c r="B1463" s="44" t="n"/>
      <c r="C1463" s="38" t="n"/>
      <c r="D1463" s="38" t="n"/>
      <c r="E1463" s="37" t="n"/>
      <c r="F1463" s="38" t="n"/>
      <c r="G1463" s="38" t="n"/>
      <c r="H1463" s="38" t="n"/>
      <c r="I1463" s="38" t="n"/>
      <c r="J1463" s="38" t="n"/>
      <c r="K1463" s="37" t="n"/>
      <c r="L1463" s="39" t="n"/>
      <c r="M1463" s="40" t="n"/>
      <c r="N1463" s="30">
        <f>IF(A1463="","",MONTH(A1463))</f>
        <v/>
      </c>
      <c r="O1463" s="30">
        <f>IF(A1463="","",YEAR(A1463))</f>
        <v/>
      </c>
      <c r="P1463" s="30">
        <f>IF(A1463="","",CHOOSE(WEEKDAY(A1463,2),"Segunda","Terça","Quarta","Quinta","Sexta","Sábado","Domingo"))</f>
        <v/>
      </c>
      <c r="Q1463" s="30">
        <f>IF(B1463="","",IF(B1463&lt;TIME(12,0,0),"Manhã",IF(B1463&lt;TIME(18,0,0),"Tarde","Noite")))</f>
        <v/>
      </c>
      <c r="R1463" s="46">
        <f>IF(AND(H1463="Realizado",L1463&lt;&gt;"",A1463&lt;=Config!$B$9),L1463/60,0)</f>
        <v>0</v>
      </c>
      <c r="S1463" s="45">
        <f>IF(G1463="","",IFERROR(INDEX(Config!$K$5:$K$16,MATCH(G1463,Config!$J$5:$J$16,0)),""))</f>
        <v/>
      </c>
      <c r="T1463" s="31">
        <f>IF(OR(G1463="",F1463=""),"",IFERROR(INDEX(Config!$M$5:$R$16,MATCH(G1463,Config!$J$5:$J$16,0),MATCH(F1463,Config!$H$5:$H$10,0)),""))</f>
        <v/>
      </c>
      <c r="U1463" s="47">
        <f>IF(AND(H1463="Realizado",L1463&lt;&gt;""),L1463/60,0)</f>
        <v>0</v>
      </c>
      <c r="V1463" s="47">
        <f>IF(AND(H1463="Realizado",OR(L1463="",M1463="")),1,0)</f>
        <v>0</v>
      </c>
    </row>
    <row r="1464">
      <c r="A1464" s="43" t="n"/>
      <c r="B1464" s="44" t="n"/>
      <c r="C1464" s="38" t="n"/>
      <c r="D1464" s="38" t="n"/>
      <c r="E1464" s="37" t="n"/>
      <c r="F1464" s="38" t="n"/>
      <c r="G1464" s="38" t="n"/>
      <c r="H1464" s="38" t="n"/>
      <c r="I1464" s="38" t="n"/>
      <c r="J1464" s="38" t="n"/>
      <c r="K1464" s="37" t="n"/>
      <c r="L1464" s="39" t="n"/>
      <c r="M1464" s="40" t="n"/>
      <c r="N1464" s="30">
        <f>IF(A1464="","",MONTH(A1464))</f>
        <v/>
      </c>
      <c r="O1464" s="30">
        <f>IF(A1464="","",YEAR(A1464))</f>
        <v/>
      </c>
      <c r="P1464" s="30">
        <f>IF(A1464="","",CHOOSE(WEEKDAY(A1464,2),"Segunda","Terça","Quarta","Quinta","Sexta","Sábado","Domingo"))</f>
        <v/>
      </c>
      <c r="Q1464" s="30">
        <f>IF(B1464="","",IF(B1464&lt;TIME(12,0,0),"Manhã",IF(B1464&lt;TIME(18,0,0),"Tarde","Noite")))</f>
        <v/>
      </c>
      <c r="R1464" s="46">
        <f>IF(AND(H1464="Realizado",L1464&lt;&gt;"",A1464&lt;=Config!$B$9),L1464/60,0)</f>
        <v>0</v>
      </c>
      <c r="S1464" s="45">
        <f>IF(G1464="","",IFERROR(INDEX(Config!$K$5:$K$16,MATCH(G1464,Config!$J$5:$J$16,0)),""))</f>
        <v/>
      </c>
      <c r="T1464" s="31">
        <f>IF(OR(G1464="",F1464=""),"",IFERROR(INDEX(Config!$M$5:$R$16,MATCH(G1464,Config!$J$5:$J$16,0),MATCH(F1464,Config!$H$5:$H$10,0)),""))</f>
        <v/>
      </c>
      <c r="U1464" s="47">
        <f>IF(AND(H1464="Realizado",L1464&lt;&gt;""),L1464/60,0)</f>
        <v>0</v>
      </c>
      <c r="V1464" s="47">
        <f>IF(AND(H1464="Realizado",OR(L1464="",M1464="")),1,0)</f>
        <v>0</v>
      </c>
    </row>
    <row r="1465">
      <c r="A1465" s="43" t="n"/>
      <c r="B1465" s="44" t="n"/>
      <c r="C1465" s="38" t="n"/>
      <c r="D1465" s="38" t="n"/>
      <c r="E1465" s="37" t="n"/>
      <c r="F1465" s="38" t="n"/>
      <c r="G1465" s="38" t="n"/>
      <c r="H1465" s="38" t="n"/>
      <c r="I1465" s="38" t="n"/>
      <c r="J1465" s="38" t="n"/>
      <c r="K1465" s="37" t="n"/>
      <c r="L1465" s="39" t="n"/>
      <c r="M1465" s="40" t="n"/>
      <c r="N1465" s="30">
        <f>IF(A1465="","",MONTH(A1465))</f>
        <v/>
      </c>
      <c r="O1465" s="30">
        <f>IF(A1465="","",YEAR(A1465))</f>
        <v/>
      </c>
      <c r="P1465" s="30">
        <f>IF(A1465="","",CHOOSE(WEEKDAY(A1465,2),"Segunda","Terça","Quarta","Quinta","Sexta","Sábado","Domingo"))</f>
        <v/>
      </c>
      <c r="Q1465" s="30">
        <f>IF(B1465="","",IF(B1465&lt;TIME(12,0,0),"Manhã",IF(B1465&lt;TIME(18,0,0),"Tarde","Noite")))</f>
        <v/>
      </c>
      <c r="R1465" s="46">
        <f>IF(AND(H1465="Realizado",L1465&lt;&gt;"",A1465&lt;=Config!$B$9),L1465/60,0)</f>
        <v>0</v>
      </c>
      <c r="S1465" s="45">
        <f>IF(G1465="","",IFERROR(INDEX(Config!$K$5:$K$16,MATCH(G1465,Config!$J$5:$J$16,0)),""))</f>
        <v/>
      </c>
      <c r="T1465" s="31">
        <f>IF(OR(G1465="",F1465=""),"",IFERROR(INDEX(Config!$M$5:$R$16,MATCH(G1465,Config!$J$5:$J$16,0),MATCH(F1465,Config!$H$5:$H$10,0)),""))</f>
        <v/>
      </c>
      <c r="U1465" s="47">
        <f>IF(AND(H1465="Realizado",L1465&lt;&gt;""),L1465/60,0)</f>
        <v>0</v>
      </c>
      <c r="V1465" s="47">
        <f>IF(AND(H1465="Realizado",OR(L1465="",M1465="")),1,0)</f>
        <v>0</v>
      </c>
    </row>
    <row r="1466">
      <c r="A1466" s="43" t="n"/>
      <c r="B1466" s="44" t="n"/>
      <c r="C1466" s="38" t="n"/>
      <c r="D1466" s="38" t="n"/>
      <c r="E1466" s="37" t="n"/>
      <c r="F1466" s="38" t="n"/>
      <c r="G1466" s="38" t="n"/>
      <c r="H1466" s="38" t="n"/>
      <c r="I1466" s="38" t="n"/>
      <c r="J1466" s="38" t="n"/>
      <c r="K1466" s="37" t="n"/>
      <c r="L1466" s="39" t="n"/>
      <c r="M1466" s="40" t="n"/>
      <c r="N1466" s="30">
        <f>IF(A1466="","",MONTH(A1466))</f>
        <v/>
      </c>
      <c r="O1466" s="30">
        <f>IF(A1466="","",YEAR(A1466))</f>
        <v/>
      </c>
      <c r="P1466" s="30">
        <f>IF(A1466="","",CHOOSE(WEEKDAY(A1466,2),"Segunda","Terça","Quarta","Quinta","Sexta","Sábado","Domingo"))</f>
        <v/>
      </c>
      <c r="Q1466" s="30">
        <f>IF(B1466="","",IF(B1466&lt;TIME(12,0,0),"Manhã",IF(B1466&lt;TIME(18,0,0),"Tarde","Noite")))</f>
        <v/>
      </c>
      <c r="R1466" s="46">
        <f>IF(AND(H1466="Realizado",L1466&lt;&gt;"",A1466&lt;=Config!$B$9),L1466/60,0)</f>
        <v>0</v>
      </c>
      <c r="S1466" s="45">
        <f>IF(G1466="","",IFERROR(INDEX(Config!$K$5:$K$16,MATCH(G1466,Config!$J$5:$J$16,0)),""))</f>
        <v/>
      </c>
      <c r="T1466" s="31">
        <f>IF(OR(G1466="",F1466=""),"",IFERROR(INDEX(Config!$M$5:$R$16,MATCH(G1466,Config!$J$5:$J$16,0),MATCH(F1466,Config!$H$5:$H$10,0)),""))</f>
        <v/>
      </c>
      <c r="U1466" s="47">
        <f>IF(AND(H1466="Realizado",L1466&lt;&gt;""),L1466/60,0)</f>
        <v>0</v>
      </c>
      <c r="V1466" s="47">
        <f>IF(AND(H1466="Realizado",OR(L1466="",M1466="")),1,0)</f>
        <v>0</v>
      </c>
    </row>
    <row r="1467">
      <c r="A1467" s="43" t="n"/>
      <c r="B1467" s="44" t="n"/>
      <c r="C1467" s="38" t="n"/>
      <c r="D1467" s="38" t="n"/>
      <c r="E1467" s="37" t="n"/>
      <c r="F1467" s="38" t="n"/>
      <c r="G1467" s="38" t="n"/>
      <c r="H1467" s="38" t="n"/>
      <c r="I1467" s="38" t="n"/>
      <c r="J1467" s="38" t="n"/>
      <c r="K1467" s="37" t="n"/>
      <c r="L1467" s="39" t="n"/>
      <c r="M1467" s="40" t="n"/>
      <c r="N1467" s="30">
        <f>IF(A1467="","",MONTH(A1467))</f>
        <v/>
      </c>
      <c r="O1467" s="30">
        <f>IF(A1467="","",YEAR(A1467))</f>
        <v/>
      </c>
      <c r="P1467" s="30">
        <f>IF(A1467="","",CHOOSE(WEEKDAY(A1467,2),"Segunda","Terça","Quarta","Quinta","Sexta","Sábado","Domingo"))</f>
        <v/>
      </c>
      <c r="Q1467" s="30">
        <f>IF(B1467="","",IF(B1467&lt;TIME(12,0,0),"Manhã",IF(B1467&lt;TIME(18,0,0),"Tarde","Noite")))</f>
        <v/>
      </c>
      <c r="R1467" s="46">
        <f>IF(AND(H1467="Realizado",L1467&lt;&gt;"",A1467&lt;=Config!$B$9),L1467/60,0)</f>
        <v>0</v>
      </c>
      <c r="S1467" s="45">
        <f>IF(G1467="","",IFERROR(INDEX(Config!$K$5:$K$16,MATCH(G1467,Config!$J$5:$J$16,0)),""))</f>
        <v/>
      </c>
      <c r="T1467" s="31">
        <f>IF(OR(G1467="",F1467=""),"",IFERROR(INDEX(Config!$M$5:$R$16,MATCH(G1467,Config!$J$5:$J$16,0),MATCH(F1467,Config!$H$5:$H$10,0)),""))</f>
        <v/>
      </c>
      <c r="U1467" s="47">
        <f>IF(AND(H1467="Realizado",L1467&lt;&gt;""),L1467/60,0)</f>
        <v>0</v>
      </c>
      <c r="V1467" s="47">
        <f>IF(AND(H1467="Realizado",OR(L1467="",M1467="")),1,0)</f>
        <v>0</v>
      </c>
    </row>
    <row r="1468">
      <c r="A1468" s="43" t="n"/>
      <c r="B1468" s="44" t="n"/>
      <c r="C1468" s="38" t="n"/>
      <c r="D1468" s="38" t="n"/>
      <c r="E1468" s="37" t="n"/>
      <c r="F1468" s="38" t="n"/>
      <c r="G1468" s="38" t="n"/>
      <c r="H1468" s="38" t="n"/>
      <c r="I1468" s="38" t="n"/>
      <c r="J1468" s="38" t="n"/>
      <c r="K1468" s="37" t="n"/>
      <c r="L1468" s="39" t="n"/>
      <c r="M1468" s="40" t="n"/>
      <c r="N1468" s="30">
        <f>IF(A1468="","",MONTH(A1468))</f>
        <v/>
      </c>
      <c r="O1468" s="30">
        <f>IF(A1468="","",YEAR(A1468))</f>
        <v/>
      </c>
      <c r="P1468" s="30">
        <f>IF(A1468="","",CHOOSE(WEEKDAY(A1468,2),"Segunda","Terça","Quarta","Quinta","Sexta","Sábado","Domingo"))</f>
        <v/>
      </c>
      <c r="Q1468" s="30">
        <f>IF(B1468="","",IF(B1468&lt;TIME(12,0,0),"Manhã",IF(B1468&lt;TIME(18,0,0),"Tarde","Noite")))</f>
        <v/>
      </c>
      <c r="R1468" s="46">
        <f>IF(AND(H1468="Realizado",L1468&lt;&gt;"",A1468&lt;=Config!$B$9),L1468/60,0)</f>
        <v>0</v>
      </c>
      <c r="S1468" s="45">
        <f>IF(G1468="","",IFERROR(INDEX(Config!$K$5:$K$16,MATCH(G1468,Config!$J$5:$J$16,0)),""))</f>
        <v/>
      </c>
      <c r="T1468" s="31">
        <f>IF(OR(G1468="",F1468=""),"",IFERROR(INDEX(Config!$M$5:$R$16,MATCH(G1468,Config!$J$5:$J$16,0),MATCH(F1468,Config!$H$5:$H$10,0)),""))</f>
        <v/>
      </c>
      <c r="U1468" s="47">
        <f>IF(AND(H1468="Realizado",L1468&lt;&gt;""),L1468/60,0)</f>
        <v>0</v>
      </c>
      <c r="V1468" s="47">
        <f>IF(AND(H1468="Realizado",OR(L1468="",M1468="")),1,0)</f>
        <v>0</v>
      </c>
    </row>
    <row r="1469">
      <c r="A1469" s="43" t="n"/>
      <c r="B1469" s="44" t="n"/>
      <c r="C1469" s="38" t="n"/>
      <c r="D1469" s="38" t="n"/>
      <c r="E1469" s="37" t="n"/>
      <c r="F1469" s="38" t="n"/>
      <c r="G1469" s="38" t="n"/>
      <c r="H1469" s="38" t="n"/>
      <c r="I1469" s="38" t="n"/>
      <c r="J1469" s="38" t="n"/>
      <c r="K1469" s="37" t="n"/>
      <c r="L1469" s="39" t="n"/>
      <c r="M1469" s="40" t="n"/>
      <c r="N1469" s="30">
        <f>IF(A1469="","",MONTH(A1469))</f>
        <v/>
      </c>
      <c r="O1469" s="30">
        <f>IF(A1469="","",YEAR(A1469))</f>
        <v/>
      </c>
      <c r="P1469" s="30">
        <f>IF(A1469="","",CHOOSE(WEEKDAY(A1469,2),"Segunda","Terça","Quarta","Quinta","Sexta","Sábado","Domingo"))</f>
        <v/>
      </c>
      <c r="Q1469" s="30">
        <f>IF(B1469="","",IF(B1469&lt;TIME(12,0,0),"Manhã",IF(B1469&lt;TIME(18,0,0),"Tarde","Noite")))</f>
        <v/>
      </c>
      <c r="R1469" s="46">
        <f>IF(AND(H1469="Realizado",L1469&lt;&gt;"",A1469&lt;=Config!$B$9),L1469/60,0)</f>
        <v>0</v>
      </c>
      <c r="S1469" s="45">
        <f>IF(G1469="","",IFERROR(INDEX(Config!$K$5:$K$16,MATCH(G1469,Config!$J$5:$J$16,0)),""))</f>
        <v/>
      </c>
      <c r="T1469" s="31">
        <f>IF(OR(G1469="",F1469=""),"",IFERROR(INDEX(Config!$M$5:$R$16,MATCH(G1469,Config!$J$5:$J$16,0),MATCH(F1469,Config!$H$5:$H$10,0)),""))</f>
        <v/>
      </c>
      <c r="U1469" s="47">
        <f>IF(AND(H1469="Realizado",L1469&lt;&gt;""),L1469/60,0)</f>
        <v>0</v>
      </c>
      <c r="V1469" s="47">
        <f>IF(AND(H1469="Realizado",OR(L1469="",M1469="")),1,0)</f>
        <v>0</v>
      </c>
    </row>
    <row r="1470">
      <c r="A1470" s="43" t="n"/>
      <c r="B1470" s="44" t="n"/>
      <c r="C1470" s="38" t="n"/>
      <c r="D1470" s="38" t="n"/>
      <c r="E1470" s="37" t="n"/>
      <c r="F1470" s="38" t="n"/>
      <c r="G1470" s="38" t="n"/>
      <c r="H1470" s="38" t="n"/>
      <c r="I1470" s="38" t="n"/>
      <c r="J1470" s="38" t="n"/>
      <c r="K1470" s="37" t="n"/>
      <c r="L1470" s="39" t="n"/>
      <c r="M1470" s="40" t="n"/>
      <c r="N1470" s="30">
        <f>IF(A1470="","",MONTH(A1470))</f>
        <v/>
      </c>
      <c r="O1470" s="30">
        <f>IF(A1470="","",YEAR(A1470))</f>
        <v/>
      </c>
      <c r="P1470" s="30">
        <f>IF(A1470="","",CHOOSE(WEEKDAY(A1470,2),"Segunda","Terça","Quarta","Quinta","Sexta","Sábado","Domingo"))</f>
        <v/>
      </c>
      <c r="Q1470" s="30">
        <f>IF(B1470="","",IF(B1470&lt;TIME(12,0,0),"Manhã",IF(B1470&lt;TIME(18,0,0),"Tarde","Noite")))</f>
        <v/>
      </c>
      <c r="R1470" s="46">
        <f>IF(AND(H1470="Realizado",L1470&lt;&gt;"",A1470&lt;=Config!$B$9),L1470/60,0)</f>
        <v>0</v>
      </c>
      <c r="S1470" s="45">
        <f>IF(G1470="","",IFERROR(INDEX(Config!$K$5:$K$16,MATCH(G1470,Config!$J$5:$J$16,0)),""))</f>
        <v/>
      </c>
      <c r="T1470" s="31">
        <f>IF(OR(G1470="",F1470=""),"",IFERROR(INDEX(Config!$M$5:$R$16,MATCH(G1470,Config!$J$5:$J$16,0),MATCH(F1470,Config!$H$5:$H$10,0)),""))</f>
        <v/>
      </c>
      <c r="U1470" s="47">
        <f>IF(AND(H1470="Realizado",L1470&lt;&gt;""),L1470/60,0)</f>
        <v>0</v>
      </c>
      <c r="V1470" s="47">
        <f>IF(AND(H1470="Realizado",OR(L1470="",M1470="")),1,0)</f>
        <v>0</v>
      </c>
    </row>
    <row r="1471">
      <c r="A1471" s="43" t="n"/>
      <c r="B1471" s="44" t="n"/>
      <c r="C1471" s="38" t="n"/>
      <c r="D1471" s="38" t="n"/>
      <c r="E1471" s="37" t="n"/>
      <c r="F1471" s="38" t="n"/>
      <c r="G1471" s="38" t="n"/>
      <c r="H1471" s="38" t="n"/>
      <c r="I1471" s="38" t="n"/>
      <c r="J1471" s="38" t="n"/>
      <c r="K1471" s="37" t="n"/>
      <c r="L1471" s="39" t="n"/>
      <c r="M1471" s="40" t="n"/>
      <c r="N1471" s="30">
        <f>IF(A1471="","",MONTH(A1471))</f>
        <v/>
      </c>
      <c r="O1471" s="30">
        <f>IF(A1471="","",YEAR(A1471))</f>
        <v/>
      </c>
      <c r="P1471" s="30">
        <f>IF(A1471="","",CHOOSE(WEEKDAY(A1471,2),"Segunda","Terça","Quarta","Quinta","Sexta","Sábado","Domingo"))</f>
        <v/>
      </c>
      <c r="Q1471" s="30">
        <f>IF(B1471="","",IF(B1471&lt;TIME(12,0,0),"Manhã",IF(B1471&lt;TIME(18,0,0),"Tarde","Noite")))</f>
        <v/>
      </c>
      <c r="R1471" s="46">
        <f>IF(AND(H1471="Realizado",L1471&lt;&gt;"",A1471&lt;=Config!$B$9),L1471/60,0)</f>
        <v>0</v>
      </c>
      <c r="S1471" s="45">
        <f>IF(G1471="","",IFERROR(INDEX(Config!$K$5:$K$16,MATCH(G1471,Config!$J$5:$J$16,0)),""))</f>
        <v/>
      </c>
      <c r="T1471" s="31">
        <f>IF(OR(G1471="",F1471=""),"",IFERROR(INDEX(Config!$M$5:$R$16,MATCH(G1471,Config!$J$5:$J$16,0),MATCH(F1471,Config!$H$5:$H$10,0)),""))</f>
        <v/>
      </c>
      <c r="U1471" s="47">
        <f>IF(AND(H1471="Realizado",L1471&lt;&gt;""),L1471/60,0)</f>
        <v>0</v>
      </c>
      <c r="V1471" s="47">
        <f>IF(AND(H1471="Realizado",OR(L1471="",M1471="")),1,0)</f>
        <v>0</v>
      </c>
    </row>
    <row r="1472">
      <c r="A1472" s="43" t="n"/>
      <c r="B1472" s="44" t="n"/>
      <c r="C1472" s="38" t="n"/>
      <c r="D1472" s="38" t="n"/>
      <c r="E1472" s="37" t="n"/>
      <c r="F1472" s="38" t="n"/>
      <c r="G1472" s="38" t="n"/>
      <c r="H1472" s="38" t="n"/>
      <c r="I1472" s="38" t="n"/>
      <c r="J1472" s="38" t="n"/>
      <c r="K1472" s="37" t="n"/>
      <c r="L1472" s="39" t="n"/>
      <c r="M1472" s="40" t="n"/>
      <c r="N1472" s="30">
        <f>IF(A1472="","",MONTH(A1472))</f>
        <v/>
      </c>
      <c r="O1472" s="30">
        <f>IF(A1472="","",YEAR(A1472))</f>
        <v/>
      </c>
      <c r="P1472" s="30">
        <f>IF(A1472="","",CHOOSE(WEEKDAY(A1472,2),"Segunda","Terça","Quarta","Quinta","Sexta","Sábado","Domingo"))</f>
        <v/>
      </c>
      <c r="Q1472" s="30">
        <f>IF(B1472="","",IF(B1472&lt;TIME(12,0,0),"Manhã",IF(B1472&lt;TIME(18,0,0),"Tarde","Noite")))</f>
        <v/>
      </c>
      <c r="R1472" s="46">
        <f>IF(AND(H1472="Realizado",L1472&lt;&gt;"",A1472&lt;=Config!$B$9),L1472/60,0)</f>
        <v>0</v>
      </c>
      <c r="S1472" s="45">
        <f>IF(G1472="","",IFERROR(INDEX(Config!$K$5:$K$16,MATCH(G1472,Config!$J$5:$J$16,0)),""))</f>
        <v/>
      </c>
      <c r="T1472" s="31">
        <f>IF(OR(G1472="",F1472=""),"",IFERROR(INDEX(Config!$M$5:$R$16,MATCH(G1472,Config!$J$5:$J$16,0),MATCH(F1472,Config!$H$5:$H$10,0)),""))</f>
        <v/>
      </c>
      <c r="U1472" s="47">
        <f>IF(AND(H1472="Realizado",L1472&lt;&gt;""),L1472/60,0)</f>
        <v>0</v>
      </c>
      <c r="V1472" s="47">
        <f>IF(AND(H1472="Realizado",OR(L1472="",M1472="")),1,0)</f>
        <v>0</v>
      </c>
    </row>
    <row r="1473">
      <c r="A1473" s="43" t="n"/>
      <c r="B1473" s="44" t="n"/>
      <c r="C1473" s="38" t="n"/>
      <c r="D1473" s="38" t="n"/>
      <c r="E1473" s="37" t="n"/>
      <c r="F1473" s="38" t="n"/>
      <c r="G1473" s="38" t="n"/>
      <c r="H1473" s="38" t="n"/>
      <c r="I1473" s="38" t="n"/>
      <c r="J1473" s="38" t="n"/>
      <c r="K1473" s="37" t="n"/>
      <c r="L1473" s="39" t="n"/>
      <c r="M1473" s="40" t="n"/>
      <c r="N1473" s="30">
        <f>IF(A1473="","",MONTH(A1473))</f>
        <v/>
      </c>
      <c r="O1473" s="30">
        <f>IF(A1473="","",YEAR(A1473))</f>
        <v/>
      </c>
      <c r="P1473" s="30">
        <f>IF(A1473="","",CHOOSE(WEEKDAY(A1473,2),"Segunda","Terça","Quarta","Quinta","Sexta","Sábado","Domingo"))</f>
        <v/>
      </c>
      <c r="Q1473" s="30">
        <f>IF(B1473="","",IF(B1473&lt;TIME(12,0,0),"Manhã",IF(B1473&lt;TIME(18,0,0),"Tarde","Noite")))</f>
        <v/>
      </c>
      <c r="R1473" s="46">
        <f>IF(AND(H1473="Realizado",L1473&lt;&gt;"",A1473&lt;=Config!$B$9),L1473/60,0)</f>
        <v>0</v>
      </c>
      <c r="S1473" s="45">
        <f>IF(G1473="","",IFERROR(INDEX(Config!$K$5:$K$16,MATCH(G1473,Config!$J$5:$J$16,0)),""))</f>
        <v/>
      </c>
      <c r="T1473" s="31">
        <f>IF(OR(G1473="",F1473=""),"",IFERROR(INDEX(Config!$M$5:$R$16,MATCH(G1473,Config!$J$5:$J$16,0),MATCH(F1473,Config!$H$5:$H$10,0)),""))</f>
        <v/>
      </c>
      <c r="U1473" s="47">
        <f>IF(AND(H1473="Realizado",L1473&lt;&gt;""),L1473/60,0)</f>
        <v>0</v>
      </c>
      <c r="V1473" s="47">
        <f>IF(AND(H1473="Realizado",OR(L1473="",M1473="")),1,0)</f>
        <v>0</v>
      </c>
    </row>
    <row r="1474">
      <c r="A1474" s="43" t="n"/>
      <c r="B1474" s="44" t="n"/>
      <c r="C1474" s="38" t="n"/>
      <c r="D1474" s="38" t="n"/>
      <c r="E1474" s="37" t="n"/>
      <c r="F1474" s="38" t="n"/>
      <c r="G1474" s="38" t="n"/>
      <c r="H1474" s="38" t="n"/>
      <c r="I1474" s="38" t="n"/>
      <c r="J1474" s="38" t="n"/>
      <c r="K1474" s="37" t="n"/>
      <c r="L1474" s="39" t="n"/>
      <c r="M1474" s="40" t="n"/>
      <c r="N1474" s="30">
        <f>IF(A1474="","",MONTH(A1474))</f>
        <v/>
      </c>
      <c r="O1474" s="30">
        <f>IF(A1474="","",YEAR(A1474))</f>
        <v/>
      </c>
      <c r="P1474" s="30">
        <f>IF(A1474="","",CHOOSE(WEEKDAY(A1474,2),"Segunda","Terça","Quarta","Quinta","Sexta","Sábado","Domingo"))</f>
        <v/>
      </c>
      <c r="Q1474" s="30">
        <f>IF(B1474="","",IF(B1474&lt;TIME(12,0,0),"Manhã",IF(B1474&lt;TIME(18,0,0),"Tarde","Noite")))</f>
        <v/>
      </c>
      <c r="R1474" s="46">
        <f>IF(AND(H1474="Realizado",L1474&lt;&gt;"",A1474&lt;=Config!$B$9),L1474/60,0)</f>
        <v>0</v>
      </c>
      <c r="S1474" s="45">
        <f>IF(G1474="","",IFERROR(INDEX(Config!$K$5:$K$16,MATCH(G1474,Config!$J$5:$J$16,0)),""))</f>
        <v/>
      </c>
      <c r="T1474" s="31">
        <f>IF(OR(G1474="",F1474=""),"",IFERROR(INDEX(Config!$M$5:$R$16,MATCH(G1474,Config!$J$5:$J$16,0),MATCH(F1474,Config!$H$5:$H$10,0)),""))</f>
        <v/>
      </c>
      <c r="U1474" s="47">
        <f>IF(AND(H1474="Realizado",L1474&lt;&gt;""),L1474/60,0)</f>
        <v>0</v>
      </c>
      <c r="V1474" s="47">
        <f>IF(AND(H1474="Realizado",OR(L1474="",M1474="")),1,0)</f>
        <v>0</v>
      </c>
    </row>
    <row r="1475">
      <c r="A1475" s="43" t="n"/>
      <c r="B1475" s="44" t="n"/>
      <c r="C1475" s="38" t="n"/>
      <c r="D1475" s="38" t="n"/>
      <c r="E1475" s="37" t="n"/>
      <c r="F1475" s="38" t="n"/>
      <c r="G1475" s="38" t="n"/>
      <c r="H1475" s="38" t="n"/>
      <c r="I1475" s="38" t="n"/>
      <c r="J1475" s="38" t="n"/>
      <c r="K1475" s="37" t="n"/>
      <c r="L1475" s="39" t="n"/>
      <c r="M1475" s="40" t="n"/>
      <c r="N1475" s="30">
        <f>IF(A1475="","",MONTH(A1475))</f>
        <v/>
      </c>
      <c r="O1475" s="30">
        <f>IF(A1475="","",YEAR(A1475))</f>
        <v/>
      </c>
      <c r="P1475" s="30">
        <f>IF(A1475="","",CHOOSE(WEEKDAY(A1475,2),"Segunda","Terça","Quarta","Quinta","Sexta","Sábado","Domingo"))</f>
        <v/>
      </c>
      <c r="Q1475" s="30">
        <f>IF(B1475="","",IF(B1475&lt;TIME(12,0,0),"Manhã",IF(B1475&lt;TIME(18,0,0),"Tarde","Noite")))</f>
        <v/>
      </c>
      <c r="R1475" s="46">
        <f>IF(AND(H1475="Realizado",L1475&lt;&gt;"",A1475&lt;=Config!$B$9),L1475/60,0)</f>
        <v>0</v>
      </c>
      <c r="S1475" s="45">
        <f>IF(G1475="","",IFERROR(INDEX(Config!$K$5:$K$16,MATCH(G1475,Config!$J$5:$J$16,0)),""))</f>
        <v/>
      </c>
      <c r="T1475" s="31">
        <f>IF(OR(G1475="",F1475=""),"",IFERROR(INDEX(Config!$M$5:$R$16,MATCH(G1475,Config!$J$5:$J$16,0),MATCH(F1475,Config!$H$5:$H$10,0)),""))</f>
        <v/>
      </c>
      <c r="U1475" s="47">
        <f>IF(AND(H1475="Realizado",L1475&lt;&gt;""),L1475/60,0)</f>
        <v>0</v>
      </c>
      <c r="V1475" s="47">
        <f>IF(AND(H1475="Realizado",OR(L1475="",M1475="")),1,0)</f>
        <v>0</v>
      </c>
    </row>
    <row r="1476">
      <c r="A1476" s="43" t="n"/>
      <c r="B1476" s="44" t="n"/>
      <c r="C1476" s="38" t="n"/>
      <c r="D1476" s="38" t="n"/>
      <c r="E1476" s="37" t="n"/>
      <c r="F1476" s="38" t="n"/>
      <c r="G1476" s="38" t="n"/>
      <c r="H1476" s="38" t="n"/>
      <c r="I1476" s="38" t="n"/>
      <c r="J1476" s="38" t="n"/>
      <c r="K1476" s="37" t="n"/>
      <c r="L1476" s="39" t="n"/>
      <c r="M1476" s="40" t="n"/>
      <c r="N1476" s="30">
        <f>IF(A1476="","",MONTH(A1476))</f>
        <v/>
      </c>
      <c r="O1476" s="30">
        <f>IF(A1476="","",YEAR(A1476))</f>
        <v/>
      </c>
      <c r="P1476" s="30">
        <f>IF(A1476="","",CHOOSE(WEEKDAY(A1476,2),"Segunda","Terça","Quarta","Quinta","Sexta","Sábado","Domingo"))</f>
        <v/>
      </c>
      <c r="Q1476" s="30">
        <f>IF(B1476="","",IF(B1476&lt;TIME(12,0,0),"Manhã",IF(B1476&lt;TIME(18,0,0),"Tarde","Noite")))</f>
        <v/>
      </c>
      <c r="R1476" s="46">
        <f>IF(AND(H1476="Realizado",L1476&lt;&gt;"",A1476&lt;=Config!$B$9),L1476/60,0)</f>
        <v>0</v>
      </c>
      <c r="S1476" s="45">
        <f>IF(G1476="","",IFERROR(INDEX(Config!$K$5:$K$16,MATCH(G1476,Config!$J$5:$J$16,0)),""))</f>
        <v/>
      </c>
      <c r="T1476" s="31">
        <f>IF(OR(G1476="",F1476=""),"",IFERROR(INDEX(Config!$M$5:$R$16,MATCH(G1476,Config!$J$5:$J$16,0),MATCH(F1476,Config!$H$5:$H$10,0)),""))</f>
        <v/>
      </c>
      <c r="U1476" s="47">
        <f>IF(AND(H1476="Realizado",L1476&lt;&gt;""),L1476/60,0)</f>
        <v>0</v>
      </c>
      <c r="V1476" s="47">
        <f>IF(AND(H1476="Realizado",OR(L1476="",M1476="")),1,0)</f>
        <v>0</v>
      </c>
    </row>
    <row r="1477">
      <c r="A1477" s="43" t="n"/>
      <c r="B1477" s="44" t="n"/>
      <c r="C1477" s="38" t="n"/>
      <c r="D1477" s="38" t="n"/>
      <c r="E1477" s="37" t="n"/>
      <c r="F1477" s="38" t="n"/>
      <c r="G1477" s="38" t="n"/>
      <c r="H1477" s="38" t="n"/>
      <c r="I1477" s="38" t="n"/>
      <c r="J1477" s="38" t="n"/>
      <c r="K1477" s="37" t="n"/>
      <c r="L1477" s="39" t="n"/>
      <c r="M1477" s="40" t="n"/>
      <c r="N1477" s="30">
        <f>IF(A1477="","",MONTH(A1477))</f>
        <v/>
      </c>
      <c r="O1477" s="30">
        <f>IF(A1477="","",YEAR(A1477))</f>
        <v/>
      </c>
      <c r="P1477" s="30">
        <f>IF(A1477="","",CHOOSE(WEEKDAY(A1477,2),"Segunda","Terça","Quarta","Quinta","Sexta","Sábado","Domingo"))</f>
        <v/>
      </c>
      <c r="Q1477" s="30">
        <f>IF(B1477="","",IF(B1477&lt;TIME(12,0,0),"Manhã",IF(B1477&lt;TIME(18,0,0),"Tarde","Noite")))</f>
        <v/>
      </c>
      <c r="R1477" s="46">
        <f>IF(AND(H1477="Realizado",L1477&lt;&gt;"",A1477&lt;=Config!$B$9),L1477/60,0)</f>
        <v>0</v>
      </c>
      <c r="S1477" s="45">
        <f>IF(G1477="","",IFERROR(INDEX(Config!$K$5:$K$16,MATCH(G1477,Config!$J$5:$J$16,0)),""))</f>
        <v/>
      </c>
      <c r="T1477" s="31">
        <f>IF(OR(G1477="",F1477=""),"",IFERROR(INDEX(Config!$M$5:$R$16,MATCH(G1477,Config!$J$5:$J$16,0),MATCH(F1477,Config!$H$5:$H$10,0)),""))</f>
        <v/>
      </c>
      <c r="U1477" s="47">
        <f>IF(AND(H1477="Realizado",L1477&lt;&gt;""),L1477/60,0)</f>
        <v>0</v>
      </c>
      <c r="V1477" s="47">
        <f>IF(AND(H1477="Realizado",OR(L1477="",M1477="")),1,0)</f>
        <v>0</v>
      </c>
    </row>
    <row r="1478">
      <c r="A1478" s="43" t="n"/>
      <c r="B1478" s="44" t="n"/>
      <c r="C1478" s="38" t="n"/>
      <c r="D1478" s="38" t="n"/>
      <c r="E1478" s="37" t="n"/>
      <c r="F1478" s="38" t="n"/>
      <c r="G1478" s="38" t="n"/>
      <c r="H1478" s="38" t="n"/>
      <c r="I1478" s="38" t="n"/>
      <c r="J1478" s="38" t="n"/>
      <c r="K1478" s="37" t="n"/>
      <c r="L1478" s="39" t="n"/>
      <c r="M1478" s="40" t="n"/>
      <c r="N1478" s="30">
        <f>IF(A1478="","",MONTH(A1478))</f>
        <v/>
      </c>
      <c r="O1478" s="30">
        <f>IF(A1478="","",YEAR(A1478))</f>
        <v/>
      </c>
      <c r="P1478" s="30">
        <f>IF(A1478="","",CHOOSE(WEEKDAY(A1478,2),"Segunda","Terça","Quarta","Quinta","Sexta","Sábado","Domingo"))</f>
        <v/>
      </c>
      <c r="Q1478" s="30">
        <f>IF(B1478="","",IF(B1478&lt;TIME(12,0,0),"Manhã",IF(B1478&lt;TIME(18,0,0),"Tarde","Noite")))</f>
        <v/>
      </c>
      <c r="R1478" s="46">
        <f>IF(AND(H1478="Realizado",L1478&lt;&gt;"",A1478&lt;=Config!$B$9),L1478/60,0)</f>
        <v>0</v>
      </c>
      <c r="S1478" s="45">
        <f>IF(G1478="","",IFERROR(INDEX(Config!$K$5:$K$16,MATCH(G1478,Config!$J$5:$J$16,0)),""))</f>
        <v/>
      </c>
      <c r="T1478" s="31">
        <f>IF(OR(G1478="",F1478=""),"",IFERROR(INDEX(Config!$M$5:$R$16,MATCH(G1478,Config!$J$5:$J$16,0),MATCH(F1478,Config!$H$5:$H$10,0)),""))</f>
        <v/>
      </c>
      <c r="U1478" s="47">
        <f>IF(AND(H1478="Realizado",L1478&lt;&gt;""),L1478/60,0)</f>
        <v>0</v>
      </c>
      <c r="V1478" s="47">
        <f>IF(AND(H1478="Realizado",OR(L1478="",M1478="")),1,0)</f>
        <v>0</v>
      </c>
    </row>
    <row r="1479">
      <c r="A1479" s="43" t="n"/>
      <c r="B1479" s="44" t="n"/>
      <c r="C1479" s="38" t="n"/>
      <c r="D1479" s="38" t="n"/>
      <c r="E1479" s="37" t="n"/>
      <c r="F1479" s="38" t="n"/>
      <c r="G1479" s="38" t="n"/>
      <c r="H1479" s="38" t="n"/>
      <c r="I1479" s="38" t="n"/>
      <c r="J1479" s="38" t="n"/>
      <c r="K1479" s="37" t="n"/>
      <c r="L1479" s="39" t="n"/>
      <c r="M1479" s="40" t="n"/>
      <c r="N1479" s="30">
        <f>IF(A1479="","",MONTH(A1479))</f>
        <v/>
      </c>
      <c r="O1479" s="30">
        <f>IF(A1479="","",YEAR(A1479))</f>
        <v/>
      </c>
      <c r="P1479" s="30">
        <f>IF(A1479="","",CHOOSE(WEEKDAY(A1479,2),"Segunda","Terça","Quarta","Quinta","Sexta","Sábado","Domingo"))</f>
        <v/>
      </c>
      <c r="Q1479" s="30">
        <f>IF(B1479="","",IF(B1479&lt;TIME(12,0,0),"Manhã",IF(B1479&lt;TIME(18,0,0),"Tarde","Noite")))</f>
        <v/>
      </c>
      <c r="R1479" s="46">
        <f>IF(AND(H1479="Realizado",L1479&lt;&gt;"",A1479&lt;=Config!$B$9),L1479/60,0)</f>
        <v>0</v>
      </c>
      <c r="S1479" s="45">
        <f>IF(G1479="","",IFERROR(INDEX(Config!$K$5:$K$16,MATCH(G1479,Config!$J$5:$J$16,0)),""))</f>
        <v/>
      </c>
      <c r="T1479" s="31">
        <f>IF(OR(G1479="",F1479=""),"",IFERROR(INDEX(Config!$M$5:$R$16,MATCH(G1479,Config!$J$5:$J$16,0),MATCH(F1479,Config!$H$5:$H$10,0)),""))</f>
        <v/>
      </c>
      <c r="U1479" s="47">
        <f>IF(AND(H1479="Realizado",L1479&lt;&gt;""),L1479/60,0)</f>
        <v>0</v>
      </c>
      <c r="V1479" s="47">
        <f>IF(AND(H1479="Realizado",OR(L1479="",M1479="")),1,0)</f>
        <v>0</v>
      </c>
    </row>
    <row r="1480">
      <c r="A1480" s="43" t="n"/>
      <c r="B1480" s="44" t="n"/>
      <c r="C1480" s="38" t="n"/>
      <c r="D1480" s="38" t="n"/>
      <c r="E1480" s="37" t="n"/>
      <c r="F1480" s="38" t="n"/>
      <c r="G1480" s="38" t="n"/>
      <c r="H1480" s="38" t="n"/>
      <c r="I1480" s="38" t="n"/>
      <c r="J1480" s="38" t="n"/>
      <c r="K1480" s="37" t="n"/>
      <c r="L1480" s="39" t="n"/>
      <c r="M1480" s="40" t="n"/>
      <c r="N1480" s="30">
        <f>IF(A1480="","",MONTH(A1480))</f>
        <v/>
      </c>
      <c r="O1480" s="30">
        <f>IF(A1480="","",YEAR(A1480))</f>
        <v/>
      </c>
      <c r="P1480" s="30">
        <f>IF(A1480="","",CHOOSE(WEEKDAY(A1480,2),"Segunda","Terça","Quarta","Quinta","Sexta","Sábado","Domingo"))</f>
        <v/>
      </c>
      <c r="Q1480" s="30">
        <f>IF(B1480="","",IF(B1480&lt;TIME(12,0,0),"Manhã",IF(B1480&lt;TIME(18,0,0),"Tarde","Noite")))</f>
        <v/>
      </c>
      <c r="R1480" s="46">
        <f>IF(AND(H1480="Realizado",L1480&lt;&gt;"",A1480&lt;=Config!$B$9),L1480/60,0)</f>
        <v>0</v>
      </c>
      <c r="S1480" s="45">
        <f>IF(G1480="","",IFERROR(INDEX(Config!$K$5:$K$16,MATCH(G1480,Config!$J$5:$J$16,0)),""))</f>
        <v/>
      </c>
      <c r="T1480" s="31">
        <f>IF(OR(G1480="",F1480=""),"",IFERROR(INDEX(Config!$M$5:$R$16,MATCH(G1480,Config!$J$5:$J$16,0),MATCH(F1480,Config!$H$5:$H$10,0)),""))</f>
        <v/>
      </c>
      <c r="U1480" s="47">
        <f>IF(AND(H1480="Realizado",L1480&lt;&gt;""),L1480/60,0)</f>
        <v>0</v>
      </c>
      <c r="V1480" s="47">
        <f>IF(AND(H1480="Realizado",OR(L1480="",M1480="")),1,0)</f>
        <v>0</v>
      </c>
    </row>
    <row r="1481">
      <c r="A1481" s="43" t="n"/>
      <c r="B1481" s="44" t="n"/>
      <c r="C1481" s="38" t="n"/>
      <c r="D1481" s="38" t="n"/>
      <c r="E1481" s="37" t="n"/>
      <c r="F1481" s="38" t="n"/>
      <c r="G1481" s="38" t="n"/>
      <c r="H1481" s="38" t="n"/>
      <c r="I1481" s="38" t="n"/>
      <c r="J1481" s="38" t="n"/>
      <c r="K1481" s="37" t="n"/>
      <c r="L1481" s="39" t="n"/>
      <c r="M1481" s="40" t="n"/>
      <c r="N1481" s="30">
        <f>IF(A1481="","",MONTH(A1481))</f>
        <v/>
      </c>
      <c r="O1481" s="30">
        <f>IF(A1481="","",YEAR(A1481))</f>
        <v/>
      </c>
      <c r="P1481" s="30">
        <f>IF(A1481="","",CHOOSE(WEEKDAY(A1481,2),"Segunda","Terça","Quarta","Quinta","Sexta","Sábado","Domingo"))</f>
        <v/>
      </c>
      <c r="Q1481" s="30">
        <f>IF(B1481="","",IF(B1481&lt;TIME(12,0,0),"Manhã",IF(B1481&lt;TIME(18,0,0),"Tarde","Noite")))</f>
        <v/>
      </c>
      <c r="R1481" s="46">
        <f>IF(AND(H1481="Realizado",L1481&lt;&gt;"",A1481&lt;=Config!$B$9),L1481/60,0)</f>
        <v>0</v>
      </c>
      <c r="S1481" s="45">
        <f>IF(G1481="","",IFERROR(INDEX(Config!$K$5:$K$16,MATCH(G1481,Config!$J$5:$J$16,0)),""))</f>
        <v/>
      </c>
      <c r="T1481" s="31">
        <f>IF(OR(G1481="",F1481=""),"",IFERROR(INDEX(Config!$M$5:$R$16,MATCH(G1481,Config!$J$5:$J$16,0),MATCH(F1481,Config!$H$5:$H$10,0)),""))</f>
        <v/>
      </c>
      <c r="U1481" s="47">
        <f>IF(AND(H1481="Realizado",L1481&lt;&gt;""),L1481/60,0)</f>
        <v>0</v>
      </c>
      <c r="V1481" s="47">
        <f>IF(AND(H1481="Realizado",OR(L1481="",M1481="")),1,0)</f>
        <v>0</v>
      </c>
    </row>
    <row r="1482">
      <c r="A1482" s="43" t="n"/>
      <c r="B1482" s="44" t="n"/>
      <c r="C1482" s="38" t="n"/>
      <c r="D1482" s="38" t="n"/>
      <c r="E1482" s="37" t="n"/>
      <c r="F1482" s="38" t="n"/>
      <c r="G1482" s="38" t="n"/>
      <c r="H1482" s="38" t="n"/>
      <c r="I1482" s="38" t="n"/>
      <c r="J1482" s="38" t="n"/>
      <c r="K1482" s="37" t="n"/>
      <c r="L1482" s="39" t="n"/>
      <c r="M1482" s="40" t="n"/>
      <c r="N1482" s="30">
        <f>IF(A1482="","",MONTH(A1482))</f>
        <v/>
      </c>
      <c r="O1482" s="30">
        <f>IF(A1482="","",YEAR(A1482))</f>
        <v/>
      </c>
      <c r="P1482" s="30">
        <f>IF(A1482="","",CHOOSE(WEEKDAY(A1482,2),"Segunda","Terça","Quarta","Quinta","Sexta","Sábado","Domingo"))</f>
        <v/>
      </c>
      <c r="Q1482" s="30">
        <f>IF(B1482="","",IF(B1482&lt;TIME(12,0,0),"Manhã",IF(B1482&lt;TIME(18,0,0),"Tarde","Noite")))</f>
        <v/>
      </c>
      <c r="R1482" s="46">
        <f>IF(AND(H1482="Realizado",L1482&lt;&gt;"",A1482&lt;=Config!$B$9),L1482/60,0)</f>
        <v>0</v>
      </c>
      <c r="S1482" s="45">
        <f>IF(G1482="","",IFERROR(INDEX(Config!$K$5:$K$16,MATCH(G1482,Config!$J$5:$J$16,0)),""))</f>
        <v/>
      </c>
      <c r="T1482" s="31">
        <f>IF(OR(G1482="",F1482=""),"",IFERROR(INDEX(Config!$M$5:$R$16,MATCH(G1482,Config!$J$5:$J$16,0),MATCH(F1482,Config!$H$5:$H$10,0)),""))</f>
        <v/>
      </c>
      <c r="U1482" s="47">
        <f>IF(AND(H1482="Realizado",L1482&lt;&gt;""),L1482/60,0)</f>
        <v>0</v>
      </c>
      <c r="V1482" s="47">
        <f>IF(AND(H1482="Realizado",OR(L1482="",M1482="")),1,0)</f>
        <v>0</v>
      </c>
    </row>
    <row r="1483">
      <c r="A1483" s="43" t="n"/>
      <c r="B1483" s="44" t="n"/>
      <c r="C1483" s="38" t="n"/>
      <c r="D1483" s="38" t="n"/>
      <c r="E1483" s="37" t="n"/>
      <c r="F1483" s="38" t="n"/>
      <c r="G1483" s="38" t="n"/>
      <c r="H1483" s="38" t="n"/>
      <c r="I1483" s="38" t="n"/>
      <c r="J1483" s="38" t="n"/>
      <c r="K1483" s="37" t="n"/>
      <c r="L1483" s="39" t="n"/>
      <c r="M1483" s="40" t="n"/>
      <c r="N1483" s="30">
        <f>IF(A1483="","",MONTH(A1483))</f>
        <v/>
      </c>
      <c r="O1483" s="30">
        <f>IF(A1483="","",YEAR(A1483))</f>
        <v/>
      </c>
      <c r="P1483" s="30">
        <f>IF(A1483="","",CHOOSE(WEEKDAY(A1483,2),"Segunda","Terça","Quarta","Quinta","Sexta","Sábado","Domingo"))</f>
        <v/>
      </c>
      <c r="Q1483" s="30">
        <f>IF(B1483="","",IF(B1483&lt;TIME(12,0,0),"Manhã",IF(B1483&lt;TIME(18,0,0),"Tarde","Noite")))</f>
        <v/>
      </c>
      <c r="R1483" s="46">
        <f>IF(AND(H1483="Realizado",L1483&lt;&gt;"",A1483&lt;=Config!$B$9),L1483/60,0)</f>
        <v>0</v>
      </c>
      <c r="S1483" s="45">
        <f>IF(G1483="","",IFERROR(INDEX(Config!$K$5:$K$16,MATCH(G1483,Config!$J$5:$J$16,0)),""))</f>
        <v/>
      </c>
      <c r="T1483" s="31">
        <f>IF(OR(G1483="",F1483=""),"",IFERROR(INDEX(Config!$M$5:$R$16,MATCH(G1483,Config!$J$5:$J$16,0),MATCH(F1483,Config!$H$5:$H$10,0)),""))</f>
        <v/>
      </c>
      <c r="U1483" s="47">
        <f>IF(AND(H1483="Realizado",L1483&lt;&gt;""),L1483/60,0)</f>
        <v>0</v>
      </c>
      <c r="V1483" s="47">
        <f>IF(AND(H1483="Realizado",OR(L1483="",M1483="")),1,0)</f>
        <v>0</v>
      </c>
    </row>
    <row r="1484">
      <c r="A1484" s="43" t="n"/>
      <c r="B1484" s="44" t="n"/>
      <c r="C1484" s="38" t="n"/>
      <c r="D1484" s="38" t="n"/>
      <c r="E1484" s="37" t="n"/>
      <c r="F1484" s="38" t="n"/>
      <c r="G1484" s="38" t="n"/>
      <c r="H1484" s="38" t="n"/>
      <c r="I1484" s="38" t="n"/>
      <c r="J1484" s="38" t="n"/>
      <c r="K1484" s="37" t="n"/>
      <c r="L1484" s="39" t="n"/>
      <c r="M1484" s="40" t="n"/>
      <c r="N1484" s="30">
        <f>IF(A1484="","",MONTH(A1484))</f>
        <v/>
      </c>
      <c r="O1484" s="30">
        <f>IF(A1484="","",YEAR(A1484))</f>
        <v/>
      </c>
      <c r="P1484" s="30">
        <f>IF(A1484="","",CHOOSE(WEEKDAY(A1484,2),"Segunda","Terça","Quarta","Quinta","Sexta","Sábado","Domingo"))</f>
        <v/>
      </c>
      <c r="Q1484" s="30">
        <f>IF(B1484="","",IF(B1484&lt;TIME(12,0,0),"Manhã",IF(B1484&lt;TIME(18,0,0),"Tarde","Noite")))</f>
        <v/>
      </c>
      <c r="R1484" s="46">
        <f>IF(AND(H1484="Realizado",L1484&lt;&gt;"",A1484&lt;=Config!$B$9),L1484/60,0)</f>
        <v>0</v>
      </c>
      <c r="S1484" s="45">
        <f>IF(G1484="","",IFERROR(INDEX(Config!$K$5:$K$16,MATCH(G1484,Config!$J$5:$J$16,0)),""))</f>
        <v/>
      </c>
      <c r="T1484" s="31">
        <f>IF(OR(G1484="",F1484=""),"",IFERROR(INDEX(Config!$M$5:$R$16,MATCH(G1484,Config!$J$5:$J$16,0),MATCH(F1484,Config!$H$5:$H$10,0)),""))</f>
        <v/>
      </c>
      <c r="U1484" s="47">
        <f>IF(AND(H1484="Realizado",L1484&lt;&gt;""),L1484/60,0)</f>
        <v>0</v>
      </c>
      <c r="V1484" s="47">
        <f>IF(AND(H1484="Realizado",OR(L1484="",M1484="")),1,0)</f>
        <v>0</v>
      </c>
    </row>
    <row r="1485">
      <c r="A1485" s="43" t="n"/>
      <c r="B1485" s="44" t="n"/>
      <c r="C1485" s="38" t="n"/>
      <c r="D1485" s="38" t="n"/>
      <c r="E1485" s="37" t="n"/>
      <c r="F1485" s="38" t="n"/>
      <c r="G1485" s="38" t="n"/>
      <c r="H1485" s="38" t="n"/>
      <c r="I1485" s="38" t="n"/>
      <c r="J1485" s="38" t="n"/>
      <c r="K1485" s="37" t="n"/>
      <c r="L1485" s="39" t="n"/>
      <c r="M1485" s="40" t="n"/>
      <c r="N1485" s="30">
        <f>IF(A1485="","",MONTH(A1485))</f>
        <v/>
      </c>
      <c r="O1485" s="30">
        <f>IF(A1485="","",YEAR(A1485))</f>
        <v/>
      </c>
      <c r="P1485" s="30">
        <f>IF(A1485="","",CHOOSE(WEEKDAY(A1485,2),"Segunda","Terça","Quarta","Quinta","Sexta","Sábado","Domingo"))</f>
        <v/>
      </c>
      <c r="Q1485" s="30">
        <f>IF(B1485="","",IF(B1485&lt;TIME(12,0,0),"Manhã",IF(B1485&lt;TIME(18,0,0),"Tarde","Noite")))</f>
        <v/>
      </c>
      <c r="R1485" s="46">
        <f>IF(AND(H1485="Realizado",L1485&lt;&gt;"",A1485&lt;=Config!$B$9),L1485/60,0)</f>
        <v>0</v>
      </c>
      <c r="S1485" s="45">
        <f>IF(G1485="","",IFERROR(INDEX(Config!$K$5:$K$16,MATCH(G1485,Config!$J$5:$J$16,0)),""))</f>
        <v/>
      </c>
      <c r="T1485" s="31">
        <f>IF(OR(G1485="",F1485=""),"",IFERROR(INDEX(Config!$M$5:$R$16,MATCH(G1485,Config!$J$5:$J$16,0),MATCH(F1485,Config!$H$5:$H$10,0)),""))</f>
        <v/>
      </c>
      <c r="U1485" s="47">
        <f>IF(AND(H1485="Realizado",L1485&lt;&gt;""),L1485/60,0)</f>
        <v>0</v>
      </c>
      <c r="V1485" s="47">
        <f>IF(AND(H1485="Realizado",OR(L1485="",M1485="")),1,0)</f>
        <v>0</v>
      </c>
    </row>
    <row r="1486">
      <c r="A1486" s="43" t="n"/>
      <c r="B1486" s="44" t="n"/>
      <c r="C1486" s="38" t="n"/>
      <c r="D1486" s="38" t="n"/>
      <c r="E1486" s="37" t="n"/>
      <c r="F1486" s="38" t="n"/>
      <c r="G1486" s="38" t="n"/>
      <c r="H1486" s="38" t="n"/>
      <c r="I1486" s="38" t="n"/>
      <c r="J1486" s="38" t="n"/>
      <c r="K1486" s="37" t="n"/>
      <c r="L1486" s="39" t="n"/>
      <c r="M1486" s="40" t="n"/>
      <c r="N1486" s="30">
        <f>IF(A1486="","",MONTH(A1486))</f>
        <v/>
      </c>
      <c r="O1486" s="30">
        <f>IF(A1486="","",YEAR(A1486))</f>
        <v/>
      </c>
      <c r="P1486" s="30">
        <f>IF(A1486="","",CHOOSE(WEEKDAY(A1486,2),"Segunda","Terça","Quarta","Quinta","Sexta","Sábado","Domingo"))</f>
        <v/>
      </c>
      <c r="Q1486" s="30">
        <f>IF(B1486="","",IF(B1486&lt;TIME(12,0,0),"Manhã",IF(B1486&lt;TIME(18,0,0),"Tarde","Noite")))</f>
        <v/>
      </c>
      <c r="R1486" s="46">
        <f>IF(AND(H1486="Realizado",L1486&lt;&gt;"",A1486&lt;=Config!$B$9),L1486/60,0)</f>
        <v>0</v>
      </c>
      <c r="S1486" s="45">
        <f>IF(G1486="","",IFERROR(INDEX(Config!$K$5:$K$16,MATCH(G1486,Config!$J$5:$J$16,0)),""))</f>
        <v/>
      </c>
      <c r="T1486" s="31">
        <f>IF(OR(G1486="",F1486=""),"",IFERROR(INDEX(Config!$M$5:$R$16,MATCH(G1486,Config!$J$5:$J$16,0),MATCH(F1486,Config!$H$5:$H$10,0)),""))</f>
        <v/>
      </c>
      <c r="U1486" s="47">
        <f>IF(AND(H1486="Realizado",L1486&lt;&gt;""),L1486/60,0)</f>
        <v>0</v>
      </c>
      <c r="V1486" s="47">
        <f>IF(AND(H1486="Realizado",OR(L1486="",M1486="")),1,0)</f>
        <v>0</v>
      </c>
    </row>
    <row r="1487">
      <c r="A1487" s="43" t="n"/>
      <c r="B1487" s="44" t="n"/>
      <c r="C1487" s="38" t="n"/>
      <c r="D1487" s="38" t="n"/>
      <c r="E1487" s="37" t="n"/>
      <c r="F1487" s="38" t="n"/>
      <c r="G1487" s="38" t="n"/>
      <c r="H1487" s="38" t="n"/>
      <c r="I1487" s="38" t="n"/>
      <c r="J1487" s="38" t="n"/>
      <c r="K1487" s="37" t="n"/>
      <c r="L1487" s="39" t="n"/>
      <c r="M1487" s="40" t="n"/>
      <c r="N1487" s="30">
        <f>IF(A1487="","",MONTH(A1487))</f>
        <v/>
      </c>
      <c r="O1487" s="30">
        <f>IF(A1487="","",YEAR(A1487))</f>
        <v/>
      </c>
      <c r="P1487" s="30">
        <f>IF(A1487="","",CHOOSE(WEEKDAY(A1487,2),"Segunda","Terça","Quarta","Quinta","Sexta","Sábado","Domingo"))</f>
        <v/>
      </c>
      <c r="Q1487" s="30">
        <f>IF(B1487="","",IF(B1487&lt;TIME(12,0,0),"Manhã",IF(B1487&lt;TIME(18,0,0),"Tarde","Noite")))</f>
        <v/>
      </c>
      <c r="R1487" s="46">
        <f>IF(AND(H1487="Realizado",L1487&lt;&gt;"",A1487&lt;=Config!$B$9),L1487/60,0)</f>
        <v>0</v>
      </c>
      <c r="S1487" s="45">
        <f>IF(G1487="","",IFERROR(INDEX(Config!$K$5:$K$16,MATCH(G1487,Config!$J$5:$J$16,0)),""))</f>
        <v/>
      </c>
      <c r="T1487" s="31">
        <f>IF(OR(G1487="",F1487=""),"",IFERROR(INDEX(Config!$M$5:$R$16,MATCH(G1487,Config!$J$5:$J$16,0),MATCH(F1487,Config!$H$5:$H$10,0)),""))</f>
        <v/>
      </c>
      <c r="U1487" s="47">
        <f>IF(AND(H1487="Realizado",L1487&lt;&gt;""),L1487/60,0)</f>
        <v>0</v>
      </c>
      <c r="V1487" s="47">
        <f>IF(AND(H1487="Realizado",OR(L1487="",M1487="")),1,0)</f>
        <v>0</v>
      </c>
    </row>
    <row r="1488">
      <c r="A1488" s="43" t="n"/>
      <c r="B1488" s="44" t="n"/>
      <c r="C1488" s="38" t="n"/>
      <c r="D1488" s="38" t="n"/>
      <c r="E1488" s="37" t="n"/>
      <c r="F1488" s="38" t="n"/>
      <c r="G1488" s="38" t="n"/>
      <c r="H1488" s="38" t="n"/>
      <c r="I1488" s="38" t="n"/>
      <c r="J1488" s="38" t="n"/>
      <c r="K1488" s="37" t="n"/>
      <c r="L1488" s="39" t="n"/>
      <c r="M1488" s="40" t="n"/>
      <c r="N1488" s="30">
        <f>IF(A1488="","",MONTH(A1488))</f>
        <v/>
      </c>
      <c r="O1488" s="30">
        <f>IF(A1488="","",YEAR(A1488))</f>
        <v/>
      </c>
      <c r="P1488" s="30">
        <f>IF(A1488="","",CHOOSE(WEEKDAY(A1488,2),"Segunda","Terça","Quarta","Quinta","Sexta","Sábado","Domingo"))</f>
        <v/>
      </c>
      <c r="Q1488" s="30">
        <f>IF(B1488="","",IF(B1488&lt;TIME(12,0,0),"Manhã",IF(B1488&lt;TIME(18,0,0),"Tarde","Noite")))</f>
        <v/>
      </c>
      <c r="R1488" s="46">
        <f>IF(AND(H1488="Realizado",L1488&lt;&gt;"",A1488&lt;=Config!$B$9),L1488/60,0)</f>
        <v>0</v>
      </c>
      <c r="S1488" s="45">
        <f>IF(G1488="","",IFERROR(INDEX(Config!$K$5:$K$16,MATCH(G1488,Config!$J$5:$J$16,0)),""))</f>
        <v/>
      </c>
      <c r="T1488" s="31">
        <f>IF(OR(G1488="",F1488=""),"",IFERROR(INDEX(Config!$M$5:$R$16,MATCH(G1488,Config!$J$5:$J$16,0),MATCH(F1488,Config!$H$5:$H$10,0)),""))</f>
        <v/>
      </c>
      <c r="U1488" s="47">
        <f>IF(AND(H1488="Realizado",L1488&lt;&gt;""),L1488/60,0)</f>
        <v>0</v>
      </c>
      <c r="V1488" s="47">
        <f>IF(AND(H1488="Realizado",OR(L1488="",M1488="")),1,0)</f>
        <v>0</v>
      </c>
    </row>
    <row r="1489">
      <c r="A1489" s="43" t="n"/>
      <c r="B1489" s="44" t="n"/>
      <c r="C1489" s="38" t="n"/>
      <c r="D1489" s="38" t="n"/>
      <c r="E1489" s="37" t="n"/>
      <c r="F1489" s="38" t="n"/>
      <c r="G1489" s="38" t="n"/>
      <c r="H1489" s="38" t="n"/>
      <c r="I1489" s="38" t="n"/>
      <c r="J1489" s="38" t="n"/>
      <c r="K1489" s="37" t="n"/>
      <c r="L1489" s="39" t="n"/>
      <c r="M1489" s="40" t="n"/>
      <c r="N1489" s="30">
        <f>IF(A1489="","",MONTH(A1489))</f>
        <v/>
      </c>
      <c r="O1489" s="30">
        <f>IF(A1489="","",YEAR(A1489))</f>
        <v/>
      </c>
      <c r="P1489" s="30">
        <f>IF(A1489="","",CHOOSE(WEEKDAY(A1489,2),"Segunda","Terça","Quarta","Quinta","Sexta","Sábado","Domingo"))</f>
        <v/>
      </c>
      <c r="Q1489" s="30">
        <f>IF(B1489="","",IF(B1489&lt;TIME(12,0,0),"Manhã",IF(B1489&lt;TIME(18,0,0),"Tarde","Noite")))</f>
        <v/>
      </c>
      <c r="R1489" s="46">
        <f>IF(AND(H1489="Realizado",L1489&lt;&gt;"",A1489&lt;=Config!$B$9),L1489/60,0)</f>
        <v>0</v>
      </c>
      <c r="S1489" s="45">
        <f>IF(G1489="","",IFERROR(INDEX(Config!$K$5:$K$16,MATCH(G1489,Config!$J$5:$J$16,0)),""))</f>
        <v/>
      </c>
      <c r="T1489" s="31">
        <f>IF(OR(G1489="",F1489=""),"",IFERROR(INDEX(Config!$M$5:$R$16,MATCH(G1489,Config!$J$5:$J$16,0),MATCH(F1489,Config!$H$5:$H$10,0)),""))</f>
        <v/>
      </c>
      <c r="U1489" s="47">
        <f>IF(AND(H1489="Realizado",L1489&lt;&gt;""),L1489/60,0)</f>
        <v>0</v>
      </c>
      <c r="V1489" s="47">
        <f>IF(AND(H1489="Realizado",OR(L1489="",M1489="")),1,0)</f>
        <v>0</v>
      </c>
    </row>
    <row r="1490">
      <c r="A1490" s="43" t="n"/>
      <c r="B1490" s="44" t="n"/>
      <c r="C1490" s="38" t="n"/>
      <c r="D1490" s="38" t="n"/>
      <c r="E1490" s="37" t="n"/>
      <c r="F1490" s="38" t="n"/>
      <c r="G1490" s="38" t="n"/>
      <c r="H1490" s="38" t="n"/>
      <c r="I1490" s="38" t="n"/>
      <c r="J1490" s="38" t="n"/>
      <c r="K1490" s="37" t="n"/>
      <c r="L1490" s="39" t="n"/>
      <c r="M1490" s="40" t="n"/>
      <c r="N1490" s="30">
        <f>IF(A1490="","",MONTH(A1490))</f>
        <v/>
      </c>
      <c r="O1490" s="30">
        <f>IF(A1490="","",YEAR(A1490))</f>
        <v/>
      </c>
      <c r="P1490" s="30">
        <f>IF(A1490="","",CHOOSE(WEEKDAY(A1490,2),"Segunda","Terça","Quarta","Quinta","Sexta","Sábado","Domingo"))</f>
        <v/>
      </c>
      <c r="Q1490" s="30">
        <f>IF(B1490="","",IF(B1490&lt;TIME(12,0,0),"Manhã",IF(B1490&lt;TIME(18,0,0),"Tarde","Noite")))</f>
        <v/>
      </c>
      <c r="R1490" s="46">
        <f>IF(AND(H1490="Realizado",L1490&lt;&gt;"",A1490&lt;=Config!$B$9),L1490/60,0)</f>
        <v>0</v>
      </c>
      <c r="S1490" s="45">
        <f>IF(G1490="","",IFERROR(INDEX(Config!$K$5:$K$16,MATCH(G1490,Config!$J$5:$J$16,0)),""))</f>
        <v/>
      </c>
      <c r="T1490" s="31">
        <f>IF(OR(G1490="",F1490=""),"",IFERROR(INDEX(Config!$M$5:$R$16,MATCH(G1490,Config!$J$5:$J$16,0),MATCH(F1490,Config!$H$5:$H$10,0)),""))</f>
        <v/>
      </c>
      <c r="U1490" s="47">
        <f>IF(AND(H1490="Realizado",L1490&lt;&gt;""),L1490/60,0)</f>
        <v>0</v>
      </c>
      <c r="V1490" s="47">
        <f>IF(AND(H1490="Realizado",OR(L1490="",M1490="")),1,0)</f>
        <v>0</v>
      </c>
    </row>
    <row r="1491">
      <c r="A1491" s="43" t="n"/>
      <c r="B1491" s="44" t="n"/>
      <c r="C1491" s="38" t="n"/>
      <c r="D1491" s="38" t="n"/>
      <c r="E1491" s="37" t="n"/>
      <c r="F1491" s="38" t="n"/>
      <c r="G1491" s="38" t="n"/>
      <c r="H1491" s="38" t="n"/>
      <c r="I1491" s="38" t="n"/>
      <c r="J1491" s="38" t="n"/>
      <c r="K1491" s="37" t="n"/>
      <c r="L1491" s="39" t="n"/>
      <c r="M1491" s="40" t="n"/>
      <c r="N1491" s="30">
        <f>IF(A1491="","",MONTH(A1491))</f>
        <v/>
      </c>
      <c r="O1491" s="30">
        <f>IF(A1491="","",YEAR(A1491))</f>
        <v/>
      </c>
      <c r="P1491" s="30">
        <f>IF(A1491="","",CHOOSE(WEEKDAY(A1491,2),"Segunda","Terça","Quarta","Quinta","Sexta","Sábado","Domingo"))</f>
        <v/>
      </c>
      <c r="Q1491" s="30">
        <f>IF(B1491="","",IF(B1491&lt;TIME(12,0,0),"Manhã",IF(B1491&lt;TIME(18,0,0),"Tarde","Noite")))</f>
        <v/>
      </c>
      <c r="R1491" s="46">
        <f>IF(AND(H1491="Realizado",L1491&lt;&gt;"",A1491&lt;=Config!$B$9),L1491/60,0)</f>
        <v>0</v>
      </c>
      <c r="S1491" s="45">
        <f>IF(G1491="","",IFERROR(INDEX(Config!$K$5:$K$16,MATCH(G1491,Config!$J$5:$J$16,0)),""))</f>
        <v/>
      </c>
      <c r="T1491" s="31">
        <f>IF(OR(G1491="",F1491=""),"",IFERROR(INDEX(Config!$M$5:$R$16,MATCH(G1491,Config!$J$5:$J$16,0),MATCH(F1491,Config!$H$5:$H$10,0)),""))</f>
        <v/>
      </c>
      <c r="U1491" s="47">
        <f>IF(AND(H1491="Realizado",L1491&lt;&gt;""),L1491/60,0)</f>
        <v>0</v>
      </c>
      <c r="V1491" s="47">
        <f>IF(AND(H1491="Realizado",OR(L1491="",M1491="")),1,0)</f>
        <v>0</v>
      </c>
    </row>
    <row r="1492">
      <c r="A1492" s="43" t="n"/>
      <c r="B1492" s="44" t="n"/>
      <c r="C1492" s="38" t="n"/>
      <c r="D1492" s="38" t="n"/>
      <c r="E1492" s="37" t="n"/>
      <c r="F1492" s="38" t="n"/>
      <c r="G1492" s="38" t="n"/>
      <c r="H1492" s="38" t="n"/>
      <c r="I1492" s="38" t="n"/>
      <c r="J1492" s="38" t="n"/>
      <c r="K1492" s="37" t="n"/>
      <c r="L1492" s="39" t="n"/>
      <c r="M1492" s="40" t="n"/>
      <c r="N1492" s="30">
        <f>IF(A1492="","",MONTH(A1492))</f>
        <v/>
      </c>
      <c r="O1492" s="30">
        <f>IF(A1492="","",YEAR(A1492))</f>
        <v/>
      </c>
      <c r="P1492" s="30">
        <f>IF(A1492="","",CHOOSE(WEEKDAY(A1492,2),"Segunda","Terça","Quarta","Quinta","Sexta","Sábado","Domingo"))</f>
        <v/>
      </c>
      <c r="Q1492" s="30">
        <f>IF(B1492="","",IF(B1492&lt;TIME(12,0,0),"Manhã",IF(B1492&lt;TIME(18,0,0),"Tarde","Noite")))</f>
        <v/>
      </c>
      <c r="R1492" s="46">
        <f>IF(AND(H1492="Realizado",L1492&lt;&gt;"",A1492&lt;=Config!$B$9),L1492/60,0)</f>
        <v>0</v>
      </c>
      <c r="S1492" s="45">
        <f>IF(G1492="","",IFERROR(INDEX(Config!$K$5:$K$16,MATCH(G1492,Config!$J$5:$J$16,0)),""))</f>
        <v/>
      </c>
      <c r="T1492" s="31">
        <f>IF(OR(G1492="",F1492=""),"",IFERROR(INDEX(Config!$M$5:$R$16,MATCH(G1492,Config!$J$5:$J$16,0),MATCH(F1492,Config!$H$5:$H$10,0)),""))</f>
        <v/>
      </c>
      <c r="U1492" s="47">
        <f>IF(AND(H1492="Realizado",L1492&lt;&gt;""),L1492/60,0)</f>
        <v>0</v>
      </c>
      <c r="V1492" s="47">
        <f>IF(AND(H1492="Realizado",OR(L1492="",M1492="")),1,0)</f>
        <v>0</v>
      </c>
    </row>
    <row r="1493">
      <c r="A1493" s="43" t="n"/>
      <c r="B1493" s="44" t="n"/>
      <c r="C1493" s="38" t="n"/>
      <c r="D1493" s="38" t="n"/>
      <c r="E1493" s="37" t="n"/>
      <c r="F1493" s="38" t="n"/>
      <c r="G1493" s="38" t="n"/>
      <c r="H1493" s="38" t="n"/>
      <c r="I1493" s="38" t="n"/>
      <c r="J1493" s="38" t="n"/>
      <c r="K1493" s="37" t="n"/>
      <c r="L1493" s="39" t="n"/>
      <c r="M1493" s="40" t="n"/>
      <c r="N1493" s="30">
        <f>IF(A1493="","",MONTH(A1493))</f>
        <v/>
      </c>
      <c r="O1493" s="30">
        <f>IF(A1493="","",YEAR(A1493))</f>
        <v/>
      </c>
      <c r="P1493" s="30">
        <f>IF(A1493="","",CHOOSE(WEEKDAY(A1493,2),"Segunda","Terça","Quarta","Quinta","Sexta","Sábado","Domingo"))</f>
        <v/>
      </c>
      <c r="Q1493" s="30">
        <f>IF(B1493="","",IF(B1493&lt;TIME(12,0,0),"Manhã",IF(B1493&lt;TIME(18,0,0),"Tarde","Noite")))</f>
        <v/>
      </c>
      <c r="R1493" s="46">
        <f>IF(AND(H1493="Realizado",L1493&lt;&gt;"",A1493&lt;=Config!$B$9),L1493/60,0)</f>
        <v>0</v>
      </c>
      <c r="S1493" s="45">
        <f>IF(G1493="","",IFERROR(INDEX(Config!$K$5:$K$16,MATCH(G1493,Config!$J$5:$J$16,0)),""))</f>
        <v/>
      </c>
      <c r="T1493" s="31">
        <f>IF(OR(G1493="",F1493=""),"",IFERROR(INDEX(Config!$M$5:$R$16,MATCH(G1493,Config!$J$5:$J$16,0),MATCH(F1493,Config!$H$5:$H$10,0)),""))</f>
        <v/>
      </c>
      <c r="U1493" s="47">
        <f>IF(AND(H1493="Realizado",L1493&lt;&gt;""),L1493/60,0)</f>
        <v>0</v>
      </c>
      <c r="V1493" s="47">
        <f>IF(AND(H1493="Realizado",OR(L1493="",M1493="")),1,0)</f>
        <v>0</v>
      </c>
    </row>
    <row r="1494">
      <c r="A1494" s="43" t="n"/>
      <c r="B1494" s="44" t="n"/>
      <c r="C1494" s="38" t="n"/>
      <c r="D1494" s="38" t="n"/>
      <c r="E1494" s="37" t="n"/>
      <c r="F1494" s="38" t="n"/>
      <c r="G1494" s="38" t="n"/>
      <c r="H1494" s="38" t="n"/>
      <c r="I1494" s="38" t="n"/>
      <c r="J1494" s="38" t="n"/>
      <c r="K1494" s="37" t="n"/>
      <c r="L1494" s="39" t="n"/>
      <c r="M1494" s="40" t="n"/>
      <c r="N1494" s="30">
        <f>IF(A1494="","",MONTH(A1494))</f>
        <v/>
      </c>
      <c r="O1494" s="30">
        <f>IF(A1494="","",YEAR(A1494))</f>
        <v/>
      </c>
      <c r="P1494" s="30">
        <f>IF(A1494="","",CHOOSE(WEEKDAY(A1494,2),"Segunda","Terça","Quarta","Quinta","Sexta","Sábado","Domingo"))</f>
        <v/>
      </c>
      <c r="Q1494" s="30">
        <f>IF(B1494="","",IF(B1494&lt;TIME(12,0,0),"Manhã",IF(B1494&lt;TIME(18,0,0),"Tarde","Noite")))</f>
        <v/>
      </c>
      <c r="R1494" s="46">
        <f>IF(AND(H1494="Realizado",L1494&lt;&gt;"",A1494&lt;=Config!$B$9),L1494/60,0)</f>
        <v>0</v>
      </c>
      <c r="S1494" s="45">
        <f>IF(G1494="","",IFERROR(INDEX(Config!$K$5:$K$16,MATCH(G1494,Config!$J$5:$J$16,0)),""))</f>
        <v/>
      </c>
      <c r="T1494" s="31">
        <f>IF(OR(G1494="",F1494=""),"",IFERROR(INDEX(Config!$M$5:$R$16,MATCH(G1494,Config!$J$5:$J$16,0),MATCH(F1494,Config!$H$5:$H$10,0)),""))</f>
        <v/>
      </c>
      <c r="U1494" s="47">
        <f>IF(AND(H1494="Realizado",L1494&lt;&gt;""),L1494/60,0)</f>
        <v>0</v>
      </c>
      <c r="V1494" s="47">
        <f>IF(AND(H1494="Realizado",OR(L1494="",M1494="")),1,0)</f>
        <v>0</v>
      </c>
    </row>
    <row r="1495">
      <c r="A1495" s="43" t="n"/>
      <c r="B1495" s="44" t="n"/>
      <c r="C1495" s="38" t="n"/>
      <c r="D1495" s="38" t="n"/>
      <c r="E1495" s="37" t="n"/>
      <c r="F1495" s="38" t="n"/>
      <c r="G1495" s="38" t="n"/>
      <c r="H1495" s="38" t="n"/>
      <c r="I1495" s="38" t="n"/>
      <c r="J1495" s="38" t="n"/>
      <c r="K1495" s="37" t="n"/>
      <c r="L1495" s="39" t="n"/>
      <c r="M1495" s="40" t="n"/>
      <c r="N1495" s="30">
        <f>IF(A1495="","",MONTH(A1495))</f>
        <v/>
      </c>
      <c r="O1495" s="30">
        <f>IF(A1495="","",YEAR(A1495))</f>
        <v/>
      </c>
      <c r="P1495" s="30">
        <f>IF(A1495="","",CHOOSE(WEEKDAY(A1495,2),"Segunda","Terça","Quarta","Quinta","Sexta","Sábado","Domingo"))</f>
        <v/>
      </c>
      <c r="Q1495" s="30">
        <f>IF(B1495="","",IF(B1495&lt;TIME(12,0,0),"Manhã",IF(B1495&lt;TIME(18,0,0),"Tarde","Noite")))</f>
        <v/>
      </c>
      <c r="R1495" s="46">
        <f>IF(AND(H1495="Realizado",L1495&lt;&gt;"",A1495&lt;=Config!$B$9),L1495/60,0)</f>
        <v>0</v>
      </c>
      <c r="S1495" s="45">
        <f>IF(G1495="","",IFERROR(INDEX(Config!$K$5:$K$16,MATCH(G1495,Config!$J$5:$J$16,0)),""))</f>
        <v/>
      </c>
      <c r="T1495" s="31">
        <f>IF(OR(G1495="",F1495=""),"",IFERROR(INDEX(Config!$M$5:$R$16,MATCH(G1495,Config!$J$5:$J$16,0),MATCH(F1495,Config!$H$5:$H$10,0)),""))</f>
        <v/>
      </c>
      <c r="U1495" s="47">
        <f>IF(AND(H1495="Realizado",L1495&lt;&gt;""),L1495/60,0)</f>
        <v>0</v>
      </c>
      <c r="V1495" s="47">
        <f>IF(AND(H1495="Realizado",OR(L1495="",M1495="")),1,0)</f>
        <v>0</v>
      </c>
    </row>
    <row r="1496">
      <c r="A1496" s="43" t="n"/>
      <c r="B1496" s="44" t="n"/>
      <c r="C1496" s="38" t="n"/>
      <c r="D1496" s="38" t="n"/>
      <c r="E1496" s="37" t="n"/>
      <c r="F1496" s="38" t="n"/>
      <c r="G1496" s="38" t="n"/>
      <c r="H1496" s="38" t="n"/>
      <c r="I1496" s="38" t="n"/>
      <c r="J1496" s="38" t="n"/>
      <c r="K1496" s="37" t="n"/>
      <c r="L1496" s="39" t="n"/>
      <c r="M1496" s="40" t="n"/>
      <c r="N1496" s="30">
        <f>IF(A1496="","",MONTH(A1496))</f>
        <v/>
      </c>
      <c r="O1496" s="30">
        <f>IF(A1496="","",YEAR(A1496))</f>
        <v/>
      </c>
      <c r="P1496" s="30">
        <f>IF(A1496="","",CHOOSE(WEEKDAY(A1496,2),"Segunda","Terça","Quarta","Quinta","Sexta","Sábado","Domingo"))</f>
        <v/>
      </c>
      <c r="Q1496" s="30">
        <f>IF(B1496="","",IF(B1496&lt;TIME(12,0,0),"Manhã",IF(B1496&lt;TIME(18,0,0),"Tarde","Noite")))</f>
        <v/>
      </c>
      <c r="R1496" s="46">
        <f>IF(AND(H1496="Realizado",L1496&lt;&gt;"",A1496&lt;=Config!$B$9),L1496/60,0)</f>
        <v>0</v>
      </c>
      <c r="S1496" s="45">
        <f>IF(G1496="","",IFERROR(INDEX(Config!$K$5:$K$16,MATCH(G1496,Config!$J$5:$J$16,0)),""))</f>
        <v/>
      </c>
      <c r="T1496" s="31">
        <f>IF(OR(G1496="",F1496=""),"",IFERROR(INDEX(Config!$M$5:$R$16,MATCH(G1496,Config!$J$5:$J$16,0),MATCH(F1496,Config!$H$5:$H$10,0)),""))</f>
        <v/>
      </c>
      <c r="U1496" s="47">
        <f>IF(AND(H1496="Realizado",L1496&lt;&gt;""),L1496/60,0)</f>
        <v>0</v>
      </c>
      <c r="V1496" s="47">
        <f>IF(AND(H1496="Realizado",OR(L1496="",M1496="")),1,0)</f>
        <v>0</v>
      </c>
    </row>
    <row r="1497">
      <c r="A1497" s="43" t="n"/>
      <c r="B1497" s="44" t="n"/>
      <c r="C1497" s="38" t="n"/>
      <c r="D1497" s="38" t="n"/>
      <c r="E1497" s="37" t="n"/>
      <c r="F1497" s="38" t="n"/>
      <c r="G1497" s="38" t="n"/>
      <c r="H1497" s="38" t="n"/>
      <c r="I1497" s="38" t="n"/>
      <c r="J1497" s="38" t="n"/>
      <c r="K1497" s="37" t="n"/>
      <c r="L1497" s="39" t="n"/>
      <c r="M1497" s="40" t="n"/>
      <c r="N1497" s="30">
        <f>IF(A1497="","",MONTH(A1497))</f>
        <v/>
      </c>
      <c r="O1497" s="30">
        <f>IF(A1497="","",YEAR(A1497))</f>
        <v/>
      </c>
      <c r="P1497" s="30">
        <f>IF(A1497="","",CHOOSE(WEEKDAY(A1497,2),"Segunda","Terça","Quarta","Quinta","Sexta","Sábado","Domingo"))</f>
        <v/>
      </c>
      <c r="Q1497" s="30">
        <f>IF(B1497="","",IF(B1497&lt;TIME(12,0,0),"Manhã",IF(B1497&lt;TIME(18,0,0),"Tarde","Noite")))</f>
        <v/>
      </c>
      <c r="R1497" s="46">
        <f>IF(AND(H1497="Realizado",L1497&lt;&gt;"",A1497&lt;=Config!$B$9),L1497/60,0)</f>
        <v>0</v>
      </c>
      <c r="S1497" s="45">
        <f>IF(G1497="","",IFERROR(INDEX(Config!$K$5:$K$16,MATCH(G1497,Config!$J$5:$J$16,0)),""))</f>
        <v/>
      </c>
      <c r="T1497" s="31">
        <f>IF(OR(G1497="",F1497=""),"",IFERROR(INDEX(Config!$M$5:$R$16,MATCH(G1497,Config!$J$5:$J$16,0),MATCH(F1497,Config!$H$5:$H$10,0)),""))</f>
        <v/>
      </c>
      <c r="U1497" s="47">
        <f>IF(AND(H1497="Realizado",L1497&lt;&gt;""),L1497/60,0)</f>
        <v>0</v>
      </c>
      <c r="V1497" s="47">
        <f>IF(AND(H1497="Realizado",OR(L1497="",M1497="")),1,0)</f>
        <v>0</v>
      </c>
    </row>
    <row r="1498">
      <c r="A1498" s="43" t="n"/>
      <c r="B1498" s="44" t="n"/>
      <c r="C1498" s="38" t="n"/>
      <c r="D1498" s="38" t="n"/>
      <c r="E1498" s="37" t="n"/>
      <c r="F1498" s="38" t="n"/>
      <c r="G1498" s="38" t="n"/>
      <c r="H1498" s="38" t="n"/>
      <c r="I1498" s="38" t="n"/>
      <c r="J1498" s="38" t="n"/>
      <c r="K1498" s="37" t="n"/>
      <c r="L1498" s="39" t="n"/>
      <c r="M1498" s="40" t="n"/>
      <c r="N1498" s="30">
        <f>IF(A1498="","",MONTH(A1498))</f>
        <v/>
      </c>
      <c r="O1498" s="30">
        <f>IF(A1498="","",YEAR(A1498))</f>
        <v/>
      </c>
      <c r="P1498" s="30">
        <f>IF(A1498="","",CHOOSE(WEEKDAY(A1498,2),"Segunda","Terça","Quarta","Quinta","Sexta","Sábado","Domingo"))</f>
        <v/>
      </c>
      <c r="Q1498" s="30">
        <f>IF(B1498="","",IF(B1498&lt;TIME(12,0,0),"Manhã",IF(B1498&lt;TIME(18,0,0),"Tarde","Noite")))</f>
        <v/>
      </c>
      <c r="R1498" s="46">
        <f>IF(AND(H1498="Realizado",L1498&lt;&gt;"",A1498&lt;=Config!$B$9),L1498/60,0)</f>
        <v>0</v>
      </c>
      <c r="S1498" s="45">
        <f>IF(G1498="","",IFERROR(INDEX(Config!$K$5:$K$16,MATCH(G1498,Config!$J$5:$J$16,0)),""))</f>
        <v/>
      </c>
      <c r="T1498" s="31">
        <f>IF(OR(G1498="",F1498=""),"",IFERROR(INDEX(Config!$M$5:$R$16,MATCH(G1498,Config!$J$5:$J$16,0),MATCH(F1498,Config!$H$5:$H$10,0)),""))</f>
        <v/>
      </c>
      <c r="U1498" s="47">
        <f>IF(AND(H1498="Realizado",L1498&lt;&gt;""),L1498/60,0)</f>
        <v>0</v>
      </c>
      <c r="V1498" s="47">
        <f>IF(AND(H1498="Realizado",OR(L1498="",M1498="")),1,0)</f>
        <v>0</v>
      </c>
    </row>
    <row r="1499">
      <c r="A1499" s="43" t="n"/>
      <c r="B1499" s="44" t="n"/>
      <c r="C1499" s="38" t="n"/>
      <c r="D1499" s="38" t="n"/>
      <c r="E1499" s="37" t="n"/>
      <c r="F1499" s="38" t="n"/>
      <c r="G1499" s="38" t="n"/>
      <c r="H1499" s="38" t="n"/>
      <c r="I1499" s="38" t="n"/>
      <c r="J1499" s="38" t="n"/>
      <c r="K1499" s="37" t="n"/>
      <c r="L1499" s="39" t="n"/>
      <c r="M1499" s="40" t="n"/>
      <c r="N1499" s="30">
        <f>IF(A1499="","",MONTH(A1499))</f>
        <v/>
      </c>
      <c r="O1499" s="30">
        <f>IF(A1499="","",YEAR(A1499))</f>
        <v/>
      </c>
      <c r="P1499" s="30">
        <f>IF(A1499="","",CHOOSE(WEEKDAY(A1499,2),"Segunda","Terça","Quarta","Quinta","Sexta","Sábado","Domingo"))</f>
        <v/>
      </c>
      <c r="Q1499" s="30">
        <f>IF(B1499="","",IF(B1499&lt;TIME(12,0,0),"Manhã",IF(B1499&lt;TIME(18,0,0),"Tarde","Noite")))</f>
        <v/>
      </c>
      <c r="R1499" s="46">
        <f>IF(AND(H1499="Realizado",L1499&lt;&gt;"",A1499&lt;=Config!$B$9),L1499/60,0)</f>
        <v>0</v>
      </c>
      <c r="S1499" s="45">
        <f>IF(G1499="","",IFERROR(INDEX(Config!$K$5:$K$16,MATCH(G1499,Config!$J$5:$J$16,0)),""))</f>
        <v/>
      </c>
      <c r="T1499" s="31">
        <f>IF(OR(G1499="",F1499=""),"",IFERROR(INDEX(Config!$M$5:$R$16,MATCH(G1499,Config!$J$5:$J$16,0),MATCH(F1499,Config!$H$5:$H$10,0)),""))</f>
        <v/>
      </c>
      <c r="U1499" s="47">
        <f>IF(AND(H1499="Realizado",L1499&lt;&gt;""),L1499/60,0)</f>
        <v>0</v>
      </c>
      <c r="V1499" s="47">
        <f>IF(AND(H1499="Realizado",OR(L1499="",M1499="")),1,0)</f>
        <v>0</v>
      </c>
    </row>
    <row r="1500">
      <c r="A1500" s="43" t="n"/>
      <c r="B1500" s="44" t="n"/>
      <c r="C1500" s="38" t="n"/>
      <c r="D1500" s="38" t="n"/>
      <c r="E1500" s="37" t="n"/>
      <c r="F1500" s="38" t="n"/>
      <c r="G1500" s="38" t="n"/>
      <c r="H1500" s="38" t="n"/>
      <c r="I1500" s="38" t="n"/>
      <c r="J1500" s="38" t="n"/>
      <c r="K1500" s="37" t="n"/>
      <c r="L1500" s="39" t="n"/>
      <c r="M1500" s="40" t="n"/>
      <c r="N1500" s="30">
        <f>IF(A1500="","",MONTH(A1500))</f>
        <v/>
      </c>
      <c r="O1500" s="30">
        <f>IF(A1500="","",YEAR(A1500))</f>
        <v/>
      </c>
      <c r="P1500" s="30">
        <f>IF(A1500="","",CHOOSE(WEEKDAY(A1500,2),"Segunda","Terça","Quarta","Quinta","Sexta","Sábado","Domingo"))</f>
        <v/>
      </c>
      <c r="Q1500" s="30">
        <f>IF(B1500="","",IF(B1500&lt;TIME(12,0,0),"Manhã",IF(B1500&lt;TIME(18,0,0),"Tarde","Noite")))</f>
        <v/>
      </c>
      <c r="R1500" s="46">
        <f>IF(AND(H1500="Realizado",L1500&lt;&gt;"",A1500&lt;=Config!$B$9),L1500/60,0)</f>
        <v>0</v>
      </c>
      <c r="S1500" s="45">
        <f>IF(G1500="","",IFERROR(INDEX(Config!$K$5:$K$16,MATCH(G1500,Config!$J$5:$J$16,0)),""))</f>
        <v/>
      </c>
      <c r="T1500" s="31">
        <f>IF(OR(G1500="",F1500=""),"",IFERROR(INDEX(Config!$M$5:$R$16,MATCH(G1500,Config!$J$5:$J$16,0),MATCH(F1500,Config!$H$5:$H$10,0)),""))</f>
        <v/>
      </c>
      <c r="U1500" s="47">
        <f>IF(AND(H1500="Realizado",L1500&lt;&gt;""),L1500/60,0)</f>
        <v>0</v>
      </c>
      <c r="V1500" s="47">
        <f>IF(AND(H1500="Realizado",OR(L1500="",M1500="")),1,0)</f>
        <v>0</v>
      </c>
    </row>
    <row r="1501">
      <c r="A1501" s="43" t="n"/>
      <c r="B1501" s="44" t="n"/>
      <c r="C1501" s="38" t="n"/>
      <c r="D1501" s="38" t="n"/>
      <c r="E1501" s="37" t="n"/>
      <c r="F1501" s="38" t="n"/>
      <c r="G1501" s="38" t="n"/>
      <c r="H1501" s="38" t="n"/>
      <c r="I1501" s="38" t="n"/>
      <c r="J1501" s="38" t="n"/>
      <c r="K1501" s="37" t="n"/>
      <c r="L1501" s="39" t="n"/>
      <c r="M1501" s="40" t="n"/>
      <c r="N1501" s="30">
        <f>IF(A1501="","",MONTH(A1501))</f>
        <v/>
      </c>
      <c r="O1501" s="30">
        <f>IF(A1501="","",YEAR(A1501))</f>
        <v/>
      </c>
      <c r="P1501" s="30">
        <f>IF(A1501="","",CHOOSE(WEEKDAY(A1501,2),"Segunda","Terça","Quarta","Quinta","Sexta","Sábado","Domingo"))</f>
        <v/>
      </c>
      <c r="Q1501" s="30">
        <f>IF(B1501="","",IF(B1501&lt;TIME(12,0,0),"Manhã",IF(B1501&lt;TIME(18,0,0),"Tarde","Noite")))</f>
        <v/>
      </c>
      <c r="R1501" s="46">
        <f>IF(AND(H1501="Realizado",L1501&lt;&gt;"",A1501&lt;=Config!$B$9),L1501/60,0)</f>
        <v>0</v>
      </c>
      <c r="S1501" s="45">
        <f>IF(G1501="","",IFERROR(INDEX(Config!$K$5:$K$16,MATCH(G1501,Config!$J$5:$J$16,0)),""))</f>
        <v/>
      </c>
      <c r="T1501" s="31">
        <f>IF(OR(G1501="",F1501=""),"",IFERROR(INDEX(Config!$M$5:$R$16,MATCH(G1501,Config!$J$5:$J$16,0),MATCH(F1501,Config!$H$5:$H$10,0)),""))</f>
        <v/>
      </c>
      <c r="U1501" s="47">
        <f>IF(AND(H1501="Realizado",L1501&lt;&gt;""),L1501/60,0)</f>
        <v>0</v>
      </c>
      <c r="V1501" s="47">
        <f>IF(AND(H1501="Realizado",OR(L1501="",M1501="")),1,0)</f>
        <v>0</v>
      </c>
    </row>
    <row r="1502">
      <c r="A1502" s="43" t="n"/>
      <c r="B1502" s="44" t="n"/>
      <c r="C1502" s="38" t="n"/>
      <c r="D1502" s="38" t="n"/>
      <c r="E1502" s="37" t="n"/>
      <c r="F1502" s="38" t="n"/>
      <c r="G1502" s="38" t="n"/>
      <c r="H1502" s="38" t="n"/>
      <c r="I1502" s="38" t="n"/>
      <c r="J1502" s="38" t="n"/>
      <c r="K1502" s="37" t="n"/>
      <c r="L1502" s="39" t="n"/>
      <c r="M1502" s="40" t="n"/>
      <c r="N1502" s="30">
        <f>IF(A1502="","",MONTH(A1502))</f>
        <v/>
      </c>
      <c r="O1502" s="30">
        <f>IF(A1502="","",YEAR(A1502))</f>
        <v/>
      </c>
      <c r="P1502" s="30">
        <f>IF(A1502="","",CHOOSE(WEEKDAY(A1502,2),"Segunda","Terça","Quarta","Quinta","Sexta","Sábado","Domingo"))</f>
        <v/>
      </c>
      <c r="Q1502" s="30">
        <f>IF(B1502="","",IF(B1502&lt;TIME(12,0,0),"Manhã",IF(B1502&lt;TIME(18,0,0),"Tarde","Noite")))</f>
        <v/>
      </c>
      <c r="R1502" s="46">
        <f>IF(AND(H1502="Realizado",L1502&lt;&gt;"",A1502&lt;=Config!$B$9),L1502/60,0)</f>
        <v>0</v>
      </c>
      <c r="S1502" s="45">
        <f>IF(G1502="","",IFERROR(INDEX(Config!$K$5:$K$16,MATCH(G1502,Config!$J$5:$J$16,0)),""))</f>
        <v/>
      </c>
      <c r="T1502" s="31">
        <f>IF(OR(G1502="",F1502=""),"",IFERROR(INDEX(Config!$M$5:$R$16,MATCH(G1502,Config!$J$5:$J$16,0),MATCH(F1502,Config!$H$5:$H$10,0)),""))</f>
        <v/>
      </c>
      <c r="U1502" s="47">
        <f>IF(AND(H1502="Realizado",L1502&lt;&gt;""),L1502/60,0)</f>
        <v>0</v>
      </c>
      <c r="V1502" s="47">
        <f>IF(AND(H1502="Realizado",OR(L1502="",M1502="")),1,0)</f>
        <v>0</v>
      </c>
    </row>
    <row r="1503">
      <c r="A1503" s="43" t="n"/>
      <c r="B1503" s="44" t="n"/>
      <c r="C1503" s="38" t="n"/>
      <c r="D1503" s="38" t="n"/>
      <c r="E1503" s="37" t="n"/>
      <c r="F1503" s="38" t="n"/>
      <c r="G1503" s="38" t="n"/>
      <c r="H1503" s="38" t="n"/>
      <c r="I1503" s="38" t="n"/>
      <c r="J1503" s="38" t="n"/>
      <c r="K1503" s="37" t="n"/>
      <c r="L1503" s="39" t="n"/>
      <c r="M1503" s="40" t="n"/>
      <c r="N1503" s="30">
        <f>IF(A1503="","",MONTH(A1503))</f>
        <v/>
      </c>
      <c r="O1503" s="30">
        <f>IF(A1503="","",YEAR(A1503))</f>
        <v/>
      </c>
      <c r="P1503" s="30">
        <f>IF(A1503="","",CHOOSE(WEEKDAY(A1503,2),"Segunda","Terça","Quarta","Quinta","Sexta","Sábado","Domingo"))</f>
        <v/>
      </c>
      <c r="Q1503" s="30">
        <f>IF(B1503="","",IF(B1503&lt;TIME(12,0,0),"Manhã",IF(B1503&lt;TIME(18,0,0),"Tarde","Noite")))</f>
        <v/>
      </c>
      <c r="R1503" s="46">
        <f>IF(AND(H1503="Realizado",L1503&lt;&gt;"",A1503&lt;=Config!$B$9),L1503/60,0)</f>
        <v>0</v>
      </c>
      <c r="S1503" s="45">
        <f>IF(G1503="","",IFERROR(INDEX(Config!$K$5:$K$16,MATCH(G1503,Config!$J$5:$J$16,0)),""))</f>
        <v/>
      </c>
      <c r="T1503" s="31">
        <f>IF(OR(G1503="",F1503=""),"",IFERROR(INDEX(Config!$M$5:$R$16,MATCH(G1503,Config!$J$5:$J$16,0),MATCH(F1503,Config!$H$5:$H$10,0)),""))</f>
        <v/>
      </c>
      <c r="U1503" s="47">
        <f>IF(AND(H1503="Realizado",L1503&lt;&gt;""),L1503/60,0)</f>
        <v>0</v>
      </c>
      <c r="V1503" s="47">
        <f>IF(AND(H1503="Realizado",OR(L1503="",M1503="")),1,0)</f>
        <v>0</v>
      </c>
    </row>
    <row r="1504">
      <c r="A1504" s="43" t="n"/>
      <c r="B1504" s="44" t="n"/>
      <c r="C1504" s="38" t="n"/>
      <c r="D1504" s="38" t="n"/>
      <c r="E1504" s="37" t="n"/>
      <c r="F1504" s="38" t="n"/>
      <c r="G1504" s="38" t="n"/>
      <c r="H1504" s="38" t="n"/>
      <c r="I1504" s="38" t="n"/>
      <c r="J1504" s="38" t="n"/>
      <c r="K1504" s="37" t="n"/>
      <c r="L1504" s="39" t="n"/>
      <c r="M1504" s="40" t="n"/>
      <c r="N1504" s="30">
        <f>IF(A1504="","",MONTH(A1504))</f>
        <v/>
      </c>
      <c r="O1504" s="30">
        <f>IF(A1504="","",YEAR(A1504))</f>
        <v/>
      </c>
      <c r="P1504" s="30">
        <f>IF(A1504="","",CHOOSE(WEEKDAY(A1504,2),"Segunda","Terça","Quarta","Quinta","Sexta","Sábado","Domingo"))</f>
        <v/>
      </c>
      <c r="Q1504" s="30">
        <f>IF(B1504="","",IF(B1504&lt;TIME(12,0,0),"Manhã",IF(B1504&lt;TIME(18,0,0),"Tarde","Noite")))</f>
        <v/>
      </c>
      <c r="R1504" s="46">
        <f>IF(AND(H1504="Realizado",L1504&lt;&gt;"",A1504&lt;=Config!$B$9),L1504/60,0)</f>
        <v>0</v>
      </c>
      <c r="S1504" s="45">
        <f>IF(G1504="","",IFERROR(INDEX(Config!$K$5:$K$16,MATCH(G1504,Config!$J$5:$J$16,0)),""))</f>
        <v/>
      </c>
      <c r="T1504" s="31">
        <f>IF(OR(G1504="",F1504=""),"",IFERROR(INDEX(Config!$M$5:$R$16,MATCH(G1504,Config!$J$5:$J$16,0),MATCH(F1504,Config!$H$5:$H$10,0)),""))</f>
        <v/>
      </c>
      <c r="U1504" s="47">
        <f>IF(AND(H1504="Realizado",L1504&lt;&gt;""),L1504/60,0)</f>
        <v>0</v>
      </c>
      <c r="V1504" s="47">
        <f>IF(AND(H1504="Realizado",OR(L1504="",M1504="")),1,0)</f>
        <v>0</v>
      </c>
    </row>
    <row r="1505">
      <c r="A1505" s="43" t="n"/>
      <c r="B1505" s="44" t="n"/>
      <c r="C1505" s="38" t="n"/>
      <c r="D1505" s="38" t="n"/>
      <c r="E1505" s="37" t="n"/>
      <c r="F1505" s="38" t="n"/>
      <c r="G1505" s="38" t="n"/>
      <c r="H1505" s="38" t="n"/>
      <c r="I1505" s="38" t="n"/>
      <c r="J1505" s="38" t="n"/>
      <c r="K1505" s="37" t="n"/>
      <c r="L1505" s="39" t="n"/>
      <c r="M1505" s="40" t="n"/>
      <c r="N1505" s="30">
        <f>IF(A1505="","",MONTH(A1505))</f>
        <v/>
      </c>
      <c r="O1505" s="30">
        <f>IF(A1505="","",YEAR(A1505))</f>
        <v/>
      </c>
      <c r="P1505" s="30">
        <f>IF(A1505="","",CHOOSE(WEEKDAY(A1505,2),"Segunda","Terça","Quarta","Quinta","Sexta","Sábado","Domingo"))</f>
        <v/>
      </c>
      <c r="Q1505" s="30">
        <f>IF(B1505="","",IF(B1505&lt;TIME(12,0,0),"Manhã",IF(B1505&lt;TIME(18,0,0),"Tarde","Noite")))</f>
        <v/>
      </c>
      <c r="R1505" s="46">
        <f>IF(AND(H1505="Realizado",L1505&lt;&gt;"",A1505&lt;=Config!$B$9),L1505/60,0)</f>
        <v>0</v>
      </c>
      <c r="S1505" s="45">
        <f>IF(G1505="","",IFERROR(INDEX(Config!$K$5:$K$16,MATCH(G1505,Config!$J$5:$J$16,0)),""))</f>
        <v/>
      </c>
      <c r="T1505" s="31">
        <f>IF(OR(G1505="",F1505=""),"",IFERROR(INDEX(Config!$M$5:$R$16,MATCH(G1505,Config!$J$5:$J$16,0),MATCH(F1505,Config!$H$5:$H$10,0)),""))</f>
        <v/>
      </c>
      <c r="U1505" s="47">
        <f>IF(AND(H1505="Realizado",L1505&lt;&gt;""),L1505/60,0)</f>
        <v>0</v>
      </c>
      <c r="V1505" s="47">
        <f>IF(AND(H1505="Realizado",OR(L1505="",M1505="")),1,0)</f>
        <v>0</v>
      </c>
    </row>
    <row r="1506">
      <c r="A1506" s="43" t="n"/>
      <c r="B1506" s="44" t="n"/>
      <c r="C1506" s="38" t="n"/>
      <c r="D1506" s="38" t="n"/>
      <c r="E1506" s="37" t="n"/>
      <c r="F1506" s="38" t="n"/>
      <c r="G1506" s="38" t="n"/>
      <c r="H1506" s="38" t="n"/>
      <c r="I1506" s="38" t="n"/>
      <c r="J1506" s="38" t="n"/>
      <c r="K1506" s="37" t="n"/>
      <c r="L1506" s="39" t="n"/>
      <c r="M1506" s="40" t="n"/>
      <c r="N1506" s="30">
        <f>IF(A1506="","",MONTH(A1506))</f>
        <v/>
      </c>
      <c r="O1506" s="30">
        <f>IF(A1506="","",YEAR(A1506))</f>
        <v/>
      </c>
      <c r="P1506" s="30">
        <f>IF(A1506="","",CHOOSE(WEEKDAY(A1506,2),"Segunda","Terça","Quarta","Quinta","Sexta","Sábado","Domingo"))</f>
        <v/>
      </c>
      <c r="Q1506" s="30">
        <f>IF(B1506="","",IF(B1506&lt;TIME(12,0,0),"Manhã",IF(B1506&lt;TIME(18,0,0),"Tarde","Noite")))</f>
        <v/>
      </c>
      <c r="R1506" s="46">
        <f>IF(AND(H1506="Realizado",L1506&lt;&gt;"",A1506&lt;=Config!$B$9),L1506/60,0)</f>
        <v>0</v>
      </c>
      <c r="S1506" s="45">
        <f>IF(G1506="","",IFERROR(INDEX(Config!$K$5:$K$16,MATCH(G1506,Config!$J$5:$J$16,0)),""))</f>
        <v/>
      </c>
      <c r="T1506" s="31">
        <f>IF(OR(G1506="",F1506=""),"",IFERROR(INDEX(Config!$M$5:$R$16,MATCH(G1506,Config!$J$5:$J$16,0),MATCH(F1506,Config!$H$5:$H$10,0)),""))</f>
        <v/>
      </c>
      <c r="U1506" s="47">
        <f>IF(AND(H1506="Realizado",L1506&lt;&gt;""),L1506/60,0)</f>
        <v>0</v>
      </c>
      <c r="V1506" s="47">
        <f>IF(AND(H1506="Realizado",OR(L1506="",M1506="")),1,0)</f>
        <v>0</v>
      </c>
    </row>
    <row r="1507">
      <c r="A1507" s="43" t="n"/>
      <c r="B1507" s="44" t="n"/>
      <c r="C1507" s="38" t="n"/>
      <c r="D1507" s="38" t="n"/>
      <c r="E1507" s="37" t="n"/>
      <c r="F1507" s="38" t="n"/>
      <c r="G1507" s="38" t="n"/>
      <c r="H1507" s="38" t="n"/>
      <c r="I1507" s="38" t="n"/>
      <c r="J1507" s="38" t="n"/>
      <c r="K1507" s="37" t="n"/>
      <c r="L1507" s="39" t="n"/>
      <c r="M1507" s="40" t="n"/>
      <c r="N1507" s="30">
        <f>IF(A1507="","",MONTH(A1507))</f>
        <v/>
      </c>
      <c r="O1507" s="30">
        <f>IF(A1507="","",YEAR(A1507))</f>
        <v/>
      </c>
      <c r="P1507" s="30">
        <f>IF(A1507="","",CHOOSE(WEEKDAY(A1507,2),"Segunda","Terça","Quarta","Quinta","Sexta","Sábado","Domingo"))</f>
        <v/>
      </c>
      <c r="Q1507" s="30">
        <f>IF(B1507="","",IF(B1507&lt;TIME(12,0,0),"Manhã",IF(B1507&lt;TIME(18,0,0),"Tarde","Noite")))</f>
        <v/>
      </c>
      <c r="R1507" s="46">
        <f>IF(AND(H1507="Realizado",L1507&lt;&gt;"",A1507&lt;=Config!$B$9),L1507/60,0)</f>
        <v>0</v>
      </c>
      <c r="S1507" s="45">
        <f>IF(G1507="","",IFERROR(INDEX(Config!$K$5:$K$16,MATCH(G1507,Config!$J$5:$J$16,0)),""))</f>
        <v/>
      </c>
      <c r="T1507" s="31">
        <f>IF(OR(G1507="",F1507=""),"",IFERROR(INDEX(Config!$M$5:$R$16,MATCH(G1507,Config!$J$5:$J$16,0),MATCH(F1507,Config!$H$5:$H$10,0)),""))</f>
        <v/>
      </c>
      <c r="U1507" s="47">
        <f>IF(AND(H1507="Realizado",L1507&lt;&gt;""),L1507/60,0)</f>
        <v>0</v>
      </c>
      <c r="V1507" s="47">
        <f>IF(AND(H1507="Realizado",OR(L1507="",M1507="")),1,0)</f>
        <v>0</v>
      </c>
    </row>
    <row r="1508">
      <c r="A1508" s="43" t="n"/>
      <c r="B1508" s="44" t="n"/>
      <c r="C1508" s="38" t="n"/>
      <c r="D1508" s="38" t="n"/>
      <c r="E1508" s="37" t="n"/>
      <c r="F1508" s="38" t="n"/>
      <c r="G1508" s="38" t="n"/>
      <c r="H1508" s="38" t="n"/>
      <c r="I1508" s="38" t="n"/>
      <c r="J1508" s="38" t="n"/>
      <c r="K1508" s="37" t="n"/>
      <c r="L1508" s="39" t="n"/>
      <c r="M1508" s="40" t="n"/>
      <c r="N1508" s="30">
        <f>IF(A1508="","",MONTH(A1508))</f>
        <v/>
      </c>
      <c r="O1508" s="30">
        <f>IF(A1508="","",YEAR(A1508))</f>
        <v/>
      </c>
      <c r="P1508" s="30">
        <f>IF(A1508="","",CHOOSE(WEEKDAY(A1508,2),"Segunda","Terça","Quarta","Quinta","Sexta","Sábado","Domingo"))</f>
        <v/>
      </c>
      <c r="Q1508" s="30">
        <f>IF(B1508="","",IF(B1508&lt;TIME(12,0,0),"Manhã",IF(B1508&lt;TIME(18,0,0),"Tarde","Noite")))</f>
        <v/>
      </c>
      <c r="R1508" s="46">
        <f>IF(AND(H1508="Realizado",L1508&lt;&gt;"",A1508&lt;=Config!$B$9),L1508/60,0)</f>
        <v>0</v>
      </c>
      <c r="S1508" s="45">
        <f>IF(G1508="","",IFERROR(INDEX(Config!$K$5:$K$16,MATCH(G1508,Config!$J$5:$J$16,0)),""))</f>
        <v/>
      </c>
      <c r="T1508" s="31">
        <f>IF(OR(G1508="",F1508=""),"",IFERROR(INDEX(Config!$M$5:$R$16,MATCH(G1508,Config!$J$5:$J$16,0),MATCH(F1508,Config!$H$5:$H$10,0)),""))</f>
        <v/>
      </c>
      <c r="U1508" s="47">
        <f>IF(AND(H1508="Realizado",L1508&lt;&gt;""),L1508/60,0)</f>
        <v>0</v>
      </c>
      <c r="V1508" s="47">
        <f>IF(AND(H1508="Realizado",OR(L1508="",M1508="")),1,0)</f>
        <v>0</v>
      </c>
    </row>
    <row r="1509">
      <c r="A1509" s="43" t="n"/>
      <c r="B1509" s="44" t="n"/>
      <c r="C1509" s="38" t="n"/>
      <c r="D1509" s="38" t="n"/>
      <c r="E1509" s="37" t="n"/>
      <c r="F1509" s="38" t="n"/>
      <c r="G1509" s="38" t="n"/>
      <c r="H1509" s="38" t="n"/>
      <c r="I1509" s="38" t="n"/>
      <c r="J1509" s="38" t="n"/>
      <c r="K1509" s="37" t="n"/>
      <c r="L1509" s="39" t="n"/>
      <c r="M1509" s="40" t="n"/>
      <c r="N1509" s="30">
        <f>IF(A1509="","",MONTH(A1509))</f>
        <v/>
      </c>
      <c r="O1509" s="30">
        <f>IF(A1509="","",YEAR(A1509))</f>
        <v/>
      </c>
      <c r="P1509" s="30">
        <f>IF(A1509="","",CHOOSE(WEEKDAY(A1509,2),"Segunda","Terça","Quarta","Quinta","Sexta","Sábado","Domingo"))</f>
        <v/>
      </c>
      <c r="Q1509" s="30">
        <f>IF(B1509="","",IF(B1509&lt;TIME(12,0,0),"Manhã",IF(B1509&lt;TIME(18,0,0),"Tarde","Noite")))</f>
        <v/>
      </c>
      <c r="R1509" s="46">
        <f>IF(AND(H1509="Realizado",L1509&lt;&gt;"",A1509&lt;=Config!$B$9),L1509/60,0)</f>
        <v>0</v>
      </c>
      <c r="S1509" s="45">
        <f>IF(G1509="","",IFERROR(INDEX(Config!$K$5:$K$16,MATCH(G1509,Config!$J$5:$J$16,0)),""))</f>
        <v/>
      </c>
      <c r="T1509" s="31">
        <f>IF(OR(G1509="",F1509=""),"",IFERROR(INDEX(Config!$M$5:$R$16,MATCH(G1509,Config!$J$5:$J$16,0),MATCH(F1509,Config!$H$5:$H$10,0)),""))</f>
        <v/>
      </c>
      <c r="U1509" s="47">
        <f>IF(AND(H1509="Realizado",L1509&lt;&gt;""),L1509/60,0)</f>
        <v>0</v>
      </c>
      <c r="V1509" s="47">
        <f>IF(AND(H1509="Realizado",OR(L1509="",M1509="")),1,0)</f>
        <v>0</v>
      </c>
    </row>
    <row r="1510">
      <c r="A1510" s="43" t="n"/>
      <c r="B1510" s="44" t="n"/>
      <c r="C1510" s="38" t="n"/>
      <c r="D1510" s="38" t="n"/>
      <c r="E1510" s="37" t="n"/>
      <c r="F1510" s="38" t="n"/>
      <c r="G1510" s="38" t="n"/>
      <c r="H1510" s="38" t="n"/>
      <c r="I1510" s="38" t="n"/>
      <c r="J1510" s="38" t="n"/>
      <c r="K1510" s="37" t="n"/>
      <c r="L1510" s="39" t="n"/>
      <c r="M1510" s="40" t="n"/>
      <c r="N1510" s="30">
        <f>IF(A1510="","",MONTH(A1510))</f>
        <v/>
      </c>
      <c r="O1510" s="30">
        <f>IF(A1510="","",YEAR(A1510))</f>
        <v/>
      </c>
      <c r="P1510" s="30">
        <f>IF(A1510="","",CHOOSE(WEEKDAY(A1510,2),"Segunda","Terça","Quarta","Quinta","Sexta","Sábado","Domingo"))</f>
        <v/>
      </c>
      <c r="Q1510" s="30">
        <f>IF(B1510="","",IF(B1510&lt;TIME(12,0,0),"Manhã",IF(B1510&lt;TIME(18,0,0),"Tarde","Noite")))</f>
        <v/>
      </c>
      <c r="R1510" s="46">
        <f>IF(AND(H1510="Realizado",L1510&lt;&gt;"",A1510&lt;=Config!$B$9),L1510/60,0)</f>
        <v>0</v>
      </c>
      <c r="S1510" s="45">
        <f>IF(G1510="","",IFERROR(INDEX(Config!$K$5:$K$16,MATCH(G1510,Config!$J$5:$J$16,0)),""))</f>
        <v/>
      </c>
      <c r="T1510" s="31">
        <f>IF(OR(G1510="",F1510=""),"",IFERROR(INDEX(Config!$M$5:$R$16,MATCH(G1510,Config!$J$5:$J$16,0),MATCH(F1510,Config!$H$5:$H$10,0)),""))</f>
        <v/>
      </c>
      <c r="U1510" s="47">
        <f>IF(AND(H1510="Realizado",L1510&lt;&gt;""),L1510/60,0)</f>
        <v>0</v>
      </c>
      <c r="V1510" s="47">
        <f>IF(AND(H1510="Realizado",OR(L1510="",M1510="")),1,0)</f>
        <v>0</v>
      </c>
    </row>
    <row r="1511">
      <c r="A1511" s="43" t="n"/>
      <c r="B1511" s="44" t="n"/>
      <c r="C1511" s="38" t="n"/>
      <c r="D1511" s="38" t="n"/>
      <c r="E1511" s="37" t="n"/>
      <c r="F1511" s="38" t="n"/>
      <c r="G1511" s="38" t="n"/>
      <c r="H1511" s="38" t="n"/>
      <c r="I1511" s="38" t="n"/>
      <c r="J1511" s="38" t="n"/>
      <c r="K1511" s="37" t="n"/>
      <c r="L1511" s="39" t="n"/>
      <c r="M1511" s="40" t="n"/>
      <c r="N1511" s="30">
        <f>IF(A1511="","",MONTH(A1511))</f>
        <v/>
      </c>
      <c r="O1511" s="30">
        <f>IF(A1511="","",YEAR(A1511))</f>
        <v/>
      </c>
      <c r="P1511" s="30">
        <f>IF(A1511="","",CHOOSE(WEEKDAY(A1511,2),"Segunda","Terça","Quarta","Quinta","Sexta","Sábado","Domingo"))</f>
        <v/>
      </c>
      <c r="Q1511" s="30">
        <f>IF(B1511="","",IF(B1511&lt;TIME(12,0,0),"Manhã",IF(B1511&lt;TIME(18,0,0),"Tarde","Noite")))</f>
        <v/>
      </c>
      <c r="R1511" s="46">
        <f>IF(AND(H1511="Realizado",L1511&lt;&gt;"",A1511&lt;=Config!$B$9),L1511/60,0)</f>
        <v>0</v>
      </c>
      <c r="S1511" s="45">
        <f>IF(G1511="","",IFERROR(INDEX(Config!$K$5:$K$16,MATCH(G1511,Config!$J$5:$J$16,0)),""))</f>
        <v/>
      </c>
      <c r="T1511" s="31">
        <f>IF(OR(G1511="",F1511=""),"",IFERROR(INDEX(Config!$M$5:$R$16,MATCH(G1511,Config!$J$5:$J$16,0),MATCH(F1511,Config!$H$5:$H$10,0)),""))</f>
        <v/>
      </c>
      <c r="U1511" s="47">
        <f>IF(AND(H1511="Realizado",L1511&lt;&gt;""),L1511/60,0)</f>
        <v>0</v>
      </c>
      <c r="V1511" s="47">
        <f>IF(AND(H1511="Realizado",OR(L1511="",M1511="")),1,0)</f>
        <v>0</v>
      </c>
    </row>
    <row r="1512">
      <c r="A1512" s="43" t="n"/>
      <c r="B1512" s="44" t="n"/>
      <c r="C1512" s="38" t="n"/>
      <c r="D1512" s="38" t="n"/>
      <c r="E1512" s="37" t="n"/>
      <c r="F1512" s="38" t="n"/>
      <c r="G1512" s="38" t="n"/>
      <c r="H1512" s="38" t="n"/>
      <c r="I1512" s="38" t="n"/>
      <c r="J1512" s="38" t="n"/>
      <c r="K1512" s="37" t="n"/>
      <c r="L1512" s="39" t="n"/>
      <c r="M1512" s="40" t="n"/>
      <c r="N1512" s="30">
        <f>IF(A1512="","",MONTH(A1512))</f>
        <v/>
      </c>
      <c r="O1512" s="30">
        <f>IF(A1512="","",YEAR(A1512))</f>
        <v/>
      </c>
      <c r="P1512" s="30">
        <f>IF(A1512="","",CHOOSE(WEEKDAY(A1512,2),"Segunda","Terça","Quarta","Quinta","Sexta","Sábado","Domingo"))</f>
        <v/>
      </c>
      <c r="Q1512" s="30">
        <f>IF(B1512="","",IF(B1512&lt;TIME(12,0,0),"Manhã",IF(B1512&lt;TIME(18,0,0),"Tarde","Noite")))</f>
        <v/>
      </c>
      <c r="R1512" s="46">
        <f>IF(AND(H1512="Realizado",L1512&lt;&gt;"",A1512&lt;=Config!$B$9),L1512/60,0)</f>
        <v>0</v>
      </c>
      <c r="S1512" s="45">
        <f>IF(G1512="","",IFERROR(INDEX(Config!$K$5:$K$16,MATCH(G1512,Config!$J$5:$J$16,0)),""))</f>
        <v/>
      </c>
      <c r="T1512" s="31">
        <f>IF(OR(G1512="",F1512=""),"",IFERROR(INDEX(Config!$M$5:$R$16,MATCH(G1512,Config!$J$5:$J$16,0),MATCH(F1512,Config!$H$5:$H$10,0)),""))</f>
        <v/>
      </c>
      <c r="U1512" s="47">
        <f>IF(AND(H1512="Realizado",L1512&lt;&gt;""),L1512/60,0)</f>
        <v>0</v>
      </c>
      <c r="V1512" s="47">
        <f>IF(AND(H1512="Realizado",OR(L1512="",M1512="")),1,0)</f>
        <v>0</v>
      </c>
    </row>
    <row r="1513">
      <c r="A1513" s="43" t="n"/>
      <c r="B1513" s="44" t="n"/>
      <c r="C1513" s="38" t="n"/>
      <c r="D1513" s="38" t="n"/>
      <c r="E1513" s="37" t="n"/>
      <c r="F1513" s="38" t="n"/>
      <c r="G1513" s="38" t="n"/>
      <c r="H1513" s="38" t="n"/>
      <c r="I1513" s="38" t="n"/>
      <c r="J1513" s="38" t="n"/>
      <c r="K1513" s="37" t="n"/>
      <c r="L1513" s="39" t="n"/>
      <c r="M1513" s="40" t="n"/>
      <c r="N1513" s="30">
        <f>IF(A1513="","",MONTH(A1513))</f>
        <v/>
      </c>
      <c r="O1513" s="30">
        <f>IF(A1513="","",YEAR(A1513))</f>
        <v/>
      </c>
      <c r="P1513" s="30">
        <f>IF(A1513="","",CHOOSE(WEEKDAY(A1513,2),"Segunda","Terça","Quarta","Quinta","Sexta","Sábado","Domingo"))</f>
        <v/>
      </c>
      <c r="Q1513" s="30">
        <f>IF(B1513="","",IF(B1513&lt;TIME(12,0,0),"Manhã",IF(B1513&lt;TIME(18,0,0),"Tarde","Noite")))</f>
        <v/>
      </c>
      <c r="R1513" s="46">
        <f>IF(AND(H1513="Realizado",L1513&lt;&gt;"",A1513&lt;=Config!$B$9),L1513/60,0)</f>
        <v>0</v>
      </c>
      <c r="S1513" s="45">
        <f>IF(G1513="","",IFERROR(INDEX(Config!$K$5:$K$16,MATCH(G1513,Config!$J$5:$J$16,0)),""))</f>
        <v/>
      </c>
      <c r="T1513" s="31">
        <f>IF(OR(G1513="",F1513=""),"",IFERROR(INDEX(Config!$M$5:$R$16,MATCH(G1513,Config!$J$5:$J$16,0),MATCH(F1513,Config!$H$5:$H$10,0)),""))</f>
        <v/>
      </c>
      <c r="U1513" s="47">
        <f>IF(AND(H1513="Realizado",L1513&lt;&gt;""),L1513/60,0)</f>
        <v>0</v>
      </c>
      <c r="V1513" s="47">
        <f>IF(AND(H1513="Realizado",OR(L1513="",M1513="")),1,0)</f>
        <v>0</v>
      </c>
    </row>
    <row r="1514">
      <c r="A1514" s="43" t="n"/>
      <c r="B1514" s="44" t="n"/>
      <c r="C1514" s="38" t="n"/>
      <c r="D1514" s="38" t="n"/>
      <c r="E1514" s="37" t="n"/>
      <c r="F1514" s="38" t="n"/>
      <c r="G1514" s="38" t="n"/>
      <c r="H1514" s="38" t="n"/>
      <c r="I1514" s="38" t="n"/>
      <c r="J1514" s="38" t="n"/>
      <c r="K1514" s="37" t="n"/>
      <c r="L1514" s="39" t="n"/>
      <c r="M1514" s="40" t="n"/>
      <c r="N1514" s="30">
        <f>IF(A1514="","",MONTH(A1514))</f>
        <v/>
      </c>
      <c r="O1514" s="30">
        <f>IF(A1514="","",YEAR(A1514))</f>
        <v/>
      </c>
      <c r="P1514" s="30">
        <f>IF(A1514="","",CHOOSE(WEEKDAY(A1514,2),"Segunda","Terça","Quarta","Quinta","Sexta","Sábado","Domingo"))</f>
        <v/>
      </c>
      <c r="Q1514" s="30">
        <f>IF(B1514="","",IF(B1514&lt;TIME(12,0,0),"Manhã",IF(B1514&lt;TIME(18,0,0),"Tarde","Noite")))</f>
        <v/>
      </c>
      <c r="R1514" s="46">
        <f>IF(AND(H1514="Realizado",L1514&lt;&gt;"",A1514&lt;=Config!$B$9),L1514/60,0)</f>
        <v>0</v>
      </c>
      <c r="S1514" s="45">
        <f>IF(G1514="","",IFERROR(INDEX(Config!$K$5:$K$16,MATCH(G1514,Config!$J$5:$J$16,0)),""))</f>
        <v/>
      </c>
      <c r="T1514" s="31">
        <f>IF(OR(G1514="",F1514=""),"",IFERROR(INDEX(Config!$M$5:$R$16,MATCH(G1514,Config!$J$5:$J$16,0),MATCH(F1514,Config!$H$5:$H$10,0)),""))</f>
        <v/>
      </c>
      <c r="U1514" s="47">
        <f>IF(AND(H1514="Realizado",L1514&lt;&gt;""),L1514/60,0)</f>
        <v>0</v>
      </c>
      <c r="V1514" s="47">
        <f>IF(AND(H1514="Realizado",OR(L1514="",M1514="")),1,0)</f>
        <v>0</v>
      </c>
    </row>
    <row r="1515">
      <c r="A1515" s="43" t="n"/>
      <c r="B1515" s="44" t="n"/>
      <c r="C1515" s="38" t="n"/>
      <c r="D1515" s="38" t="n"/>
      <c r="E1515" s="37" t="n"/>
      <c r="F1515" s="38" t="n"/>
      <c r="G1515" s="38" t="n"/>
      <c r="H1515" s="38" t="n"/>
      <c r="I1515" s="38" t="n"/>
      <c r="J1515" s="38" t="n"/>
      <c r="K1515" s="37" t="n"/>
      <c r="L1515" s="39" t="n"/>
      <c r="M1515" s="40" t="n"/>
      <c r="N1515" s="30">
        <f>IF(A1515="","",MONTH(A1515))</f>
        <v/>
      </c>
      <c r="O1515" s="30">
        <f>IF(A1515="","",YEAR(A1515))</f>
        <v/>
      </c>
      <c r="P1515" s="30">
        <f>IF(A1515="","",CHOOSE(WEEKDAY(A1515,2),"Segunda","Terça","Quarta","Quinta","Sexta","Sábado","Domingo"))</f>
        <v/>
      </c>
      <c r="Q1515" s="30">
        <f>IF(B1515="","",IF(B1515&lt;TIME(12,0,0),"Manhã",IF(B1515&lt;TIME(18,0,0),"Tarde","Noite")))</f>
        <v/>
      </c>
      <c r="R1515" s="46">
        <f>IF(AND(H1515="Realizado",L1515&lt;&gt;"",A1515&lt;=Config!$B$9),L1515/60,0)</f>
        <v>0</v>
      </c>
      <c r="S1515" s="45">
        <f>IF(G1515="","",IFERROR(INDEX(Config!$K$5:$K$16,MATCH(G1515,Config!$J$5:$J$16,0)),""))</f>
        <v/>
      </c>
      <c r="T1515" s="31">
        <f>IF(OR(G1515="",F1515=""),"",IFERROR(INDEX(Config!$M$5:$R$16,MATCH(G1515,Config!$J$5:$J$16,0),MATCH(F1515,Config!$H$5:$H$10,0)),""))</f>
        <v/>
      </c>
      <c r="U1515" s="47">
        <f>IF(AND(H1515="Realizado",L1515&lt;&gt;""),L1515/60,0)</f>
        <v>0</v>
      </c>
      <c r="V1515" s="47">
        <f>IF(AND(H1515="Realizado",OR(L1515="",M1515="")),1,0)</f>
        <v>0</v>
      </c>
    </row>
    <row r="1516">
      <c r="A1516" s="43" t="n"/>
      <c r="B1516" s="44" t="n"/>
      <c r="C1516" s="38" t="n"/>
      <c r="D1516" s="38" t="n"/>
      <c r="E1516" s="37" t="n"/>
      <c r="F1516" s="38" t="n"/>
      <c r="G1516" s="38" t="n"/>
      <c r="H1516" s="38" t="n"/>
      <c r="I1516" s="38" t="n"/>
      <c r="J1516" s="38" t="n"/>
      <c r="K1516" s="37" t="n"/>
      <c r="L1516" s="39" t="n"/>
      <c r="M1516" s="40" t="n"/>
      <c r="N1516" s="30">
        <f>IF(A1516="","",MONTH(A1516))</f>
        <v/>
      </c>
      <c r="O1516" s="30">
        <f>IF(A1516="","",YEAR(A1516))</f>
        <v/>
      </c>
      <c r="P1516" s="30">
        <f>IF(A1516="","",CHOOSE(WEEKDAY(A1516,2),"Segunda","Terça","Quarta","Quinta","Sexta","Sábado","Domingo"))</f>
        <v/>
      </c>
      <c r="Q1516" s="30">
        <f>IF(B1516="","",IF(B1516&lt;TIME(12,0,0),"Manhã",IF(B1516&lt;TIME(18,0,0),"Tarde","Noite")))</f>
        <v/>
      </c>
      <c r="R1516" s="46">
        <f>IF(AND(H1516="Realizado",L1516&lt;&gt;"",A1516&lt;=Config!$B$9),L1516/60,0)</f>
        <v>0</v>
      </c>
      <c r="S1516" s="45">
        <f>IF(G1516="","",IFERROR(INDEX(Config!$K$5:$K$16,MATCH(G1516,Config!$J$5:$J$16,0)),""))</f>
        <v/>
      </c>
      <c r="T1516" s="31">
        <f>IF(OR(G1516="",F1516=""),"",IFERROR(INDEX(Config!$M$5:$R$16,MATCH(G1516,Config!$J$5:$J$16,0),MATCH(F1516,Config!$H$5:$H$10,0)),""))</f>
        <v/>
      </c>
      <c r="U1516" s="47">
        <f>IF(AND(H1516="Realizado",L1516&lt;&gt;""),L1516/60,0)</f>
        <v>0</v>
      </c>
      <c r="V1516" s="47">
        <f>IF(AND(H1516="Realizado",OR(L1516="",M1516="")),1,0)</f>
        <v>0</v>
      </c>
    </row>
    <row r="1517">
      <c r="A1517" s="43" t="n"/>
      <c r="B1517" s="44" t="n"/>
      <c r="C1517" s="38" t="n"/>
      <c r="D1517" s="38" t="n"/>
      <c r="E1517" s="37" t="n"/>
      <c r="F1517" s="38" t="n"/>
      <c r="G1517" s="38" t="n"/>
      <c r="H1517" s="38" t="n"/>
      <c r="I1517" s="38" t="n"/>
      <c r="J1517" s="38" t="n"/>
      <c r="K1517" s="37" t="n"/>
      <c r="L1517" s="39" t="n"/>
      <c r="M1517" s="40" t="n"/>
      <c r="N1517" s="30">
        <f>IF(A1517="","",MONTH(A1517))</f>
        <v/>
      </c>
      <c r="O1517" s="30">
        <f>IF(A1517="","",YEAR(A1517))</f>
        <v/>
      </c>
      <c r="P1517" s="30">
        <f>IF(A1517="","",CHOOSE(WEEKDAY(A1517,2),"Segunda","Terça","Quarta","Quinta","Sexta","Sábado","Domingo"))</f>
        <v/>
      </c>
      <c r="Q1517" s="30">
        <f>IF(B1517="","",IF(B1517&lt;TIME(12,0,0),"Manhã",IF(B1517&lt;TIME(18,0,0),"Tarde","Noite")))</f>
        <v/>
      </c>
      <c r="R1517" s="46">
        <f>IF(AND(H1517="Realizado",L1517&lt;&gt;"",A1517&lt;=Config!$B$9),L1517/60,0)</f>
        <v>0</v>
      </c>
      <c r="S1517" s="45">
        <f>IF(G1517="","",IFERROR(INDEX(Config!$K$5:$K$16,MATCH(G1517,Config!$J$5:$J$16,0)),""))</f>
        <v/>
      </c>
      <c r="T1517" s="31">
        <f>IF(OR(G1517="",F1517=""),"",IFERROR(INDEX(Config!$M$5:$R$16,MATCH(G1517,Config!$J$5:$J$16,0),MATCH(F1517,Config!$H$5:$H$10,0)),""))</f>
        <v/>
      </c>
      <c r="U1517" s="47">
        <f>IF(AND(H1517="Realizado",L1517&lt;&gt;""),L1517/60,0)</f>
        <v>0</v>
      </c>
      <c r="V1517" s="47">
        <f>IF(AND(H1517="Realizado",OR(L1517="",M1517="")),1,0)</f>
        <v>0</v>
      </c>
    </row>
    <row r="1518">
      <c r="A1518" s="43" t="n"/>
      <c r="B1518" s="44" t="n"/>
      <c r="C1518" s="38" t="n"/>
      <c r="D1518" s="38" t="n"/>
      <c r="E1518" s="37" t="n"/>
      <c r="F1518" s="38" t="n"/>
      <c r="G1518" s="38" t="n"/>
      <c r="H1518" s="38" t="n"/>
      <c r="I1518" s="38" t="n"/>
      <c r="J1518" s="38" t="n"/>
      <c r="K1518" s="37" t="n"/>
      <c r="L1518" s="39" t="n"/>
      <c r="M1518" s="40" t="n"/>
      <c r="N1518" s="30">
        <f>IF(A1518="","",MONTH(A1518))</f>
        <v/>
      </c>
      <c r="O1518" s="30">
        <f>IF(A1518="","",YEAR(A1518))</f>
        <v/>
      </c>
      <c r="P1518" s="30">
        <f>IF(A1518="","",CHOOSE(WEEKDAY(A1518,2),"Segunda","Terça","Quarta","Quinta","Sexta","Sábado","Domingo"))</f>
        <v/>
      </c>
      <c r="Q1518" s="30">
        <f>IF(B1518="","",IF(B1518&lt;TIME(12,0,0),"Manhã",IF(B1518&lt;TIME(18,0,0),"Tarde","Noite")))</f>
        <v/>
      </c>
      <c r="R1518" s="46">
        <f>IF(AND(H1518="Realizado",L1518&lt;&gt;"",A1518&lt;=Config!$B$9),L1518/60,0)</f>
        <v>0</v>
      </c>
      <c r="S1518" s="45">
        <f>IF(G1518="","",IFERROR(INDEX(Config!$K$5:$K$16,MATCH(G1518,Config!$J$5:$J$16,0)),""))</f>
        <v/>
      </c>
      <c r="T1518" s="31">
        <f>IF(OR(G1518="",F1518=""),"",IFERROR(INDEX(Config!$M$5:$R$16,MATCH(G1518,Config!$J$5:$J$16,0),MATCH(F1518,Config!$H$5:$H$10,0)),""))</f>
        <v/>
      </c>
      <c r="U1518" s="47">
        <f>IF(AND(H1518="Realizado",L1518&lt;&gt;""),L1518/60,0)</f>
        <v>0</v>
      </c>
      <c r="V1518" s="47">
        <f>IF(AND(H1518="Realizado",OR(L1518="",M1518="")),1,0)</f>
        <v>0</v>
      </c>
    </row>
    <row r="1519">
      <c r="A1519" s="43" t="n"/>
      <c r="B1519" s="44" t="n"/>
      <c r="C1519" s="38" t="n"/>
      <c r="D1519" s="38" t="n"/>
      <c r="E1519" s="37" t="n"/>
      <c r="F1519" s="38" t="n"/>
      <c r="G1519" s="38" t="n"/>
      <c r="H1519" s="38" t="n"/>
      <c r="I1519" s="38" t="n"/>
      <c r="J1519" s="38" t="n"/>
      <c r="K1519" s="37" t="n"/>
      <c r="L1519" s="39" t="n"/>
      <c r="M1519" s="40" t="n"/>
      <c r="N1519" s="30">
        <f>IF(A1519="","",MONTH(A1519))</f>
        <v/>
      </c>
      <c r="O1519" s="30">
        <f>IF(A1519="","",YEAR(A1519))</f>
        <v/>
      </c>
      <c r="P1519" s="30">
        <f>IF(A1519="","",CHOOSE(WEEKDAY(A1519,2),"Segunda","Terça","Quarta","Quinta","Sexta","Sábado","Domingo"))</f>
        <v/>
      </c>
      <c r="Q1519" s="30">
        <f>IF(B1519="","",IF(B1519&lt;TIME(12,0,0),"Manhã",IF(B1519&lt;TIME(18,0,0),"Tarde","Noite")))</f>
        <v/>
      </c>
      <c r="R1519" s="46">
        <f>IF(AND(H1519="Realizado",L1519&lt;&gt;"",A1519&lt;=Config!$B$9),L1519/60,0)</f>
        <v>0</v>
      </c>
      <c r="S1519" s="45">
        <f>IF(G1519="","",IFERROR(INDEX(Config!$K$5:$K$16,MATCH(G1519,Config!$J$5:$J$16,0)),""))</f>
        <v/>
      </c>
      <c r="T1519" s="31">
        <f>IF(OR(G1519="",F1519=""),"",IFERROR(INDEX(Config!$M$5:$R$16,MATCH(G1519,Config!$J$5:$J$16,0),MATCH(F1519,Config!$H$5:$H$10,0)),""))</f>
        <v/>
      </c>
      <c r="U1519" s="47">
        <f>IF(AND(H1519="Realizado",L1519&lt;&gt;""),L1519/60,0)</f>
        <v>0</v>
      </c>
      <c r="V1519" s="47">
        <f>IF(AND(H1519="Realizado",OR(L1519="",M1519="")),1,0)</f>
        <v>0</v>
      </c>
    </row>
    <row r="1520">
      <c r="A1520" s="43" t="n"/>
      <c r="B1520" s="44" t="n"/>
      <c r="C1520" s="38" t="n"/>
      <c r="D1520" s="38" t="n"/>
      <c r="E1520" s="37" t="n"/>
      <c r="F1520" s="38" t="n"/>
      <c r="G1520" s="38" t="n"/>
      <c r="H1520" s="38" t="n"/>
      <c r="I1520" s="38" t="n"/>
      <c r="J1520" s="38" t="n"/>
      <c r="K1520" s="37" t="n"/>
      <c r="L1520" s="39" t="n"/>
      <c r="M1520" s="40" t="n"/>
      <c r="N1520" s="30">
        <f>IF(A1520="","",MONTH(A1520))</f>
        <v/>
      </c>
      <c r="O1520" s="30">
        <f>IF(A1520="","",YEAR(A1520))</f>
        <v/>
      </c>
      <c r="P1520" s="30">
        <f>IF(A1520="","",CHOOSE(WEEKDAY(A1520,2),"Segunda","Terça","Quarta","Quinta","Sexta","Sábado","Domingo"))</f>
        <v/>
      </c>
      <c r="Q1520" s="30">
        <f>IF(B1520="","",IF(B1520&lt;TIME(12,0,0),"Manhã",IF(B1520&lt;TIME(18,0,0),"Tarde","Noite")))</f>
        <v/>
      </c>
      <c r="R1520" s="46">
        <f>IF(AND(H1520="Realizado",L1520&lt;&gt;"",A1520&lt;=Config!$B$9),L1520/60,0)</f>
        <v>0</v>
      </c>
      <c r="S1520" s="45">
        <f>IF(G1520="","",IFERROR(INDEX(Config!$K$5:$K$16,MATCH(G1520,Config!$J$5:$J$16,0)),""))</f>
        <v/>
      </c>
      <c r="T1520" s="31">
        <f>IF(OR(G1520="",F1520=""),"",IFERROR(INDEX(Config!$M$5:$R$16,MATCH(G1520,Config!$J$5:$J$16,0),MATCH(F1520,Config!$H$5:$H$10,0)),""))</f>
        <v/>
      </c>
      <c r="U1520" s="47">
        <f>IF(AND(H1520="Realizado",L1520&lt;&gt;""),L1520/60,0)</f>
        <v>0</v>
      </c>
      <c r="V1520" s="47">
        <f>IF(AND(H1520="Realizado",OR(L1520="",M1520="")),1,0)</f>
        <v>0</v>
      </c>
    </row>
    <row r="1521">
      <c r="A1521" s="43" t="n"/>
      <c r="B1521" s="44" t="n"/>
      <c r="C1521" s="38" t="n"/>
      <c r="D1521" s="38" t="n"/>
      <c r="E1521" s="37" t="n"/>
      <c r="F1521" s="38" t="n"/>
      <c r="G1521" s="38" t="n"/>
      <c r="H1521" s="38" t="n"/>
      <c r="I1521" s="38" t="n"/>
      <c r="J1521" s="38" t="n"/>
      <c r="K1521" s="37" t="n"/>
      <c r="L1521" s="39" t="n"/>
      <c r="M1521" s="40" t="n"/>
      <c r="N1521" s="30">
        <f>IF(A1521="","",MONTH(A1521))</f>
        <v/>
      </c>
      <c r="O1521" s="30">
        <f>IF(A1521="","",YEAR(A1521))</f>
        <v/>
      </c>
      <c r="P1521" s="30">
        <f>IF(A1521="","",CHOOSE(WEEKDAY(A1521,2),"Segunda","Terça","Quarta","Quinta","Sexta","Sábado","Domingo"))</f>
        <v/>
      </c>
      <c r="Q1521" s="30">
        <f>IF(B1521="","",IF(B1521&lt;TIME(12,0,0),"Manhã",IF(B1521&lt;TIME(18,0,0),"Tarde","Noite")))</f>
        <v/>
      </c>
      <c r="R1521" s="46">
        <f>IF(AND(H1521="Realizado",L1521&lt;&gt;"",A1521&lt;=Config!$B$9),L1521/60,0)</f>
        <v>0</v>
      </c>
      <c r="S1521" s="45">
        <f>IF(G1521="","",IFERROR(INDEX(Config!$K$5:$K$16,MATCH(G1521,Config!$J$5:$J$16,0)),""))</f>
        <v/>
      </c>
      <c r="T1521" s="31">
        <f>IF(OR(G1521="",F1521=""),"",IFERROR(INDEX(Config!$M$5:$R$16,MATCH(G1521,Config!$J$5:$J$16,0),MATCH(F1521,Config!$H$5:$H$10,0)),""))</f>
        <v/>
      </c>
      <c r="U1521" s="47">
        <f>IF(AND(H1521="Realizado",L1521&lt;&gt;""),L1521/60,0)</f>
        <v>0</v>
      </c>
      <c r="V1521" s="47">
        <f>IF(AND(H1521="Realizado",OR(L1521="",M1521="")),1,0)</f>
        <v>0</v>
      </c>
    </row>
    <row r="1522">
      <c r="A1522" s="43" t="n"/>
      <c r="B1522" s="44" t="n"/>
      <c r="C1522" s="38" t="n"/>
      <c r="D1522" s="38" t="n"/>
      <c r="E1522" s="37" t="n"/>
      <c r="F1522" s="38" t="n"/>
      <c r="G1522" s="38" t="n"/>
      <c r="H1522" s="38" t="n"/>
      <c r="I1522" s="38" t="n"/>
      <c r="J1522" s="38" t="n"/>
      <c r="K1522" s="37" t="n"/>
      <c r="L1522" s="39" t="n"/>
      <c r="M1522" s="40" t="n"/>
      <c r="N1522" s="30">
        <f>IF(A1522="","",MONTH(A1522))</f>
        <v/>
      </c>
      <c r="O1522" s="30">
        <f>IF(A1522="","",YEAR(A1522))</f>
        <v/>
      </c>
      <c r="P1522" s="30">
        <f>IF(A1522="","",CHOOSE(WEEKDAY(A1522,2),"Segunda","Terça","Quarta","Quinta","Sexta","Sábado","Domingo"))</f>
        <v/>
      </c>
      <c r="Q1522" s="30">
        <f>IF(B1522="","",IF(B1522&lt;TIME(12,0,0),"Manhã",IF(B1522&lt;TIME(18,0,0),"Tarde","Noite")))</f>
        <v/>
      </c>
      <c r="R1522" s="46">
        <f>IF(AND(H1522="Realizado",L1522&lt;&gt;"",A1522&lt;=Config!$B$9),L1522/60,0)</f>
        <v>0</v>
      </c>
      <c r="S1522" s="45">
        <f>IF(G1522="","",IFERROR(INDEX(Config!$K$5:$K$16,MATCH(G1522,Config!$J$5:$J$16,0)),""))</f>
        <v/>
      </c>
      <c r="T1522" s="31">
        <f>IF(OR(G1522="",F1522=""),"",IFERROR(INDEX(Config!$M$5:$R$16,MATCH(G1522,Config!$J$5:$J$16,0),MATCH(F1522,Config!$H$5:$H$10,0)),""))</f>
        <v/>
      </c>
      <c r="U1522" s="47">
        <f>IF(AND(H1522="Realizado",L1522&lt;&gt;""),L1522/60,0)</f>
        <v>0</v>
      </c>
      <c r="V1522" s="47">
        <f>IF(AND(H1522="Realizado",OR(L1522="",M1522="")),1,0)</f>
        <v>0</v>
      </c>
    </row>
    <row r="1523">
      <c r="A1523" s="43" t="n"/>
      <c r="B1523" s="44" t="n"/>
      <c r="C1523" s="38" t="n"/>
      <c r="D1523" s="38" t="n"/>
      <c r="E1523" s="37" t="n"/>
      <c r="F1523" s="38" t="n"/>
      <c r="G1523" s="38" t="n"/>
      <c r="H1523" s="38" t="n"/>
      <c r="I1523" s="38" t="n"/>
      <c r="J1523" s="38" t="n"/>
      <c r="K1523" s="37" t="n"/>
      <c r="L1523" s="39" t="n"/>
      <c r="M1523" s="40" t="n"/>
      <c r="N1523" s="30">
        <f>IF(A1523="","",MONTH(A1523))</f>
        <v/>
      </c>
      <c r="O1523" s="30">
        <f>IF(A1523="","",YEAR(A1523))</f>
        <v/>
      </c>
      <c r="P1523" s="30">
        <f>IF(A1523="","",CHOOSE(WEEKDAY(A1523,2),"Segunda","Terça","Quarta","Quinta","Sexta","Sábado","Domingo"))</f>
        <v/>
      </c>
      <c r="Q1523" s="30">
        <f>IF(B1523="","",IF(B1523&lt;TIME(12,0,0),"Manhã",IF(B1523&lt;TIME(18,0,0),"Tarde","Noite")))</f>
        <v/>
      </c>
      <c r="R1523" s="46">
        <f>IF(AND(H1523="Realizado",L1523&lt;&gt;"",A1523&lt;=Config!$B$9),L1523/60,0)</f>
        <v>0</v>
      </c>
      <c r="S1523" s="45">
        <f>IF(G1523="","",IFERROR(INDEX(Config!$K$5:$K$16,MATCH(G1523,Config!$J$5:$J$16,0)),""))</f>
        <v/>
      </c>
      <c r="T1523" s="31">
        <f>IF(OR(G1523="",F1523=""),"",IFERROR(INDEX(Config!$M$5:$R$16,MATCH(G1523,Config!$J$5:$J$16,0),MATCH(F1523,Config!$H$5:$H$10,0)),""))</f>
        <v/>
      </c>
      <c r="U1523" s="47">
        <f>IF(AND(H1523="Realizado",L1523&lt;&gt;""),L1523/60,0)</f>
        <v>0</v>
      </c>
      <c r="V1523" s="47">
        <f>IF(AND(H1523="Realizado",OR(L1523="",M1523="")),1,0)</f>
        <v>0</v>
      </c>
    </row>
    <row r="1524">
      <c r="A1524" s="43" t="n"/>
      <c r="B1524" s="44" t="n"/>
      <c r="C1524" s="38" t="n"/>
      <c r="D1524" s="38" t="n"/>
      <c r="E1524" s="37" t="n"/>
      <c r="F1524" s="38" t="n"/>
      <c r="G1524" s="38" t="n"/>
      <c r="H1524" s="38" t="n"/>
      <c r="I1524" s="38" t="n"/>
      <c r="J1524" s="38" t="n"/>
      <c r="K1524" s="37" t="n"/>
      <c r="L1524" s="39" t="n"/>
      <c r="M1524" s="40" t="n"/>
      <c r="N1524" s="30">
        <f>IF(A1524="","",MONTH(A1524))</f>
        <v/>
      </c>
      <c r="O1524" s="30">
        <f>IF(A1524="","",YEAR(A1524))</f>
        <v/>
      </c>
      <c r="P1524" s="30">
        <f>IF(A1524="","",CHOOSE(WEEKDAY(A1524,2),"Segunda","Terça","Quarta","Quinta","Sexta","Sábado","Domingo"))</f>
        <v/>
      </c>
      <c r="Q1524" s="30">
        <f>IF(B1524="","",IF(B1524&lt;TIME(12,0,0),"Manhã",IF(B1524&lt;TIME(18,0,0),"Tarde","Noite")))</f>
        <v/>
      </c>
      <c r="R1524" s="46">
        <f>IF(AND(H1524="Realizado",L1524&lt;&gt;"",A1524&lt;=Config!$B$9),L1524/60,0)</f>
        <v>0</v>
      </c>
      <c r="S1524" s="45">
        <f>IF(G1524="","",IFERROR(INDEX(Config!$K$5:$K$16,MATCH(G1524,Config!$J$5:$J$16,0)),""))</f>
        <v/>
      </c>
      <c r="T1524" s="31">
        <f>IF(OR(G1524="",F1524=""),"",IFERROR(INDEX(Config!$M$5:$R$16,MATCH(G1524,Config!$J$5:$J$16,0),MATCH(F1524,Config!$H$5:$H$10,0)),""))</f>
        <v/>
      </c>
      <c r="U1524" s="47">
        <f>IF(AND(H1524="Realizado",L1524&lt;&gt;""),L1524/60,0)</f>
        <v>0</v>
      </c>
      <c r="V1524" s="47">
        <f>IF(AND(H1524="Realizado",OR(L1524="",M1524="")),1,0)</f>
        <v>0</v>
      </c>
    </row>
    <row r="1525">
      <c r="A1525" s="43" t="n"/>
      <c r="B1525" s="44" t="n"/>
      <c r="C1525" s="38" t="n"/>
      <c r="D1525" s="38" t="n"/>
      <c r="E1525" s="37" t="n"/>
      <c r="F1525" s="38" t="n"/>
      <c r="G1525" s="38" t="n"/>
      <c r="H1525" s="38" t="n"/>
      <c r="I1525" s="38" t="n"/>
      <c r="J1525" s="38" t="n"/>
      <c r="K1525" s="37" t="n"/>
      <c r="L1525" s="39" t="n"/>
      <c r="M1525" s="40" t="n"/>
      <c r="N1525" s="30">
        <f>IF(A1525="","",MONTH(A1525))</f>
        <v/>
      </c>
      <c r="O1525" s="30">
        <f>IF(A1525="","",YEAR(A1525))</f>
        <v/>
      </c>
      <c r="P1525" s="30">
        <f>IF(A1525="","",CHOOSE(WEEKDAY(A1525,2),"Segunda","Terça","Quarta","Quinta","Sexta","Sábado","Domingo"))</f>
        <v/>
      </c>
      <c r="Q1525" s="30">
        <f>IF(B1525="","",IF(B1525&lt;TIME(12,0,0),"Manhã",IF(B1525&lt;TIME(18,0,0),"Tarde","Noite")))</f>
        <v/>
      </c>
      <c r="R1525" s="46">
        <f>IF(AND(H1525="Realizado",L1525&lt;&gt;"",A1525&lt;=Config!$B$9),L1525/60,0)</f>
        <v>0</v>
      </c>
      <c r="S1525" s="45">
        <f>IF(G1525="","",IFERROR(INDEX(Config!$K$5:$K$16,MATCH(G1525,Config!$J$5:$J$16,0)),""))</f>
        <v/>
      </c>
      <c r="T1525" s="31">
        <f>IF(OR(G1525="",F1525=""),"",IFERROR(INDEX(Config!$M$5:$R$16,MATCH(G1525,Config!$J$5:$J$16,0),MATCH(F1525,Config!$H$5:$H$10,0)),""))</f>
        <v/>
      </c>
      <c r="U1525" s="47">
        <f>IF(AND(H1525="Realizado",L1525&lt;&gt;""),L1525/60,0)</f>
        <v>0</v>
      </c>
      <c r="V1525" s="47">
        <f>IF(AND(H1525="Realizado",OR(L1525="",M1525="")),1,0)</f>
        <v>0</v>
      </c>
    </row>
    <row r="1526">
      <c r="A1526" s="43" t="n"/>
      <c r="B1526" s="44" t="n"/>
      <c r="C1526" s="38" t="n"/>
      <c r="D1526" s="38" t="n"/>
      <c r="E1526" s="37" t="n"/>
      <c r="F1526" s="38" t="n"/>
      <c r="G1526" s="38" t="n"/>
      <c r="H1526" s="38" t="n"/>
      <c r="I1526" s="38" t="n"/>
      <c r="J1526" s="38" t="n"/>
      <c r="K1526" s="37" t="n"/>
      <c r="L1526" s="39" t="n"/>
      <c r="M1526" s="40" t="n"/>
      <c r="N1526" s="30">
        <f>IF(A1526="","",MONTH(A1526))</f>
        <v/>
      </c>
      <c r="O1526" s="30">
        <f>IF(A1526="","",YEAR(A1526))</f>
        <v/>
      </c>
      <c r="P1526" s="30">
        <f>IF(A1526="","",CHOOSE(WEEKDAY(A1526,2),"Segunda","Terça","Quarta","Quinta","Sexta","Sábado","Domingo"))</f>
        <v/>
      </c>
      <c r="Q1526" s="30">
        <f>IF(B1526="","",IF(B1526&lt;TIME(12,0,0),"Manhã",IF(B1526&lt;TIME(18,0,0),"Tarde","Noite")))</f>
        <v/>
      </c>
      <c r="R1526" s="46">
        <f>IF(AND(H1526="Realizado",L1526&lt;&gt;"",A1526&lt;=Config!$B$9),L1526/60,0)</f>
        <v>0</v>
      </c>
      <c r="S1526" s="45">
        <f>IF(G1526="","",IFERROR(INDEX(Config!$K$5:$K$16,MATCH(G1526,Config!$J$5:$J$16,0)),""))</f>
        <v/>
      </c>
      <c r="T1526" s="31">
        <f>IF(OR(G1526="",F1526=""),"",IFERROR(INDEX(Config!$M$5:$R$16,MATCH(G1526,Config!$J$5:$J$16,0),MATCH(F1526,Config!$H$5:$H$10,0)),""))</f>
        <v/>
      </c>
      <c r="U1526" s="47">
        <f>IF(AND(H1526="Realizado",L1526&lt;&gt;""),L1526/60,0)</f>
        <v>0</v>
      </c>
      <c r="V1526" s="47">
        <f>IF(AND(H1526="Realizado",OR(L1526="",M1526="")),1,0)</f>
        <v>0</v>
      </c>
    </row>
    <row r="1527">
      <c r="A1527" s="43" t="n"/>
      <c r="B1527" s="44" t="n"/>
      <c r="C1527" s="38" t="n"/>
      <c r="D1527" s="38" t="n"/>
      <c r="E1527" s="37" t="n"/>
      <c r="F1527" s="38" t="n"/>
      <c r="G1527" s="38" t="n"/>
      <c r="H1527" s="38" t="n"/>
      <c r="I1527" s="38" t="n"/>
      <c r="J1527" s="38" t="n"/>
      <c r="K1527" s="37" t="n"/>
      <c r="L1527" s="39" t="n"/>
      <c r="M1527" s="40" t="n"/>
      <c r="N1527" s="30">
        <f>IF(A1527="","",MONTH(A1527))</f>
        <v/>
      </c>
      <c r="O1527" s="30">
        <f>IF(A1527="","",YEAR(A1527))</f>
        <v/>
      </c>
      <c r="P1527" s="30">
        <f>IF(A1527="","",CHOOSE(WEEKDAY(A1527,2),"Segunda","Terça","Quarta","Quinta","Sexta","Sábado","Domingo"))</f>
        <v/>
      </c>
      <c r="Q1527" s="30">
        <f>IF(B1527="","",IF(B1527&lt;TIME(12,0,0),"Manhã",IF(B1527&lt;TIME(18,0,0),"Tarde","Noite")))</f>
        <v/>
      </c>
      <c r="R1527" s="46">
        <f>IF(AND(H1527="Realizado",L1527&lt;&gt;"",A1527&lt;=Config!$B$9),L1527/60,0)</f>
        <v>0</v>
      </c>
      <c r="S1527" s="45">
        <f>IF(G1527="","",IFERROR(INDEX(Config!$K$5:$K$16,MATCH(G1527,Config!$J$5:$J$16,0)),""))</f>
        <v/>
      </c>
      <c r="T1527" s="31">
        <f>IF(OR(G1527="",F1527=""),"",IFERROR(INDEX(Config!$M$5:$R$16,MATCH(G1527,Config!$J$5:$J$16,0),MATCH(F1527,Config!$H$5:$H$10,0)),""))</f>
        <v/>
      </c>
      <c r="U1527" s="47">
        <f>IF(AND(H1527="Realizado",L1527&lt;&gt;""),L1527/60,0)</f>
        <v>0</v>
      </c>
      <c r="V1527" s="47">
        <f>IF(AND(H1527="Realizado",OR(L1527="",M1527="")),1,0)</f>
        <v>0</v>
      </c>
    </row>
    <row r="1528">
      <c r="A1528" s="43" t="n"/>
      <c r="B1528" s="44" t="n"/>
      <c r="C1528" s="38" t="n"/>
      <c r="D1528" s="38" t="n"/>
      <c r="E1528" s="37" t="n"/>
      <c r="F1528" s="38" t="n"/>
      <c r="G1528" s="38" t="n"/>
      <c r="H1528" s="38" t="n"/>
      <c r="I1528" s="38" t="n"/>
      <c r="J1528" s="38" t="n"/>
      <c r="K1528" s="37" t="n"/>
      <c r="L1528" s="39" t="n"/>
      <c r="M1528" s="40" t="n"/>
      <c r="N1528" s="30">
        <f>IF(A1528="","",MONTH(A1528))</f>
        <v/>
      </c>
      <c r="O1528" s="30">
        <f>IF(A1528="","",YEAR(A1528))</f>
        <v/>
      </c>
      <c r="P1528" s="30">
        <f>IF(A1528="","",CHOOSE(WEEKDAY(A1528,2),"Segunda","Terça","Quarta","Quinta","Sexta","Sábado","Domingo"))</f>
        <v/>
      </c>
      <c r="Q1528" s="30">
        <f>IF(B1528="","",IF(B1528&lt;TIME(12,0,0),"Manhã",IF(B1528&lt;TIME(18,0,0),"Tarde","Noite")))</f>
        <v/>
      </c>
      <c r="R1528" s="46">
        <f>IF(AND(H1528="Realizado",L1528&lt;&gt;"",A1528&lt;=Config!$B$9),L1528/60,0)</f>
        <v>0</v>
      </c>
      <c r="S1528" s="45">
        <f>IF(G1528="","",IFERROR(INDEX(Config!$K$5:$K$16,MATCH(G1528,Config!$J$5:$J$16,0)),""))</f>
        <v/>
      </c>
      <c r="T1528" s="31">
        <f>IF(OR(G1528="",F1528=""),"",IFERROR(INDEX(Config!$M$5:$R$16,MATCH(G1528,Config!$J$5:$J$16,0),MATCH(F1528,Config!$H$5:$H$10,0)),""))</f>
        <v/>
      </c>
      <c r="U1528" s="47">
        <f>IF(AND(H1528="Realizado",L1528&lt;&gt;""),L1528/60,0)</f>
        <v>0</v>
      </c>
      <c r="V1528" s="47">
        <f>IF(AND(H1528="Realizado",OR(L1528="",M1528="")),1,0)</f>
        <v>0</v>
      </c>
    </row>
    <row r="1529">
      <c r="A1529" s="43" t="n"/>
      <c r="B1529" s="44" t="n"/>
      <c r="C1529" s="38" t="n"/>
      <c r="D1529" s="38" t="n"/>
      <c r="E1529" s="37" t="n"/>
      <c r="F1529" s="38" t="n"/>
      <c r="G1529" s="38" t="n"/>
      <c r="H1529" s="38" t="n"/>
      <c r="I1529" s="38" t="n"/>
      <c r="J1529" s="38" t="n"/>
      <c r="K1529" s="37" t="n"/>
      <c r="L1529" s="39" t="n"/>
      <c r="M1529" s="40" t="n"/>
      <c r="N1529" s="30">
        <f>IF(A1529="","",MONTH(A1529))</f>
        <v/>
      </c>
      <c r="O1529" s="30">
        <f>IF(A1529="","",YEAR(A1529))</f>
        <v/>
      </c>
      <c r="P1529" s="30">
        <f>IF(A1529="","",CHOOSE(WEEKDAY(A1529,2),"Segunda","Terça","Quarta","Quinta","Sexta","Sábado","Domingo"))</f>
        <v/>
      </c>
      <c r="Q1529" s="30">
        <f>IF(B1529="","",IF(B1529&lt;TIME(12,0,0),"Manhã",IF(B1529&lt;TIME(18,0,0),"Tarde","Noite")))</f>
        <v/>
      </c>
      <c r="R1529" s="46">
        <f>IF(AND(H1529="Realizado",L1529&lt;&gt;"",A1529&lt;=Config!$B$9),L1529/60,0)</f>
        <v>0</v>
      </c>
      <c r="S1529" s="45">
        <f>IF(G1529="","",IFERROR(INDEX(Config!$K$5:$K$16,MATCH(G1529,Config!$J$5:$J$16,0)),""))</f>
        <v/>
      </c>
      <c r="T1529" s="31">
        <f>IF(OR(G1529="",F1529=""),"",IFERROR(INDEX(Config!$M$5:$R$16,MATCH(G1529,Config!$J$5:$J$16,0),MATCH(F1529,Config!$H$5:$H$10,0)),""))</f>
        <v/>
      </c>
      <c r="U1529" s="47">
        <f>IF(AND(H1529="Realizado",L1529&lt;&gt;""),L1529/60,0)</f>
        <v>0</v>
      </c>
      <c r="V1529" s="47">
        <f>IF(AND(H1529="Realizado",OR(L1529="",M1529="")),1,0)</f>
        <v>0</v>
      </c>
    </row>
    <row r="1530">
      <c r="A1530" s="43" t="n"/>
      <c r="B1530" s="44" t="n"/>
      <c r="C1530" s="38" t="n"/>
      <c r="D1530" s="38" t="n"/>
      <c r="E1530" s="37" t="n"/>
      <c r="F1530" s="38" t="n"/>
      <c r="G1530" s="38" t="n"/>
      <c r="H1530" s="38" t="n"/>
      <c r="I1530" s="38" t="n"/>
      <c r="J1530" s="38" t="n"/>
      <c r="K1530" s="37" t="n"/>
      <c r="L1530" s="39" t="n"/>
      <c r="M1530" s="40" t="n"/>
      <c r="N1530" s="30">
        <f>IF(A1530="","",MONTH(A1530))</f>
        <v/>
      </c>
      <c r="O1530" s="30">
        <f>IF(A1530="","",YEAR(A1530))</f>
        <v/>
      </c>
      <c r="P1530" s="30">
        <f>IF(A1530="","",CHOOSE(WEEKDAY(A1530,2),"Segunda","Terça","Quarta","Quinta","Sexta","Sábado","Domingo"))</f>
        <v/>
      </c>
      <c r="Q1530" s="30">
        <f>IF(B1530="","",IF(B1530&lt;TIME(12,0,0),"Manhã",IF(B1530&lt;TIME(18,0,0),"Tarde","Noite")))</f>
        <v/>
      </c>
      <c r="R1530" s="46">
        <f>IF(AND(H1530="Realizado",L1530&lt;&gt;"",A1530&lt;=Config!$B$9),L1530/60,0)</f>
        <v>0</v>
      </c>
      <c r="S1530" s="45">
        <f>IF(G1530="","",IFERROR(INDEX(Config!$K$5:$K$16,MATCH(G1530,Config!$J$5:$J$16,0)),""))</f>
        <v/>
      </c>
      <c r="T1530" s="31">
        <f>IF(OR(G1530="",F1530=""),"",IFERROR(INDEX(Config!$M$5:$R$16,MATCH(G1530,Config!$J$5:$J$16,0),MATCH(F1530,Config!$H$5:$H$10,0)),""))</f>
        <v/>
      </c>
      <c r="U1530" s="47">
        <f>IF(AND(H1530="Realizado",L1530&lt;&gt;""),L1530/60,0)</f>
        <v>0</v>
      </c>
      <c r="V1530" s="47">
        <f>IF(AND(H1530="Realizado",OR(L1530="",M1530="")),1,0)</f>
        <v>0</v>
      </c>
    </row>
    <row r="1531">
      <c r="A1531" s="43" t="n"/>
      <c r="B1531" s="44" t="n"/>
      <c r="C1531" s="38" t="n"/>
      <c r="D1531" s="38" t="n"/>
      <c r="E1531" s="37" t="n"/>
      <c r="F1531" s="38" t="n"/>
      <c r="G1531" s="38" t="n"/>
      <c r="H1531" s="38" t="n"/>
      <c r="I1531" s="38" t="n"/>
      <c r="J1531" s="38" t="n"/>
      <c r="K1531" s="37" t="n"/>
      <c r="L1531" s="39" t="n"/>
      <c r="M1531" s="40" t="n"/>
      <c r="N1531" s="30">
        <f>IF(A1531="","",MONTH(A1531))</f>
        <v/>
      </c>
      <c r="O1531" s="30">
        <f>IF(A1531="","",YEAR(A1531))</f>
        <v/>
      </c>
      <c r="P1531" s="30">
        <f>IF(A1531="","",CHOOSE(WEEKDAY(A1531,2),"Segunda","Terça","Quarta","Quinta","Sexta","Sábado","Domingo"))</f>
        <v/>
      </c>
      <c r="Q1531" s="30">
        <f>IF(B1531="","",IF(B1531&lt;TIME(12,0,0),"Manhã",IF(B1531&lt;TIME(18,0,0),"Tarde","Noite")))</f>
        <v/>
      </c>
      <c r="R1531" s="46">
        <f>IF(AND(H1531="Realizado",L1531&lt;&gt;"",A1531&lt;=Config!$B$9),L1531/60,0)</f>
        <v>0</v>
      </c>
      <c r="S1531" s="45">
        <f>IF(G1531="","",IFERROR(INDEX(Config!$K$5:$K$16,MATCH(G1531,Config!$J$5:$J$16,0)),""))</f>
        <v/>
      </c>
      <c r="T1531" s="31">
        <f>IF(OR(G1531="",F1531=""),"",IFERROR(INDEX(Config!$M$5:$R$16,MATCH(G1531,Config!$J$5:$J$16,0),MATCH(F1531,Config!$H$5:$H$10,0)),""))</f>
        <v/>
      </c>
      <c r="U1531" s="47">
        <f>IF(AND(H1531="Realizado",L1531&lt;&gt;""),L1531/60,0)</f>
        <v>0</v>
      </c>
      <c r="V1531" s="47">
        <f>IF(AND(H1531="Realizado",OR(L1531="",M1531="")),1,0)</f>
        <v>0</v>
      </c>
    </row>
    <row r="1532">
      <c r="A1532" s="43" t="n"/>
      <c r="B1532" s="44" t="n"/>
      <c r="C1532" s="38" t="n"/>
      <c r="D1532" s="38" t="n"/>
      <c r="E1532" s="37" t="n"/>
      <c r="F1532" s="38" t="n"/>
      <c r="G1532" s="38" t="n"/>
      <c r="H1532" s="38" t="n"/>
      <c r="I1532" s="38" t="n"/>
      <c r="J1532" s="38" t="n"/>
      <c r="K1532" s="37" t="n"/>
      <c r="L1532" s="39" t="n"/>
      <c r="M1532" s="40" t="n"/>
      <c r="N1532" s="30">
        <f>IF(A1532="","",MONTH(A1532))</f>
        <v/>
      </c>
      <c r="O1532" s="30">
        <f>IF(A1532="","",YEAR(A1532))</f>
        <v/>
      </c>
      <c r="P1532" s="30">
        <f>IF(A1532="","",CHOOSE(WEEKDAY(A1532,2),"Segunda","Terça","Quarta","Quinta","Sexta","Sábado","Domingo"))</f>
        <v/>
      </c>
      <c r="Q1532" s="30">
        <f>IF(B1532="","",IF(B1532&lt;TIME(12,0,0),"Manhã",IF(B1532&lt;TIME(18,0,0),"Tarde","Noite")))</f>
        <v/>
      </c>
      <c r="R1532" s="46">
        <f>IF(AND(H1532="Realizado",L1532&lt;&gt;"",A1532&lt;=Config!$B$9),L1532/60,0)</f>
        <v>0</v>
      </c>
      <c r="S1532" s="45">
        <f>IF(G1532="","",IFERROR(INDEX(Config!$K$5:$K$16,MATCH(G1532,Config!$J$5:$J$16,0)),""))</f>
        <v/>
      </c>
      <c r="T1532" s="31">
        <f>IF(OR(G1532="",F1532=""),"",IFERROR(INDEX(Config!$M$5:$R$16,MATCH(G1532,Config!$J$5:$J$16,0),MATCH(F1532,Config!$H$5:$H$10,0)),""))</f>
        <v/>
      </c>
      <c r="U1532" s="47">
        <f>IF(AND(H1532="Realizado",L1532&lt;&gt;""),L1532/60,0)</f>
        <v>0</v>
      </c>
      <c r="V1532" s="47">
        <f>IF(AND(H1532="Realizado",OR(L1532="",M1532="")),1,0)</f>
        <v>0</v>
      </c>
    </row>
    <row r="1533">
      <c r="A1533" s="43" t="n"/>
      <c r="B1533" s="44" t="n"/>
      <c r="C1533" s="38" t="n"/>
      <c r="D1533" s="38" t="n"/>
      <c r="E1533" s="37" t="n"/>
      <c r="F1533" s="38" t="n"/>
      <c r="G1533" s="38" t="n"/>
      <c r="H1533" s="38" t="n"/>
      <c r="I1533" s="38" t="n"/>
      <c r="J1533" s="38" t="n"/>
      <c r="K1533" s="37" t="n"/>
      <c r="L1533" s="39" t="n"/>
      <c r="M1533" s="40" t="n"/>
      <c r="N1533" s="30">
        <f>IF(A1533="","",MONTH(A1533))</f>
        <v/>
      </c>
      <c r="O1533" s="30">
        <f>IF(A1533="","",YEAR(A1533))</f>
        <v/>
      </c>
      <c r="P1533" s="30">
        <f>IF(A1533="","",CHOOSE(WEEKDAY(A1533,2),"Segunda","Terça","Quarta","Quinta","Sexta","Sábado","Domingo"))</f>
        <v/>
      </c>
      <c r="Q1533" s="30">
        <f>IF(B1533="","",IF(B1533&lt;TIME(12,0,0),"Manhã",IF(B1533&lt;TIME(18,0,0),"Tarde","Noite")))</f>
        <v/>
      </c>
      <c r="R1533" s="46">
        <f>IF(AND(H1533="Realizado",L1533&lt;&gt;"",A1533&lt;=Config!$B$9),L1533/60,0)</f>
        <v>0</v>
      </c>
      <c r="S1533" s="45">
        <f>IF(G1533="","",IFERROR(INDEX(Config!$K$5:$K$16,MATCH(G1533,Config!$J$5:$J$16,0)),""))</f>
        <v/>
      </c>
      <c r="T1533" s="31">
        <f>IF(OR(G1533="",F1533=""),"",IFERROR(INDEX(Config!$M$5:$R$16,MATCH(G1533,Config!$J$5:$J$16,0),MATCH(F1533,Config!$H$5:$H$10,0)),""))</f>
        <v/>
      </c>
      <c r="U1533" s="47">
        <f>IF(AND(H1533="Realizado",L1533&lt;&gt;""),L1533/60,0)</f>
        <v>0</v>
      </c>
      <c r="V1533" s="47">
        <f>IF(AND(H1533="Realizado",OR(L1533="",M1533="")),1,0)</f>
        <v>0</v>
      </c>
    </row>
    <row r="1534">
      <c r="A1534" s="43" t="n"/>
      <c r="B1534" s="44" t="n"/>
      <c r="C1534" s="38" t="n"/>
      <c r="D1534" s="38" t="n"/>
      <c r="E1534" s="37" t="n"/>
      <c r="F1534" s="38" t="n"/>
      <c r="G1534" s="38" t="n"/>
      <c r="H1534" s="38" t="n"/>
      <c r="I1534" s="38" t="n"/>
      <c r="J1534" s="38" t="n"/>
      <c r="K1534" s="37" t="n"/>
      <c r="L1534" s="39" t="n"/>
      <c r="M1534" s="40" t="n"/>
      <c r="N1534" s="30">
        <f>IF(A1534="","",MONTH(A1534))</f>
        <v/>
      </c>
      <c r="O1534" s="30">
        <f>IF(A1534="","",YEAR(A1534))</f>
        <v/>
      </c>
      <c r="P1534" s="30">
        <f>IF(A1534="","",CHOOSE(WEEKDAY(A1534,2),"Segunda","Terça","Quarta","Quinta","Sexta","Sábado","Domingo"))</f>
        <v/>
      </c>
      <c r="Q1534" s="30">
        <f>IF(B1534="","",IF(B1534&lt;TIME(12,0,0),"Manhã",IF(B1534&lt;TIME(18,0,0),"Tarde","Noite")))</f>
        <v/>
      </c>
      <c r="R1534" s="46">
        <f>IF(AND(H1534="Realizado",L1534&lt;&gt;"",A1534&lt;=Config!$B$9),L1534/60,0)</f>
        <v>0</v>
      </c>
      <c r="S1534" s="45">
        <f>IF(G1534="","",IFERROR(INDEX(Config!$K$5:$K$16,MATCH(G1534,Config!$J$5:$J$16,0)),""))</f>
        <v/>
      </c>
      <c r="T1534" s="31">
        <f>IF(OR(G1534="",F1534=""),"",IFERROR(INDEX(Config!$M$5:$R$16,MATCH(G1534,Config!$J$5:$J$16,0),MATCH(F1534,Config!$H$5:$H$10,0)),""))</f>
        <v/>
      </c>
      <c r="U1534" s="47">
        <f>IF(AND(H1534="Realizado",L1534&lt;&gt;""),L1534/60,0)</f>
        <v>0</v>
      </c>
      <c r="V1534" s="47">
        <f>IF(AND(H1534="Realizado",OR(L1534="",M1534="")),1,0)</f>
        <v>0</v>
      </c>
    </row>
    <row r="1535">
      <c r="A1535" s="43" t="n"/>
      <c r="B1535" s="44" t="n"/>
      <c r="C1535" s="38" t="n"/>
      <c r="D1535" s="38" t="n"/>
      <c r="E1535" s="37" t="n"/>
      <c r="F1535" s="38" t="n"/>
      <c r="G1535" s="38" t="n"/>
      <c r="H1535" s="38" t="n"/>
      <c r="I1535" s="38" t="n"/>
      <c r="J1535" s="38" t="n"/>
      <c r="K1535" s="37" t="n"/>
      <c r="L1535" s="39" t="n"/>
      <c r="M1535" s="40" t="n"/>
      <c r="N1535" s="30">
        <f>IF(A1535="","",MONTH(A1535))</f>
        <v/>
      </c>
      <c r="O1535" s="30">
        <f>IF(A1535="","",YEAR(A1535))</f>
        <v/>
      </c>
      <c r="P1535" s="30">
        <f>IF(A1535="","",CHOOSE(WEEKDAY(A1535,2),"Segunda","Terça","Quarta","Quinta","Sexta","Sábado","Domingo"))</f>
        <v/>
      </c>
      <c r="Q1535" s="30">
        <f>IF(B1535="","",IF(B1535&lt;TIME(12,0,0),"Manhã",IF(B1535&lt;TIME(18,0,0),"Tarde","Noite")))</f>
        <v/>
      </c>
      <c r="R1535" s="46">
        <f>IF(AND(H1535="Realizado",L1535&lt;&gt;"",A1535&lt;=Config!$B$9),L1535/60,0)</f>
        <v>0</v>
      </c>
      <c r="S1535" s="45">
        <f>IF(G1535="","",IFERROR(INDEX(Config!$K$5:$K$16,MATCH(G1535,Config!$J$5:$J$16,0)),""))</f>
        <v/>
      </c>
      <c r="T1535" s="31">
        <f>IF(OR(G1535="",F1535=""),"",IFERROR(INDEX(Config!$M$5:$R$16,MATCH(G1535,Config!$J$5:$J$16,0),MATCH(F1535,Config!$H$5:$H$10,0)),""))</f>
        <v/>
      </c>
      <c r="U1535" s="47">
        <f>IF(AND(H1535="Realizado",L1535&lt;&gt;""),L1535/60,0)</f>
        <v>0</v>
      </c>
      <c r="V1535" s="47">
        <f>IF(AND(H1535="Realizado",OR(L1535="",M1535="")),1,0)</f>
        <v>0</v>
      </c>
    </row>
    <row r="1536">
      <c r="A1536" s="43" t="n"/>
      <c r="B1536" s="44" t="n"/>
      <c r="C1536" s="38" t="n"/>
      <c r="D1536" s="38" t="n"/>
      <c r="E1536" s="37" t="n"/>
      <c r="F1536" s="38" t="n"/>
      <c r="G1536" s="38" t="n"/>
      <c r="H1536" s="38" t="n"/>
      <c r="I1536" s="38" t="n"/>
      <c r="J1536" s="38" t="n"/>
      <c r="K1536" s="37" t="n"/>
      <c r="L1536" s="39" t="n"/>
      <c r="M1536" s="40" t="n"/>
      <c r="N1536" s="30">
        <f>IF(A1536="","",MONTH(A1536))</f>
        <v/>
      </c>
      <c r="O1536" s="30">
        <f>IF(A1536="","",YEAR(A1536))</f>
        <v/>
      </c>
      <c r="P1536" s="30">
        <f>IF(A1536="","",CHOOSE(WEEKDAY(A1536,2),"Segunda","Terça","Quarta","Quinta","Sexta","Sábado","Domingo"))</f>
        <v/>
      </c>
      <c r="Q1536" s="30">
        <f>IF(B1536="","",IF(B1536&lt;TIME(12,0,0),"Manhã",IF(B1536&lt;TIME(18,0,0),"Tarde","Noite")))</f>
        <v/>
      </c>
      <c r="R1536" s="46">
        <f>IF(AND(H1536="Realizado",L1536&lt;&gt;"",A1536&lt;=Config!$B$9),L1536/60,0)</f>
        <v>0</v>
      </c>
      <c r="S1536" s="45">
        <f>IF(G1536="","",IFERROR(INDEX(Config!$K$5:$K$16,MATCH(G1536,Config!$J$5:$J$16,0)),""))</f>
        <v/>
      </c>
      <c r="T1536" s="31">
        <f>IF(OR(G1536="",F1536=""),"",IFERROR(INDEX(Config!$M$5:$R$16,MATCH(G1536,Config!$J$5:$J$16,0),MATCH(F1536,Config!$H$5:$H$10,0)),""))</f>
        <v/>
      </c>
      <c r="U1536" s="47">
        <f>IF(AND(H1536="Realizado",L1536&lt;&gt;""),L1536/60,0)</f>
        <v>0</v>
      </c>
      <c r="V1536" s="47">
        <f>IF(AND(H1536="Realizado",OR(L1536="",M1536="")),1,0)</f>
        <v>0</v>
      </c>
    </row>
    <row r="1537">
      <c r="A1537" s="43" t="n"/>
      <c r="B1537" s="44" t="n"/>
      <c r="C1537" s="38" t="n"/>
      <c r="D1537" s="38" t="n"/>
      <c r="E1537" s="37" t="n"/>
      <c r="F1537" s="38" t="n"/>
      <c r="G1537" s="38" t="n"/>
      <c r="H1537" s="38" t="n"/>
      <c r="I1537" s="38" t="n"/>
      <c r="J1537" s="38" t="n"/>
      <c r="K1537" s="37" t="n"/>
      <c r="L1537" s="39" t="n"/>
      <c r="M1537" s="40" t="n"/>
      <c r="N1537" s="30">
        <f>IF(A1537="","",MONTH(A1537))</f>
        <v/>
      </c>
      <c r="O1537" s="30">
        <f>IF(A1537="","",YEAR(A1537))</f>
        <v/>
      </c>
      <c r="P1537" s="30">
        <f>IF(A1537="","",CHOOSE(WEEKDAY(A1537,2),"Segunda","Terça","Quarta","Quinta","Sexta","Sábado","Domingo"))</f>
        <v/>
      </c>
      <c r="Q1537" s="30">
        <f>IF(B1537="","",IF(B1537&lt;TIME(12,0,0),"Manhã",IF(B1537&lt;TIME(18,0,0),"Tarde","Noite")))</f>
        <v/>
      </c>
      <c r="R1537" s="46">
        <f>IF(AND(H1537="Realizado",L1537&lt;&gt;"",A1537&lt;=Config!$B$9),L1537/60,0)</f>
        <v>0</v>
      </c>
      <c r="S1537" s="45">
        <f>IF(G1537="","",IFERROR(INDEX(Config!$K$5:$K$16,MATCH(G1537,Config!$J$5:$J$16,0)),""))</f>
        <v/>
      </c>
      <c r="T1537" s="31">
        <f>IF(OR(G1537="",F1537=""),"",IFERROR(INDEX(Config!$M$5:$R$16,MATCH(G1537,Config!$J$5:$J$16,0),MATCH(F1537,Config!$H$5:$H$10,0)),""))</f>
        <v/>
      </c>
      <c r="U1537" s="47">
        <f>IF(AND(H1537="Realizado",L1537&lt;&gt;""),L1537/60,0)</f>
        <v>0</v>
      </c>
      <c r="V1537" s="47">
        <f>IF(AND(H1537="Realizado",OR(L1537="",M1537="")),1,0)</f>
        <v>0</v>
      </c>
    </row>
    <row r="1538">
      <c r="A1538" s="43" t="n"/>
      <c r="B1538" s="44" t="n"/>
      <c r="C1538" s="38" t="n"/>
      <c r="D1538" s="38" t="n"/>
      <c r="E1538" s="37" t="n"/>
      <c r="F1538" s="38" t="n"/>
      <c r="G1538" s="38" t="n"/>
      <c r="H1538" s="38" t="n"/>
      <c r="I1538" s="38" t="n"/>
      <c r="J1538" s="38" t="n"/>
      <c r="K1538" s="37" t="n"/>
      <c r="L1538" s="39" t="n"/>
      <c r="M1538" s="40" t="n"/>
      <c r="N1538" s="30">
        <f>IF(A1538="","",MONTH(A1538))</f>
        <v/>
      </c>
      <c r="O1538" s="30">
        <f>IF(A1538="","",YEAR(A1538))</f>
        <v/>
      </c>
      <c r="P1538" s="30">
        <f>IF(A1538="","",CHOOSE(WEEKDAY(A1538,2),"Segunda","Terça","Quarta","Quinta","Sexta","Sábado","Domingo"))</f>
        <v/>
      </c>
      <c r="Q1538" s="30">
        <f>IF(B1538="","",IF(B1538&lt;TIME(12,0,0),"Manhã",IF(B1538&lt;TIME(18,0,0),"Tarde","Noite")))</f>
        <v/>
      </c>
      <c r="R1538" s="46">
        <f>IF(AND(H1538="Realizado",L1538&lt;&gt;"",A1538&lt;=Config!$B$9),L1538/60,0)</f>
        <v>0</v>
      </c>
      <c r="S1538" s="45">
        <f>IF(G1538="","",IFERROR(INDEX(Config!$K$5:$K$16,MATCH(G1538,Config!$J$5:$J$16,0)),""))</f>
        <v/>
      </c>
      <c r="T1538" s="31">
        <f>IF(OR(G1538="",F1538=""),"",IFERROR(INDEX(Config!$M$5:$R$16,MATCH(G1538,Config!$J$5:$J$16,0),MATCH(F1538,Config!$H$5:$H$10,0)),""))</f>
        <v/>
      </c>
      <c r="U1538" s="47">
        <f>IF(AND(H1538="Realizado",L1538&lt;&gt;""),L1538/60,0)</f>
        <v>0</v>
      </c>
      <c r="V1538" s="47">
        <f>IF(AND(H1538="Realizado",OR(L1538="",M1538="")),1,0)</f>
        <v>0</v>
      </c>
    </row>
    <row r="1539">
      <c r="A1539" s="43" t="n"/>
      <c r="B1539" s="44" t="n"/>
      <c r="C1539" s="38" t="n"/>
      <c r="D1539" s="38" t="n"/>
      <c r="E1539" s="37" t="n"/>
      <c r="F1539" s="38" t="n"/>
      <c r="G1539" s="38" t="n"/>
      <c r="H1539" s="38" t="n"/>
      <c r="I1539" s="38" t="n"/>
      <c r="J1539" s="38" t="n"/>
      <c r="K1539" s="37" t="n"/>
      <c r="L1539" s="39" t="n"/>
      <c r="M1539" s="40" t="n"/>
      <c r="N1539" s="30">
        <f>IF(A1539="","",MONTH(A1539))</f>
        <v/>
      </c>
      <c r="O1539" s="30">
        <f>IF(A1539="","",YEAR(A1539))</f>
        <v/>
      </c>
      <c r="P1539" s="30">
        <f>IF(A1539="","",CHOOSE(WEEKDAY(A1539,2),"Segunda","Terça","Quarta","Quinta","Sexta","Sábado","Domingo"))</f>
        <v/>
      </c>
      <c r="Q1539" s="30">
        <f>IF(B1539="","",IF(B1539&lt;TIME(12,0,0),"Manhã",IF(B1539&lt;TIME(18,0,0),"Tarde","Noite")))</f>
        <v/>
      </c>
      <c r="R1539" s="46">
        <f>IF(AND(H1539="Realizado",L1539&lt;&gt;"",A1539&lt;=Config!$B$9),L1539/60,0)</f>
        <v>0</v>
      </c>
      <c r="S1539" s="45">
        <f>IF(G1539="","",IFERROR(INDEX(Config!$K$5:$K$16,MATCH(G1539,Config!$J$5:$J$16,0)),""))</f>
        <v/>
      </c>
      <c r="T1539" s="31">
        <f>IF(OR(G1539="",F1539=""),"",IFERROR(INDEX(Config!$M$5:$R$16,MATCH(G1539,Config!$J$5:$J$16,0),MATCH(F1539,Config!$H$5:$H$10,0)),""))</f>
        <v/>
      </c>
      <c r="U1539" s="47">
        <f>IF(AND(H1539="Realizado",L1539&lt;&gt;""),L1539/60,0)</f>
        <v>0</v>
      </c>
      <c r="V1539" s="47">
        <f>IF(AND(H1539="Realizado",OR(L1539="",M1539="")),1,0)</f>
        <v>0</v>
      </c>
    </row>
    <row r="1540">
      <c r="A1540" s="43" t="n"/>
      <c r="B1540" s="44" t="n"/>
      <c r="C1540" s="38" t="n"/>
      <c r="D1540" s="38" t="n"/>
      <c r="E1540" s="37" t="n"/>
      <c r="F1540" s="38" t="n"/>
      <c r="G1540" s="38" t="n"/>
      <c r="H1540" s="38" t="n"/>
      <c r="I1540" s="38" t="n"/>
      <c r="J1540" s="38" t="n"/>
      <c r="K1540" s="37" t="n"/>
      <c r="L1540" s="39" t="n"/>
      <c r="M1540" s="40" t="n"/>
      <c r="N1540" s="30">
        <f>IF(A1540="","",MONTH(A1540))</f>
        <v/>
      </c>
      <c r="O1540" s="30">
        <f>IF(A1540="","",YEAR(A1540))</f>
        <v/>
      </c>
      <c r="P1540" s="30">
        <f>IF(A1540="","",CHOOSE(WEEKDAY(A1540,2),"Segunda","Terça","Quarta","Quinta","Sexta","Sábado","Domingo"))</f>
        <v/>
      </c>
      <c r="Q1540" s="30">
        <f>IF(B1540="","",IF(B1540&lt;TIME(12,0,0),"Manhã",IF(B1540&lt;TIME(18,0,0),"Tarde","Noite")))</f>
        <v/>
      </c>
      <c r="R1540" s="46">
        <f>IF(AND(H1540="Realizado",L1540&lt;&gt;"",A1540&lt;=Config!$B$9),L1540/60,0)</f>
        <v>0</v>
      </c>
      <c r="S1540" s="45">
        <f>IF(G1540="","",IFERROR(INDEX(Config!$K$5:$K$16,MATCH(G1540,Config!$J$5:$J$16,0)),""))</f>
        <v/>
      </c>
      <c r="T1540" s="31">
        <f>IF(OR(G1540="",F1540=""),"",IFERROR(INDEX(Config!$M$5:$R$16,MATCH(G1540,Config!$J$5:$J$16,0),MATCH(F1540,Config!$H$5:$H$10,0)),""))</f>
        <v/>
      </c>
      <c r="U1540" s="47">
        <f>IF(AND(H1540="Realizado",L1540&lt;&gt;""),L1540/60,0)</f>
        <v>0</v>
      </c>
      <c r="V1540" s="47">
        <f>IF(AND(H1540="Realizado",OR(L1540="",M1540="")),1,0)</f>
        <v>0</v>
      </c>
    </row>
    <row r="1541">
      <c r="A1541" s="43" t="n"/>
      <c r="B1541" s="44" t="n"/>
      <c r="C1541" s="38" t="n"/>
      <c r="D1541" s="38" t="n"/>
      <c r="E1541" s="37" t="n"/>
      <c r="F1541" s="38" t="n"/>
      <c r="G1541" s="38" t="n"/>
      <c r="H1541" s="38" t="n"/>
      <c r="I1541" s="38" t="n"/>
      <c r="J1541" s="38" t="n"/>
      <c r="K1541" s="37" t="n"/>
      <c r="L1541" s="39" t="n"/>
      <c r="M1541" s="40" t="n"/>
      <c r="N1541" s="30">
        <f>IF(A1541="","",MONTH(A1541))</f>
        <v/>
      </c>
      <c r="O1541" s="30">
        <f>IF(A1541="","",YEAR(A1541))</f>
        <v/>
      </c>
      <c r="P1541" s="30">
        <f>IF(A1541="","",CHOOSE(WEEKDAY(A1541,2),"Segunda","Terça","Quarta","Quinta","Sexta","Sábado","Domingo"))</f>
        <v/>
      </c>
      <c r="Q1541" s="30">
        <f>IF(B1541="","",IF(B1541&lt;TIME(12,0,0),"Manhã",IF(B1541&lt;TIME(18,0,0),"Tarde","Noite")))</f>
        <v/>
      </c>
      <c r="R1541" s="46">
        <f>IF(AND(H1541="Realizado",L1541&lt;&gt;"",A1541&lt;=Config!$B$9),L1541/60,0)</f>
        <v>0</v>
      </c>
      <c r="S1541" s="45">
        <f>IF(G1541="","",IFERROR(INDEX(Config!$K$5:$K$16,MATCH(G1541,Config!$J$5:$J$16,0)),""))</f>
        <v/>
      </c>
      <c r="T1541" s="31">
        <f>IF(OR(G1541="",F1541=""),"",IFERROR(INDEX(Config!$M$5:$R$16,MATCH(G1541,Config!$J$5:$J$16,0),MATCH(F1541,Config!$H$5:$H$10,0)),""))</f>
        <v/>
      </c>
      <c r="U1541" s="47">
        <f>IF(AND(H1541="Realizado",L1541&lt;&gt;""),L1541/60,0)</f>
        <v>0</v>
      </c>
      <c r="V1541" s="47">
        <f>IF(AND(H1541="Realizado",OR(L1541="",M1541="")),1,0)</f>
        <v>0</v>
      </c>
    </row>
    <row r="1542">
      <c r="A1542" s="43" t="n"/>
      <c r="B1542" s="44" t="n"/>
      <c r="C1542" s="38" t="n"/>
      <c r="D1542" s="38" t="n"/>
      <c r="E1542" s="37" t="n"/>
      <c r="F1542" s="38" t="n"/>
      <c r="G1542" s="38" t="n"/>
      <c r="H1542" s="38" t="n"/>
      <c r="I1542" s="38" t="n"/>
      <c r="J1542" s="38" t="n"/>
      <c r="K1542" s="37" t="n"/>
      <c r="L1542" s="39" t="n"/>
      <c r="M1542" s="40" t="n"/>
      <c r="N1542" s="30">
        <f>IF(A1542="","",MONTH(A1542))</f>
        <v/>
      </c>
      <c r="O1542" s="30">
        <f>IF(A1542="","",YEAR(A1542))</f>
        <v/>
      </c>
      <c r="P1542" s="30">
        <f>IF(A1542="","",CHOOSE(WEEKDAY(A1542,2),"Segunda","Terça","Quarta","Quinta","Sexta","Sábado","Domingo"))</f>
        <v/>
      </c>
      <c r="Q1542" s="30">
        <f>IF(B1542="","",IF(B1542&lt;TIME(12,0,0),"Manhã",IF(B1542&lt;TIME(18,0,0),"Tarde","Noite")))</f>
        <v/>
      </c>
      <c r="R1542" s="46">
        <f>IF(AND(H1542="Realizado",L1542&lt;&gt;"",A1542&lt;=Config!$B$9),L1542/60,0)</f>
        <v>0</v>
      </c>
      <c r="S1542" s="45">
        <f>IF(G1542="","",IFERROR(INDEX(Config!$K$5:$K$16,MATCH(G1542,Config!$J$5:$J$16,0)),""))</f>
        <v/>
      </c>
      <c r="T1542" s="31">
        <f>IF(OR(G1542="",F1542=""),"",IFERROR(INDEX(Config!$M$5:$R$16,MATCH(G1542,Config!$J$5:$J$16,0),MATCH(F1542,Config!$H$5:$H$10,0)),""))</f>
        <v/>
      </c>
      <c r="U1542" s="47">
        <f>IF(AND(H1542="Realizado",L1542&lt;&gt;""),L1542/60,0)</f>
        <v>0</v>
      </c>
      <c r="V1542" s="47">
        <f>IF(AND(H1542="Realizado",OR(L1542="",M1542="")),1,0)</f>
        <v>0</v>
      </c>
    </row>
    <row r="1543">
      <c r="A1543" s="43" t="n"/>
      <c r="B1543" s="44" t="n"/>
      <c r="C1543" s="38" t="n"/>
      <c r="D1543" s="38" t="n"/>
      <c r="E1543" s="37" t="n"/>
      <c r="F1543" s="38" t="n"/>
      <c r="G1543" s="38" t="n"/>
      <c r="H1543" s="38" t="n"/>
      <c r="I1543" s="38" t="n"/>
      <c r="J1543" s="38" t="n"/>
      <c r="K1543" s="37" t="n"/>
      <c r="L1543" s="39" t="n"/>
      <c r="M1543" s="40" t="n"/>
      <c r="N1543" s="30">
        <f>IF(A1543="","",MONTH(A1543))</f>
        <v/>
      </c>
      <c r="O1543" s="30">
        <f>IF(A1543="","",YEAR(A1543))</f>
        <v/>
      </c>
      <c r="P1543" s="30">
        <f>IF(A1543="","",CHOOSE(WEEKDAY(A1543,2),"Segunda","Terça","Quarta","Quinta","Sexta","Sábado","Domingo"))</f>
        <v/>
      </c>
      <c r="Q1543" s="30">
        <f>IF(B1543="","",IF(B1543&lt;TIME(12,0,0),"Manhã",IF(B1543&lt;TIME(18,0,0),"Tarde","Noite")))</f>
        <v/>
      </c>
      <c r="R1543" s="46">
        <f>IF(AND(H1543="Realizado",L1543&lt;&gt;"",A1543&lt;=Config!$B$9),L1543/60,0)</f>
        <v>0</v>
      </c>
      <c r="S1543" s="45">
        <f>IF(G1543="","",IFERROR(INDEX(Config!$K$5:$K$16,MATCH(G1543,Config!$J$5:$J$16,0)),""))</f>
        <v/>
      </c>
      <c r="T1543" s="31">
        <f>IF(OR(G1543="",F1543=""),"",IFERROR(INDEX(Config!$M$5:$R$16,MATCH(G1543,Config!$J$5:$J$16,0),MATCH(F1543,Config!$H$5:$H$10,0)),""))</f>
        <v/>
      </c>
      <c r="U1543" s="47">
        <f>IF(AND(H1543="Realizado",L1543&lt;&gt;""),L1543/60,0)</f>
        <v>0</v>
      </c>
      <c r="V1543" s="47">
        <f>IF(AND(H1543="Realizado",OR(L1543="",M1543="")),1,0)</f>
        <v>0</v>
      </c>
    </row>
    <row r="1544">
      <c r="A1544" s="43" t="n"/>
      <c r="B1544" s="44" t="n"/>
      <c r="C1544" s="38" t="n"/>
      <c r="D1544" s="38" t="n"/>
      <c r="E1544" s="37" t="n"/>
      <c r="F1544" s="38" t="n"/>
      <c r="G1544" s="38" t="n"/>
      <c r="H1544" s="38" t="n"/>
      <c r="I1544" s="38" t="n"/>
      <c r="J1544" s="38" t="n"/>
      <c r="K1544" s="37" t="n"/>
      <c r="L1544" s="39" t="n"/>
      <c r="M1544" s="40" t="n"/>
      <c r="N1544" s="30">
        <f>IF(A1544="","",MONTH(A1544))</f>
        <v/>
      </c>
      <c r="O1544" s="30">
        <f>IF(A1544="","",YEAR(A1544))</f>
        <v/>
      </c>
      <c r="P1544" s="30">
        <f>IF(A1544="","",CHOOSE(WEEKDAY(A1544,2),"Segunda","Terça","Quarta","Quinta","Sexta","Sábado","Domingo"))</f>
        <v/>
      </c>
      <c r="Q1544" s="30">
        <f>IF(B1544="","",IF(B1544&lt;TIME(12,0,0),"Manhã",IF(B1544&lt;TIME(18,0,0),"Tarde","Noite")))</f>
        <v/>
      </c>
      <c r="R1544" s="46">
        <f>IF(AND(H1544="Realizado",L1544&lt;&gt;"",A1544&lt;=Config!$B$9),L1544/60,0)</f>
        <v>0</v>
      </c>
      <c r="S1544" s="45">
        <f>IF(G1544="","",IFERROR(INDEX(Config!$K$5:$K$16,MATCH(G1544,Config!$J$5:$J$16,0)),""))</f>
        <v/>
      </c>
      <c r="T1544" s="31">
        <f>IF(OR(G1544="",F1544=""),"",IFERROR(INDEX(Config!$M$5:$R$16,MATCH(G1544,Config!$J$5:$J$16,0),MATCH(F1544,Config!$H$5:$H$10,0)),""))</f>
        <v/>
      </c>
      <c r="U1544" s="47">
        <f>IF(AND(H1544="Realizado",L1544&lt;&gt;""),L1544/60,0)</f>
        <v>0</v>
      </c>
      <c r="V1544" s="47">
        <f>IF(AND(H1544="Realizado",OR(L1544="",M1544="")),1,0)</f>
        <v>0</v>
      </c>
    </row>
    <row r="1545">
      <c r="A1545" s="43" t="n"/>
      <c r="B1545" s="44" t="n"/>
      <c r="C1545" s="38" t="n"/>
      <c r="D1545" s="38" t="n"/>
      <c r="E1545" s="37" t="n"/>
      <c r="F1545" s="38" t="n"/>
      <c r="G1545" s="38" t="n"/>
      <c r="H1545" s="38" t="n"/>
      <c r="I1545" s="38" t="n"/>
      <c r="J1545" s="38" t="n"/>
      <c r="K1545" s="37" t="n"/>
      <c r="L1545" s="39" t="n"/>
      <c r="M1545" s="40" t="n"/>
      <c r="N1545" s="30">
        <f>IF(A1545="","",MONTH(A1545))</f>
        <v/>
      </c>
      <c r="O1545" s="30">
        <f>IF(A1545="","",YEAR(A1545))</f>
        <v/>
      </c>
      <c r="P1545" s="30">
        <f>IF(A1545="","",CHOOSE(WEEKDAY(A1545,2),"Segunda","Terça","Quarta","Quinta","Sexta","Sábado","Domingo"))</f>
        <v/>
      </c>
      <c r="Q1545" s="30">
        <f>IF(B1545="","",IF(B1545&lt;TIME(12,0,0),"Manhã",IF(B1545&lt;TIME(18,0,0),"Tarde","Noite")))</f>
        <v/>
      </c>
      <c r="R1545" s="46">
        <f>IF(AND(H1545="Realizado",L1545&lt;&gt;"",A1545&lt;=Config!$B$9),L1545/60,0)</f>
        <v>0</v>
      </c>
      <c r="S1545" s="45">
        <f>IF(G1545="","",IFERROR(INDEX(Config!$K$5:$K$16,MATCH(G1545,Config!$J$5:$J$16,0)),""))</f>
        <v/>
      </c>
      <c r="T1545" s="31">
        <f>IF(OR(G1545="",F1545=""),"",IFERROR(INDEX(Config!$M$5:$R$16,MATCH(G1545,Config!$J$5:$J$16,0),MATCH(F1545,Config!$H$5:$H$10,0)),""))</f>
        <v/>
      </c>
      <c r="U1545" s="47">
        <f>IF(AND(H1545="Realizado",L1545&lt;&gt;""),L1545/60,0)</f>
        <v>0</v>
      </c>
      <c r="V1545" s="47">
        <f>IF(AND(H1545="Realizado",OR(L1545="",M1545="")),1,0)</f>
        <v>0</v>
      </c>
    </row>
    <row r="1546">
      <c r="A1546" s="43" t="n"/>
      <c r="B1546" s="44" t="n"/>
      <c r="C1546" s="38" t="n"/>
      <c r="D1546" s="38" t="n"/>
      <c r="E1546" s="37" t="n"/>
      <c r="F1546" s="38" t="n"/>
      <c r="G1546" s="38" t="n"/>
      <c r="H1546" s="38" t="n"/>
      <c r="I1546" s="38" t="n"/>
      <c r="J1546" s="38" t="n"/>
      <c r="K1546" s="37" t="n"/>
      <c r="L1546" s="39" t="n"/>
      <c r="M1546" s="40" t="n"/>
      <c r="N1546" s="30">
        <f>IF(A1546="","",MONTH(A1546))</f>
        <v/>
      </c>
      <c r="O1546" s="30">
        <f>IF(A1546="","",YEAR(A1546))</f>
        <v/>
      </c>
      <c r="P1546" s="30">
        <f>IF(A1546="","",CHOOSE(WEEKDAY(A1546,2),"Segunda","Terça","Quarta","Quinta","Sexta","Sábado","Domingo"))</f>
        <v/>
      </c>
      <c r="Q1546" s="30">
        <f>IF(B1546="","",IF(B1546&lt;TIME(12,0,0),"Manhã",IF(B1546&lt;TIME(18,0,0),"Tarde","Noite")))</f>
        <v/>
      </c>
      <c r="R1546" s="46">
        <f>IF(AND(H1546="Realizado",L1546&lt;&gt;"",A1546&lt;=Config!$B$9),L1546/60,0)</f>
        <v>0</v>
      </c>
      <c r="S1546" s="45">
        <f>IF(G1546="","",IFERROR(INDEX(Config!$K$5:$K$16,MATCH(G1546,Config!$J$5:$J$16,0)),""))</f>
        <v/>
      </c>
      <c r="T1546" s="31">
        <f>IF(OR(G1546="",F1546=""),"",IFERROR(INDEX(Config!$M$5:$R$16,MATCH(G1546,Config!$J$5:$J$16,0),MATCH(F1546,Config!$H$5:$H$10,0)),""))</f>
        <v/>
      </c>
      <c r="U1546" s="47">
        <f>IF(AND(H1546="Realizado",L1546&lt;&gt;""),L1546/60,0)</f>
        <v>0</v>
      </c>
      <c r="V1546" s="47">
        <f>IF(AND(H1546="Realizado",OR(L1546="",M1546="")),1,0)</f>
        <v>0</v>
      </c>
    </row>
    <row r="1547">
      <c r="A1547" s="43" t="n"/>
      <c r="B1547" s="44" t="n"/>
      <c r="C1547" s="38" t="n"/>
      <c r="D1547" s="38" t="n"/>
      <c r="E1547" s="37" t="n"/>
      <c r="F1547" s="38" t="n"/>
      <c r="G1547" s="38" t="n"/>
      <c r="H1547" s="38" t="n"/>
      <c r="I1547" s="38" t="n"/>
      <c r="J1547" s="38" t="n"/>
      <c r="K1547" s="37" t="n"/>
      <c r="L1547" s="39" t="n"/>
      <c r="M1547" s="40" t="n"/>
      <c r="N1547" s="30">
        <f>IF(A1547="","",MONTH(A1547))</f>
        <v/>
      </c>
      <c r="O1547" s="30">
        <f>IF(A1547="","",YEAR(A1547))</f>
        <v/>
      </c>
      <c r="P1547" s="30">
        <f>IF(A1547="","",CHOOSE(WEEKDAY(A1547,2),"Segunda","Terça","Quarta","Quinta","Sexta","Sábado","Domingo"))</f>
        <v/>
      </c>
      <c r="Q1547" s="30">
        <f>IF(B1547="","",IF(B1547&lt;TIME(12,0,0),"Manhã",IF(B1547&lt;TIME(18,0,0),"Tarde","Noite")))</f>
        <v/>
      </c>
      <c r="R1547" s="46">
        <f>IF(AND(H1547="Realizado",L1547&lt;&gt;"",A1547&lt;=Config!$B$9),L1547/60,0)</f>
        <v>0</v>
      </c>
      <c r="S1547" s="45">
        <f>IF(G1547="","",IFERROR(INDEX(Config!$K$5:$K$16,MATCH(G1547,Config!$J$5:$J$16,0)),""))</f>
        <v/>
      </c>
      <c r="T1547" s="31">
        <f>IF(OR(G1547="",F1547=""),"",IFERROR(INDEX(Config!$M$5:$R$16,MATCH(G1547,Config!$J$5:$J$16,0),MATCH(F1547,Config!$H$5:$H$10,0)),""))</f>
        <v/>
      </c>
      <c r="U1547" s="47">
        <f>IF(AND(H1547="Realizado",L1547&lt;&gt;""),L1547/60,0)</f>
        <v>0</v>
      </c>
      <c r="V1547" s="47">
        <f>IF(AND(H1547="Realizado",OR(L1547="",M1547="")),1,0)</f>
        <v>0</v>
      </c>
    </row>
    <row r="1548">
      <c r="A1548" s="43" t="n"/>
      <c r="B1548" s="44" t="n"/>
      <c r="C1548" s="38" t="n"/>
      <c r="D1548" s="38" t="n"/>
      <c r="E1548" s="37" t="n"/>
      <c r="F1548" s="38" t="n"/>
      <c r="G1548" s="38" t="n"/>
      <c r="H1548" s="38" t="n"/>
      <c r="I1548" s="38" t="n"/>
      <c r="J1548" s="38" t="n"/>
      <c r="K1548" s="37" t="n"/>
      <c r="L1548" s="39" t="n"/>
      <c r="M1548" s="40" t="n"/>
      <c r="N1548" s="30">
        <f>IF(A1548="","",MONTH(A1548))</f>
        <v/>
      </c>
      <c r="O1548" s="30">
        <f>IF(A1548="","",YEAR(A1548))</f>
        <v/>
      </c>
      <c r="P1548" s="30">
        <f>IF(A1548="","",CHOOSE(WEEKDAY(A1548,2),"Segunda","Terça","Quarta","Quinta","Sexta","Sábado","Domingo"))</f>
        <v/>
      </c>
      <c r="Q1548" s="30">
        <f>IF(B1548="","",IF(B1548&lt;TIME(12,0,0),"Manhã",IF(B1548&lt;TIME(18,0,0),"Tarde","Noite")))</f>
        <v/>
      </c>
      <c r="R1548" s="46">
        <f>IF(AND(H1548="Realizado",L1548&lt;&gt;"",A1548&lt;=Config!$B$9),L1548/60,0)</f>
        <v>0</v>
      </c>
      <c r="S1548" s="45">
        <f>IF(G1548="","",IFERROR(INDEX(Config!$K$5:$K$16,MATCH(G1548,Config!$J$5:$J$16,0)),""))</f>
        <v/>
      </c>
      <c r="T1548" s="31">
        <f>IF(OR(G1548="",F1548=""),"",IFERROR(INDEX(Config!$M$5:$R$16,MATCH(G1548,Config!$J$5:$J$16,0),MATCH(F1548,Config!$H$5:$H$10,0)),""))</f>
        <v/>
      </c>
      <c r="U1548" s="47">
        <f>IF(AND(H1548="Realizado",L1548&lt;&gt;""),L1548/60,0)</f>
        <v>0</v>
      </c>
      <c r="V1548" s="47">
        <f>IF(AND(H1548="Realizado",OR(L1548="",M1548="")),1,0)</f>
        <v>0</v>
      </c>
    </row>
    <row r="1549">
      <c r="A1549" s="43" t="n"/>
      <c r="B1549" s="44" t="n"/>
      <c r="C1549" s="38" t="n"/>
      <c r="D1549" s="38" t="n"/>
      <c r="E1549" s="37" t="n"/>
      <c r="F1549" s="38" t="n"/>
      <c r="G1549" s="38" t="n"/>
      <c r="H1549" s="38" t="n"/>
      <c r="I1549" s="38" t="n"/>
      <c r="J1549" s="38" t="n"/>
      <c r="K1549" s="37" t="n"/>
      <c r="L1549" s="39" t="n"/>
      <c r="M1549" s="40" t="n"/>
      <c r="N1549" s="30">
        <f>IF(A1549="","",MONTH(A1549))</f>
        <v/>
      </c>
      <c r="O1549" s="30">
        <f>IF(A1549="","",YEAR(A1549))</f>
        <v/>
      </c>
      <c r="P1549" s="30">
        <f>IF(A1549="","",CHOOSE(WEEKDAY(A1549,2),"Segunda","Terça","Quarta","Quinta","Sexta","Sábado","Domingo"))</f>
        <v/>
      </c>
      <c r="Q1549" s="30">
        <f>IF(B1549="","",IF(B1549&lt;TIME(12,0,0),"Manhã",IF(B1549&lt;TIME(18,0,0),"Tarde","Noite")))</f>
        <v/>
      </c>
      <c r="R1549" s="46">
        <f>IF(AND(H1549="Realizado",L1549&lt;&gt;"",A1549&lt;=Config!$B$9),L1549/60,0)</f>
        <v>0</v>
      </c>
      <c r="S1549" s="45">
        <f>IF(G1549="","",IFERROR(INDEX(Config!$K$5:$K$16,MATCH(G1549,Config!$J$5:$J$16,0)),""))</f>
        <v/>
      </c>
      <c r="T1549" s="31">
        <f>IF(OR(G1549="",F1549=""),"",IFERROR(INDEX(Config!$M$5:$R$16,MATCH(G1549,Config!$J$5:$J$16,0),MATCH(F1549,Config!$H$5:$H$10,0)),""))</f>
        <v/>
      </c>
      <c r="U1549" s="47">
        <f>IF(AND(H1549="Realizado",L1549&lt;&gt;""),L1549/60,0)</f>
        <v>0</v>
      </c>
      <c r="V1549" s="47">
        <f>IF(AND(H1549="Realizado",OR(L1549="",M1549="")),1,0)</f>
        <v>0</v>
      </c>
    </row>
    <row r="1550">
      <c r="A1550" s="43" t="n"/>
      <c r="B1550" s="44" t="n"/>
      <c r="C1550" s="38" t="n"/>
      <c r="D1550" s="38" t="n"/>
      <c r="E1550" s="37" t="n"/>
      <c r="F1550" s="38" t="n"/>
      <c r="G1550" s="38" t="n"/>
      <c r="H1550" s="38" t="n"/>
      <c r="I1550" s="38" t="n"/>
      <c r="J1550" s="38" t="n"/>
      <c r="K1550" s="37" t="n"/>
      <c r="L1550" s="39" t="n"/>
      <c r="M1550" s="40" t="n"/>
      <c r="N1550" s="30">
        <f>IF(A1550="","",MONTH(A1550))</f>
        <v/>
      </c>
      <c r="O1550" s="30">
        <f>IF(A1550="","",YEAR(A1550))</f>
        <v/>
      </c>
      <c r="P1550" s="30">
        <f>IF(A1550="","",CHOOSE(WEEKDAY(A1550,2),"Segunda","Terça","Quarta","Quinta","Sexta","Sábado","Domingo"))</f>
        <v/>
      </c>
      <c r="Q1550" s="30">
        <f>IF(B1550="","",IF(B1550&lt;TIME(12,0,0),"Manhã",IF(B1550&lt;TIME(18,0,0),"Tarde","Noite")))</f>
        <v/>
      </c>
      <c r="R1550" s="46">
        <f>IF(AND(H1550="Realizado",L1550&lt;&gt;"",A1550&lt;=Config!$B$9),L1550/60,0)</f>
        <v>0</v>
      </c>
      <c r="S1550" s="45">
        <f>IF(G1550="","",IFERROR(INDEX(Config!$K$5:$K$16,MATCH(G1550,Config!$J$5:$J$16,0)),""))</f>
        <v/>
      </c>
      <c r="T1550" s="31">
        <f>IF(OR(G1550="",F1550=""),"",IFERROR(INDEX(Config!$M$5:$R$16,MATCH(G1550,Config!$J$5:$J$16,0),MATCH(F1550,Config!$H$5:$H$10,0)),""))</f>
        <v/>
      </c>
      <c r="U1550" s="47">
        <f>IF(AND(H1550="Realizado",L1550&lt;&gt;""),L1550/60,0)</f>
        <v>0</v>
      </c>
      <c r="V1550" s="47">
        <f>IF(AND(H1550="Realizado",OR(L1550="",M1550="")),1,0)</f>
        <v>0</v>
      </c>
    </row>
    <row r="1551">
      <c r="A1551" s="43" t="n"/>
      <c r="B1551" s="44" t="n"/>
      <c r="C1551" s="38" t="n"/>
      <c r="D1551" s="38" t="n"/>
      <c r="E1551" s="37" t="n"/>
      <c r="F1551" s="38" t="n"/>
      <c r="G1551" s="38" t="n"/>
      <c r="H1551" s="38" t="n"/>
      <c r="I1551" s="38" t="n"/>
      <c r="J1551" s="38" t="n"/>
      <c r="K1551" s="37" t="n"/>
      <c r="L1551" s="39" t="n"/>
      <c r="M1551" s="40" t="n"/>
      <c r="N1551" s="30">
        <f>IF(A1551="","",MONTH(A1551))</f>
        <v/>
      </c>
      <c r="O1551" s="30">
        <f>IF(A1551="","",YEAR(A1551))</f>
        <v/>
      </c>
      <c r="P1551" s="30">
        <f>IF(A1551="","",CHOOSE(WEEKDAY(A1551,2),"Segunda","Terça","Quarta","Quinta","Sexta","Sábado","Domingo"))</f>
        <v/>
      </c>
      <c r="Q1551" s="30">
        <f>IF(B1551="","",IF(B1551&lt;TIME(12,0,0),"Manhã",IF(B1551&lt;TIME(18,0,0),"Tarde","Noite")))</f>
        <v/>
      </c>
      <c r="R1551" s="46">
        <f>IF(AND(H1551="Realizado",L1551&lt;&gt;"",A1551&lt;=Config!$B$9),L1551/60,0)</f>
        <v>0</v>
      </c>
      <c r="S1551" s="45">
        <f>IF(G1551="","",IFERROR(INDEX(Config!$K$5:$K$16,MATCH(G1551,Config!$J$5:$J$16,0)),""))</f>
        <v/>
      </c>
      <c r="T1551" s="31">
        <f>IF(OR(G1551="",F1551=""),"",IFERROR(INDEX(Config!$M$5:$R$16,MATCH(G1551,Config!$J$5:$J$16,0),MATCH(F1551,Config!$H$5:$H$10,0)),""))</f>
        <v/>
      </c>
      <c r="U1551" s="47">
        <f>IF(AND(H1551="Realizado",L1551&lt;&gt;""),L1551/60,0)</f>
        <v>0</v>
      </c>
      <c r="V1551" s="47">
        <f>IF(AND(H1551="Realizado",OR(L1551="",M1551="")),1,0)</f>
        <v>0</v>
      </c>
    </row>
    <row r="1552">
      <c r="A1552" s="43" t="n"/>
      <c r="B1552" s="44" t="n"/>
      <c r="C1552" s="38" t="n"/>
      <c r="D1552" s="38" t="n"/>
      <c r="E1552" s="37" t="n"/>
      <c r="F1552" s="38" t="n"/>
      <c r="G1552" s="38" t="n"/>
      <c r="H1552" s="38" t="n"/>
      <c r="I1552" s="38" t="n"/>
      <c r="J1552" s="38" t="n"/>
      <c r="K1552" s="37" t="n"/>
      <c r="L1552" s="39" t="n"/>
      <c r="M1552" s="40" t="n"/>
      <c r="N1552" s="30">
        <f>IF(A1552="","",MONTH(A1552))</f>
        <v/>
      </c>
      <c r="O1552" s="30">
        <f>IF(A1552="","",YEAR(A1552))</f>
        <v/>
      </c>
      <c r="P1552" s="30">
        <f>IF(A1552="","",CHOOSE(WEEKDAY(A1552,2),"Segunda","Terça","Quarta","Quinta","Sexta","Sábado","Domingo"))</f>
        <v/>
      </c>
      <c r="Q1552" s="30">
        <f>IF(B1552="","",IF(B1552&lt;TIME(12,0,0),"Manhã",IF(B1552&lt;TIME(18,0,0),"Tarde","Noite")))</f>
        <v/>
      </c>
      <c r="R1552" s="46">
        <f>IF(AND(H1552="Realizado",L1552&lt;&gt;"",A1552&lt;=Config!$B$9),L1552/60,0)</f>
        <v>0</v>
      </c>
      <c r="S1552" s="45">
        <f>IF(G1552="","",IFERROR(INDEX(Config!$K$5:$K$16,MATCH(G1552,Config!$J$5:$J$16,0)),""))</f>
        <v/>
      </c>
      <c r="T1552" s="31">
        <f>IF(OR(G1552="",F1552=""),"",IFERROR(INDEX(Config!$M$5:$R$16,MATCH(G1552,Config!$J$5:$J$16,0),MATCH(F1552,Config!$H$5:$H$10,0)),""))</f>
        <v/>
      </c>
      <c r="U1552" s="47">
        <f>IF(AND(H1552="Realizado",L1552&lt;&gt;""),L1552/60,0)</f>
        <v>0</v>
      </c>
      <c r="V1552" s="47">
        <f>IF(AND(H1552="Realizado",OR(L1552="",M1552="")),1,0)</f>
        <v>0</v>
      </c>
    </row>
    <row r="1553">
      <c r="A1553" s="43" t="n"/>
      <c r="B1553" s="44" t="n"/>
      <c r="C1553" s="38" t="n"/>
      <c r="D1553" s="38" t="n"/>
      <c r="E1553" s="37" t="n"/>
      <c r="F1553" s="38" t="n"/>
      <c r="G1553" s="38" t="n"/>
      <c r="H1553" s="38" t="n"/>
      <c r="I1553" s="38" t="n"/>
      <c r="J1553" s="38" t="n"/>
      <c r="K1553" s="37" t="n"/>
      <c r="L1553" s="39" t="n"/>
      <c r="M1553" s="40" t="n"/>
      <c r="N1553" s="30">
        <f>IF(A1553="","",MONTH(A1553))</f>
        <v/>
      </c>
      <c r="O1553" s="30">
        <f>IF(A1553="","",YEAR(A1553))</f>
        <v/>
      </c>
      <c r="P1553" s="30">
        <f>IF(A1553="","",CHOOSE(WEEKDAY(A1553,2),"Segunda","Terça","Quarta","Quinta","Sexta","Sábado","Domingo"))</f>
        <v/>
      </c>
      <c r="Q1553" s="30">
        <f>IF(B1553="","",IF(B1553&lt;TIME(12,0,0),"Manhã",IF(B1553&lt;TIME(18,0,0),"Tarde","Noite")))</f>
        <v/>
      </c>
      <c r="R1553" s="46">
        <f>IF(AND(H1553="Realizado",L1553&lt;&gt;"",A1553&lt;=Config!$B$9),L1553/60,0)</f>
        <v>0</v>
      </c>
      <c r="S1553" s="45">
        <f>IF(G1553="","",IFERROR(INDEX(Config!$K$5:$K$16,MATCH(G1553,Config!$J$5:$J$16,0)),""))</f>
        <v/>
      </c>
      <c r="T1553" s="31">
        <f>IF(OR(G1553="",F1553=""),"",IFERROR(INDEX(Config!$M$5:$R$16,MATCH(G1553,Config!$J$5:$J$16,0),MATCH(F1553,Config!$H$5:$H$10,0)),""))</f>
        <v/>
      </c>
      <c r="U1553" s="47">
        <f>IF(AND(H1553="Realizado",L1553&lt;&gt;""),L1553/60,0)</f>
        <v>0</v>
      </c>
      <c r="V1553" s="47">
        <f>IF(AND(H1553="Realizado",OR(L1553="",M1553="")),1,0)</f>
        <v>0</v>
      </c>
    </row>
    <row r="1554">
      <c r="A1554" s="43" t="n"/>
      <c r="B1554" s="44" t="n"/>
      <c r="C1554" s="38" t="n"/>
      <c r="D1554" s="38" t="n"/>
      <c r="E1554" s="37" t="n"/>
      <c r="F1554" s="38" t="n"/>
      <c r="G1554" s="38" t="n"/>
      <c r="H1554" s="38" t="n"/>
      <c r="I1554" s="38" t="n"/>
      <c r="J1554" s="38" t="n"/>
      <c r="K1554" s="37" t="n"/>
      <c r="L1554" s="39" t="n"/>
      <c r="M1554" s="40" t="n"/>
      <c r="N1554" s="30">
        <f>IF(A1554="","",MONTH(A1554))</f>
        <v/>
      </c>
      <c r="O1554" s="30">
        <f>IF(A1554="","",YEAR(A1554))</f>
        <v/>
      </c>
      <c r="P1554" s="30">
        <f>IF(A1554="","",CHOOSE(WEEKDAY(A1554,2),"Segunda","Terça","Quarta","Quinta","Sexta","Sábado","Domingo"))</f>
        <v/>
      </c>
      <c r="Q1554" s="30">
        <f>IF(B1554="","",IF(B1554&lt;TIME(12,0,0),"Manhã",IF(B1554&lt;TIME(18,0,0),"Tarde","Noite")))</f>
        <v/>
      </c>
      <c r="R1554" s="46">
        <f>IF(AND(H1554="Realizado",L1554&lt;&gt;"",A1554&lt;=Config!$B$9),L1554/60,0)</f>
        <v>0</v>
      </c>
      <c r="S1554" s="45">
        <f>IF(G1554="","",IFERROR(INDEX(Config!$K$5:$K$16,MATCH(G1554,Config!$J$5:$J$16,0)),""))</f>
        <v/>
      </c>
      <c r="T1554" s="31">
        <f>IF(OR(G1554="",F1554=""),"",IFERROR(INDEX(Config!$M$5:$R$16,MATCH(G1554,Config!$J$5:$J$16,0),MATCH(F1554,Config!$H$5:$H$10,0)),""))</f>
        <v/>
      </c>
      <c r="U1554" s="47">
        <f>IF(AND(H1554="Realizado",L1554&lt;&gt;""),L1554/60,0)</f>
        <v>0</v>
      </c>
      <c r="V1554" s="47">
        <f>IF(AND(H1554="Realizado",OR(L1554="",M1554="")),1,0)</f>
        <v>0</v>
      </c>
    </row>
    <row r="1555">
      <c r="A1555" s="43" t="n"/>
      <c r="B1555" s="44" t="n"/>
      <c r="C1555" s="38" t="n"/>
      <c r="D1555" s="38" t="n"/>
      <c r="E1555" s="37" t="n"/>
      <c r="F1555" s="38" t="n"/>
      <c r="G1555" s="38" t="n"/>
      <c r="H1555" s="38" t="n"/>
      <c r="I1555" s="38" t="n"/>
      <c r="J1555" s="38" t="n"/>
      <c r="K1555" s="37" t="n"/>
      <c r="L1555" s="39" t="n"/>
      <c r="M1555" s="40" t="n"/>
      <c r="N1555" s="30">
        <f>IF(A1555="","",MONTH(A1555))</f>
        <v/>
      </c>
      <c r="O1555" s="30">
        <f>IF(A1555="","",YEAR(A1555))</f>
        <v/>
      </c>
      <c r="P1555" s="30">
        <f>IF(A1555="","",CHOOSE(WEEKDAY(A1555,2),"Segunda","Terça","Quarta","Quinta","Sexta","Sábado","Domingo"))</f>
        <v/>
      </c>
      <c r="Q1555" s="30">
        <f>IF(B1555="","",IF(B1555&lt;TIME(12,0,0),"Manhã",IF(B1555&lt;TIME(18,0,0),"Tarde","Noite")))</f>
        <v/>
      </c>
      <c r="R1555" s="46">
        <f>IF(AND(H1555="Realizado",L1555&lt;&gt;"",A1555&lt;=Config!$B$9),L1555/60,0)</f>
        <v>0</v>
      </c>
      <c r="S1555" s="45">
        <f>IF(G1555="","",IFERROR(INDEX(Config!$K$5:$K$16,MATCH(G1555,Config!$J$5:$J$16,0)),""))</f>
        <v/>
      </c>
      <c r="T1555" s="31">
        <f>IF(OR(G1555="",F1555=""),"",IFERROR(INDEX(Config!$M$5:$R$16,MATCH(G1555,Config!$J$5:$J$16,0),MATCH(F1555,Config!$H$5:$H$10,0)),""))</f>
        <v/>
      </c>
      <c r="U1555" s="47">
        <f>IF(AND(H1555="Realizado",L1555&lt;&gt;""),L1555/60,0)</f>
        <v>0</v>
      </c>
      <c r="V1555" s="47">
        <f>IF(AND(H1555="Realizado",OR(L1555="",M1555="")),1,0)</f>
        <v>0</v>
      </c>
    </row>
    <row r="1556">
      <c r="A1556" s="43" t="n"/>
      <c r="B1556" s="44" t="n"/>
      <c r="C1556" s="38" t="n"/>
      <c r="D1556" s="38" t="n"/>
      <c r="E1556" s="37" t="n"/>
      <c r="F1556" s="38" t="n"/>
      <c r="G1556" s="38" t="n"/>
      <c r="H1556" s="38" t="n"/>
      <c r="I1556" s="38" t="n"/>
      <c r="J1556" s="38" t="n"/>
      <c r="K1556" s="37" t="n"/>
      <c r="L1556" s="39" t="n"/>
      <c r="M1556" s="40" t="n"/>
      <c r="N1556" s="30">
        <f>IF(A1556="","",MONTH(A1556))</f>
        <v/>
      </c>
      <c r="O1556" s="30">
        <f>IF(A1556="","",YEAR(A1556))</f>
        <v/>
      </c>
      <c r="P1556" s="30">
        <f>IF(A1556="","",CHOOSE(WEEKDAY(A1556,2),"Segunda","Terça","Quarta","Quinta","Sexta","Sábado","Domingo"))</f>
        <v/>
      </c>
      <c r="Q1556" s="30">
        <f>IF(B1556="","",IF(B1556&lt;TIME(12,0,0),"Manhã",IF(B1556&lt;TIME(18,0,0),"Tarde","Noite")))</f>
        <v/>
      </c>
      <c r="R1556" s="46">
        <f>IF(AND(H1556="Realizado",L1556&lt;&gt;"",A1556&lt;=Config!$B$9),L1556/60,0)</f>
        <v>0</v>
      </c>
      <c r="S1556" s="45">
        <f>IF(G1556="","",IFERROR(INDEX(Config!$K$5:$K$16,MATCH(G1556,Config!$J$5:$J$16,0)),""))</f>
        <v/>
      </c>
      <c r="T1556" s="31">
        <f>IF(OR(G1556="",F1556=""),"",IFERROR(INDEX(Config!$M$5:$R$16,MATCH(G1556,Config!$J$5:$J$16,0),MATCH(F1556,Config!$H$5:$H$10,0)),""))</f>
        <v/>
      </c>
      <c r="U1556" s="47">
        <f>IF(AND(H1556="Realizado",L1556&lt;&gt;""),L1556/60,0)</f>
        <v>0</v>
      </c>
      <c r="V1556" s="47">
        <f>IF(AND(H1556="Realizado",OR(L1556="",M1556="")),1,0)</f>
        <v>0</v>
      </c>
    </row>
    <row r="1557">
      <c r="A1557" s="43" t="n"/>
      <c r="B1557" s="44" t="n"/>
      <c r="C1557" s="38" t="n"/>
      <c r="D1557" s="38" t="n"/>
      <c r="E1557" s="37" t="n"/>
      <c r="F1557" s="38" t="n"/>
      <c r="G1557" s="38" t="n"/>
      <c r="H1557" s="38" t="n"/>
      <c r="I1557" s="38" t="n"/>
      <c r="J1557" s="38" t="n"/>
      <c r="K1557" s="37" t="n"/>
      <c r="L1557" s="39" t="n"/>
      <c r="M1557" s="40" t="n"/>
      <c r="N1557" s="30">
        <f>IF(A1557="","",MONTH(A1557))</f>
        <v/>
      </c>
      <c r="O1557" s="30">
        <f>IF(A1557="","",YEAR(A1557))</f>
        <v/>
      </c>
      <c r="P1557" s="30">
        <f>IF(A1557="","",CHOOSE(WEEKDAY(A1557,2),"Segunda","Terça","Quarta","Quinta","Sexta","Sábado","Domingo"))</f>
        <v/>
      </c>
      <c r="Q1557" s="30">
        <f>IF(B1557="","",IF(B1557&lt;TIME(12,0,0),"Manhã",IF(B1557&lt;TIME(18,0,0),"Tarde","Noite")))</f>
        <v/>
      </c>
      <c r="R1557" s="46">
        <f>IF(AND(H1557="Realizado",L1557&lt;&gt;"",A1557&lt;=Config!$B$9),L1557/60,0)</f>
        <v>0</v>
      </c>
      <c r="S1557" s="45">
        <f>IF(G1557="","",IFERROR(INDEX(Config!$K$5:$K$16,MATCH(G1557,Config!$J$5:$J$16,0)),""))</f>
        <v/>
      </c>
      <c r="T1557" s="31">
        <f>IF(OR(G1557="",F1557=""),"",IFERROR(INDEX(Config!$M$5:$R$16,MATCH(G1557,Config!$J$5:$J$16,0),MATCH(F1557,Config!$H$5:$H$10,0)),""))</f>
        <v/>
      </c>
      <c r="U1557" s="47">
        <f>IF(AND(H1557="Realizado",L1557&lt;&gt;""),L1557/60,0)</f>
        <v>0</v>
      </c>
      <c r="V1557" s="47">
        <f>IF(AND(H1557="Realizado",OR(L1557="",M1557="")),1,0)</f>
        <v>0</v>
      </c>
    </row>
    <row r="1558">
      <c r="A1558" s="43" t="n"/>
      <c r="B1558" s="44" t="n"/>
      <c r="C1558" s="38" t="n"/>
      <c r="D1558" s="38" t="n"/>
      <c r="E1558" s="37" t="n"/>
      <c r="F1558" s="38" t="n"/>
      <c r="G1558" s="38" t="n"/>
      <c r="H1558" s="38" t="n"/>
      <c r="I1558" s="38" t="n"/>
      <c r="J1558" s="38" t="n"/>
      <c r="K1558" s="37" t="n"/>
      <c r="L1558" s="39" t="n"/>
      <c r="M1558" s="40" t="n"/>
      <c r="N1558" s="30">
        <f>IF(A1558="","",MONTH(A1558))</f>
        <v/>
      </c>
      <c r="O1558" s="30">
        <f>IF(A1558="","",YEAR(A1558))</f>
        <v/>
      </c>
      <c r="P1558" s="30">
        <f>IF(A1558="","",CHOOSE(WEEKDAY(A1558,2),"Segunda","Terça","Quarta","Quinta","Sexta","Sábado","Domingo"))</f>
        <v/>
      </c>
      <c r="Q1558" s="30">
        <f>IF(B1558="","",IF(B1558&lt;TIME(12,0,0),"Manhã",IF(B1558&lt;TIME(18,0,0),"Tarde","Noite")))</f>
        <v/>
      </c>
      <c r="R1558" s="46">
        <f>IF(AND(H1558="Realizado",L1558&lt;&gt;"",A1558&lt;=Config!$B$9),L1558/60,0)</f>
        <v>0</v>
      </c>
      <c r="S1558" s="45">
        <f>IF(G1558="","",IFERROR(INDEX(Config!$K$5:$K$16,MATCH(G1558,Config!$J$5:$J$16,0)),""))</f>
        <v/>
      </c>
      <c r="T1558" s="31">
        <f>IF(OR(G1558="",F1558=""),"",IFERROR(INDEX(Config!$M$5:$R$16,MATCH(G1558,Config!$J$5:$J$16,0),MATCH(F1558,Config!$H$5:$H$10,0)),""))</f>
        <v/>
      </c>
      <c r="U1558" s="47">
        <f>IF(AND(H1558="Realizado",L1558&lt;&gt;""),L1558/60,0)</f>
        <v>0</v>
      </c>
      <c r="V1558" s="47">
        <f>IF(AND(H1558="Realizado",OR(L1558="",M1558="")),1,0)</f>
        <v>0</v>
      </c>
    </row>
    <row r="1559">
      <c r="A1559" s="43" t="n"/>
      <c r="B1559" s="44" t="n"/>
      <c r="C1559" s="38" t="n"/>
      <c r="D1559" s="38" t="n"/>
      <c r="E1559" s="37" t="n"/>
      <c r="F1559" s="38" t="n"/>
      <c r="G1559" s="38" t="n"/>
      <c r="H1559" s="38" t="n"/>
      <c r="I1559" s="38" t="n"/>
      <c r="J1559" s="38" t="n"/>
      <c r="K1559" s="37" t="n"/>
      <c r="L1559" s="39" t="n"/>
      <c r="M1559" s="40" t="n"/>
      <c r="N1559" s="30">
        <f>IF(A1559="","",MONTH(A1559))</f>
        <v/>
      </c>
      <c r="O1559" s="30">
        <f>IF(A1559="","",YEAR(A1559))</f>
        <v/>
      </c>
      <c r="P1559" s="30">
        <f>IF(A1559="","",CHOOSE(WEEKDAY(A1559,2),"Segunda","Terça","Quarta","Quinta","Sexta","Sábado","Domingo"))</f>
        <v/>
      </c>
      <c r="Q1559" s="30">
        <f>IF(B1559="","",IF(B1559&lt;TIME(12,0,0),"Manhã",IF(B1559&lt;TIME(18,0,0),"Tarde","Noite")))</f>
        <v/>
      </c>
      <c r="R1559" s="46">
        <f>IF(AND(H1559="Realizado",L1559&lt;&gt;"",A1559&lt;=Config!$B$9),L1559/60,0)</f>
        <v>0</v>
      </c>
      <c r="S1559" s="45">
        <f>IF(G1559="","",IFERROR(INDEX(Config!$K$5:$K$16,MATCH(G1559,Config!$J$5:$J$16,0)),""))</f>
        <v/>
      </c>
      <c r="T1559" s="31">
        <f>IF(OR(G1559="",F1559=""),"",IFERROR(INDEX(Config!$M$5:$R$16,MATCH(G1559,Config!$J$5:$J$16,0),MATCH(F1559,Config!$H$5:$H$10,0)),""))</f>
        <v/>
      </c>
      <c r="U1559" s="47">
        <f>IF(AND(H1559="Realizado",L1559&lt;&gt;""),L1559/60,0)</f>
        <v>0</v>
      </c>
      <c r="V1559" s="47">
        <f>IF(AND(H1559="Realizado",OR(L1559="",M1559="")),1,0)</f>
        <v>0</v>
      </c>
    </row>
    <row r="1560">
      <c r="A1560" s="43" t="n"/>
      <c r="B1560" s="44" t="n"/>
      <c r="C1560" s="38" t="n"/>
      <c r="D1560" s="38" t="n"/>
      <c r="E1560" s="37" t="n"/>
      <c r="F1560" s="38" t="n"/>
      <c r="G1560" s="38" t="n"/>
      <c r="H1560" s="38" t="n"/>
      <c r="I1560" s="38" t="n"/>
      <c r="J1560" s="38" t="n"/>
      <c r="K1560" s="37" t="n"/>
      <c r="L1560" s="39" t="n"/>
      <c r="M1560" s="40" t="n"/>
      <c r="N1560" s="30">
        <f>IF(A1560="","",MONTH(A1560))</f>
        <v/>
      </c>
      <c r="O1560" s="30">
        <f>IF(A1560="","",YEAR(A1560))</f>
        <v/>
      </c>
      <c r="P1560" s="30">
        <f>IF(A1560="","",CHOOSE(WEEKDAY(A1560,2),"Segunda","Terça","Quarta","Quinta","Sexta","Sábado","Domingo"))</f>
        <v/>
      </c>
      <c r="Q1560" s="30">
        <f>IF(B1560="","",IF(B1560&lt;TIME(12,0,0),"Manhã",IF(B1560&lt;TIME(18,0,0),"Tarde","Noite")))</f>
        <v/>
      </c>
      <c r="R1560" s="46">
        <f>IF(AND(H1560="Realizado",L1560&lt;&gt;"",A1560&lt;=Config!$B$9),L1560/60,0)</f>
        <v>0</v>
      </c>
      <c r="S1560" s="45">
        <f>IF(G1560="","",IFERROR(INDEX(Config!$K$5:$K$16,MATCH(G1560,Config!$J$5:$J$16,0)),""))</f>
        <v/>
      </c>
      <c r="T1560" s="31">
        <f>IF(OR(G1560="",F1560=""),"",IFERROR(INDEX(Config!$M$5:$R$16,MATCH(G1560,Config!$J$5:$J$16,0),MATCH(F1560,Config!$H$5:$H$10,0)),""))</f>
        <v/>
      </c>
      <c r="U1560" s="47">
        <f>IF(AND(H1560="Realizado",L1560&lt;&gt;""),L1560/60,0)</f>
        <v>0</v>
      </c>
      <c r="V1560" s="47">
        <f>IF(AND(H1560="Realizado",OR(L1560="",M1560="")),1,0)</f>
        <v>0</v>
      </c>
    </row>
    <row r="1561">
      <c r="A1561" s="43" t="n"/>
      <c r="B1561" s="44" t="n"/>
      <c r="C1561" s="38" t="n"/>
      <c r="D1561" s="38" t="n"/>
      <c r="E1561" s="37" t="n"/>
      <c r="F1561" s="38" t="n"/>
      <c r="G1561" s="38" t="n"/>
      <c r="H1561" s="38" t="n"/>
      <c r="I1561" s="38" t="n"/>
      <c r="J1561" s="38" t="n"/>
      <c r="K1561" s="37" t="n"/>
      <c r="L1561" s="39" t="n"/>
      <c r="M1561" s="40" t="n"/>
      <c r="N1561" s="30">
        <f>IF(A1561="","",MONTH(A1561))</f>
        <v/>
      </c>
      <c r="O1561" s="30">
        <f>IF(A1561="","",YEAR(A1561))</f>
        <v/>
      </c>
      <c r="P1561" s="30">
        <f>IF(A1561="","",CHOOSE(WEEKDAY(A1561,2),"Segunda","Terça","Quarta","Quinta","Sexta","Sábado","Domingo"))</f>
        <v/>
      </c>
      <c r="Q1561" s="30">
        <f>IF(B1561="","",IF(B1561&lt;TIME(12,0,0),"Manhã",IF(B1561&lt;TIME(18,0,0),"Tarde","Noite")))</f>
        <v/>
      </c>
      <c r="R1561" s="46">
        <f>IF(AND(H1561="Realizado",L1561&lt;&gt;"",A1561&lt;=Config!$B$9),L1561/60,0)</f>
        <v>0</v>
      </c>
      <c r="S1561" s="45">
        <f>IF(G1561="","",IFERROR(INDEX(Config!$K$5:$K$16,MATCH(G1561,Config!$J$5:$J$16,0)),""))</f>
        <v/>
      </c>
      <c r="T1561" s="31">
        <f>IF(OR(G1561="",F1561=""),"",IFERROR(INDEX(Config!$M$5:$R$16,MATCH(G1561,Config!$J$5:$J$16,0),MATCH(F1561,Config!$H$5:$H$10,0)),""))</f>
        <v/>
      </c>
      <c r="U1561" s="47">
        <f>IF(AND(H1561="Realizado",L1561&lt;&gt;""),L1561/60,0)</f>
        <v>0</v>
      </c>
      <c r="V1561" s="47">
        <f>IF(AND(H1561="Realizado",OR(L1561="",M1561="")),1,0)</f>
        <v>0</v>
      </c>
    </row>
    <row r="1562">
      <c r="A1562" s="43" t="n"/>
      <c r="B1562" s="44" t="n"/>
      <c r="C1562" s="38" t="n"/>
      <c r="D1562" s="38" t="n"/>
      <c r="E1562" s="37" t="n"/>
      <c r="F1562" s="38" t="n"/>
      <c r="G1562" s="38" t="n"/>
      <c r="H1562" s="38" t="n"/>
      <c r="I1562" s="38" t="n"/>
      <c r="J1562" s="38" t="n"/>
      <c r="K1562" s="37" t="n"/>
      <c r="L1562" s="39" t="n"/>
      <c r="M1562" s="40" t="n"/>
      <c r="N1562" s="30">
        <f>IF(A1562="","",MONTH(A1562))</f>
        <v/>
      </c>
      <c r="O1562" s="30">
        <f>IF(A1562="","",YEAR(A1562))</f>
        <v/>
      </c>
      <c r="P1562" s="30">
        <f>IF(A1562="","",CHOOSE(WEEKDAY(A1562,2),"Segunda","Terça","Quarta","Quinta","Sexta","Sábado","Domingo"))</f>
        <v/>
      </c>
      <c r="Q1562" s="30">
        <f>IF(B1562="","",IF(B1562&lt;TIME(12,0,0),"Manhã",IF(B1562&lt;TIME(18,0,0),"Tarde","Noite")))</f>
        <v/>
      </c>
      <c r="R1562" s="46">
        <f>IF(AND(H1562="Realizado",L1562&lt;&gt;"",A1562&lt;=Config!$B$9),L1562/60,0)</f>
        <v>0</v>
      </c>
      <c r="S1562" s="45">
        <f>IF(G1562="","",IFERROR(INDEX(Config!$K$5:$K$16,MATCH(G1562,Config!$J$5:$J$16,0)),""))</f>
        <v/>
      </c>
      <c r="T1562" s="31">
        <f>IF(OR(G1562="",F1562=""),"",IFERROR(INDEX(Config!$M$5:$R$16,MATCH(G1562,Config!$J$5:$J$16,0),MATCH(F1562,Config!$H$5:$H$10,0)),""))</f>
        <v/>
      </c>
      <c r="U1562" s="47">
        <f>IF(AND(H1562="Realizado",L1562&lt;&gt;""),L1562/60,0)</f>
        <v>0</v>
      </c>
      <c r="V1562" s="47">
        <f>IF(AND(H1562="Realizado",OR(L1562="",M1562="")),1,0)</f>
        <v>0</v>
      </c>
    </row>
    <row r="1563">
      <c r="A1563" s="43" t="n"/>
      <c r="B1563" s="44" t="n"/>
      <c r="C1563" s="38" t="n"/>
      <c r="D1563" s="38" t="n"/>
      <c r="E1563" s="37" t="n"/>
      <c r="F1563" s="38" t="n"/>
      <c r="G1563" s="38" t="n"/>
      <c r="H1563" s="38" t="n"/>
      <c r="I1563" s="38" t="n"/>
      <c r="J1563" s="38" t="n"/>
      <c r="K1563" s="37" t="n"/>
      <c r="L1563" s="39" t="n"/>
      <c r="M1563" s="40" t="n"/>
      <c r="N1563" s="30">
        <f>IF(A1563="","",MONTH(A1563))</f>
        <v/>
      </c>
      <c r="O1563" s="30">
        <f>IF(A1563="","",YEAR(A1563))</f>
        <v/>
      </c>
      <c r="P1563" s="30">
        <f>IF(A1563="","",CHOOSE(WEEKDAY(A1563,2),"Segunda","Terça","Quarta","Quinta","Sexta","Sábado","Domingo"))</f>
        <v/>
      </c>
      <c r="Q1563" s="30">
        <f>IF(B1563="","",IF(B1563&lt;TIME(12,0,0),"Manhã",IF(B1563&lt;TIME(18,0,0),"Tarde","Noite")))</f>
        <v/>
      </c>
      <c r="R1563" s="46">
        <f>IF(AND(H1563="Realizado",L1563&lt;&gt;"",A1563&lt;=Config!$B$9),L1563/60,0)</f>
        <v>0</v>
      </c>
      <c r="S1563" s="45">
        <f>IF(G1563="","",IFERROR(INDEX(Config!$K$5:$K$16,MATCH(G1563,Config!$J$5:$J$16,0)),""))</f>
        <v/>
      </c>
      <c r="T1563" s="31">
        <f>IF(OR(G1563="",F1563=""),"",IFERROR(INDEX(Config!$M$5:$R$16,MATCH(G1563,Config!$J$5:$J$16,0),MATCH(F1563,Config!$H$5:$H$10,0)),""))</f>
        <v/>
      </c>
      <c r="U1563" s="47">
        <f>IF(AND(H1563="Realizado",L1563&lt;&gt;""),L1563/60,0)</f>
        <v>0</v>
      </c>
      <c r="V1563" s="47">
        <f>IF(AND(H1563="Realizado",OR(L1563="",M1563="")),1,0)</f>
        <v>0</v>
      </c>
    </row>
    <row r="1564">
      <c r="A1564" s="43" t="n"/>
      <c r="B1564" s="44" t="n"/>
      <c r="C1564" s="38" t="n"/>
      <c r="D1564" s="38" t="n"/>
      <c r="E1564" s="37" t="n"/>
      <c r="F1564" s="38" t="n"/>
      <c r="G1564" s="38" t="n"/>
      <c r="H1564" s="38" t="n"/>
      <c r="I1564" s="38" t="n"/>
      <c r="J1564" s="38" t="n"/>
      <c r="K1564" s="37" t="n"/>
      <c r="L1564" s="39" t="n"/>
      <c r="M1564" s="40" t="n"/>
      <c r="N1564" s="30">
        <f>IF(A1564="","",MONTH(A1564))</f>
        <v/>
      </c>
      <c r="O1564" s="30">
        <f>IF(A1564="","",YEAR(A1564))</f>
        <v/>
      </c>
      <c r="P1564" s="30">
        <f>IF(A1564="","",CHOOSE(WEEKDAY(A1564,2),"Segunda","Terça","Quarta","Quinta","Sexta","Sábado","Domingo"))</f>
        <v/>
      </c>
      <c r="Q1564" s="30">
        <f>IF(B1564="","",IF(B1564&lt;TIME(12,0,0),"Manhã",IF(B1564&lt;TIME(18,0,0),"Tarde","Noite")))</f>
        <v/>
      </c>
      <c r="R1564" s="46">
        <f>IF(AND(H1564="Realizado",L1564&lt;&gt;"",A1564&lt;=Config!$B$9),L1564/60,0)</f>
        <v>0</v>
      </c>
      <c r="S1564" s="45">
        <f>IF(G1564="","",IFERROR(INDEX(Config!$K$5:$K$16,MATCH(G1564,Config!$J$5:$J$16,0)),""))</f>
        <v/>
      </c>
      <c r="T1564" s="31">
        <f>IF(OR(G1564="",F1564=""),"",IFERROR(INDEX(Config!$M$5:$R$16,MATCH(G1564,Config!$J$5:$J$16,0),MATCH(F1564,Config!$H$5:$H$10,0)),""))</f>
        <v/>
      </c>
      <c r="U1564" s="47">
        <f>IF(AND(H1564="Realizado",L1564&lt;&gt;""),L1564/60,0)</f>
        <v>0</v>
      </c>
      <c r="V1564" s="47">
        <f>IF(AND(H1564="Realizado",OR(L1564="",M1564="")),1,0)</f>
        <v>0</v>
      </c>
    </row>
    <row r="1565">
      <c r="A1565" s="43" t="n"/>
      <c r="B1565" s="44" t="n"/>
      <c r="C1565" s="38" t="n"/>
      <c r="D1565" s="38" t="n"/>
      <c r="E1565" s="37" t="n"/>
      <c r="F1565" s="38" t="n"/>
      <c r="G1565" s="38" t="n"/>
      <c r="H1565" s="38" t="n"/>
      <c r="I1565" s="38" t="n"/>
      <c r="J1565" s="38" t="n"/>
      <c r="K1565" s="37" t="n"/>
      <c r="L1565" s="39" t="n"/>
      <c r="M1565" s="40" t="n"/>
      <c r="N1565" s="30">
        <f>IF(A1565="","",MONTH(A1565))</f>
        <v/>
      </c>
      <c r="O1565" s="30">
        <f>IF(A1565="","",YEAR(A1565))</f>
        <v/>
      </c>
      <c r="P1565" s="30">
        <f>IF(A1565="","",CHOOSE(WEEKDAY(A1565,2),"Segunda","Terça","Quarta","Quinta","Sexta","Sábado","Domingo"))</f>
        <v/>
      </c>
      <c r="Q1565" s="30">
        <f>IF(B1565="","",IF(B1565&lt;TIME(12,0,0),"Manhã",IF(B1565&lt;TIME(18,0,0),"Tarde","Noite")))</f>
        <v/>
      </c>
      <c r="R1565" s="46">
        <f>IF(AND(H1565="Realizado",L1565&lt;&gt;"",A1565&lt;=Config!$B$9),L1565/60,0)</f>
        <v>0</v>
      </c>
      <c r="S1565" s="45">
        <f>IF(G1565="","",IFERROR(INDEX(Config!$K$5:$K$16,MATCH(G1565,Config!$J$5:$J$16,0)),""))</f>
        <v/>
      </c>
      <c r="T1565" s="31">
        <f>IF(OR(G1565="",F1565=""),"",IFERROR(INDEX(Config!$M$5:$R$16,MATCH(G1565,Config!$J$5:$J$16,0),MATCH(F1565,Config!$H$5:$H$10,0)),""))</f>
        <v/>
      </c>
      <c r="U1565" s="47">
        <f>IF(AND(H1565="Realizado",L1565&lt;&gt;""),L1565/60,0)</f>
        <v>0</v>
      </c>
      <c r="V1565" s="47">
        <f>IF(AND(H1565="Realizado",OR(L1565="",M1565="")),1,0)</f>
        <v>0</v>
      </c>
    </row>
    <row r="1566">
      <c r="A1566" s="43" t="n"/>
      <c r="B1566" s="44" t="n"/>
      <c r="C1566" s="38" t="n"/>
      <c r="D1566" s="38" t="n"/>
      <c r="E1566" s="37" t="n"/>
      <c r="F1566" s="38" t="n"/>
      <c r="G1566" s="38" t="n"/>
      <c r="H1566" s="38" t="n"/>
      <c r="I1566" s="38" t="n"/>
      <c r="J1566" s="38" t="n"/>
      <c r="K1566" s="37" t="n"/>
      <c r="L1566" s="39" t="n"/>
      <c r="M1566" s="40" t="n"/>
      <c r="N1566" s="30">
        <f>IF(A1566="","",MONTH(A1566))</f>
        <v/>
      </c>
      <c r="O1566" s="30">
        <f>IF(A1566="","",YEAR(A1566))</f>
        <v/>
      </c>
      <c r="P1566" s="30">
        <f>IF(A1566="","",CHOOSE(WEEKDAY(A1566,2),"Segunda","Terça","Quarta","Quinta","Sexta","Sábado","Domingo"))</f>
        <v/>
      </c>
      <c r="Q1566" s="30">
        <f>IF(B1566="","",IF(B1566&lt;TIME(12,0,0),"Manhã",IF(B1566&lt;TIME(18,0,0),"Tarde","Noite")))</f>
        <v/>
      </c>
      <c r="R1566" s="46">
        <f>IF(AND(H1566="Realizado",L1566&lt;&gt;"",A1566&lt;=Config!$B$9),L1566/60,0)</f>
        <v>0</v>
      </c>
      <c r="S1566" s="45">
        <f>IF(G1566="","",IFERROR(INDEX(Config!$K$5:$K$16,MATCH(G1566,Config!$J$5:$J$16,0)),""))</f>
        <v/>
      </c>
      <c r="T1566" s="31">
        <f>IF(OR(G1566="",F1566=""),"",IFERROR(INDEX(Config!$M$5:$R$16,MATCH(G1566,Config!$J$5:$J$16,0),MATCH(F1566,Config!$H$5:$H$10,0)),""))</f>
        <v/>
      </c>
      <c r="U1566" s="47">
        <f>IF(AND(H1566="Realizado",L1566&lt;&gt;""),L1566/60,0)</f>
        <v>0</v>
      </c>
      <c r="V1566" s="47">
        <f>IF(AND(H1566="Realizado",OR(L1566="",M1566="")),1,0)</f>
        <v>0</v>
      </c>
    </row>
    <row r="1567">
      <c r="A1567" s="43" t="n"/>
      <c r="B1567" s="44" t="n"/>
      <c r="C1567" s="38" t="n"/>
      <c r="D1567" s="38" t="n"/>
      <c r="E1567" s="37" t="n"/>
      <c r="F1567" s="38" t="n"/>
      <c r="G1567" s="38" t="n"/>
      <c r="H1567" s="38" t="n"/>
      <c r="I1567" s="38" t="n"/>
      <c r="J1567" s="38" t="n"/>
      <c r="K1567" s="37" t="n"/>
      <c r="L1567" s="39" t="n"/>
      <c r="M1567" s="40" t="n"/>
      <c r="N1567" s="30">
        <f>IF(A1567="","",MONTH(A1567))</f>
        <v/>
      </c>
      <c r="O1567" s="30">
        <f>IF(A1567="","",YEAR(A1567))</f>
        <v/>
      </c>
      <c r="P1567" s="30">
        <f>IF(A1567="","",CHOOSE(WEEKDAY(A1567,2),"Segunda","Terça","Quarta","Quinta","Sexta","Sábado","Domingo"))</f>
        <v/>
      </c>
      <c r="Q1567" s="30">
        <f>IF(B1567="","",IF(B1567&lt;TIME(12,0,0),"Manhã",IF(B1567&lt;TIME(18,0,0),"Tarde","Noite")))</f>
        <v/>
      </c>
      <c r="R1567" s="46">
        <f>IF(AND(H1567="Realizado",L1567&lt;&gt;"",A1567&lt;=Config!$B$9),L1567/60,0)</f>
        <v>0</v>
      </c>
      <c r="S1567" s="45">
        <f>IF(G1567="","",IFERROR(INDEX(Config!$K$5:$K$16,MATCH(G1567,Config!$J$5:$J$16,0)),""))</f>
        <v/>
      </c>
      <c r="T1567" s="31">
        <f>IF(OR(G1567="",F1567=""),"",IFERROR(INDEX(Config!$M$5:$R$16,MATCH(G1567,Config!$J$5:$J$16,0),MATCH(F1567,Config!$H$5:$H$10,0)),""))</f>
        <v/>
      </c>
      <c r="U1567" s="47">
        <f>IF(AND(H1567="Realizado",L1567&lt;&gt;""),L1567/60,0)</f>
        <v>0</v>
      </c>
      <c r="V1567" s="47">
        <f>IF(AND(H1567="Realizado",OR(L1567="",M1567="")),1,0)</f>
        <v>0</v>
      </c>
    </row>
    <row r="1568">
      <c r="A1568" s="43" t="n"/>
      <c r="B1568" s="44" t="n"/>
      <c r="C1568" s="38" t="n"/>
      <c r="D1568" s="38" t="n"/>
      <c r="E1568" s="37" t="n"/>
      <c r="F1568" s="38" t="n"/>
      <c r="G1568" s="38" t="n"/>
      <c r="H1568" s="38" t="n"/>
      <c r="I1568" s="38" t="n"/>
      <c r="J1568" s="38" t="n"/>
      <c r="K1568" s="37" t="n"/>
      <c r="L1568" s="39" t="n"/>
      <c r="M1568" s="40" t="n"/>
      <c r="N1568" s="30">
        <f>IF(A1568="","",MONTH(A1568))</f>
        <v/>
      </c>
      <c r="O1568" s="30">
        <f>IF(A1568="","",YEAR(A1568))</f>
        <v/>
      </c>
      <c r="P1568" s="30">
        <f>IF(A1568="","",CHOOSE(WEEKDAY(A1568,2),"Segunda","Terça","Quarta","Quinta","Sexta","Sábado","Domingo"))</f>
        <v/>
      </c>
      <c r="Q1568" s="30">
        <f>IF(B1568="","",IF(B1568&lt;TIME(12,0,0),"Manhã",IF(B1568&lt;TIME(18,0,0),"Tarde","Noite")))</f>
        <v/>
      </c>
      <c r="R1568" s="46">
        <f>IF(AND(H1568="Realizado",L1568&lt;&gt;"",A1568&lt;=Config!$B$9),L1568/60,0)</f>
        <v>0</v>
      </c>
      <c r="S1568" s="45">
        <f>IF(G1568="","",IFERROR(INDEX(Config!$K$5:$K$16,MATCH(G1568,Config!$J$5:$J$16,0)),""))</f>
        <v/>
      </c>
      <c r="T1568" s="31">
        <f>IF(OR(G1568="",F1568=""),"",IFERROR(INDEX(Config!$M$5:$R$16,MATCH(G1568,Config!$J$5:$J$16,0),MATCH(F1568,Config!$H$5:$H$10,0)),""))</f>
        <v/>
      </c>
      <c r="U1568" s="47">
        <f>IF(AND(H1568="Realizado",L1568&lt;&gt;""),L1568/60,0)</f>
        <v>0</v>
      </c>
      <c r="V1568" s="47">
        <f>IF(AND(H1568="Realizado",OR(L1568="",M1568="")),1,0)</f>
        <v>0</v>
      </c>
    </row>
    <row r="1569">
      <c r="A1569" s="43" t="n"/>
      <c r="B1569" s="44" t="n"/>
      <c r="C1569" s="38" t="n"/>
      <c r="D1569" s="38" t="n"/>
      <c r="E1569" s="37" t="n"/>
      <c r="F1569" s="38" t="n"/>
      <c r="G1569" s="38" t="n"/>
      <c r="H1569" s="38" t="n"/>
      <c r="I1569" s="38" t="n"/>
      <c r="J1569" s="38" t="n"/>
      <c r="K1569" s="37" t="n"/>
      <c r="L1569" s="39" t="n"/>
      <c r="M1569" s="40" t="n"/>
      <c r="N1569" s="30">
        <f>IF(A1569="","",MONTH(A1569))</f>
        <v/>
      </c>
      <c r="O1569" s="30">
        <f>IF(A1569="","",YEAR(A1569))</f>
        <v/>
      </c>
      <c r="P1569" s="30">
        <f>IF(A1569="","",CHOOSE(WEEKDAY(A1569,2),"Segunda","Terça","Quarta","Quinta","Sexta","Sábado","Domingo"))</f>
        <v/>
      </c>
      <c r="Q1569" s="30">
        <f>IF(B1569="","",IF(B1569&lt;TIME(12,0,0),"Manhã",IF(B1569&lt;TIME(18,0,0),"Tarde","Noite")))</f>
        <v/>
      </c>
      <c r="R1569" s="46">
        <f>IF(AND(H1569="Realizado",L1569&lt;&gt;"",A1569&lt;=Config!$B$9),L1569/60,0)</f>
        <v>0</v>
      </c>
      <c r="S1569" s="45">
        <f>IF(G1569="","",IFERROR(INDEX(Config!$K$5:$K$16,MATCH(G1569,Config!$J$5:$J$16,0)),""))</f>
        <v/>
      </c>
      <c r="T1569" s="31">
        <f>IF(OR(G1569="",F1569=""),"",IFERROR(INDEX(Config!$M$5:$R$16,MATCH(G1569,Config!$J$5:$J$16,0),MATCH(F1569,Config!$H$5:$H$10,0)),""))</f>
        <v/>
      </c>
      <c r="U1569" s="47">
        <f>IF(AND(H1569="Realizado",L1569&lt;&gt;""),L1569/60,0)</f>
        <v>0</v>
      </c>
      <c r="V1569" s="47">
        <f>IF(AND(H1569="Realizado",OR(L1569="",M1569="")),1,0)</f>
        <v>0</v>
      </c>
    </row>
    <row r="1570">
      <c r="A1570" s="43" t="n"/>
      <c r="B1570" s="44" t="n"/>
      <c r="C1570" s="38" t="n"/>
      <c r="D1570" s="38" t="n"/>
      <c r="E1570" s="37" t="n"/>
      <c r="F1570" s="38" t="n"/>
      <c r="G1570" s="38" t="n"/>
      <c r="H1570" s="38" t="n"/>
      <c r="I1570" s="38" t="n"/>
      <c r="J1570" s="38" t="n"/>
      <c r="K1570" s="37" t="n"/>
      <c r="L1570" s="39" t="n"/>
      <c r="M1570" s="40" t="n"/>
      <c r="N1570" s="30">
        <f>IF(A1570="","",MONTH(A1570))</f>
        <v/>
      </c>
      <c r="O1570" s="30">
        <f>IF(A1570="","",YEAR(A1570))</f>
        <v/>
      </c>
      <c r="P1570" s="30">
        <f>IF(A1570="","",CHOOSE(WEEKDAY(A1570,2),"Segunda","Terça","Quarta","Quinta","Sexta","Sábado","Domingo"))</f>
        <v/>
      </c>
      <c r="Q1570" s="30">
        <f>IF(B1570="","",IF(B1570&lt;TIME(12,0,0),"Manhã",IF(B1570&lt;TIME(18,0,0),"Tarde","Noite")))</f>
        <v/>
      </c>
      <c r="R1570" s="46">
        <f>IF(AND(H1570="Realizado",L1570&lt;&gt;"",A1570&lt;=Config!$B$9),L1570/60,0)</f>
        <v>0</v>
      </c>
      <c r="S1570" s="45">
        <f>IF(G1570="","",IFERROR(INDEX(Config!$K$5:$K$16,MATCH(G1570,Config!$J$5:$J$16,0)),""))</f>
        <v/>
      </c>
      <c r="T1570" s="31">
        <f>IF(OR(G1570="",F1570=""),"",IFERROR(INDEX(Config!$M$5:$R$16,MATCH(G1570,Config!$J$5:$J$16,0),MATCH(F1570,Config!$H$5:$H$10,0)),""))</f>
        <v/>
      </c>
      <c r="U1570" s="47">
        <f>IF(AND(H1570="Realizado",L1570&lt;&gt;""),L1570/60,0)</f>
        <v>0</v>
      </c>
      <c r="V1570" s="47">
        <f>IF(AND(H1570="Realizado",OR(L1570="",M1570="")),1,0)</f>
        <v>0</v>
      </c>
    </row>
    <row r="1571">
      <c r="A1571" s="43" t="n"/>
      <c r="B1571" s="44" t="n"/>
      <c r="C1571" s="38" t="n"/>
      <c r="D1571" s="38" t="n"/>
      <c r="E1571" s="37" t="n"/>
      <c r="F1571" s="38" t="n"/>
      <c r="G1571" s="38" t="n"/>
      <c r="H1571" s="38" t="n"/>
      <c r="I1571" s="38" t="n"/>
      <c r="J1571" s="38" t="n"/>
      <c r="K1571" s="37" t="n"/>
      <c r="L1571" s="39" t="n"/>
      <c r="M1571" s="40" t="n"/>
      <c r="N1571" s="30">
        <f>IF(A1571="","",MONTH(A1571))</f>
        <v/>
      </c>
      <c r="O1571" s="30">
        <f>IF(A1571="","",YEAR(A1571))</f>
        <v/>
      </c>
      <c r="P1571" s="30">
        <f>IF(A1571="","",CHOOSE(WEEKDAY(A1571,2),"Segunda","Terça","Quarta","Quinta","Sexta","Sábado","Domingo"))</f>
        <v/>
      </c>
      <c r="Q1571" s="30">
        <f>IF(B1571="","",IF(B1571&lt;TIME(12,0,0),"Manhã",IF(B1571&lt;TIME(18,0,0),"Tarde","Noite")))</f>
        <v/>
      </c>
      <c r="R1571" s="46">
        <f>IF(AND(H1571="Realizado",L1571&lt;&gt;"",A1571&lt;=Config!$B$9),L1571/60,0)</f>
        <v>0</v>
      </c>
      <c r="S1571" s="45">
        <f>IF(G1571="","",IFERROR(INDEX(Config!$K$5:$K$16,MATCH(G1571,Config!$J$5:$J$16,0)),""))</f>
        <v/>
      </c>
      <c r="T1571" s="31">
        <f>IF(OR(G1571="",F1571=""),"",IFERROR(INDEX(Config!$M$5:$R$16,MATCH(G1571,Config!$J$5:$J$16,0),MATCH(F1571,Config!$H$5:$H$10,0)),""))</f>
        <v/>
      </c>
      <c r="U1571" s="47">
        <f>IF(AND(H1571="Realizado",L1571&lt;&gt;""),L1571/60,0)</f>
        <v>0</v>
      </c>
      <c r="V1571" s="47">
        <f>IF(AND(H1571="Realizado",OR(L1571="",M1571="")),1,0)</f>
        <v>0</v>
      </c>
    </row>
    <row r="1572">
      <c r="A1572" s="43" t="n"/>
      <c r="B1572" s="44" t="n"/>
      <c r="C1572" s="38" t="n"/>
      <c r="D1572" s="38" t="n"/>
      <c r="E1572" s="37" t="n"/>
      <c r="F1572" s="38" t="n"/>
      <c r="G1572" s="38" t="n"/>
      <c r="H1572" s="38" t="n"/>
      <c r="I1572" s="38" t="n"/>
      <c r="J1572" s="38" t="n"/>
      <c r="K1572" s="37" t="n"/>
      <c r="L1572" s="39" t="n"/>
      <c r="M1572" s="40" t="n"/>
      <c r="N1572" s="30">
        <f>IF(A1572="","",MONTH(A1572))</f>
        <v/>
      </c>
      <c r="O1572" s="30">
        <f>IF(A1572="","",YEAR(A1572))</f>
        <v/>
      </c>
      <c r="P1572" s="30">
        <f>IF(A1572="","",CHOOSE(WEEKDAY(A1572,2),"Segunda","Terça","Quarta","Quinta","Sexta","Sábado","Domingo"))</f>
        <v/>
      </c>
      <c r="Q1572" s="30">
        <f>IF(B1572="","",IF(B1572&lt;TIME(12,0,0),"Manhã",IF(B1572&lt;TIME(18,0,0),"Tarde","Noite")))</f>
        <v/>
      </c>
      <c r="R1572" s="46">
        <f>IF(AND(H1572="Realizado",L1572&lt;&gt;"",A1572&lt;=Config!$B$9),L1572/60,0)</f>
        <v>0</v>
      </c>
      <c r="S1572" s="45">
        <f>IF(G1572="","",IFERROR(INDEX(Config!$K$5:$K$16,MATCH(G1572,Config!$J$5:$J$16,0)),""))</f>
        <v/>
      </c>
      <c r="T1572" s="31">
        <f>IF(OR(G1572="",F1572=""),"",IFERROR(INDEX(Config!$M$5:$R$16,MATCH(G1572,Config!$J$5:$J$16,0),MATCH(F1572,Config!$H$5:$H$10,0)),""))</f>
        <v/>
      </c>
      <c r="U1572" s="47">
        <f>IF(AND(H1572="Realizado",L1572&lt;&gt;""),L1572/60,0)</f>
        <v>0</v>
      </c>
      <c r="V1572" s="47">
        <f>IF(AND(H1572="Realizado",OR(L1572="",M1572="")),1,0)</f>
        <v>0</v>
      </c>
    </row>
    <row r="1573">
      <c r="A1573" s="43" t="n"/>
      <c r="B1573" s="44" t="n"/>
      <c r="C1573" s="38" t="n"/>
      <c r="D1573" s="38" t="n"/>
      <c r="E1573" s="37" t="n"/>
      <c r="F1573" s="38" t="n"/>
      <c r="G1573" s="38" t="n"/>
      <c r="H1573" s="38" t="n"/>
      <c r="I1573" s="38" t="n"/>
      <c r="J1573" s="38" t="n"/>
      <c r="K1573" s="37" t="n"/>
      <c r="L1573" s="39" t="n"/>
      <c r="M1573" s="40" t="n"/>
      <c r="N1573" s="30">
        <f>IF(A1573="","",MONTH(A1573))</f>
        <v/>
      </c>
      <c r="O1573" s="30">
        <f>IF(A1573="","",YEAR(A1573))</f>
        <v/>
      </c>
      <c r="P1573" s="30">
        <f>IF(A1573="","",CHOOSE(WEEKDAY(A1573,2),"Segunda","Terça","Quarta","Quinta","Sexta","Sábado","Domingo"))</f>
        <v/>
      </c>
      <c r="Q1573" s="30">
        <f>IF(B1573="","",IF(B1573&lt;TIME(12,0,0),"Manhã",IF(B1573&lt;TIME(18,0,0),"Tarde","Noite")))</f>
        <v/>
      </c>
      <c r="R1573" s="46">
        <f>IF(AND(H1573="Realizado",L1573&lt;&gt;"",A1573&lt;=Config!$B$9),L1573/60,0)</f>
        <v>0</v>
      </c>
      <c r="S1573" s="45">
        <f>IF(G1573="","",IFERROR(INDEX(Config!$K$5:$K$16,MATCH(G1573,Config!$J$5:$J$16,0)),""))</f>
        <v/>
      </c>
      <c r="T1573" s="31">
        <f>IF(OR(G1573="",F1573=""),"",IFERROR(INDEX(Config!$M$5:$R$16,MATCH(G1573,Config!$J$5:$J$16,0),MATCH(F1573,Config!$H$5:$H$10,0)),""))</f>
        <v/>
      </c>
      <c r="U1573" s="47">
        <f>IF(AND(H1573="Realizado",L1573&lt;&gt;""),L1573/60,0)</f>
        <v>0</v>
      </c>
      <c r="V1573" s="47">
        <f>IF(AND(H1573="Realizado",OR(L1573="",M1573="")),1,0)</f>
        <v>0</v>
      </c>
    </row>
    <row r="1574">
      <c r="A1574" s="43" t="n"/>
      <c r="B1574" s="44" t="n"/>
      <c r="C1574" s="38" t="n"/>
      <c r="D1574" s="38" t="n"/>
      <c r="E1574" s="37" t="n"/>
      <c r="F1574" s="38" t="n"/>
      <c r="G1574" s="38" t="n"/>
      <c r="H1574" s="38" t="n"/>
      <c r="I1574" s="38" t="n"/>
      <c r="J1574" s="38" t="n"/>
      <c r="K1574" s="37" t="n"/>
      <c r="L1574" s="39" t="n"/>
      <c r="M1574" s="40" t="n"/>
      <c r="N1574" s="30">
        <f>IF(A1574="","",MONTH(A1574))</f>
        <v/>
      </c>
      <c r="O1574" s="30">
        <f>IF(A1574="","",YEAR(A1574))</f>
        <v/>
      </c>
      <c r="P1574" s="30">
        <f>IF(A1574="","",CHOOSE(WEEKDAY(A1574,2),"Segunda","Terça","Quarta","Quinta","Sexta","Sábado","Domingo"))</f>
        <v/>
      </c>
      <c r="Q1574" s="30">
        <f>IF(B1574="","",IF(B1574&lt;TIME(12,0,0),"Manhã",IF(B1574&lt;TIME(18,0,0),"Tarde","Noite")))</f>
        <v/>
      </c>
      <c r="R1574" s="46">
        <f>IF(AND(H1574="Realizado",L1574&lt;&gt;"",A1574&lt;=Config!$B$9),L1574/60,0)</f>
        <v>0</v>
      </c>
      <c r="S1574" s="45">
        <f>IF(G1574="","",IFERROR(INDEX(Config!$K$5:$K$16,MATCH(G1574,Config!$J$5:$J$16,0)),""))</f>
        <v/>
      </c>
      <c r="T1574" s="31">
        <f>IF(OR(G1574="",F1574=""),"",IFERROR(INDEX(Config!$M$5:$R$16,MATCH(G1574,Config!$J$5:$J$16,0),MATCH(F1574,Config!$H$5:$H$10,0)),""))</f>
        <v/>
      </c>
      <c r="U1574" s="47">
        <f>IF(AND(H1574="Realizado",L1574&lt;&gt;""),L1574/60,0)</f>
        <v>0</v>
      </c>
      <c r="V1574" s="47">
        <f>IF(AND(H1574="Realizado",OR(L1574="",M1574="")),1,0)</f>
        <v>0</v>
      </c>
    </row>
    <row r="1575">
      <c r="A1575" s="43" t="n"/>
      <c r="B1575" s="44" t="n"/>
      <c r="C1575" s="38" t="n"/>
      <c r="D1575" s="38" t="n"/>
      <c r="E1575" s="37" t="n"/>
      <c r="F1575" s="38" t="n"/>
      <c r="G1575" s="38" t="n"/>
      <c r="H1575" s="38" t="n"/>
      <c r="I1575" s="38" t="n"/>
      <c r="J1575" s="38" t="n"/>
      <c r="K1575" s="37" t="n"/>
      <c r="L1575" s="39" t="n"/>
      <c r="M1575" s="40" t="n"/>
      <c r="N1575" s="30">
        <f>IF(A1575="","",MONTH(A1575))</f>
        <v/>
      </c>
      <c r="O1575" s="30">
        <f>IF(A1575="","",YEAR(A1575))</f>
        <v/>
      </c>
      <c r="P1575" s="30">
        <f>IF(A1575="","",CHOOSE(WEEKDAY(A1575,2),"Segunda","Terça","Quarta","Quinta","Sexta","Sábado","Domingo"))</f>
        <v/>
      </c>
      <c r="Q1575" s="30">
        <f>IF(B1575="","",IF(B1575&lt;TIME(12,0,0),"Manhã",IF(B1575&lt;TIME(18,0,0),"Tarde","Noite")))</f>
        <v/>
      </c>
      <c r="R1575" s="46">
        <f>IF(AND(H1575="Realizado",L1575&lt;&gt;"",A1575&lt;=Config!$B$9),L1575/60,0)</f>
        <v>0</v>
      </c>
      <c r="S1575" s="45">
        <f>IF(G1575="","",IFERROR(INDEX(Config!$K$5:$K$16,MATCH(G1575,Config!$J$5:$J$16,0)),""))</f>
        <v/>
      </c>
      <c r="T1575" s="31">
        <f>IF(OR(G1575="",F1575=""),"",IFERROR(INDEX(Config!$M$5:$R$16,MATCH(G1575,Config!$J$5:$J$16,0),MATCH(F1575,Config!$H$5:$H$10,0)),""))</f>
        <v/>
      </c>
      <c r="U1575" s="47">
        <f>IF(AND(H1575="Realizado",L1575&lt;&gt;""),L1575/60,0)</f>
        <v>0</v>
      </c>
      <c r="V1575" s="47">
        <f>IF(AND(H1575="Realizado",OR(L1575="",M1575="")),1,0)</f>
        <v>0</v>
      </c>
    </row>
    <row r="1576">
      <c r="A1576" s="43" t="n"/>
      <c r="B1576" s="44" t="n"/>
      <c r="C1576" s="38" t="n"/>
      <c r="D1576" s="38" t="n"/>
      <c r="E1576" s="37" t="n"/>
      <c r="F1576" s="38" t="n"/>
      <c r="G1576" s="38" t="n"/>
      <c r="H1576" s="38" t="n"/>
      <c r="I1576" s="38" t="n"/>
      <c r="J1576" s="38" t="n"/>
      <c r="K1576" s="37" t="n"/>
      <c r="L1576" s="39" t="n"/>
      <c r="M1576" s="40" t="n"/>
      <c r="N1576" s="30">
        <f>IF(A1576="","",MONTH(A1576))</f>
        <v/>
      </c>
      <c r="O1576" s="30">
        <f>IF(A1576="","",YEAR(A1576))</f>
        <v/>
      </c>
      <c r="P1576" s="30">
        <f>IF(A1576="","",CHOOSE(WEEKDAY(A1576,2),"Segunda","Terça","Quarta","Quinta","Sexta","Sábado","Domingo"))</f>
        <v/>
      </c>
      <c r="Q1576" s="30">
        <f>IF(B1576="","",IF(B1576&lt;TIME(12,0,0),"Manhã",IF(B1576&lt;TIME(18,0,0),"Tarde","Noite")))</f>
        <v/>
      </c>
      <c r="R1576" s="46">
        <f>IF(AND(H1576="Realizado",L1576&lt;&gt;"",A1576&lt;=Config!$B$9),L1576/60,0)</f>
        <v>0</v>
      </c>
      <c r="S1576" s="45">
        <f>IF(G1576="","",IFERROR(INDEX(Config!$K$5:$K$16,MATCH(G1576,Config!$J$5:$J$16,0)),""))</f>
        <v/>
      </c>
      <c r="T1576" s="31">
        <f>IF(OR(G1576="",F1576=""),"",IFERROR(INDEX(Config!$M$5:$R$16,MATCH(G1576,Config!$J$5:$J$16,0),MATCH(F1576,Config!$H$5:$H$10,0)),""))</f>
        <v/>
      </c>
      <c r="U1576" s="47">
        <f>IF(AND(H1576="Realizado",L1576&lt;&gt;""),L1576/60,0)</f>
        <v>0</v>
      </c>
      <c r="V1576" s="47">
        <f>IF(AND(H1576="Realizado",OR(L1576="",M1576="")),1,0)</f>
        <v>0</v>
      </c>
    </row>
    <row r="1577">
      <c r="A1577" s="43" t="n"/>
      <c r="B1577" s="44" t="n"/>
      <c r="C1577" s="38" t="n"/>
      <c r="D1577" s="38" t="n"/>
      <c r="E1577" s="37" t="n"/>
      <c r="F1577" s="38" t="n"/>
      <c r="G1577" s="38" t="n"/>
      <c r="H1577" s="38" t="n"/>
      <c r="I1577" s="38" t="n"/>
      <c r="J1577" s="38" t="n"/>
      <c r="K1577" s="37" t="n"/>
      <c r="L1577" s="39" t="n"/>
      <c r="M1577" s="40" t="n"/>
      <c r="N1577" s="30">
        <f>IF(A1577="","",MONTH(A1577))</f>
        <v/>
      </c>
      <c r="O1577" s="30">
        <f>IF(A1577="","",YEAR(A1577))</f>
        <v/>
      </c>
      <c r="P1577" s="30">
        <f>IF(A1577="","",CHOOSE(WEEKDAY(A1577,2),"Segunda","Terça","Quarta","Quinta","Sexta","Sábado","Domingo"))</f>
        <v/>
      </c>
      <c r="Q1577" s="30">
        <f>IF(B1577="","",IF(B1577&lt;TIME(12,0,0),"Manhã",IF(B1577&lt;TIME(18,0,0),"Tarde","Noite")))</f>
        <v/>
      </c>
      <c r="R1577" s="46">
        <f>IF(AND(H1577="Realizado",L1577&lt;&gt;"",A1577&lt;=Config!$B$9),L1577/60,0)</f>
        <v>0</v>
      </c>
      <c r="S1577" s="45">
        <f>IF(G1577="","",IFERROR(INDEX(Config!$K$5:$K$16,MATCH(G1577,Config!$J$5:$J$16,0)),""))</f>
        <v/>
      </c>
      <c r="T1577" s="31">
        <f>IF(OR(G1577="",F1577=""),"",IFERROR(INDEX(Config!$M$5:$R$16,MATCH(G1577,Config!$J$5:$J$16,0),MATCH(F1577,Config!$H$5:$H$10,0)),""))</f>
        <v/>
      </c>
      <c r="U1577" s="47">
        <f>IF(AND(H1577="Realizado",L1577&lt;&gt;""),L1577/60,0)</f>
        <v>0</v>
      </c>
      <c r="V1577" s="47">
        <f>IF(AND(H1577="Realizado",OR(L1577="",M1577="")),1,0)</f>
        <v>0</v>
      </c>
    </row>
    <row r="1578">
      <c r="A1578" s="43" t="n"/>
      <c r="B1578" s="44" t="n"/>
      <c r="C1578" s="38" t="n"/>
      <c r="D1578" s="38" t="n"/>
      <c r="E1578" s="37" t="n"/>
      <c r="F1578" s="38" t="n"/>
      <c r="G1578" s="38" t="n"/>
      <c r="H1578" s="38" t="n"/>
      <c r="I1578" s="38" t="n"/>
      <c r="J1578" s="38" t="n"/>
      <c r="K1578" s="37" t="n"/>
      <c r="L1578" s="39" t="n"/>
      <c r="M1578" s="40" t="n"/>
      <c r="N1578" s="30">
        <f>IF(A1578="","",MONTH(A1578))</f>
        <v/>
      </c>
      <c r="O1578" s="30">
        <f>IF(A1578="","",YEAR(A1578))</f>
        <v/>
      </c>
      <c r="P1578" s="30">
        <f>IF(A1578="","",CHOOSE(WEEKDAY(A1578,2),"Segunda","Terça","Quarta","Quinta","Sexta","Sábado","Domingo"))</f>
        <v/>
      </c>
      <c r="Q1578" s="30">
        <f>IF(B1578="","",IF(B1578&lt;TIME(12,0,0),"Manhã",IF(B1578&lt;TIME(18,0,0),"Tarde","Noite")))</f>
        <v/>
      </c>
      <c r="R1578" s="46">
        <f>IF(AND(H1578="Realizado",L1578&lt;&gt;"",A1578&lt;=Config!$B$9),L1578/60,0)</f>
        <v>0</v>
      </c>
      <c r="S1578" s="45">
        <f>IF(G1578="","",IFERROR(INDEX(Config!$K$5:$K$16,MATCH(G1578,Config!$J$5:$J$16,0)),""))</f>
        <v/>
      </c>
      <c r="T1578" s="31">
        <f>IF(OR(G1578="",F1578=""),"",IFERROR(INDEX(Config!$M$5:$R$16,MATCH(G1578,Config!$J$5:$J$16,0),MATCH(F1578,Config!$H$5:$H$10,0)),""))</f>
        <v/>
      </c>
      <c r="U1578" s="47">
        <f>IF(AND(H1578="Realizado",L1578&lt;&gt;""),L1578/60,0)</f>
        <v>0</v>
      </c>
      <c r="V1578" s="47">
        <f>IF(AND(H1578="Realizado",OR(L1578="",M1578="")),1,0)</f>
        <v>0</v>
      </c>
    </row>
    <row r="1579">
      <c r="A1579" s="43" t="n"/>
      <c r="B1579" s="44" t="n"/>
      <c r="C1579" s="38" t="n"/>
      <c r="D1579" s="38" t="n"/>
      <c r="E1579" s="37" t="n"/>
      <c r="F1579" s="38" t="n"/>
      <c r="G1579" s="38" t="n"/>
      <c r="H1579" s="38" t="n"/>
      <c r="I1579" s="38" t="n"/>
      <c r="J1579" s="38" t="n"/>
      <c r="K1579" s="37" t="n"/>
      <c r="L1579" s="39" t="n"/>
      <c r="M1579" s="40" t="n"/>
      <c r="N1579" s="30">
        <f>IF(A1579="","",MONTH(A1579))</f>
        <v/>
      </c>
      <c r="O1579" s="30">
        <f>IF(A1579="","",YEAR(A1579))</f>
        <v/>
      </c>
      <c r="P1579" s="30">
        <f>IF(A1579="","",CHOOSE(WEEKDAY(A1579,2),"Segunda","Terça","Quarta","Quinta","Sexta","Sábado","Domingo"))</f>
        <v/>
      </c>
      <c r="Q1579" s="30">
        <f>IF(B1579="","",IF(B1579&lt;TIME(12,0,0),"Manhã",IF(B1579&lt;TIME(18,0,0),"Tarde","Noite")))</f>
        <v/>
      </c>
      <c r="R1579" s="46">
        <f>IF(AND(H1579="Realizado",L1579&lt;&gt;"",A1579&lt;=Config!$B$9),L1579/60,0)</f>
        <v>0</v>
      </c>
      <c r="S1579" s="45">
        <f>IF(G1579="","",IFERROR(INDEX(Config!$K$5:$K$16,MATCH(G1579,Config!$J$5:$J$16,0)),""))</f>
        <v/>
      </c>
      <c r="T1579" s="31">
        <f>IF(OR(G1579="",F1579=""),"",IFERROR(INDEX(Config!$M$5:$R$16,MATCH(G1579,Config!$J$5:$J$16,0),MATCH(F1579,Config!$H$5:$H$10,0)),""))</f>
        <v/>
      </c>
      <c r="U1579" s="47">
        <f>IF(AND(H1579="Realizado",L1579&lt;&gt;""),L1579/60,0)</f>
        <v>0</v>
      </c>
      <c r="V1579" s="47">
        <f>IF(AND(H1579="Realizado",OR(L1579="",M1579="")),1,0)</f>
        <v>0</v>
      </c>
    </row>
    <row r="1580">
      <c r="A1580" s="43" t="n"/>
      <c r="B1580" s="44" t="n"/>
      <c r="C1580" s="38" t="n"/>
      <c r="D1580" s="38" t="n"/>
      <c r="E1580" s="37" t="n"/>
      <c r="F1580" s="38" t="n"/>
      <c r="G1580" s="38" t="n"/>
      <c r="H1580" s="38" t="n"/>
      <c r="I1580" s="38" t="n"/>
      <c r="J1580" s="38" t="n"/>
      <c r="K1580" s="37" t="n"/>
      <c r="L1580" s="39" t="n"/>
      <c r="M1580" s="40" t="n"/>
      <c r="N1580" s="30">
        <f>IF(A1580="","",MONTH(A1580))</f>
        <v/>
      </c>
      <c r="O1580" s="30">
        <f>IF(A1580="","",YEAR(A1580))</f>
        <v/>
      </c>
      <c r="P1580" s="30">
        <f>IF(A1580="","",CHOOSE(WEEKDAY(A1580,2),"Segunda","Terça","Quarta","Quinta","Sexta","Sábado","Domingo"))</f>
        <v/>
      </c>
      <c r="Q1580" s="30">
        <f>IF(B1580="","",IF(B1580&lt;TIME(12,0,0),"Manhã",IF(B1580&lt;TIME(18,0,0),"Tarde","Noite")))</f>
        <v/>
      </c>
      <c r="R1580" s="46">
        <f>IF(AND(H1580="Realizado",L1580&lt;&gt;"",A1580&lt;=Config!$B$9),L1580/60,0)</f>
        <v>0</v>
      </c>
      <c r="S1580" s="45">
        <f>IF(G1580="","",IFERROR(INDEX(Config!$K$5:$K$16,MATCH(G1580,Config!$J$5:$J$16,0)),""))</f>
        <v/>
      </c>
      <c r="T1580" s="31">
        <f>IF(OR(G1580="",F1580=""),"",IFERROR(INDEX(Config!$M$5:$R$16,MATCH(G1580,Config!$J$5:$J$16,0),MATCH(F1580,Config!$H$5:$H$10,0)),""))</f>
        <v/>
      </c>
      <c r="U1580" s="47">
        <f>IF(AND(H1580="Realizado",L1580&lt;&gt;""),L1580/60,0)</f>
        <v>0</v>
      </c>
      <c r="V1580" s="47">
        <f>IF(AND(H1580="Realizado",OR(L1580="",M1580="")),1,0)</f>
        <v>0</v>
      </c>
    </row>
    <row r="1581">
      <c r="A1581" s="43" t="n"/>
      <c r="B1581" s="44" t="n"/>
      <c r="C1581" s="38" t="n"/>
      <c r="D1581" s="38" t="n"/>
      <c r="E1581" s="37" t="n"/>
      <c r="F1581" s="38" t="n"/>
      <c r="G1581" s="38" t="n"/>
      <c r="H1581" s="38" t="n"/>
      <c r="I1581" s="38" t="n"/>
      <c r="J1581" s="38" t="n"/>
      <c r="K1581" s="37" t="n"/>
      <c r="L1581" s="39" t="n"/>
      <c r="M1581" s="40" t="n"/>
      <c r="N1581" s="30">
        <f>IF(A1581="","",MONTH(A1581))</f>
        <v/>
      </c>
      <c r="O1581" s="30">
        <f>IF(A1581="","",YEAR(A1581))</f>
        <v/>
      </c>
      <c r="P1581" s="30">
        <f>IF(A1581="","",CHOOSE(WEEKDAY(A1581,2),"Segunda","Terça","Quarta","Quinta","Sexta","Sábado","Domingo"))</f>
        <v/>
      </c>
      <c r="Q1581" s="30">
        <f>IF(B1581="","",IF(B1581&lt;TIME(12,0,0),"Manhã",IF(B1581&lt;TIME(18,0,0),"Tarde","Noite")))</f>
        <v/>
      </c>
      <c r="R1581" s="46">
        <f>IF(AND(H1581="Realizado",L1581&lt;&gt;"",A1581&lt;=Config!$B$9),L1581/60,0)</f>
        <v>0</v>
      </c>
      <c r="S1581" s="45">
        <f>IF(G1581="","",IFERROR(INDEX(Config!$K$5:$K$16,MATCH(G1581,Config!$J$5:$J$16,0)),""))</f>
        <v/>
      </c>
      <c r="T1581" s="31">
        <f>IF(OR(G1581="",F1581=""),"",IFERROR(INDEX(Config!$M$5:$R$16,MATCH(G1581,Config!$J$5:$J$16,0),MATCH(F1581,Config!$H$5:$H$10,0)),""))</f>
        <v/>
      </c>
      <c r="U1581" s="47">
        <f>IF(AND(H1581="Realizado",L1581&lt;&gt;""),L1581/60,0)</f>
        <v>0</v>
      </c>
      <c r="V1581" s="47">
        <f>IF(AND(H1581="Realizado",OR(L1581="",M1581="")),1,0)</f>
        <v>0</v>
      </c>
    </row>
    <row r="1582">
      <c r="A1582" s="43" t="n"/>
      <c r="B1582" s="44" t="n"/>
      <c r="C1582" s="38" t="n"/>
      <c r="D1582" s="38" t="n"/>
      <c r="E1582" s="37" t="n"/>
      <c r="F1582" s="38" t="n"/>
      <c r="G1582" s="38" t="n"/>
      <c r="H1582" s="38" t="n"/>
      <c r="I1582" s="38" t="n"/>
      <c r="J1582" s="38" t="n"/>
      <c r="K1582" s="37" t="n"/>
      <c r="L1582" s="39" t="n"/>
      <c r="M1582" s="40" t="n"/>
      <c r="N1582" s="30">
        <f>IF(A1582="","",MONTH(A1582))</f>
        <v/>
      </c>
      <c r="O1582" s="30">
        <f>IF(A1582="","",YEAR(A1582))</f>
        <v/>
      </c>
      <c r="P1582" s="30">
        <f>IF(A1582="","",CHOOSE(WEEKDAY(A1582,2),"Segunda","Terça","Quarta","Quinta","Sexta","Sábado","Domingo"))</f>
        <v/>
      </c>
      <c r="Q1582" s="30">
        <f>IF(B1582="","",IF(B1582&lt;TIME(12,0,0),"Manhã",IF(B1582&lt;TIME(18,0,0),"Tarde","Noite")))</f>
        <v/>
      </c>
      <c r="R1582" s="46">
        <f>IF(AND(H1582="Realizado",L1582&lt;&gt;"",A1582&lt;=Config!$B$9),L1582/60,0)</f>
        <v>0</v>
      </c>
      <c r="S1582" s="45">
        <f>IF(G1582="","",IFERROR(INDEX(Config!$K$5:$K$16,MATCH(G1582,Config!$J$5:$J$16,0)),""))</f>
        <v/>
      </c>
      <c r="T1582" s="31">
        <f>IF(OR(G1582="",F1582=""),"",IFERROR(INDEX(Config!$M$5:$R$16,MATCH(G1582,Config!$J$5:$J$16,0),MATCH(F1582,Config!$H$5:$H$10,0)),""))</f>
        <v/>
      </c>
      <c r="U1582" s="47">
        <f>IF(AND(H1582="Realizado",L1582&lt;&gt;""),L1582/60,0)</f>
        <v>0</v>
      </c>
      <c r="V1582" s="47">
        <f>IF(AND(H1582="Realizado",OR(L1582="",M1582="")),1,0)</f>
        <v>0</v>
      </c>
    </row>
    <row r="1583">
      <c r="A1583" s="43" t="n"/>
      <c r="B1583" s="44" t="n"/>
      <c r="C1583" s="38" t="n"/>
      <c r="D1583" s="38" t="n"/>
      <c r="E1583" s="37" t="n"/>
      <c r="F1583" s="38" t="n"/>
      <c r="G1583" s="38" t="n"/>
      <c r="H1583" s="38" t="n"/>
      <c r="I1583" s="38" t="n"/>
      <c r="J1583" s="38" t="n"/>
      <c r="K1583" s="37" t="n"/>
      <c r="L1583" s="39" t="n"/>
      <c r="M1583" s="40" t="n"/>
      <c r="N1583" s="30">
        <f>IF(A1583="","",MONTH(A1583))</f>
        <v/>
      </c>
      <c r="O1583" s="30">
        <f>IF(A1583="","",YEAR(A1583))</f>
        <v/>
      </c>
      <c r="P1583" s="30">
        <f>IF(A1583="","",CHOOSE(WEEKDAY(A1583,2),"Segunda","Terça","Quarta","Quinta","Sexta","Sábado","Domingo"))</f>
        <v/>
      </c>
      <c r="Q1583" s="30">
        <f>IF(B1583="","",IF(B1583&lt;TIME(12,0,0),"Manhã",IF(B1583&lt;TIME(18,0,0),"Tarde","Noite")))</f>
        <v/>
      </c>
      <c r="R1583" s="46">
        <f>IF(AND(H1583="Realizado",L1583&lt;&gt;"",A1583&lt;=Config!$B$9),L1583/60,0)</f>
        <v>0</v>
      </c>
      <c r="S1583" s="45">
        <f>IF(G1583="","",IFERROR(INDEX(Config!$K$5:$K$16,MATCH(G1583,Config!$J$5:$J$16,0)),""))</f>
        <v/>
      </c>
      <c r="T1583" s="31">
        <f>IF(OR(G1583="",F1583=""),"",IFERROR(INDEX(Config!$M$5:$R$16,MATCH(G1583,Config!$J$5:$J$16,0),MATCH(F1583,Config!$H$5:$H$10,0)),""))</f>
        <v/>
      </c>
      <c r="U1583" s="47">
        <f>IF(AND(H1583="Realizado",L1583&lt;&gt;""),L1583/60,0)</f>
        <v>0</v>
      </c>
      <c r="V1583" s="47">
        <f>IF(AND(H1583="Realizado",OR(L1583="",M1583="")),1,0)</f>
        <v>0</v>
      </c>
    </row>
    <row r="1584">
      <c r="A1584" s="43" t="n"/>
      <c r="B1584" s="44" t="n"/>
      <c r="C1584" s="38" t="n"/>
      <c r="D1584" s="38" t="n"/>
      <c r="E1584" s="37" t="n"/>
      <c r="F1584" s="38" t="n"/>
      <c r="G1584" s="38" t="n"/>
      <c r="H1584" s="38" t="n"/>
      <c r="I1584" s="38" t="n"/>
      <c r="J1584" s="38" t="n"/>
      <c r="K1584" s="37" t="n"/>
      <c r="L1584" s="39" t="n"/>
      <c r="M1584" s="40" t="n"/>
      <c r="N1584" s="30">
        <f>IF(A1584="","",MONTH(A1584))</f>
        <v/>
      </c>
      <c r="O1584" s="30">
        <f>IF(A1584="","",YEAR(A1584))</f>
        <v/>
      </c>
      <c r="P1584" s="30">
        <f>IF(A1584="","",CHOOSE(WEEKDAY(A1584,2),"Segunda","Terça","Quarta","Quinta","Sexta","Sábado","Domingo"))</f>
        <v/>
      </c>
      <c r="Q1584" s="30">
        <f>IF(B1584="","",IF(B1584&lt;TIME(12,0,0),"Manhã",IF(B1584&lt;TIME(18,0,0),"Tarde","Noite")))</f>
        <v/>
      </c>
      <c r="R1584" s="46">
        <f>IF(AND(H1584="Realizado",L1584&lt;&gt;"",A1584&lt;=Config!$B$9),L1584/60,0)</f>
        <v>0</v>
      </c>
      <c r="S1584" s="45">
        <f>IF(G1584="","",IFERROR(INDEX(Config!$K$5:$K$16,MATCH(G1584,Config!$J$5:$J$16,0)),""))</f>
        <v/>
      </c>
      <c r="T1584" s="31">
        <f>IF(OR(G1584="",F1584=""),"",IFERROR(INDEX(Config!$M$5:$R$16,MATCH(G1584,Config!$J$5:$J$16,0),MATCH(F1584,Config!$H$5:$H$10,0)),""))</f>
        <v/>
      </c>
      <c r="U1584" s="47">
        <f>IF(AND(H1584="Realizado",L1584&lt;&gt;""),L1584/60,0)</f>
        <v>0</v>
      </c>
      <c r="V1584" s="47">
        <f>IF(AND(H1584="Realizado",OR(L1584="",M1584="")),1,0)</f>
        <v>0</v>
      </c>
    </row>
    <row r="1585">
      <c r="A1585" s="43" t="n"/>
      <c r="B1585" s="44" t="n"/>
      <c r="C1585" s="38" t="n"/>
      <c r="D1585" s="38" t="n"/>
      <c r="E1585" s="37" t="n"/>
      <c r="F1585" s="38" t="n"/>
      <c r="G1585" s="38" t="n"/>
      <c r="H1585" s="38" t="n"/>
      <c r="I1585" s="38" t="n"/>
      <c r="J1585" s="38" t="n"/>
      <c r="K1585" s="37" t="n"/>
      <c r="L1585" s="39" t="n"/>
      <c r="M1585" s="40" t="n"/>
      <c r="N1585" s="30">
        <f>IF(A1585="","",MONTH(A1585))</f>
        <v/>
      </c>
      <c r="O1585" s="30">
        <f>IF(A1585="","",YEAR(A1585))</f>
        <v/>
      </c>
      <c r="P1585" s="30">
        <f>IF(A1585="","",CHOOSE(WEEKDAY(A1585,2),"Segunda","Terça","Quarta","Quinta","Sexta","Sábado","Domingo"))</f>
        <v/>
      </c>
      <c r="Q1585" s="30">
        <f>IF(B1585="","",IF(B1585&lt;TIME(12,0,0),"Manhã",IF(B1585&lt;TIME(18,0,0),"Tarde","Noite")))</f>
        <v/>
      </c>
      <c r="R1585" s="46">
        <f>IF(AND(H1585="Realizado",L1585&lt;&gt;"",A1585&lt;=Config!$B$9),L1585/60,0)</f>
        <v>0</v>
      </c>
      <c r="S1585" s="45">
        <f>IF(G1585="","",IFERROR(INDEX(Config!$K$5:$K$16,MATCH(G1585,Config!$J$5:$J$16,0)),""))</f>
        <v/>
      </c>
      <c r="T1585" s="31">
        <f>IF(OR(G1585="",F1585=""),"",IFERROR(INDEX(Config!$M$5:$R$16,MATCH(G1585,Config!$J$5:$J$16,0),MATCH(F1585,Config!$H$5:$H$10,0)),""))</f>
        <v/>
      </c>
      <c r="U1585" s="47">
        <f>IF(AND(H1585="Realizado",L1585&lt;&gt;""),L1585/60,0)</f>
        <v>0</v>
      </c>
      <c r="V1585" s="47">
        <f>IF(AND(H1585="Realizado",OR(L1585="",M1585="")),1,0)</f>
        <v>0</v>
      </c>
    </row>
    <row r="1586">
      <c r="A1586" s="43" t="n"/>
      <c r="B1586" s="44" t="n"/>
      <c r="C1586" s="38" t="n"/>
      <c r="D1586" s="38" t="n"/>
      <c r="E1586" s="37" t="n"/>
      <c r="F1586" s="38" t="n"/>
      <c r="G1586" s="38" t="n"/>
      <c r="H1586" s="38" t="n"/>
      <c r="I1586" s="38" t="n"/>
      <c r="J1586" s="38" t="n"/>
      <c r="K1586" s="37" t="n"/>
      <c r="L1586" s="39" t="n"/>
      <c r="M1586" s="40" t="n"/>
      <c r="N1586" s="30">
        <f>IF(A1586="","",MONTH(A1586))</f>
        <v/>
      </c>
      <c r="O1586" s="30">
        <f>IF(A1586="","",YEAR(A1586))</f>
        <v/>
      </c>
      <c r="P1586" s="30">
        <f>IF(A1586="","",CHOOSE(WEEKDAY(A1586,2),"Segunda","Terça","Quarta","Quinta","Sexta","Sábado","Domingo"))</f>
        <v/>
      </c>
      <c r="Q1586" s="30">
        <f>IF(B1586="","",IF(B1586&lt;TIME(12,0,0),"Manhã",IF(B1586&lt;TIME(18,0,0),"Tarde","Noite")))</f>
        <v/>
      </c>
      <c r="R1586" s="46">
        <f>IF(AND(H1586="Realizado",L1586&lt;&gt;"",A1586&lt;=Config!$B$9),L1586/60,0)</f>
        <v>0</v>
      </c>
      <c r="S1586" s="45">
        <f>IF(G1586="","",IFERROR(INDEX(Config!$K$5:$K$16,MATCH(G1586,Config!$J$5:$J$16,0)),""))</f>
        <v/>
      </c>
      <c r="T1586" s="31">
        <f>IF(OR(G1586="",F1586=""),"",IFERROR(INDEX(Config!$M$5:$R$16,MATCH(G1586,Config!$J$5:$J$16,0),MATCH(F1586,Config!$H$5:$H$10,0)),""))</f>
        <v/>
      </c>
      <c r="U1586" s="47">
        <f>IF(AND(H1586="Realizado",L1586&lt;&gt;""),L1586/60,0)</f>
        <v>0</v>
      </c>
      <c r="V1586" s="47">
        <f>IF(AND(H1586="Realizado",OR(L1586="",M1586="")),1,0)</f>
        <v>0</v>
      </c>
    </row>
    <row r="1587">
      <c r="A1587" s="43" t="n"/>
      <c r="B1587" s="44" t="n"/>
      <c r="C1587" s="38" t="n"/>
      <c r="D1587" s="38" t="n"/>
      <c r="E1587" s="37" t="n"/>
      <c r="F1587" s="38" t="n"/>
      <c r="G1587" s="38" t="n"/>
      <c r="H1587" s="38" t="n"/>
      <c r="I1587" s="38" t="n"/>
      <c r="J1587" s="38" t="n"/>
      <c r="K1587" s="37" t="n"/>
      <c r="L1587" s="39" t="n"/>
      <c r="M1587" s="40" t="n"/>
      <c r="N1587" s="30">
        <f>IF(A1587="","",MONTH(A1587))</f>
        <v/>
      </c>
      <c r="O1587" s="30">
        <f>IF(A1587="","",YEAR(A1587))</f>
        <v/>
      </c>
      <c r="P1587" s="30">
        <f>IF(A1587="","",CHOOSE(WEEKDAY(A1587,2),"Segunda","Terça","Quarta","Quinta","Sexta","Sábado","Domingo"))</f>
        <v/>
      </c>
      <c r="Q1587" s="30">
        <f>IF(B1587="","",IF(B1587&lt;TIME(12,0,0),"Manhã",IF(B1587&lt;TIME(18,0,0),"Tarde","Noite")))</f>
        <v/>
      </c>
      <c r="R1587" s="46">
        <f>IF(AND(H1587="Realizado",L1587&lt;&gt;"",A1587&lt;=Config!$B$9),L1587/60,0)</f>
        <v>0</v>
      </c>
      <c r="S1587" s="45">
        <f>IF(G1587="","",IFERROR(INDEX(Config!$K$5:$K$16,MATCH(G1587,Config!$J$5:$J$16,0)),""))</f>
        <v/>
      </c>
      <c r="T1587" s="31">
        <f>IF(OR(G1587="",F1587=""),"",IFERROR(INDEX(Config!$M$5:$R$16,MATCH(G1587,Config!$J$5:$J$16,0),MATCH(F1587,Config!$H$5:$H$10,0)),""))</f>
        <v/>
      </c>
      <c r="U1587" s="47">
        <f>IF(AND(H1587="Realizado",L1587&lt;&gt;""),L1587/60,0)</f>
        <v>0</v>
      </c>
      <c r="V1587" s="47">
        <f>IF(AND(H1587="Realizado",OR(L1587="",M1587="")),1,0)</f>
        <v>0</v>
      </c>
    </row>
    <row r="1588">
      <c r="A1588" s="43" t="n"/>
      <c r="B1588" s="44" t="n"/>
      <c r="C1588" s="38" t="n"/>
      <c r="D1588" s="38" t="n"/>
      <c r="E1588" s="37" t="n"/>
      <c r="F1588" s="38" t="n"/>
      <c r="G1588" s="38" t="n"/>
      <c r="H1588" s="38" t="n"/>
      <c r="I1588" s="38" t="n"/>
      <c r="J1588" s="38" t="n"/>
      <c r="K1588" s="37" t="n"/>
      <c r="L1588" s="39" t="n"/>
      <c r="M1588" s="40" t="n"/>
      <c r="N1588" s="30">
        <f>IF(A1588="","",MONTH(A1588))</f>
        <v/>
      </c>
      <c r="O1588" s="30">
        <f>IF(A1588="","",YEAR(A1588))</f>
        <v/>
      </c>
      <c r="P1588" s="30">
        <f>IF(A1588="","",CHOOSE(WEEKDAY(A1588,2),"Segunda","Terça","Quarta","Quinta","Sexta","Sábado","Domingo"))</f>
        <v/>
      </c>
      <c r="Q1588" s="30">
        <f>IF(B1588="","",IF(B1588&lt;TIME(12,0,0),"Manhã",IF(B1588&lt;TIME(18,0,0),"Tarde","Noite")))</f>
        <v/>
      </c>
      <c r="R1588" s="46">
        <f>IF(AND(H1588="Realizado",L1588&lt;&gt;"",A1588&lt;=Config!$B$9),L1588/60,0)</f>
        <v>0</v>
      </c>
      <c r="S1588" s="45">
        <f>IF(G1588="","",IFERROR(INDEX(Config!$K$5:$K$16,MATCH(G1588,Config!$J$5:$J$16,0)),""))</f>
        <v/>
      </c>
      <c r="T1588" s="31">
        <f>IF(OR(G1588="",F1588=""),"",IFERROR(INDEX(Config!$M$5:$R$16,MATCH(G1588,Config!$J$5:$J$16,0),MATCH(F1588,Config!$H$5:$H$10,0)),""))</f>
        <v/>
      </c>
      <c r="U1588" s="47">
        <f>IF(AND(H1588="Realizado",L1588&lt;&gt;""),L1588/60,0)</f>
        <v>0</v>
      </c>
      <c r="V1588" s="47">
        <f>IF(AND(H1588="Realizado",OR(L1588="",M1588="")),1,0)</f>
        <v>0</v>
      </c>
    </row>
    <row r="1589">
      <c r="A1589" s="43" t="n"/>
      <c r="B1589" s="44" t="n"/>
      <c r="C1589" s="38" t="n"/>
      <c r="D1589" s="38" t="n"/>
      <c r="E1589" s="37" t="n"/>
      <c r="F1589" s="38" t="n"/>
      <c r="G1589" s="38" t="n"/>
      <c r="H1589" s="38" t="n"/>
      <c r="I1589" s="38" t="n"/>
      <c r="J1589" s="38" t="n"/>
      <c r="K1589" s="37" t="n"/>
      <c r="L1589" s="39" t="n"/>
      <c r="M1589" s="40" t="n"/>
      <c r="N1589" s="30">
        <f>IF(A1589="","",MONTH(A1589))</f>
        <v/>
      </c>
      <c r="O1589" s="30">
        <f>IF(A1589="","",YEAR(A1589))</f>
        <v/>
      </c>
      <c r="P1589" s="30">
        <f>IF(A1589="","",CHOOSE(WEEKDAY(A1589,2),"Segunda","Terça","Quarta","Quinta","Sexta","Sábado","Domingo"))</f>
        <v/>
      </c>
      <c r="Q1589" s="30">
        <f>IF(B1589="","",IF(B1589&lt;TIME(12,0,0),"Manhã",IF(B1589&lt;TIME(18,0,0),"Tarde","Noite")))</f>
        <v/>
      </c>
      <c r="R1589" s="46">
        <f>IF(AND(H1589="Realizado",L1589&lt;&gt;"",A1589&lt;=Config!$B$9),L1589/60,0)</f>
        <v>0</v>
      </c>
      <c r="S1589" s="45">
        <f>IF(G1589="","",IFERROR(INDEX(Config!$K$5:$K$16,MATCH(G1589,Config!$J$5:$J$16,0)),""))</f>
        <v/>
      </c>
      <c r="T1589" s="31">
        <f>IF(OR(G1589="",F1589=""),"",IFERROR(INDEX(Config!$M$5:$R$16,MATCH(G1589,Config!$J$5:$J$16,0),MATCH(F1589,Config!$H$5:$H$10,0)),""))</f>
        <v/>
      </c>
      <c r="U1589" s="47">
        <f>IF(AND(H1589="Realizado",L1589&lt;&gt;""),L1589/60,0)</f>
        <v>0</v>
      </c>
      <c r="V1589" s="47">
        <f>IF(AND(H1589="Realizado",OR(L1589="",M1589="")),1,0)</f>
        <v>0</v>
      </c>
    </row>
    <row r="1590">
      <c r="A1590" s="43" t="n"/>
      <c r="B1590" s="44" t="n"/>
      <c r="C1590" s="38" t="n"/>
      <c r="D1590" s="38" t="n"/>
      <c r="E1590" s="37" t="n"/>
      <c r="F1590" s="38" t="n"/>
      <c r="G1590" s="38" t="n"/>
      <c r="H1590" s="38" t="n"/>
      <c r="I1590" s="38" t="n"/>
      <c r="J1590" s="38" t="n"/>
      <c r="K1590" s="37" t="n"/>
      <c r="L1590" s="39" t="n"/>
      <c r="M1590" s="40" t="n"/>
      <c r="N1590" s="30">
        <f>IF(A1590="","",MONTH(A1590))</f>
        <v/>
      </c>
      <c r="O1590" s="30">
        <f>IF(A1590="","",YEAR(A1590))</f>
        <v/>
      </c>
      <c r="P1590" s="30">
        <f>IF(A1590="","",CHOOSE(WEEKDAY(A1590,2),"Segunda","Terça","Quarta","Quinta","Sexta","Sábado","Domingo"))</f>
        <v/>
      </c>
      <c r="Q1590" s="30">
        <f>IF(B1590="","",IF(B1590&lt;TIME(12,0,0),"Manhã",IF(B1590&lt;TIME(18,0,0),"Tarde","Noite")))</f>
        <v/>
      </c>
      <c r="R1590" s="46">
        <f>IF(AND(H1590="Realizado",L1590&lt;&gt;"",A1590&lt;=Config!$B$9),L1590/60,0)</f>
        <v>0</v>
      </c>
      <c r="S1590" s="45">
        <f>IF(G1590="","",IFERROR(INDEX(Config!$K$5:$K$16,MATCH(G1590,Config!$J$5:$J$16,0)),""))</f>
        <v/>
      </c>
      <c r="T1590" s="31">
        <f>IF(OR(G1590="",F1590=""),"",IFERROR(INDEX(Config!$M$5:$R$16,MATCH(G1590,Config!$J$5:$J$16,0),MATCH(F1590,Config!$H$5:$H$10,0)),""))</f>
        <v/>
      </c>
      <c r="U1590" s="47">
        <f>IF(AND(H1590="Realizado",L1590&lt;&gt;""),L1590/60,0)</f>
        <v>0</v>
      </c>
      <c r="V1590" s="47">
        <f>IF(AND(H1590="Realizado",OR(L1590="",M1590="")),1,0)</f>
        <v>0</v>
      </c>
    </row>
    <row r="1591">
      <c r="A1591" s="43" t="n"/>
      <c r="B1591" s="44" t="n"/>
      <c r="C1591" s="38" t="n"/>
      <c r="D1591" s="38" t="n"/>
      <c r="E1591" s="37" t="n"/>
      <c r="F1591" s="38" t="n"/>
      <c r="G1591" s="38" t="n"/>
      <c r="H1591" s="38" t="n"/>
      <c r="I1591" s="38" t="n"/>
      <c r="J1591" s="38" t="n"/>
      <c r="K1591" s="37" t="n"/>
      <c r="L1591" s="39" t="n"/>
      <c r="M1591" s="40" t="n"/>
      <c r="N1591" s="30">
        <f>IF(A1591="","",MONTH(A1591))</f>
        <v/>
      </c>
      <c r="O1591" s="30">
        <f>IF(A1591="","",YEAR(A1591))</f>
        <v/>
      </c>
      <c r="P1591" s="30">
        <f>IF(A1591="","",CHOOSE(WEEKDAY(A1591,2),"Segunda","Terça","Quarta","Quinta","Sexta","Sábado","Domingo"))</f>
        <v/>
      </c>
      <c r="Q1591" s="30">
        <f>IF(B1591="","",IF(B1591&lt;TIME(12,0,0),"Manhã",IF(B1591&lt;TIME(18,0,0),"Tarde","Noite")))</f>
        <v/>
      </c>
      <c r="R1591" s="46">
        <f>IF(AND(H1591="Realizado",L1591&lt;&gt;"",A1591&lt;=Config!$B$9),L1591/60,0)</f>
        <v>0</v>
      </c>
      <c r="S1591" s="45">
        <f>IF(G1591="","",IFERROR(INDEX(Config!$K$5:$K$16,MATCH(G1591,Config!$J$5:$J$16,0)),""))</f>
        <v/>
      </c>
      <c r="T1591" s="31">
        <f>IF(OR(G1591="",F1591=""),"",IFERROR(INDEX(Config!$M$5:$R$16,MATCH(G1591,Config!$J$5:$J$16,0),MATCH(F1591,Config!$H$5:$H$10,0)),""))</f>
        <v/>
      </c>
      <c r="U1591" s="47">
        <f>IF(AND(H1591="Realizado",L1591&lt;&gt;""),L1591/60,0)</f>
        <v>0</v>
      </c>
      <c r="V1591" s="47">
        <f>IF(AND(H1591="Realizado",OR(L1591="",M1591="")),1,0)</f>
        <v>0</v>
      </c>
    </row>
    <row r="1592">
      <c r="A1592" s="43" t="n"/>
      <c r="B1592" s="44" t="n"/>
      <c r="C1592" s="38" t="n"/>
      <c r="D1592" s="38" t="n"/>
      <c r="E1592" s="37" t="n"/>
      <c r="F1592" s="38" t="n"/>
      <c r="G1592" s="38" t="n"/>
      <c r="H1592" s="38" t="n"/>
      <c r="I1592" s="38" t="n"/>
      <c r="J1592" s="38" t="n"/>
      <c r="K1592" s="37" t="n"/>
      <c r="L1592" s="39" t="n"/>
      <c r="M1592" s="40" t="n"/>
      <c r="N1592" s="30">
        <f>IF(A1592="","",MONTH(A1592))</f>
        <v/>
      </c>
      <c r="O1592" s="30">
        <f>IF(A1592="","",YEAR(A1592))</f>
        <v/>
      </c>
      <c r="P1592" s="30">
        <f>IF(A1592="","",CHOOSE(WEEKDAY(A1592,2),"Segunda","Terça","Quarta","Quinta","Sexta","Sábado","Domingo"))</f>
        <v/>
      </c>
      <c r="Q1592" s="30">
        <f>IF(B1592="","",IF(B1592&lt;TIME(12,0,0),"Manhã",IF(B1592&lt;TIME(18,0,0),"Tarde","Noite")))</f>
        <v/>
      </c>
      <c r="R1592" s="46">
        <f>IF(AND(H1592="Realizado",L1592&lt;&gt;"",A1592&lt;=Config!$B$9),L1592/60,0)</f>
        <v>0</v>
      </c>
      <c r="S1592" s="45">
        <f>IF(G1592="","",IFERROR(INDEX(Config!$K$5:$K$16,MATCH(G1592,Config!$J$5:$J$16,0)),""))</f>
        <v/>
      </c>
      <c r="T1592" s="31">
        <f>IF(OR(G1592="",F1592=""),"",IFERROR(INDEX(Config!$M$5:$R$16,MATCH(G1592,Config!$J$5:$J$16,0),MATCH(F1592,Config!$H$5:$H$10,0)),""))</f>
        <v/>
      </c>
      <c r="U1592" s="47">
        <f>IF(AND(H1592="Realizado",L1592&lt;&gt;""),L1592/60,0)</f>
        <v>0</v>
      </c>
      <c r="V1592" s="47">
        <f>IF(AND(H1592="Realizado",OR(L1592="",M1592="")),1,0)</f>
        <v>0</v>
      </c>
    </row>
    <row r="1593">
      <c r="A1593" s="43" t="n"/>
      <c r="B1593" s="44" t="n"/>
      <c r="C1593" s="38" t="n"/>
      <c r="D1593" s="38" t="n"/>
      <c r="E1593" s="37" t="n"/>
      <c r="F1593" s="38" t="n"/>
      <c r="G1593" s="38" t="n"/>
      <c r="H1593" s="38" t="n"/>
      <c r="I1593" s="38" t="n"/>
      <c r="J1593" s="38" t="n"/>
      <c r="K1593" s="37" t="n"/>
      <c r="L1593" s="39" t="n"/>
      <c r="M1593" s="40" t="n"/>
      <c r="N1593" s="30">
        <f>IF(A1593="","",MONTH(A1593))</f>
        <v/>
      </c>
      <c r="O1593" s="30">
        <f>IF(A1593="","",YEAR(A1593))</f>
        <v/>
      </c>
      <c r="P1593" s="30">
        <f>IF(A1593="","",CHOOSE(WEEKDAY(A1593,2),"Segunda","Terça","Quarta","Quinta","Sexta","Sábado","Domingo"))</f>
        <v/>
      </c>
      <c r="Q1593" s="30">
        <f>IF(B1593="","",IF(B1593&lt;TIME(12,0,0),"Manhã",IF(B1593&lt;TIME(18,0,0),"Tarde","Noite")))</f>
        <v/>
      </c>
      <c r="R1593" s="46">
        <f>IF(AND(H1593="Realizado",L1593&lt;&gt;"",A1593&lt;=Config!$B$9),L1593/60,0)</f>
        <v>0</v>
      </c>
      <c r="S1593" s="45">
        <f>IF(G1593="","",IFERROR(INDEX(Config!$K$5:$K$16,MATCH(G1593,Config!$J$5:$J$16,0)),""))</f>
        <v/>
      </c>
      <c r="T1593" s="31">
        <f>IF(OR(G1593="",F1593=""),"",IFERROR(INDEX(Config!$M$5:$R$16,MATCH(G1593,Config!$J$5:$J$16,0),MATCH(F1593,Config!$H$5:$H$10,0)),""))</f>
        <v/>
      </c>
      <c r="U1593" s="47">
        <f>IF(AND(H1593="Realizado",L1593&lt;&gt;""),L1593/60,0)</f>
        <v>0</v>
      </c>
      <c r="V1593" s="47">
        <f>IF(AND(H1593="Realizado",OR(L1593="",M1593="")),1,0)</f>
        <v>0</v>
      </c>
    </row>
    <row r="1594">
      <c r="A1594" s="43" t="n"/>
      <c r="B1594" s="44" t="n"/>
      <c r="C1594" s="38" t="n"/>
      <c r="D1594" s="38" t="n"/>
      <c r="E1594" s="37" t="n"/>
      <c r="F1594" s="38" t="n"/>
      <c r="G1594" s="38" t="n"/>
      <c r="H1594" s="38" t="n"/>
      <c r="I1594" s="38" t="n"/>
      <c r="J1594" s="38" t="n"/>
      <c r="K1594" s="37" t="n"/>
      <c r="L1594" s="39" t="n"/>
      <c r="M1594" s="40" t="n"/>
      <c r="N1594" s="30">
        <f>IF(A1594="","",MONTH(A1594))</f>
        <v/>
      </c>
      <c r="O1594" s="30">
        <f>IF(A1594="","",YEAR(A1594))</f>
        <v/>
      </c>
      <c r="P1594" s="30">
        <f>IF(A1594="","",CHOOSE(WEEKDAY(A1594,2),"Segunda","Terça","Quarta","Quinta","Sexta","Sábado","Domingo"))</f>
        <v/>
      </c>
      <c r="Q1594" s="30">
        <f>IF(B1594="","",IF(B1594&lt;TIME(12,0,0),"Manhã",IF(B1594&lt;TIME(18,0,0),"Tarde","Noite")))</f>
        <v/>
      </c>
      <c r="R1594" s="46">
        <f>IF(AND(H1594="Realizado",L1594&lt;&gt;"",A1594&lt;=Config!$B$9),L1594/60,0)</f>
        <v>0</v>
      </c>
      <c r="S1594" s="45">
        <f>IF(G1594="","",IFERROR(INDEX(Config!$K$5:$K$16,MATCH(G1594,Config!$J$5:$J$16,0)),""))</f>
        <v/>
      </c>
      <c r="T1594" s="31">
        <f>IF(OR(G1594="",F1594=""),"",IFERROR(INDEX(Config!$M$5:$R$16,MATCH(G1594,Config!$J$5:$J$16,0),MATCH(F1594,Config!$H$5:$H$10,0)),""))</f>
        <v/>
      </c>
      <c r="U1594" s="47">
        <f>IF(AND(H1594="Realizado",L1594&lt;&gt;""),L1594/60,0)</f>
        <v>0</v>
      </c>
      <c r="V1594" s="47">
        <f>IF(AND(H1594="Realizado",OR(L1594="",M1594="")),1,0)</f>
        <v>0</v>
      </c>
    </row>
    <row r="1595">
      <c r="A1595" s="43" t="n"/>
      <c r="B1595" s="44" t="n"/>
      <c r="C1595" s="38" t="n"/>
      <c r="D1595" s="38" t="n"/>
      <c r="E1595" s="37" t="n"/>
      <c r="F1595" s="38" t="n"/>
      <c r="G1595" s="38" t="n"/>
      <c r="H1595" s="38" t="n"/>
      <c r="I1595" s="38" t="n"/>
      <c r="J1595" s="38" t="n"/>
      <c r="K1595" s="37" t="n"/>
      <c r="L1595" s="39" t="n"/>
      <c r="M1595" s="40" t="n"/>
      <c r="N1595" s="30">
        <f>IF(A1595="","",MONTH(A1595))</f>
        <v/>
      </c>
      <c r="O1595" s="30">
        <f>IF(A1595="","",YEAR(A1595))</f>
        <v/>
      </c>
      <c r="P1595" s="30">
        <f>IF(A1595="","",CHOOSE(WEEKDAY(A1595,2),"Segunda","Terça","Quarta","Quinta","Sexta","Sábado","Domingo"))</f>
        <v/>
      </c>
      <c r="Q1595" s="30">
        <f>IF(B1595="","",IF(B1595&lt;TIME(12,0,0),"Manhã",IF(B1595&lt;TIME(18,0,0),"Tarde","Noite")))</f>
        <v/>
      </c>
      <c r="R1595" s="46">
        <f>IF(AND(H1595="Realizado",L1595&lt;&gt;"",A1595&lt;=Config!$B$9),L1595/60,0)</f>
        <v>0</v>
      </c>
      <c r="S1595" s="45">
        <f>IF(G1595="","",IFERROR(INDEX(Config!$K$5:$K$16,MATCH(G1595,Config!$J$5:$J$16,0)),""))</f>
        <v/>
      </c>
      <c r="T1595" s="31">
        <f>IF(OR(G1595="",F1595=""),"",IFERROR(INDEX(Config!$M$5:$R$16,MATCH(G1595,Config!$J$5:$J$16,0),MATCH(F1595,Config!$H$5:$H$10,0)),""))</f>
        <v/>
      </c>
      <c r="U1595" s="47">
        <f>IF(AND(H1595="Realizado",L1595&lt;&gt;""),L1595/60,0)</f>
        <v>0</v>
      </c>
      <c r="V1595" s="47">
        <f>IF(AND(H1595="Realizado",OR(L1595="",M1595="")),1,0)</f>
        <v>0</v>
      </c>
    </row>
    <row r="1596">
      <c r="A1596" s="43" t="n"/>
      <c r="B1596" s="44" t="n"/>
      <c r="C1596" s="38" t="n"/>
      <c r="D1596" s="38" t="n"/>
      <c r="E1596" s="37" t="n"/>
      <c r="F1596" s="38" t="n"/>
      <c r="G1596" s="38" t="n"/>
      <c r="H1596" s="38" t="n"/>
      <c r="I1596" s="38" t="n"/>
      <c r="J1596" s="38" t="n"/>
      <c r="K1596" s="37" t="n"/>
      <c r="L1596" s="39" t="n"/>
      <c r="M1596" s="40" t="n"/>
      <c r="N1596" s="30">
        <f>IF(A1596="","",MONTH(A1596))</f>
        <v/>
      </c>
      <c r="O1596" s="30">
        <f>IF(A1596="","",YEAR(A1596))</f>
        <v/>
      </c>
      <c r="P1596" s="30">
        <f>IF(A1596="","",CHOOSE(WEEKDAY(A1596,2),"Segunda","Terça","Quarta","Quinta","Sexta","Sábado","Domingo"))</f>
        <v/>
      </c>
      <c r="Q1596" s="30">
        <f>IF(B1596="","",IF(B1596&lt;TIME(12,0,0),"Manhã",IF(B1596&lt;TIME(18,0,0),"Tarde","Noite")))</f>
        <v/>
      </c>
      <c r="R1596" s="46">
        <f>IF(AND(H1596="Realizado",L1596&lt;&gt;"",A1596&lt;=Config!$B$9),L1596/60,0)</f>
        <v>0</v>
      </c>
      <c r="S1596" s="45">
        <f>IF(G1596="","",IFERROR(INDEX(Config!$K$5:$K$16,MATCH(G1596,Config!$J$5:$J$16,0)),""))</f>
        <v/>
      </c>
      <c r="T1596" s="31">
        <f>IF(OR(G1596="",F1596=""),"",IFERROR(INDEX(Config!$M$5:$R$16,MATCH(G1596,Config!$J$5:$J$16,0),MATCH(F1596,Config!$H$5:$H$10,0)),""))</f>
        <v/>
      </c>
      <c r="U1596" s="47">
        <f>IF(AND(H1596="Realizado",L1596&lt;&gt;""),L1596/60,0)</f>
        <v>0</v>
      </c>
      <c r="V1596" s="47">
        <f>IF(AND(H1596="Realizado",OR(L1596="",M1596="")),1,0)</f>
        <v>0</v>
      </c>
    </row>
    <row r="1597">
      <c r="A1597" s="43" t="n"/>
      <c r="B1597" s="44" t="n"/>
      <c r="C1597" s="38" t="n"/>
      <c r="D1597" s="38" t="n"/>
      <c r="E1597" s="37" t="n"/>
      <c r="F1597" s="38" t="n"/>
      <c r="G1597" s="38" t="n"/>
      <c r="H1597" s="38" t="n"/>
      <c r="I1597" s="38" t="n"/>
      <c r="J1597" s="38" t="n"/>
      <c r="K1597" s="37" t="n"/>
      <c r="L1597" s="39" t="n"/>
      <c r="M1597" s="40" t="n"/>
      <c r="N1597" s="30">
        <f>IF(A1597="","",MONTH(A1597))</f>
        <v/>
      </c>
      <c r="O1597" s="30">
        <f>IF(A1597="","",YEAR(A1597))</f>
        <v/>
      </c>
      <c r="P1597" s="30">
        <f>IF(A1597="","",CHOOSE(WEEKDAY(A1597,2),"Segunda","Terça","Quarta","Quinta","Sexta","Sábado","Domingo"))</f>
        <v/>
      </c>
      <c r="Q1597" s="30">
        <f>IF(B1597="","",IF(B1597&lt;TIME(12,0,0),"Manhã",IF(B1597&lt;TIME(18,0,0),"Tarde","Noite")))</f>
        <v/>
      </c>
      <c r="R1597" s="46">
        <f>IF(AND(H1597="Realizado",L1597&lt;&gt;"",A1597&lt;=Config!$B$9),L1597/60,0)</f>
        <v>0</v>
      </c>
      <c r="S1597" s="45">
        <f>IF(G1597="","",IFERROR(INDEX(Config!$K$5:$K$16,MATCH(G1597,Config!$J$5:$J$16,0)),""))</f>
        <v/>
      </c>
      <c r="T1597" s="31">
        <f>IF(OR(G1597="",F1597=""),"",IFERROR(INDEX(Config!$M$5:$R$16,MATCH(G1597,Config!$J$5:$J$16,0),MATCH(F1597,Config!$H$5:$H$10,0)),""))</f>
        <v/>
      </c>
      <c r="U1597" s="47">
        <f>IF(AND(H1597="Realizado",L1597&lt;&gt;""),L1597/60,0)</f>
        <v>0</v>
      </c>
      <c r="V1597" s="47">
        <f>IF(AND(H1597="Realizado",OR(L1597="",M1597="")),1,0)</f>
        <v>0</v>
      </c>
    </row>
    <row r="1598">
      <c r="A1598" s="43" t="n"/>
      <c r="B1598" s="44" t="n"/>
      <c r="C1598" s="38" t="n"/>
      <c r="D1598" s="38" t="n"/>
      <c r="E1598" s="37" t="n"/>
      <c r="F1598" s="38" t="n"/>
      <c r="G1598" s="38" t="n"/>
      <c r="H1598" s="38" t="n"/>
      <c r="I1598" s="38" t="n"/>
      <c r="J1598" s="38" t="n"/>
      <c r="K1598" s="37" t="n"/>
      <c r="L1598" s="39" t="n"/>
      <c r="M1598" s="40" t="n"/>
      <c r="N1598" s="30">
        <f>IF(A1598="","",MONTH(A1598))</f>
        <v/>
      </c>
      <c r="O1598" s="30">
        <f>IF(A1598="","",YEAR(A1598))</f>
        <v/>
      </c>
      <c r="P1598" s="30">
        <f>IF(A1598="","",CHOOSE(WEEKDAY(A1598,2),"Segunda","Terça","Quarta","Quinta","Sexta","Sábado","Domingo"))</f>
        <v/>
      </c>
      <c r="Q1598" s="30">
        <f>IF(B1598="","",IF(B1598&lt;TIME(12,0,0),"Manhã",IF(B1598&lt;TIME(18,0,0),"Tarde","Noite")))</f>
        <v/>
      </c>
      <c r="R1598" s="46">
        <f>IF(AND(H1598="Realizado",L1598&lt;&gt;"",A1598&lt;=Config!$B$9),L1598/60,0)</f>
        <v>0</v>
      </c>
      <c r="S1598" s="45">
        <f>IF(G1598="","",IFERROR(INDEX(Config!$K$5:$K$16,MATCH(G1598,Config!$J$5:$J$16,0)),""))</f>
        <v/>
      </c>
      <c r="T1598" s="31">
        <f>IF(OR(G1598="",F1598=""),"",IFERROR(INDEX(Config!$M$5:$R$16,MATCH(G1598,Config!$J$5:$J$16,0),MATCH(F1598,Config!$H$5:$H$10,0)),""))</f>
        <v/>
      </c>
      <c r="U1598" s="47">
        <f>IF(AND(H1598="Realizado",L1598&lt;&gt;""),L1598/60,0)</f>
        <v>0</v>
      </c>
      <c r="V1598" s="47">
        <f>IF(AND(H1598="Realizado",OR(L1598="",M1598="")),1,0)</f>
        <v>0</v>
      </c>
    </row>
    <row r="1599">
      <c r="A1599" s="43" t="n"/>
      <c r="B1599" s="44" t="n"/>
      <c r="C1599" s="38" t="n"/>
      <c r="D1599" s="38" t="n"/>
      <c r="E1599" s="37" t="n"/>
      <c r="F1599" s="38" t="n"/>
      <c r="G1599" s="38" t="n"/>
      <c r="H1599" s="38" t="n"/>
      <c r="I1599" s="38" t="n"/>
      <c r="J1599" s="38" t="n"/>
      <c r="K1599" s="37" t="n"/>
      <c r="L1599" s="39" t="n"/>
      <c r="M1599" s="40" t="n"/>
      <c r="N1599" s="30">
        <f>IF(A1599="","",MONTH(A1599))</f>
        <v/>
      </c>
      <c r="O1599" s="30">
        <f>IF(A1599="","",YEAR(A1599))</f>
        <v/>
      </c>
      <c r="P1599" s="30">
        <f>IF(A1599="","",CHOOSE(WEEKDAY(A1599,2),"Segunda","Terça","Quarta","Quinta","Sexta","Sábado","Domingo"))</f>
        <v/>
      </c>
      <c r="Q1599" s="30">
        <f>IF(B1599="","",IF(B1599&lt;TIME(12,0,0),"Manhã",IF(B1599&lt;TIME(18,0,0),"Tarde","Noite")))</f>
        <v/>
      </c>
      <c r="R1599" s="46">
        <f>IF(AND(H1599="Realizado",L1599&lt;&gt;"",A1599&lt;=Config!$B$9),L1599/60,0)</f>
        <v>0</v>
      </c>
      <c r="S1599" s="45">
        <f>IF(G1599="","",IFERROR(INDEX(Config!$K$5:$K$16,MATCH(G1599,Config!$J$5:$J$16,0)),""))</f>
        <v/>
      </c>
      <c r="T1599" s="31">
        <f>IF(OR(G1599="",F1599=""),"",IFERROR(INDEX(Config!$M$5:$R$16,MATCH(G1599,Config!$J$5:$J$16,0),MATCH(F1599,Config!$H$5:$H$10,0)),""))</f>
        <v/>
      </c>
      <c r="U1599" s="47">
        <f>IF(AND(H1599="Realizado",L1599&lt;&gt;""),L1599/60,0)</f>
        <v>0</v>
      </c>
      <c r="V1599" s="47">
        <f>IF(AND(H1599="Realizado",OR(L1599="",M1599="")),1,0)</f>
        <v>0</v>
      </c>
    </row>
    <row r="1600">
      <c r="A1600" s="43" t="n"/>
      <c r="B1600" s="44" t="n"/>
      <c r="C1600" s="38" t="n"/>
      <c r="D1600" s="38" t="n"/>
      <c r="E1600" s="37" t="n"/>
      <c r="F1600" s="38" t="n"/>
      <c r="G1600" s="38" t="n"/>
      <c r="H1600" s="38" t="n"/>
      <c r="I1600" s="38" t="n"/>
      <c r="J1600" s="38" t="n"/>
      <c r="K1600" s="37" t="n"/>
      <c r="L1600" s="39" t="n"/>
      <c r="M1600" s="40" t="n"/>
      <c r="N1600" s="30">
        <f>IF(A1600="","",MONTH(A1600))</f>
        <v/>
      </c>
      <c r="O1600" s="30">
        <f>IF(A1600="","",YEAR(A1600))</f>
        <v/>
      </c>
      <c r="P1600" s="30">
        <f>IF(A1600="","",CHOOSE(WEEKDAY(A1600,2),"Segunda","Terça","Quarta","Quinta","Sexta","Sábado","Domingo"))</f>
        <v/>
      </c>
      <c r="Q1600" s="30">
        <f>IF(B1600="","",IF(B1600&lt;TIME(12,0,0),"Manhã",IF(B1600&lt;TIME(18,0,0),"Tarde","Noite")))</f>
        <v/>
      </c>
      <c r="R1600" s="46">
        <f>IF(AND(H1600="Realizado",L1600&lt;&gt;"",A1600&lt;=Config!$B$9),L1600/60,0)</f>
        <v>0</v>
      </c>
      <c r="S1600" s="45">
        <f>IF(G1600="","",IFERROR(INDEX(Config!$K$5:$K$16,MATCH(G1600,Config!$J$5:$J$16,0)),""))</f>
        <v/>
      </c>
      <c r="T1600" s="31">
        <f>IF(OR(G1600="",F1600=""),"",IFERROR(INDEX(Config!$M$5:$R$16,MATCH(G1600,Config!$J$5:$J$16,0),MATCH(F1600,Config!$H$5:$H$10,0)),""))</f>
        <v/>
      </c>
      <c r="U1600" s="47">
        <f>IF(AND(H1600="Realizado",L1600&lt;&gt;""),L1600/60,0)</f>
        <v>0</v>
      </c>
      <c r="V1600" s="47">
        <f>IF(AND(H1600="Realizado",OR(L1600="",M1600="")),1,0)</f>
        <v>0</v>
      </c>
    </row>
    <row r="1601">
      <c r="A1601" s="43" t="n"/>
      <c r="B1601" s="44" t="n"/>
      <c r="C1601" s="38" t="n"/>
      <c r="D1601" s="38" t="n"/>
      <c r="E1601" s="37" t="n"/>
      <c r="F1601" s="38" t="n"/>
      <c r="G1601" s="38" t="n"/>
      <c r="H1601" s="38" t="n"/>
      <c r="I1601" s="38" t="n"/>
      <c r="J1601" s="38" t="n"/>
      <c r="K1601" s="37" t="n"/>
      <c r="L1601" s="39" t="n"/>
      <c r="M1601" s="40" t="n"/>
      <c r="N1601" s="30">
        <f>IF(A1601="","",MONTH(A1601))</f>
        <v/>
      </c>
      <c r="O1601" s="30">
        <f>IF(A1601="","",YEAR(A1601))</f>
        <v/>
      </c>
      <c r="P1601" s="30">
        <f>IF(A1601="","",CHOOSE(WEEKDAY(A1601,2),"Segunda","Terça","Quarta","Quinta","Sexta","Sábado","Domingo"))</f>
        <v/>
      </c>
      <c r="Q1601" s="30">
        <f>IF(B1601="","",IF(B1601&lt;TIME(12,0,0),"Manhã",IF(B1601&lt;TIME(18,0,0),"Tarde","Noite")))</f>
        <v/>
      </c>
      <c r="R1601" s="46">
        <f>IF(AND(H1601="Realizado",L1601&lt;&gt;"",A1601&lt;=Config!$B$9),L1601/60,0)</f>
        <v>0</v>
      </c>
      <c r="S1601" s="45">
        <f>IF(G1601="","",IFERROR(INDEX(Config!$K$5:$K$16,MATCH(G1601,Config!$J$5:$J$16,0)),""))</f>
        <v/>
      </c>
      <c r="T1601" s="31">
        <f>IF(OR(G1601="",F1601=""),"",IFERROR(INDEX(Config!$M$5:$R$16,MATCH(G1601,Config!$J$5:$J$16,0),MATCH(F1601,Config!$H$5:$H$10,0)),""))</f>
        <v/>
      </c>
      <c r="U1601" s="47">
        <f>IF(AND(H1601="Realizado",L1601&lt;&gt;""),L1601/60,0)</f>
        <v>0</v>
      </c>
      <c r="V1601" s="47">
        <f>IF(AND(H1601="Realizado",OR(L1601="",M1601="")),1,0)</f>
        <v>0</v>
      </c>
    </row>
    <row r="1602">
      <c r="A1602" s="43" t="n"/>
      <c r="B1602" s="44" t="n"/>
      <c r="C1602" s="38" t="n"/>
      <c r="D1602" s="38" t="n"/>
      <c r="E1602" s="37" t="n"/>
      <c r="F1602" s="38" t="n"/>
      <c r="G1602" s="38" t="n"/>
      <c r="H1602" s="38" t="n"/>
      <c r="I1602" s="38" t="n"/>
      <c r="J1602" s="38" t="n"/>
      <c r="K1602" s="37" t="n"/>
      <c r="L1602" s="39" t="n"/>
      <c r="M1602" s="40" t="n"/>
      <c r="N1602" s="30">
        <f>IF(A1602="","",MONTH(A1602))</f>
        <v/>
      </c>
      <c r="O1602" s="30">
        <f>IF(A1602="","",YEAR(A1602))</f>
        <v/>
      </c>
      <c r="P1602" s="30">
        <f>IF(A1602="","",CHOOSE(WEEKDAY(A1602,2),"Segunda","Terça","Quarta","Quinta","Sexta","Sábado","Domingo"))</f>
        <v/>
      </c>
      <c r="Q1602" s="30">
        <f>IF(B1602="","",IF(B1602&lt;TIME(12,0,0),"Manhã",IF(B1602&lt;TIME(18,0,0),"Tarde","Noite")))</f>
        <v/>
      </c>
      <c r="R1602" s="46">
        <f>IF(AND(H1602="Realizado",L1602&lt;&gt;"",A1602&lt;=Config!$B$9),L1602/60,0)</f>
        <v>0</v>
      </c>
      <c r="S1602" s="45">
        <f>IF(G1602="","",IFERROR(INDEX(Config!$K$5:$K$16,MATCH(G1602,Config!$J$5:$J$16,0)),""))</f>
        <v/>
      </c>
      <c r="T1602" s="31">
        <f>IF(OR(G1602="",F1602=""),"",IFERROR(INDEX(Config!$M$5:$R$16,MATCH(G1602,Config!$J$5:$J$16,0),MATCH(F1602,Config!$H$5:$H$10,0)),""))</f>
        <v/>
      </c>
      <c r="U1602" s="47">
        <f>IF(AND(H1602="Realizado",L1602&lt;&gt;""),L1602/60,0)</f>
        <v>0</v>
      </c>
      <c r="V1602" s="47">
        <f>IF(AND(H1602="Realizado",OR(L1602="",M1602="")),1,0)</f>
        <v>0</v>
      </c>
    </row>
    <row r="1603">
      <c r="A1603" s="43" t="n"/>
      <c r="B1603" s="44" t="n"/>
      <c r="C1603" s="38" t="n"/>
      <c r="D1603" s="38" t="n"/>
      <c r="E1603" s="37" t="n"/>
      <c r="F1603" s="38" t="n"/>
      <c r="G1603" s="38" t="n"/>
      <c r="H1603" s="38" t="n"/>
      <c r="I1603" s="38" t="n"/>
      <c r="J1603" s="38" t="n"/>
      <c r="K1603" s="37" t="n"/>
      <c r="L1603" s="39" t="n"/>
      <c r="M1603" s="40" t="n"/>
      <c r="N1603" s="30">
        <f>IF(A1603="","",MONTH(A1603))</f>
        <v/>
      </c>
      <c r="O1603" s="30">
        <f>IF(A1603="","",YEAR(A1603))</f>
        <v/>
      </c>
      <c r="P1603" s="30">
        <f>IF(A1603="","",CHOOSE(WEEKDAY(A1603,2),"Segunda","Terça","Quarta","Quinta","Sexta","Sábado","Domingo"))</f>
        <v/>
      </c>
      <c r="Q1603" s="30">
        <f>IF(B1603="","",IF(B1603&lt;TIME(12,0,0),"Manhã",IF(B1603&lt;TIME(18,0,0),"Tarde","Noite")))</f>
        <v/>
      </c>
      <c r="R1603" s="46">
        <f>IF(AND(H1603="Realizado",L1603&lt;&gt;"",A1603&lt;=Config!$B$9),L1603/60,0)</f>
        <v>0</v>
      </c>
      <c r="S1603" s="45">
        <f>IF(G1603="","",IFERROR(INDEX(Config!$K$5:$K$16,MATCH(G1603,Config!$J$5:$J$16,0)),""))</f>
        <v/>
      </c>
      <c r="T1603" s="31">
        <f>IF(OR(G1603="",F1603=""),"",IFERROR(INDEX(Config!$M$5:$R$16,MATCH(G1603,Config!$J$5:$J$16,0),MATCH(F1603,Config!$H$5:$H$10,0)),""))</f>
        <v/>
      </c>
      <c r="U1603" s="47">
        <f>IF(AND(H1603="Realizado",L1603&lt;&gt;""),L1603/60,0)</f>
        <v>0</v>
      </c>
      <c r="V1603" s="47">
        <f>IF(AND(H1603="Realizado",OR(L1603="",M1603="")),1,0)</f>
        <v>0</v>
      </c>
    </row>
    <row r="1604">
      <c r="A1604" s="43" t="n"/>
      <c r="B1604" s="44" t="n"/>
      <c r="C1604" s="38" t="n"/>
      <c r="D1604" s="38" t="n"/>
      <c r="E1604" s="37" t="n"/>
      <c r="F1604" s="38" t="n"/>
      <c r="G1604" s="38" t="n"/>
      <c r="H1604" s="38" t="n"/>
      <c r="I1604" s="38" t="n"/>
      <c r="J1604" s="38" t="n"/>
      <c r="K1604" s="37" t="n"/>
      <c r="L1604" s="39" t="n"/>
      <c r="M1604" s="40" t="n"/>
      <c r="N1604" s="30">
        <f>IF(A1604="","",MONTH(A1604))</f>
        <v/>
      </c>
      <c r="O1604" s="30">
        <f>IF(A1604="","",YEAR(A1604))</f>
        <v/>
      </c>
      <c r="P1604" s="30">
        <f>IF(A1604="","",CHOOSE(WEEKDAY(A1604,2),"Segunda","Terça","Quarta","Quinta","Sexta","Sábado","Domingo"))</f>
        <v/>
      </c>
      <c r="Q1604" s="30">
        <f>IF(B1604="","",IF(B1604&lt;TIME(12,0,0),"Manhã",IF(B1604&lt;TIME(18,0,0),"Tarde","Noite")))</f>
        <v/>
      </c>
      <c r="R1604" s="46">
        <f>IF(AND(H1604="Realizado",L1604&lt;&gt;"",A1604&lt;=Config!$B$9),L1604/60,0)</f>
        <v>0</v>
      </c>
      <c r="S1604" s="45">
        <f>IF(G1604="","",IFERROR(INDEX(Config!$K$5:$K$16,MATCH(G1604,Config!$J$5:$J$16,0)),""))</f>
        <v/>
      </c>
      <c r="T1604" s="31">
        <f>IF(OR(G1604="",F1604=""),"",IFERROR(INDEX(Config!$M$5:$R$16,MATCH(G1604,Config!$J$5:$J$16,0),MATCH(F1604,Config!$H$5:$H$10,0)),""))</f>
        <v/>
      </c>
      <c r="U1604" s="47">
        <f>IF(AND(H1604="Realizado",L1604&lt;&gt;""),L1604/60,0)</f>
        <v>0</v>
      </c>
      <c r="V1604" s="47">
        <f>IF(AND(H1604="Realizado",OR(L1604="",M1604="")),1,0)</f>
        <v>0</v>
      </c>
    </row>
    <row r="1605">
      <c r="A1605" s="43" t="n"/>
      <c r="B1605" s="44" t="n"/>
      <c r="C1605" s="38" t="n"/>
      <c r="D1605" s="38" t="n"/>
      <c r="E1605" s="37" t="n"/>
      <c r="F1605" s="38" t="n"/>
      <c r="G1605" s="38" t="n"/>
      <c r="H1605" s="38" t="n"/>
      <c r="I1605" s="38" t="n"/>
      <c r="J1605" s="38" t="n"/>
      <c r="K1605" s="37" t="n"/>
      <c r="L1605" s="39" t="n"/>
      <c r="M1605" s="40" t="n"/>
      <c r="N1605" s="30">
        <f>IF(A1605="","",MONTH(A1605))</f>
        <v/>
      </c>
      <c r="O1605" s="30">
        <f>IF(A1605="","",YEAR(A1605))</f>
        <v/>
      </c>
      <c r="P1605" s="30">
        <f>IF(A1605="","",CHOOSE(WEEKDAY(A1605,2),"Segunda","Terça","Quarta","Quinta","Sexta","Sábado","Domingo"))</f>
        <v/>
      </c>
      <c r="Q1605" s="30">
        <f>IF(B1605="","",IF(B1605&lt;TIME(12,0,0),"Manhã",IF(B1605&lt;TIME(18,0,0),"Tarde","Noite")))</f>
        <v/>
      </c>
      <c r="R1605" s="46">
        <f>IF(AND(H1605="Realizado",L1605&lt;&gt;"",A1605&lt;=Config!$B$9),L1605/60,0)</f>
        <v>0</v>
      </c>
      <c r="S1605" s="45">
        <f>IF(G1605="","",IFERROR(INDEX(Config!$K$5:$K$16,MATCH(G1605,Config!$J$5:$J$16,0)),""))</f>
        <v/>
      </c>
      <c r="T1605" s="31">
        <f>IF(OR(G1605="",F1605=""),"",IFERROR(INDEX(Config!$M$5:$R$16,MATCH(G1605,Config!$J$5:$J$16,0),MATCH(F1605,Config!$H$5:$H$10,0)),""))</f>
        <v/>
      </c>
      <c r="U1605" s="47">
        <f>IF(AND(H1605="Realizado",L1605&lt;&gt;""),L1605/60,0)</f>
        <v>0</v>
      </c>
      <c r="V1605" s="47">
        <f>IF(AND(H1605="Realizado",OR(L1605="",M1605="")),1,0)</f>
        <v>0</v>
      </c>
    </row>
    <row r="1606">
      <c r="A1606" s="43" t="n"/>
      <c r="B1606" s="44" t="n"/>
      <c r="C1606" s="38" t="n"/>
      <c r="D1606" s="38" t="n"/>
      <c r="E1606" s="37" t="n"/>
      <c r="F1606" s="38" t="n"/>
      <c r="G1606" s="38" t="n"/>
      <c r="H1606" s="38" t="n"/>
      <c r="I1606" s="38" t="n"/>
      <c r="J1606" s="38" t="n"/>
      <c r="K1606" s="37" t="n"/>
      <c r="L1606" s="39" t="n"/>
      <c r="M1606" s="40" t="n"/>
      <c r="N1606" s="30">
        <f>IF(A1606="","",MONTH(A1606))</f>
        <v/>
      </c>
      <c r="O1606" s="30">
        <f>IF(A1606="","",YEAR(A1606))</f>
        <v/>
      </c>
      <c r="P1606" s="30">
        <f>IF(A1606="","",CHOOSE(WEEKDAY(A1606,2),"Segunda","Terça","Quarta","Quinta","Sexta","Sábado","Domingo"))</f>
        <v/>
      </c>
      <c r="Q1606" s="30">
        <f>IF(B1606="","",IF(B1606&lt;TIME(12,0,0),"Manhã",IF(B1606&lt;TIME(18,0,0),"Tarde","Noite")))</f>
        <v/>
      </c>
      <c r="R1606" s="46">
        <f>IF(AND(H1606="Realizado",L1606&lt;&gt;"",A1606&lt;=Config!$B$9),L1606/60,0)</f>
        <v>0</v>
      </c>
      <c r="S1606" s="45">
        <f>IF(G1606="","",IFERROR(INDEX(Config!$K$5:$K$16,MATCH(G1606,Config!$J$5:$J$16,0)),""))</f>
        <v/>
      </c>
      <c r="T1606" s="31">
        <f>IF(OR(G1606="",F1606=""),"",IFERROR(INDEX(Config!$M$5:$R$16,MATCH(G1606,Config!$J$5:$J$16,0),MATCH(F1606,Config!$H$5:$H$10,0)),""))</f>
        <v/>
      </c>
      <c r="U1606" s="47">
        <f>IF(AND(H1606="Realizado",L1606&lt;&gt;""),L1606/60,0)</f>
        <v>0</v>
      </c>
      <c r="V1606" s="47">
        <f>IF(AND(H1606="Realizado",OR(L1606="",M1606="")),1,0)</f>
        <v>0</v>
      </c>
    </row>
    <row r="1607">
      <c r="A1607" s="43" t="n"/>
      <c r="B1607" s="44" t="n"/>
      <c r="C1607" s="38" t="n"/>
      <c r="D1607" s="38" t="n"/>
      <c r="E1607" s="37" t="n"/>
      <c r="F1607" s="38" t="n"/>
      <c r="G1607" s="38" t="n"/>
      <c r="H1607" s="38" t="n"/>
      <c r="I1607" s="38" t="n"/>
      <c r="J1607" s="38" t="n"/>
      <c r="K1607" s="37" t="n"/>
      <c r="L1607" s="39" t="n"/>
      <c r="M1607" s="40" t="n"/>
      <c r="N1607" s="30">
        <f>IF(A1607="","",MONTH(A1607))</f>
        <v/>
      </c>
      <c r="O1607" s="30">
        <f>IF(A1607="","",YEAR(A1607))</f>
        <v/>
      </c>
      <c r="P1607" s="30">
        <f>IF(A1607="","",CHOOSE(WEEKDAY(A1607,2),"Segunda","Terça","Quarta","Quinta","Sexta","Sábado","Domingo"))</f>
        <v/>
      </c>
      <c r="Q1607" s="30">
        <f>IF(B1607="","",IF(B1607&lt;TIME(12,0,0),"Manhã",IF(B1607&lt;TIME(18,0,0),"Tarde","Noite")))</f>
        <v/>
      </c>
      <c r="R1607" s="46">
        <f>IF(AND(H1607="Realizado",L1607&lt;&gt;"",A1607&lt;=Config!$B$9),L1607/60,0)</f>
        <v>0</v>
      </c>
      <c r="S1607" s="45">
        <f>IF(G1607="","",IFERROR(INDEX(Config!$K$5:$K$16,MATCH(G1607,Config!$J$5:$J$16,0)),""))</f>
        <v/>
      </c>
      <c r="T1607" s="31">
        <f>IF(OR(G1607="",F1607=""),"",IFERROR(INDEX(Config!$M$5:$R$16,MATCH(G1607,Config!$J$5:$J$16,0),MATCH(F1607,Config!$H$5:$H$10,0)),""))</f>
        <v/>
      </c>
      <c r="U1607" s="47">
        <f>IF(AND(H1607="Realizado",L1607&lt;&gt;""),L1607/60,0)</f>
        <v>0</v>
      </c>
      <c r="V1607" s="47">
        <f>IF(AND(H1607="Realizado",OR(L1607="",M1607="")),1,0)</f>
        <v>0</v>
      </c>
    </row>
    <row r="1608">
      <c r="A1608" s="43" t="n"/>
      <c r="B1608" s="44" t="n"/>
      <c r="C1608" s="38" t="n"/>
      <c r="D1608" s="38" t="n"/>
      <c r="E1608" s="37" t="n"/>
      <c r="F1608" s="38" t="n"/>
      <c r="G1608" s="38" t="n"/>
      <c r="H1608" s="38" t="n"/>
      <c r="I1608" s="38" t="n"/>
      <c r="J1608" s="38" t="n"/>
      <c r="K1608" s="37" t="n"/>
      <c r="L1608" s="39" t="n"/>
      <c r="M1608" s="40" t="n"/>
      <c r="N1608" s="30">
        <f>IF(A1608="","",MONTH(A1608))</f>
        <v/>
      </c>
      <c r="O1608" s="30">
        <f>IF(A1608="","",YEAR(A1608))</f>
        <v/>
      </c>
      <c r="P1608" s="30">
        <f>IF(A1608="","",CHOOSE(WEEKDAY(A1608,2),"Segunda","Terça","Quarta","Quinta","Sexta","Sábado","Domingo"))</f>
        <v/>
      </c>
      <c r="Q1608" s="30">
        <f>IF(B1608="","",IF(B1608&lt;TIME(12,0,0),"Manhã",IF(B1608&lt;TIME(18,0,0),"Tarde","Noite")))</f>
        <v/>
      </c>
      <c r="R1608" s="46">
        <f>IF(AND(H1608="Realizado",L1608&lt;&gt;"",A1608&lt;=Config!$B$9),L1608/60,0)</f>
        <v>0</v>
      </c>
      <c r="S1608" s="45">
        <f>IF(G1608="","",IFERROR(INDEX(Config!$K$5:$K$16,MATCH(G1608,Config!$J$5:$J$16,0)),""))</f>
        <v/>
      </c>
      <c r="T1608" s="31">
        <f>IF(OR(G1608="",F1608=""),"",IFERROR(INDEX(Config!$M$5:$R$16,MATCH(G1608,Config!$J$5:$J$16,0),MATCH(F1608,Config!$H$5:$H$10,0)),""))</f>
        <v/>
      </c>
      <c r="U1608" s="47">
        <f>IF(AND(H1608="Realizado",L1608&lt;&gt;""),L1608/60,0)</f>
        <v>0</v>
      </c>
      <c r="V1608" s="47">
        <f>IF(AND(H1608="Realizado",OR(L1608="",M1608="")),1,0)</f>
        <v>0</v>
      </c>
    </row>
    <row r="1609">
      <c r="A1609" s="43" t="n"/>
      <c r="B1609" s="44" t="n"/>
      <c r="C1609" s="38" t="n"/>
      <c r="D1609" s="38" t="n"/>
      <c r="E1609" s="37" t="n"/>
      <c r="F1609" s="38" t="n"/>
      <c r="G1609" s="38" t="n"/>
      <c r="H1609" s="38" t="n"/>
      <c r="I1609" s="38" t="n"/>
      <c r="J1609" s="38" t="n"/>
      <c r="K1609" s="37" t="n"/>
      <c r="L1609" s="39" t="n"/>
      <c r="M1609" s="40" t="n"/>
      <c r="N1609" s="30">
        <f>IF(A1609="","",MONTH(A1609))</f>
        <v/>
      </c>
      <c r="O1609" s="30">
        <f>IF(A1609="","",YEAR(A1609))</f>
        <v/>
      </c>
      <c r="P1609" s="30">
        <f>IF(A1609="","",CHOOSE(WEEKDAY(A1609,2),"Segunda","Terça","Quarta","Quinta","Sexta","Sábado","Domingo"))</f>
        <v/>
      </c>
      <c r="Q1609" s="30">
        <f>IF(B1609="","",IF(B1609&lt;TIME(12,0,0),"Manhã",IF(B1609&lt;TIME(18,0,0),"Tarde","Noite")))</f>
        <v/>
      </c>
      <c r="R1609" s="46">
        <f>IF(AND(H1609="Realizado",L1609&lt;&gt;"",A1609&lt;=Config!$B$9),L1609/60,0)</f>
        <v>0</v>
      </c>
      <c r="S1609" s="45">
        <f>IF(G1609="","",IFERROR(INDEX(Config!$K$5:$K$16,MATCH(G1609,Config!$J$5:$J$16,0)),""))</f>
        <v/>
      </c>
      <c r="T1609" s="31">
        <f>IF(OR(G1609="",F1609=""),"",IFERROR(INDEX(Config!$M$5:$R$16,MATCH(G1609,Config!$J$5:$J$16,0),MATCH(F1609,Config!$H$5:$H$10,0)),""))</f>
        <v/>
      </c>
      <c r="U1609" s="47">
        <f>IF(AND(H1609="Realizado",L1609&lt;&gt;""),L1609/60,0)</f>
        <v>0</v>
      </c>
      <c r="V1609" s="47">
        <f>IF(AND(H1609="Realizado",OR(L1609="",M1609="")),1,0)</f>
        <v>0</v>
      </c>
    </row>
    <row r="1610">
      <c r="A1610" s="43" t="n"/>
      <c r="B1610" s="44" t="n"/>
      <c r="C1610" s="38" t="n"/>
      <c r="D1610" s="38" t="n"/>
      <c r="E1610" s="37" t="n"/>
      <c r="F1610" s="38" t="n"/>
      <c r="G1610" s="38" t="n"/>
      <c r="H1610" s="38" t="n"/>
      <c r="I1610" s="38" t="n"/>
      <c r="J1610" s="38" t="n"/>
      <c r="K1610" s="37" t="n"/>
      <c r="L1610" s="39" t="n"/>
      <c r="M1610" s="40" t="n"/>
      <c r="N1610" s="30">
        <f>IF(A1610="","",MONTH(A1610))</f>
        <v/>
      </c>
      <c r="O1610" s="30">
        <f>IF(A1610="","",YEAR(A1610))</f>
        <v/>
      </c>
      <c r="P1610" s="30">
        <f>IF(A1610="","",CHOOSE(WEEKDAY(A1610,2),"Segunda","Terça","Quarta","Quinta","Sexta","Sábado","Domingo"))</f>
        <v/>
      </c>
      <c r="Q1610" s="30">
        <f>IF(B1610="","",IF(B1610&lt;TIME(12,0,0),"Manhã",IF(B1610&lt;TIME(18,0,0),"Tarde","Noite")))</f>
        <v/>
      </c>
      <c r="R1610" s="46">
        <f>IF(AND(H1610="Realizado",L1610&lt;&gt;"",A1610&lt;=Config!$B$9),L1610/60,0)</f>
        <v>0</v>
      </c>
      <c r="S1610" s="45">
        <f>IF(G1610="","",IFERROR(INDEX(Config!$K$5:$K$16,MATCH(G1610,Config!$J$5:$J$16,0)),""))</f>
        <v/>
      </c>
      <c r="T1610" s="31">
        <f>IF(OR(G1610="",F1610=""),"",IFERROR(INDEX(Config!$M$5:$R$16,MATCH(G1610,Config!$J$5:$J$16,0),MATCH(F1610,Config!$H$5:$H$10,0)),""))</f>
        <v/>
      </c>
      <c r="U1610" s="47">
        <f>IF(AND(H1610="Realizado",L1610&lt;&gt;""),L1610/60,0)</f>
        <v>0</v>
      </c>
      <c r="V1610" s="47">
        <f>IF(AND(H1610="Realizado",OR(L1610="",M1610="")),1,0)</f>
        <v>0</v>
      </c>
    </row>
    <row r="1611">
      <c r="A1611" s="43" t="n"/>
      <c r="B1611" s="44" t="n"/>
      <c r="C1611" s="38" t="n"/>
      <c r="D1611" s="38" t="n"/>
      <c r="E1611" s="37" t="n"/>
      <c r="F1611" s="38" t="n"/>
      <c r="G1611" s="38" t="n"/>
      <c r="H1611" s="38" t="n"/>
      <c r="I1611" s="38" t="n"/>
      <c r="J1611" s="38" t="n"/>
      <c r="K1611" s="37" t="n"/>
      <c r="L1611" s="39" t="n"/>
      <c r="M1611" s="40" t="n"/>
      <c r="N1611" s="30">
        <f>IF(A1611="","",MONTH(A1611))</f>
        <v/>
      </c>
      <c r="O1611" s="30">
        <f>IF(A1611="","",YEAR(A1611))</f>
        <v/>
      </c>
      <c r="P1611" s="30">
        <f>IF(A1611="","",CHOOSE(WEEKDAY(A1611,2),"Segunda","Terça","Quarta","Quinta","Sexta","Sábado","Domingo"))</f>
        <v/>
      </c>
      <c r="Q1611" s="30">
        <f>IF(B1611="","",IF(B1611&lt;TIME(12,0,0),"Manhã",IF(B1611&lt;TIME(18,0,0),"Tarde","Noite")))</f>
        <v/>
      </c>
      <c r="R1611" s="46">
        <f>IF(AND(H1611="Realizado",L1611&lt;&gt;"",A1611&lt;=Config!$B$9),L1611/60,0)</f>
        <v>0</v>
      </c>
      <c r="S1611" s="45">
        <f>IF(G1611="","",IFERROR(INDEX(Config!$K$5:$K$16,MATCH(G1611,Config!$J$5:$J$16,0)),""))</f>
        <v/>
      </c>
      <c r="T1611" s="31">
        <f>IF(OR(G1611="",F1611=""),"",IFERROR(INDEX(Config!$M$5:$R$16,MATCH(G1611,Config!$J$5:$J$16,0),MATCH(F1611,Config!$H$5:$H$10,0)),""))</f>
        <v/>
      </c>
      <c r="U1611" s="47">
        <f>IF(AND(H1611="Realizado",L1611&lt;&gt;""),L1611/60,0)</f>
        <v>0</v>
      </c>
      <c r="V1611" s="47">
        <f>IF(AND(H1611="Realizado",OR(L1611="",M1611="")),1,0)</f>
        <v>0</v>
      </c>
    </row>
    <row r="1612">
      <c r="A1612" s="43" t="n"/>
      <c r="B1612" s="44" t="n"/>
      <c r="C1612" s="38" t="n"/>
      <c r="D1612" s="38" t="n"/>
      <c r="E1612" s="37" t="n"/>
      <c r="F1612" s="38" t="n"/>
      <c r="G1612" s="38" t="n"/>
      <c r="H1612" s="38" t="n"/>
      <c r="I1612" s="38" t="n"/>
      <c r="J1612" s="38" t="n"/>
      <c r="K1612" s="37" t="n"/>
      <c r="L1612" s="39" t="n"/>
      <c r="M1612" s="40" t="n"/>
      <c r="N1612" s="30">
        <f>IF(A1612="","",MONTH(A1612))</f>
        <v/>
      </c>
      <c r="O1612" s="30">
        <f>IF(A1612="","",YEAR(A1612))</f>
        <v/>
      </c>
      <c r="P1612" s="30">
        <f>IF(A1612="","",CHOOSE(WEEKDAY(A1612,2),"Segunda","Terça","Quarta","Quinta","Sexta","Sábado","Domingo"))</f>
        <v/>
      </c>
      <c r="Q1612" s="30">
        <f>IF(B1612="","",IF(B1612&lt;TIME(12,0,0),"Manhã",IF(B1612&lt;TIME(18,0,0),"Tarde","Noite")))</f>
        <v/>
      </c>
      <c r="R1612" s="46">
        <f>IF(AND(H1612="Realizado",L1612&lt;&gt;"",A1612&lt;=Config!$B$9),L1612/60,0)</f>
        <v>0</v>
      </c>
      <c r="S1612" s="45">
        <f>IF(G1612="","",IFERROR(INDEX(Config!$K$5:$K$16,MATCH(G1612,Config!$J$5:$J$16,0)),""))</f>
        <v/>
      </c>
      <c r="T1612" s="31">
        <f>IF(OR(G1612="",F1612=""),"",IFERROR(INDEX(Config!$M$5:$R$16,MATCH(G1612,Config!$J$5:$J$16,0),MATCH(F1612,Config!$H$5:$H$10,0)),""))</f>
        <v/>
      </c>
      <c r="U1612" s="47">
        <f>IF(AND(H1612="Realizado",L1612&lt;&gt;""),L1612/60,0)</f>
        <v>0</v>
      </c>
      <c r="V1612" s="47">
        <f>IF(AND(H1612="Realizado",OR(L1612="",M1612="")),1,0)</f>
        <v>0</v>
      </c>
    </row>
    <row r="1613">
      <c r="A1613" s="43" t="n"/>
      <c r="B1613" s="44" t="n"/>
      <c r="C1613" s="38" t="n"/>
      <c r="D1613" s="38" t="n"/>
      <c r="E1613" s="37" t="n"/>
      <c r="F1613" s="38" t="n"/>
      <c r="G1613" s="38" t="n"/>
      <c r="H1613" s="38" t="n"/>
      <c r="I1613" s="38" t="n"/>
      <c r="J1613" s="38" t="n"/>
      <c r="K1613" s="37" t="n"/>
      <c r="L1613" s="39" t="n"/>
      <c r="M1613" s="40" t="n"/>
      <c r="N1613" s="30">
        <f>IF(A1613="","",MONTH(A1613))</f>
        <v/>
      </c>
      <c r="O1613" s="30">
        <f>IF(A1613="","",YEAR(A1613))</f>
        <v/>
      </c>
      <c r="P1613" s="30">
        <f>IF(A1613="","",CHOOSE(WEEKDAY(A1613,2),"Segunda","Terça","Quarta","Quinta","Sexta","Sábado","Domingo"))</f>
        <v/>
      </c>
      <c r="Q1613" s="30">
        <f>IF(B1613="","",IF(B1613&lt;TIME(12,0,0),"Manhã",IF(B1613&lt;TIME(18,0,0),"Tarde","Noite")))</f>
        <v/>
      </c>
      <c r="R1613" s="46">
        <f>IF(AND(H1613="Realizado",L1613&lt;&gt;"",A1613&lt;=Config!$B$9),L1613/60,0)</f>
        <v>0</v>
      </c>
      <c r="S1613" s="45">
        <f>IF(G1613="","",IFERROR(INDEX(Config!$K$5:$K$16,MATCH(G1613,Config!$J$5:$J$16,0)),""))</f>
        <v/>
      </c>
      <c r="T1613" s="31">
        <f>IF(OR(G1613="",F1613=""),"",IFERROR(INDEX(Config!$M$5:$R$16,MATCH(G1613,Config!$J$5:$J$16,0),MATCH(F1613,Config!$H$5:$H$10,0)),""))</f>
        <v/>
      </c>
      <c r="U1613" s="47">
        <f>IF(AND(H1613="Realizado",L1613&lt;&gt;""),L1613/60,0)</f>
        <v>0</v>
      </c>
      <c r="V1613" s="47">
        <f>IF(AND(H1613="Realizado",OR(L1613="",M1613="")),1,0)</f>
        <v>0</v>
      </c>
    </row>
    <row r="1614">
      <c r="A1614" s="43" t="n"/>
      <c r="B1614" s="44" t="n"/>
      <c r="C1614" s="38" t="n"/>
      <c r="D1614" s="38" t="n"/>
      <c r="E1614" s="37" t="n"/>
      <c r="F1614" s="38" t="n"/>
      <c r="G1614" s="38" t="n"/>
      <c r="H1614" s="38" t="n"/>
      <c r="I1614" s="38" t="n"/>
      <c r="J1614" s="38" t="n"/>
      <c r="K1614" s="37" t="n"/>
      <c r="L1614" s="39" t="n"/>
      <c r="M1614" s="40" t="n"/>
      <c r="N1614" s="30">
        <f>IF(A1614="","",MONTH(A1614))</f>
        <v/>
      </c>
      <c r="O1614" s="30">
        <f>IF(A1614="","",YEAR(A1614))</f>
        <v/>
      </c>
      <c r="P1614" s="30">
        <f>IF(A1614="","",CHOOSE(WEEKDAY(A1614,2),"Segunda","Terça","Quarta","Quinta","Sexta","Sábado","Domingo"))</f>
        <v/>
      </c>
      <c r="Q1614" s="30">
        <f>IF(B1614="","",IF(B1614&lt;TIME(12,0,0),"Manhã",IF(B1614&lt;TIME(18,0,0),"Tarde","Noite")))</f>
        <v/>
      </c>
      <c r="R1614" s="46">
        <f>IF(AND(H1614="Realizado",L1614&lt;&gt;"",A1614&lt;=Config!$B$9),L1614/60,0)</f>
        <v>0</v>
      </c>
      <c r="S1614" s="45">
        <f>IF(G1614="","",IFERROR(INDEX(Config!$K$5:$K$16,MATCH(G1614,Config!$J$5:$J$16,0)),""))</f>
        <v/>
      </c>
      <c r="T1614" s="31">
        <f>IF(OR(G1614="",F1614=""),"",IFERROR(INDEX(Config!$M$5:$R$16,MATCH(G1614,Config!$J$5:$J$16,0),MATCH(F1614,Config!$H$5:$H$10,0)),""))</f>
        <v/>
      </c>
      <c r="U1614" s="47">
        <f>IF(AND(H1614="Realizado",L1614&lt;&gt;""),L1614/60,0)</f>
        <v>0</v>
      </c>
      <c r="V1614" s="47">
        <f>IF(AND(H1614="Realizado",OR(L1614="",M1614="")),1,0)</f>
        <v>0</v>
      </c>
    </row>
    <row r="1615">
      <c r="A1615" s="43" t="n"/>
      <c r="B1615" s="44" t="n"/>
      <c r="C1615" s="38" t="n"/>
      <c r="D1615" s="38" t="n"/>
      <c r="E1615" s="37" t="n"/>
      <c r="F1615" s="38" t="n"/>
      <c r="G1615" s="38" t="n"/>
      <c r="H1615" s="38" t="n"/>
      <c r="I1615" s="38" t="n"/>
      <c r="J1615" s="38" t="n"/>
      <c r="K1615" s="37" t="n"/>
      <c r="L1615" s="39" t="n"/>
      <c r="M1615" s="40" t="n"/>
      <c r="N1615" s="30">
        <f>IF(A1615="","",MONTH(A1615))</f>
        <v/>
      </c>
      <c r="O1615" s="30">
        <f>IF(A1615="","",YEAR(A1615))</f>
        <v/>
      </c>
      <c r="P1615" s="30">
        <f>IF(A1615="","",CHOOSE(WEEKDAY(A1615,2),"Segunda","Terça","Quarta","Quinta","Sexta","Sábado","Domingo"))</f>
        <v/>
      </c>
      <c r="Q1615" s="30">
        <f>IF(B1615="","",IF(B1615&lt;TIME(12,0,0),"Manhã",IF(B1615&lt;TIME(18,0,0),"Tarde","Noite")))</f>
        <v/>
      </c>
      <c r="R1615" s="46">
        <f>IF(AND(H1615="Realizado",L1615&lt;&gt;"",A1615&lt;=Config!$B$9),L1615/60,0)</f>
        <v>0</v>
      </c>
      <c r="S1615" s="45">
        <f>IF(G1615="","",IFERROR(INDEX(Config!$K$5:$K$16,MATCH(G1615,Config!$J$5:$J$16,0)),""))</f>
        <v/>
      </c>
      <c r="T1615" s="31">
        <f>IF(OR(G1615="",F1615=""),"",IFERROR(INDEX(Config!$M$5:$R$16,MATCH(G1615,Config!$J$5:$J$16,0),MATCH(F1615,Config!$H$5:$H$10,0)),""))</f>
        <v/>
      </c>
      <c r="U1615" s="47">
        <f>IF(AND(H1615="Realizado",L1615&lt;&gt;""),L1615/60,0)</f>
        <v>0</v>
      </c>
      <c r="V1615" s="47">
        <f>IF(AND(H1615="Realizado",OR(L1615="",M1615="")),1,0)</f>
        <v>0</v>
      </c>
    </row>
    <row r="1616">
      <c r="A1616" s="43" t="n"/>
      <c r="B1616" s="44" t="n"/>
      <c r="C1616" s="38" t="n"/>
      <c r="D1616" s="38" t="n"/>
      <c r="E1616" s="37" t="n"/>
      <c r="F1616" s="38" t="n"/>
      <c r="G1616" s="38" t="n"/>
      <c r="H1616" s="38" t="n"/>
      <c r="I1616" s="38" t="n"/>
      <c r="J1616" s="38" t="n"/>
      <c r="K1616" s="37" t="n"/>
      <c r="L1616" s="39" t="n"/>
      <c r="M1616" s="40" t="n"/>
      <c r="N1616" s="30">
        <f>IF(A1616="","",MONTH(A1616))</f>
        <v/>
      </c>
      <c r="O1616" s="30">
        <f>IF(A1616="","",YEAR(A1616))</f>
        <v/>
      </c>
      <c r="P1616" s="30">
        <f>IF(A1616="","",CHOOSE(WEEKDAY(A1616,2),"Segunda","Terça","Quarta","Quinta","Sexta","Sábado","Domingo"))</f>
        <v/>
      </c>
      <c r="Q1616" s="30">
        <f>IF(B1616="","",IF(B1616&lt;TIME(12,0,0),"Manhã",IF(B1616&lt;TIME(18,0,0),"Tarde","Noite")))</f>
        <v/>
      </c>
      <c r="R1616" s="46">
        <f>IF(AND(H1616="Realizado",L1616&lt;&gt;"",A1616&lt;=Config!$B$9),L1616/60,0)</f>
        <v>0</v>
      </c>
      <c r="S1616" s="45">
        <f>IF(G1616="","",IFERROR(INDEX(Config!$K$5:$K$16,MATCH(G1616,Config!$J$5:$J$16,0)),""))</f>
        <v/>
      </c>
      <c r="T1616" s="31">
        <f>IF(OR(G1616="",F1616=""),"",IFERROR(INDEX(Config!$M$5:$R$16,MATCH(G1616,Config!$J$5:$J$16,0),MATCH(F1616,Config!$H$5:$H$10,0)),""))</f>
        <v/>
      </c>
      <c r="U1616" s="47">
        <f>IF(AND(H1616="Realizado",L1616&lt;&gt;""),L1616/60,0)</f>
        <v>0</v>
      </c>
      <c r="V1616" s="47">
        <f>IF(AND(H1616="Realizado",OR(L1616="",M1616="")),1,0)</f>
        <v>0</v>
      </c>
    </row>
    <row r="1617">
      <c r="A1617" s="43" t="n"/>
      <c r="B1617" s="44" t="n"/>
      <c r="C1617" s="38" t="n"/>
      <c r="D1617" s="38" t="n"/>
      <c r="E1617" s="37" t="n"/>
      <c r="F1617" s="38" t="n"/>
      <c r="G1617" s="38" t="n"/>
      <c r="H1617" s="38" t="n"/>
      <c r="I1617" s="38" t="n"/>
      <c r="J1617" s="38" t="n"/>
      <c r="K1617" s="37" t="n"/>
      <c r="L1617" s="39" t="n"/>
      <c r="M1617" s="40" t="n"/>
      <c r="N1617" s="30">
        <f>IF(A1617="","",MONTH(A1617))</f>
        <v/>
      </c>
      <c r="O1617" s="30">
        <f>IF(A1617="","",YEAR(A1617))</f>
        <v/>
      </c>
      <c r="P1617" s="30">
        <f>IF(A1617="","",CHOOSE(WEEKDAY(A1617,2),"Segunda","Terça","Quarta","Quinta","Sexta","Sábado","Domingo"))</f>
        <v/>
      </c>
      <c r="Q1617" s="30">
        <f>IF(B1617="","",IF(B1617&lt;TIME(12,0,0),"Manhã",IF(B1617&lt;TIME(18,0,0),"Tarde","Noite")))</f>
        <v/>
      </c>
      <c r="R1617" s="46">
        <f>IF(AND(H1617="Realizado",L1617&lt;&gt;"",A1617&lt;=Config!$B$9),L1617/60,0)</f>
        <v>0</v>
      </c>
      <c r="S1617" s="45">
        <f>IF(G1617="","",IFERROR(INDEX(Config!$K$5:$K$16,MATCH(G1617,Config!$J$5:$J$16,0)),""))</f>
        <v/>
      </c>
      <c r="T1617" s="31">
        <f>IF(OR(G1617="",F1617=""),"",IFERROR(INDEX(Config!$M$5:$R$16,MATCH(G1617,Config!$J$5:$J$16,0),MATCH(F1617,Config!$H$5:$H$10,0)),""))</f>
        <v/>
      </c>
      <c r="U1617" s="47">
        <f>IF(AND(H1617="Realizado",L1617&lt;&gt;""),L1617/60,0)</f>
        <v>0</v>
      </c>
      <c r="V1617" s="47">
        <f>IF(AND(H1617="Realizado",OR(L1617="",M1617="")),1,0)</f>
        <v>0</v>
      </c>
    </row>
    <row r="1618">
      <c r="A1618" s="43" t="n"/>
      <c r="B1618" s="44" t="n"/>
      <c r="C1618" s="38" t="n"/>
      <c r="D1618" s="38" t="n"/>
      <c r="E1618" s="37" t="n"/>
      <c r="F1618" s="38" t="n"/>
      <c r="G1618" s="38" t="n"/>
      <c r="H1618" s="38" t="n"/>
      <c r="I1618" s="38" t="n"/>
      <c r="J1618" s="38" t="n"/>
      <c r="K1618" s="37" t="n"/>
      <c r="L1618" s="39" t="n"/>
      <c r="M1618" s="40" t="n"/>
      <c r="N1618" s="30">
        <f>IF(A1618="","",MONTH(A1618))</f>
        <v/>
      </c>
      <c r="O1618" s="30">
        <f>IF(A1618="","",YEAR(A1618))</f>
        <v/>
      </c>
      <c r="P1618" s="30">
        <f>IF(A1618="","",CHOOSE(WEEKDAY(A1618,2),"Segunda","Terça","Quarta","Quinta","Sexta","Sábado","Domingo"))</f>
        <v/>
      </c>
      <c r="Q1618" s="30">
        <f>IF(B1618="","",IF(B1618&lt;TIME(12,0,0),"Manhã",IF(B1618&lt;TIME(18,0,0),"Tarde","Noite")))</f>
        <v/>
      </c>
      <c r="R1618" s="46">
        <f>IF(AND(H1618="Realizado",L1618&lt;&gt;"",A1618&lt;=Config!$B$9),L1618/60,0)</f>
        <v>0</v>
      </c>
      <c r="S1618" s="45">
        <f>IF(G1618="","",IFERROR(INDEX(Config!$K$5:$K$16,MATCH(G1618,Config!$J$5:$J$16,0)),""))</f>
        <v/>
      </c>
      <c r="T1618" s="31">
        <f>IF(OR(G1618="",F1618=""),"",IFERROR(INDEX(Config!$M$5:$R$16,MATCH(G1618,Config!$J$5:$J$16,0),MATCH(F1618,Config!$H$5:$H$10,0)),""))</f>
        <v/>
      </c>
      <c r="U1618" s="47">
        <f>IF(AND(H1618="Realizado",L1618&lt;&gt;""),L1618/60,0)</f>
        <v>0</v>
      </c>
      <c r="V1618" s="47">
        <f>IF(AND(H1618="Realizado",OR(L1618="",M1618="")),1,0)</f>
        <v>0</v>
      </c>
    </row>
    <row r="1619">
      <c r="A1619" s="43" t="n"/>
      <c r="B1619" s="44" t="n"/>
      <c r="C1619" s="38" t="n"/>
      <c r="D1619" s="38" t="n"/>
      <c r="E1619" s="37" t="n"/>
      <c r="F1619" s="38" t="n"/>
      <c r="G1619" s="38" t="n"/>
      <c r="H1619" s="38" t="n"/>
      <c r="I1619" s="38" t="n"/>
      <c r="J1619" s="38" t="n"/>
      <c r="K1619" s="37" t="n"/>
      <c r="L1619" s="39" t="n"/>
      <c r="M1619" s="40" t="n"/>
      <c r="N1619" s="30">
        <f>IF(A1619="","",MONTH(A1619))</f>
        <v/>
      </c>
      <c r="O1619" s="30">
        <f>IF(A1619="","",YEAR(A1619))</f>
        <v/>
      </c>
      <c r="P1619" s="30">
        <f>IF(A1619="","",CHOOSE(WEEKDAY(A1619,2),"Segunda","Terça","Quarta","Quinta","Sexta","Sábado","Domingo"))</f>
        <v/>
      </c>
      <c r="Q1619" s="30">
        <f>IF(B1619="","",IF(B1619&lt;TIME(12,0,0),"Manhã",IF(B1619&lt;TIME(18,0,0),"Tarde","Noite")))</f>
        <v/>
      </c>
      <c r="R1619" s="46">
        <f>IF(AND(H1619="Realizado",L1619&lt;&gt;"",A1619&lt;=Config!$B$9),L1619/60,0)</f>
        <v>0</v>
      </c>
      <c r="S1619" s="45">
        <f>IF(G1619="","",IFERROR(INDEX(Config!$K$5:$K$16,MATCH(G1619,Config!$J$5:$J$16,0)),""))</f>
        <v/>
      </c>
      <c r="T1619" s="31">
        <f>IF(OR(G1619="",F1619=""),"",IFERROR(INDEX(Config!$M$5:$R$16,MATCH(G1619,Config!$J$5:$J$16,0),MATCH(F1619,Config!$H$5:$H$10,0)),""))</f>
        <v/>
      </c>
      <c r="U1619" s="47">
        <f>IF(AND(H1619="Realizado",L1619&lt;&gt;""),L1619/60,0)</f>
        <v>0</v>
      </c>
      <c r="V1619" s="47">
        <f>IF(AND(H1619="Realizado",OR(L1619="",M1619="")),1,0)</f>
        <v>0</v>
      </c>
    </row>
    <row r="1620">
      <c r="A1620" s="43" t="n"/>
      <c r="B1620" s="44" t="n"/>
      <c r="C1620" s="38" t="n"/>
      <c r="D1620" s="38" t="n"/>
      <c r="E1620" s="37" t="n"/>
      <c r="F1620" s="38" t="n"/>
      <c r="G1620" s="38" t="n"/>
      <c r="H1620" s="38" t="n"/>
      <c r="I1620" s="38" t="n"/>
      <c r="J1620" s="38" t="n"/>
      <c r="K1620" s="37" t="n"/>
      <c r="L1620" s="39" t="n"/>
      <c r="M1620" s="40" t="n"/>
      <c r="N1620" s="30">
        <f>IF(A1620="","",MONTH(A1620))</f>
        <v/>
      </c>
      <c r="O1620" s="30">
        <f>IF(A1620="","",YEAR(A1620))</f>
        <v/>
      </c>
      <c r="P1620" s="30">
        <f>IF(A1620="","",CHOOSE(WEEKDAY(A1620,2),"Segunda","Terça","Quarta","Quinta","Sexta","Sábado","Domingo"))</f>
        <v/>
      </c>
      <c r="Q1620" s="30">
        <f>IF(B1620="","",IF(B1620&lt;TIME(12,0,0),"Manhã",IF(B1620&lt;TIME(18,0,0),"Tarde","Noite")))</f>
        <v/>
      </c>
      <c r="R1620" s="46">
        <f>IF(AND(H1620="Realizado",L1620&lt;&gt;"",A1620&lt;=Config!$B$9),L1620/60,0)</f>
        <v>0</v>
      </c>
      <c r="S1620" s="45">
        <f>IF(G1620="","",IFERROR(INDEX(Config!$K$5:$K$16,MATCH(G1620,Config!$J$5:$J$16,0)),""))</f>
        <v/>
      </c>
      <c r="T1620" s="31">
        <f>IF(OR(G1620="",F1620=""),"",IFERROR(INDEX(Config!$M$5:$R$16,MATCH(G1620,Config!$J$5:$J$16,0),MATCH(F1620,Config!$H$5:$H$10,0)),""))</f>
        <v/>
      </c>
      <c r="U1620" s="47">
        <f>IF(AND(H1620="Realizado",L1620&lt;&gt;""),L1620/60,0)</f>
        <v>0</v>
      </c>
      <c r="V1620" s="47">
        <f>IF(AND(H1620="Realizado",OR(L1620="",M1620="")),1,0)</f>
        <v>0</v>
      </c>
    </row>
    <row r="1621">
      <c r="A1621" s="43" t="n"/>
      <c r="B1621" s="44" t="n"/>
      <c r="C1621" s="38" t="n"/>
      <c r="D1621" s="38" t="n"/>
      <c r="E1621" s="37" t="n"/>
      <c r="F1621" s="38" t="n"/>
      <c r="G1621" s="38" t="n"/>
      <c r="H1621" s="38" t="n"/>
      <c r="I1621" s="38" t="n"/>
      <c r="J1621" s="38" t="n"/>
      <c r="K1621" s="37" t="n"/>
      <c r="L1621" s="39" t="n"/>
      <c r="M1621" s="40" t="n"/>
      <c r="N1621" s="30">
        <f>IF(A1621="","",MONTH(A1621))</f>
        <v/>
      </c>
      <c r="O1621" s="30">
        <f>IF(A1621="","",YEAR(A1621))</f>
        <v/>
      </c>
      <c r="P1621" s="30">
        <f>IF(A1621="","",CHOOSE(WEEKDAY(A1621,2),"Segunda","Terça","Quarta","Quinta","Sexta","Sábado","Domingo"))</f>
        <v/>
      </c>
      <c r="Q1621" s="30">
        <f>IF(B1621="","",IF(B1621&lt;TIME(12,0,0),"Manhã",IF(B1621&lt;TIME(18,0,0),"Tarde","Noite")))</f>
        <v/>
      </c>
      <c r="R1621" s="46">
        <f>IF(AND(H1621="Realizado",L1621&lt;&gt;"",A1621&lt;=Config!$B$9),L1621/60,0)</f>
        <v>0</v>
      </c>
      <c r="S1621" s="45">
        <f>IF(G1621="","",IFERROR(INDEX(Config!$K$5:$K$16,MATCH(G1621,Config!$J$5:$J$16,0)),""))</f>
        <v/>
      </c>
      <c r="T1621" s="31">
        <f>IF(OR(G1621="",F1621=""),"",IFERROR(INDEX(Config!$M$5:$R$16,MATCH(G1621,Config!$J$5:$J$16,0),MATCH(F1621,Config!$H$5:$H$10,0)),""))</f>
        <v/>
      </c>
      <c r="U1621" s="47">
        <f>IF(AND(H1621="Realizado",L1621&lt;&gt;""),L1621/60,0)</f>
        <v>0</v>
      </c>
      <c r="V1621" s="47">
        <f>IF(AND(H1621="Realizado",OR(L1621="",M1621="")),1,0)</f>
        <v>0</v>
      </c>
    </row>
    <row r="1622">
      <c r="A1622" s="43" t="n"/>
      <c r="B1622" s="44" t="n"/>
      <c r="C1622" s="38" t="n"/>
      <c r="D1622" s="38" t="n"/>
      <c r="E1622" s="37" t="n"/>
      <c r="F1622" s="38" t="n"/>
      <c r="G1622" s="38" t="n"/>
      <c r="H1622" s="38" t="n"/>
      <c r="I1622" s="38" t="n"/>
      <c r="J1622" s="38" t="n"/>
      <c r="K1622" s="37" t="n"/>
      <c r="L1622" s="39" t="n"/>
      <c r="M1622" s="40" t="n"/>
      <c r="N1622" s="30">
        <f>IF(A1622="","",MONTH(A1622))</f>
        <v/>
      </c>
      <c r="O1622" s="30">
        <f>IF(A1622="","",YEAR(A1622))</f>
        <v/>
      </c>
      <c r="P1622" s="30">
        <f>IF(A1622="","",CHOOSE(WEEKDAY(A1622,2),"Segunda","Terça","Quarta","Quinta","Sexta","Sábado","Domingo"))</f>
        <v/>
      </c>
      <c r="Q1622" s="30">
        <f>IF(B1622="","",IF(B1622&lt;TIME(12,0,0),"Manhã",IF(B1622&lt;TIME(18,0,0),"Tarde","Noite")))</f>
        <v/>
      </c>
      <c r="R1622" s="46">
        <f>IF(AND(H1622="Realizado",L1622&lt;&gt;"",A1622&lt;=Config!$B$9),L1622/60,0)</f>
        <v>0</v>
      </c>
      <c r="S1622" s="45">
        <f>IF(G1622="","",IFERROR(INDEX(Config!$K$5:$K$16,MATCH(G1622,Config!$J$5:$J$16,0)),""))</f>
        <v/>
      </c>
      <c r="T1622" s="31">
        <f>IF(OR(G1622="",F1622=""),"",IFERROR(INDEX(Config!$M$5:$R$16,MATCH(G1622,Config!$J$5:$J$16,0),MATCH(F1622,Config!$H$5:$H$10,0)),""))</f>
        <v/>
      </c>
      <c r="U1622" s="47">
        <f>IF(AND(H1622="Realizado",L1622&lt;&gt;""),L1622/60,0)</f>
        <v>0</v>
      </c>
      <c r="V1622" s="47">
        <f>IF(AND(H1622="Realizado",OR(L1622="",M1622="")),1,0)</f>
        <v>0</v>
      </c>
    </row>
    <row r="1623">
      <c r="A1623" s="43" t="n"/>
      <c r="B1623" s="44" t="n"/>
      <c r="C1623" s="38" t="n"/>
      <c r="D1623" s="38" t="n"/>
      <c r="E1623" s="37" t="n"/>
      <c r="F1623" s="38" t="n"/>
      <c r="G1623" s="38" t="n"/>
      <c r="H1623" s="38" t="n"/>
      <c r="I1623" s="38" t="n"/>
      <c r="J1623" s="38" t="n"/>
      <c r="K1623" s="37" t="n"/>
      <c r="L1623" s="39" t="n"/>
      <c r="M1623" s="40" t="n"/>
      <c r="N1623" s="30">
        <f>IF(A1623="","",MONTH(A1623))</f>
        <v/>
      </c>
      <c r="O1623" s="30">
        <f>IF(A1623="","",YEAR(A1623))</f>
        <v/>
      </c>
      <c r="P1623" s="30">
        <f>IF(A1623="","",CHOOSE(WEEKDAY(A1623,2),"Segunda","Terça","Quarta","Quinta","Sexta","Sábado","Domingo"))</f>
        <v/>
      </c>
      <c r="Q1623" s="30">
        <f>IF(B1623="","",IF(B1623&lt;TIME(12,0,0),"Manhã",IF(B1623&lt;TIME(18,0,0),"Tarde","Noite")))</f>
        <v/>
      </c>
      <c r="R1623" s="46">
        <f>IF(AND(H1623="Realizado",L1623&lt;&gt;"",A1623&lt;=Config!$B$9),L1623/60,0)</f>
        <v>0</v>
      </c>
      <c r="S1623" s="45">
        <f>IF(G1623="","",IFERROR(INDEX(Config!$K$5:$K$16,MATCH(G1623,Config!$J$5:$J$16,0)),""))</f>
        <v/>
      </c>
      <c r="T1623" s="31">
        <f>IF(OR(G1623="",F1623=""),"",IFERROR(INDEX(Config!$M$5:$R$16,MATCH(G1623,Config!$J$5:$J$16,0),MATCH(F1623,Config!$H$5:$H$10,0)),""))</f>
        <v/>
      </c>
      <c r="U1623" s="47">
        <f>IF(AND(H1623="Realizado",L1623&lt;&gt;""),L1623/60,0)</f>
        <v>0</v>
      </c>
      <c r="V1623" s="47">
        <f>IF(AND(H1623="Realizado",OR(L1623="",M1623="")),1,0)</f>
        <v>0</v>
      </c>
    </row>
    <row r="1624">
      <c r="A1624" s="43" t="n"/>
      <c r="B1624" s="44" t="n"/>
      <c r="C1624" s="38" t="n"/>
      <c r="D1624" s="38" t="n"/>
      <c r="E1624" s="37" t="n"/>
      <c r="F1624" s="38" t="n"/>
      <c r="G1624" s="38" t="n"/>
      <c r="H1624" s="38" t="n"/>
      <c r="I1624" s="38" t="n"/>
      <c r="J1624" s="38" t="n"/>
      <c r="K1624" s="37" t="n"/>
      <c r="L1624" s="39" t="n"/>
      <c r="M1624" s="40" t="n"/>
      <c r="N1624" s="30">
        <f>IF(A1624="","",MONTH(A1624))</f>
        <v/>
      </c>
      <c r="O1624" s="30">
        <f>IF(A1624="","",YEAR(A1624))</f>
        <v/>
      </c>
      <c r="P1624" s="30">
        <f>IF(A1624="","",CHOOSE(WEEKDAY(A1624,2),"Segunda","Terça","Quarta","Quinta","Sexta","Sábado","Domingo"))</f>
        <v/>
      </c>
      <c r="Q1624" s="30">
        <f>IF(B1624="","",IF(B1624&lt;TIME(12,0,0),"Manhã",IF(B1624&lt;TIME(18,0,0),"Tarde","Noite")))</f>
        <v/>
      </c>
      <c r="R1624" s="46">
        <f>IF(AND(H1624="Realizado",L1624&lt;&gt;"",A1624&lt;=Config!$B$9),L1624/60,0)</f>
        <v>0</v>
      </c>
      <c r="S1624" s="45">
        <f>IF(G1624="","",IFERROR(INDEX(Config!$K$5:$K$16,MATCH(G1624,Config!$J$5:$J$16,0)),""))</f>
        <v/>
      </c>
      <c r="T1624" s="31">
        <f>IF(OR(G1624="",F1624=""),"",IFERROR(INDEX(Config!$M$5:$R$16,MATCH(G1624,Config!$J$5:$J$16,0),MATCH(F1624,Config!$H$5:$H$10,0)),""))</f>
        <v/>
      </c>
      <c r="U1624" s="47">
        <f>IF(AND(H1624="Realizado",L1624&lt;&gt;""),L1624/60,0)</f>
        <v>0</v>
      </c>
      <c r="V1624" s="47">
        <f>IF(AND(H1624="Realizado",OR(L1624="",M1624="")),1,0)</f>
        <v>0</v>
      </c>
    </row>
    <row r="1625">
      <c r="A1625" s="43" t="n"/>
      <c r="B1625" s="44" t="n"/>
      <c r="C1625" s="38" t="n"/>
      <c r="D1625" s="38" t="n"/>
      <c r="E1625" s="37" t="n"/>
      <c r="F1625" s="38" t="n"/>
      <c r="G1625" s="38" t="n"/>
      <c r="H1625" s="38" t="n"/>
      <c r="I1625" s="38" t="n"/>
      <c r="J1625" s="38" t="n"/>
      <c r="K1625" s="37" t="n"/>
      <c r="L1625" s="39" t="n"/>
      <c r="M1625" s="40" t="n"/>
      <c r="N1625" s="30">
        <f>IF(A1625="","",MONTH(A1625))</f>
        <v/>
      </c>
      <c r="O1625" s="30">
        <f>IF(A1625="","",YEAR(A1625))</f>
        <v/>
      </c>
      <c r="P1625" s="30">
        <f>IF(A1625="","",CHOOSE(WEEKDAY(A1625,2),"Segunda","Terça","Quarta","Quinta","Sexta","Sábado","Domingo"))</f>
        <v/>
      </c>
      <c r="Q1625" s="30">
        <f>IF(B1625="","",IF(B1625&lt;TIME(12,0,0),"Manhã",IF(B1625&lt;TIME(18,0,0),"Tarde","Noite")))</f>
        <v/>
      </c>
      <c r="R1625" s="46">
        <f>IF(AND(H1625="Realizado",L1625&lt;&gt;"",A1625&lt;=Config!$B$9),L1625/60,0)</f>
        <v>0</v>
      </c>
      <c r="S1625" s="45">
        <f>IF(G1625="","",IFERROR(INDEX(Config!$K$5:$K$16,MATCH(G1625,Config!$J$5:$J$16,0)),""))</f>
        <v/>
      </c>
      <c r="T1625" s="31">
        <f>IF(OR(G1625="",F1625=""),"",IFERROR(INDEX(Config!$M$5:$R$16,MATCH(G1625,Config!$J$5:$J$16,0),MATCH(F1625,Config!$H$5:$H$10,0)),""))</f>
        <v/>
      </c>
      <c r="U1625" s="47">
        <f>IF(AND(H1625="Realizado",L1625&lt;&gt;""),L1625/60,0)</f>
        <v>0</v>
      </c>
      <c r="V1625" s="47">
        <f>IF(AND(H1625="Realizado",OR(L1625="",M1625="")),1,0)</f>
        <v>0</v>
      </c>
    </row>
    <row r="1626">
      <c r="A1626" s="43" t="n"/>
      <c r="B1626" s="44" t="n"/>
      <c r="C1626" s="38" t="n"/>
      <c r="D1626" s="38" t="n"/>
      <c r="E1626" s="37" t="n"/>
      <c r="F1626" s="38" t="n"/>
      <c r="G1626" s="38" t="n"/>
      <c r="H1626" s="38" t="n"/>
      <c r="I1626" s="38" t="n"/>
      <c r="J1626" s="38" t="n"/>
      <c r="K1626" s="37" t="n"/>
      <c r="L1626" s="39" t="n"/>
      <c r="M1626" s="40" t="n"/>
      <c r="N1626" s="30">
        <f>IF(A1626="","",MONTH(A1626))</f>
        <v/>
      </c>
      <c r="O1626" s="30">
        <f>IF(A1626="","",YEAR(A1626))</f>
        <v/>
      </c>
      <c r="P1626" s="30">
        <f>IF(A1626="","",CHOOSE(WEEKDAY(A1626,2),"Segunda","Terça","Quarta","Quinta","Sexta","Sábado","Domingo"))</f>
        <v/>
      </c>
      <c r="Q1626" s="30">
        <f>IF(B1626="","",IF(B1626&lt;TIME(12,0,0),"Manhã",IF(B1626&lt;TIME(18,0,0),"Tarde","Noite")))</f>
        <v/>
      </c>
      <c r="R1626" s="46">
        <f>IF(AND(H1626="Realizado",L1626&lt;&gt;"",A1626&lt;=Config!$B$9),L1626/60,0)</f>
        <v>0</v>
      </c>
      <c r="S1626" s="45">
        <f>IF(G1626="","",IFERROR(INDEX(Config!$K$5:$K$16,MATCH(G1626,Config!$J$5:$J$16,0)),""))</f>
        <v/>
      </c>
      <c r="T1626" s="31">
        <f>IF(OR(G1626="",F1626=""),"",IFERROR(INDEX(Config!$M$5:$R$16,MATCH(G1626,Config!$J$5:$J$16,0),MATCH(F1626,Config!$H$5:$H$10,0)),""))</f>
        <v/>
      </c>
      <c r="U1626" s="47">
        <f>IF(AND(H1626="Realizado",L1626&lt;&gt;""),L1626/60,0)</f>
        <v>0</v>
      </c>
      <c r="V1626" s="47">
        <f>IF(AND(H1626="Realizado",OR(L1626="",M1626="")),1,0)</f>
        <v>0</v>
      </c>
    </row>
    <row r="1627">
      <c r="A1627" s="43" t="n"/>
      <c r="B1627" s="44" t="n"/>
      <c r="C1627" s="38" t="n"/>
      <c r="D1627" s="38" t="n"/>
      <c r="E1627" s="37" t="n"/>
      <c r="F1627" s="38" t="n"/>
      <c r="G1627" s="38" t="n"/>
      <c r="H1627" s="38" t="n"/>
      <c r="I1627" s="38" t="n"/>
      <c r="J1627" s="38" t="n"/>
      <c r="K1627" s="37" t="n"/>
      <c r="L1627" s="39" t="n"/>
      <c r="M1627" s="40" t="n"/>
      <c r="N1627" s="30">
        <f>IF(A1627="","",MONTH(A1627))</f>
        <v/>
      </c>
      <c r="O1627" s="30">
        <f>IF(A1627="","",YEAR(A1627))</f>
        <v/>
      </c>
      <c r="P1627" s="30">
        <f>IF(A1627="","",CHOOSE(WEEKDAY(A1627,2),"Segunda","Terça","Quarta","Quinta","Sexta","Sábado","Domingo"))</f>
        <v/>
      </c>
      <c r="Q1627" s="30">
        <f>IF(B1627="","",IF(B1627&lt;TIME(12,0,0),"Manhã",IF(B1627&lt;TIME(18,0,0),"Tarde","Noite")))</f>
        <v/>
      </c>
      <c r="R1627" s="46">
        <f>IF(AND(H1627="Realizado",L1627&lt;&gt;"",A1627&lt;=Config!$B$9),L1627/60,0)</f>
        <v>0</v>
      </c>
      <c r="S1627" s="45">
        <f>IF(G1627="","",IFERROR(INDEX(Config!$K$5:$K$16,MATCH(G1627,Config!$J$5:$J$16,0)),""))</f>
        <v/>
      </c>
      <c r="T1627" s="31">
        <f>IF(OR(G1627="",F1627=""),"",IFERROR(INDEX(Config!$M$5:$R$16,MATCH(G1627,Config!$J$5:$J$16,0),MATCH(F1627,Config!$H$5:$H$10,0)),""))</f>
        <v/>
      </c>
      <c r="U1627" s="47">
        <f>IF(AND(H1627="Realizado",L1627&lt;&gt;""),L1627/60,0)</f>
        <v>0</v>
      </c>
      <c r="V1627" s="47">
        <f>IF(AND(H1627="Realizado",OR(L1627="",M1627="")),1,0)</f>
        <v>0</v>
      </c>
    </row>
    <row r="1628">
      <c r="A1628" s="43" t="n"/>
      <c r="B1628" s="44" t="n"/>
      <c r="C1628" s="38" t="n"/>
      <c r="D1628" s="38" t="n"/>
      <c r="E1628" s="37" t="n"/>
      <c r="F1628" s="38" t="n"/>
      <c r="G1628" s="38" t="n"/>
      <c r="H1628" s="38" t="n"/>
      <c r="I1628" s="38" t="n"/>
      <c r="J1628" s="38" t="n"/>
      <c r="K1628" s="37" t="n"/>
      <c r="L1628" s="39" t="n"/>
      <c r="M1628" s="40" t="n"/>
      <c r="N1628" s="30">
        <f>IF(A1628="","",MONTH(A1628))</f>
        <v/>
      </c>
      <c r="O1628" s="30">
        <f>IF(A1628="","",YEAR(A1628))</f>
        <v/>
      </c>
      <c r="P1628" s="30">
        <f>IF(A1628="","",CHOOSE(WEEKDAY(A1628,2),"Segunda","Terça","Quarta","Quinta","Sexta","Sábado","Domingo"))</f>
        <v/>
      </c>
      <c r="Q1628" s="30">
        <f>IF(B1628="","",IF(B1628&lt;TIME(12,0,0),"Manhã",IF(B1628&lt;TIME(18,0,0),"Tarde","Noite")))</f>
        <v/>
      </c>
      <c r="R1628" s="46">
        <f>IF(AND(H1628="Realizado",L1628&lt;&gt;"",A1628&lt;=Config!$B$9),L1628/60,0)</f>
        <v>0</v>
      </c>
      <c r="S1628" s="45">
        <f>IF(G1628="","",IFERROR(INDEX(Config!$K$5:$K$16,MATCH(G1628,Config!$J$5:$J$16,0)),""))</f>
        <v/>
      </c>
      <c r="T1628" s="31">
        <f>IF(OR(G1628="",F1628=""),"",IFERROR(INDEX(Config!$M$5:$R$16,MATCH(G1628,Config!$J$5:$J$16,0),MATCH(F1628,Config!$H$5:$H$10,0)),""))</f>
        <v/>
      </c>
      <c r="U1628" s="47">
        <f>IF(AND(H1628="Realizado",L1628&lt;&gt;""),L1628/60,0)</f>
        <v>0</v>
      </c>
      <c r="V1628" s="47">
        <f>IF(AND(H1628="Realizado",OR(L1628="",M1628="")),1,0)</f>
        <v>0</v>
      </c>
    </row>
    <row r="1629">
      <c r="A1629" s="43" t="n"/>
      <c r="B1629" s="44" t="n"/>
      <c r="C1629" s="38" t="n"/>
      <c r="D1629" s="38" t="n"/>
      <c r="E1629" s="37" t="n"/>
      <c r="F1629" s="38" t="n"/>
      <c r="G1629" s="38" t="n"/>
      <c r="H1629" s="38" t="n"/>
      <c r="I1629" s="38" t="n"/>
      <c r="J1629" s="38" t="n"/>
      <c r="K1629" s="37" t="n"/>
      <c r="L1629" s="39" t="n"/>
      <c r="M1629" s="40" t="n"/>
      <c r="N1629" s="30">
        <f>IF(A1629="","",MONTH(A1629))</f>
        <v/>
      </c>
      <c r="O1629" s="30">
        <f>IF(A1629="","",YEAR(A1629))</f>
        <v/>
      </c>
      <c r="P1629" s="30">
        <f>IF(A1629="","",CHOOSE(WEEKDAY(A1629,2),"Segunda","Terça","Quarta","Quinta","Sexta","Sábado","Domingo"))</f>
        <v/>
      </c>
      <c r="Q1629" s="30">
        <f>IF(B1629="","",IF(B1629&lt;TIME(12,0,0),"Manhã",IF(B1629&lt;TIME(18,0,0),"Tarde","Noite")))</f>
        <v/>
      </c>
      <c r="R1629" s="46">
        <f>IF(AND(H1629="Realizado",L1629&lt;&gt;"",A1629&lt;=Config!$B$9),L1629/60,0)</f>
        <v>0</v>
      </c>
      <c r="S1629" s="45">
        <f>IF(G1629="","",IFERROR(INDEX(Config!$K$5:$K$16,MATCH(G1629,Config!$J$5:$J$16,0)),""))</f>
        <v/>
      </c>
      <c r="T1629" s="31">
        <f>IF(OR(G1629="",F1629=""),"",IFERROR(INDEX(Config!$M$5:$R$16,MATCH(G1629,Config!$J$5:$J$16,0),MATCH(F1629,Config!$H$5:$H$10,0)),""))</f>
        <v/>
      </c>
      <c r="U1629" s="47">
        <f>IF(AND(H1629="Realizado",L1629&lt;&gt;""),L1629/60,0)</f>
        <v>0</v>
      </c>
      <c r="V1629" s="47">
        <f>IF(AND(H1629="Realizado",OR(L1629="",M1629="")),1,0)</f>
        <v>0</v>
      </c>
    </row>
    <row r="1630">
      <c r="A1630" s="43" t="n"/>
      <c r="B1630" s="44" t="n"/>
      <c r="C1630" s="38" t="n"/>
      <c r="D1630" s="38" t="n"/>
      <c r="E1630" s="37" t="n"/>
      <c r="F1630" s="38" t="n"/>
      <c r="G1630" s="38" t="n"/>
      <c r="H1630" s="38" t="n"/>
      <c r="I1630" s="38" t="n"/>
      <c r="J1630" s="38" t="n"/>
      <c r="K1630" s="37" t="n"/>
      <c r="L1630" s="39" t="n"/>
      <c r="M1630" s="40" t="n"/>
      <c r="N1630" s="30">
        <f>IF(A1630="","",MONTH(A1630))</f>
        <v/>
      </c>
      <c r="O1630" s="30">
        <f>IF(A1630="","",YEAR(A1630))</f>
        <v/>
      </c>
      <c r="P1630" s="30">
        <f>IF(A1630="","",CHOOSE(WEEKDAY(A1630,2),"Segunda","Terça","Quarta","Quinta","Sexta","Sábado","Domingo"))</f>
        <v/>
      </c>
      <c r="Q1630" s="30">
        <f>IF(B1630="","",IF(B1630&lt;TIME(12,0,0),"Manhã",IF(B1630&lt;TIME(18,0,0),"Tarde","Noite")))</f>
        <v/>
      </c>
      <c r="R1630" s="46">
        <f>IF(AND(H1630="Realizado",L1630&lt;&gt;"",A1630&lt;=Config!$B$9),L1630/60,0)</f>
        <v>0</v>
      </c>
      <c r="S1630" s="45">
        <f>IF(G1630="","",IFERROR(INDEX(Config!$K$5:$K$16,MATCH(G1630,Config!$J$5:$J$16,0)),""))</f>
        <v/>
      </c>
      <c r="T1630" s="31">
        <f>IF(OR(G1630="",F1630=""),"",IFERROR(INDEX(Config!$M$5:$R$16,MATCH(G1630,Config!$J$5:$J$16,0),MATCH(F1630,Config!$H$5:$H$10,0)),""))</f>
        <v/>
      </c>
      <c r="U1630" s="47">
        <f>IF(AND(H1630="Realizado",L1630&lt;&gt;""),L1630/60,0)</f>
        <v>0</v>
      </c>
      <c r="V1630" s="47">
        <f>IF(AND(H1630="Realizado",OR(L1630="",M1630="")),1,0)</f>
        <v>0</v>
      </c>
    </row>
    <row r="1631">
      <c r="A1631" s="43" t="n"/>
      <c r="B1631" s="44" t="n"/>
      <c r="C1631" s="38" t="n"/>
      <c r="D1631" s="38" t="n"/>
      <c r="E1631" s="37" t="n"/>
      <c r="F1631" s="38" t="n"/>
      <c r="G1631" s="38" t="n"/>
      <c r="H1631" s="38" t="n"/>
      <c r="I1631" s="38" t="n"/>
      <c r="J1631" s="38" t="n"/>
      <c r="K1631" s="37" t="n"/>
      <c r="L1631" s="39" t="n"/>
      <c r="M1631" s="40" t="n"/>
      <c r="N1631" s="30">
        <f>IF(A1631="","",MONTH(A1631))</f>
        <v/>
      </c>
      <c r="O1631" s="30">
        <f>IF(A1631="","",YEAR(A1631))</f>
        <v/>
      </c>
      <c r="P1631" s="30">
        <f>IF(A1631="","",CHOOSE(WEEKDAY(A1631,2),"Segunda","Terça","Quarta","Quinta","Sexta","Sábado","Domingo"))</f>
        <v/>
      </c>
      <c r="Q1631" s="30">
        <f>IF(B1631="","",IF(B1631&lt;TIME(12,0,0),"Manhã",IF(B1631&lt;TIME(18,0,0),"Tarde","Noite")))</f>
        <v/>
      </c>
      <c r="R1631" s="46">
        <f>IF(AND(H1631="Realizado",L1631&lt;&gt;"",A1631&lt;=Config!$B$9),L1631/60,0)</f>
        <v>0</v>
      </c>
      <c r="S1631" s="45">
        <f>IF(G1631="","",IFERROR(INDEX(Config!$K$5:$K$16,MATCH(G1631,Config!$J$5:$J$16,0)),""))</f>
        <v/>
      </c>
      <c r="T1631" s="31">
        <f>IF(OR(G1631="",F1631=""),"",IFERROR(INDEX(Config!$M$5:$R$16,MATCH(G1631,Config!$J$5:$J$16,0),MATCH(F1631,Config!$H$5:$H$10,0)),""))</f>
        <v/>
      </c>
      <c r="U1631" s="47">
        <f>IF(AND(H1631="Realizado",L1631&lt;&gt;""),L1631/60,0)</f>
        <v>0</v>
      </c>
      <c r="V1631" s="47">
        <f>IF(AND(H1631="Realizado",OR(L1631="",M1631="")),1,0)</f>
        <v>0</v>
      </c>
    </row>
    <row r="1632">
      <c r="A1632" s="43" t="n"/>
      <c r="B1632" s="44" t="n"/>
      <c r="C1632" s="38" t="n"/>
      <c r="D1632" s="38" t="n"/>
      <c r="E1632" s="37" t="n"/>
      <c r="F1632" s="38" t="n"/>
      <c r="G1632" s="38" t="n"/>
      <c r="H1632" s="38" t="n"/>
      <c r="I1632" s="38" t="n"/>
      <c r="J1632" s="38" t="n"/>
      <c r="K1632" s="37" t="n"/>
      <c r="L1632" s="39" t="n"/>
      <c r="M1632" s="40" t="n"/>
      <c r="N1632" s="30">
        <f>IF(A1632="","",MONTH(A1632))</f>
        <v/>
      </c>
      <c r="O1632" s="30">
        <f>IF(A1632="","",YEAR(A1632))</f>
        <v/>
      </c>
      <c r="P1632" s="30">
        <f>IF(A1632="","",CHOOSE(WEEKDAY(A1632,2),"Segunda","Terça","Quarta","Quinta","Sexta","Sábado","Domingo"))</f>
        <v/>
      </c>
      <c r="Q1632" s="30">
        <f>IF(B1632="","",IF(B1632&lt;TIME(12,0,0),"Manhã",IF(B1632&lt;TIME(18,0,0),"Tarde","Noite")))</f>
        <v/>
      </c>
      <c r="R1632" s="46">
        <f>IF(AND(H1632="Realizado",L1632&lt;&gt;"",A1632&lt;=Config!$B$9),L1632/60,0)</f>
        <v>0</v>
      </c>
      <c r="S1632" s="45">
        <f>IF(G1632="","",IFERROR(INDEX(Config!$K$5:$K$16,MATCH(G1632,Config!$J$5:$J$16,0)),""))</f>
        <v/>
      </c>
      <c r="T1632" s="31">
        <f>IF(OR(G1632="",F1632=""),"",IFERROR(INDEX(Config!$M$5:$R$16,MATCH(G1632,Config!$J$5:$J$16,0),MATCH(F1632,Config!$H$5:$H$10,0)),""))</f>
        <v/>
      </c>
      <c r="U1632" s="47">
        <f>IF(AND(H1632="Realizado",L1632&lt;&gt;""),L1632/60,0)</f>
        <v>0</v>
      </c>
      <c r="V1632" s="47">
        <f>IF(AND(H1632="Realizado",OR(L1632="",M1632="")),1,0)</f>
        <v>0</v>
      </c>
    </row>
    <row r="1633">
      <c r="A1633" s="43" t="n"/>
      <c r="B1633" s="44" t="n"/>
      <c r="C1633" s="38" t="n"/>
      <c r="D1633" s="38" t="n"/>
      <c r="E1633" s="37" t="n"/>
      <c r="F1633" s="38" t="n"/>
      <c r="G1633" s="38" t="n"/>
      <c r="H1633" s="38" t="n"/>
      <c r="I1633" s="38" t="n"/>
      <c r="J1633" s="38" t="n"/>
      <c r="K1633" s="37" t="n"/>
      <c r="L1633" s="39" t="n"/>
      <c r="M1633" s="40" t="n"/>
      <c r="N1633" s="30">
        <f>IF(A1633="","",MONTH(A1633))</f>
        <v/>
      </c>
      <c r="O1633" s="30">
        <f>IF(A1633="","",YEAR(A1633))</f>
        <v/>
      </c>
      <c r="P1633" s="30">
        <f>IF(A1633="","",CHOOSE(WEEKDAY(A1633,2),"Segunda","Terça","Quarta","Quinta","Sexta","Sábado","Domingo"))</f>
        <v/>
      </c>
      <c r="Q1633" s="30">
        <f>IF(B1633="","",IF(B1633&lt;TIME(12,0,0),"Manhã",IF(B1633&lt;TIME(18,0,0),"Tarde","Noite")))</f>
        <v/>
      </c>
      <c r="R1633" s="46">
        <f>IF(AND(H1633="Realizado",L1633&lt;&gt;"",A1633&lt;=Config!$B$9),L1633/60,0)</f>
        <v>0</v>
      </c>
      <c r="S1633" s="45">
        <f>IF(G1633="","",IFERROR(INDEX(Config!$K$5:$K$16,MATCH(G1633,Config!$J$5:$J$16,0)),""))</f>
        <v/>
      </c>
      <c r="T1633" s="31">
        <f>IF(OR(G1633="",F1633=""),"",IFERROR(INDEX(Config!$M$5:$R$16,MATCH(G1633,Config!$J$5:$J$16,0),MATCH(F1633,Config!$H$5:$H$10,0)),""))</f>
        <v/>
      </c>
      <c r="U1633" s="47">
        <f>IF(AND(H1633="Realizado",L1633&lt;&gt;""),L1633/60,0)</f>
        <v>0</v>
      </c>
      <c r="V1633" s="47">
        <f>IF(AND(H1633="Realizado",OR(L1633="",M1633="")),1,0)</f>
        <v>0</v>
      </c>
    </row>
    <row r="1634">
      <c r="A1634" s="43" t="n"/>
      <c r="B1634" s="44" t="n"/>
      <c r="C1634" s="38" t="n"/>
      <c r="D1634" s="38" t="n"/>
      <c r="E1634" s="37" t="n"/>
      <c r="F1634" s="38" t="n"/>
      <c r="G1634" s="38" t="n"/>
      <c r="H1634" s="38" t="n"/>
      <c r="I1634" s="38" t="n"/>
      <c r="J1634" s="38" t="n"/>
      <c r="K1634" s="37" t="n"/>
      <c r="L1634" s="39" t="n"/>
      <c r="M1634" s="40" t="n"/>
      <c r="N1634" s="30">
        <f>IF(A1634="","",MONTH(A1634))</f>
        <v/>
      </c>
      <c r="O1634" s="30">
        <f>IF(A1634="","",YEAR(A1634))</f>
        <v/>
      </c>
      <c r="P1634" s="30">
        <f>IF(A1634="","",CHOOSE(WEEKDAY(A1634,2),"Segunda","Terça","Quarta","Quinta","Sexta","Sábado","Domingo"))</f>
        <v/>
      </c>
      <c r="Q1634" s="30">
        <f>IF(B1634="","",IF(B1634&lt;TIME(12,0,0),"Manhã",IF(B1634&lt;TIME(18,0,0),"Tarde","Noite")))</f>
        <v/>
      </c>
      <c r="R1634" s="46">
        <f>IF(AND(H1634="Realizado",L1634&lt;&gt;"",A1634&lt;=Config!$B$9),L1634/60,0)</f>
        <v>0</v>
      </c>
      <c r="S1634" s="45">
        <f>IF(G1634="","",IFERROR(INDEX(Config!$K$5:$K$16,MATCH(G1634,Config!$J$5:$J$16,0)),""))</f>
        <v/>
      </c>
      <c r="T1634" s="31">
        <f>IF(OR(G1634="",F1634=""),"",IFERROR(INDEX(Config!$M$5:$R$16,MATCH(G1634,Config!$J$5:$J$16,0),MATCH(F1634,Config!$H$5:$H$10,0)),""))</f>
        <v/>
      </c>
      <c r="U1634" s="47">
        <f>IF(AND(H1634="Realizado",L1634&lt;&gt;""),L1634/60,0)</f>
        <v>0</v>
      </c>
      <c r="V1634" s="47">
        <f>IF(AND(H1634="Realizado",OR(L1634="",M1634="")),1,0)</f>
        <v>0</v>
      </c>
    </row>
    <row r="1635">
      <c r="A1635" s="43" t="n"/>
      <c r="B1635" s="44" t="n"/>
      <c r="C1635" s="38" t="n"/>
      <c r="D1635" s="38" t="n"/>
      <c r="E1635" s="37" t="n"/>
      <c r="F1635" s="38" t="n"/>
      <c r="G1635" s="38" t="n"/>
      <c r="H1635" s="38" t="n"/>
      <c r="I1635" s="38" t="n"/>
      <c r="J1635" s="38" t="n"/>
      <c r="K1635" s="37" t="n"/>
      <c r="L1635" s="39" t="n"/>
      <c r="M1635" s="40" t="n"/>
      <c r="N1635" s="30">
        <f>IF(A1635="","",MONTH(A1635))</f>
        <v/>
      </c>
      <c r="O1635" s="30">
        <f>IF(A1635="","",YEAR(A1635))</f>
        <v/>
      </c>
      <c r="P1635" s="30">
        <f>IF(A1635="","",CHOOSE(WEEKDAY(A1635,2),"Segunda","Terça","Quarta","Quinta","Sexta","Sábado","Domingo"))</f>
        <v/>
      </c>
      <c r="Q1635" s="30">
        <f>IF(B1635="","",IF(B1635&lt;TIME(12,0,0),"Manhã",IF(B1635&lt;TIME(18,0,0),"Tarde","Noite")))</f>
        <v/>
      </c>
      <c r="R1635" s="46">
        <f>IF(AND(H1635="Realizado",L1635&lt;&gt;"",A1635&lt;=Config!$B$9),L1635/60,0)</f>
        <v>0</v>
      </c>
      <c r="S1635" s="45">
        <f>IF(G1635="","",IFERROR(INDEX(Config!$K$5:$K$16,MATCH(G1635,Config!$J$5:$J$16,0)),""))</f>
        <v/>
      </c>
      <c r="T1635" s="31">
        <f>IF(OR(G1635="",F1635=""),"",IFERROR(INDEX(Config!$M$5:$R$16,MATCH(G1635,Config!$J$5:$J$16,0),MATCH(F1635,Config!$H$5:$H$10,0)),""))</f>
        <v/>
      </c>
      <c r="U1635" s="47">
        <f>IF(AND(H1635="Realizado",L1635&lt;&gt;""),L1635/60,0)</f>
        <v>0</v>
      </c>
      <c r="V1635" s="47">
        <f>IF(AND(H1635="Realizado",OR(L1635="",M1635="")),1,0)</f>
        <v>0</v>
      </c>
    </row>
    <row r="1636">
      <c r="A1636" s="43" t="n"/>
      <c r="B1636" s="44" t="n"/>
      <c r="C1636" s="38" t="n"/>
      <c r="D1636" s="38" t="n"/>
      <c r="E1636" s="37" t="n"/>
      <c r="F1636" s="38" t="n"/>
      <c r="G1636" s="38" t="n"/>
      <c r="H1636" s="38" t="n"/>
      <c r="I1636" s="38" t="n"/>
      <c r="J1636" s="38" t="n"/>
      <c r="K1636" s="37" t="n"/>
      <c r="L1636" s="39" t="n"/>
      <c r="M1636" s="40" t="n"/>
      <c r="N1636" s="30">
        <f>IF(A1636="","",MONTH(A1636))</f>
        <v/>
      </c>
      <c r="O1636" s="30">
        <f>IF(A1636="","",YEAR(A1636))</f>
        <v/>
      </c>
      <c r="P1636" s="30">
        <f>IF(A1636="","",CHOOSE(WEEKDAY(A1636,2),"Segunda","Terça","Quarta","Quinta","Sexta","Sábado","Domingo"))</f>
        <v/>
      </c>
      <c r="Q1636" s="30">
        <f>IF(B1636="","",IF(B1636&lt;TIME(12,0,0),"Manhã",IF(B1636&lt;TIME(18,0,0),"Tarde","Noite")))</f>
        <v/>
      </c>
      <c r="R1636" s="46">
        <f>IF(AND(H1636="Realizado",L1636&lt;&gt;"",A1636&lt;=Config!$B$9),L1636/60,0)</f>
        <v>0</v>
      </c>
      <c r="S1636" s="45">
        <f>IF(G1636="","",IFERROR(INDEX(Config!$K$5:$K$16,MATCH(G1636,Config!$J$5:$J$16,0)),""))</f>
        <v/>
      </c>
      <c r="T1636" s="31">
        <f>IF(OR(G1636="",F1636=""),"",IFERROR(INDEX(Config!$M$5:$R$16,MATCH(G1636,Config!$J$5:$J$16,0),MATCH(F1636,Config!$H$5:$H$10,0)),""))</f>
        <v/>
      </c>
      <c r="U1636" s="47">
        <f>IF(AND(H1636="Realizado",L1636&lt;&gt;""),L1636/60,0)</f>
        <v>0</v>
      </c>
      <c r="V1636" s="47">
        <f>IF(AND(H1636="Realizado",OR(L1636="",M1636="")),1,0)</f>
        <v>0</v>
      </c>
    </row>
    <row r="1637">
      <c r="A1637" s="43" t="n"/>
      <c r="B1637" s="44" t="n"/>
      <c r="C1637" s="38" t="n"/>
      <c r="D1637" s="38" t="n"/>
      <c r="E1637" s="37" t="n"/>
      <c r="F1637" s="38" t="n"/>
      <c r="G1637" s="38" t="n"/>
      <c r="H1637" s="38" t="n"/>
      <c r="I1637" s="38" t="n"/>
      <c r="J1637" s="38" t="n"/>
      <c r="K1637" s="37" t="n"/>
      <c r="L1637" s="39" t="n"/>
      <c r="M1637" s="40" t="n"/>
      <c r="N1637" s="30">
        <f>IF(A1637="","",MONTH(A1637))</f>
        <v/>
      </c>
      <c r="O1637" s="30">
        <f>IF(A1637="","",YEAR(A1637))</f>
        <v/>
      </c>
      <c r="P1637" s="30">
        <f>IF(A1637="","",CHOOSE(WEEKDAY(A1637,2),"Segunda","Terça","Quarta","Quinta","Sexta","Sábado","Domingo"))</f>
        <v/>
      </c>
      <c r="Q1637" s="30">
        <f>IF(B1637="","",IF(B1637&lt;TIME(12,0,0),"Manhã",IF(B1637&lt;TIME(18,0,0),"Tarde","Noite")))</f>
        <v/>
      </c>
      <c r="R1637" s="46">
        <f>IF(AND(H1637="Realizado",L1637&lt;&gt;"",A1637&lt;=Config!$B$9),L1637/60,0)</f>
        <v>0</v>
      </c>
      <c r="S1637" s="45">
        <f>IF(G1637="","",IFERROR(INDEX(Config!$K$5:$K$16,MATCH(G1637,Config!$J$5:$J$16,0)),""))</f>
        <v/>
      </c>
      <c r="T1637" s="31">
        <f>IF(OR(G1637="",F1637=""),"",IFERROR(INDEX(Config!$M$5:$R$16,MATCH(G1637,Config!$J$5:$J$16,0),MATCH(F1637,Config!$H$5:$H$10,0)),""))</f>
        <v/>
      </c>
      <c r="U1637" s="47">
        <f>IF(AND(H1637="Realizado",L1637&lt;&gt;""),L1637/60,0)</f>
        <v>0</v>
      </c>
      <c r="V1637" s="47">
        <f>IF(AND(H1637="Realizado",OR(L1637="",M1637="")),1,0)</f>
        <v>0</v>
      </c>
    </row>
    <row r="1638">
      <c r="A1638" s="43" t="n"/>
      <c r="B1638" s="44" t="n"/>
      <c r="C1638" s="38" t="n"/>
      <c r="D1638" s="38" t="n"/>
      <c r="E1638" s="37" t="n"/>
      <c r="F1638" s="38" t="n"/>
      <c r="G1638" s="38" t="n"/>
      <c r="H1638" s="38" t="n"/>
      <c r="I1638" s="38" t="n"/>
      <c r="J1638" s="38" t="n"/>
      <c r="K1638" s="37" t="n"/>
      <c r="L1638" s="39" t="n"/>
      <c r="M1638" s="40" t="n"/>
      <c r="N1638" s="30">
        <f>IF(A1638="","",MONTH(A1638))</f>
        <v/>
      </c>
      <c r="O1638" s="30">
        <f>IF(A1638="","",YEAR(A1638))</f>
        <v/>
      </c>
      <c r="P1638" s="30">
        <f>IF(A1638="","",CHOOSE(WEEKDAY(A1638,2),"Segunda","Terça","Quarta","Quinta","Sexta","Sábado","Domingo"))</f>
        <v/>
      </c>
      <c r="Q1638" s="30">
        <f>IF(B1638="","",IF(B1638&lt;TIME(12,0,0),"Manhã",IF(B1638&lt;TIME(18,0,0),"Tarde","Noite")))</f>
        <v/>
      </c>
      <c r="R1638" s="46">
        <f>IF(AND(H1638="Realizado",L1638&lt;&gt;"",A1638&lt;=Config!$B$9),L1638/60,0)</f>
        <v>0</v>
      </c>
      <c r="S1638" s="45">
        <f>IF(G1638="","",IFERROR(INDEX(Config!$K$5:$K$16,MATCH(G1638,Config!$J$5:$J$16,0)),""))</f>
        <v/>
      </c>
      <c r="T1638" s="31">
        <f>IF(OR(G1638="",F1638=""),"",IFERROR(INDEX(Config!$M$5:$R$16,MATCH(G1638,Config!$J$5:$J$16,0),MATCH(F1638,Config!$H$5:$H$10,0)),""))</f>
        <v/>
      </c>
      <c r="U1638" s="47">
        <f>IF(AND(H1638="Realizado",L1638&lt;&gt;""),L1638/60,0)</f>
        <v>0</v>
      </c>
      <c r="V1638" s="47">
        <f>IF(AND(H1638="Realizado",OR(L1638="",M1638="")),1,0)</f>
        <v>0</v>
      </c>
    </row>
    <row r="1639">
      <c r="A1639" s="43" t="n"/>
      <c r="B1639" s="44" t="n"/>
      <c r="C1639" s="38" t="n"/>
      <c r="D1639" s="38" t="n"/>
      <c r="E1639" s="37" t="n"/>
      <c r="F1639" s="38" t="n"/>
      <c r="G1639" s="38" t="n"/>
      <c r="H1639" s="38" t="n"/>
      <c r="I1639" s="38" t="n"/>
      <c r="J1639" s="38" t="n"/>
      <c r="K1639" s="37" t="n"/>
      <c r="L1639" s="39" t="n"/>
      <c r="M1639" s="40" t="n"/>
      <c r="N1639" s="30">
        <f>IF(A1639="","",MONTH(A1639))</f>
        <v/>
      </c>
      <c r="O1639" s="30">
        <f>IF(A1639="","",YEAR(A1639))</f>
        <v/>
      </c>
      <c r="P1639" s="30">
        <f>IF(A1639="","",CHOOSE(WEEKDAY(A1639,2),"Segunda","Terça","Quarta","Quinta","Sexta","Sábado","Domingo"))</f>
        <v/>
      </c>
      <c r="Q1639" s="30">
        <f>IF(B1639="","",IF(B1639&lt;TIME(12,0,0),"Manhã",IF(B1639&lt;TIME(18,0,0),"Tarde","Noite")))</f>
        <v/>
      </c>
      <c r="R1639" s="46">
        <f>IF(AND(H1639="Realizado",L1639&lt;&gt;"",A1639&lt;=Config!$B$9),L1639/60,0)</f>
        <v>0</v>
      </c>
      <c r="S1639" s="45">
        <f>IF(G1639="","",IFERROR(INDEX(Config!$K$5:$K$16,MATCH(G1639,Config!$J$5:$J$16,0)),""))</f>
        <v/>
      </c>
      <c r="T1639" s="31">
        <f>IF(OR(G1639="",F1639=""),"",IFERROR(INDEX(Config!$M$5:$R$16,MATCH(G1639,Config!$J$5:$J$16,0),MATCH(F1639,Config!$H$5:$H$10,0)),""))</f>
        <v/>
      </c>
      <c r="U1639" s="47">
        <f>IF(AND(H1639="Realizado",L1639&lt;&gt;""),L1639/60,0)</f>
        <v>0</v>
      </c>
      <c r="V1639" s="47">
        <f>IF(AND(H1639="Realizado",OR(L1639="",M1639="")),1,0)</f>
        <v>0</v>
      </c>
    </row>
    <row r="1640">
      <c r="A1640" s="43" t="n"/>
      <c r="B1640" s="44" t="n"/>
      <c r="C1640" s="38" t="n"/>
      <c r="D1640" s="38" t="n"/>
      <c r="E1640" s="37" t="n"/>
      <c r="F1640" s="38" t="n"/>
      <c r="G1640" s="38" t="n"/>
      <c r="H1640" s="38" t="n"/>
      <c r="I1640" s="38" t="n"/>
      <c r="J1640" s="38" t="n"/>
      <c r="K1640" s="37" t="n"/>
      <c r="L1640" s="39" t="n"/>
      <c r="M1640" s="40" t="n"/>
      <c r="N1640" s="30">
        <f>IF(A1640="","",MONTH(A1640))</f>
        <v/>
      </c>
      <c r="O1640" s="30">
        <f>IF(A1640="","",YEAR(A1640))</f>
        <v/>
      </c>
      <c r="P1640" s="30">
        <f>IF(A1640="","",CHOOSE(WEEKDAY(A1640,2),"Segunda","Terça","Quarta","Quinta","Sexta","Sábado","Domingo"))</f>
        <v/>
      </c>
      <c r="Q1640" s="30">
        <f>IF(B1640="","",IF(B1640&lt;TIME(12,0,0),"Manhã",IF(B1640&lt;TIME(18,0,0),"Tarde","Noite")))</f>
        <v/>
      </c>
      <c r="R1640" s="46">
        <f>IF(AND(H1640="Realizado",L1640&lt;&gt;"",A1640&lt;=Config!$B$9),L1640/60,0)</f>
        <v>0</v>
      </c>
      <c r="S1640" s="45">
        <f>IF(G1640="","",IFERROR(INDEX(Config!$K$5:$K$16,MATCH(G1640,Config!$J$5:$J$16,0)),""))</f>
        <v/>
      </c>
      <c r="T1640" s="31">
        <f>IF(OR(G1640="",F1640=""),"",IFERROR(INDEX(Config!$M$5:$R$16,MATCH(G1640,Config!$J$5:$J$16,0),MATCH(F1640,Config!$H$5:$H$10,0)),""))</f>
        <v/>
      </c>
      <c r="U1640" s="47">
        <f>IF(AND(H1640="Realizado",L1640&lt;&gt;""),L1640/60,0)</f>
        <v>0</v>
      </c>
      <c r="V1640" s="47">
        <f>IF(AND(H1640="Realizado",OR(L1640="",M1640="")),1,0)</f>
        <v>0</v>
      </c>
    </row>
    <row r="1641">
      <c r="A1641" s="43" t="n"/>
      <c r="B1641" s="44" t="n"/>
      <c r="C1641" s="38" t="n"/>
      <c r="D1641" s="38" t="n"/>
      <c r="E1641" s="37" t="n"/>
      <c r="F1641" s="38" t="n"/>
      <c r="G1641" s="38" t="n"/>
      <c r="H1641" s="38" t="n"/>
      <c r="I1641" s="38" t="n"/>
      <c r="J1641" s="38" t="n"/>
      <c r="K1641" s="37" t="n"/>
      <c r="L1641" s="39" t="n"/>
      <c r="M1641" s="40" t="n"/>
      <c r="N1641" s="30">
        <f>IF(A1641="","",MONTH(A1641))</f>
        <v/>
      </c>
      <c r="O1641" s="30">
        <f>IF(A1641="","",YEAR(A1641))</f>
        <v/>
      </c>
      <c r="P1641" s="30">
        <f>IF(A1641="","",CHOOSE(WEEKDAY(A1641,2),"Segunda","Terça","Quarta","Quinta","Sexta","Sábado","Domingo"))</f>
        <v/>
      </c>
      <c r="Q1641" s="30">
        <f>IF(B1641="","",IF(B1641&lt;TIME(12,0,0),"Manhã",IF(B1641&lt;TIME(18,0,0),"Tarde","Noite")))</f>
        <v/>
      </c>
      <c r="R1641" s="46">
        <f>IF(AND(H1641="Realizado",L1641&lt;&gt;"",A1641&lt;=Config!$B$9),L1641/60,0)</f>
        <v>0</v>
      </c>
      <c r="S1641" s="45">
        <f>IF(G1641="","",IFERROR(INDEX(Config!$K$5:$K$16,MATCH(G1641,Config!$J$5:$J$16,0)),""))</f>
        <v/>
      </c>
      <c r="T1641" s="31">
        <f>IF(OR(G1641="",F1641=""),"",IFERROR(INDEX(Config!$M$5:$R$16,MATCH(G1641,Config!$J$5:$J$16,0),MATCH(F1641,Config!$H$5:$H$10,0)),""))</f>
        <v/>
      </c>
      <c r="U1641" s="47">
        <f>IF(AND(H1641="Realizado",L1641&lt;&gt;""),L1641/60,0)</f>
        <v>0</v>
      </c>
      <c r="V1641" s="47">
        <f>IF(AND(H1641="Realizado",OR(L1641="",M1641="")),1,0)</f>
        <v>0</v>
      </c>
    </row>
    <row r="1642">
      <c r="A1642" s="43" t="n"/>
      <c r="B1642" s="44" t="n"/>
      <c r="C1642" s="38" t="n"/>
      <c r="D1642" s="38" t="n"/>
      <c r="E1642" s="37" t="n"/>
      <c r="F1642" s="38" t="n"/>
      <c r="G1642" s="38" t="n"/>
      <c r="H1642" s="38" t="n"/>
      <c r="I1642" s="38" t="n"/>
      <c r="J1642" s="38" t="n"/>
      <c r="K1642" s="37" t="n"/>
      <c r="L1642" s="39" t="n"/>
      <c r="M1642" s="40" t="n"/>
      <c r="N1642" s="30">
        <f>IF(A1642="","",MONTH(A1642))</f>
        <v/>
      </c>
      <c r="O1642" s="30">
        <f>IF(A1642="","",YEAR(A1642))</f>
        <v/>
      </c>
      <c r="P1642" s="30">
        <f>IF(A1642="","",CHOOSE(WEEKDAY(A1642,2),"Segunda","Terça","Quarta","Quinta","Sexta","Sábado","Domingo"))</f>
        <v/>
      </c>
      <c r="Q1642" s="30">
        <f>IF(B1642="","",IF(B1642&lt;TIME(12,0,0),"Manhã",IF(B1642&lt;TIME(18,0,0),"Tarde","Noite")))</f>
        <v/>
      </c>
      <c r="R1642" s="46">
        <f>IF(AND(H1642="Realizado",L1642&lt;&gt;"",A1642&lt;=Config!$B$9),L1642/60,0)</f>
        <v>0</v>
      </c>
      <c r="S1642" s="45">
        <f>IF(G1642="","",IFERROR(INDEX(Config!$K$5:$K$16,MATCH(G1642,Config!$J$5:$J$16,0)),""))</f>
        <v/>
      </c>
      <c r="T1642" s="31">
        <f>IF(OR(G1642="",F1642=""),"",IFERROR(INDEX(Config!$M$5:$R$16,MATCH(G1642,Config!$J$5:$J$16,0),MATCH(F1642,Config!$H$5:$H$10,0)),""))</f>
        <v/>
      </c>
      <c r="U1642" s="47">
        <f>IF(AND(H1642="Realizado",L1642&lt;&gt;""),L1642/60,0)</f>
        <v>0</v>
      </c>
      <c r="V1642" s="47">
        <f>IF(AND(H1642="Realizado",OR(L1642="",M1642="")),1,0)</f>
        <v>0</v>
      </c>
    </row>
    <row r="1643">
      <c r="A1643" s="43" t="n"/>
      <c r="B1643" s="44" t="n"/>
      <c r="C1643" s="38" t="n"/>
      <c r="D1643" s="38" t="n"/>
      <c r="E1643" s="37" t="n"/>
      <c r="F1643" s="38" t="n"/>
      <c r="G1643" s="38" t="n"/>
      <c r="H1643" s="38" t="n"/>
      <c r="I1643" s="38" t="n"/>
      <c r="J1643" s="38" t="n"/>
      <c r="K1643" s="37" t="n"/>
      <c r="L1643" s="39" t="n"/>
      <c r="M1643" s="40" t="n"/>
      <c r="N1643" s="30">
        <f>IF(A1643="","",MONTH(A1643))</f>
        <v/>
      </c>
      <c r="O1643" s="30">
        <f>IF(A1643="","",YEAR(A1643))</f>
        <v/>
      </c>
      <c r="P1643" s="30">
        <f>IF(A1643="","",CHOOSE(WEEKDAY(A1643,2),"Segunda","Terça","Quarta","Quinta","Sexta","Sábado","Domingo"))</f>
        <v/>
      </c>
      <c r="Q1643" s="30">
        <f>IF(B1643="","",IF(B1643&lt;TIME(12,0,0),"Manhã",IF(B1643&lt;TIME(18,0,0),"Tarde","Noite")))</f>
        <v/>
      </c>
      <c r="R1643" s="46">
        <f>IF(AND(H1643="Realizado",L1643&lt;&gt;"",A1643&lt;=Config!$B$9),L1643/60,0)</f>
        <v>0</v>
      </c>
      <c r="S1643" s="45">
        <f>IF(G1643="","",IFERROR(INDEX(Config!$K$5:$K$16,MATCH(G1643,Config!$J$5:$J$16,0)),""))</f>
        <v/>
      </c>
      <c r="T1643" s="31">
        <f>IF(OR(G1643="",F1643=""),"",IFERROR(INDEX(Config!$M$5:$R$16,MATCH(G1643,Config!$J$5:$J$16,0),MATCH(F1643,Config!$H$5:$H$10,0)),""))</f>
        <v/>
      </c>
      <c r="U1643" s="47">
        <f>IF(AND(H1643="Realizado",L1643&lt;&gt;""),L1643/60,0)</f>
        <v>0</v>
      </c>
      <c r="V1643" s="47">
        <f>IF(AND(H1643="Realizado",OR(L1643="",M1643="")),1,0)</f>
        <v>0</v>
      </c>
    </row>
    <row r="1644">
      <c r="A1644" s="43" t="n"/>
      <c r="B1644" s="44" t="n"/>
      <c r="C1644" s="38" t="n"/>
      <c r="D1644" s="38" t="n"/>
      <c r="E1644" s="37" t="n"/>
      <c r="F1644" s="38" t="n"/>
      <c r="G1644" s="38" t="n"/>
      <c r="H1644" s="38" t="n"/>
      <c r="I1644" s="38" t="n"/>
      <c r="J1644" s="38" t="n"/>
      <c r="K1644" s="37" t="n"/>
      <c r="L1644" s="39" t="n"/>
      <c r="M1644" s="40" t="n"/>
      <c r="N1644" s="30">
        <f>IF(A1644="","",MONTH(A1644))</f>
        <v/>
      </c>
      <c r="O1644" s="30">
        <f>IF(A1644="","",YEAR(A1644))</f>
        <v/>
      </c>
      <c r="P1644" s="30">
        <f>IF(A1644="","",CHOOSE(WEEKDAY(A1644,2),"Segunda","Terça","Quarta","Quinta","Sexta","Sábado","Domingo"))</f>
        <v/>
      </c>
      <c r="Q1644" s="30">
        <f>IF(B1644="","",IF(B1644&lt;TIME(12,0,0),"Manhã",IF(B1644&lt;TIME(18,0,0),"Tarde","Noite")))</f>
        <v/>
      </c>
      <c r="R1644" s="46">
        <f>IF(AND(H1644="Realizado",L1644&lt;&gt;"",A1644&lt;=Config!$B$9),L1644/60,0)</f>
        <v>0</v>
      </c>
      <c r="S1644" s="45">
        <f>IF(G1644="","",IFERROR(INDEX(Config!$K$5:$K$16,MATCH(G1644,Config!$J$5:$J$16,0)),""))</f>
        <v/>
      </c>
      <c r="T1644" s="31">
        <f>IF(OR(G1644="",F1644=""),"",IFERROR(INDEX(Config!$M$5:$R$16,MATCH(G1644,Config!$J$5:$J$16,0),MATCH(F1644,Config!$H$5:$H$10,0)),""))</f>
        <v/>
      </c>
      <c r="U1644" s="47">
        <f>IF(AND(H1644="Realizado",L1644&lt;&gt;""),L1644/60,0)</f>
        <v>0</v>
      </c>
      <c r="V1644" s="47">
        <f>IF(AND(H1644="Realizado",OR(L1644="",M1644="")),1,0)</f>
        <v>0</v>
      </c>
    </row>
    <row r="1645">
      <c r="A1645" s="43" t="n"/>
      <c r="B1645" s="44" t="n"/>
      <c r="C1645" s="38" t="n"/>
      <c r="D1645" s="38" t="n"/>
      <c r="E1645" s="37" t="n"/>
      <c r="F1645" s="38" t="n"/>
      <c r="G1645" s="38" t="n"/>
      <c r="H1645" s="38" t="n"/>
      <c r="I1645" s="38" t="n"/>
      <c r="J1645" s="38" t="n"/>
      <c r="K1645" s="37" t="n"/>
      <c r="L1645" s="39" t="n"/>
      <c r="M1645" s="40" t="n"/>
      <c r="N1645" s="30">
        <f>IF(A1645="","",MONTH(A1645))</f>
        <v/>
      </c>
      <c r="O1645" s="30">
        <f>IF(A1645="","",YEAR(A1645))</f>
        <v/>
      </c>
      <c r="P1645" s="30">
        <f>IF(A1645="","",CHOOSE(WEEKDAY(A1645,2),"Segunda","Terça","Quarta","Quinta","Sexta","Sábado","Domingo"))</f>
        <v/>
      </c>
      <c r="Q1645" s="30">
        <f>IF(B1645="","",IF(B1645&lt;TIME(12,0,0),"Manhã",IF(B1645&lt;TIME(18,0,0),"Tarde","Noite")))</f>
        <v/>
      </c>
      <c r="R1645" s="46">
        <f>IF(AND(H1645="Realizado",L1645&lt;&gt;"",A1645&lt;=Config!$B$9),L1645/60,0)</f>
        <v>0</v>
      </c>
      <c r="S1645" s="45">
        <f>IF(G1645="","",IFERROR(INDEX(Config!$K$5:$K$16,MATCH(G1645,Config!$J$5:$J$16,0)),""))</f>
        <v/>
      </c>
      <c r="T1645" s="31">
        <f>IF(OR(G1645="",F1645=""),"",IFERROR(INDEX(Config!$M$5:$R$16,MATCH(G1645,Config!$J$5:$J$16,0),MATCH(F1645,Config!$H$5:$H$10,0)),""))</f>
        <v/>
      </c>
      <c r="U1645" s="47">
        <f>IF(AND(H1645="Realizado",L1645&lt;&gt;""),L1645/60,0)</f>
        <v>0</v>
      </c>
      <c r="V1645" s="47">
        <f>IF(AND(H1645="Realizado",OR(L1645="",M1645="")),1,0)</f>
        <v>0</v>
      </c>
    </row>
    <row r="1646">
      <c r="A1646" s="43" t="n"/>
      <c r="B1646" s="44" t="n"/>
      <c r="C1646" s="38" t="n"/>
      <c r="D1646" s="38" t="n"/>
      <c r="E1646" s="37" t="n"/>
      <c r="F1646" s="38" t="n"/>
      <c r="G1646" s="38" t="n"/>
      <c r="H1646" s="38" t="n"/>
      <c r="I1646" s="38" t="n"/>
      <c r="J1646" s="38" t="n"/>
      <c r="K1646" s="37" t="n"/>
      <c r="L1646" s="39" t="n"/>
      <c r="M1646" s="40" t="n"/>
      <c r="N1646" s="30">
        <f>IF(A1646="","",MONTH(A1646))</f>
        <v/>
      </c>
      <c r="O1646" s="30">
        <f>IF(A1646="","",YEAR(A1646))</f>
        <v/>
      </c>
      <c r="P1646" s="30">
        <f>IF(A1646="","",CHOOSE(WEEKDAY(A1646,2),"Segunda","Terça","Quarta","Quinta","Sexta","Sábado","Domingo"))</f>
        <v/>
      </c>
      <c r="Q1646" s="30">
        <f>IF(B1646="","",IF(B1646&lt;TIME(12,0,0),"Manhã",IF(B1646&lt;TIME(18,0,0),"Tarde","Noite")))</f>
        <v/>
      </c>
      <c r="R1646" s="46">
        <f>IF(AND(H1646="Realizado",L1646&lt;&gt;"",A1646&lt;=Config!$B$9),L1646/60,0)</f>
        <v>0</v>
      </c>
      <c r="S1646" s="45">
        <f>IF(G1646="","",IFERROR(INDEX(Config!$K$5:$K$16,MATCH(G1646,Config!$J$5:$J$16,0)),""))</f>
        <v/>
      </c>
      <c r="T1646" s="31">
        <f>IF(OR(G1646="",F1646=""),"",IFERROR(INDEX(Config!$M$5:$R$16,MATCH(G1646,Config!$J$5:$J$16,0),MATCH(F1646,Config!$H$5:$H$10,0)),""))</f>
        <v/>
      </c>
      <c r="U1646" s="47">
        <f>IF(AND(H1646="Realizado",L1646&lt;&gt;""),L1646/60,0)</f>
        <v>0</v>
      </c>
      <c r="V1646" s="47">
        <f>IF(AND(H1646="Realizado",OR(L1646="",M1646="")),1,0)</f>
        <v>0</v>
      </c>
    </row>
    <row r="1647">
      <c r="A1647" s="43" t="n"/>
      <c r="B1647" s="44" t="n"/>
      <c r="C1647" s="38" t="n"/>
      <c r="D1647" s="38" t="n"/>
      <c r="E1647" s="37" t="n"/>
      <c r="F1647" s="38" t="n"/>
      <c r="G1647" s="38" t="n"/>
      <c r="H1647" s="38" t="n"/>
      <c r="I1647" s="38" t="n"/>
      <c r="J1647" s="38" t="n"/>
      <c r="K1647" s="37" t="n"/>
      <c r="L1647" s="39" t="n"/>
      <c r="M1647" s="40" t="n"/>
      <c r="N1647" s="30">
        <f>IF(A1647="","",MONTH(A1647))</f>
        <v/>
      </c>
      <c r="O1647" s="30">
        <f>IF(A1647="","",YEAR(A1647))</f>
        <v/>
      </c>
      <c r="P1647" s="30">
        <f>IF(A1647="","",CHOOSE(WEEKDAY(A1647,2),"Segunda","Terça","Quarta","Quinta","Sexta","Sábado","Domingo"))</f>
        <v/>
      </c>
      <c r="Q1647" s="30">
        <f>IF(B1647="","",IF(B1647&lt;TIME(12,0,0),"Manhã",IF(B1647&lt;TIME(18,0,0),"Tarde","Noite")))</f>
        <v/>
      </c>
      <c r="R1647" s="46">
        <f>IF(AND(H1647="Realizado",L1647&lt;&gt;"",A1647&lt;=Config!$B$9),L1647/60,0)</f>
        <v>0</v>
      </c>
      <c r="S1647" s="45">
        <f>IF(G1647="","",IFERROR(INDEX(Config!$K$5:$K$16,MATCH(G1647,Config!$J$5:$J$16,0)),""))</f>
        <v/>
      </c>
      <c r="T1647" s="31">
        <f>IF(OR(G1647="",F1647=""),"",IFERROR(INDEX(Config!$M$5:$R$16,MATCH(G1647,Config!$J$5:$J$16,0),MATCH(F1647,Config!$H$5:$H$10,0)),""))</f>
        <v/>
      </c>
      <c r="U1647" s="47">
        <f>IF(AND(H1647="Realizado",L1647&lt;&gt;""),L1647/60,0)</f>
        <v>0</v>
      </c>
      <c r="V1647" s="47">
        <f>IF(AND(H1647="Realizado",OR(L1647="",M1647="")),1,0)</f>
        <v>0</v>
      </c>
    </row>
    <row r="1648">
      <c r="A1648" s="43" t="n"/>
      <c r="B1648" s="44" t="n"/>
      <c r="C1648" s="38" t="n"/>
      <c r="D1648" s="38" t="n"/>
      <c r="E1648" s="37" t="n"/>
      <c r="F1648" s="38" t="n"/>
      <c r="G1648" s="38" t="n"/>
      <c r="H1648" s="38" t="n"/>
      <c r="I1648" s="38" t="n"/>
      <c r="J1648" s="38" t="n"/>
      <c r="K1648" s="37" t="n"/>
      <c r="L1648" s="39" t="n"/>
      <c r="M1648" s="40" t="n"/>
      <c r="N1648" s="30">
        <f>IF(A1648="","",MONTH(A1648))</f>
        <v/>
      </c>
      <c r="O1648" s="30">
        <f>IF(A1648="","",YEAR(A1648))</f>
        <v/>
      </c>
      <c r="P1648" s="30">
        <f>IF(A1648="","",CHOOSE(WEEKDAY(A1648,2),"Segunda","Terça","Quarta","Quinta","Sexta","Sábado","Domingo"))</f>
        <v/>
      </c>
      <c r="Q1648" s="30">
        <f>IF(B1648="","",IF(B1648&lt;TIME(12,0,0),"Manhã",IF(B1648&lt;TIME(18,0,0),"Tarde","Noite")))</f>
        <v/>
      </c>
      <c r="R1648" s="46">
        <f>IF(AND(H1648="Realizado",L1648&lt;&gt;"",A1648&lt;=Config!$B$9),L1648/60,0)</f>
        <v>0</v>
      </c>
      <c r="S1648" s="45">
        <f>IF(G1648="","",IFERROR(INDEX(Config!$K$5:$K$16,MATCH(G1648,Config!$J$5:$J$16,0)),""))</f>
        <v/>
      </c>
      <c r="T1648" s="31">
        <f>IF(OR(G1648="",F1648=""),"",IFERROR(INDEX(Config!$M$5:$R$16,MATCH(G1648,Config!$J$5:$J$16,0),MATCH(F1648,Config!$H$5:$H$10,0)),""))</f>
        <v/>
      </c>
      <c r="U1648" s="47">
        <f>IF(AND(H1648="Realizado",L1648&lt;&gt;""),L1648/60,0)</f>
        <v>0</v>
      </c>
      <c r="V1648" s="47">
        <f>IF(AND(H1648="Realizado",OR(L1648="",M1648="")),1,0)</f>
        <v>0</v>
      </c>
    </row>
    <row r="1649">
      <c r="A1649" s="43" t="n"/>
      <c r="B1649" s="44" t="n"/>
      <c r="C1649" s="38" t="n"/>
      <c r="D1649" s="38" t="n"/>
      <c r="E1649" s="37" t="n"/>
      <c r="F1649" s="38" t="n"/>
      <c r="G1649" s="38" t="n"/>
      <c r="H1649" s="38" t="n"/>
      <c r="I1649" s="38" t="n"/>
      <c r="J1649" s="38" t="n"/>
      <c r="K1649" s="37" t="n"/>
      <c r="L1649" s="39" t="n"/>
      <c r="M1649" s="40" t="n"/>
      <c r="N1649" s="30">
        <f>IF(A1649="","",MONTH(A1649))</f>
        <v/>
      </c>
      <c r="O1649" s="30">
        <f>IF(A1649="","",YEAR(A1649))</f>
        <v/>
      </c>
      <c r="P1649" s="30">
        <f>IF(A1649="","",CHOOSE(WEEKDAY(A1649,2),"Segunda","Terça","Quarta","Quinta","Sexta","Sábado","Domingo"))</f>
        <v/>
      </c>
      <c r="Q1649" s="30">
        <f>IF(B1649="","",IF(B1649&lt;TIME(12,0,0),"Manhã",IF(B1649&lt;TIME(18,0,0),"Tarde","Noite")))</f>
        <v/>
      </c>
      <c r="R1649" s="46">
        <f>IF(AND(H1649="Realizado",L1649&lt;&gt;"",A1649&lt;=Config!$B$9),L1649/60,0)</f>
        <v>0</v>
      </c>
      <c r="S1649" s="45">
        <f>IF(G1649="","",IFERROR(INDEX(Config!$K$5:$K$16,MATCH(G1649,Config!$J$5:$J$16,0)),""))</f>
        <v/>
      </c>
      <c r="T1649" s="31">
        <f>IF(OR(G1649="",F1649=""),"",IFERROR(INDEX(Config!$M$5:$R$16,MATCH(G1649,Config!$J$5:$J$16,0),MATCH(F1649,Config!$H$5:$H$10,0)),""))</f>
        <v/>
      </c>
      <c r="U1649" s="47">
        <f>IF(AND(H1649="Realizado",L1649&lt;&gt;""),L1649/60,0)</f>
        <v>0</v>
      </c>
      <c r="V1649" s="47">
        <f>IF(AND(H1649="Realizado",OR(L1649="",M1649="")),1,0)</f>
        <v>0</v>
      </c>
    </row>
    <row r="1650">
      <c r="A1650" s="43" t="n"/>
      <c r="B1650" s="44" t="n"/>
      <c r="C1650" s="38" t="n"/>
      <c r="D1650" s="38" t="n"/>
      <c r="E1650" s="37" t="n"/>
      <c r="F1650" s="38" t="n"/>
      <c r="G1650" s="38" t="n"/>
      <c r="H1650" s="38" t="n"/>
      <c r="I1650" s="38" t="n"/>
      <c r="J1650" s="38" t="n"/>
      <c r="K1650" s="37" t="n"/>
      <c r="L1650" s="39" t="n"/>
      <c r="M1650" s="40" t="n"/>
      <c r="N1650" s="30">
        <f>IF(A1650="","",MONTH(A1650))</f>
        <v/>
      </c>
      <c r="O1650" s="30">
        <f>IF(A1650="","",YEAR(A1650))</f>
        <v/>
      </c>
      <c r="P1650" s="30">
        <f>IF(A1650="","",CHOOSE(WEEKDAY(A1650,2),"Segunda","Terça","Quarta","Quinta","Sexta","Sábado","Domingo"))</f>
        <v/>
      </c>
      <c r="Q1650" s="30">
        <f>IF(B1650="","",IF(B1650&lt;TIME(12,0,0),"Manhã",IF(B1650&lt;TIME(18,0,0),"Tarde","Noite")))</f>
        <v/>
      </c>
      <c r="R1650" s="46">
        <f>IF(AND(H1650="Realizado",L1650&lt;&gt;"",A1650&lt;=Config!$B$9),L1650/60,0)</f>
        <v>0</v>
      </c>
      <c r="S1650" s="45">
        <f>IF(G1650="","",IFERROR(INDEX(Config!$K$5:$K$16,MATCH(G1650,Config!$J$5:$J$16,0)),""))</f>
        <v/>
      </c>
      <c r="T1650" s="31">
        <f>IF(OR(G1650="",F1650=""),"",IFERROR(INDEX(Config!$M$5:$R$16,MATCH(G1650,Config!$J$5:$J$16,0),MATCH(F1650,Config!$H$5:$H$10,0)),""))</f>
        <v/>
      </c>
      <c r="U1650" s="47">
        <f>IF(AND(H1650="Realizado",L1650&lt;&gt;""),L1650/60,0)</f>
        <v>0</v>
      </c>
      <c r="V1650" s="47">
        <f>IF(AND(H1650="Realizado",OR(L1650="",M1650="")),1,0)</f>
        <v>0</v>
      </c>
    </row>
    <row r="1651">
      <c r="A1651" s="43" t="n"/>
      <c r="B1651" s="44" t="n"/>
      <c r="C1651" s="38" t="n"/>
      <c r="D1651" s="38" t="n"/>
      <c r="E1651" s="37" t="n"/>
      <c r="F1651" s="38" t="n"/>
      <c r="G1651" s="38" t="n"/>
      <c r="H1651" s="38" t="n"/>
      <c r="I1651" s="38" t="n"/>
      <c r="J1651" s="38" t="n"/>
      <c r="K1651" s="37" t="n"/>
      <c r="L1651" s="39" t="n"/>
      <c r="M1651" s="40" t="n"/>
      <c r="N1651" s="30">
        <f>IF(A1651="","",MONTH(A1651))</f>
        <v/>
      </c>
      <c r="O1651" s="30">
        <f>IF(A1651="","",YEAR(A1651))</f>
        <v/>
      </c>
      <c r="P1651" s="30">
        <f>IF(A1651="","",CHOOSE(WEEKDAY(A1651,2),"Segunda","Terça","Quarta","Quinta","Sexta","Sábado","Domingo"))</f>
        <v/>
      </c>
      <c r="Q1651" s="30">
        <f>IF(B1651="","",IF(B1651&lt;TIME(12,0,0),"Manhã",IF(B1651&lt;TIME(18,0,0),"Tarde","Noite")))</f>
        <v/>
      </c>
      <c r="R1651" s="46">
        <f>IF(AND(H1651="Realizado",L1651&lt;&gt;"",A1651&lt;=Config!$B$9),L1651/60,0)</f>
        <v>0</v>
      </c>
      <c r="S1651" s="45">
        <f>IF(G1651="","",IFERROR(INDEX(Config!$K$5:$K$16,MATCH(G1651,Config!$J$5:$J$16,0)),""))</f>
        <v/>
      </c>
      <c r="T1651" s="31">
        <f>IF(OR(G1651="",F1651=""),"",IFERROR(INDEX(Config!$M$5:$R$16,MATCH(G1651,Config!$J$5:$J$16,0),MATCH(F1651,Config!$H$5:$H$10,0)),""))</f>
        <v/>
      </c>
      <c r="U1651" s="47">
        <f>IF(AND(H1651="Realizado",L1651&lt;&gt;""),L1651/60,0)</f>
        <v>0</v>
      </c>
      <c r="V1651" s="47">
        <f>IF(AND(H1651="Realizado",OR(L1651="",M1651="")),1,0)</f>
        <v>0</v>
      </c>
    </row>
    <row r="1652">
      <c r="A1652" s="43" t="n"/>
      <c r="B1652" s="44" t="n"/>
      <c r="C1652" s="38" t="n"/>
      <c r="D1652" s="38" t="n"/>
      <c r="E1652" s="37" t="n"/>
      <c r="F1652" s="38" t="n"/>
      <c r="G1652" s="38" t="n"/>
      <c r="H1652" s="38" t="n"/>
      <c r="I1652" s="38" t="n"/>
      <c r="J1652" s="38" t="n"/>
      <c r="K1652" s="37" t="n"/>
      <c r="L1652" s="39" t="n"/>
      <c r="M1652" s="40" t="n"/>
      <c r="N1652" s="30">
        <f>IF(A1652="","",MONTH(A1652))</f>
        <v/>
      </c>
      <c r="O1652" s="30">
        <f>IF(A1652="","",YEAR(A1652))</f>
        <v/>
      </c>
      <c r="P1652" s="30">
        <f>IF(A1652="","",CHOOSE(WEEKDAY(A1652,2),"Segunda","Terça","Quarta","Quinta","Sexta","Sábado","Domingo"))</f>
        <v/>
      </c>
      <c r="Q1652" s="30">
        <f>IF(B1652="","",IF(B1652&lt;TIME(12,0,0),"Manhã",IF(B1652&lt;TIME(18,0,0),"Tarde","Noite")))</f>
        <v/>
      </c>
      <c r="R1652" s="46">
        <f>IF(AND(H1652="Realizado",L1652&lt;&gt;"",A1652&lt;=Config!$B$9),L1652/60,0)</f>
        <v>0</v>
      </c>
      <c r="S1652" s="45">
        <f>IF(G1652="","",IFERROR(INDEX(Config!$K$5:$K$16,MATCH(G1652,Config!$J$5:$J$16,0)),""))</f>
        <v/>
      </c>
      <c r="T1652" s="31">
        <f>IF(OR(G1652="",F1652=""),"",IFERROR(INDEX(Config!$M$5:$R$16,MATCH(G1652,Config!$J$5:$J$16,0),MATCH(F1652,Config!$H$5:$H$10,0)),""))</f>
        <v/>
      </c>
      <c r="U1652" s="47">
        <f>IF(AND(H1652="Realizado",L1652&lt;&gt;""),L1652/60,0)</f>
        <v>0</v>
      </c>
      <c r="V1652" s="47">
        <f>IF(AND(H1652="Realizado",OR(L1652="",M1652="")),1,0)</f>
        <v>0</v>
      </c>
    </row>
    <row r="1653">
      <c r="A1653" s="43" t="n"/>
      <c r="B1653" s="44" t="n"/>
      <c r="C1653" s="38" t="n"/>
      <c r="D1653" s="38" t="n"/>
      <c r="E1653" s="37" t="n"/>
      <c r="F1653" s="38" t="n"/>
      <c r="G1653" s="38" t="n"/>
      <c r="H1653" s="38" t="n"/>
      <c r="I1653" s="38" t="n"/>
      <c r="J1653" s="38" t="n"/>
      <c r="K1653" s="37" t="n"/>
      <c r="L1653" s="39" t="n"/>
      <c r="M1653" s="40" t="n"/>
      <c r="N1653" s="30">
        <f>IF(A1653="","",MONTH(A1653))</f>
        <v/>
      </c>
      <c r="O1653" s="30">
        <f>IF(A1653="","",YEAR(A1653))</f>
        <v/>
      </c>
      <c r="P1653" s="30">
        <f>IF(A1653="","",CHOOSE(WEEKDAY(A1653,2),"Segunda","Terça","Quarta","Quinta","Sexta","Sábado","Domingo"))</f>
        <v/>
      </c>
      <c r="Q1653" s="30">
        <f>IF(B1653="","",IF(B1653&lt;TIME(12,0,0),"Manhã",IF(B1653&lt;TIME(18,0,0),"Tarde","Noite")))</f>
        <v/>
      </c>
      <c r="R1653" s="46">
        <f>IF(AND(H1653="Realizado",L1653&lt;&gt;"",A1653&lt;=Config!$B$9),L1653/60,0)</f>
        <v>0</v>
      </c>
      <c r="S1653" s="45">
        <f>IF(G1653="","",IFERROR(INDEX(Config!$K$5:$K$16,MATCH(G1653,Config!$J$5:$J$16,0)),""))</f>
        <v/>
      </c>
      <c r="T1653" s="31">
        <f>IF(OR(G1653="",F1653=""),"",IFERROR(INDEX(Config!$M$5:$R$16,MATCH(G1653,Config!$J$5:$J$16,0),MATCH(F1653,Config!$H$5:$H$10,0)),""))</f>
        <v/>
      </c>
      <c r="U1653" s="47">
        <f>IF(AND(H1653="Realizado",L1653&lt;&gt;""),L1653/60,0)</f>
        <v>0</v>
      </c>
      <c r="V1653" s="47">
        <f>IF(AND(H1653="Realizado",OR(L1653="",M1653="")),1,0)</f>
        <v>0</v>
      </c>
    </row>
    <row r="1654">
      <c r="A1654" s="43" t="n"/>
      <c r="B1654" s="44" t="n"/>
      <c r="C1654" s="38" t="n"/>
      <c r="D1654" s="38" t="n"/>
      <c r="E1654" s="37" t="n"/>
      <c r="F1654" s="38" t="n"/>
      <c r="G1654" s="38" t="n"/>
      <c r="H1654" s="38" t="n"/>
      <c r="I1654" s="38" t="n"/>
      <c r="J1654" s="38" t="n"/>
      <c r="K1654" s="37" t="n"/>
      <c r="L1654" s="39" t="n"/>
      <c r="M1654" s="40" t="n"/>
      <c r="N1654" s="30">
        <f>IF(A1654="","",MONTH(A1654))</f>
        <v/>
      </c>
      <c r="O1654" s="30">
        <f>IF(A1654="","",YEAR(A1654))</f>
        <v/>
      </c>
      <c r="P1654" s="30">
        <f>IF(A1654="","",CHOOSE(WEEKDAY(A1654,2),"Segunda","Terça","Quarta","Quinta","Sexta","Sábado","Domingo"))</f>
        <v/>
      </c>
      <c r="Q1654" s="30">
        <f>IF(B1654="","",IF(B1654&lt;TIME(12,0,0),"Manhã",IF(B1654&lt;TIME(18,0,0),"Tarde","Noite")))</f>
        <v/>
      </c>
      <c r="R1654" s="46">
        <f>IF(AND(H1654="Realizado",L1654&lt;&gt;"",A1654&lt;=Config!$B$9),L1654/60,0)</f>
        <v>0</v>
      </c>
      <c r="S1654" s="45">
        <f>IF(G1654="","",IFERROR(INDEX(Config!$K$5:$K$16,MATCH(G1654,Config!$J$5:$J$16,0)),""))</f>
        <v/>
      </c>
      <c r="T1654" s="31">
        <f>IF(OR(G1654="",F1654=""),"",IFERROR(INDEX(Config!$M$5:$R$16,MATCH(G1654,Config!$J$5:$J$16,0),MATCH(F1654,Config!$H$5:$H$10,0)),""))</f>
        <v/>
      </c>
      <c r="U1654" s="47">
        <f>IF(AND(H1654="Realizado",L1654&lt;&gt;""),L1654/60,0)</f>
        <v>0</v>
      </c>
      <c r="V1654" s="47">
        <f>IF(AND(H1654="Realizado",OR(L1654="",M1654="")),1,0)</f>
        <v>0</v>
      </c>
    </row>
    <row r="1655">
      <c r="A1655" s="43" t="n"/>
      <c r="B1655" s="44" t="n"/>
      <c r="C1655" s="38" t="n"/>
      <c r="D1655" s="38" t="n"/>
      <c r="E1655" s="37" t="n"/>
      <c r="F1655" s="38" t="n"/>
      <c r="G1655" s="38" t="n"/>
      <c r="H1655" s="38" t="n"/>
      <c r="I1655" s="38" t="n"/>
      <c r="J1655" s="38" t="n"/>
      <c r="K1655" s="37" t="n"/>
      <c r="L1655" s="39" t="n"/>
      <c r="M1655" s="40" t="n"/>
      <c r="N1655" s="30">
        <f>IF(A1655="","",MONTH(A1655))</f>
        <v/>
      </c>
      <c r="O1655" s="30">
        <f>IF(A1655="","",YEAR(A1655))</f>
        <v/>
      </c>
      <c r="P1655" s="30">
        <f>IF(A1655="","",CHOOSE(WEEKDAY(A1655,2),"Segunda","Terça","Quarta","Quinta","Sexta","Sábado","Domingo"))</f>
        <v/>
      </c>
      <c r="Q1655" s="30">
        <f>IF(B1655="","",IF(B1655&lt;TIME(12,0,0),"Manhã",IF(B1655&lt;TIME(18,0,0),"Tarde","Noite")))</f>
        <v/>
      </c>
      <c r="R1655" s="46">
        <f>IF(AND(H1655="Realizado",L1655&lt;&gt;"",A1655&lt;=Config!$B$9),L1655/60,0)</f>
        <v>0</v>
      </c>
      <c r="S1655" s="45">
        <f>IF(G1655="","",IFERROR(INDEX(Config!$K$5:$K$16,MATCH(G1655,Config!$J$5:$J$16,0)),""))</f>
        <v/>
      </c>
      <c r="T1655" s="31">
        <f>IF(OR(G1655="",F1655=""),"",IFERROR(INDEX(Config!$M$5:$R$16,MATCH(G1655,Config!$J$5:$J$16,0),MATCH(F1655,Config!$H$5:$H$10,0)),""))</f>
        <v/>
      </c>
      <c r="U1655" s="47">
        <f>IF(AND(H1655="Realizado",L1655&lt;&gt;""),L1655/60,0)</f>
        <v>0</v>
      </c>
      <c r="V1655" s="47">
        <f>IF(AND(H1655="Realizado",OR(L1655="",M1655="")),1,0)</f>
        <v>0</v>
      </c>
    </row>
    <row r="1656">
      <c r="A1656" s="43" t="n"/>
      <c r="B1656" s="44" t="n"/>
      <c r="C1656" s="38" t="n"/>
      <c r="D1656" s="38" t="n"/>
      <c r="E1656" s="37" t="n"/>
      <c r="F1656" s="38" t="n"/>
      <c r="G1656" s="38" t="n"/>
      <c r="H1656" s="38" t="n"/>
      <c r="I1656" s="38" t="n"/>
      <c r="J1656" s="38" t="n"/>
      <c r="K1656" s="37" t="n"/>
      <c r="L1656" s="39" t="n"/>
      <c r="M1656" s="40" t="n"/>
      <c r="N1656" s="30">
        <f>IF(A1656="","",MONTH(A1656))</f>
        <v/>
      </c>
      <c r="O1656" s="30">
        <f>IF(A1656="","",YEAR(A1656))</f>
        <v/>
      </c>
      <c r="P1656" s="30">
        <f>IF(A1656="","",CHOOSE(WEEKDAY(A1656,2),"Segunda","Terça","Quarta","Quinta","Sexta","Sábado","Domingo"))</f>
        <v/>
      </c>
      <c r="Q1656" s="30">
        <f>IF(B1656="","",IF(B1656&lt;TIME(12,0,0),"Manhã",IF(B1656&lt;TIME(18,0,0),"Tarde","Noite")))</f>
        <v/>
      </c>
      <c r="R1656" s="46">
        <f>IF(AND(H1656="Realizado",L1656&lt;&gt;"",A1656&lt;=Config!$B$9),L1656/60,0)</f>
        <v>0</v>
      </c>
      <c r="S1656" s="45">
        <f>IF(G1656="","",IFERROR(INDEX(Config!$K$5:$K$16,MATCH(G1656,Config!$J$5:$J$16,0)),""))</f>
        <v/>
      </c>
      <c r="T1656" s="31">
        <f>IF(OR(G1656="",F1656=""),"",IFERROR(INDEX(Config!$M$5:$R$16,MATCH(G1656,Config!$J$5:$J$16,0),MATCH(F1656,Config!$H$5:$H$10,0)),""))</f>
        <v/>
      </c>
      <c r="U1656" s="47">
        <f>IF(AND(H1656="Realizado",L1656&lt;&gt;""),L1656/60,0)</f>
        <v>0</v>
      </c>
      <c r="V1656" s="47">
        <f>IF(AND(H1656="Realizado",OR(L1656="",M1656="")),1,0)</f>
        <v>0</v>
      </c>
    </row>
    <row r="1657">
      <c r="A1657" s="43" t="n"/>
      <c r="B1657" s="44" t="n"/>
      <c r="C1657" s="38" t="n"/>
      <c r="D1657" s="38" t="n"/>
      <c r="E1657" s="37" t="n"/>
      <c r="F1657" s="38" t="n"/>
      <c r="G1657" s="38" t="n"/>
      <c r="H1657" s="38" t="n"/>
      <c r="I1657" s="38" t="n"/>
      <c r="J1657" s="38" t="n"/>
      <c r="K1657" s="37" t="n"/>
      <c r="L1657" s="39" t="n"/>
      <c r="M1657" s="40" t="n"/>
      <c r="N1657" s="30">
        <f>IF(A1657="","",MONTH(A1657))</f>
        <v/>
      </c>
      <c r="O1657" s="30">
        <f>IF(A1657="","",YEAR(A1657))</f>
        <v/>
      </c>
      <c r="P1657" s="30">
        <f>IF(A1657="","",CHOOSE(WEEKDAY(A1657,2),"Segunda","Terça","Quarta","Quinta","Sexta","Sábado","Domingo"))</f>
        <v/>
      </c>
      <c r="Q1657" s="30">
        <f>IF(B1657="","",IF(B1657&lt;TIME(12,0,0),"Manhã",IF(B1657&lt;TIME(18,0,0),"Tarde","Noite")))</f>
        <v/>
      </c>
      <c r="R1657" s="46">
        <f>IF(AND(H1657="Realizado",L1657&lt;&gt;"",A1657&lt;=Config!$B$9),L1657/60,0)</f>
        <v>0</v>
      </c>
      <c r="S1657" s="45">
        <f>IF(G1657="","",IFERROR(INDEX(Config!$K$5:$K$16,MATCH(G1657,Config!$J$5:$J$16,0)),""))</f>
        <v/>
      </c>
      <c r="T1657" s="31">
        <f>IF(OR(G1657="",F1657=""),"",IFERROR(INDEX(Config!$M$5:$R$16,MATCH(G1657,Config!$J$5:$J$16,0),MATCH(F1657,Config!$H$5:$H$10,0)),""))</f>
        <v/>
      </c>
      <c r="U1657" s="47">
        <f>IF(AND(H1657="Realizado",L1657&lt;&gt;""),L1657/60,0)</f>
        <v>0</v>
      </c>
      <c r="V1657" s="47">
        <f>IF(AND(H1657="Realizado",OR(L1657="",M1657="")),1,0)</f>
        <v>0</v>
      </c>
    </row>
    <row r="1658">
      <c r="A1658" s="43" t="n"/>
      <c r="B1658" s="44" t="n"/>
      <c r="C1658" s="38" t="n"/>
      <c r="D1658" s="38" t="n"/>
      <c r="E1658" s="37" t="n"/>
      <c r="F1658" s="38" t="n"/>
      <c r="G1658" s="38" t="n"/>
      <c r="H1658" s="38" t="n"/>
      <c r="I1658" s="38" t="n"/>
      <c r="J1658" s="38" t="n"/>
      <c r="K1658" s="37" t="n"/>
      <c r="L1658" s="39" t="n"/>
      <c r="M1658" s="40" t="n"/>
      <c r="N1658" s="30">
        <f>IF(A1658="","",MONTH(A1658))</f>
        <v/>
      </c>
      <c r="O1658" s="30">
        <f>IF(A1658="","",YEAR(A1658))</f>
        <v/>
      </c>
      <c r="P1658" s="30">
        <f>IF(A1658="","",CHOOSE(WEEKDAY(A1658,2),"Segunda","Terça","Quarta","Quinta","Sexta","Sábado","Domingo"))</f>
        <v/>
      </c>
      <c r="Q1658" s="30">
        <f>IF(B1658="","",IF(B1658&lt;TIME(12,0,0),"Manhã",IF(B1658&lt;TIME(18,0,0),"Tarde","Noite")))</f>
        <v/>
      </c>
      <c r="R1658" s="46">
        <f>IF(AND(H1658="Realizado",L1658&lt;&gt;"",A1658&lt;=Config!$B$9),L1658/60,0)</f>
        <v>0</v>
      </c>
      <c r="S1658" s="45">
        <f>IF(G1658="","",IFERROR(INDEX(Config!$K$5:$K$16,MATCH(G1658,Config!$J$5:$J$16,0)),""))</f>
        <v/>
      </c>
      <c r="T1658" s="31">
        <f>IF(OR(G1658="",F1658=""),"",IFERROR(INDEX(Config!$M$5:$R$16,MATCH(G1658,Config!$J$5:$J$16,0),MATCH(F1658,Config!$H$5:$H$10,0)),""))</f>
        <v/>
      </c>
      <c r="U1658" s="47">
        <f>IF(AND(H1658="Realizado",L1658&lt;&gt;""),L1658/60,0)</f>
        <v>0</v>
      </c>
      <c r="V1658" s="47">
        <f>IF(AND(H1658="Realizado",OR(L1658="",M1658="")),1,0)</f>
        <v>0</v>
      </c>
    </row>
    <row r="1659">
      <c r="A1659" s="43" t="n"/>
      <c r="B1659" s="44" t="n"/>
      <c r="C1659" s="38" t="n"/>
      <c r="D1659" s="38" t="n"/>
      <c r="E1659" s="37" t="n"/>
      <c r="F1659" s="38" t="n"/>
      <c r="G1659" s="38" t="n"/>
      <c r="H1659" s="38" t="n"/>
      <c r="I1659" s="38" t="n"/>
      <c r="J1659" s="38" t="n"/>
      <c r="K1659" s="37" t="n"/>
      <c r="L1659" s="39" t="n"/>
      <c r="M1659" s="40" t="n"/>
      <c r="N1659" s="30">
        <f>IF(A1659="","",MONTH(A1659))</f>
        <v/>
      </c>
      <c r="O1659" s="30">
        <f>IF(A1659="","",YEAR(A1659))</f>
        <v/>
      </c>
      <c r="P1659" s="30">
        <f>IF(A1659="","",CHOOSE(WEEKDAY(A1659,2),"Segunda","Terça","Quarta","Quinta","Sexta","Sábado","Domingo"))</f>
        <v/>
      </c>
      <c r="Q1659" s="30">
        <f>IF(B1659="","",IF(B1659&lt;TIME(12,0,0),"Manhã",IF(B1659&lt;TIME(18,0,0),"Tarde","Noite")))</f>
        <v/>
      </c>
      <c r="R1659" s="46">
        <f>IF(AND(H1659="Realizado",L1659&lt;&gt;"",A1659&lt;=Config!$B$9),L1659/60,0)</f>
        <v>0</v>
      </c>
      <c r="S1659" s="45">
        <f>IF(G1659="","",IFERROR(INDEX(Config!$K$5:$K$16,MATCH(G1659,Config!$J$5:$J$16,0)),""))</f>
        <v/>
      </c>
      <c r="T1659" s="31">
        <f>IF(OR(G1659="",F1659=""),"",IFERROR(INDEX(Config!$M$5:$R$16,MATCH(G1659,Config!$J$5:$J$16,0),MATCH(F1659,Config!$H$5:$H$10,0)),""))</f>
        <v/>
      </c>
      <c r="U1659" s="47">
        <f>IF(AND(H1659="Realizado",L1659&lt;&gt;""),L1659/60,0)</f>
        <v>0</v>
      </c>
      <c r="V1659" s="47">
        <f>IF(AND(H1659="Realizado",OR(L1659="",M1659="")),1,0)</f>
        <v>0</v>
      </c>
    </row>
    <row r="1660">
      <c r="A1660" s="43" t="n"/>
      <c r="B1660" s="44" t="n"/>
      <c r="C1660" s="38" t="n"/>
      <c r="D1660" s="38" t="n"/>
      <c r="E1660" s="37" t="n"/>
      <c r="F1660" s="38" t="n"/>
      <c r="G1660" s="38" t="n"/>
      <c r="H1660" s="38" t="n"/>
      <c r="I1660" s="38" t="n"/>
      <c r="J1660" s="38" t="n"/>
      <c r="K1660" s="37" t="n"/>
      <c r="L1660" s="39" t="n"/>
      <c r="M1660" s="40" t="n"/>
      <c r="N1660" s="30">
        <f>IF(A1660="","",MONTH(A1660))</f>
        <v/>
      </c>
      <c r="O1660" s="30">
        <f>IF(A1660="","",YEAR(A1660))</f>
        <v/>
      </c>
      <c r="P1660" s="30">
        <f>IF(A1660="","",CHOOSE(WEEKDAY(A1660,2),"Segunda","Terça","Quarta","Quinta","Sexta","Sábado","Domingo"))</f>
        <v/>
      </c>
      <c r="Q1660" s="30">
        <f>IF(B1660="","",IF(B1660&lt;TIME(12,0,0),"Manhã",IF(B1660&lt;TIME(18,0,0),"Tarde","Noite")))</f>
        <v/>
      </c>
      <c r="R1660" s="46">
        <f>IF(AND(H1660="Realizado",L1660&lt;&gt;"",A1660&lt;=Config!$B$9),L1660/60,0)</f>
        <v>0</v>
      </c>
      <c r="S1660" s="45">
        <f>IF(G1660="","",IFERROR(INDEX(Config!$K$5:$K$16,MATCH(G1660,Config!$J$5:$J$16,0)),""))</f>
        <v/>
      </c>
      <c r="T1660" s="31">
        <f>IF(OR(G1660="",F1660=""),"",IFERROR(INDEX(Config!$M$5:$R$16,MATCH(G1660,Config!$J$5:$J$16,0),MATCH(F1660,Config!$H$5:$H$10,0)),""))</f>
        <v/>
      </c>
      <c r="U1660" s="47">
        <f>IF(AND(H1660="Realizado",L1660&lt;&gt;""),L1660/60,0)</f>
        <v>0</v>
      </c>
      <c r="V1660" s="47">
        <f>IF(AND(H1660="Realizado",OR(L1660="",M1660="")),1,0)</f>
        <v>0</v>
      </c>
    </row>
    <row r="1661">
      <c r="A1661" s="43" t="n"/>
      <c r="B1661" s="44" t="n"/>
      <c r="C1661" s="38" t="n"/>
      <c r="D1661" s="38" t="n"/>
      <c r="E1661" s="37" t="n"/>
      <c r="F1661" s="38" t="n"/>
      <c r="G1661" s="38" t="n"/>
      <c r="H1661" s="38" t="n"/>
      <c r="I1661" s="38" t="n"/>
      <c r="J1661" s="38" t="n"/>
      <c r="K1661" s="37" t="n"/>
      <c r="L1661" s="39" t="n"/>
      <c r="M1661" s="40" t="n"/>
      <c r="N1661" s="30">
        <f>IF(A1661="","",MONTH(A1661))</f>
        <v/>
      </c>
      <c r="O1661" s="30">
        <f>IF(A1661="","",YEAR(A1661))</f>
        <v/>
      </c>
      <c r="P1661" s="30">
        <f>IF(A1661="","",CHOOSE(WEEKDAY(A1661,2),"Segunda","Terça","Quarta","Quinta","Sexta","Sábado","Domingo"))</f>
        <v/>
      </c>
      <c r="Q1661" s="30">
        <f>IF(B1661="","",IF(B1661&lt;TIME(12,0,0),"Manhã",IF(B1661&lt;TIME(18,0,0),"Tarde","Noite")))</f>
        <v/>
      </c>
      <c r="R1661" s="46">
        <f>IF(AND(H1661="Realizado",L1661&lt;&gt;"",A1661&lt;=Config!$B$9),L1661/60,0)</f>
        <v>0</v>
      </c>
      <c r="S1661" s="45">
        <f>IF(G1661="","",IFERROR(INDEX(Config!$K$5:$K$16,MATCH(G1661,Config!$J$5:$J$16,0)),""))</f>
        <v/>
      </c>
      <c r="T1661" s="31">
        <f>IF(OR(G1661="",F1661=""),"",IFERROR(INDEX(Config!$M$5:$R$16,MATCH(G1661,Config!$J$5:$J$16,0),MATCH(F1661,Config!$H$5:$H$10,0)),""))</f>
        <v/>
      </c>
      <c r="U1661" s="47">
        <f>IF(AND(H1661="Realizado",L1661&lt;&gt;""),L1661/60,0)</f>
        <v>0</v>
      </c>
      <c r="V1661" s="47">
        <f>IF(AND(H1661="Realizado",OR(L1661="",M1661="")),1,0)</f>
        <v>0</v>
      </c>
    </row>
    <row r="1662">
      <c r="A1662" s="43" t="n"/>
      <c r="B1662" s="44" t="n"/>
      <c r="C1662" s="38" t="n"/>
      <c r="D1662" s="38" t="n"/>
      <c r="E1662" s="37" t="n"/>
      <c r="F1662" s="38" t="n"/>
      <c r="G1662" s="38" t="n"/>
      <c r="H1662" s="38" t="n"/>
      <c r="I1662" s="38" t="n"/>
      <c r="J1662" s="38" t="n"/>
      <c r="K1662" s="37" t="n"/>
      <c r="L1662" s="39" t="n"/>
      <c r="M1662" s="40" t="n"/>
      <c r="N1662" s="30">
        <f>IF(A1662="","",MONTH(A1662))</f>
        <v/>
      </c>
      <c r="O1662" s="30">
        <f>IF(A1662="","",YEAR(A1662))</f>
        <v/>
      </c>
      <c r="P1662" s="30">
        <f>IF(A1662="","",CHOOSE(WEEKDAY(A1662,2),"Segunda","Terça","Quarta","Quinta","Sexta","Sábado","Domingo"))</f>
        <v/>
      </c>
      <c r="Q1662" s="30">
        <f>IF(B1662="","",IF(B1662&lt;TIME(12,0,0),"Manhã",IF(B1662&lt;TIME(18,0,0),"Tarde","Noite")))</f>
        <v/>
      </c>
      <c r="R1662" s="46">
        <f>IF(AND(H1662="Realizado",L1662&lt;&gt;"",A1662&lt;=Config!$B$9),L1662/60,0)</f>
        <v>0</v>
      </c>
      <c r="S1662" s="45">
        <f>IF(G1662="","",IFERROR(INDEX(Config!$K$5:$K$16,MATCH(G1662,Config!$J$5:$J$16,0)),""))</f>
        <v/>
      </c>
      <c r="T1662" s="31">
        <f>IF(OR(G1662="",F1662=""),"",IFERROR(INDEX(Config!$M$5:$R$16,MATCH(G1662,Config!$J$5:$J$16,0),MATCH(F1662,Config!$H$5:$H$10,0)),""))</f>
        <v/>
      </c>
      <c r="U1662" s="47">
        <f>IF(AND(H1662="Realizado",L1662&lt;&gt;""),L1662/60,0)</f>
        <v>0</v>
      </c>
      <c r="V1662" s="47">
        <f>IF(AND(H1662="Realizado",OR(L1662="",M1662="")),1,0)</f>
        <v>0</v>
      </c>
    </row>
    <row r="1663">
      <c r="A1663" s="43" t="n"/>
      <c r="B1663" s="44" t="n"/>
      <c r="C1663" s="38" t="n"/>
      <c r="D1663" s="38" t="n"/>
      <c r="E1663" s="37" t="n"/>
      <c r="F1663" s="38" t="n"/>
      <c r="G1663" s="38" t="n"/>
      <c r="H1663" s="38" t="n"/>
      <c r="I1663" s="38" t="n"/>
      <c r="J1663" s="38" t="n"/>
      <c r="K1663" s="37" t="n"/>
      <c r="L1663" s="39" t="n"/>
      <c r="M1663" s="40" t="n"/>
      <c r="N1663" s="30">
        <f>IF(A1663="","",MONTH(A1663))</f>
        <v/>
      </c>
      <c r="O1663" s="30">
        <f>IF(A1663="","",YEAR(A1663))</f>
        <v/>
      </c>
      <c r="P1663" s="30">
        <f>IF(A1663="","",CHOOSE(WEEKDAY(A1663,2),"Segunda","Terça","Quarta","Quinta","Sexta","Sábado","Domingo"))</f>
        <v/>
      </c>
      <c r="Q1663" s="30">
        <f>IF(B1663="","",IF(B1663&lt;TIME(12,0,0),"Manhã",IF(B1663&lt;TIME(18,0,0),"Tarde","Noite")))</f>
        <v/>
      </c>
      <c r="R1663" s="46">
        <f>IF(AND(H1663="Realizado",L1663&lt;&gt;"",A1663&lt;=Config!$B$9),L1663/60,0)</f>
        <v>0</v>
      </c>
      <c r="S1663" s="45">
        <f>IF(G1663="","",IFERROR(INDEX(Config!$K$5:$K$16,MATCH(G1663,Config!$J$5:$J$16,0)),""))</f>
        <v/>
      </c>
      <c r="T1663" s="31">
        <f>IF(OR(G1663="",F1663=""),"",IFERROR(INDEX(Config!$M$5:$R$16,MATCH(G1663,Config!$J$5:$J$16,0),MATCH(F1663,Config!$H$5:$H$10,0)),""))</f>
        <v/>
      </c>
      <c r="U1663" s="47">
        <f>IF(AND(H1663="Realizado",L1663&lt;&gt;""),L1663/60,0)</f>
        <v>0</v>
      </c>
      <c r="V1663" s="47">
        <f>IF(AND(H1663="Realizado",OR(L1663="",M1663="")),1,0)</f>
        <v>0</v>
      </c>
    </row>
    <row r="1664">
      <c r="A1664" s="43" t="n"/>
      <c r="B1664" s="44" t="n"/>
      <c r="C1664" s="38" t="n"/>
      <c r="D1664" s="38" t="n"/>
      <c r="E1664" s="37" t="n"/>
      <c r="F1664" s="38" t="n"/>
      <c r="G1664" s="38" t="n"/>
      <c r="H1664" s="38" t="n"/>
      <c r="I1664" s="38" t="n"/>
      <c r="J1664" s="38" t="n"/>
      <c r="K1664" s="37" t="n"/>
      <c r="L1664" s="39" t="n"/>
      <c r="M1664" s="40" t="n"/>
      <c r="N1664" s="30">
        <f>IF(A1664="","",MONTH(A1664))</f>
        <v/>
      </c>
      <c r="O1664" s="30">
        <f>IF(A1664="","",YEAR(A1664))</f>
        <v/>
      </c>
      <c r="P1664" s="30">
        <f>IF(A1664="","",CHOOSE(WEEKDAY(A1664,2),"Segunda","Terça","Quarta","Quinta","Sexta","Sábado","Domingo"))</f>
        <v/>
      </c>
      <c r="Q1664" s="30">
        <f>IF(B1664="","",IF(B1664&lt;TIME(12,0,0),"Manhã",IF(B1664&lt;TIME(18,0,0),"Tarde","Noite")))</f>
        <v/>
      </c>
      <c r="R1664" s="46">
        <f>IF(AND(H1664="Realizado",L1664&lt;&gt;"",A1664&lt;=Config!$B$9),L1664/60,0)</f>
        <v>0</v>
      </c>
      <c r="S1664" s="45">
        <f>IF(G1664="","",IFERROR(INDEX(Config!$K$5:$K$16,MATCH(G1664,Config!$J$5:$J$16,0)),""))</f>
        <v/>
      </c>
      <c r="T1664" s="31">
        <f>IF(OR(G1664="",F1664=""),"",IFERROR(INDEX(Config!$M$5:$R$16,MATCH(G1664,Config!$J$5:$J$16,0),MATCH(F1664,Config!$H$5:$H$10,0)),""))</f>
        <v/>
      </c>
      <c r="U1664" s="47">
        <f>IF(AND(H1664="Realizado",L1664&lt;&gt;""),L1664/60,0)</f>
        <v>0</v>
      </c>
      <c r="V1664" s="47">
        <f>IF(AND(H1664="Realizado",OR(L1664="",M1664="")),1,0)</f>
        <v>0</v>
      </c>
    </row>
    <row r="1665">
      <c r="A1665" s="43" t="n"/>
      <c r="B1665" s="44" t="n"/>
      <c r="C1665" s="38" t="n"/>
      <c r="D1665" s="38" t="n"/>
      <c r="E1665" s="37" t="n"/>
      <c r="F1665" s="38" t="n"/>
      <c r="G1665" s="38" t="n"/>
      <c r="H1665" s="38" t="n"/>
      <c r="I1665" s="38" t="n"/>
      <c r="J1665" s="38" t="n"/>
      <c r="K1665" s="37" t="n"/>
      <c r="L1665" s="39" t="n"/>
      <c r="M1665" s="40" t="n"/>
      <c r="N1665" s="30">
        <f>IF(A1665="","",MONTH(A1665))</f>
        <v/>
      </c>
      <c r="O1665" s="30">
        <f>IF(A1665="","",YEAR(A1665))</f>
        <v/>
      </c>
      <c r="P1665" s="30">
        <f>IF(A1665="","",CHOOSE(WEEKDAY(A1665,2),"Segunda","Terça","Quarta","Quinta","Sexta","Sábado","Domingo"))</f>
        <v/>
      </c>
      <c r="Q1665" s="30">
        <f>IF(B1665="","",IF(B1665&lt;TIME(12,0,0),"Manhã",IF(B1665&lt;TIME(18,0,0),"Tarde","Noite")))</f>
        <v/>
      </c>
      <c r="R1665" s="46">
        <f>IF(AND(H1665="Realizado",L1665&lt;&gt;"",A1665&lt;=Config!$B$9),L1665/60,0)</f>
        <v>0</v>
      </c>
      <c r="S1665" s="45">
        <f>IF(G1665="","",IFERROR(INDEX(Config!$K$5:$K$16,MATCH(G1665,Config!$J$5:$J$16,0)),""))</f>
        <v/>
      </c>
      <c r="T1665" s="31">
        <f>IF(OR(G1665="",F1665=""),"",IFERROR(INDEX(Config!$M$5:$R$16,MATCH(G1665,Config!$J$5:$J$16,0),MATCH(F1665,Config!$H$5:$H$10,0)),""))</f>
        <v/>
      </c>
      <c r="U1665" s="47">
        <f>IF(AND(H1665="Realizado",L1665&lt;&gt;""),L1665/60,0)</f>
        <v>0</v>
      </c>
      <c r="V1665" s="47">
        <f>IF(AND(H1665="Realizado",OR(L1665="",M1665="")),1,0)</f>
        <v>0</v>
      </c>
    </row>
    <row r="1666">
      <c r="A1666" s="43" t="n"/>
      <c r="B1666" s="44" t="n"/>
      <c r="C1666" s="38" t="n"/>
      <c r="D1666" s="38" t="n"/>
      <c r="E1666" s="37" t="n"/>
      <c r="F1666" s="38" t="n"/>
      <c r="G1666" s="38" t="n"/>
      <c r="H1666" s="38" t="n"/>
      <c r="I1666" s="38" t="n"/>
      <c r="J1666" s="38" t="n"/>
      <c r="K1666" s="37" t="n"/>
      <c r="L1666" s="39" t="n"/>
      <c r="M1666" s="40" t="n"/>
      <c r="N1666" s="30">
        <f>IF(A1666="","",MONTH(A1666))</f>
        <v/>
      </c>
      <c r="O1666" s="30">
        <f>IF(A1666="","",YEAR(A1666))</f>
        <v/>
      </c>
      <c r="P1666" s="30">
        <f>IF(A1666="","",CHOOSE(WEEKDAY(A1666,2),"Segunda","Terça","Quarta","Quinta","Sexta","Sábado","Domingo"))</f>
        <v/>
      </c>
      <c r="Q1666" s="30">
        <f>IF(B1666="","",IF(B1666&lt;TIME(12,0,0),"Manhã",IF(B1666&lt;TIME(18,0,0),"Tarde","Noite")))</f>
        <v/>
      </c>
      <c r="R1666" s="46">
        <f>IF(AND(H1666="Realizado",L1666&lt;&gt;"",A1666&lt;=Config!$B$9),L1666/60,0)</f>
        <v>0</v>
      </c>
      <c r="S1666" s="45">
        <f>IF(G1666="","",IFERROR(INDEX(Config!$K$5:$K$16,MATCH(G1666,Config!$J$5:$J$16,0)),""))</f>
        <v/>
      </c>
      <c r="T1666" s="31">
        <f>IF(OR(G1666="",F1666=""),"",IFERROR(INDEX(Config!$M$5:$R$16,MATCH(G1666,Config!$J$5:$J$16,0),MATCH(F1666,Config!$H$5:$H$10,0)),""))</f>
        <v/>
      </c>
      <c r="U1666" s="47">
        <f>IF(AND(H1666="Realizado",L1666&lt;&gt;""),L1666/60,0)</f>
        <v>0</v>
      </c>
      <c r="V1666" s="47">
        <f>IF(AND(H1666="Realizado",OR(L1666="",M1666="")),1,0)</f>
        <v>0</v>
      </c>
    </row>
    <row r="1667">
      <c r="A1667" s="43" t="n"/>
      <c r="B1667" s="44" t="n"/>
      <c r="C1667" s="38" t="n"/>
      <c r="D1667" s="38" t="n"/>
      <c r="E1667" s="37" t="n"/>
      <c r="F1667" s="38" t="n"/>
      <c r="G1667" s="38" t="n"/>
      <c r="H1667" s="38" t="n"/>
      <c r="I1667" s="38" t="n"/>
      <c r="J1667" s="38" t="n"/>
      <c r="K1667" s="37" t="n"/>
      <c r="L1667" s="39" t="n"/>
      <c r="M1667" s="40" t="n"/>
      <c r="N1667" s="30">
        <f>IF(A1667="","",MONTH(A1667))</f>
        <v/>
      </c>
      <c r="O1667" s="30">
        <f>IF(A1667="","",YEAR(A1667))</f>
        <v/>
      </c>
      <c r="P1667" s="30">
        <f>IF(A1667="","",CHOOSE(WEEKDAY(A1667,2),"Segunda","Terça","Quarta","Quinta","Sexta","Sábado","Domingo"))</f>
        <v/>
      </c>
      <c r="Q1667" s="30">
        <f>IF(B1667="","",IF(B1667&lt;TIME(12,0,0),"Manhã",IF(B1667&lt;TIME(18,0,0),"Tarde","Noite")))</f>
        <v/>
      </c>
      <c r="R1667" s="46">
        <f>IF(AND(H1667="Realizado",L1667&lt;&gt;"",A1667&lt;=Config!$B$9),L1667/60,0)</f>
        <v>0</v>
      </c>
      <c r="S1667" s="45">
        <f>IF(G1667="","",IFERROR(INDEX(Config!$K$5:$K$16,MATCH(G1667,Config!$J$5:$J$16,0)),""))</f>
        <v/>
      </c>
      <c r="T1667" s="31">
        <f>IF(OR(G1667="",F1667=""),"",IFERROR(INDEX(Config!$M$5:$R$16,MATCH(G1667,Config!$J$5:$J$16,0),MATCH(F1667,Config!$H$5:$H$10,0)),""))</f>
        <v/>
      </c>
      <c r="U1667" s="47">
        <f>IF(AND(H1667="Realizado",L1667&lt;&gt;""),L1667/60,0)</f>
        <v>0</v>
      </c>
      <c r="V1667" s="47">
        <f>IF(AND(H1667="Realizado",OR(L1667="",M1667="")),1,0)</f>
        <v>0</v>
      </c>
    </row>
    <row r="1668">
      <c r="A1668" s="43" t="n"/>
      <c r="B1668" s="44" t="n"/>
      <c r="C1668" s="38" t="n"/>
      <c r="D1668" s="38" t="n"/>
      <c r="E1668" s="37" t="n"/>
      <c r="F1668" s="38" t="n"/>
      <c r="G1668" s="38" t="n"/>
      <c r="H1668" s="38" t="n"/>
      <c r="I1668" s="38" t="n"/>
      <c r="J1668" s="38" t="n"/>
      <c r="K1668" s="37" t="n"/>
      <c r="L1668" s="39" t="n"/>
      <c r="M1668" s="40" t="n"/>
      <c r="N1668" s="30">
        <f>IF(A1668="","",MONTH(A1668))</f>
        <v/>
      </c>
      <c r="O1668" s="30">
        <f>IF(A1668="","",YEAR(A1668))</f>
        <v/>
      </c>
      <c r="P1668" s="30">
        <f>IF(A1668="","",CHOOSE(WEEKDAY(A1668,2),"Segunda","Terça","Quarta","Quinta","Sexta","Sábado","Domingo"))</f>
        <v/>
      </c>
      <c r="Q1668" s="30">
        <f>IF(B1668="","",IF(B1668&lt;TIME(12,0,0),"Manhã",IF(B1668&lt;TIME(18,0,0),"Tarde","Noite")))</f>
        <v/>
      </c>
      <c r="R1668" s="46">
        <f>IF(AND(H1668="Realizado",L1668&lt;&gt;"",A1668&lt;=Config!$B$9),L1668/60,0)</f>
        <v>0</v>
      </c>
      <c r="S1668" s="45">
        <f>IF(G1668="","",IFERROR(INDEX(Config!$K$5:$K$16,MATCH(G1668,Config!$J$5:$J$16,0)),""))</f>
        <v/>
      </c>
      <c r="T1668" s="31">
        <f>IF(OR(G1668="",F1668=""),"",IFERROR(INDEX(Config!$M$5:$R$16,MATCH(G1668,Config!$J$5:$J$16,0),MATCH(F1668,Config!$H$5:$H$10,0)),""))</f>
        <v/>
      </c>
      <c r="U1668" s="47">
        <f>IF(AND(H1668="Realizado",L1668&lt;&gt;""),L1668/60,0)</f>
        <v>0</v>
      </c>
      <c r="V1668" s="47">
        <f>IF(AND(H1668="Realizado",OR(L1668="",M1668="")),1,0)</f>
        <v>0</v>
      </c>
    </row>
    <row r="1669">
      <c r="A1669" s="43" t="n"/>
      <c r="B1669" s="44" t="n"/>
      <c r="C1669" s="38" t="n"/>
      <c r="D1669" s="38" t="n"/>
      <c r="E1669" s="37" t="n"/>
      <c r="F1669" s="38" t="n"/>
      <c r="G1669" s="38" t="n"/>
      <c r="H1669" s="38" t="n"/>
      <c r="I1669" s="38" t="n"/>
      <c r="J1669" s="38" t="n"/>
      <c r="K1669" s="37" t="n"/>
      <c r="L1669" s="39" t="n"/>
      <c r="M1669" s="40" t="n"/>
      <c r="N1669" s="30">
        <f>IF(A1669="","",MONTH(A1669))</f>
        <v/>
      </c>
      <c r="O1669" s="30">
        <f>IF(A1669="","",YEAR(A1669))</f>
        <v/>
      </c>
      <c r="P1669" s="30">
        <f>IF(A1669="","",CHOOSE(WEEKDAY(A1669,2),"Segunda","Terça","Quarta","Quinta","Sexta","Sábado","Domingo"))</f>
        <v/>
      </c>
      <c r="Q1669" s="30">
        <f>IF(B1669="","",IF(B1669&lt;TIME(12,0,0),"Manhã",IF(B1669&lt;TIME(18,0,0),"Tarde","Noite")))</f>
        <v/>
      </c>
      <c r="R1669" s="46">
        <f>IF(AND(H1669="Realizado",L1669&lt;&gt;"",A1669&lt;=Config!$B$9),L1669/60,0)</f>
        <v>0</v>
      </c>
      <c r="S1669" s="45">
        <f>IF(G1669="","",IFERROR(INDEX(Config!$K$5:$K$16,MATCH(G1669,Config!$J$5:$J$16,0)),""))</f>
        <v/>
      </c>
      <c r="T1669" s="31">
        <f>IF(OR(G1669="",F1669=""),"",IFERROR(INDEX(Config!$M$5:$R$16,MATCH(G1669,Config!$J$5:$J$16,0),MATCH(F1669,Config!$H$5:$H$10,0)),""))</f>
        <v/>
      </c>
      <c r="U1669" s="47">
        <f>IF(AND(H1669="Realizado",L1669&lt;&gt;""),L1669/60,0)</f>
        <v>0</v>
      </c>
      <c r="V1669" s="47">
        <f>IF(AND(H1669="Realizado",OR(L1669="",M1669="")),1,0)</f>
        <v>0</v>
      </c>
    </row>
    <row r="1670">
      <c r="A1670" s="43" t="n"/>
      <c r="B1670" s="44" t="n"/>
      <c r="C1670" s="38" t="n"/>
      <c r="D1670" s="38" t="n"/>
      <c r="E1670" s="37" t="n"/>
      <c r="F1670" s="38" t="n"/>
      <c r="G1670" s="38" t="n"/>
      <c r="H1670" s="38" t="n"/>
      <c r="I1670" s="38" t="n"/>
      <c r="J1670" s="38" t="n"/>
      <c r="K1670" s="37" t="n"/>
      <c r="L1670" s="39" t="n"/>
      <c r="M1670" s="40" t="n"/>
      <c r="N1670" s="30">
        <f>IF(A1670="","",MONTH(A1670))</f>
        <v/>
      </c>
      <c r="O1670" s="30">
        <f>IF(A1670="","",YEAR(A1670))</f>
        <v/>
      </c>
      <c r="P1670" s="30">
        <f>IF(A1670="","",CHOOSE(WEEKDAY(A1670,2),"Segunda","Terça","Quarta","Quinta","Sexta","Sábado","Domingo"))</f>
        <v/>
      </c>
      <c r="Q1670" s="30">
        <f>IF(B1670="","",IF(B1670&lt;TIME(12,0,0),"Manhã",IF(B1670&lt;TIME(18,0,0),"Tarde","Noite")))</f>
        <v/>
      </c>
      <c r="R1670" s="46">
        <f>IF(AND(H1670="Realizado",L1670&lt;&gt;"",A1670&lt;=Config!$B$9),L1670/60,0)</f>
        <v>0</v>
      </c>
      <c r="S1670" s="45">
        <f>IF(G1670="","",IFERROR(INDEX(Config!$K$5:$K$16,MATCH(G1670,Config!$J$5:$J$16,0)),""))</f>
        <v/>
      </c>
      <c r="T1670" s="31">
        <f>IF(OR(G1670="",F1670=""),"",IFERROR(INDEX(Config!$M$5:$R$16,MATCH(G1670,Config!$J$5:$J$16,0),MATCH(F1670,Config!$H$5:$H$10,0)),""))</f>
        <v/>
      </c>
      <c r="U1670" s="47">
        <f>IF(AND(H1670="Realizado",L1670&lt;&gt;""),L1670/60,0)</f>
        <v>0</v>
      </c>
      <c r="V1670" s="47">
        <f>IF(AND(H1670="Realizado",OR(L1670="",M1670="")),1,0)</f>
        <v>0</v>
      </c>
    </row>
    <row r="1671">
      <c r="A1671" s="43" t="n"/>
      <c r="B1671" s="44" t="n"/>
      <c r="C1671" s="38" t="n"/>
      <c r="D1671" s="38" t="n"/>
      <c r="E1671" s="37" t="n"/>
      <c r="F1671" s="38" t="n"/>
      <c r="G1671" s="38" t="n"/>
      <c r="H1671" s="38" t="n"/>
      <c r="I1671" s="38" t="n"/>
      <c r="J1671" s="38" t="n"/>
      <c r="K1671" s="37" t="n"/>
      <c r="L1671" s="39" t="n"/>
      <c r="M1671" s="40" t="n"/>
      <c r="N1671" s="30">
        <f>IF(A1671="","",MONTH(A1671))</f>
        <v/>
      </c>
      <c r="O1671" s="30">
        <f>IF(A1671="","",YEAR(A1671))</f>
        <v/>
      </c>
      <c r="P1671" s="30">
        <f>IF(A1671="","",CHOOSE(WEEKDAY(A1671,2),"Segunda","Terça","Quarta","Quinta","Sexta","Sábado","Domingo"))</f>
        <v/>
      </c>
      <c r="Q1671" s="30">
        <f>IF(B1671="","",IF(B1671&lt;TIME(12,0,0),"Manhã",IF(B1671&lt;TIME(18,0,0),"Tarde","Noite")))</f>
        <v/>
      </c>
      <c r="R1671" s="46">
        <f>IF(AND(H1671="Realizado",L1671&lt;&gt;"",A1671&lt;=Config!$B$9),L1671/60,0)</f>
        <v>0</v>
      </c>
      <c r="S1671" s="45">
        <f>IF(G1671="","",IFERROR(INDEX(Config!$K$5:$K$16,MATCH(G1671,Config!$J$5:$J$16,0)),""))</f>
        <v/>
      </c>
      <c r="T1671" s="31">
        <f>IF(OR(G1671="",F1671=""),"",IFERROR(INDEX(Config!$M$5:$R$16,MATCH(G1671,Config!$J$5:$J$16,0),MATCH(F1671,Config!$H$5:$H$10,0)),""))</f>
        <v/>
      </c>
      <c r="U1671" s="47">
        <f>IF(AND(H1671="Realizado",L1671&lt;&gt;""),L1671/60,0)</f>
        <v>0</v>
      </c>
      <c r="V1671" s="47">
        <f>IF(AND(H1671="Realizado",OR(L1671="",M1671="")),1,0)</f>
        <v>0</v>
      </c>
    </row>
    <row r="1672">
      <c r="A1672" s="43" t="n"/>
      <c r="B1672" s="44" t="n"/>
      <c r="C1672" s="38" t="n"/>
      <c r="D1672" s="38" t="n"/>
      <c r="E1672" s="37" t="n"/>
      <c r="F1672" s="38" t="n"/>
      <c r="G1672" s="38" t="n"/>
      <c r="H1672" s="38" t="n"/>
      <c r="I1672" s="38" t="n"/>
      <c r="J1672" s="38" t="n"/>
      <c r="K1672" s="37" t="n"/>
      <c r="L1672" s="39" t="n"/>
      <c r="M1672" s="40" t="n"/>
      <c r="N1672" s="30">
        <f>IF(A1672="","",MONTH(A1672))</f>
        <v/>
      </c>
      <c r="O1672" s="30">
        <f>IF(A1672="","",YEAR(A1672))</f>
        <v/>
      </c>
      <c r="P1672" s="30">
        <f>IF(A1672="","",CHOOSE(WEEKDAY(A1672,2),"Segunda","Terça","Quarta","Quinta","Sexta","Sábado","Domingo"))</f>
        <v/>
      </c>
      <c r="Q1672" s="30">
        <f>IF(B1672="","",IF(B1672&lt;TIME(12,0,0),"Manhã",IF(B1672&lt;TIME(18,0,0),"Tarde","Noite")))</f>
        <v/>
      </c>
      <c r="R1672" s="46">
        <f>IF(AND(H1672="Realizado",L1672&lt;&gt;"",A1672&lt;=Config!$B$9),L1672/60,0)</f>
        <v>0</v>
      </c>
      <c r="S1672" s="45">
        <f>IF(G1672="","",IFERROR(INDEX(Config!$K$5:$K$16,MATCH(G1672,Config!$J$5:$J$16,0)),""))</f>
        <v/>
      </c>
      <c r="T1672" s="31">
        <f>IF(OR(G1672="",F1672=""),"",IFERROR(INDEX(Config!$M$5:$R$16,MATCH(G1672,Config!$J$5:$J$16,0),MATCH(F1672,Config!$H$5:$H$10,0)),""))</f>
        <v/>
      </c>
      <c r="U1672" s="47">
        <f>IF(AND(H1672="Realizado",L1672&lt;&gt;""),L1672/60,0)</f>
        <v>0</v>
      </c>
      <c r="V1672" s="47">
        <f>IF(AND(H1672="Realizado",OR(L1672="",M1672="")),1,0)</f>
        <v>0</v>
      </c>
    </row>
    <row r="1673">
      <c r="A1673" s="43" t="n"/>
      <c r="B1673" s="44" t="n"/>
      <c r="C1673" s="38" t="n"/>
      <c r="D1673" s="38" t="n"/>
      <c r="E1673" s="37" t="n"/>
      <c r="F1673" s="38" t="n"/>
      <c r="G1673" s="38" t="n"/>
      <c r="H1673" s="38" t="n"/>
      <c r="I1673" s="38" t="n"/>
      <c r="J1673" s="38" t="n"/>
      <c r="K1673" s="37" t="n"/>
      <c r="L1673" s="39" t="n"/>
      <c r="M1673" s="40" t="n"/>
      <c r="N1673" s="30">
        <f>IF(A1673="","",MONTH(A1673))</f>
        <v/>
      </c>
      <c r="O1673" s="30">
        <f>IF(A1673="","",YEAR(A1673))</f>
        <v/>
      </c>
      <c r="P1673" s="30">
        <f>IF(A1673="","",CHOOSE(WEEKDAY(A1673,2),"Segunda","Terça","Quarta","Quinta","Sexta","Sábado","Domingo"))</f>
        <v/>
      </c>
      <c r="Q1673" s="30">
        <f>IF(B1673="","",IF(B1673&lt;TIME(12,0,0),"Manhã",IF(B1673&lt;TIME(18,0,0),"Tarde","Noite")))</f>
        <v/>
      </c>
      <c r="R1673" s="46">
        <f>IF(AND(H1673="Realizado",L1673&lt;&gt;"",A1673&lt;=Config!$B$9),L1673/60,0)</f>
        <v>0</v>
      </c>
      <c r="S1673" s="45">
        <f>IF(G1673="","",IFERROR(INDEX(Config!$K$5:$K$16,MATCH(G1673,Config!$J$5:$J$16,0)),""))</f>
        <v/>
      </c>
      <c r="T1673" s="31">
        <f>IF(OR(G1673="",F1673=""),"",IFERROR(INDEX(Config!$M$5:$R$16,MATCH(G1673,Config!$J$5:$J$16,0),MATCH(F1673,Config!$H$5:$H$10,0)),""))</f>
        <v/>
      </c>
      <c r="U1673" s="47">
        <f>IF(AND(H1673="Realizado",L1673&lt;&gt;""),L1673/60,0)</f>
        <v>0</v>
      </c>
      <c r="V1673" s="47">
        <f>IF(AND(H1673="Realizado",OR(L1673="",M1673="")),1,0)</f>
        <v>0</v>
      </c>
    </row>
    <row r="1674">
      <c r="A1674" s="43" t="n"/>
      <c r="B1674" s="44" t="n"/>
      <c r="C1674" s="38" t="n"/>
      <c r="D1674" s="38" t="n"/>
      <c r="E1674" s="37" t="n"/>
      <c r="F1674" s="38" t="n"/>
      <c r="G1674" s="38" t="n"/>
      <c r="H1674" s="38" t="n"/>
      <c r="I1674" s="38" t="n"/>
      <c r="J1674" s="38" t="n"/>
      <c r="K1674" s="37" t="n"/>
      <c r="L1674" s="39" t="n"/>
      <c r="M1674" s="40" t="n"/>
      <c r="N1674" s="30">
        <f>IF(A1674="","",MONTH(A1674))</f>
        <v/>
      </c>
      <c r="O1674" s="30">
        <f>IF(A1674="","",YEAR(A1674))</f>
        <v/>
      </c>
      <c r="P1674" s="30">
        <f>IF(A1674="","",CHOOSE(WEEKDAY(A1674,2),"Segunda","Terça","Quarta","Quinta","Sexta","Sábado","Domingo"))</f>
        <v/>
      </c>
      <c r="Q1674" s="30">
        <f>IF(B1674="","",IF(B1674&lt;TIME(12,0,0),"Manhã",IF(B1674&lt;TIME(18,0,0),"Tarde","Noite")))</f>
        <v/>
      </c>
      <c r="R1674" s="46">
        <f>IF(AND(H1674="Realizado",L1674&lt;&gt;"",A1674&lt;=Config!$B$9),L1674/60,0)</f>
        <v>0</v>
      </c>
      <c r="S1674" s="45">
        <f>IF(G1674="","",IFERROR(INDEX(Config!$K$5:$K$16,MATCH(G1674,Config!$J$5:$J$16,0)),""))</f>
        <v/>
      </c>
      <c r="T1674" s="31">
        <f>IF(OR(G1674="",F1674=""),"",IFERROR(INDEX(Config!$M$5:$R$16,MATCH(G1674,Config!$J$5:$J$16,0),MATCH(F1674,Config!$H$5:$H$10,0)),""))</f>
        <v/>
      </c>
      <c r="U1674" s="47">
        <f>IF(AND(H1674="Realizado",L1674&lt;&gt;""),L1674/60,0)</f>
        <v>0</v>
      </c>
      <c r="V1674" s="47">
        <f>IF(AND(H1674="Realizado",OR(L1674="",M1674="")),1,0)</f>
        <v>0</v>
      </c>
    </row>
    <row r="1675">
      <c r="A1675" s="43" t="n"/>
      <c r="B1675" s="44" t="n"/>
      <c r="C1675" s="38" t="n"/>
      <c r="D1675" s="38" t="n"/>
      <c r="E1675" s="37" t="n"/>
      <c r="F1675" s="38" t="n"/>
      <c r="G1675" s="38" t="n"/>
      <c r="H1675" s="38" t="n"/>
      <c r="I1675" s="38" t="n"/>
      <c r="J1675" s="38" t="n"/>
      <c r="K1675" s="37" t="n"/>
      <c r="L1675" s="39" t="n"/>
      <c r="M1675" s="40" t="n"/>
      <c r="N1675" s="30">
        <f>IF(A1675="","",MONTH(A1675))</f>
        <v/>
      </c>
      <c r="O1675" s="30">
        <f>IF(A1675="","",YEAR(A1675))</f>
        <v/>
      </c>
      <c r="P1675" s="30">
        <f>IF(A1675="","",CHOOSE(WEEKDAY(A1675,2),"Segunda","Terça","Quarta","Quinta","Sexta","Sábado","Domingo"))</f>
        <v/>
      </c>
      <c r="Q1675" s="30">
        <f>IF(B1675="","",IF(B1675&lt;TIME(12,0,0),"Manhã",IF(B1675&lt;TIME(18,0,0),"Tarde","Noite")))</f>
        <v/>
      </c>
      <c r="R1675" s="46">
        <f>IF(AND(H1675="Realizado",L1675&lt;&gt;"",A1675&lt;=Config!$B$9),L1675/60,0)</f>
        <v>0</v>
      </c>
      <c r="S1675" s="45">
        <f>IF(G1675="","",IFERROR(INDEX(Config!$K$5:$K$16,MATCH(G1675,Config!$J$5:$J$16,0)),""))</f>
        <v/>
      </c>
      <c r="T1675" s="31">
        <f>IF(OR(G1675="",F1675=""),"",IFERROR(INDEX(Config!$M$5:$R$16,MATCH(G1675,Config!$J$5:$J$16,0),MATCH(F1675,Config!$H$5:$H$10,0)),""))</f>
        <v/>
      </c>
      <c r="U1675" s="47">
        <f>IF(AND(H1675="Realizado",L1675&lt;&gt;""),L1675/60,0)</f>
        <v>0</v>
      </c>
      <c r="V1675" s="47">
        <f>IF(AND(H1675="Realizado",OR(L1675="",M1675="")),1,0)</f>
        <v>0</v>
      </c>
    </row>
    <row r="1676">
      <c r="A1676" s="43" t="n"/>
      <c r="B1676" s="44" t="n"/>
      <c r="C1676" s="38" t="n"/>
      <c r="D1676" s="38" t="n"/>
      <c r="E1676" s="37" t="n"/>
      <c r="F1676" s="38" t="n"/>
      <c r="G1676" s="38" t="n"/>
      <c r="H1676" s="38" t="n"/>
      <c r="I1676" s="38" t="n"/>
      <c r="J1676" s="38" t="n"/>
      <c r="K1676" s="37" t="n"/>
      <c r="L1676" s="39" t="n"/>
      <c r="M1676" s="40" t="n"/>
      <c r="N1676" s="30">
        <f>IF(A1676="","",MONTH(A1676))</f>
        <v/>
      </c>
      <c r="O1676" s="30">
        <f>IF(A1676="","",YEAR(A1676))</f>
        <v/>
      </c>
      <c r="P1676" s="30">
        <f>IF(A1676="","",CHOOSE(WEEKDAY(A1676,2),"Segunda","Terça","Quarta","Quinta","Sexta","Sábado","Domingo"))</f>
        <v/>
      </c>
      <c r="Q1676" s="30">
        <f>IF(B1676="","",IF(B1676&lt;TIME(12,0,0),"Manhã",IF(B1676&lt;TIME(18,0,0),"Tarde","Noite")))</f>
        <v/>
      </c>
      <c r="R1676" s="46">
        <f>IF(AND(H1676="Realizado",L1676&lt;&gt;"",A1676&lt;=Config!$B$9),L1676/60,0)</f>
        <v>0</v>
      </c>
      <c r="S1676" s="45">
        <f>IF(G1676="","",IFERROR(INDEX(Config!$K$5:$K$16,MATCH(G1676,Config!$J$5:$J$16,0)),""))</f>
        <v/>
      </c>
      <c r="T1676" s="31">
        <f>IF(OR(G1676="",F1676=""),"",IFERROR(INDEX(Config!$M$5:$R$16,MATCH(G1676,Config!$J$5:$J$16,0),MATCH(F1676,Config!$H$5:$H$10,0)),""))</f>
        <v/>
      </c>
      <c r="U1676" s="47">
        <f>IF(AND(H1676="Realizado",L1676&lt;&gt;""),L1676/60,0)</f>
        <v>0</v>
      </c>
      <c r="V1676" s="47">
        <f>IF(AND(H1676="Realizado",OR(L1676="",M1676="")),1,0)</f>
        <v>0</v>
      </c>
    </row>
    <row r="1677">
      <c r="A1677" s="43" t="n"/>
      <c r="B1677" s="44" t="n"/>
      <c r="C1677" s="38" t="n"/>
      <c r="D1677" s="38" t="n"/>
      <c r="E1677" s="37" t="n"/>
      <c r="F1677" s="38" t="n"/>
      <c r="G1677" s="38" t="n"/>
      <c r="H1677" s="38" t="n"/>
      <c r="I1677" s="38" t="n"/>
      <c r="J1677" s="38" t="n"/>
      <c r="K1677" s="37" t="n"/>
      <c r="L1677" s="39" t="n"/>
      <c r="M1677" s="40" t="n"/>
      <c r="N1677" s="30">
        <f>IF(A1677="","",MONTH(A1677))</f>
        <v/>
      </c>
      <c r="O1677" s="30">
        <f>IF(A1677="","",YEAR(A1677))</f>
        <v/>
      </c>
      <c r="P1677" s="30">
        <f>IF(A1677="","",CHOOSE(WEEKDAY(A1677,2),"Segunda","Terça","Quarta","Quinta","Sexta","Sábado","Domingo"))</f>
        <v/>
      </c>
      <c r="Q1677" s="30">
        <f>IF(B1677="","",IF(B1677&lt;TIME(12,0,0),"Manhã",IF(B1677&lt;TIME(18,0,0),"Tarde","Noite")))</f>
        <v/>
      </c>
      <c r="R1677" s="46">
        <f>IF(AND(H1677="Realizado",L1677&lt;&gt;"",A1677&lt;=Config!$B$9),L1677/60,0)</f>
        <v>0</v>
      </c>
      <c r="S1677" s="45">
        <f>IF(G1677="","",IFERROR(INDEX(Config!$K$5:$K$16,MATCH(G1677,Config!$J$5:$J$16,0)),""))</f>
        <v/>
      </c>
      <c r="T1677" s="31">
        <f>IF(OR(G1677="",F1677=""),"",IFERROR(INDEX(Config!$M$5:$R$16,MATCH(G1677,Config!$J$5:$J$16,0),MATCH(F1677,Config!$H$5:$H$10,0)),""))</f>
        <v/>
      </c>
      <c r="U1677" s="47">
        <f>IF(AND(H1677="Realizado",L1677&lt;&gt;""),L1677/60,0)</f>
        <v>0</v>
      </c>
      <c r="V1677" s="47">
        <f>IF(AND(H1677="Realizado",OR(L1677="",M1677="")),1,0)</f>
        <v>0</v>
      </c>
    </row>
    <row r="1678">
      <c r="A1678" s="43" t="n"/>
      <c r="B1678" s="44" t="n"/>
      <c r="C1678" s="38" t="n"/>
      <c r="D1678" s="38" t="n"/>
      <c r="E1678" s="37" t="n"/>
      <c r="F1678" s="38" t="n"/>
      <c r="G1678" s="38" t="n"/>
      <c r="H1678" s="38" t="n"/>
      <c r="I1678" s="38" t="n"/>
      <c r="J1678" s="38" t="n"/>
      <c r="K1678" s="37" t="n"/>
      <c r="L1678" s="39" t="n"/>
      <c r="M1678" s="40" t="n"/>
      <c r="N1678" s="30">
        <f>IF(A1678="","",MONTH(A1678))</f>
        <v/>
      </c>
      <c r="O1678" s="30">
        <f>IF(A1678="","",YEAR(A1678))</f>
        <v/>
      </c>
      <c r="P1678" s="30">
        <f>IF(A1678="","",CHOOSE(WEEKDAY(A1678,2),"Segunda","Terça","Quarta","Quinta","Sexta","Sábado","Domingo"))</f>
        <v/>
      </c>
      <c r="Q1678" s="30">
        <f>IF(B1678="","",IF(B1678&lt;TIME(12,0,0),"Manhã",IF(B1678&lt;TIME(18,0,0),"Tarde","Noite")))</f>
        <v/>
      </c>
      <c r="R1678" s="46">
        <f>IF(AND(H1678="Realizado",L1678&lt;&gt;"",A1678&lt;=Config!$B$9),L1678/60,0)</f>
        <v>0</v>
      </c>
      <c r="S1678" s="45">
        <f>IF(G1678="","",IFERROR(INDEX(Config!$K$5:$K$16,MATCH(G1678,Config!$J$5:$J$16,0)),""))</f>
        <v/>
      </c>
      <c r="T1678" s="31">
        <f>IF(OR(G1678="",F1678=""),"",IFERROR(INDEX(Config!$M$5:$R$16,MATCH(G1678,Config!$J$5:$J$16,0),MATCH(F1678,Config!$H$5:$H$10,0)),""))</f>
        <v/>
      </c>
      <c r="U1678" s="47">
        <f>IF(AND(H1678="Realizado",L1678&lt;&gt;""),L1678/60,0)</f>
        <v>0</v>
      </c>
      <c r="V1678" s="47">
        <f>IF(AND(H1678="Realizado",OR(L1678="",M1678="")),1,0)</f>
        <v>0</v>
      </c>
    </row>
    <row r="1679">
      <c r="A1679" s="43" t="n"/>
      <c r="B1679" s="44" t="n"/>
      <c r="C1679" s="38" t="n"/>
      <c r="D1679" s="38" t="n"/>
      <c r="E1679" s="37" t="n"/>
      <c r="F1679" s="38" t="n"/>
      <c r="G1679" s="38" t="n"/>
      <c r="H1679" s="38" t="n"/>
      <c r="I1679" s="38" t="n"/>
      <c r="J1679" s="38" t="n"/>
      <c r="K1679" s="37" t="n"/>
      <c r="L1679" s="39" t="n"/>
      <c r="M1679" s="40" t="n"/>
      <c r="N1679" s="30">
        <f>IF(A1679="","",MONTH(A1679))</f>
        <v/>
      </c>
      <c r="O1679" s="30">
        <f>IF(A1679="","",YEAR(A1679))</f>
        <v/>
      </c>
      <c r="P1679" s="30">
        <f>IF(A1679="","",CHOOSE(WEEKDAY(A1679,2),"Segunda","Terça","Quarta","Quinta","Sexta","Sábado","Domingo"))</f>
        <v/>
      </c>
      <c r="Q1679" s="30">
        <f>IF(B1679="","",IF(B1679&lt;TIME(12,0,0),"Manhã",IF(B1679&lt;TIME(18,0,0),"Tarde","Noite")))</f>
        <v/>
      </c>
      <c r="R1679" s="46">
        <f>IF(AND(H1679="Realizado",L1679&lt;&gt;"",A1679&lt;=Config!$B$9),L1679/60,0)</f>
        <v>0</v>
      </c>
      <c r="S1679" s="45">
        <f>IF(G1679="","",IFERROR(INDEX(Config!$K$5:$K$16,MATCH(G1679,Config!$J$5:$J$16,0)),""))</f>
        <v/>
      </c>
      <c r="T1679" s="31">
        <f>IF(OR(G1679="",F1679=""),"",IFERROR(INDEX(Config!$M$5:$R$16,MATCH(G1679,Config!$J$5:$J$16,0),MATCH(F1679,Config!$H$5:$H$10,0)),""))</f>
        <v/>
      </c>
      <c r="U1679" s="47">
        <f>IF(AND(H1679="Realizado",L1679&lt;&gt;""),L1679/60,0)</f>
        <v>0</v>
      </c>
      <c r="V1679" s="47">
        <f>IF(AND(H1679="Realizado",OR(L1679="",M1679="")),1,0)</f>
        <v>0</v>
      </c>
    </row>
    <row r="1680">
      <c r="A1680" s="43" t="n"/>
      <c r="B1680" s="44" t="n"/>
      <c r="C1680" s="38" t="n"/>
      <c r="D1680" s="38" t="n"/>
      <c r="E1680" s="37" t="n"/>
      <c r="F1680" s="38" t="n"/>
      <c r="G1680" s="38" t="n"/>
      <c r="H1680" s="38" t="n"/>
      <c r="I1680" s="38" t="n"/>
      <c r="J1680" s="38" t="n"/>
      <c r="K1680" s="37" t="n"/>
      <c r="L1680" s="39" t="n"/>
      <c r="M1680" s="40" t="n"/>
      <c r="N1680" s="30">
        <f>IF(A1680="","",MONTH(A1680))</f>
        <v/>
      </c>
      <c r="O1680" s="30">
        <f>IF(A1680="","",YEAR(A1680))</f>
        <v/>
      </c>
      <c r="P1680" s="30">
        <f>IF(A1680="","",CHOOSE(WEEKDAY(A1680,2),"Segunda","Terça","Quarta","Quinta","Sexta","Sábado","Domingo"))</f>
        <v/>
      </c>
      <c r="Q1680" s="30">
        <f>IF(B1680="","",IF(B1680&lt;TIME(12,0,0),"Manhã",IF(B1680&lt;TIME(18,0,0),"Tarde","Noite")))</f>
        <v/>
      </c>
      <c r="R1680" s="46">
        <f>IF(AND(H1680="Realizado",L1680&lt;&gt;"",A1680&lt;=Config!$B$9),L1680/60,0)</f>
        <v>0</v>
      </c>
      <c r="S1680" s="45">
        <f>IF(G1680="","",IFERROR(INDEX(Config!$K$5:$K$16,MATCH(G1680,Config!$J$5:$J$16,0)),""))</f>
        <v/>
      </c>
      <c r="T1680" s="31">
        <f>IF(OR(G1680="",F1680=""),"",IFERROR(INDEX(Config!$M$5:$R$16,MATCH(G1680,Config!$J$5:$J$16,0),MATCH(F1680,Config!$H$5:$H$10,0)),""))</f>
        <v/>
      </c>
      <c r="U1680" s="47">
        <f>IF(AND(H1680="Realizado",L1680&lt;&gt;""),L1680/60,0)</f>
        <v>0</v>
      </c>
      <c r="V1680" s="47">
        <f>IF(AND(H1680="Realizado",OR(L1680="",M1680="")),1,0)</f>
        <v>0</v>
      </c>
    </row>
    <row r="1681">
      <c r="A1681" s="43" t="n"/>
      <c r="B1681" s="44" t="n"/>
      <c r="C1681" s="38" t="n"/>
      <c r="D1681" s="38" t="n"/>
      <c r="E1681" s="37" t="n"/>
      <c r="F1681" s="38" t="n"/>
      <c r="G1681" s="38" t="n"/>
      <c r="H1681" s="38" t="n"/>
      <c r="I1681" s="38" t="n"/>
      <c r="J1681" s="38" t="n"/>
      <c r="K1681" s="37" t="n"/>
      <c r="L1681" s="39" t="n"/>
      <c r="M1681" s="40" t="n"/>
      <c r="N1681" s="30">
        <f>IF(A1681="","",MONTH(A1681))</f>
        <v/>
      </c>
      <c r="O1681" s="30">
        <f>IF(A1681="","",YEAR(A1681))</f>
        <v/>
      </c>
      <c r="P1681" s="30">
        <f>IF(A1681="","",CHOOSE(WEEKDAY(A1681,2),"Segunda","Terça","Quarta","Quinta","Sexta","Sábado","Domingo"))</f>
        <v/>
      </c>
      <c r="Q1681" s="30">
        <f>IF(B1681="","",IF(B1681&lt;TIME(12,0,0),"Manhã",IF(B1681&lt;TIME(18,0,0),"Tarde","Noite")))</f>
        <v/>
      </c>
      <c r="R1681" s="46">
        <f>IF(AND(H1681="Realizado",L1681&lt;&gt;"",A1681&lt;=Config!$B$9),L1681/60,0)</f>
        <v>0</v>
      </c>
      <c r="S1681" s="45">
        <f>IF(G1681="","",IFERROR(INDEX(Config!$K$5:$K$16,MATCH(G1681,Config!$J$5:$J$16,0)),""))</f>
        <v/>
      </c>
      <c r="T1681" s="31">
        <f>IF(OR(G1681="",F1681=""),"",IFERROR(INDEX(Config!$M$5:$R$16,MATCH(G1681,Config!$J$5:$J$16,0),MATCH(F1681,Config!$H$5:$H$10,0)),""))</f>
        <v/>
      </c>
      <c r="U1681" s="47">
        <f>IF(AND(H1681="Realizado",L1681&lt;&gt;""),L1681/60,0)</f>
        <v>0</v>
      </c>
      <c r="V1681" s="47">
        <f>IF(AND(H1681="Realizado",OR(L1681="",M1681="")),1,0)</f>
        <v>0</v>
      </c>
    </row>
    <row r="1682">
      <c r="A1682" s="43" t="n"/>
      <c r="B1682" s="44" t="n"/>
      <c r="C1682" s="38" t="n"/>
      <c r="D1682" s="38" t="n"/>
      <c r="E1682" s="37" t="n"/>
      <c r="F1682" s="38" t="n"/>
      <c r="G1682" s="38" t="n"/>
      <c r="H1682" s="38" t="n"/>
      <c r="I1682" s="38" t="n"/>
      <c r="J1682" s="38" t="n"/>
      <c r="K1682" s="37" t="n"/>
      <c r="L1682" s="39" t="n"/>
      <c r="M1682" s="40" t="n"/>
      <c r="N1682" s="30">
        <f>IF(A1682="","",MONTH(A1682))</f>
        <v/>
      </c>
      <c r="O1682" s="30">
        <f>IF(A1682="","",YEAR(A1682))</f>
        <v/>
      </c>
      <c r="P1682" s="30">
        <f>IF(A1682="","",CHOOSE(WEEKDAY(A1682,2),"Segunda","Terça","Quarta","Quinta","Sexta","Sábado","Domingo"))</f>
        <v/>
      </c>
      <c r="Q1682" s="30">
        <f>IF(B1682="","",IF(B1682&lt;TIME(12,0,0),"Manhã",IF(B1682&lt;TIME(18,0,0),"Tarde","Noite")))</f>
        <v/>
      </c>
      <c r="R1682" s="46">
        <f>IF(AND(H1682="Realizado",L1682&lt;&gt;"",A1682&lt;=Config!$B$9),L1682/60,0)</f>
        <v>0</v>
      </c>
      <c r="S1682" s="45">
        <f>IF(G1682="","",IFERROR(INDEX(Config!$K$5:$K$16,MATCH(G1682,Config!$J$5:$J$16,0)),""))</f>
        <v/>
      </c>
      <c r="T1682" s="31">
        <f>IF(OR(G1682="",F1682=""),"",IFERROR(INDEX(Config!$M$5:$R$16,MATCH(G1682,Config!$J$5:$J$16,0),MATCH(F1682,Config!$H$5:$H$10,0)),""))</f>
        <v/>
      </c>
      <c r="U1682" s="47">
        <f>IF(AND(H1682="Realizado",L1682&lt;&gt;""),L1682/60,0)</f>
        <v>0</v>
      </c>
      <c r="V1682" s="47">
        <f>IF(AND(H1682="Realizado",OR(L1682="",M1682="")),1,0)</f>
        <v>0</v>
      </c>
    </row>
    <row r="1683">
      <c r="A1683" s="43" t="n"/>
      <c r="B1683" s="44" t="n"/>
      <c r="C1683" s="38" t="n"/>
      <c r="D1683" s="38" t="n"/>
      <c r="E1683" s="37" t="n"/>
      <c r="F1683" s="38" t="n"/>
      <c r="G1683" s="38" t="n"/>
      <c r="H1683" s="38" t="n"/>
      <c r="I1683" s="38" t="n"/>
      <c r="J1683" s="38" t="n"/>
      <c r="K1683" s="37" t="n"/>
      <c r="L1683" s="39" t="n"/>
      <c r="M1683" s="40" t="n"/>
      <c r="N1683" s="30">
        <f>IF(A1683="","",MONTH(A1683))</f>
        <v/>
      </c>
      <c r="O1683" s="30">
        <f>IF(A1683="","",YEAR(A1683))</f>
        <v/>
      </c>
      <c r="P1683" s="30">
        <f>IF(A1683="","",CHOOSE(WEEKDAY(A1683,2),"Segunda","Terça","Quarta","Quinta","Sexta","Sábado","Domingo"))</f>
        <v/>
      </c>
      <c r="Q1683" s="30">
        <f>IF(B1683="","",IF(B1683&lt;TIME(12,0,0),"Manhã",IF(B1683&lt;TIME(18,0,0),"Tarde","Noite")))</f>
        <v/>
      </c>
      <c r="R1683" s="46">
        <f>IF(AND(H1683="Realizado",L1683&lt;&gt;"",A1683&lt;=Config!$B$9),L1683/60,0)</f>
        <v>0</v>
      </c>
      <c r="S1683" s="45">
        <f>IF(G1683="","",IFERROR(INDEX(Config!$K$5:$K$16,MATCH(G1683,Config!$J$5:$J$16,0)),""))</f>
        <v/>
      </c>
      <c r="T1683" s="31">
        <f>IF(OR(G1683="",F1683=""),"",IFERROR(INDEX(Config!$M$5:$R$16,MATCH(G1683,Config!$J$5:$J$16,0),MATCH(F1683,Config!$H$5:$H$10,0)),""))</f>
        <v/>
      </c>
      <c r="U1683" s="47">
        <f>IF(AND(H1683="Realizado",L1683&lt;&gt;""),L1683/60,0)</f>
        <v>0</v>
      </c>
      <c r="V1683" s="47">
        <f>IF(AND(H1683="Realizado",OR(L1683="",M1683="")),1,0)</f>
        <v>0</v>
      </c>
    </row>
    <row r="1684">
      <c r="A1684" s="43" t="n"/>
      <c r="B1684" s="44" t="n"/>
      <c r="C1684" s="38" t="n"/>
      <c r="D1684" s="38" t="n"/>
      <c r="E1684" s="37" t="n"/>
      <c r="F1684" s="38" t="n"/>
      <c r="G1684" s="38" t="n"/>
      <c r="H1684" s="38" t="n"/>
      <c r="I1684" s="38" t="n"/>
      <c r="J1684" s="38" t="n"/>
      <c r="K1684" s="37" t="n"/>
      <c r="L1684" s="39" t="n"/>
      <c r="M1684" s="40" t="n"/>
      <c r="N1684" s="30">
        <f>IF(A1684="","",MONTH(A1684))</f>
        <v/>
      </c>
      <c r="O1684" s="30">
        <f>IF(A1684="","",YEAR(A1684))</f>
        <v/>
      </c>
      <c r="P1684" s="30">
        <f>IF(A1684="","",CHOOSE(WEEKDAY(A1684,2),"Segunda","Terça","Quarta","Quinta","Sexta","Sábado","Domingo"))</f>
        <v/>
      </c>
      <c r="Q1684" s="30">
        <f>IF(B1684="","",IF(B1684&lt;TIME(12,0,0),"Manhã",IF(B1684&lt;TIME(18,0,0),"Tarde","Noite")))</f>
        <v/>
      </c>
      <c r="R1684" s="46">
        <f>IF(AND(H1684="Realizado",L1684&lt;&gt;"",A1684&lt;=Config!$B$9),L1684/60,0)</f>
        <v>0</v>
      </c>
      <c r="S1684" s="45">
        <f>IF(G1684="","",IFERROR(INDEX(Config!$K$5:$K$16,MATCH(G1684,Config!$J$5:$J$16,0)),""))</f>
        <v/>
      </c>
      <c r="T1684" s="31">
        <f>IF(OR(G1684="",F1684=""),"",IFERROR(INDEX(Config!$M$5:$R$16,MATCH(G1684,Config!$J$5:$J$16,0),MATCH(F1684,Config!$H$5:$H$10,0)),""))</f>
        <v/>
      </c>
      <c r="U1684" s="47">
        <f>IF(AND(H1684="Realizado",L1684&lt;&gt;""),L1684/60,0)</f>
        <v>0</v>
      </c>
      <c r="V1684" s="47">
        <f>IF(AND(H1684="Realizado",OR(L1684="",M1684="")),1,0)</f>
        <v>0</v>
      </c>
    </row>
    <row r="1685">
      <c r="A1685" s="43" t="n"/>
      <c r="B1685" s="44" t="n"/>
      <c r="C1685" s="38" t="n"/>
      <c r="D1685" s="38" t="n"/>
      <c r="E1685" s="37" t="n"/>
      <c r="F1685" s="38" t="n"/>
      <c r="G1685" s="38" t="n"/>
      <c r="H1685" s="38" t="n"/>
      <c r="I1685" s="38" t="n"/>
      <c r="J1685" s="38" t="n"/>
      <c r="K1685" s="37" t="n"/>
      <c r="L1685" s="39" t="n"/>
      <c r="M1685" s="40" t="n"/>
      <c r="N1685" s="30">
        <f>IF(A1685="","",MONTH(A1685))</f>
        <v/>
      </c>
      <c r="O1685" s="30">
        <f>IF(A1685="","",YEAR(A1685))</f>
        <v/>
      </c>
      <c r="P1685" s="30">
        <f>IF(A1685="","",CHOOSE(WEEKDAY(A1685,2),"Segunda","Terça","Quarta","Quinta","Sexta","Sábado","Domingo"))</f>
        <v/>
      </c>
      <c r="Q1685" s="30">
        <f>IF(B1685="","",IF(B1685&lt;TIME(12,0,0),"Manhã",IF(B1685&lt;TIME(18,0,0),"Tarde","Noite")))</f>
        <v/>
      </c>
      <c r="R1685" s="46">
        <f>IF(AND(H1685="Realizado",L1685&lt;&gt;"",A1685&lt;=Config!$B$9),L1685/60,0)</f>
        <v>0</v>
      </c>
      <c r="S1685" s="45">
        <f>IF(G1685="","",IFERROR(INDEX(Config!$K$5:$K$16,MATCH(G1685,Config!$J$5:$J$16,0)),""))</f>
        <v/>
      </c>
      <c r="T1685" s="31">
        <f>IF(OR(G1685="",F1685=""),"",IFERROR(INDEX(Config!$M$5:$R$16,MATCH(G1685,Config!$J$5:$J$16,0),MATCH(F1685,Config!$H$5:$H$10,0)),""))</f>
        <v/>
      </c>
      <c r="U1685" s="47">
        <f>IF(AND(H1685="Realizado",L1685&lt;&gt;""),L1685/60,0)</f>
        <v>0</v>
      </c>
      <c r="V1685" s="47">
        <f>IF(AND(H1685="Realizado",OR(L1685="",M1685="")),1,0)</f>
        <v>0</v>
      </c>
    </row>
    <row r="1686">
      <c r="A1686" s="43" t="n"/>
      <c r="B1686" s="44" t="n"/>
      <c r="C1686" s="38" t="n"/>
      <c r="D1686" s="38" t="n"/>
      <c r="E1686" s="37" t="n"/>
      <c r="F1686" s="38" t="n"/>
      <c r="G1686" s="38" t="n"/>
      <c r="H1686" s="38" t="n"/>
      <c r="I1686" s="38" t="n"/>
      <c r="J1686" s="38" t="n"/>
      <c r="K1686" s="37" t="n"/>
      <c r="L1686" s="39" t="n"/>
      <c r="M1686" s="40" t="n"/>
      <c r="N1686" s="30">
        <f>IF(A1686="","",MONTH(A1686))</f>
        <v/>
      </c>
      <c r="O1686" s="30">
        <f>IF(A1686="","",YEAR(A1686))</f>
        <v/>
      </c>
      <c r="P1686" s="30">
        <f>IF(A1686="","",CHOOSE(WEEKDAY(A1686,2),"Segunda","Terça","Quarta","Quinta","Sexta","Sábado","Domingo"))</f>
        <v/>
      </c>
      <c r="Q1686" s="30">
        <f>IF(B1686="","",IF(B1686&lt;TIME(12,0,0),"Manhã",IF(B1686&lt;TIME(18,0,0),"Tarde","Noite")))</f>
        <v/>
      </c>
      <c r="R1686" s="46">
        <f>IF(AND(H1686="Realizado",L1686&lt;&gt;"",A1686&lt;=Config!$B$9),L1686/60,0)</f>
        <v>0</v>
      </c>
      <c r="S1686" s="45">
        <f>IF(G1686="","",IFERROR(INDEX(Config!$K$5:$K$16,MATCH(G1686,Config!$J$5:$J$16,0)),""))</f>
        <v/>
      </c>
      <c r="T1686" s="31">
        <f>IF(OR(G1686="",F1686=""),"",IFERROR(INDEX(Config!$M$5:$R$16,MATCH(G1686,Config!$J$5:$J$16,0),MATCH(F1686,Config!$H$5:$H$10,0)),""))</f>
        <v/>
      </c>
      <c r="U1686" s="47">
        <f>IF(AND(H1686="Realizado",L1686&lt;&gt;""),L1686/60,0)</f>
        <v>0</v>
      </c>
      <c r="V1686" s="47">
        <f>IF(AND(H1686="Realizado",OR(L1686="",M1686="")),1,0)</f>
        <v>0</v>
      </c>
    </row>
    <row r="1687">
      <c r="A1687" s="43" t="n"/>
      <c r="B1687" s="44" t="n"/>
      <c r="C1687" s="38" t="n"/>
      <c r="D1687" s="38" t="n"/>
      <c r="E1687" s="37" t="n"/>
      <c r="F1687" s="38" t="n"/>
      <c r="G1687" s="38" t="n"/>
      <c r="H1687" s="38" t="n"/>
      <c r="I1687" s="38" t="n"/>
      <c r="J1687" s="38" t="n"/>
      <c r="K1687" s="37" t="n"/>
      <c r="L1687" s="39" t="n"/>
      <c r="M1687" s="40" t="n"/>
      <c r="N1687" s="30">
        <f>IF(A1687="","",MONTH(A1687))</f>
        <v/>
      </c>
      <c r="O1687" s="30">
        <f>IF(A1687="","",YEAR(A1687))</f>
        <v/>
      </c>
      <c r="P1687" s="30">
        <f>IF(A1687="","",CHOOSE(WEEKDAY(A1687,2),"Segunda","Terça","Quarta","Quinta","Sexta","Sábado","Domingo"))</f>
        <v/>
      </c>
      <c r="Q1687" s="30">
        <f>IF(B1687="","",IF(B1687&lt;TIME(12,0,0),"Manhã",IF(B1687&lt;TIME(18,0,0),"Tarde","Noite")))</f>
        <v/>
      </c>
      <c r="R1687" s="46">
        <f>IF(AND(H1687="Realizado",L1687&lt;&gt;"",A1687&lt;=Config!$B$9),L1687/60,0)</f>
        <v>0</v>
      </c>
      <c r="S1687" s="45">
        <f>IF(G1687="","",IFERROR(INDEX(Config!$K$5:$K$16,MATCH(G1687,Config!$J$5:$J$16,0)),""))</f>
        <v/>
      </c>
      <c r="T1687" s="31">
        <f>IF(OR(G1687="",F1687=""),"",IFERROR(INDEX(Config!$M$5:$R$16,MATCH(G1687,Config!$J$5:$J$16,0),MATCH(F1687,Config!$H$5:$H$10,0)),""))</f>
        <v/>
      </c>
      <c r="U1687" s="47">
        <f>IF(AND(H1687="Realizado",L1687&lt;&gt;""),L1687/60,0)</f>
        <v>0</v>
      </c>
      <c r="V1687" s="47">
        <f>IF(AND(H1687="Realizado",OR(L1687="",M1687="")),1,0)</f>
        <v>0</v>
      </c>
    </row>
    <row r="1688">
      <c r="A1688" s="43" t="n"/>
      <c r="B1688" s="44" t="n"/>
      <c r="C1688" s="38" t="n"/>
      <c r="D1688" s="38" t="n"/>
      <c r="E1688" s="37" t="n"/>
      <c r="F1688" s="38" t="n"/>
      <c r="G1688" s="38" t="n"/>
      <c r="H1688" s="38" t="n"/>
      <c r="I1688" s="38" t="n"/>
      <c r="J1688" s="38" t="n"/>
      <c r="K1688" s="37" t="n"/>
      <c r="L1688" s="39" t="n"/>
      <c r="M1688" s="40" t="n"/>
      <c r="N1688" s="30">
        <f>IF(A1688="","",MONTH(A1688))</f>
        <v/>
      </c>
      <c r="O1688" s="30">
        <f>IF(A1688="","",YEAR(A1688))</f>
        <v/>
      </c>
      <c r="P1688" s="30">
        <f>IF(A1688="","",CHOOSE(WEEKDAY(A1688,2),"Segunda","Terça","Quarta","Quinta","Sexta","Sábado","Domingo"))</f>
        <v/>
      </c>
      <c r="Q1688" s="30">
        <f>IF(B1688="","",IF(B1688&lt;TIME(12,0,0),"Manhã",IF(B1688&lt;TIME(18,0,0),"Tarde","Noite")))</f>
        <v/>
      </c>
      <c r="R1688" s="46">
        <f>IF(AND(H1688="Realizado",L1688&lt;&gt;"",A1688&lt;=Config!$B$9),L1688/60,0)</f>
        <v>0</v>
      </c>
      <c r="S1688" s="45">
        <f>IF(G1688="","",IFERROR(INDEX(Config!$K$5:$K$16,MATCH(G1688,Config!$J$5:$J$16,0)),""))</f>
        <v/>
      </c>
      <c r="T1688" s="31">
        <f>IF(OR(G1688="",F1688=""),"",IFERROR(INDEX(Config!$M$5:$R$16,MATCH(G1688,Config!$J$5:$J$16,0),MATCH(F1688,Config!$H$5:$H$10,0)),""))</f>
        <v/>
      </c>
      <c r="U1688" s="47">
        <f>IF(AND(H1688="Realizado",L1688&lt;&gt;""),L1688/60,0)</f>
        <v>0</v>
      </c>
      <c r="V1688" s="47">
        <f>IF(AND(H1688="Realizado",OR(L1688="",M1688="")),1,0)</f>
        <v>0</v>
      </c>
    </row>
    <row r="1689">
      <c r="A1689" s="43" t="n"/>
      <c r="B1689" s="44" t="n"/>
      <c r="C1689" s="38" t="n"/>
      <c r="D1689" s="38" t="n"/>
      <c r="E1689" s="37" t="n"/>
      <c r="F1689" s="38" t="n"/>
      <c r="G1689" s="38" t="n"/>
      <c r="H1689" s="38" t="n"/>
      <c r="I1689" s="38" t="n"/>
      <c r="J1689" s="38" t="n"/>
      <c r="K1689" s="37" t="n"/>
      <c r="L1689" s="39" t="n"/>
      <c r="M1689" s="40" t="n"/>
      <c r="N1689" s="30">
        <f>IF(A1689="","",MONTH(A1689))</f>
        <v/>
      </c>
      <c r="O1689" s="30">
        <f>IF(A1689="","",YEAR(A1689))</f>
        <v/>
      </c>
      <c r="P1689" s="30">
        <f>IF(A1689="","",CHOOSE(WEEKDAY(A1689,2),"Segunda","Terça","Quarta","Quinta","Sexta","Sábado","Domingo"))</f>
        <v/>
      </c>
      <c r="Q1689" s="30">
        <f>IF(B1689="","",IF(B1689&lt;TIME(12,0,0),"Manhã",IF(B1689&lt;TIME(18,0,0),"Tarde","Noite")))</f>
        <v/>
      </c>
      <c r="R1689" s="46">
        <f>IF(AND(H1689="Realizado",L1689&lt;&gt;"",A1689&lt;=Config!$B$9),L1689/60,0)</f>
        <v>0</v>
      </c>
      <c r="S1689" s="45">
        <f>IF(G1689="","",IFERROR(INDEX(Config!$K$5:$K$16,MATCH(G1689,Config!$J$5:$J$16,0)),""))</f>
        <v/>
      </c>
      <c r="T1689" s="31">
        <f>IF(OR(G1689="",F1689=""),"",IFERROR(INDEX(Config!$M$5:$R$16,MATCH(G1689,Config!$J$5:$J$16,0),MATCH(F1689,Config!$H$5:$H$10,0)),""))</f>
        <v/>
      </c>
      <c r="U1689" s="47">
        <f>IF(AND(H1689="Realizado",L1689&lt;&gt;""),L1689/60,0)</f>
        <v>0</v>
      </c>
      <c r="V1689" s="47">
        <f>IF(AND(H1689="Realizado",OR(L1689="",M1689="")),1,0)</f>
        <v>0</v>
      </c>
    </row>
    <row r="1690">
      <c r="A1690" s="43" t="n"/>
      <c r="B1690" s="44" t="n"/>
      <c r="C1690" s="38" t="n"/>
      <c r="D1690" s="38" t="n"/>
      <c r="E1690" s="37" t="n"/>
      <c r="F1690" s="38" t="n"/>
      <c r="G1690" s="38" t="n"/>
      <c r="H1690" s="38" t="n"/>
      <c r="I1690" s="38" t="n"/>
      <c r="J1690" s="38" t="n"/>
      <c r="K1690" s="37" t="n"/>
      <c r="L1690" s="39" t="n"/>
      <c r="M1690" s="40" t="n"/>
      <c r="N1690" s="30">
        <f>IF(A1690="","",MONTH(A1690))</f>
        <v/>
      </c>
      <c r="O1690" s="30">
        <f>IF(A1690="","",YEAR(A1690))</f>
        <v/>
      </c>
      <c r="P1690" s="30">
        <f>IF(A1690="","",CHOOSE(WEEKDAY(A1690,2),"Segunda","Terça","Quarta","Quinta","Sexta","Sábado","Domingo"))</f>
        <v/>
      </c>
      <c r="Q1690" s="30">
        <f>IF(B1690="","",IF(B1690&lt;TIME(12,0,0),"Manhã",IF(B1690&lt;TIME(18,0,0),"Tarde","Noite")))</f>
        <v/>
      </c>
      <c r="R1690" s="46">
        <f>IF(AND(H1690="Realizado",L1690&lt;&gt;"",A1690&lt;=Config!$B$9),L1690/60,0)</f>
        <v>0</v>
      </c>
      <c r="S1690" s="45">
        <f>IF(G1690="","",IFERROR(INDEX(Config!$K$5:$K$16,MATCH(G1690,Config!$J$5:$J$16,0)),""))</f>
        <v/>
      </c>
      <c r="T1690" s="31">
        <f>IF(OR(G1690="",F1690=""),"",IFERROR(INDEX(Config!$M$5:$R$16,MATCH(G1690,Config!$J$5:$J$16,0),MATCH(F1690,Config!$H$5:$H$10,0)),""))</f>
        <v/>
      </c>
      <c r="U1690" s="47">
        <f>IF(AND(H1690="Realizado",L1690&lt;&gt;""),L1690/60,0)</f>
        <v>0</v>
      </c>
      <c r="V1690" s="47">
        <f>IF(AND(H1690="Realizado",OR(L1690="",M1690="")),1,0)</f>
        <v>0</v>
      </c>
    </row>
    <row r="1691">
      <c r="A1691" s="43" t="n"/>
      <c r="B1691" s="44" t="n"/>
      <c r="C1691" s="38" t="n"/>
      <c r="D1691" s="38" t="n"/>
      <c r="E1691" s="37" t="n"/>
      <c r="F1691" s="38" t="n"/>
      <c r="G1691" s="38" t="n"/>
      <c r="H1691" s="38" t="n"/>
      <c r="I1691" s="38" t="n"/>
      <c r="J1691" s="38" t="n"/>
      <c r="K1691" s="37" t="n"/>
      <c r="L1691" s="39" t="n"/>
      <c r="M1691" s="40" t="n"/>
      <c r="N1691" s="30">
        <f>IF(A1691="","",MONTH(A1691))</f>
        <v/>
      </c>
      <c r="O1691" s="30">
        <f>IF(A1691="","",YEAR(A1691))</f>
        <v/>
      </c>
      <c r="P1691" s="30">
        <f>IF(A1691="","",CHOOSE(WEEKDAY(A1691,2),"Segunda","Terça","Quarta","Quinta","Sexta","Sábado","Domingo"))</f>
        <v/>
      </c>
      <c r="Q1691" s="30">
        <f>IF(B1691="","",IF(B1691&lt;TIME(12,0,0),"Manhã",IF(B1691&lt;TIME(18,0,0),"Tarde","Noite")))</f>
        <v/>
      </c>
      <c r="R1691" s="46">
        <f>IF(AND(H1691="Realizado",L1691&lt;&gt;"",A1691&lt;=Config!$B$9),L1691/60,0)</f>
        <v>0</v>
      </c>
      <c r="S1691" s="45">
        <f>IF(G1691="","",IFERROR(INDEX(Config!$K$5:$K$16,MATCH(G1691,Config!$J$5:$J$16,0)),""))</f>
        <v/>
      </c>
      <c r="T1691" s="31">
        <f>IF(OR(G1691="",F1691=""),"",IFERROR(INDEX(Config!$M$5:$R$16,MATCH(G1691,Config!$J$5:$J$16,0),MATCH(F1691,Config!$H$5:$H$10,0)),""))</f>
        <v/>
      </c>
      <c r="U1691" s="47">
        <f>IF(AND(H1691="Realizado",L1691&lt;&gt;""),L1691/60,0)</f>
        <v>0</v>
      </c>
      <c r="V1691" s="47">
        <f>IF(AND(H1691="Realizado",OR(L1691="",M1691="")),1,0)</f>
        <v>0</v>
      </c>
    </row>
    <row r="1692">
      <c r="A1692" s="43" t="n"/>
      <c r="B1692" s="44" t="n"/>
      <c r="C1692" s="38" t="n"/>
      <c r="D1692" s="38" t="n"/>
      <c r="E1692" s="37" t="n"/>
      <c r="F1692" s="38" t="n"/>
      <c r="G1692" s="38" t="n"/>
      <c r="H1692" s="38" t="n"/>
      <c r="I1692" s="38" t="n"/>
      <c r="J1692" s="38" t="n"/>
      <c r="K1692" s="37" t="n"/>
      <c r="L1692" s="39" t="n"/>
      <c r="M1692" s="40" t="n"/>
      <c r="N1692" s="30">
        <f>IF(A1692="","",MONTH(A1692))</f>
        <v/>
      </c>
      <c r="O1692" s="30">
        <f>IF(A1692="","",YEAR(A1692))</f>
        <v/>
      </c>
      <c r="P1692" s="30">
        <f>IF(A1692="","",CHOOSE(WEEKDAY(A1692,2),"Segunda","Terça","Quarta","Quinta","Sexta","Sábado","Domingo"))</f>
        <v/>
      </c>
      <c r="Q1692" s="30">
        <f>IF(B1692="","",IF(B1692&lt;TIME(12,0,0),"Manhã",IF(B1692&lt;TIME(18,0,0),"Tarde","Noite")))</f>
        <v/>
      </c>
      <c r="R1692" s="46">
        <f>IF(AND(H1692="Realizado",L1692&lt;&gt;"",A1692&lt;=Config!$B$9),L1692/60,0)</f>
        <v>0</v>
      </c>
      <c r="S1692" s="45">
        <f>IF(G1692="","",IFERROR(INDEX(Config!$K$5:$K$16,MATCH(G1692,Config!$J$5:$J$16,0)),""))</f>
        <v/>
      </c>
      <c r="T1692" s="31">
        <f>IF(OR(G1692="",F1692=""),"",IFERROR(INDEX(Config!$M$5:$R$16,MATCH(G1692,Config!$J$5:$J$16,0),MATCH(F1692,Config!$H$5:$H$10,0)),""))</f>
        <v/>
      </c>
      <c r="U1692" s="47">
        <f>IF(AND(H1692="Realizado",L1692&lt;&gt;""),L1692/60,0)</f>
        <v>0</v>
      </c>
      <c r="V1692" s="47">
        <f>IF(AND(H1692="Realizado",OR(L1692="",M1692="")),1,0)</f>
        <v>0</v>
      </c>
    </row>
    <row r="1693">
      <c r="A1693" s="43" t="n"/>
      <c r="B1693" s="44" t="n"/>
      <c r="C1693" s="38" t="n"/>
      <c r="D1693" s="38" t="n"/>
      <c r="E1693" s="37" t="n"/>
      <c r="F1693" s="38" t="n"/>
      <c r="G1693" s="38" t="n"/>
      <c r="H1693" s="38" t="n"/>
      <c r="I1693" s="38" t="n"/>
      <c r="J1693" s="38" t="n"/>
      <c r="K1693" s="37" t="n"/>
      <c r="L1693" s="39" t="n"/>
      <c r="M1693" s="40" t="n"/>
      <c r="N1693" s="30">
        <f>IF(A1693="","",MONTH(A1693))</f>
        <v/>
      </c>
      <c r="O1693" s="30">
        <f>IF(A1693="","",YEAR(A1693))</f>
        <v/>
      </c>
      <c r="P1693" s="30">
        <f>IF(A1693="","",CHOOSE(WEEKDAY(A1693,2),"Segunda","Terça","Quarta","Quinta","Sexta","Sábado","Domingo"))</f>
        <v/>
      </c>
      <c r="Q1693" s="30">
        <f>IF(B1693="","",IF(B1693&lt;TIME(12,0,0),"Manhã",IF(B1693&lt;TIME(18,0,0),"Tarde","Noite")))</f>
        <v/>
      </c>
      <c r="R1693" s="46">
        <f>IF(AND(H1693="Realizado",L1693&lt;&gt;"",A1693&lt;=Config!$B$9),L1693/60,0)</f>
        <v>0</v>
      </c>
      <c r="S1693" s="45">
        <f>IF(G1693="","",IFERROR(INDEX(Config!$K$5:$K$16,MATCH(G1693,Config!$J$5:$J$16,0)),""))</f>
        <v/>
      </c>
      <c r="T1693" s="31">
        <f>IF(OR(G1693="",F1693=""),"",IFERROR(INDEX(Config!$M$5:$R$16,MATCH(G1693,Config!$J$5:$J$16,0),MATCH(F1693,Config!$H$5:$H$10,0)),""))</f>
        <v/>
      </c>
      <c r="U1693" s="47">
        <f>IF(AND(H1693="Realizado",L1693&lt;&gt;""),L1693/60,0)</f>
        <v>0</v>
      </c>
      <c r="V1693" s="47">
        <f>IF(AND(H1693="Realizado",OR(L1693="",M1693="")),1,0)</f>
        <v>0</v>
      </c>
    </row>
    <row r="1694">
      <c r="A1694" s="43" t="n"/>
      <c r="B1694" s="44" t="n"/>
      <c r="C1694" s="38" t="n"/>
      <c r="D1694" s="38" t="n"/>
      <c r="E1694" s="37" t="n"/>
      <c r="F1694" s="38" t="n"/>
      <c r="G1694" s="38" t="n"/>
      <c r="H1694" s="38" t="n"/>
      <c r="I1694" s="38" t="n"/>
      <c r="J1694" s="38" t="n"/>
      <c r="K1694" s="37" t="n"/>
      <c r="L1694" s="39" t="n"/>
      <c r="M1694" s="40" t="n"/>
      <c r="N1694" s="30">
        <f>IF(A1694="","",MONTH(A1694))</f>
        <v/>
      </c>
      <c r="O1694" s="30">
        <f>IF(A1694="","",YEAR(A1694))</f>
        <v/>
      </c>
      <c r="P1694" s="30">
        <f>IF(A1694="","",CHOOSE(WEEKDAY(A1694,2),"Segunda","Terça","Quarta","Quinta","Sexta","Sábado","Domingo"))</f>
        <v/>
      </c>
      <c r="Q1694" s="30">
        <f>IF(B1694="","",IF(B1694&lt;TIME(12,0,0),"Manhã",IF(B1694&lt;TIME(18,0,0),"Tarde","Noite")))</f>
        <v/>
      </c>
      <c r="R1694" s="46">
        <f>IF(AND(H1694="Realizado",L1694&lt;&gt;"",A1694&lt;=Config!$B$9),L1694/60,0)</f>
        <v>0</v>
      </c>
      <c r="S1694" s="45">
        <f>IF(G1694="","",IFERROR(INDEX(Config!$K$5:$K$16,MATCH(G1694,Config!$J$5:$J$16,0)),""))</f>
        <v/>
      </c>
      <c r="T1694" s="31">
        <f>IF(OR(G1694="",F1694=""),"",IFERROR(INDEX(Config!$M$5:$R$16,MATCH(G1694,Config!$J$5:$J$16,0),MATCH(F1694,Config!$H$5:$H$10,0)),""))</f>
        <v/>
      </c>
      <c r="U1694" s="47">
        <f>IF(AND(H1694="Realizado",L1694&lt;&gt;""),L1694/60,0)</f>
        <v>0</v>
      </c>
      <c r="V1694" s="47">
        <f>IF(AND(H1694="Realizado",OR(L1694="",M1694="")),1,0)</f>
        <v>0</v>
      </c>
    </row>
    <row r="1695">
      <c r="A1695" s="43" t="n"/>
      <c r="B1695" s="44" t="n"/>
      <c r="C1695" s="38" t="n"/>
      <c r="D1695" s="38" t="n"/>
      <c r="E1695" s="37" t="n"/>
      <c r="F1695" s="38" t="n"/>
      <c r="G1695" s="38" t="n"/>
      <c r="H1695" s="38" t="n"/>
      <c r="I1695" s="38" t="n"/>
      <c r="J1695" s="38" t="n"/>
      <c r="K1695" s="37" t="n"/>
      <c r="L1695" s="39" t="n"/>
      <c r="M1695" s="40" t="n"/>
      <c r="N1695" s="30">
        <f>IF(A1695="","",MONTH(A1695))</f>
        <v/>
      </c>
      <c r="O1695" s="30">
        <f>IF(A1695="","",YEAR(A1695))</f>
        <v/>
      </c>
      <c r="P1695" s="30">
        <f>IF(A1695="","",CHOOSE(WEEKDAY(A1695,2),"Segunda","Terça","Quarta","Quinta","Sexta","Sábado","Domingo"))</f>
        <v/>
      </c>
      <c r="Q1695" s="30">
        <f>IF(B1695="","",IF(B1695&lt;TIME(12,0,0),"Manhã",IF(B1695&lt;TIME(18,0,0),"Tarde","Noite")))</f>
        <v/>
      </c>
      <c r="R1695" s="46">
        <f>IF(AND(H1695="Realizado",L1695&lt;&gt;"",A1695&lt;=Config!$B$9),L1695/60,0)</f>
        <v>0</v>
      </c>
      <c r="S1695" s="45">
        <f>IF(G1695="","",IFERROR(INDEX(Config!$K$5:$K$16,MATCH(G1695,Config!$J$5:$J$16,0)),""))</f>
        <v/>
      </c>
      <c r="T1695" s="31">
        <f>IF(OR(G1695="",F1695=""),"",IFERROR(INDEX(Config!$M$5:$R$16,MATCH(G1695,Config!$J$5:$J$16,0),MATCH(F1695,Config!$H$5:$H$10,0)),""))</f>
        <v/>
      </c>
      <c r="U1695" s="47">
        <f>IF(AND(H1695="Realizado",L1695&lt;&gt;""),L1695/60,0)</f>
        <v>0</v>
      </c>
      <c r="V1695" s="47">
        <f>IF(AND(H1695="Realizado",OR(L1695="",M1695="")),1,0)</f>
        <v>0</v>
      </c>
    </row>
    <row r="1696">
      <c r="A1696" s="43" t="n"/>
      <c r="B1696" s="44" t="n"/>
      <c r="C1696" s="38" t="n"/>
      <c r="D1696" s="38" t="n"/>
      <c r="E1696" s="37" t="n"/>
      <c r="F1696" s="38" t="n"/>
      <c r="G1696" s="38" t="n"/>
      <c r="H1696" s="38" t="n"/>
      <c r="I1696" s="38" t="n"/>
      <c r="J1696" s="38" t="n"/>
      <c r="K1696" s="37" t="n"/>
      <c r="L1696" s="39" t="n"/>
      <c r="M1696" s="40" t="n"/>
      <c r="N1696" s="30">
        <f>IF(A1696="","",MONTH(A1696))</f>
        <v/>
      </c>
      <c r="O1696" s="30">
        <f>IF(A1696="","",YEAR(A1696))</f>
        <v/>
      </c>
      <c r="P1696" s="30">
        <f>IF(A1696="","",CHOOSE(WEEKDAY(A1696,2),"Segunda","Terça","Quarta","Quinta","Sexta","Sábado","Domingo"))</f>
        <v/>
      </c>
      <c r="Q1696" s="30">
        <f>IF(B1696="","",IF(B1696&lt;TIME(12,0,0),"Manhã",IF(B1696&lt;TIME(18,0,0),"Tarde","Noite")))</f>
        <v/>
      </c>
      <c r="R1696" s="46">
        <f>IF(AND(H1696="Realizado",L1696&lt;&gt;"",A1696&lt;=Config!$B$9),L1696/60,0)</f>
        <v>0</v>
      </c>
      <c r="S1696" s="45">
        <f>IF(G1696="","",IFERROR(INDEX(Config!$K$5:$K$16,MATCH(G1696,Config!$J$5:$J$16,0)),""))</f>
        <v/>
      </c>
      <c r="T1696" s="31">
        <f>IF(OR(G1696="",F1696=""),"",IFERROR(INDEX(Config!$M$5:$R$16,MATCH(G1696,Config!$J$5:$J$16,0),MATCH(F1696,Config!$H$5:$H$10,0)),""))</f>
        <v/>
      </c>
      <c r="U1696" s="47">
        <f>IF(AND(H1696="Realizado",L1696&lt;&gt;""),L1696/60,0)</f>
        <v>0</v>
      </c>
      <c r="V1696" s="47">
        <f>IF(AND(H1696="Realizado",OR(L1696="",M1696="")),1,0)</f>
        <v>0</v>
      </c>
    </row>
    <row r="1697">
      <c r="A1697" s="43" t="n"/>
      <c r="B1697" s="44" t="n"/>
      <c r="C1697" s="38" t="n"/>
      <c r="D1697" s="38" t="n"/>
      <c r="E1697" s="37" t="n"/>
      <c r="F1697" s="38" t="n"/>
      <c r="G1697" s="38" t="n"/>
      <c r="H1697" s="38" t="n"/>
      <c r="I1697" s="38" t="n"/>
      <c r="J1697" s="38" t="n"/>
      <c r="K1697" s="37" t="n"/>
      <c r="L1697" s="39" t="n"/>
      <c r="M1697" s="40" t="n"/>
      <c r="N1697" s="30">
        <f>IF(A1697="","",MONTH(A1697))</f>
        <v/>
      </c>
      <c r="O1697" s="30">
        <f>IF(A1697="","",YEAR(A1697))</f>
        <v/>
      </c>
      <c r="P1697" s="30">
        <f>IF(A1697="","",CHOOSE(WEEKDAY(A1697,2),"Segunda","Terça","Quarta","Quinta","Sexta","Sábado","Domingo"))</f>
        <v/>
      </c>
      <c r="Q1697" s="30">
        <f>IF(B1697="","",IF(B1697&lt;TIME(12,0,0),"Manhã",IF(B1697&lt;TIME(18,0,0),"Tarde","Noite")))</f>
        <v/>
      </c>
      <c r="R1697" s="46">
        <f>IF(AND(H1697="Realizado",L1697&lt;&gt;"",A1697&lt;=Config!$B$9),L1697/60,0)</f>
        <v>0</v>
      </c>
      <c r="S1697" s="45">
        <f>IF(G1697="","",IFERROR(INDEX(Config!$K$5:$K$16,MATCH(G1697,Config!$J$5:$J$16,0)),""))</f>
        <v/>
      </c>
      <c r="T1697" s="31">
        <f>IF(OR(G1697="",F1697=""),"",IFERROR(INDEX(Config!$M$5:$R$16,MATCH(G1697,Config!$J$5:$J$16,0),MATCH(F1697,Config!$H$5:$H$10,0)),""))</f>
        <v/>
      </c>
      <c r="U1697" s="47">
        <f>IF(AND(H1697="Realizado",L1697&lt;&gt;""),L1697/60,0)</f>
        <v>0</v>
      </c>
      <c r="V1697" s="47">
        <f>IF(AND(H1697="Realizado",OR(L1697="",M1697="")),1,0)</f>
        <v>0</v>
      </c>
    </row>
    <row r="1698">
      <c r="A1698" s="43" t="n"/>
      <c r="B1698" s="44" t="n"/>
      <c r="C1698" s="38" t="n"/>
      <c r="D1698" s="38" t="n"/>
      <c r="E1698" s="37" t="n"/>
      <c r="F1698" s="38" t="n"/>
      <c r="G1698" s="38" t="n"/>
      <c r="H1698" s="38" t="n"/>
      <c r="I1698" s="38" t="n"/>
      <c r="J1698" s="38" t="n"/>
      <c r="K1698" s="37" t="n"/>
      <c r="L1698" s="39" t="n"/>
      <c r="M1698" s="40" t="n"/>
      <c r="N1698" s="30">
        <f>IF(A1698="","",MONTH(A1698))</f>
        <v/>
      </c>
      <c r="O1698" s="30">
        <f>IF(A1698="","",YEAR(A1698))</f>
        <v/>
      </c>
      <c r="P1698" s="30">
        <f>IF(A1698="","",CHOOSE(WEEKDAY(A1698,2),"Segunda","Terça","Quarta","Quinta","Sexta","Sábado","Domingo"))</f>
        <v/>
      </c>
      <c r="Q1698" s="30">
        <f>IF(B1698="","",IF(B1698&lt;TIME(12,0,0),"Manhã",IF(B1698&lt;TIME(18,0,0),"Tarde","Noite")))</f>
        <v/>
      </c>
      <c r="R1698" s="46">
        <f>IF(AND(H1698="Realizado",L1698&lt;&gt;"",A1698&lt;=Config!$B$9),L1698/60,0)</f>
        <v>0</v>
      </c>
      <c r="S1698" s="45">
        <f>IF(G1698="","",IFERROR(INDEX(Config!$K$5:$K$16,MATCH(G1698,Config!$J$5:$J$16,0)),""))</f>
        <v/>
      </c>
      <c r="T1698" s="31">
        <f>IF(OR(G1698="",F1698=""),"",IFERROR(INDEX(Config!$M$5:$R$16,MATCH(G1698,Config!$J$5:$J$16,0),MATCH(F1698,Config!$H$5:$H$10,0)),""))</f>
        <v/>
      </c>
      <c r="U1698" s="47">
        <f>IF(AND(H1698="Realizado",L1698&lt;&gt;""),L1698/60,0)</f>
        <v>0</v>
      </c>
      <c r="V1698" s="47">
        <f>IF(AND(H1698="Realizado",OR(L1698="",M1698="")),1,0)</f>
        <v>0</v>
      </c>
    </row>
    <row r="1699">
      <c r="A1699" s="43" t="n"/>
      <c r="B1699" s="44" t="n"/>
      <c r="C1699" s="38" t="n"/>
      <c r="D1699" s="38" t="n"/>
      <c r="E1699" s="37" t="n"/>
      <c r="F1699" s="38" t="n"/>
      <c r="G1699" s="38" t="n"/>
      <c r="H1699" s="38" t="n"/>
      <c r="I1699" s="38" t="n"/>
      <c r="J1699" s="38" t="n"/>
      <c r="K1699" s="37" t="n"/>
      <c r="L1699" s="39" t="n"/>
      <c r="M1699" s="40" t="n"/>
      <c r="N1699" s="30">
        <f>IF(A1699="","",MONTH(A1699))</f>
        <v/>
      </c>
      <c r="O1699" s="30">
        <f>IF(A1699="","",YEAR(A1699))</f>
        <v/>
      </c>
      <c r="P1699" s="30">
        <f>IF(A1699="","",CHOOSE(WEEKDAY(A1699,2),"Segunda","Terça","Quarta","Quinta","Sexta","Sábado","Domingo"))</f>
        <v/>
      </c>
      <c r="Q1699" s="30">
        <f>IF(B1699="","",IF(B1699&lt;TIME(12,0,0),"Manhã",IF(B1699&lt;TIME(18,0,0),"Tarde","Noite")))</f>
        <v/>
      </c>
      <c r="R1699" s="46">
        <f>IF(AND(H1699="Realizado",L1699&lt;&gt;"",A1699&lt;=Config!$B$9),L1699/60,0)</f>
        <v>0</v>
      </c>
      <c r="S1699" s="45">
        <f>IF(G1699="","",IFERROR(INDEX(Config!$K$5:$K$16,MATCH(G1699,Config!$J$5:$J$16,0)),""))</f>
        <v/>
      </c>
      <c r="T1699" s="31">
        <f>IF(OR(G1699="",F1699=""),"",IFERROR(INDEX(Config!$M$5:$R$16,MATCH(G1699,Config!$J$5:$J$16,0),MATCH(F1699,Config!$H$5:$H$10,0)),""))</f>
        <v/>
      </c>
      <c r="U1699" s="47">
        <f>IF(AND(H1699="Realizado",L1699&lt;&gt;""),L1699/60,0)</f>
        <v>0</v>
      </c>
      <c r="V1699" s="47">
        <f>IF(AND(H1699="Realizado",OR(L1699="",M1699="")),1,0)</f>
        <v>0</v>
      </c>
    </row>
    <row r="1700">
      <c r="A1700" s="43" t="n"/>
      <c r="B1700" s="44" t="n"/>
      <c r="C1700" s="38" t="n"/>
      <c r="D1700" s="38" t="n"/>
      <c r="E1700" s="37" t="n"/>
      <c r="F1700" s="38" t="n"/>
      <c r="G1700" s="38" t="n"/>
      <c r="H1700" s="38" t="n"/>
      <c r="I1700" s="38" t="n"/>
      <c r="J1700" s="38" t="n"/>
      <c r="K1700" s="37" t="n"/>
      <c r="L1700" s="39" t="n"/>
      <c r="M1700" s="40" t="n"/>
      <c r="N1700" s="30">
        <f>IF(A1700="","",MONTH(A1700))</f>
        <v/>
      </c>
      <c r="O1700" s="30">
        <f>IF(A1700="","",YEAR(A1700))</f>
        <v/>
      </c>
      <c r="P1700" s="30">
        <f>IF(A1700="","",CHOOSE(WEEKDAY(A1700,2),"Segunda","Terça","Quarta","Quinta","Sexta","Sábado","Domingo"))</f>
        <v/>
      </c>
      <c r="Q1700" s="30">
        <f>IF(B1700="","",IF(B1700&lt;TIME(12,0,0),"Manhã",IF(B1700&lt;TIME(18,0,0),"Tarde","Noite")))</f>
        <v/>
      </c>
      <c r="R1700" s="46">
        <f>IF(AND(H1700="Realizado",L1700&lt;&gt;"",A1700&lt;=Config!$B$9),L1700/60,0)</f>
        <v>0</v>
      </c>
      <c r="S1700" s="45">
        <f>IF(G1700="","",IFERROR(INDEX(Config!$K$5:$K$16,MATCH(G1700,Config!$J$5:$J$16,0)),""))</f>
        <v/>
      </c>
      <c r="T1700" s="31">
        <f>IF(OR(G1700="",F1700=""),"",IFERROR(INDEX(Config!$M$5:$R$16,MATCH(G1700,Config!$J$5:$J$16,0),MATCH(F1700,Config!$H$5:$H$10,0)),""))</f>
        <v/>
      </c>
      <c r="U1700" s="47">
        <f>IF(AND(H1700="Realizado",L1700&lt;&gt;""),L1700/60,0)</f>
        <v>0</v>
      </c>
      <c r="V1700" s="47">
        <f>IF(AND(H1700="Realizado",OR(L1700="",M1700="")),1,0)</f>
        <v>0</v>
      </c>
    </row>
    <row r="1701">
      <c r="A1701" s="43" t="n"/>
      <c r="B1701" s="44" t="n"/>
      <c r="C1701" s="38" t="n"/>
      <c r="D1701" s="38" t="n"/>
      <c r="E1701" s="37" t="n"/>
      <c r="F1701" s="38" t="n"/>
      <c r="G1701" s="38" t="n"/>
      <c r="H1701" s="38" t="n"/>
      <c r="I1701" s="38" t="n"/>
      <c r="J1701" s="38" t="n"/>
      <c r="K1701" s="37" t="n"/>
      <c r="L1701" s="39" t="n"/>
      <c r="M1701" s="40" t="n"/>
      <c r="N1701" s="30">
        <f>IF(A1701="","",MONTH(A1701))</f>
        <v/>
      </c>
      <c r="O1701" s="30">
        <f>IF(A1701="","",YEAR(A1701))</f>
        <v/>
      </c>
      <c r="P1701" s="30">
        <f>IF(A1701="","",CHOOSE(WEEKDAY(A1701,2),"Segunda","Terça","Quarta","Quinta","Sexta","Sábado","Domingo"))</f>
        <v/>
      </c>
      <c r="Q1701" s="30">
        <f>IF(B1701="","",IF(B1701&lt;TIME(12,0,0),"Manhã",IF(B1701&lt;TIME(18,0,0),"Tarde","Noite")))</f>
        <v/>
      </c>
      <c r="R1701" s="46">
        <f>IF(AND(H1701="Realizado",L1701&lt;&gt;"",A1701&lt;=Config!$B$9),L1701/60,0)</f>
        <v>0</v>
      </c>
      <c r="S1701" s="45">
        <f>IF(G1701="","",IFERROR(INDEX(Config!$K$5:$K$16,MATCH(G1701,Config!$J$5:$J$16,0)),""))</f>
        <v/>
      </c>
      <c r="T1701" s="31">
        <f>IF(OR(G1701="",F1701=""),"",IFERROR(INDEX(Config!$M$5:$R$16,MATCH(G1701,Config!$J$5:$J$16,0),MATCH(F1701,Config!$H$5:$H$10,0)),""))</f>
        <v/>
      </c>
      <c r="U1701" s="47">
        <f>IF(AND(H1701="Realizado",L1701&lt;&gt;""),L1701/60,0)</f>
        <v>0</v>
      </c>
      <c r="V1701" s="47">
        <f>IF(AND(H1701="Realizado",OR(L1701="",M1701="")),1,0)</f>
        <v>0</v>
      </c>
    </row>
    <row r="1702">
      <c r="A1702" s="43" t="n"/>
      <c r="B1702" s="44" t="n"/>
      <c r="C1702" s="38" t="n"/>
      <c r="D1702" s="38" t="n"/>
      <c r="E1702" s="37" t="n"/>
      <c r="F1702" s="38" t="n"/>
      <c r="G1702" s="38" t="n"/>
      <c r="H1702" s="38" t="n"/>
      <c r="I1702" s="38" t="n"/>
      <c r="J1702" s="38" t="n"/>
      <c r="K1702" s="37" t="n"/>
      <c r="L1702" s="39" t="n"/>
      <c r="M1702" s="40" t="n"/>
      <c r="N1702" s="30">
        <f>IF(A1702="","",MONTH(A1702))</f>
        <v/>
      </c>
      <c r="O1702" s="30">
        <f>IF(A1702="","",YEAR(A1702))</f>
        <v/>
      </c>
      <c r="P1702" s="30">
        <f>IF(A1702="","",CHOOSE(WEEKDAY(A1702,2),"Segunda","Terça","Quarta","Quinta","Sexta","Sábado","Domingo"))</f>
        <v/>
      </c>
      <c r="Q1702" s="30">
        <f>IF(B1702="","",IF(B1702&lt;TIME(12,0,0),"Manhã",IF(B1702&lt;TIME(18,0,0),"Tarde","Noite")))</f>
        <v/>
      </c>
      <c r="R1702" s="46">
        <f>IF(AND(H1702="Realizado",L1702&lt;&gt;"",A1702&lt;=Config!$B$9),L1702/60,0)</f>
        <v>0</v>
      </c>
      <c r="S1702" s="45">
        <f>IF(G1702="","",IFERROR(INDEX(Config!$K$5:$K$16,MATCH(G1702,Config!$J$5:$J$16,0)),""))</f>
        <v/>
      </c>
      <c r="T1702" s="31">
        <f>IF(OR(G1702="",F1702=""),"",IFERROR(INDEX(Config!$M$5:$R$16,MATCH(G1702,Config!$J$5:$J$16,0),MATCH(F1702,Config!$H$5:$H$10,0)),""))</f>
        <v/>
      </c>
      <c r="U1702" s="47">
        <f>IF(AND(H1702="Realizado",L1702&lt;&gt;""),L1702/60,0)</f>
        <v>0</v>
      </c>
      <c r="V1702" s="47">
        <f>IF(AND(H1702="Realizado",OR(L1702="",M1702="")),1,0)</f>
        <v>0</v>
      </c>
    </row>
    <row r="1703">
      <c r="A1703" s="43" t="n"/>
      <c r="B1703" s="44" t="n"/>
      <c r="C1703" s="38" t="n"/>
      <c r="D1703" s="38" t="n"/>
      <c r="E1703" s="37" t="n"/>
      <c r="F1703" s="38" t="n"/>
      <c r="G1703" s="38" t="n"/>
      <c r="H1703" s="38" t="n"/>
      <c r="I1703" s="38" t="n"/>
      <c r="J1703" s="38" t="n"/>
      <c r="K1703" s="37" t="n"/>
      <c r="L1703" s="39" t="n"/>
      <c r="M1703" s="40" t="n"/>
      <c r="N1703" s="30">
        <f>IF(A1703="","",MONTH(A1703))</f>
        <v/>
      </c>
      <c r="O1703" s="30">
        <f>IF(A1703="","",YEAR(A1703))</f>
        <v/>
      </c>
      <c r="P1703" s="30">
        <f>IF(A1703="","",CHOOSE(WEEKDAY(A1703,2),"Segunda","Terça","Quarta","Quinta","Sexta","Sábado","Domingo"))</f>
        <v/>
      </c>
      <c r="Q1703" s="30">
        <f>IF(B1703="","",IF(B1703&lt;TIME(12,0,0),"Manhã",IF(B1703&lt;TIME(18,0,0),"Tarde","Noite")))</f>
        <v/>
      </c>
      <c r="R1703" s="46">
        <f>IF(AND(H1703="Realizado",L1703&lt;&gt;"",A1703&lt;=Config!$B$9),L1703/60,0)</f>
        <v>0</v>
      </c>
      <c r="S1703" s="45">
        <f>IF(G1703="","",IFERROR(INDEX(Config!$K$5:$K$16,MATCH(G1703,Config!$J$5:$J$16,0)),""))</f>
        <v/>
      </c>
      <c r="T1703" s="31">
        <f>IF(OR(G1703="",F1703=""),"",IFERROR(INDEX(Config!$M$5:$R$16,MATCH(G1703,Config!$J$5:$J$16,0),MATCH(F1703,Config!$H$5:$H$10,0)),""))</f>
        <v/>
      </c>
      <c r="U1703" s="47">
        <f>IF(AND(H1703="Realizado",L1703&lt;&gt;""),L1703/60,0)</f>
        <v>0</v>
      </c>
      <c r="V1703" s="47">
        <f>IF(AND(H1703="Realizado",OR(L1703="",M1703="")),1,0)</f>
        <v>0</v>
      </c>
    </row>
    <row r="1704">
      <c r="A1704" s="43" t="n"/>
      <c r="B1704" s="44" t="n"/>
      <c r="C1704" s="38" t="n"/>
      <c r="D1704" s="38" t="n"/>
      <c r="E1704" s="37" t="n"/>
      <c r="F1704" s="38" t="n"/>
      <c r="G1704" s="38" t="n"/>
      <c r="H1704" s="38" t="n"/>
      <c r="I1704" s="38" t="n"/>
      <c r="J1704" s="38" t="n"/>
      <c r="K1704" s="37" t="n"/>
      <c r="L1704" s="39" t="n"/>
      <c r="M1704" s="40" t="n"/>
      <c r="N1704" s="30">
        <f>IF(A1704="","",MONTH(A1704))</f>
        <v/>
      </c>
      <c r="O1704" s="30">
        <f>IF(A1704="","",YEAR(A1704))</f>
        <v/>
      </c>
      <c r="P1704" s="30">
        <f>IF(A1704="","",CHOOSE(WEEKDAY(A1704,2),"Segunda","Terça","Quarta","Quinta","Sexta","Sábado","Domingo"))</f>
        <v/>
      </c>
      <c r="Q1704" s="30">
        <f>IF(B1704="","",IF(B1704&lt;TIME(12,0,0),"Manhã",IF(B1704&lt;TIME(18,0,0),"Tarde","Noite")))</f>
        <v/>
      </c>
      <c r="R1704" s="46">
        <f>IF(AND(H1704="Realizado",L1704&lt;&gt;"",A1704&lt;=Config!$B$9),L1704/60,0)</f>
        <v>0</v>
      </c>
      <c r="S1704" s="45">
        <f>IF(G1704="","",IFERROR(INDEX(Config!$K$5:$K$16,MATCH(G1704,Config!$J$5:$J$16,0)),""))</f>
        <v/>
      </c>
      <c r="T1704" s="31">
        <f>IF(OR(G1704="",F1704=""),"",IFERROR(INDEX(Config!$M$5:$R$16,MATCH(G1704,Config!$J$5:$J$16,0),MATCH(F1704,Config!$H$5:$H$10,0)),""))</f>
        <v/>
      </c>
      <c r="U1704" s="47">
        <f>IF(AND(H1704="Realizado",L1704&lt;&gt;""),L1704/60,0)</f>
        <v>0</v>
      </c>
      <c r="V1704" s="47">
        <f>IF(AND(H1704="Realizado",OR(L1704="",M1704="")),1,0)</f>
        <v>0</v>
      </c>
    </row>
    <row r="1705">
      <c r="A1705" s="43" t="n"/>
      <c r="B1705" s="44" t="n"/>
      <c r="C1705" s="38" t="n"/>
      <c r="D1705" s="38" t="n"/>
      <c r="E1705" s="37" t="n"/>
      <c r="F1705" s="38" t="n"/>
      <c r="G1705" s="38" t="n"/>
      <c r="H1705" s="38" t="n"/>
      <c r="I1705" s="38" t="n"/>
      <c r="J1705" s="38" t="n"/>
      <c r="K1705" s="37" t="n"/>
      <c r="L1705" s="39" t="n"/>
      <c r="M1705" s="40" t="n"/>
      <c r="N1705" s="30">
        <f>IF(A1705="","",MONTH(A1705))</f>
        <v/>
      </c>
      <c r="O1705" s="30">
        <f>IF(A1705="","",YEAR(A1705))</f>
        <v/>
      </c>
      <c r="P1705" s="30">
        <f>IF(A1705="","",CHOOSE(WEEKDAY(A1705,2),"Segunda","Terça","Quarta","Quinta","Sexta","Sábado","Domingo"))</f>
        <v/>
      </c>
      <c r="Q1705" s="30">
        <f>IF(B1705="","",IF(B1705&lt;TIME(12,0,0),"Manhã",IF(B1705&lt;TIME(18,0,0),"Tarde","Noite")))</f>
        <v/>
      </c>
      <c r="R1705" s="46">
        <f>IF(AND(H1705="Realizado",L1705&lt;&gt;"",A1705&lt;=Config!$B$9),L1705/60,0)</f>
        <v>0</v>
      </c>
      <c r="S1705" s="45">
        <f>IF(G1705="","",IFERROR(INDEX(Config!$K$5:$K$16,MATCH(G1705,Config!$J$5:$J$16,0)),""))</f>
        <v/>
      </c>
      <c r="T1705" s="31">
        <f>IF(OR(G1705="",F1705=""),"",IFERROR(INDEX(Config!$M$5:$R$16,MATCH(G1705,Config!$J$5:$J$16,0),MATCH(F1705,Config!$H$5:$H$10,0)),""))</f>
        <v/>
      </c>
      <c r="U1705" s="47">
        <f>IF(AND(H1705="Realizado",L1705&lt;&gt;""),L1705/60,0)</f>
        <v>0</v>
      </c>
      <c r="V1705" s="47">
        <f>IF(AND(H1705="Realizado",OR(L1705="",M1705="")),1,0)</f>
        <v>0</v>
      </c>
    </row>
    <row r="1706">
      <c r="A1706" s="43" t="n"/>
      <c r="B1706" s="44" t="n"/>
      <c r="C1706" s="38" t="n"/>
      <c r="D1706" s="38" t="n"/>
      <c r="E1706" s="37" t="n"/>
      <c r="F1706" s="38" t="n"/>
      <c r="G1706" s="38" t="n"/>
      <c r="H1706" s="38" t="n"/>
      <c r="I1706" s="38" t="n"/>
      <c r="J1706" s="38" t="n"/>
      <c r="K1706" s="37" t="n"/>
      <c r="L1706" s="39" t="n"/>
      <c r="M1706" s="40" t="n"/>
      <c r="N1706" s="30">
        <f>IF(A1706="","",MONTH(A1706))</f>
        <v/>
      </c>
      <c r="O1706" s="30">
        <f>IF(A1706="","",YEAR(A1706))</f>
        <v/>
      </c>
      <c r="P1706" s="30">
        <f>IF(A1706="","",CHOOSE(WEEKDAY(A1706,2),"Segunda","Terça","Quarta","Quinta","Sexta","Sábado","Domingo"))</f>
        <v/>
      </c>
      <c r="Q1706" s="30">
        <f>IF(B1706="","",IF(B1706&lt;TIME(12,0,0),"Manhã",IF(B1706&lt;TIME(18,0,0),"Tarde","Noite")))</f>
        <v/>
      </c>
      <c r="R1706" s="46">
        <f>IF(AND(H1706="Realizado",L1706&lt;&gt;"",A1706&lt;=Config!$B$9),L1706/60,0)</f>
        <v>0</v>
      </c>
      <c r="S1706" s="45">
        <f>IF(G1706="","",IFERROR(INDEX(Config!$K$5:$K$16,MATCH(G1706,Config!$J$5:$J$16,0)),""))</f>
        <v/>
      </c>
      <c r="T1706" s="31">
        <f>IF(OR(G1706="",F1706=""),"",IFERROR(INDEX(Config!$M$5:$R$16,MATCH(G1706,Config!$J$5:$J$16,0),MATCH(F1706,Config!$H$5:$H$10,0)),""))</f>
        <v/>
      </c>
      <c r="U1706" s="47">
        <f>IF(AND(H1706="Realizado",L1706&lt;&gt;""),L1706/60,0)</f>
        <v>0</v>
      </c>
      <c r="V1706" s="47">
        <f>IF(AND(H1706="Realizado",OR(L1706="",M1706="")),1,0)</f>
        <v>0</v>
      </c>
    </row>
    <row r="1707">
      <c r="A1707" s="43" t="n"/>
      <c r="B1707" s="44" t="n"/>
      <c r="C1707" s="38" t="n"/>
      <c r="D1707" s="38" t="n"/>
      <c r="E1707" s="37" t="n"/>
      <c r="F1707" s="38" t="n"/>
      <c r="G1707" s="38" t="n"/>
      <c r="H1707" s="38" t="n"/>
      <c r="I1707" s="38" t="n"/>
      <c r="J1707" s="38" t="n"/>
      <c r="K1707" s="37" t="n"/>
      <c r="L1707" s="39" t="n"/>
      <c r="M1707" s="40" t="n"/>
      <c r="N1707" s="30">
        <f>IF(A1707="","",MONTH(A1707))</f>
        <v/>
      </c>
      <c r="O1707" s="30">
        <f>IF(A1707="","",YEAR(A1707))</f>
        <v/>
      </c>
      <c r="P1707" s="30">
        <f>IF(A1707="","",CHOOSE(WEEKDAY(A1707,2),"Segunda","Terça","Quarta","Quinta","Sexta","Sábado","Domingo"))</f>
        <v/>
      </c>
      <c r="Q1707" s="30">
        <f>IF(B1707="","",IF(B1707&lt;TIME(12,0,0),"Manhã",IF(B1707&lt;TIME(18,0,0),"Tarde","Noite")))</f>
        <v/>
      </c>
      <c r="R1707" s="46">
        <f>IF(AND(H1707="Realizado",L1707&lt;&gt;"",A1707&lt;=Config!$B$9),L1707/60,0)</f>
        <v>0</v>
      </c>
      <c r="S1707" s="45">
        <f>IF(G1707="","",IFERROR(INDEX(Config!$K$5:$K$16,MATCH(G1707,Config!$J$5:$J$16,0)),""))</f>
        <v/>
      </c>
      <c r="T1707" s="31">
        <f>IF(OR(G1707="",F1707=""),"",IFERROR(INDEX(Config!$M$5:$R$16,MATCH(G1707,Config!$J$5:$J$16,0),MATCH(F1707,Config!$H$5:$H$10,0)),""))</f>
        <v/>
      </c>
      <c r="U1707" s="47">
        <f>IF(AND(H1707="Realizado",L1707&lt;&gt;""),L1707/60,0)</f>
        <v>0</v>
      </c>
      <c r="V1707" s="47">
        <f>IF(AND(H1707="Realizado",OR(L1707="",M1707="")),1,0)</f>
        <v>0</v>
      </c>
    </row>
    <row r="1708">
      <c r="A1708" s="43" t="n"/>
      <c r="B1708" s="44" t="n"/>
      <c r="C1708" s="38" t="n"/>
      <c r="D1708" s="38" t="n"/>
      <c r="E1708" s="37" t="n"/>
      <c r="F1708" s="38" t="n"/>
      <c r="G1708" s="38" t="n"/>
      <c r="H1708" s="38" t="n"/>
      <c r="I1708" s="38" t="n"/>
      <c r="J1708" s="38" t="n"/>
      <c r="K1708" s="37" t="n"/>
      <c r="L1708" s="39" t="n"/>
      <c r="M1708" s="40" t="n"/>
      <c r="N1708" s="30">
        <f>IF(A1708="","",MONTH(A1708))</f>
        <v/>
      </c>
      <c r="O1708" s="30">
        <f>IF(A1708="","",YEAR(A1708))</f>
        <v/>
      </c>
      <c r="P1708" s="30">
        <f>IF(A1708="","",CHOOSE(WEEKDAY(A1708,2),"Segunda","Terça","Quarta","Quinta","Sexta","Sábado","Domingo"))</f>
        <v/>
      </c>
      <c r="Q1708" s="30">
        <f>IF(B1708="","",IF(B1708&lt;TIME(12,0,0),"Manhã",IF(B1708&lt;TIME(18,0,0),"Tarde","Noite")))</f>
        <v/>
      </c>
      <c r="R1708" s="46">
        <f>IF(AND(H1708="Realizado",L1708&lt;&gt;"",A1708&lt;=Config!$B$9),L1708/60,0)</f>
        <v>0</v>
      </c>
      <c r="S1708" s="45">
        <f>IF(G1708="","",IFERROR(INDEX(Config!$K$5:$K$16,MATCH(G1708,Config!$J$5:$J$16,0)),""))</f>
        <v/>
      </c>
      <c r="T1708" s="31">
        <f>IF(OR(G1708="",F1708=""),"",IFERROR(INDEX(Config!$M$5:$R$16,MATCH(G1708,Config!$J$5:$J$16,0),MATCH(F1708,Config!$H$5:$H$10,0)),""))</f>
        <v/>
      </c>
      <c r="U1708" s="47">
        <f>IF(AND(H1708="Realizado",L1708&lt;&gt;""),L1708/60,0)</f>
        <v>0</v>
      </c>
      <c r="V1708" s="47">
        <f>IF(AND(H1708="Realizado",OR(L1708="",M1708="")),1,0)</f>
        <v>0</v>
      </c>
    </row>
    <row r="1709">
      <c r="A1709" s="43" t="n"/>
      <c r="B1709" s="44" t="n"/>
      <c r="C1709" s="38" t="n"/>
      <c r="D1709" s="38" t="n"/>
      <c r="E1709" s="37" t="n"/>
      <c r="F1709" s="38" t="n"/>
      <c r="G1709" s="38" t="n"/>
      <c r="H1709" s="38" t="n"/>
      <c r="I1709" s="38" t="n"/>
      <c r="J1709" s="38" t="n"/>
      <c r="K1709" s="37" t="n"/>
      <c r="L1709" s="39" t="n"/>
      <c r="M1709" s="40" t="n"/>
      <c r="N1709" s="30">
        <f>IF(A1709="","",MONTH(A1709))</f>
        <v/>
      </c>
      <c r="O1709" s="30">
        <f>IF(A1709="","",YEAR(A1709))</f>
        <v/>
      </c>
      <c r="P1709" s="30">
        <f>IF(A1709="","",CHOOSE(WEEKDAY(A1709,2),"Segunda","Terça","Quarta","Quinta","Sexta","Sábado","Domingo"))</f>
        <v/>
      </c>
      <c r="Q1709" s="30">
        <f>IF(B1709="","",IF(B1709&lt;TIME(12,0,0),"Manhã",IF(B1709&lt;TIME(18,0,0),"Tarde","Noite")))</f>
        <v/>
      </c>
      <c r="R1709" s="46">
        <f>IF(AND(H1709="Realizado",L1709&lt;&gt;"",A1709&lt;=Config!$B$9),L1709/60,0)</f>
        <v>0</v>
      </c>
      <c r="S1709" s="45">
        <f>IF(G1709="","",IFERROR(INDEX(Config!$K$5:$K$16,MATCH(G1709,Config!$J$5:$J$16,0)),""))</f>
        <v/>
      </c>
      <c r="T1709" s="31">
        <f>IF(OR(G1709="",F1709=""),"",IFERROR(INDEX(Config!$M$5:$R$16,MATCH(G1709,Config!$J$5:$J$16,0),MATCH(F1709,Config!$H$5:$H$10,0)),""))</f>
        <v/>
      </c>
      <c r="U1709" s="47">
        <f>IF(AND(H1709="Realizado",L1709&lt;&gt;""),L1709/60,0)</f>
        <v>0</v>
      </c>
      <c r="V1709" s="47">
        <f>IF(AND(H1709="Realizado",OR(L1709="",M1709="")),1,0)</f>
        <v>0</v>
      </c>
    </row>
    <row r="1710">
      <c r="A1710" s="43" t="n"/>
      <c r="B1710" s="44" t="n"/>
      <c r="C1710" s="38" t="n"/>
      <c r="D1710" s="38" t="n"/>
      <c r="E1710" s="37" t="n"/>
      <c r="F1710" s="38" t="n"/>
      <c r="G1710" s="38" t="n"/>
      <c r="H1710" s="38" t="n"/>
      <c r="I1710" s="38" t="n"/>
      <c r="J1710" s="38" t="n"/>
      <c r="K1710" s="37" t="n"/>
      <c r="L1710" s="39" t="n"/>
      <c r="M1710" s="40" t="n"/>
      <c r="N1710" s="30">
        <f>IF(A1710="","",MONTH(A1710))</f>
        <v/>
      </c>
      <c r="O1710" s="30">
        <f>IF(A1710="","",YEAR(A1710))</f>
        <v/>
      </c>
      <c r="P1710" s="30">
        <f>IF(A1710="","",CHOOSE(WEEKDAY(A1710,2),"Segunda","Terça","Quarta","Quinta","Sexta","Sábado","Domingo"))</f>
        <v/>
      </c>
      <c r="Q1710" s="30">
        <f>IF(B1710="","",IF(B1710&lt;TIME(12,0,0),"Manhã",IF(B1710&lt;TIME(18,0,0),"Tarde","Noite")))</f>
        <v/>
      </c>
      <c r="R1710" s="46">
        <f>IF(AND(H1710="Realizado",L1710&lt;&gt;"",A1710&lt;=Config!$B$9),L1710/60,0)</f>
        <v>0</v>
      </c>
      <c r="S1710" s="45">
        <f>IF(G1710="","",IFERROR(INDEX(Config!$K$5:$K$16,MATCH(G1710,Config!$J$5:$J$16,0)),""))</f>
        <v/>
      </c>
      <c r="T1710" s="31">
        <f>IF(OR(G1710="",F1710=""),"",IFERROR(INDEX(Config!$M$5:$R$16,MATCH(G1710,Config!$J$5:$J$16,0),MATCH(F1710,Config!$H$5:$H$10,0)),""))</f>
        <v/>
      </c>
      <c r="U1710" s="47">
        <f>IF(AND(H1710="Realizado",L1710&lt;&gt;""),L1710/60,0)</f>
        <v>0</v>
      </c>
      <c r="V1710" s="47">
        <f>IF(AND(H1710="Realizado",OR(L1710="",M1710="")),1,0)</f>
        <v>0</v>
      </c>
    </row>
    <row r="1711">
      <c r="A1711" s="43" t="n"/>
      <c r="B1711" s="44" t="n"/>
      <c r="C1711" s="38" t="n"/>
      <c r="D1711" s="38" t="n"/>
      <c r="E1711" s="37" t="n"/>
      <c r="F1711" s="38" t="n"/>
      <c r="G1711" s="38" t="n"/>
      <c r="H1711" s="38" t="n"/>
      <c r="I1711" s="38" t="n"/>
      <c r="J1711" s="38" t="n"/>
      <c r="K1711" s="37" t="n"/>
      <c r="L1711" s="39" t="n"/>
      <c r="M1711" s="40" t="n"/>
      <c r="N1711" s="30">
        <f>IF(A1711="","",MONTH(A1711))</f>
        <v/>
      </c>
      <c r="O1711" s="30">
        <f>IF(A1711="","",YEAR(A1711))</f>
        <v/>
      </c>
      <c r="P1711" s="30">
        <f>IF(A1711="","",CHOOSE(WEEKDAY(A1711,2),"Segunda","Terça","Quarta","Quinta","Sexta","Sábado","Domingo"))</f>
        <v/>
      </c>
      <c r="Q1711" s="30">
        <f>IF(B1711="","",IF(B1711&lt;TIME(12,0,0),"Manhã",IF(B1711&lt;TIME(18,0,0),"Tarde","Noite")))</f>
        <v/>
      </c>
      <c r="R1711" s="46">
        <f>IF(AND(H1711="Realizado",L1711&lt;&gt;"",A1711&lt;=Config!$B$9),L1711/60,0)</f>
        <v>0</v>
      </c>
      <c r="S1711" s="45">
        <f>IF(G1711="","",IFERROR(INDEX(Config!$K$5:$K$16,MATCH(G1711,Config!$J$5:$J$16,0)),""))</f>
        <v/>
      </c>
      <c r="T1711" s="31">
        <f>IF(OR(G1711="",F1711=""),"",IFERROR(INDEX(Config!$M$5:$R$16,MATCH(G1711,Config!$J$5:$J$16,0),MATCH(F1711,Config!$H$5:$H$10,0)),""))</f>
        <v/>
      </c>
      <c r="U1711" s="47">
        <f>IF(AND(H1711="Realizado",L1711&lt;&gt;""),L1711/60,0)</f>
        <v>0</v>
      </c>
      <c r="V1711" s="47">
        <f>IF(AND(H1711="Realizado",OR(L1711="",M1711="")),1,0)</f>
        <v>0</v>
      </c>
    </row>
    <row r="1712">
      <c r="A1712" s="43" t="n"/>
      <c r="B1712" s="44" t="n"/>
      <c r="C1712" s="38" t="n"/>
      <c r="D1712" s="38" t="n"/>
      <c r="E1712" s="37" t="n"/>
      <c r="F1712" s="38" t="n"/>
      <c r="G1712" s="38" t="n"/>
      <c r="H1712" s="38" t="n"/>
      <c r="I1712" s="38" t="n"/>
      <c r="J1712" s="38" t="n"/>
      <c r="K1712" s="37" t="n"/>
      <c r="L1712" s="39" t="n"/>
      <c r="M1712" s="40" t="n"/>
      <c r="N1712" s="30">
        <f>IF(A1712="","",MONTH(A1712))</f>
        <v/>
      </c>
      <c r="O1712" s="30">
        <f>IF(A1712="","",YEAR(A1712))</f>
        <v/>
      </c>
      <c r="P1712" s="30">
        <f>IF(A1712="","",CHOOSE(WEEKDAY(A1712,2),"Segunda","Terça","Quarta","Quinta","Sexta","Sábado","Domingo"))</f>
        <v/>
      </c>
      <c r="Q1712" s="30">
        <f>IF(B1712="","",IF(B1712&lt;TIME(12,0,0),"Manhã",IF(B1712&lt;TIME(18,0,0),"Tarde","Noite")))</f>
        <v/>
      </c>
      <c r="R1712" s="46">
        <f>IF(AND(H1712="Realizado",L1712&lt;&gt;"",A1712&lt;=Config!$B$9),L1712/60,0)</f>
        <v>0</v>
      </c>
      <c r="S1712" s="45">
        <f>IF(G1712="","",IFERROR(INDEX(Config!$K$5:$K$16,MATCH(G1712,Config!$J$5:$J$16,0)),""))</f>
        <v/>
      </c>
      <c r="T1712" s="31">
        <f>IF(OR(G1712="",F1712=""),"",IFERROR(INDEX(Config!$M$5:$R$16,MATCH(G1712,Config!$J$5:$J$16,0),MATCH(F1712,Config!$H$5:$H$10,0)),""))</f>
        <v/>
      </c>
      <c r="U1712" s="47">
        <f>IF(AND(H1712="Realizado",L1712&lt;&gt;""),L1712/60,0)</f>
        <v>0</v>
      </c>
      <c r="V1712" s="47">
        <f>IF(AND(H1712="Realizado",OR(L1712="",M1712="")),1,0)</f>
        <v>0</v>
      </c>
    </row>
    <row r="1713">
      <c r="A1713" s="43" t="n"/>
      <c r="B1713" s="44" t="n"/>
      <c r="C1713" s="38" t="n"/>
      <c r="D1713" s="38" t="n"/>
      <c r="E1713" s="37" t="n"/>
      <c r="F1713" s="38" t="n"/>
      <c r="G1713" s="38" t="n"/>
      <c r="H1713" s="38" t="n"/>
      <c r="I1713" s="38" t="n"/>
      <c r="J1713" s="38" t="n"/>
      <c r="K1713" s="37" t="n"/>
      <c r="L1713" s="39" t="n"/>
      <c r="M1713" s="40" t="n"/>
      <c r="N1713" s="30">
        <f>IF(A1713="","",MONTH(A1713))</f>
        <v/>
      </c>
      <c r="O1713" s="30">
        <f>IF(A1713="","",YEAR(A1713))</f>
        <v/>
      </c>
      <c r="P1713" s="30">
        <f>IF(A1713="","",CHOOSE(WEEKDAY(A1713,2),"Segunda","Terça","Quarta","Quinta","Sexta","Sábado","Domingo"))</f>
        <v/>
      </c>
      <c r="Q1713" s="30">
        <f>IF(B1713="","",IF(B1713&lt;TIME(12,0,0),"Manhã",IF(B1713&lt;TIME(18,0,0),"Tarde","Noite")))</f>
        <v/>
      </c>
      <c r="R1713" s="46">
        <f>IF(AND(H1713="Realizado",L1713&lt;&gt;"",A1713&lt;=Config!$B$9),L1713/60,0)</f>
        <v>0</v>
      </c>
      <c r="S1713" s="45">
        <f>IF(G1713="","",IFERROR(INDEX(Config!$K$5:$K$16,MATCH(G1713,Config!$J$5:$J$16,0)),""))</f>
        <v/>
      </c>
      <c r="T1713" s="31">
        <f>IF(OR(G1713="",F1713=""),"",IFERROR(INDEX(Config!$M$5:$R$16,MATCH(G1713,Config!$J$5:$J$16,0),MATCH(F1713,Config!$H$5:$H$10,0)),""))</f>
        <v/>
      </c>
      <c r="U1713" s="47">
        <f>IF(AND(H1713="Realizado",L1713&lt;&gt;""),L1713/60,0)</f>
        <v>0</v>
      </c>
      <c r="V1713" s="47">
        <f>IF(AND(H1713="Realizado",OR(L1713="",M1713="")),1,0)</f>
        <v>0</v>
      </c>
    </row>
    <row r="1714">
      <c r="A1714" s="43" t="n"/>
      <c r="B1714" s="44" t="n"/>
      <c r="C1714" s="38" t="n"/>
      <c r="D1714" s="38" t="n"/>
      <c r="E1714" s="37" t="n"/>
      <c r="F1714" s="38" t="n"/>
      <c r="G1714" s="38" t="n"/>
      <c r="H1714" s="38" t="n"/>
      <c r="I1714" s="38" t="n"/>
      <c r="J1714" s="38" t="n"/>
      <c r="K1714" s="37" t="n"/>
      <c r="L1714" s="39" t="n"/>
      <c r="M1714" s="40" t="n"/>
      <c r="N1714" s="30">
        <f>IF(A1714="","",MONTH(A1714))</f>
        <v/>
      </c>
      <c r="O1714" s="30">
        <f>IF(A1714="","",YEAR(A1714))</f>
        <v/>
      </c>
      <c r="P1714" s="30">
        <f>IF(A1714="","",CHOOSE(WEEKDAY(A1714,2),"Segunda","Terça","Quarta","Quinta","Sexta","Sábado","Domingo"))</f>
        <v/>
      </c>
      <c r="Q1714" s="30">
        <f>IF(B1714="","",IF(B1714&lt;TIME(12,0,0),"Manhã",IF(B1714&lt;TIME(18,0,0),"Tarde","Noite")))</f>
        <v/>
      </c>
      <c r="R1714" s="46">
        <f>IF(AND(H1714="Realizado",L1714&lt;&gt;"",A1714&lt;=Config!$B$9),L1714/60,0)</f>
        <v>0</v>
      </c>
      <c r="S1714" s="45">
        <f>IF(G1714="","",IFERROR(INDEX(Config!$K$5:$K$16,MATCH(G1714,Config!$J$5:$J$16,0)),""))</f>
        <v/>
      </c>
      <c r="T1714" s="31">
        <f>IF(OR(G1714="",F1714=""),"",IFERROR(INDEX(Config!$M$5:$R$16,MATCH(G1714,Config!$J$5:$J$16,0),MATCH(F1714,Config!$H$5:$H$10,0)),""))</f>
        <v/>
      </c>
      <c r="U1714" s="47">
        <f>IF(AND(H1714="Realizado",L1714&lt;&gt;""),L1714/60,0)</f>
        <v>0</v>
      </c>
      <c r="V1714" s="47">
        <f>IF(AND(H1714="Realizado",OR(L1714="",M1714="")),1,0)</f>
        <v>0</v>
      </c>
    </row>
    <row r="1715">
      <c r="A1715" s="43" t="n"/>
      <c r="B1715" s="44" t="n"/>
      <c r="C1715" s="38" t="n"/>
      <c r="D1715" s="38" t="n"/>
      <c r="E1715" s="37" t="n"/>
      <c r="F1715" s="38" t="n"/>
      <c r="G1715" s="38" t="n"/>
      <c r="H1715" s="38" t="n"/>
      <c r="I1715" s="38" t="n"/>
      <c r="J1715" s="38" t="n"/>
      <c r="K1715" s="37" t="n"/>
      <c r="L1715" s="39" t="n"/>
      <c r="M1715" s="40" t="n"/>
      <c r="N1715" s="30">
        <f>IF(A1715="","",MONTH(A1715))</f>
        <v/>
      </c>
      <c r="O1715" s="30">
        <f>IF(A1715="","",YEAR(A1715))</f>
        <v/>
      </c>
      <c r="P1715" s="30">
        <f>IF(A1715="","",CHOOSE(WEEKDAY(A1715,2),"Segunda","Terça","Quarta","Quinta","Sexta","Sábado","Domingo"))</f>
        <v/>
      </c>
      <c r="Q1715" s="30">
        <f>IF(B1715="","",IF(B1715&lt;TIME(12,0,0),"Manhã",IF(B1715&lt;TIME(18,0,0),"Tarde","Noite")))</f>
        <v/>
      </c>
      <c r="R1715" s="46">
        <f>IF(AND(H1715="Realizado",L1715&lt;&gt;"",A1715&lt;=Config!$B$9),L1715/60,0)</f>
        <v>0</v>
      </c>
      <c r="S1715" s="45">
        <f>IF(G1715="","",IFERROR(INDEX(Config!$K$5:$K$16,MATCH(G1715,Config!$J$5:$J$16,0)),""))</f>
        <v/>
      </c>
      <c r="T1715" s="31">
        <f>IF(OR(G1715="",F1715=""),"",IFERROR(INDEX(Config!$M$5:$R$16,MATCH(G1715,Config!$J$5:$J$16,0),MATCH(F1715,Config!$H$5:$H$10,0)),""))</f>
        <v/>
      </c>
      <c r="U1715" s="47">
        <f>IF(AND(H1715="Realizado",L1715&lt;&gt;""),L1715/60,0)</f>
        <v>0</v>
      </c>
      <c r="V1715" s="47">
        <f>IF(AND(H1715="Realizado",OR(L1715="",M1715="")),1,0)</f>
        <v>0</v>
      </c>
    </row>
    <row r="1716">
      <c r="A1716" s="43" t="n"/>
      <c r="B1716" s="44" t="n"/>
      <c r="C1716" s="38" t="n"/>
      <c r="D1716" s="38" t="n"/>
      <c r="E1716" s="37" t="n"/>
      <c r="F1716" s="38" t="n"/>
      <c r="G1716" s="38" t="n"/>
      <c r="H1716" s="38" t="n"/>
      <c r="I1716" s="38" t="n"/>
      <c r="J1716" s="38" t="n"/>
      <c r="K1716" s="37" t="n"/>
      <c r="L1716" s="39" t="n"/>
      <c r="M1716" s="40" t="n"/>
      <c r="N1716" s="30">
        <f>IF(A1716="","",MONTH(A1716))</f>
        <v/>
      </c>
      <c r="O1716" s="30">
        <f>IF(A1716="","",YEAR(A1716))</f>
        <v/>
      </c>
      <c r="P1716" s="30">
        <f>IF(A1716="","",CHOOSE(WEEKDAY(A1716,2),"Segunda","Terça","Quarta","Quinta","Sexta","Sábado","Domingo"))</f>
        <v/>
      </c>
      <c r="Q1716" s="30">
        <f>IF(B1716="","",IF(B1716&lt;TIME(12,0,0),"Manhã",IF(B1716&lt;TIME(18,0,0),"Tarde","Noite")))</f>
        <v/>
      </c>
      <c r="R1716" s="46">
        <f>IF(AND(H1716="Realizado",L1716&lt;&gt;"",A1716&lt;=Config!$B$9),L1716/60,0)</f>
        <v>0</v>
      </c>
      <c r="S1716" s="45">
        <f>IF(G1716="","",IFERROR(INDEX(Config!$K$5:$K$16,MATCH(G1716,Config!$J$5:$J$16,0)),""))</f>
        <v/>
      </c>
      <c r="T1716" s="31">
        <f>IF(OR(G1716="",F1716=""),"",IFERROR(INDEX(Config!$M$5:$R$16,MATCH(G1716,Config!$J$5:$J$16,0),MATCH(F1716,Config!$H$5:$H$10,0)),""))</f>
        <v/>
      </c>
      <c r="U1716" s="47">
        <f>IF(AND(H1716="Realizado",L1716&lt;&gt;""),L1716/60,0)</f>
        <v>0</v>
      </c>
      <c r="V1716" s="47">
        <f>IF(AND(H1716="Realizado",OR(L1716="",M1716="")),1,0)</f>
        <v>0</v>
      </c>
    </row>
    <row r="1717">
      <c r="A1717" s="43" t="n"/>
      <c r="B1717" s="44" t="n"/>
      <c r="C1717" s="38" t="n"/>
      <c r="D1717" s="38" t="n"/>
      <c r="E1717" s="37" t="n"/>
      <c r="F1717" s="38" t="n"/>
      <c r="G1717" s="38" t="n"/>
      <c r="H1717" s="38" t="n"/>
      <c r="I1717" s="38" t="n"/>
      <c r="J1717" s="38" t="n"/>
      <c r="K1717" s="37" t="n"/>
      <c r="L1717" s="39" t="n"/>
      <c r="M1717" s="40" t="n"/>
      <c r="N1717" s="30">
        <f>IF(A1717="","",MONTH(A1717))</f>
        <v/>
      </c>
      <c r="O1717" s="30">
        <f>IF(A1717="","",YEAR(A1717))</f>
        <v/>
      </c>
      <c r="P1717" s="30">
        <f>IF(A1717="","",CHOOSE(WEEKDAY(A1717,2),"Segunda","Terça","Quarta","Quinta","Sexta","Sábado","Domingo"))</f>
        <v/>
      </c>
      <c r="Q1717" s="30">
        <f>IF(B1717="","",IF(B1717&lt;TIME(12,0,0),"Manhã",IF(B1717&lt;TIME(18,0,0),"Tarde","Noite")))</f>
        <v/>
      </c>
      <c r="R1717" s="46">
        <f>IF(AND(H1717="Realizado",L1717&lt;&gt;"",A1717&lt;=Config!$B$9),L1717/60,0)</f>
        <v>0</v>
      </c>
      <c r="S1717" s="45">
        <f>IF(G1717="","",IFERROR(INDEX(Config!$K$5:$K$16,MATCH(G1717,Config!$J$5:$J$16,0)),""))</f>
        <v/>
      </c>
      <c r="T1717" s="31">
        <f>IF(OR(G1717="",F1717=""),"",IFERROR(INDEX(Config!$M$5:$R$16,MATCH(G1717,Config!$J$5:$J$16,0),MATCH(F1717,Config!$H$5:$H$10,0)),""))</f>
        <v/>
      </c>
      <c r="U1717" s="47">
        <f>IF(AND(H1717="Realizado",L1717&lt;&gt;""),L1717/60,0)</f>
        <v>0</v>
      </c>
      <c r="V1717" s="47">
        <f>IF(AND(H1717="Realizado",OR(L1717="",M1717="")),1,0)</f>
        <v>0</v>
      </c>
    </row>
    <row r="1718">
      <c r="A1718" s="43" t="n"/>
      <c r="B1718" s="44" t="n"/>
      <c r="C1718" s="38" t="n"/>
      <c r="D1718" s="38" t="n"/>
      <c r="E1718" s="37" t="n"/>
      <c r="F1718" s="38" t="n"/>
      <c r="G1718" s="38" t="n"/>
      <c r="H1718" s="38" t="n"/>
      <c r="I1718" s="38" t="n"/>
      <c r="J1718" s="38" t="n"/>
      <c r="K1718" s="37" t="n"/>
      <c r="L1718" s="39" t="n"/>
      <c r="M1718" s="40" t="n"/>
      <c r="N1718" s="30">
        <f>IF(A1718="","",MONTH(A1718))</f>
        <v/>
      </c>
      <c r="O1718" s="30">
        <f>IF(A1718="","",YEAR(A1718))</f>
        <v/>
      </c>
      <c r="P1718" s="30">
        <f>IF(A1718="","",CHOOSE(WEEKDAY(A1718,2),"Segunda","Terça","Quarta","Quinta","Sexta","Sábado","Domingo"))</f>
        <v/>
      </c>
      <c r="Q1718" s="30">
        <f>IF(B1718="","",IF(B1718&lt;TIME(12,0,0),"Manhã",IF(B1718&lt;TIME(18,0,0),"Tarde","Noite")))</f>
        <v/>
      </c>
      <c r="R1718" s="46">
        <f>IF(AND(H1718="Realizado",L1718&lt;&gt;"",A1718&lt;=Config!$B$9),L1718/60,0)</f>
        <v>0</v>
      </c>
      <c r="S1718" s="45">
        <f>IF(G1718="","",IFERROR(INDEX(Config!$K$5:$K$16,MATCH(G1718,Config!$J$5:$J$16,0)),""))</f>
        <v/>
      </c>
      <c r="T1718" s="31">
        <f>IF(OR(G1718="",F1718=""),"",IFERROR(INDEX(Config!$M$5:$R$16,MATCH(G1718,Config!$J$5:$J$16,0),MATCH(F1718,Config!$H$5:$H$10,0)),""))</f>
        <v/>
      </c>
      <c r="U1718" s="47">
        <f>IF(AND(H1718="Realizado",L1718&lt;&gt;""),L1718/60,0)</f>
        <v>0</v>
      </c>
      <c r="V1718" s="47">
        <f>IF(AND(H1718="Realizado",OR(L1718="",M1718="")),1,0)</f>
        <v>0</v>
      </c>
    </row>
    <row r="1719">
      <c r="A1719" s="43" t="n"/>
      <c r="B1719" s="44" t="n"/>
      <c r="C1719" s="38" t="n"/>
      <c r="D1719" s="38" t="n"/>
      <c r="E1719" s="37" t="n"/>
      <c r="F1719" s="38" t="n"/>
      <c r="G1719" s="38" t="n"/>
      <c r="H1719" s="38" t="n"/>
      <c r="I1719" s="38" t="n"/>
      <c r="J1719" s="38" t="n"/>
      <c r="K1719" s="37" t="n"/>
      <c r="L1719" s="39" t="n"/>
      <c r="M1719" s="40" t="n"/>
      <c r="N1719" s="30">
        <f>IF(A1719="","",MONTH(A1719))</f>
        <v/>
      </c>
      <c r="O1719" s="30">
        <f>IF(A1719="","",YEAR(A1719))</f>
        <v/>
      </c>
      <c r="P1719" s="30">
        <f>IF(A1719="","",CHOOSE(WEEKDAY(A1719,2),"Segunda","Terça","Quarta","Quinta","Sexta","Sábado","Domingo"))</f>
        <v/>
      </c>
      <c r="Q1719" s="30">
        <f>IF(B1719="","",IF(B1719&lt;TIME(12,0,0),"Manhã",IF(B1719&lt;TIME(18,0,0),"Tarde","Noite")))</f>
        <v/>
      </c>
      <c r="R1719" s="46">
        <f>IF(AND(H1719="Realizado",L1719&lt;&gt;"",A1719&lt;=Config!$B$9),L1719/60,0)</f>
        <v>0</v>
      </c>
      <c r="S1719" s="45">
        <f>IF(G1719="","",IFERROR(INDEX(Config!$K$5:$K$16,MATCH(G1719,Config!$J$5:$J$16,0)),""))</f>
        <v/>
      </c>
      <c r="T1719" s="31">
        <f>IF(OR(G1719="",F1719=""),"",IFERROR(INDEX(Config!$M$5:$R$16,MATCH(G1719,Config!$J$5:$J$16,0),MATCH(F1719,Config!$H$5:$H$10,0)),""))</f>
        <v/>
      </c>
      <c r="U1719" s="47">
        <f>IF(AND(H1719="Realizado",L1719&lt;&gt;""),L1719/60,0)</f>
        <v>0</v>
      </c>
      <c r="V1719" s="47">
        <f>IF(AND(H1719="Realizado",OR(L1719="",M1719="")),1,0)</f>
        <v>0</v>
      </c>
    </row>
    <row r="1720">
      <c r="A1720" s="43" t="n"/>
      <c r="B1720" s="44" t="n"/>
      <c r="C1720" s="38" t="n"/>
      <c r="D1720" s="38" t="n"/>
      <c r="E1720" s="37" t="n"/>
      <c r="F1720" s="38" t="n"/>
      <c r="G1720" s="38" t="n"/>
      <c r="H1720" s="38" t="n"/>
      <c r="I1720" s="38" t="n"/>
      <c r="J1720" s="38" t="n"/>
      <c r="K1720" s="37" t="n"/>
      <c r="L1720" s="39" t="n"/>
      <c r="M1720" s="40" t="n"/>
      <c r="N1720" s="30">
        <f>IF(A1720="","",MONTH(A1720))</f>
        <v/>
      </c>
      <c r="O1720" s="30">
        <f>IF(A1720="","",YEAR(A1720))</f>
        <v/>
      </c>
      <c r="P1720" s="30">
        <f>IF(A1720="","",CHOOSE(WEEKDAY(A1720,2),"Segunda","Terça","Quarta","Quinta","Sexta","Sábado","Domingo"))</f>
        <v/>
      </c>
      <c r="Q1720" s="30">
        <f>IF(B1720="","",IF(B1720&lt;TIME(12,0,0),"Manhã",IF(B1720&lt;TIME(18,0,0),"Tarde","Noite")))</f>
        <v/>
      </c>
      <c r="R1720" s="46">
        <f>IF(AND(H1720="Realizado",L1720&lt;&gt;"",A1720&lt;=Config!$B$9),L1720/60,0)</f>
        <v>0</v>
      </c>
      <c r="S1720" s="45">
        <f>IF(G1720="","",IFERROR(INDEX(Config!$K$5:$K$16,MATCH(G1720,Config!$J$5:$J$16,0)),""))</f>
        <v/>
      </c>
      <c r="T1720" s="31">
        <f>IF(OR(G1720="",F1720=""),"",IFERROR(INDEX(Config!$M$5:$R$16,MATCH(G1720,Config!$J$5:$J$16,0),MATCH(F1720,Config!$H$5:$H$10,0)),""))</f>
        <v/>
      </c>
      <c r="U1720" s="47">
        <f>IF(AND(H1720="Realizado",L1720&lt;&gt;""),L1720/60,0)</f>
        <v>0</v>
      </c>
      <c r="V1720" s="47">
        <f>IF(AND(H1720="Realizado",OR(L1720="",M1720="")),1,0)</f>
        <v>0</v>
      </c>
    </row>
    <row r="1721">
      <c r="A1721" s="43" t="n"/>
      <c r="B1721" s="44" t="n"/>
      <c r="C1721" s="38" t="n"/>
      <c r="D1721" s="38" t="n"/>
      <c r="E1721" s="37" t="n"/>
      <c r="F1721" s="38" t="n"/>
      <c r="G1721" s="38" t="n"/>
      <c r="H1721" s="38" t="n"/>
      <c r="I1721" s="38" t="n"/>
      <c r="J1721" s="38" t="n"/>
      <c r="K1721" s="37" t="n"/>
      <c r="L1721" s="39" t="n"/>
      <c r="M1721" s="40" t="n"/>
      <c r="N1721" s="30">
        <f>IF(A1721="","",MONTH(A1721))</f>
        <v/>
      </c>
      <c r="O1721" s="30">
        <f>IF(A1721="","",YEAR(A1721))</f>
        <v/>
      </c>
      <c r="P1721" s="30">
        <f>IF(A1721="","",CHOOSE(WEEKDAY(A1721,2),"Segunda","Terça","Quarta","Quinta","Sexta","Sábado","Domingo"))</f>
        <v/>
      </c>
      <c r="Q1721" s="30">
        <f>IF(B1721="","",IF(B1721&lt;TIME(12,0,0),"Manhã",IF(B1721&lt;TIME(18,0,0),"Tarde","Noite")))</f>
        <v/>
      </c>
      <c r="R1721" s="46">
        <f>IF(AND(H1721="Realizado",L1721&lt;&gt;"",A1721&lt;=Config!$B$9),L1721/60,0)</f>
        <v>0</v>
      </c>
      <c r="S1721" s="45">
        <f>IF(G1721="","",IFERROR(INDEX(Config!$K$5:$K$16,MATCH(G1721,Config!$J$5:$J$16,0)),""))</f>
        <v/>
      </c>
      <c r="T1721" s="31">
        <f>IF(OR(G1721="",F1721=""),"",IFERROR(INDEX(Config!$M$5:$R$16,MATCH(G1721,Config!$J$5:$J$16,0),MATCH(F1721,Config!$H$5:$H$10,0)),""))</f>
        <v/>
      </c>
      <c r="U1721" s="47">
        <f>IF(AND(H1721="Realizado",L1721&lt;&gt;""),L1721/60,0)</f>
        <v>0</v>
      </c>
      <c r="V1721" s="47">
        <f>IF(AND(H1721="Realizado",OR(L1721="",M1721="")),1,0)</f>
        <v>0</v>
      </c>
    </row>
    <row r="1722">
      <c r="A1722" s="43" t="n"/>
      <c r="B1722" s="44" t="n"/>
      <c r="C1722" s="38" t="n"/>
      <c r="D1722" s="38" t="n"/>
      <c r="E1722" s="37" t="n"/>
      <c r="F1722" s="38" t="n"/>
      <c r="G1722" s="38" t="n"/>
      <c r="H1722" s="38" t="n"/>
      <c r="I1722" s="38" t="n"/>
      <c r="J1722" s="38" t="n"/>
      <c r="K1722" s="37" t="n"/>
      <c r="L1722" s="39" t="n"/>
      <c r="M1722" s="40" t="n"/>
      <c r="N1722" s="30">
        <f>IF(A1722="","",MONTH(A1722))</f>
        <v/>
      </c>
      <c r="O1722" s="30">
        <f>IF(A1722="","",YEAR(A1722))</f>
        <v/>
      </c>
      <c r="P1722" s="30">
        <f>IF(A1722="","",CHOOSE(WEEKDAY(A1722,2),"Segunda","Terça","Quarta","Quinta","Sexta","Sábado","Domingo"))</f>
        <v/>
      </c>
      <c r="Q1722" s="30">
        <f>IF(B1722="","",IF(B1722&lt;TIME(12,0,0),"Manhã",IF(B1722&lt;TIME(18,0,0),"Tarde","Noite")))</f>
        <v/>
      </c>
      <c r="R1722" s="46">
        <f>IF(AND(H1722="Realizado",L1722&lt;&gt;"",A1722&lt;=Config!$B$9),L1722/60,0)</f>
        <v>0</v>
      </c>
      <c r="S1722" s="45">
        <f>IF(G1722="","",IFERROR(INDEX(Config!$K$5:$K$16,MATCH(G1722,Config!$J$5:$J$16,0)),""))</f>
        <v/>
      </c>
      <c r="T1722" s="31">
        <f>IF(OR(G1722="",F1722=""),"",IFERROR(INDEX(Config!$M$5:$R$16,MATCH(G1722,Config!$J$5:$J$16,0),MATCH(F1722,Config!$H$5:$H$10,0)),""))</f>
        <v/>
      </c>
      <c r="U1722" s="47">
        <f>IF(AND(H1722="Realizado",L1722&lt;&gt;""),L1722/60,0)</f>
        <v>0</v>
      </c>
      <c r="V1722" s="47">
        <f>IF(AND(H1722="Realizado",OR(L1722="",M1722="")),1,0)</f>
        <v>0</v>
      </c>
    </row>
    <row r="1723">
      <c r="A1723" s="43" t="n"/>
      <c r="B1723" s="44" t="n"/>
      <c r="C1723" s="38" t="n"/>
      <c r="D1723" s="38" t="n"/>
      <c r="E1723" s="37" t="n"/>
      <c r="F1723" s="38" t="n"/>
      <c r="G1723" s="38" t="n"/>
      <c r="H1723" s="38" t="n"/>
      <c r="I1723" s="38" t="n"/>
      <c r="J1723" s="38" t="n"/>
      <c r="K1723" s="37" t="n"/>
      <c r="L1723" s="39" t="n"/>
      <c r="M1723" s="40" t="n"/>
      <c r="N1723" s="30">
        <f>IF(A1723="","",MONTH(A1723))</f>
        <v/>
      </c>
      <c r="O1723" s="30">
        <f>IF(A1723="","",YEAR(A1723))</f>
        <v/>
      </c>
      <c r="P1723" s="30">
        <f>IF(A1723="","",CHOOSE(WEEKDAY(A1723,2),"Segunda","Terça","Quarta","Quinta","Sexta","Sábado","Domingo"))</f>
        <v/>
      </c>
      <c r="Q1723" s="30">
        <f>IF(B1723="","",IF(B1723&lt;TIME(12,0,0),"Manhã",IF(B1723&lt;TIME(18,0,0),"Tarde","Noite")))</f>
        <v/>
      </c>
      <c r="R1723" s="46">
        <f>IF(AND(H1723="Realizado",L1723&lt;&gt;"",A1723&lt;=Config!$B$9),L1723/60,0)</f>
        <v>0</v>
      </c>
      <c r="S1723" s="45">
        <f>IF(G1723="","",IFERROR(INDEX(Config!$K$5:$K$16,MATCH(G1723,Config!$J$5:$J$16,0)),""))</f>
        <v/>
      </c>
      <c r="T1723" s="31">
        <f>IF(OR(G1723="",F1723=""),"",IFERROR(INDEX(Config!$M$5:$R$16,MATCH(G1723,Config!$J$5:$J$16,0),MATCH(F1723,Config!$H$5:$H$10,0)),""))</f>
        <v/>
      </c>
      <c r="U1723" s="47">
        <f>IF(AND(H1723="Realizado",L1723&lt;&gt;""),L1723/60,0)</f>
        <v>0</v>
      </c>
      <c r="V1723" s="47">
        <f>IF(AND(H1723="Realizado",OR(L1723="",M1723="")),1,0)</f>
        <v>0</v>
      </c>
    </row>
    <row r="1724">
      <c r="A1724" s="43" t="n"/>
      <c r="B1724" s="44" t="n"/>
      <c r="C1724" s="38" t="n"/>
      <c r="D1724" s="38" t="n"/>
      <c r="E1724" s="37" t="n"/>
      <c r="F1724" s="38" t="n"/>
      <c r="G1724" s="38" t="n"/>
      <c r="H1724" s="38" t="n"/>
      <c r="I1724" s="38" t="n"/>
      <c r="J1724" s="38" t="n"/>
      <c r="K1724" s="37" t="n"/>
      <c r="L1724" s="39" t="n"/>
      <c r="M1724" s="40" t="n"/>
      <c r="N1724" s="30">
        <f>IF(A1724="","",MONTH(A1724))</f>
        <v/>
      </c>
      <c r="O1724" s="30">
        <f>IF(A1724="","",YEAR(A1724))</f>
        <v/>
      </c>
      <c r="P1724" s="30">
        <f>IF(A1724="","",CHOOSE(WEEKDAY(A1724,2),"Segunda","Terça","Quarta","Quinta","Sexta","Sábado","Domingo"))</f>
        <v/>
      </c>
      <c r="Q1724" s="30">
        <f>IF(B1724="","",IF(B1724&lt;TIME(12,0,0),"Manhã",IF(B1724&lt;TIME(18,0,0),"Tarde","Noite")))</f>
        <v/>
      </c>
      <c r="R1724" s="46">
        <f>IF(AND(H1724="Realizado",L1724&lt;&gt;"",A1724&lt;=Config!$B$9),L1724/60,0)</f>
        <v>0</v>
      </c>
      <c r="S1724" s="45">
        <f>IF(G1724="","",IFERROR(INDEX(Config!$K$5:$K$16,MATCH(G1724,Config!$J$5:$J$16,0)),""))</f>
        <v/>
      </c>
      <c r="T1724" s="31">
        <f>IF(OR(G1724="",F1724=""),"",IFERROR(INDEX(Config!$M$5:$R$16,MATCH(G1724,Config!$J$5:$J$16,0),MATCH(F1724,Config!$H$5:$H$10,0)),""))</f>
        <v/>
      </c>
      <c r="U1724" s="47">
        <f>IF(AND(H1724="Realizado",L1724&lt;&gt;""),L1724/60,0)</f>
        <v>0</v>
      </c>
      <c r="V1724" s="47">
        <f>IF(AND(H1724="Realizado",OR(L1724="",M1724="")),1,0)</f>
        <v>0</v>
      </c>
    </row>
    <row r="1725">
      <c r="A1725" s="43" t="n"/>
      <c r="B1725" s="44" t="n"/>
      <c r="C1725" s="38" t="n"/>
      <c r="D1725" s="38" t="n"/>
      <c r="E1725" s="37" t="n"/>
      <c r="F1725" s="38" t="n"/>
      <c r="G1725" s="38" t="n"/>
      <c r="H1725" s="38" t="n"/>
      <c r="I1725" s="38" t="n"/>
      <c r="J1725" s="38" t="n"/>
      <c r="K1725" s="37" t="n"/>
      <c r="L1725" s="39" t="n"/>
      <c r="M1725" s="40" t="n"/>
      <c r="N1725" s="30">
        <f>IF(A1725="","",MONTH(A1725))</f>
        <v/>
      </c>
      <c r="O1725" s="30">
        <f>IF(A1725="","",YEAR(A1725))</f>
        <v/>
      </c>
      <c r="P1725" s="30">
        <f>IF(A1725="","",CHOOSE(WEEKDAY(A1725,2),"Segunda","Terça","Quarta","Quinta","Sexta","Sábado","Domingo"))</f>
        <v/>
      </c>
      <c r="Q1725" s="30">
        <f>IF(B1725="","",IF(B1725&lt;TIME(12,0,0),"Manhã",IF(B1725&lt;TIME(18,0,0),"Tarde","Noite")))</f>
        <v/>
      </c>
      <c r="R1725" s="46">
        <f>IF(AND(H1725="Realizado",L1725&lt;&gt;"",A1725&lt;=Config!$B$9),L1725/60,0)</f>
        <v>0</v>
      </c>
      <c r="S1725" s="45">
        <f>IF(G1725="","",IFERROR(INDEX(Config!$K$5:$K$16,MATCH(G1725,Config!$J$5:$J$16,0)),""))</f>
        <v/>
      </c>
      <c r="T1725" s="31">
        <f>IF(OR(G1725="",F1725=""),"",IFERROR(INDEX(Config!$M$5:$R$16,MATCH(G1725,Config!$J$5:$J$16,0),MATCH(F1725,Config!$H$5:$H$10,0)),""))</f>
        <v/>
      </c>
      <c r="U1725" s="47">
        <f>IF(AND(H1725="Realizado",L1725&lt;&gt;""),L1725/60,0)</f>
        <v>0</v>
      </c>
      <c r="V1725" s="47">
        <f>IF(AND(H1725="Realizado",OR(L1725="",M1725="")),1,0)</f>
        <v>0</v>
      </c>
    </row>
    <row r="1726">
      <c r="A1726" s="43" t="n"/>
      <c r="B1726" s="44" t="n"/>
      <c r="C1726" s="38" t="n"/>
      <c r="D1726" s="38" t="n"/>
      <c r="E1726" s="37" t="n"/>
      <c r="F1726" s="38" t="n"/>
      <c r="G1726" s="38" t="n"/>
      <c r="H1726" s="38" t="n"/>
      <c r="I1726" s="38" t="n"/>
      <c r="J1726" s="38" t="n"/>
      <c r="K1726" s="37" t="n"/>
      <c r="L1726" s="39" t="n"/>
      <c r="M1726" s="40" t="n"/>
      <c r="N1726" s="30">
        <f>IF(A1726="","",MONTH(A1726))</f>
        <v/>
      </c>
      <c r="O1726" s="30">
        <f>IF(A1726="","",YEAR(A1726))</f>
        <v/>
      </c>
      <c r="P1726" s="30">
        <f>IF(A1726="","",CHOOSE(WEEKDAY(A1726,2),"Segunda","Terça","Quarta","Quinta","Sexta","Sábado","Domingo"))</f>
        <v/>
      </c>
      <c r="Q1726" s="30">
        <f>IF(B1726="","",IF(B1726&lt;TIME(12,0,0),"Manhã",IF(B1726&lt;TIME(18,0,0),"Tarde","Noite")))</f>
        <v/>
      </c>
      <c r="R1726" s="46">
        <f>IF(AND(H1726="Realizado",L1726&lt;&gt;"",A1726&lt;=Config!$B$9),L1726/60,0)</f>
        <v>0</v>
      </c>
      <c r="S1726" s="45">
        <f>IF(G1726="","",IFERROR(INDEX(Config!$K$5:$K$16,MATCH(G1726,Config!$J$5:$J$16,0)),""))</f>
        <v/>
      </c>
      <c r="T1726" s="31">
        <f>IF(OR(G1726="",F1726=""),"",IFERROR(INDEX(Config!$M$5:$R$16,MATCH(G1726,Config!$J$5:$J$16,0),MATCH(F1726,Config!$H$5:$H$10,0)),""))</f>
        <v/>
      </c>
      <c r="U1726" s="47">
        <f>IF(AND(H1726="Realizado",L1726&lt;&gt;""),L1726/60,0)</f>
        <v>0</v>
      </c>
      <c r="V1726" s="47">
        <f>IF(AND(H1726="Realizado",OR(L1726="",M1726="")),1,0)</f>
        <v>0</v>
      </c>
    </row>
    <row r="1727">
      <c r="A1727" s="43" t="n"/>
      <c r="B1727" s="44" t="n"/>
      <c r="C1727" s="38" t="n"/>
      <c r="D1727" s="38" t="n"/>
      <c r="E1727" s="37" t="n"/>
      <c r="F1727" s="38" t="n"/>
      <c r="G1727" s="38" t="n"/>
      <c r="H1727" s="38" t="n"/>
      <c r="I1727" s="38" t="n"/>
      <c r="J1727" s="38" t="n"/>
      <c r="K1727" s="37" t="n"/>
      <c r="L1727" s="39" t="n"/>
      <c r="M1727" s="40" t="n"/>
      <c r="N1727" s="30">
        <f>IF(A1727="","",MONTH(A1727))</f>
        <v/>
      </c>
      <c r="O1727" s="30">
        <f>IF(A1727="","",YEAR(A1727))</f>
        <v/>
      </c>
      <c r="P1727" s="30">
        <f>IF(A1727="","",CHOOSE(WEEKDAY(A1727,2),"Segunda","Terça","Quarta","Quinta","Sexta","Sábado","Domingo"))</f>
        <v/>
      </c>
      <c r="Q1727" s="30">
        <f>IF(B1727="","",IF(B1727&lt;TIME(12,0,0),"Manhã",IF(B1727&lt;TIME(18,0,0),"Tarde","Noite")))</f>
        <v/>
      </c>
      <c r="R1727" s="46">
        <f>IF(AND(H1727="Realizado",L1727&lt;&gt;"",A1727&lt;=Config!$B$9),L1727/60,0)</f>
        <v>0</v>
      </c>
      <c r="S1727" s="45">
        <f>IF(G1727="","",IFERROR(INDEX(Config!$K$5:$K$16,MATCH(G1727,Config!$J$5:$J$16,0)),""))</f>
        <v/>
      </c>
      <c r="T1727" s="31">
        <f>IF(OR(G1727="",F1727=""),"",IFERROR(INDEX(Config!$M$5:$R$16,MATCH(G1727,Config!$J$5:$J$16,0),MATCH(F1727,Config!$H$5:$H$10,0)),""))</f>
        <v/>
      </c>
      <c r="U1727" s="47">
        <f>IF(AND(H1727="Realizado",L1727&lt;&gt;""),L1727/60,0)</f>
        <v>0</v>
      </c>
      <c r="V1727" s="47">
        <f>IF(AND(H1727="Realizado",OR(L1727="",M1727="")),1,0)</f>
        <v>0</v>
      </c>
    </row>
    <row r="1728">
      <c r="A1728" s="43" t="n"/>
      <c r="B1728" s="44" t="n"/>
      <c r="C1728" s="38" t="n"/>
      <c r="D1728" s="38" t="n"/>
      <c r="E1728" s="37" t="n"/>
      <c r="F1728" s="38" t="n"/>
      <c r="G1728" s="38" t="n"/>
      <c r="H1728" s="38" t="n"/>
      <c r="I1728" s="38" t="n"/>
      <c r="J1728" s="38" t="n"/>
      <c r="K1728" s="37" t="n"/>
      <c r="L1728" s="39" t="n"/>
      <c r="M1728" s="40" t="n"/>
      <c r="N1728" s="30">
        <f>IF(A1728="","",MONTH(A1728))</f>
        <v/>
      </c>
      <c r="O1728" s="30">
        <f>IF(A1728="","",YEAR(A1728))</f>
        <v/>
      </c>
      <c r="P1728" s="30">
        <f>IF(A1728="","",CHOOSE(WEEKDAY(A1728,2),"Segunda","Terça","Quarta","Quinta","Sexta","Sábado","Domingo"))</f>
        <v/>
      </c>
      <c r="Q1728" s="30">
        <f>IF(B1728="","",IF(B1728&lt;TIME(12,0,0),"Manhã",IF(B1728&lt;TIME(18,0,0),"Tarde","Noite")))</f>
        <v/>
      </c>
      <c r="R1728" s="46">
        <f>IF(AND(H1728="Realizado",L1728&lt;&gt;"",A1728&lt;=Config!$B$9),L1728/60,0)</f>
        <v>0</v>
      </c>
      <c r="S1728" s="45">
        <f>IF(G1728="","",IFERROR(INDEX(Config!$K$5:$K$16,MATCH(G1728,Config!$J$5:$J$16,0)),""))</f>
        <v/>
      </c>
      <c r="T1728" s="31">
        <f>IF(OR(G1728="",F1728=""),"",IFERROR(INDEX(Config!$M$5:$R$16,MATCH(G1728,Config!$J$5:$J$16,0),MATCH(F1728,Config!$H$5:$H$10,0)),""))</f>
        <v/>
      </c>
      <c r="U1728" s="47">
        <f>IF(AND(H1728="Realizado",L1728&lt;&gt;""),L1728/60,0)</f>
        <v>0</v>
      </c>
      <c r="V1728" s="47">
        <f>IF(AND(H1728="Realizado",OR(L1728="",M1728="")),1,0)</f>
        <v>0</v>
      </c>
    </row>
    <row r="1729">
      <c r="A1729" s="43" t="n"/>
      <c r="B1729" s="44" t="n"/>
      <c r="C1729" s="38" t="n"/>
      <c r="D1729" s="38" t="n"/>
      <c r="E1729" s="37" t="n"/>
      <c r="F1729" s="38" t="n"/>
      <c r="G1729" s="38" t="n"/>
      <c r="H1729" s="38" t="n"/>
      <c r="I1729" s="38" t="n"/>
      <c r="J1729" s="38" t="n"/>
      <c r="K1729" s="37" t="n"/>
      <c r="L1729" s="39" t="n"/>
      <c r="M1729" s="40" t="n"/>
      <c r="N1729" s="30">
        <f>IF(A1729="","",MONTH(A1729))</f>
        <v/>
      </c>
      <c r="O1729" s="30">
        <f>IF(A1729="","",YEAR(A1729))</f>
        <v/>
      </c>
      <c r="P1729" s="30">
        <f>IF(A1729="","",CHOOSE(WEEKDAY(A1729,2),"Segunda","Terça","Quarta","Quinta","Sexta","Sábado","Domingo"))</f>
        <v/>
      </c>
      <c r="Q1729" s="30">
        <f>IF(B1729="","",IF(B1729&lt;TIME(12,0,0),"Manhã",IF(B1729&lt;TIME(18,0,0),"Tarde","Noite")))</f>
        <v/>
      </c>
      <c r="R1729" s="46">
        <f>IF(AND(H1729="Realizado",L1729&lt;&gt;"",A1729&lt;=Config!$B$9),L1729/60,0)</f>
        <v>0</v>
      </c>
      <c r="S1729" s="45">
        <f>IF(G1729="","",IFERROR(INDEX(Config!$K$5:$K$16,MATCH(G1729,Config!$J$5:$J$16,0)),""))</f>
        <v/>
      </c>
      <c r="T1729" s="31">
        <f>IF(OR(G1729="",F1729=""),"",IFERROR(INDEX(Config!$M$5:$R$16,MATCH(G1729,Config!$J$5:$J$16,0),MATCH(F1729,Config!$H$5:$H$10,0)),""))</f>
        <v/>
      </c>
      <c r="U1729" s="47">
        <f>IF(AND(H1729="Realizado",L1729&lt;&gt;""),L1729/60,0)</f>
        <v>0</v>
      </c>
      <c r="V1729" s="47">
        <f>IF(AND(H1729="Realizado",OR(L1729="",M1729="")),1,0)</f>
        <v>0</v>
      </c>
    </row>
    <row r="1730">
      <c r="A1730" s="43" t="n"/>
      <c r="B1730" s="44" t="n"/>
      <c r="C1730" s="38" t="n"/>
      <c r="D1730" s="38" t="n"/>
      <c r="E1730" s="37" t="n"/>
      <c r="F1730" s="38" t="n"/>
      <c r="G1730" s="38" t="n"/>
      <c r="H1730" s="38" t="n"/>
      <c r="I1730" s="38" t="n"/>
      <c r="J1730" s="38" t="n"/>
      <c r="K1730" s="37" t="n"/>
      <c r="L1730" s="39" t="n"/>
      <c r="M1730" s="40" t="n"/>
      <c r="N1730" s="30">
        <f>IF(A1730="","",MONTH(A1730))</f>
        <v/>
      </c>
      <c r="O1730" s="30">
        <f>IF(A1730="","",YEAR(A1730))</f>
        <v/>
      </c>
      <c r="P1730" s="30">
        <f>IF(A1730="","",CHOOSE(WEEKDAY(A1730,2),"Segunda","Terça","Quarta","Quinta","Sexta","Sábado","Domingo"))</f>
        <v/>
      </c>
      <c r="Q1730" s="30">
        <f>IF(B1730="","",IF(B1730&lt;TIME(12,0,0),"Manhã",IF(B1730&lt;TIME(18,0,0),"Tarde","Noite")))</f>
        <v/>
      </c>
      <c r="R1730" s="46">
        <f>IF(AND(H1730="Realizado",L1730&lt;&gt;"",A1730&lt;=Config!$B$9),L1730/60,0)</f>
        <v>0</v>
      </c>
      <c r="S1730" s="45">
        <f>IF(G1730="","",IFERROR(INDEX(Config!$K$5:$K$16,MATCH(G1730,Config!$J$5:$J$16,0)),""))</f>
        <v/>
      </c>
      <c r="T1730" s="31">
        <f>IF(OR(G1730="",F1730=""),"",IFERROR(INDEX(Config!$M$5:$R$16,MATCH(G1730,Config!$J$5:$J$16,0),MATCH(F1730,Config!$H$5:$H$10,0)),""))</f>
        <v/>
      </c>
      <c r="U1730" s="47">
        <f>IF(AND(H1730="Realizado",L1730&lt;&gt;""),L1730/60,0)</f>
        <v>0</v>
      </c>
      <c r="V1730" s="47">
        <f>IF(AND(H1730="Realizado",OR(L1730="",M1730="")),1,0)</f>
        <v>0</v>
      </c>
    </row>
    <row r="1731">
      <c r="A1731" s="43" t="n"/>
      <c r="B1731" s="44" t="n"/>
      <c r="C1731" s="38" t="n"/>
      <c r="D1731" s="38" t="n"/>
      <c r="E1731" s="37" t="n"/>
      <c r="F1731" s="38" t="n"/>
      <c r="G1731" s="38" t="n"/>
      <c r="H1731" s="38" t="n"/>
      <c r="I1731" s="38" t="n"/>
      <c r="J1731" s="38" t="n"/>
      <c r="K1731" s="37" t="n"/>
      <c r="L1731" s="39" t="n"/>
      <c r="M1731" s="40" t="n"/>
      <c r="N1731" s="30">
        <f>IF(A1731="","",MONTH(A1731))</f>
        <v/>
      </c>
      <c r="O1731" s="30">
        <f>IF(A1731="","",YEAR(A1731))</f>
        <v/>
      </c>
      <c r="P1731" s="30">
        <f>IF(A1731="","",CHOOSE(WEEKDAY(A1731,2),"Segunda","Terça","Quarta","Quinta","Sexta","Sábado","Domingo"))</f>
        <v/>
      </c>
      <c r="Q1731" s="30">
        <f>IF(B1731="","",IF(B1731&lt;TIME(12,0,0),"Manhã",IF(B1731&lt;TIME(18,0,0),"Tarde","Noite")))</f>
        <v/>
      </c>
      <c r="R1731" s="46">
        <f>IF(AND(H1731="Realizado",L1731&lt;&gt;"",A1731&lt;=Config!$B$9),L1731/60,0)</f>
        <v>0</v>
      </c>
      <c r="S1731" s="45">
        <f>IF(G1731="","",IFERROR(INDEX(Config!$K$5:$K$16,MATCH(G1731,Config!$J$5:$J$16,0)),""))</f>
        <v/>
      </c>
      <c r="T1731" s="31">
        <f>IF(OR(G1731="",F1731=""),"",IFERROR(INDEX(Config!$M$5:$R$16,MATCH(G1731,Config!$J$5:$J$16,0),MATCH(F1731,Config!$H$5:$H$10,0)),""))</f>
        <v/>
      </c>
      <c r="U1731" s="47">
        <f>IF(AND(H1731="Realizado",L1731&lt;&gt;""),L1731/60,0)</f>
        <v>0</v>
      </c>
      <c r="V1731" s="47">
        <f>IF(AND(H1731="Realizado",OR(L1731="",M1731="")),1,0)</f>
        <v>0</v>
      </c>
    </row>
    <row r="1732">
      <c r="A1732" s="43" t="n"/>
      <c r="B1732" s="44" t="n"/>
      <c r="C1732" s="38" t="n"/>
      <c r="D1732" s="38" t="n"/>
      <c r="E1732" s="37" t="n"/>
      <c r="F1732" s="38" t="n"/>
      <c r="G1732" s="38" t="n"/>
      <c r="H1732" s="38" t="n"/>
      <c r="I1732" s="38" t="n"/>
      <c r="J1732" s="38" t="n"/>
      <c r="K1732" s="37" t="n"/>
      <c r="L1732" s="39" t="n"/>
      <c r="M1732" s="40" t="n"/>
      <c r="N1732" s="30">
        <f>IF(A1732="","",MONTH(A1732))</f>
        <v/>
      </c>
      <c r="O1732" s="30">
        <f>IF(A1732="","",YEAR(A1732))</f>
        <v/>
      </c>
      <c r="P1732" s="30">
        <f>IF(A1732="","",CHOOSE(WEEKDAY(A1732,2),"Segunda","Terça","Quarta","Quinta","Sexta","Sábado","Domingo"))</f>
        <v/>
      </c>
      <c r="Q1732" s="30">
        <f>IF(B1732="","",IF(B1732&lt;TIME(12,0,0),"Manhã",IF(B1732&lt;TIME(18,0,0),"Tarde","Noite")))</f>
        <v/>
      </c>
      <c r="R1732" s="46">
        <f>IF(AND(H1732="Realizado",L1732&lt;&gt;"",A1732&lt;=Config!$B$9),L1732/60,0)</f>
        <v>0</v>
      </c>
      <c r="S1732" s="45">
        <f>IF(G1732="","",IFERROR(INDEX(Config!$K$5:$K$16,MATCH(G1732,Config!$J$5:$J$16,0)),""))</f>
        <v/>
      </c>
      <c r="T1732" s="31">
        <f>IF(OR(G1732="",F1732=""),"",IFERROR(INDEX(Config!$M$5:$R$16,MATCH(G1732,Config!$J$5:$J$16,0),MATCH(F1732,Config!$H$5:$H$10,0)),""))</f>
        <v/>
      </c>
      <c r="U1732" s="47">
        <f>IF(AND(H1732="Realizado",L1732&lt;&gt;""),L1732/60,0)</f>
        <v>0</v>
      </c>
      <c r="V1732" s="47">
        <f>IF(AND(H1732="Realizado",OR(L1732="",M1732="")),1,0)</f>
        <v>0</v>
      </c>
    </row>
    <row r="1733">
      <c r="A1733" s="43" t="n"/>
      <c r="B1733" s="44" t="n"/>
      <c r="C1733" s="38" t="n"/>
      <c r="D1733" s="38" t="n"/>
      <c r="E1733" s="37" t="n"/>
      <c r="F1733" s="38" t="n"/>
      <c r="G1733" s="38" t="n"/>
      <c r="H1733" s="38" t="n"/>
      <c r="I1733" s="38" t="n"/>
      <c r="J1733" s="38" t="n"/>
      <c r="K1733" s="37" t="n"/>
      <c r="L1733" s="39" t="n"/>
      <c r="M1733" s="40" t="n"/>
      <c r="N1733" s="30">
        <f>IF(A1733="","",MONTH(A1733))</f>
        <v/>
      </c>
      <c r="O1733" s="30">
        <f>IF(A1733="","",YEAR(A1733))</f>
        <v/>
      </c>
      <c r="P1733" s="30">
        <f>IF(A1733="","",CHOOSE(WEEKDAY(A1733,2),"Segunda","Terça","Quarta","Quinta","Sexta","Sábado","Domingo"))</f>
        <v/>
      </c>
      <c r="Q1733" s="30">
        <f>IF(B1733="","",IF(B1733&lt;TIME(12,0,0),"Manhã",IF(B1733&lt;TIME(18,0,0),"Tarde","Noite")))</f>
        <v/>
      </c>
      <c r="R1733" s="46">
        <f>IF(AND(H1733="Realizado",L1733&lt;&gt;"",A1733&lt;=Config!$B$9),L1733/60,0)</f>
        <v>0</v>
      </c>
      <c r="S1733" s="45">
        <f>IF(G1733="","",IFERROR(INDEX(Config!$K$5:$K$16,MATCH(G1733,Config!$J$5:$J$16,0)),""))</f>
        <v/>
      </c>
      <c r="T1733" s="31">
        <f>IF(OR(G1733="",F1733=""),"",IFERROR(INDEX(Config!$M$5:$R$16,MATCH(G1733,Config!$J$5:$J$16,0),MATCH(F1733,Config!$H$5:$H$10,0)),""))</f>
        <v/>
      </c>
      <c r="U1733" s="47">
        <f>IF(AND(H1733="Realizado",L1733&lt;&gt;""),L1733/60,0)</f>
        <v>0</v>
      </c>
      <c r="V1733" s="47">
        <f>IF(AND(H1733="Realizado",OR(L1733="",M1733="")),1,0)</f>
        <v>0</v>
      </c>
    </row>
    <row r="1734">
      <c r="A1734" s="43" t="n"/>
      <c r="B1734" s="44" t="n"/>
      <c r="C1734" s="38" t="n"/>
      <c r="D1734" s="38" t="n"/>
      <c r="E1734" s="37" t="n"/>
      <c r="F1734" s="38" t="n"/>
      <c r="G1734" s="38" t="n"/>
      <c r="H1734" s="38" t="n"/>
      <c r="I1734" s="38" t="n"/>
      <c r="J1734" s="38" t="n"/>
      <c r="K1734" s="37" t="n"/>
      <c r="L1734" s="39" t="n"/>
      <c r="M1734" s="40" t="n"/>
      <c r="N1734" s="30">
        <f>IF(A1734="","",MONTH(A1734))</f>
        <v/>
      </c>
      <c r="O1734" s="30">
        <f>IF(A1734="","",YEAR(A1734))</f>
        <v/>
      </c>
      <c r="P1734" s="30">
        <f>IF(A1734="","",CHOOSE(WEEKDAY(A1734,2),"Segunda","Terça","Quarta","Quinta","Sexta","Sábado","Domingo"))</f>
        <v/>
      </c>
      <c r="Q1734" s="30">
        <f>IF(B1734="","",IF(B1734&lt;TIME(12,0,0),"Manhã",IF(B1734&lt;TIME(18,0,0),"Tarde","Noite")))</f>
        <v/>
      </c>
      <c r="R1734" s="46">
        <f>IF(AND(H1734="Realizado",L1734&lt;&gt;"",A1734&lt;=Config!$B$9),L1734/60,0)</f>
        <v>0</v>
      </c>
      <c r="S1734" s="45">
        <f>IF(G1734="","",IFERROR(INDEX(Config!$K$5:$K$16,MATCH(G1734,Config!$J$5:$J$16,0)),""))</f>
        <v/>
      </c>
      <c r="T1734" s="31">
        <f>IF(OR(G1734="",F1734=""),"",IFERROR(INDEX(Config!$M$5:$R$16,MATCH(G1734,Config!$J$5:$J$16,0),MATCH(F1734,Config!$H$5:$H$10,0)),""))</f>
        <v/>
      </c>
      <c r="U1734" s="47">
        <f>IF(AND(H1734="Realizado",L1734&lt;&gt;""),L1734/60,0)</f>
        <v>0</v>
      </c>
      <c r="V1734" s="47">
        <f>IF(AND(H1734="Realizado",OR(L1734="",M1734="")),1,0)</f>
        <v>0</v>
      </c>
    </row>
    <row r="1735">
      <c r="A1735" s="43" t="n"/>
      <c r="B1735" s="44" t="n"/>
      <c r="C1735" s="38" t="n"/>
      <c r="D1735" s="38" t="n"/>
      <c r="E1735" s="37" t="n"/>
      <c r="F1735" s="38" t="n"/>
      <c r="G1735" s="38" t="n"/>
      <c r="H1735" s="38" t="n"/>
      <c r="I1735" s="38" t="n"/>
      <c r="J1735" s="38" t="n"/>
      <c r="K1735" s="37" t="n"/>
      <c r="L1735" s="39" t="n"/>
      <c r="M1735" s="40" t="n"/>
      <c r="N1735" s="30">
        <f>IF(A1735="","",MONTH(A1735))</f>
        <v/>
      </c>
      <c r="O1735" s="30">
        <f>IF(A1735="","",YEAR(A1735))</f>
        <v/>
      </c>
      <c r="P1735" s="30">
        <f>IF(A1735="","",CHOOSE(WEEKDAY(A1735,2),"Segunda","Terça","Quarta","Quinta","Sexta","Sábado","Domingo"))</f>
        <v/>
      </c>
      <c r="Q1735" s="30">
        <f>IF(B1735="","",IF(B1735&lt;TIME(12,0,0),"Manhã",IF(B1735&lt;TIME(18,0,0),"Tarde","Noite")))</f>
        <v/>
      </c>
      <c r="R1735" s="46">
        <f>IF(AND(H1735="Realizado",L1735&lt;&gt;"",A1735&lt;=Config!$B$9),L1735/60,0)</f>
        <v>0</v>
      </c>
      <c r="S1735" s="45">
        <f>IF(G1735="","",IFERROR(INDEX(Config!$K$5:$K$16,MATCH(G1735,Config!$J$5:$J$16,0)),""))</f>
        <v/>
      </c>
      <c r="T1735" s="31">
        <f>IF(OR(G1735="",F1735=""),"",IFERROR(INDEX(Config!$M$5:$R$16,MATCH(G1735,Config!$J$5:$J$16,0),MATCH(F1735,Config!$H$5:$H$10,0)),""))</f>
        <v/>
      </c>
      <c r="U1735" s="47">
        <f>IF(AND(H1735="Realizado",L1735&lt;&gt;""),L1735/60,0)</f>
        <v>0</v>
      </c>
      <c r="V1735" s="47">
        <f>IF(AND(H1735="Realizado",OR(L1735="",M1735="")),1,0)</f>
        <v>0</v>
      </c>
    </row>
    <row r="1736">
      <c r="A1736" s="43" t="n"/>
      <c r="B1736" s="44" t="n"/>
      <c r="C1736" s="38" t="n"/>
      <c r="D1736" s="38" t="n"/>
      <c r="E1736" s="37" t="n"/>
      <c r="F1736" s="38" t="n"/>
      <c r="G1736" s="38" t="n"/>
      <c r="H1736" s="38" t="n"/>
      <c r="I1736" s="38" t="n"/>
      <c r="J1736" s="38" t="n"/>
      <c r="K1736" s="37" t="n"/>
      <c r="L1736" s="39" t="n"/>
      <c r="M1736" s="40" t="n"/>
      <c r="N1736" s="30">
        <f>IF(A1736="","",MONTH(A1736))</f>
        <v/>
      </c>
      <c r="O1736" s="30">
        <f>IF(A1736="","",YEAR(A1736))</f>
        <v/>
      </c>
      <c r="P1736" s="30">
        <f>IF(A1736="","",CHOOSE(WEEKDAY(A1736,2),"Segunda","Terça","Quarta","Quinta","Sexta","Sábado","Domingo"))</f>
        <v/>
      </c>
      <c r="Q1736" s="30">
        <f>IF(B1736="","",IF(B1736&lt;TIME(12,0,0),"Manhã",IF(B1736&lt;TIME(18,0,0),"Tarde","Noite")))</f>
        <v/>
      </c>
      <c r="R1736" s="46">
        <f>IF(AND(H1736="Realizado",L1736&lt;&gt;"",A1736&lt;=Config!$B$9),L1736/60,0)</f>
        <v>0</v>
      </c>
      <c r="S1736" s="45">
        <f>IF(G1736="","",IFERROR(INDEX(Config!$K$5:$K$16,MATCH(G1736,Config!$J$5:$J$16,0)),""))</f>
        <v/>
      </c>
      <c r="T1736" s="31">
        <f>IF(OR(G1736="",F1736=""),"",IFERROR(INDEX(Config!$M$5:$R$16,MATCH(G1736,Config!$J$5:$J$16,0),MATCH(F1736,Config!$H$5:$H$10,0)),""))</f>
        <v/>
      </c>
      <c r="U1736" s="47">
        <f>IF(AND(H1736="Realizado",L1736&lt;&gt;""),L1736/60,0)</f>
        <v>0</v>
      </c>
      <c r="V1736" s="47">
        <f>IF(AND(H1736="Realizado",OR(L1736="",M1736="")),1,0)</f>
        <v>0</v>
      </c>
    </row>
    <row r="1737">
      <c r="A1737" s="43" t="n"/>
      <c r="B1737" s="44" t="n"/>
      <c r="C1737" s="38" t="n"/>
      <c r="D1737" s="38" t="n"/>
      <c r="E1737" s="37" t="n"/>
      <c r="F1737" s="38" t="n"/>
      <c r="G1737" s="38" t="n"/>
      <c r="H1737" s="38" t="n"/>
      <c r="I1737" s="38" t="n"/>
      <c r="J1737" s="38" t="n"/>
      <c r="K1737" s="37" t="n"/>
      <c r="L1737" s="39" t="n"/>
      <c r="M1737" s="40" t="n"/>
      <c r="N1737" s="30">
        <f>IF(A1737="","",MONTH(A1737))</f>
        <v/>
      </c>
      <c r="O1737" s="30">
        <f>IF(A1737="","",YEAR(A1737))</f>
        <v/>
      </c>
      <c r="P1737" s="30">
        <f>IF(A1737="","",CHOOSE(WEEKDAY(A1737,2),"Segunda","Terça","Quarta","Quinta","Sexta","Sábado","Domingo"))</f>
        <v/>
      </c>
      <c r="Q1737" s="30">
        <f>IF(B1737="","",IF(B1737&lt;TIME(12,0,0),"Manhã",IF(B1737&lt;TIME(18,0,0),"Tarde","Noite")))</f>
        <v/>
      </c>
      <c r="R1737" s="46">
        <f>IF(AND(H1737="Realizado",L1737&lt;&gt;"",A1737&lt;=Config!$B$9),L1737/60,0)</f>
        <v>0</v>
      </c>
      <c r="S1737" s="45">
        <f>IF(G1737="","",IFERROR(INDEX(Config!$K$5:$K$16,MATCH(G1737,Config!$J$5:$J$16,0)),""))</f>
        <v/>
      </c>
      <c r="T1737" s="31">
        <f>IF(OR(G1737="",F1737=""),"",IFERROR(INDEX(Config!$M$5:$R$16,MATCH(G1737,Config!$J$5:$J$16,0),MATCH(F1737,Config!$H$5:$H$10,0)),""))</f>
        <v/>
      </c>
      <c r="U1737" s="47">
        <f>IF(AND(H1737="Realizado",L1737&lt;&gt;""),L1737/60,0)</f>
        <v>0</v>
      </c>
      <c r="V1737" s="47">
        <f>IF(AND(H1737="Realizado",OR(L1737="",M1737="")),1,0)</f>
        <v>0</v>
      </c>
    </row>
    <row r="1738">
      <c r="A1738" s="43" t="n"/>
      <c r="B1738" s="44" t="n"/>
      <c r="C1738" s="38" t="n"/>
      <c r="D1738" s="38" t="n"/>
      <c r="E1738" s="37" t="n"/>
      <c r="F1738" s="38" t="n"/>
      <c r="G1738" s="38" t="n"/>
      <c r="H1738" s="38" t="n"/>
      <c r="I1738" s="38" t="n"/>
      <c r="J1738" s="38" t="n"/>
      <c r="K1738" s="37" t="n"/>
      <c r="L1738" s="39" t="n"/>
      <c r="M1738" s="40" t="n"/>
      <c r="N1738" s="30">
        <f>IF(A1738="","",MONTH(A1738))</f>
        <v/>
      </c>
      <c r="O1738" s="30">
        <f>IF(A1738="","",YEAR(A1738))</f>
        <v/>
      </c>
      <c r="P1738" s="30">
        <f>IF(A1738="","",CHOOSE(WEEKDAY(A1738,2),"Segunda","Terça","Quarta","Quinta","Sexta","Sábado","Domingo"))</f>
        <v/>
      </c>
      <c r="Q1738" s="30">
        <f>IF(B1738="","",IF(B1738&lt;TIME(12,0,0),"Manhã",IF(B1738&lt;TIME(18,0,0),"Tarde","Noite")))</f>
        <v/>
      </c>
      <c r="R1738" s="46">
        <f>IF(AND(H1738="Realizado",L1738&lt;&gt;"",A1738&lt;=Config!$B$9),L1738/60,0)</f>
        <v>0</v>
      </c>
      <c r="S1738" s="45">
        <f>IF(G1738="","",IFERROR(INDEX(Config!$K$5:$K$16,MATCH(G1738,Config!$J$5:$J$16,0)),""))</f>
        <v/>
      </c>
      <c r="T1738" s="31">
        <f>IF(OR(G1738="",F1738=""),"",IFERROR(INDEX(Config!$M$5:$R$16,MATCH(G1738,Config!$J$5:$J$16,0),MATCH(F1738,Config!$H$5:$H$10,0)),""))</f>
        <v/>
      </c>
      <c r="U1738" s="47">
        <f>IF(AND(H1738="Realizado",L1738&lt;&gt;""),L1738/60,0)</f>
        <v>0</v>
      </c>
      <c r="V1738" s="47">
        <f>IF(AND(H1738="Realizado",OR(L1738="",M1738="")),1,0)</f>
        <v>0</v>
      </c>
    </row>
    <row r="1739">
      <c r="A1739" s="43" t="n"/>
      <c r="B1739" s="44" t="n"/>
      <c r="C1739" s="38" t="n"/>
      <c r="D1739" s="38" t="n"/>
      <c r="E1739" s="37" t="n"/>
      <c r="F1739" s="38" t="n"/>
      <c r="G1739" s="38" t="n"/>
      <c r="H1739" s="38" t="n"/>
      <c r="I1739" s="38" t="n"/>
      <c r="J1739" s="38" t="n"/>
      <c r="K1739" s="37" t="n"/>
      <c r="L1739" s="39" t="n"/>
      <c r="M1739" s="40" t="n"/>
      <c r="N1739" s="30">
        <f>IF(A1739="","",MONTH(A1739))</f>
        <v/>
      </c>
      <c r="O1739" s="30">
        <f>IF(A1739="","",YEAR(A1739))</f>
        <v/>
      </c>
      <c r="P1739" s="30">
        <f>IF(A1739="","",CHOOSE(WEEKDAY(A1739,2),"Segunda","Terça","Quarta","Quinta","Sexta","Sábado","Domingo"))</f>
        <v/>
      </c>
      <c r="Q1739" s="30">
        <f>IF(B1739="","",IF(B1739&lt;TIME(12,0,0),"Manhã",IF(B1739&lt;TIME(18,0,0),"Tarde","Noite")))</f>
        <v/>
      </c>
      <c r="R1739" s="46">
        <f>IF(AND(H1739="Realizado",L1739&lt;&gt;"",A1739&lt;=Config!$B$9),L1739/60,0)</f>
        <v>0</v>
      </c>
      <c r="S1739" s="45">
        <f>IF(G1739="","",IFERROR(INDEX(Config!$K$5:$K$16,MATCH(G1739,Config!$J$5:$J$16,0)),""))</f>
        <v/>
      </c>
      <c r="T1739" s="31">
        <f>IF(OR(G1739="",F1739=""),"",IFERROR(INDEX(Config!$M$5:$R$16,MATCH(G1739,Config!$J$5:$J$16,0),MATCH(F1739,Config!$H$5:$H$10,0)),""))</f>
        <v/>
      </c>
      <c r="U1739" s="47">
        <f>IF(AND(H1739="Realizado",L1739&lt;&gt;""),L1739/60,0)</f>
        <v>0</v>
      </c>
      <c r="V1739" s="47">
        <f>IF(AND(H1739="Realizado",OR(L1739="",M1739="")),1,0)</f>
        <v>0</v>
      </c>
    </row>
    <row r="1740">
      <c r="A1740" s="43" t="n"/>
      <c r="B1740" s="44" t="n"/>
      <c r="C1740" s="38" t="n"/>
      <c r="D1740" s="38" t="n"/>
      <c r="E1740" s="37" t="n"/>
      <c r="F1740" s="38" t="n"/>
      <c r="G1740" s="38" t="n"/>
      <c r="H1740" s="38" t="n"/>
      <c r="I1740" s="38" t="n"/>
      <c r="J1740" s="38" t="n"/>
      <c r="K1740" s="37" t="n"/>
      <c r="L1740" s="39" t="n"/>
      <c r="M1740" s="40" t="n"/>
      <c r="N1740" s="30">
        <f>IF(A1740="","",MONTH(A1740))</f>
        <v/>
      </c>
      <c r="O1740" s="30">
        <f>IF(A1740="","",YEAR(A1740))</f>
        <v/>
      </c>
      <c r="P1740" s="30">
        <f>IF(A1740="","",CHOOSE(WEEKDAY(A1740,2),"Segunda","Terça","Quarta","Quinta","Sexta","Sábado","Domingo"))</f>
        <v/>
      </c>
      <c r="Q1740" s="30">
        <f>IF(B1740="","",IF(B1740&lt;TIME(12,0,0),"Manhã",IF(B1740&lt;TIME(18,0,0),"Tarde","Noite")))</f>
        <v/>
      </c>
      <c r="R1740" s="46">
        <f>IF(AND(H1740="Realizado",L1740&lt;&gt;"",A1740&lt;=Config!$B$9),L1740/60,0)</f>
        <v>0</v>
      </c>
      <c r="S1740" s="45">
        <f>IF(G1740="","",IFERROR(INDEX(Config!$K$5:$K$16,MATCH(G1740,Config!$J$5:$J$16,0)),""))</f>
        <v/>
      </c>
      <c r="T1740" s="31">
        <f>IF(OR(G1740="",F1740=""),"",IFERROR(INDEX(Config!$M$5:$R$16,MATCH(G1740,Config!$J$5:$J$16,0),MATCH(F1740,Config!$H$5:$H$10,0)),""))</f>
        <v/>
      </c>
      <c r="U1740" s="47">
        <f>IF(AND(H1740="Realizado",L1740&lt;&gt;""),L1740/60,0)</f>
        <v>0</v>
      </c>
      <c r="V1740" s="47">
        <f>IF(AND(H1740="Realizado",OR(L1740="",M1740="")),1,0)</f>
        <v>0</v>
      </c>
    </row>
    <row r="1741">
      <c r="A1741" s="43" t="n"/>
      <c r="B1741" s="44" t="n"/>
      <c r="C1741" s="38" t="n"/>
      <c r="D1741" s="38" t="n"/>
      <c r="E1741" s="37" t="n"/>
      <c r="F1741" s="38" t="n"/>
      <c r="G1741" s="38" t="n"/>
      <c r="H1741" s="38" t="n"/>
      <c r="I1741" s="38" t="n"/>
      <c r="J1741" s="38" t="n"/>
      <c r="K1741" s="37" t="n"/>
      <c r="L1741" s="39" t="n"/>
      <c r="M1741" s="40" t="n"/>
      <c r="N1741" s="30">
        <f>IF(A1741="","",MONTH(A1741))</f>
        <v/>
      </c>
      <c r="O1741" s="30">
        <f>IF(A1741="","",YEAR(A1741))</f>
        <v/>
      </c>
      <c r="P1741" s="30">
        <f>IF(A1741="","",CHOOSE(WEEKDAY(A1741,2),"Segunda","Terça","Quarta","Quinta","Sexta","Sábado","Domingo"))</f>
        <v/>
      </c>
      <c r="Q1741" s="30">
        <f>IF(B1741="","",IF(B1741&lt;TIME(12,0,0),"Manhã",IF(B1741&lt;TIME(18,0,0),"Tarde","Noite")))</f>
        <v/>
      </c>
      <c r="R1741" s="46">
        <f>IF(AND(H1741="Realizado",L1741&lt;&gt;"",A1741&lt;=Config!$B$9),L1741/60,0)</f>
        <v>0</v>
      </c>
      <c r="S1741" s="45">
        <f>IF(G1741="","",IFERROR(INDEX(Config!$K$5:$K$16,MATCH(G1741,Config!$J$5:$J$16,0)),""))</f>
        <v/>
      </c>
      <c r="T1741" s="31">
        <f>IF(OR(G1741="",F1741=""),"",IFERROR(INDEX(Config!$M$5:$R$16,MATCH(G1741,Config!$J$5:$J$16,0),MATCH(F1741,Config!$H$5:$H$10,0)),""))</f>
        <v/>
      </c>
      <c r="U1741" s="47">
        <f>IF(AND(H1741="Realizado",L1741&lt;&gt;""),L1741/60,0)</f>
        <v>0</v>
      </c>
      <c r="V1741" s="47">
        <f>IF(AND(H1741="Realizado",OR(L1741="",M1741="")),1,0)</f>
        <v>0</v>
      </c>
    </row>
    <row r="1742">
      <c r="A1742" s="43" t="n"/>
      <c r="B1742" s="44" t="n"/>
      <c r="C1742" s="38" t="n"/>
      <c r="D1742" s="38" t="n"/>
      <c r="E1742" s="37" t="n"/>
      <c r="F1742" s="38" t="n"/>
      <c r="G1742" s="38" t="n"/>
      <c r="H1742" s="38" t="n"/>
      <c r="I1742" s="38" t="n"/>
      <c r="J1742" s="38" t="n"/>
      <c r="K1742" s="37" t="n"/>
      <c r="L1742" s="39" t="n"/>
      <c r="M1742" s="40" t="n"/>
      <c r="N1742" s="30">
        <f>IF(A1742="","",MONTH(A1742))</f>
        <v/>
      </c>
      <c r="O1742" s="30">
        <f>IF(A1742="","",YEAR(A1742))</f>
        <v/>
      </c>
      <c r="P1742" s="30">
        <f>IF(A1742="","",CHOOSE(WEEKDAY(A1742,2),"Segunda","Terça","Quarta","Quinta","Sexta","Sábado","Domingo"))</f>
        <v/>
      </c>
      <c r="Q1742" s="30">
        <f>IF(B1742="","",IF(B1742&lt;TIME(12,0,0),"Manhã",IF(B1742&lt;TIME(18,0,0),"Tarde","Noite")))</f>
        <v/>
      </c>
      <c r="R1742" s="46">
        <f>IF(AND(H1742="Realizado",L1742&lt;&gt;"",A1742&lt;=Config!$B$9),L1742/60,0)</f>
        <v>0</v>
      </c>
      <c r="S1742" s="45">
        <f>IF(G1742="","",IFERROR(INDEX(Config!$K$5:$K$16,MATCH(G1742,Config!$J$5:$J$16,0)),""))</f>
        <v/>
      </c>
      <c r="T1742" s="31">
        <f>IF(OR(G1742="",F1742=""),"",IFERROR(INDEX(Config!$M$5:$R$16,MATCH(G1742,Config!$J$5:$J$16,0),MATCH(F1742,Config!$H$5:$H$10,0)),""))</f>
        <v/>
      </c>
      <c r="U1742" s="47">
        <f>IF(AND(H1742="Realizado",L1742&lt;&gt;""),L1742/60,0)</f>
        <v>0</v>
      </c>
      <c r="V1742" s="47">
        <f>IF(AND(H1742="Realizado",OR(L1742="",M1742="")),1,0)</f>
        <v>0</v>
      </c>
    </row>
    <row r="1743">
      <c r="A1743" s="43" t="n"/>
      <c r="B1743" s="44" t="n"/>
      <c r="C1743" s="38" t="n"/>
      <c r="D1743" s="38" t="n"/>
      <c r="E1743" s="37" t="n"/>
      <c r="F1743" s="38" t="n"/>
      <c r="G1743" s="38" t="n"/>
      <c r="H1743" s="38" t="n"/>
      <c r="I1743" s="38" t="n"/>
      <c r="J1743" s="38" t="n"/>
      <c r="K1743" s="37" t="n"/>
      <c r="L1743" s="39" t="n"/>
      <c r="M1743" s="40" t="n"/>
      <c r="N1743" s="30">
        <f>IF(A1743="","",MONTH(A1743))</f>
        <v/>
      </c>
      <c r="O1743" s="30">
        <f>IF(A1743="","",YEAR(A1743))</f>
        <v/>
      </c>
      <c r="P1743" s="30">
        <f>IF(A1743="","",CHOOSE(WEEKDAY(A1743,2),"Segunda","Terça","Quarta","Quinta","Sexta","Sábado","Domingo"))</f>
        <v/>
      </c>
      <c r="Q1743" s="30">
        <f>IF(B1743="","",IF(B1743&lt;TIME(12,0,0),"Manhã",IF(B1743&lt;TIME(18,0,0),"Tarde","Noite")))</f>
        <v/>
      </c>
      <c r="R1743" s="46">
        <f>IF(AND(H1743="Realizado",L1743&lt;&gt;"",A1743&lt;=Config!$B$9),L1743/60,0)</f>
        <v>0</v>
      </c>
      <c r="S1743" s="45">
        <f>IF(G1743="","",IFERROR(INDEX(Config!$K$5:$K$16,MATCH(G1743,Config!$J$5:$J$16,0)),""))</f>
        <v/>
      </c>
      <c r="T1743" s="31">
        <f>IF(OR(G1743="",F1743=""),"",IFERROR(INDEX(Config!$M$5:$R$16,MATCH(G1743,Config!$J$5:$J$16,0),MATCH(F1743,Config!$H$5:$H$10,0)),""))</f>
        <v/>
      </c>
      <c r="U1743" s="47">
        <f>IF(AND(H1743="Realizado",L1743&lt;&gt;""),L1743/60,0)</f>
        <v>0</v>
      </c>
      <c r="V1743" s="47">
        <f>IF(AND(H1743="Realizado",OR(L1743="",M1743="")),1,0)</f>
        <v>0</v>
      </c>
    </row>
    <row r="1744">
      <c r="A1744" s="43" t="n"/>
      <c r="B1744" s="44" t="n"/>
      <c r="C1744" s="38" t="n"/>
      <c r="D1744" s="38" t="n"/>
      <c r="E1744" s="37" t="n"/>
      <c r="F1744" s="38" t="n"/>
      <c r="G1744" s="38" t="n"/>
      <c r="H1744" s="38" t="n"/>
      <c r="I1744" s="38" t="n"/>
      <c r="J1744" s="38" t="n"/>
      <c r="K1744" s="37" t="n"/>
      <c r="L1744" s="39" t="n"/>
      <c r="M1744" s="40" t="n"/>
      <c r="N1744" s="30">
        <f>IF(A1744="","",MONTH(A1744))</f>
        <v/>
      </c>
      <c r="O1744" s="30">
        <f>IF(A1744="","",YEAR(A1744))</f>
        <v/>
      </c>
      <c r="P1744" s="30">
        <f>IF(A1744="","",CHOOSE(WEEKDAY(A1744,2),"Segunda","Terça","Quarta","Quinta","Sexta","Sábado","Domingo"))</f>
        <v/>
      </c>
      <c r="Q1744" s="30">
        <f>IF(B1744="","",IF(B1744&lt;TIME(12,0,0),"Manhã",IF(B1744&lt;TIME(18,0,0),"Tarde","Noite")))</f>
        <v/>
      </c>
      <c r="R1744" s="46">
        <f>IF(AND(H1744="Realizado",L1744&lt;&gt;"",A1744&lt;=Config!$B$9),L1744/60,0)</f>
        <v>0</v>
      </c>
      <c r="S1744" s="45">
        <f>IF(G1744="","",IFERROR(INDEX(Config!$K$5:$K$16,MATCH(G1744,Config!$J$5:$J$16,0)),""))</f>
        <v/>
      </c>
      <c r="T1744" s="31">
        <f>IF(OR(G1744="",F1744=""),"",IFERROR(INDEX(Config!$M$5:$R$16,MATCH(G1744,Config!$J$5:$J$16,0),MATCH(F1744,Config!$H$5:$H$10,0)),""))</f>
        <v/>
      </c>
      <c r="U1744" s="47">
        <f>IF(AND(H1744="Realizado",L1744&lt;&gt;""),L1744/60,0)</f>
        <v>0</v>
      </c>
      <c r="V1744" s="47">
        <f>IF(AND(H1744="Realizado",OR(L1744="",M1744="")),1,0)</f>
        <v>0</v>
      </c>
    </row>
    <row r="1745">
      <c r="A1745" s="43" t="n"/>
      <c r="B1745" s="44" t="n"/>
      <c r="C1745" s="38" t="n"/>
      <c r="D1745" s="38" t="n"/>
      <c r="E1745" s="37" t="n"/>
      <c r="F1745" s="38" t="n"/>
      <c r="G1745" s="38" t="n"/>
      <c r="H1745" s="38" t="n"/>
      <c r="I1745" s="38" t="n"/>
      <c r="J1745" s="38" t="n"/>
      <c r="K1745" s="37" t="n"/>
      <c r="L1745" s="39" t="n"/>
      <c r="M1745" s="40" t="n"/>
      <c r="N1745" s="30">
        <f>IF(A1745="","",MONTH(A1745))</f>
        <v/>
      </c>
      <c r="O1745" s="30">
        <f>IF(A1745="","",YEAR(A1745))</f>
        <v/>
      </c>
      <c r="P1745" s="30">
        <f>IF(A1745="","",CHOOSE(WEEKDAY(A1745,2),"Segunda","Terça","Quarta","Quinta","Sexta","Sábado","Domingo"))</f>
        <v/>
      </c>
      <c r="Q1745" s="30">
        <f>IF(B1745="","",IF(B1745&lt;TIME(12,0,0),"Manhã",IF(B1745&lt;TIME(18,0,0),"Tarde","Noite")))</f>
        <v/>
      </c>
      <c r="R1745" s="46">
        <f>IF(AND(H1745="Realizado",L1745&lt;&gt;"",A1745&lt;=Config!$B$9),L1745/60,0)</f>
        <v>0</v>
      </c>
      <c r="S1745" s="45">
        <f>IF(G1745="","",IFERROR(INDEX(Config!$K$5:$K$16,MATCH(G1745,Config!$J$5:$J$16,0)),""))</f>
        <v/>
      </c>
      <c r="T1745" s="31">
        <f>IF(OR(G1745="",F1745=""),"",IFERROR(INDEX(Config!$M$5:$R$16,MATCH(G1745,Config!$J$5:$J$16,0),MATCH(F1745,Config!$H$5:$H$10,0)),""))</f>
        <v/>
      </c>
      <c r="U1745" s="47">
        <f>IF(AND(H1745="Realizado",L1745&lt;&gt;""),L1745/60,0)</f>
        <v>0</v>
      </c>
      <c r="V1745" s="47">
        <f>IF(AND(H1745="Realizado",OR(L1745="",M1745="")),1,0)</f>
        <v>0</v>
      </c>
    </row>
    <row r="1746">
      <c r="A1746" s="43" t="n"/>
      <c r="B1746" s="44" t="n"/>
      <c r="C1746" s="38" t="n"/>
      <c r="D1746" s="38" t="n"/>
      <c r="E1746" s="37" t="n"/>
      <c r="F1746" s="38" t="n"/>
      <c r="G1746" s="38" t="n"/>
      <c r="H1746" s="38" t="n"/>
      <c r="I1746" s="38" t="n"/>
      <c r="J1746" s="38" t="n"/>
      <c r="K1746" s="37" t="n"/>
      <c r="L1746" s="39" t="n"/>
      <c r="M1746" s="40" t="n"/>
      <c r="N1746" s="30">
        <f>IF(A1746="","",MONTH(A1746))</f>
        <v/>
      </c>
      <c r="O1746" s="30">
        <f>IF(A1746="","",YEAR(A1746))</f>
        <v/>
      </c>
      <c r="P1746" s="30">
        <f>IF(A1746="","",CHOOSE(WEEKDAY(A1746,2),"Segunda","Terça","Quarta","Quinta","Sexta","Sábado","Domingo"))</f>
        <v/>
      </c>
      <c r="Q1746" s="30">
        <f>IF(B1746="","",IF(B1746&lt;TIME(12,0,0),"Manhã",IF(B1746&lt;TIME(18,0,0),"Tarde","Noite")))</f>
        <v/>
      </c>
      <c r="R1746" s="46">
        <f>IF(AND(H1746="Realizado",L1746&lt;&gt;"",A1746&lt;=Config!$B$9),L1746/60,0)</f>
        <v>0</v>
      </c>
      <c r="S1746" s="45">
        <f>IF(G1746="","",IFERROR(INDEX(Config!$K$5:$K$16,MATCH(G1746,Config!$J$5:$J$16,0)),""))</f>
        <v/>
      </c>
      <c r="T1746" s="31">
        <f>IF(OR(G1746="",F1746=""),"",IFERROR(INDEX(Config!$M$5:$R$16,MATCH(G1746,Config!$J$5:$J$16,0),MATCH(F1746,Config!$H$5:$H$10,0)),""))</f>
        <v/>
      </c>
      <c r="U1746" s="47">
        <f>IF(AND(H1746="Realizado",L1746&lt;&gt;""),L1746/60,0)</f>
        <v>0</v>
      </c>
      <c r="V1746" s="47">
        <f>IF(AND(H1746="Realizado",OR(L1746="",M1746="")),1,0)</f>
        <v>0</v>
      </c>
    </row>
    <row r="1747">
      <c r="A1747" s="43" t="n"/>
      <c r="B1747" s="44" t="n"/>
      <c r="C1747" s="38" t="n"/>
      <c r="D1747" s="38" t="n"/>
      <c r="E1747" s="37" t="n"/>
      <c r="F1747" s="38" t="n"/>
      <c r="G1747" s="38" t="n"/>
      <c r="H1747" s="38" t="n"/>
      <c r="I1747" s="38" t="n"/>
      <c r="J1747" s="38" t="n"/>
      <c r="K1747" s="37" t="n"/>
      <c r="L1747" s="39" t="n"/>
      <c r="M1747" s="40" t="n"/>
      <c r="N1747" s="30">
        <f>IF(A1747="","",MONTH(A1747))</f>
        <v/>
      </c>
      <c r="O1747" s="30">
        <f>IF(A1747="","",YEAR(A1747))</f>
        <v/>
      </c>
      <c r="P1747" s="30">
        <f>IF(A1747="","",CHOOSE(WEEKDAY(A1747,2),"Segunda","Terça","Quarta","Quinta","Sexta","Sábado","Domingo"))</f>
        <v/>
      </c>
      <c r="Q1747" s="30">
        <f>IF(B1747="","",IF(B1747&lt;TIME(12,0,0),"Manhã",IF(B1747&lt;TIME(18,0,0),"Tarde","Noite")))</f>
        <v/>
      </c>
      <c r="R1747" s="46">
        <f>IF(AND(H1747="Realizado",L1747&lt;&gt;"",A1747&lt;=Config!$B$9),L1747/60,0)</f>
        <v>0</v>
      </c>
      <c r="S1747" s="45">
        <f>IF(G1747="","",IFERROR(INDEX(Config!$K$5:$K$16,MATCH(G1747,Config!$J$5:$J$16,0)),""))</f>
        <v/>
      </c>
      <c r="T1747" s="31">
        <f>IF(OR(G1747="",F1747=""),"",IFERROR(INDEX(Config!$M$5:$R$16,MATCH(G1747,Config!$J$5:$J$16,0),MATCH(F1747,Config!$H$5:$H$10,0)),""))</f>
        <v/>
      </c>
      <c r="U1747" s="47">
        <f>IF(AND(H1747="Realizado",L1747&lt;&gt;""),L1747/60,0)</f>
        <v>0</v>
      </c>
      <c r="V1747" s="47">
        <f>IF(AND(H1747="Realizado",OR(L1747="",M1747="")),1,0)</f>
        <v>0</v>
      </c>
    </row>
    <row r="1748">
      <c r="A1748" s="43" t="n"/>
      <c r="B1748" s="44" t="n"/>
      <c r="C1748" s="38" t="n"/>
      <c r="D1748" s="38" t="n"/>
      <c r="E1748" s="37" t="n"/>
      <c r="F1748" s="38" t="n"/>
      <c r="G1748" s="38" t="n"/>
      <c r="H1748" s="38" t="n"/>
      <c r="I1748" s="38" t="n"/>
      <c r="J1748" s="38" t="n"/>
      <c r="K1748" s="37" t="n"/>
      <c r="L1748" s="39" t="n"/>
      <c r="M1748" s="40" t="n"/>
      <c r="N1748" s="30">
        <f>IF(A1748="","",MONTH(A1748))</f>
        <v/>
      </c>
      <c r="O1748" s="30">
        <f>IF(A1748="","",YEAR(A1748))</f>
        <v/>
      </c>
      <c r="P1748" s="30">
        <f>IF(A1748="","",CHOOSE(WEEKDAY(A1748,2),"Segunda","Terça","Quarta","Quinta","Sexta","Sábado","Domingo"))</f>
        <v/>
      </c>
      <c r="Q1748" s="30">
        <f>IF(B1748="","",IF(B1748&lt;TIME(12,0,0),"Manhã",IF(B1748&lt;TIME(18,0,0),"Tarde","Noite")))</f>
        <v/>
      </c>
      <c r="R1748" s="46">
        <f>IF(AND(H1748="Realizado",L1748&lt;&gt;"",A1748&lt;=Config!$B$9),L1748/60,0)</f>
        <v>0</v>
      </c>
      <c r="S1748" s="45">
        <f>IF(G1748="","",IFERROR(INDEX(Config!$K$5:$K$16,MATCH(G1748,Config!$J$5:$J$16,0)),""))</f>
        <v/>
      </c>
      <c r="T1748" s="31">
        <f>IF(OR(G1748="",F1748=""),"",IFERROR(INDEX(Config!$M$5:$R$16,MATCH(G1748,Config!$J$5:$J$16,0),MATCH(F1748,Config!$H$5:$H$10,0)),""))</f>
        <v/>
      </c>
      <c r="U1748" s="47">
        <f>IF(AND(H1748="Realizado",L1748&lt;&gt;""),L1748/60,0)</f>
        <v>0</v>
      </c>
      <c r="V1748" s="47">
        <f>IF(AND(H1748="Realizado",OR(L1748="",M1748="")),1,0)</f>
        <v>0</v>
      </c>
    </row>
    <row r="1749">
      <c r="A1749" s="43" t="n"/>
      <c r="B1749" s="44" t="n"/>
      <c r="C1749" s="38" t="n"/>
      <c r="D1749" s="38" t="n"/>
      <c r="E1749" s="37" t="n"/>
      <c r="F1749" s="38" t="n"/>
      <c r="G1749" s="38" t="n"/>
      <c r="H1749" s="38" t="n"/>
      <c r="I1749" s="38" t="n"/>
      <c r="J1749" s="38" t="n"/>
      <c r="K1749" s="37" t="n"/>
      <c r="L1749" s="39" t="n"/>
      <c r="M1749" s="40" t="n"/>
      <c r="N1749" s="30">
        <f>IF(A1749="","",MONTH(A1749))</f>
        <v/>
      </c>
      <c r="O1749" s="30">
        <f>IF(A1749="","",YEAR(A1749))</f>
        <v/>
      </c>
      <c r="P1749" s="30">
        <f>IF(A1749="","",CHOOSE(WEEKDAY(A1749,2),"Segunda","Terça","Quarta","Quinta","Sexta","Sábado","Domingo"))</f>
        <v/>
      </c>
      <c r="Q1749" s="30">
        <f>IF(B1749="","",IF(B1749&lt;TIME(12,0,0),"Manhã",IF(B1749&lt;TIME(18,0,0),"Tarde","Noite")))</f>
        <v/>
      </c>
      <c r="R1749" s="46">
        <f>IF(AND(H1749="Realizado",L1749&lt;&gt;"",A1749&lt;=Config!$B$9),L1749/60,0)</f>
        <v>0</v>
      </c>
      <c r="S1749" s="45">
        <f>IF(G1749="","",IFERROR(INDEX(Config!$K$5:$K$16,MATCH(G1749,Config!$J$5:$J$16,0)),""))</f>
        <v/>
      </c>
      <c r="T1749" s="31">
        <f>IF(OR(G1749="",F1749=""),"",IFERROR(INDEX(Config!$M$5:$R$16,MATCH(G1749,Config!$J$5:$J$16,0),MATCH(F1749,Config!$H$5:$H$10,0)),""))</f>
        <v/>
      </c>
      <c r="U1749" s="47">
        <f>IF(AND(H1749="Realizado",L1749&lt;&gt;""),L1749/60,0)</f>
        <v>0</v>
      </c>
      <c r="V1749" s="47">
        <f>IF(AND(H1749="Realizado",OR(L1749="",M1749="")),1,0)</f>
        <v>0</v>
      </c>
    </row>
    <row r="1750">
      <c r="A1750" s="43" t="n"/>
      <c r="B1750" s="44" t="n"/>
      <c r="C1750" s="38" t="n"/>
      <c r="D1750" s="38" t="n"/>
      <c r="E1750" s="37" t="n"/>
      <c r="F1750" s="38" t="n"/>
      <c r="G1750" s="38" t="n"/>
      <c r="H1750" s="38" t="n"/>
      <c r="I1750" s="38" t="n"/>
      <c r="J1750" s="38" t="n"/>
      <c r="K1750" s="37" t="n"/>
      <c r="L1750" s="39" t="n"/>
      <c r="M1750" s="40" t="n"/>
      <c r="N1750" s="30">
        <f>IF(A1750="","",MONTH(A1750))</f>
        <v/>
      </c>
      <c r="O1750" s="30">
        <f>IF(A1750="","",YEAR(A1750))</f>
        <v/>
      </c>
      <c r="P1750" s="30">
        <f>IF(A1750="","",CHOOSE(WEEKDAY(A1750,2),"Segunda","Terça","Quarta","Quinta","Sexta","Sábado","Domingo"))</f>
        <v/>
      </c>
      <c r="Q1750" s="30">
        <f>IF(B1750="","",IF(B1750&lt;TIME(12,0,0),"Manhã",IF(B1750&lt;TIME(18,0,0),"Tarde","Noite")))</f>
        <v/>
      </c>
      <c r="R1750" s="46">
        <f>IF(AND(H1750="Realizado",L1750&lt;&gt;"",A1750&lt;=Config!$B$9),L1750/60,0)</f>
        <v>0</v>
      </c>
      <c r="S1750" s="45">
        <f>IF(G1750="","",IFERROR(INDEX(Config!$K$5:$K$16,MATCH(G1750,Config!$J$5:$J$16,0)),""))</f>
        <v/>
      </c>
      <c r="T1750" s="31">
        <f>IF(OR(G1750="",F1750=""),"",IFERROR(INDEX(Config!$M$5:$R$16,MATCH(G1750,Config!$J$5:$J$16,0),MATCH(F1750,Config!$H$5:$H$10,0)),""))</f>
        <v/>
      </c>
      <c r="U1750" s="47">
        <f>IF(AND(H1750="Realizado",L1750&lt;&gt;""),L1750/60,0)</f>
        <v>0</v>
      </c>
      <c r="V1750" s="47">
        <f>IF(AND(H1750="Realizado",OR(L1750="",M1750="")),1,0)</f>
        <v>0</v>
      </c>
    </row>
    <row r="1751">
      <c r="A1751" s="43" t="n"/>
      <c r="B1751" s="44" t="n"/>
      <c r="C1751" s="38" t="n"/>
      <c r="D1751" s="38" t="n"/>
      <c r="E1751" s="37" t="n"/>
      <c r="F1751" s="38" t="n"/>
      <c r="G1751" s="38" t="n"/>
      <c r="H1751" s="38" t="n"/>
      <c r="I1751" s="38" t="n"/>
      <c r="J1751" s="38" t="n"/>
      <c r="K1751" s="37" t="n"/>
      <c r="L1751" s="39" t="n"/>
      <c r="M1751" s="40" t="n"/>
      <c r="N1751" s="30">
        <f>IF(A1751="","",MONTH(A1751))</f>
        <v/>
      </c>
      <c r="O1751" s="30">
        <f>IF(A1751="","",YEAR(A1751))</f>
        <v/>
      </c>
      <c r="P1751" s="30">
        <f>IF(A1751="","",CHOOSE(WEEKDAY(A1751,2),"Segunda","Terça","Quarta","Quinta","Sexta","Sábado","Domingo"))</f>
        <v/>
      </c>
      <c r="Q1751" s="30">
        <f>IF(B1751="","",IF(B1751&lt;TIME(12,0,0),"Manhã",IF(B1751&lt;TIME(18,0,0),"Tarde","Noite")))</f>
        <v/>
      </c>
      <c r="R1751" s="46">
        <f>IF(AND(H1751="Realizado",L1751&lt;&gt;"",A1751&lt;=Config!$B$9),L1751/60,0)</f>
        <v>0</v>
      </c>
      <c r="S1751" s="45">
        <f>IF(G1751="","",IFERROR(INDEX(Config!$K$5:$K$16,MATCH(G1751,Config!$J$5:$J$16,0)),""))</f>
        <v/>
      </c>
      <c r="T1751" s="31">
        <f>IF(OR(G1751="",F1751=""),"",IFERROR(INDEX(Config!$M$5:$R$16,MATCH(G1751,Config!$J$5:$J$16,0),MATCH(F1751,Config!$H$5:$H$10,0)),""))</f>
        <v/>
      </c>
      <c r="U1751" s="47">
        <f>IF(AND(H1751="Realizado",L1751&lt;&gt;""),L1751/60,0)</f>
        <v>0</v>
      </c>
      <c r="V1751" s="47">
        <f>IF(AND(H1751="Realizado",OR(L1751="",M1751="")),1,0)</f>
        <v>0</v>
      </c>
    </row>
    <row r="1752">
      <c r="A1752" s="43" t="n"/>
      <c r="B1752" s="44" t="n"/>
      <c r="C1752" s="38" t="n"/>
      <c r="D1752" s="38" t="n"/>
      <c r="E1752" s="37" t="n"/>
      <c r="F1752" s="38" t="n"/>
      <c r="G1752" s="38" t="n"/>
      <c r="H1752" s="38" t="n"/>
      <c r="I1752" s="38" t="n"/>
      <c r="J1752" s="38" t="n"/>
      <c r="K1752" s="37" t="n"/>
      <c r="L1752" s="39" t="n"/>
      <c r="M1752" s="40" t="n"/>
      <c r="N1752" s="30">
        <f>IF(A1752="","",MONTH(A1752))</f>
        <v/>
      </c>
      <c r="O1752" s="30">
        <f>IF(A1752="","",YEAR(A1752))</f>
        <v/>
      </c>
      <c r="P1752" s="30">
        <f>IF(A1752="","",CHOOSE(WEEKDAY(A1752,2),"Segunda","Terça","Quarta","Quinta","Sexta","Sábado","Domingo"))</f>
        <v/>
      </c>
      <c r="Q1752" s="30">
        <f>IF(B1752="","",IF(B1752&lt;TIME(12,0,0),"Manhã",IF(B1752&lt;TIME(18,0,0),"Tarde","Noite")))</f>
        <v/>
      </c>
      <c r="R1752" s="46">
        <f>IF(AND(H1752="Realizado",L1752&lt;&gt;"",A1752&lt;=Config!$B$9),L1752/60,0)</f>
        <v>0</v>
      </c>
      <c r="S1752" s="45">
        <f>IF(G1752="","",IFERROR(INDEX(Config!$K$5:$K$16,MATCH(G1752,Config!$J$5:$J$16,0)),""))</f>
        <v/>
      </c>
      <c r="T1752" s="31">
        <f>IF(OR(G1752="",F1752=""),"",IFERROR(INDEX(Config!$M$5:$R$16,MATCH(G1752,Config!$J$5:$J$16,0),MATCH(F1752,Config!$H$5:$H$10,0)),""))</f>
        <v/>
      </c>
      <c r="U1752" s="47">
        <f>IF(AND(H1752="Realizado",L1752&lt;&gt;""),L1752/60,0)</f>
        <v>0</v>
      </c>
      <c r="V1752" s="47">
        <f>IF(AND(H1752="Realizado",OR(L1752="",M1752="")),1,0)</f>
        <v>0</v>
      </c>
    </row>
    <row r="1753">
      <c r="A1753" s="43" t="n"/>
      <c r="B1753" s="44" t="n"/>
      <c r="C1753" s="38" t="n"/>
      <c r="D1753" s="38" t="n"/>
      <c r="E1753" s="37" t="n"/>
      <c r="F1753" s="38" t="n"/>
      <c r="G1753" s="38" t="n"/>
      <c r="H1753" s="38" t="n"/>
      <c r="I1753" s="38" t="n"/>
      <c r="J1753" s="38" t="n"/>
      <c r="K1753" s="37" t="n"/>
      <c r="L1753" s="39" t="n"/>
      <c r="M1753" s="40" t="n"/>
      <c r="N1753" s="30">
        <f>IF(A1753="","",MONTH(A1753))</f>
        <v/>
      </c>
      <c r="O1753" s="30">
        <f>IF(A1753="","",YEAR(A1753))</f>
        <v/>
      </c>
      <c r="P1753" s="30">
        <f>IF(A1753="","",CHOOSE(WEEKDAY(A1753,2),"Segunda","Terça","Quarta","Quinta","Sexta","Sábado","Domingo"))</f>
        <v/>
      </c>
      <c r="Q1753" s="30">
        <f>IF(B1753="","",IF(B1753&lt;TIME(12,0,0),"Manhã",IF(B1753&lt;TIME(18,0,0),"Tarde","Noite")))</f>
        <v/>
      </c>
      <c r="R1753" s="46">
        <f>IF(AND(H1753="Realizado",L1753&lt;&gt;"",A1753&lt;=Config!$B$9),L1753/60,0)</f>
        <v>0</v>
      </c>
      <c r="S1753" s="45">
        <f>IF(G1753="","",IFERROR(INDEX(Config!$K$5:$K$16,MATCH(G1753,Config!$J$5:$J$16,0)),""))</f>
        <v/>
      </c>
      <c r="T1753" s="31">
        <f>IF(OR(G1753="",F1753=""),"",IFERROR(INDEX(Config!$M$5:$R$16,MATCH(G1753,Config!$J$5:$J$16,0),MATCH(F1753,Config!$H$5:$H$10,0)),""))</f>
        <v/>
      </c>
      <c r="U1753" s="47">
        <f>IF(AND(H1753="Realizado",L1753&lt;&gt;""),L1753/60,0)</f>
        <v>0</v>
      </c>
      <c r="V1753" s="47">
        <f>IF(AND(H1753="Realizado",OR(L1753="",M1753="")),1,0)</f>
        <v>0</v>
      </c>
    </row>
    <row r="1754">
      <c r="A1754" s="43" t="n"/>
      <c r="B1754" s="44" t="n"/>
      <c r="C1754" s="38" t="n"/>
      <c r="D1754" s="38" t="n"/>
      <c r="E1754" s="37" t="n"/>
      <c r="F1754" s="38" t="n"/>
      <c r="G1754" s="38" t="n"/>
      <c r="H1754" s="38" t="n"/>
      <c r="I1754" s="38" t="n"/>
      <c r="J1754" s="38" t="n"/>
      <c r="K1754" s="37" t="n"/>
      <c r="L1754" s="39" t="n"/>
      <c r="M1754" s="40" t="n"/>
      <c r="N1754" s="30">
        <f>IF(A1754="","",MONTH(A1754))</f>
        <v/>
      </c>
      <c r="O1754" s="30">
        <f>IF(A1754="","",YEAR(A1754))</f>
        <v/>
      </c>
      <c r="P1754" s="30">
        <f>IF(A1754="","",CHOOSE(WEEKDAY(A1754,2),"Segunda","Terça","Quarta","Quinta","Sexta","Sábado","Domingo"))</f>
        <v/>
      </c>
      <c r="Q1754" s="30">
        <f>IF(B1754="","",IF(B1754&lt;TIME(12,0,0),"Manhã",IF(B1754&lt;TIME(18,0,0),"Tarde","Noite")))</f>
        <v/>
      </c>
      <c r="R1754" s="46">
        <f>IF(AND(H1754="Realizado",L1754&lt;&gt;"",A1754&lt;=Config!$B$9),L1754/60,0)</f>
        <v>0</v>
      </c>
      <c r="S1754" s="45">
        <f>IF(G1754="","",IFERROR(INDEX(Config!$K$5:$K$16,MATCH(G1754,Config!$J$5:$J$16,0)),""))</f>
        <v/>
      </c>
      <c r="T1754" s="31">
        <f>IF(OR(G1754="",F1754=""),"",IFERROR(INDEX(Config!$M$5:$R$16,MATCH(G1754,Config!$J$5:$J$16,0),MATCH(F1754,Config!$H$5:$H$10,0)),""))</f>
        <v/>
      </c>
      <c r="U1754" s="47">
        <f>IF(AND(H1754="Realizado",L1754&lt;&gt;""),L1754/60,0)</f>
        <v>0</v>
      </c>
      <c r="V1754" s="47">
        <f>IF(AND(H1754="Realizado",OR(L1754="",M1754="")),1,0)</f>
        <v>0</v>
      </c>
    </row>
    <row r="1755">
      <c r="A1755" s="43" t="n"/>
      <c r="B1755" s="44" t="n"/>
      <c r="C1755" s="38" t="n"/>
      <c r="D1755" s="38" t="n"/>
      <c r="E1755" s="37" t="n"/>
      <c r="F1755" s="38" t="n"/>
      <c r="G1755" s="38" t="n"/>
      <c r="H1755" s="38" t="n"/>
      <c r="I1755" s="38" t="n"/>
      <c r="J1755" s="38" t="n"/>
      <c r="K1755" s="37" t="n"/>
      <c r="L1755" s="39" t="n"/>
      <c r="M1755" s="40" t="n"/>
      <c r="N1755" s="30">
        <f>IF(A1755="","",MONTH(A1755))</f>
        <v/>
      </c>
      <c r="O1755" s="30">
        <f>IF(A1755="","",YEAR(A1755))</f>
        <v/>
      </c>
      <c r="P1755" s="30">
        <f>IF(A1755="","",CHOOSE(WEEKDAY(A1755,2),"Segunda","Terça","Quarta","Quinta","Sexta","Sábado","Domingo"))</f>
        <v/>
      </c>
      <c r="Q1755" s="30">
        <f>IF(B1755="","",IF(B1755&lt;TIME(12,0,0),"Manhã",IF(B1755&lt;TIME(18,0,0),"Tarde","Noite")))</f>
        <v/>
      </c>
      <c r="R1755" s="46">
        <f>IF(AND(H1755="Realizado",L1755&lt;&gt;"",A1755&lt;=Config!$B$9),L1755/60,0)</f>
        <v>0</v>
      </c>
      <c r="S1755" s="45">
        <f>IF(G1755="","",IFERROR(INDEX(Config!$K$5:$K$16,MATCH(G1755,Config!$J$5:$J$16,0)),""))</f>
        <v/>
      </c>
      <c r="T1755" s="31">
        <f>IF(OR(G1755="",F1755=""),"",IFERROR(INDEX(Config!$M$5:$R$16,MATCH(G1755,Config!$J$5:$J$16,0),MATCH(F1755,Config!$H$5:$H$10,0)),""))</f>
        <v/>
      </c>
      <c r="U1755" s="47">
        <f>IF(AND(H1755="Realizado",L1755&lt;&gt;""),L1755/60,0)</f>
        <v>0</v>
      </c>
      <c r="V1755" s="47">
        <f>IF(AND(H1755="Realizado",OR(L1755="",M1755="")),1,0)</f>
        <v>0</v>
      </c>
    </row>
    <row r="1756">
      <c r="A1756" s="43" t="n"/>
      <c r="B1756" s="44" t="n"/>
      <c r="C1756" s="38" t="n"/>
      <c r="D1756" s="38" t="n"/>
      <c r="E1756" s="37" t="n"/>
      <c r="F1756" s="38" t="n"/>
      <c r="G1756" s="38" t="n"/>
      <c r="H1756" s="38" t="n"/>
      <c r="I1756" s="38" t="n"/>
      <c r="J1756" s="38" t="n"/>
      <c r="K1756" s="37" t="n"/>
      <c r="L1756" s="39" t="n"/>
      <c r="M1756" s="40" t="n"/>
      <c r="N1756" s="30">
        <f>IF(A1756="","",MONTH(A1756))</f>
        <v/>
      </c>
      <c r="O1756" s="30">
        <f>IF(A1756="","",YEAR(A1756))</f>
        <v/>
      </c>
      <c r="P1756" s="30">
        <f>IF(A1756="","",CHOOSE(WEEKDAY(A1756,2),"Segunda","Terça","Quarta","Quinta","Sexta","Sábado","Domingo"))</f>
        <v/>
      </c>
      <c r="Q1756" s="30">
        <f>IF(B1756="","",IF(B1756&lt;TIME(12,0,0),"Manhã",IF(B1756&lt;TIME(18,0,0),"Tarde","Noite")))</f>
        <v/>
      </c>
      <c r="R1756" s="46">
        <f>IF(AND(H1756="Realizado",L1756&lt;&gt;"",A1756&lt;=Config!$B$9),L1756/60,0)</f>
        <v>0</v>
      </c>
      <c r="S1756" s="45">
        <f>IF(G1756="","",IFERROR(INDEX(Config!$K$5:$K$16,MATCH(G1756,Config!$J$5:$J$16,0)),""))</f>
        <v/>
      </c>
      <c r="T1756" s="31">
        <f>IF(OR(G1756="",F1756=""),"",IFERROR(INDEX(Config!$M$5:$R$16,MATCH(G1756,Config!$J$5:$J$16,0),MATCH(F1756,Config!$H$5:$H$10,0)),""))</f>
        <v/>
      </c>
      <c r="U1756" s="47">
        <f>IF(AND(H1756="Realizado",L1756&lt;&gt;""),L1756/60,0)</f>
        <v>0</v>
      </c>
      <c r="V1756" s="47">
        <f>IF(AND(H1756="Realizado",OR(L1756="",M1756="")),1,0)</f>
        <v>0</v>
      </c>
    </row>
    <row r="1757">
      <c r="A1757" s="43" t="n"/>
      <c r="B1757" s="44" t="n"/>
      <c r="C1757" s="38" t="n"/>
      <c r="D1757" s="38" t="n"/>
      <c r="E1757" s="37" t="n"/>
      <c r="F1757" s="38" t="n"/>
      <c r="G1757" s="38" t="n"/>
      <c r="H1757" s="38" t="n"/>
      <c r="I1757" s="38" t="n"/>
      <c r="J1757" s="38" t="n"/>
      <c r="K1757" s="37" t="n"/>
      <c r="L1757" s="39" t="n"/>
      <c r="M1757" s="40" t="n"/>
      <c r="N1757" s="30">
        <f>IF(A1757="","",MONTH(A1757))</f>
        <v/>
      </c>
      <c r="O1757" s="30">
        <f>IF(A1757="","",YEAR(A1757))</f>
        <v/>
      </c>
      <c r="P1757" s="30">
        <f>IF(A1757="","",CHOOSE(WEEKDAY(A1757,2),"Segunda","Terça","Quarta","Quinta","Sexta","Sábado","Domingo"))</f>
        <v/>
      </c>
      <c r="Q1757" s="30">
        <f>IF(B1757="","",IF(B1757&lt;TIME(12,0,0),"Manhã",IF(B1757&lt;TIME(18,0,0),"Tarde","Noite")))</f>
        <v/>
      </c>
      <c r="R1757" s="46">
        <f>IF(AND(H1757="Realizado",L1757&lt;&gt;"",A1757&lt;=Config!$B$9),L1757/60,0)</f>
        <v>0</v>
      </c>
      <c r="S1757" s="45">
        <f>IF(G1757="","",IFERROR(INDEX(Config!$K$5:$K$16,MATCH(G1757,Config!$J$5:$J$16,0)),""))</f>
        <v/>
      </c>
      <c r="T1757" s="31">
        <f>IF(OR(G1757="",F1757=""),"",IFERROR(INDEX(Config!$M$5:$R$16,MATCH(G1757,Config!$J$5:$J$16,0),MATCH(F1757,Config!$H$5:$H$10,0)),""))</f>
        <v/>
      </c>
      <c r="U1757" s="47">
        <f>IF(AND(H1757="Realizado",L1757&lt;&gt;""),L1757/60,0)</f>
        <v>0</v>
      </c>
      <c r="V1757" s="47">
        <f>IF(AND(H1757="Realizado",OR(L1757="",M1757="")),1,0)</f>
        <v>0</v>
      </c>
    </row>
    <row r="1758">
      <c r="A1758" s="43" t="n"/>
      <c r="B1758" s="44" t="n"/>
      <c r="C1758" s="38" t="n"/>
      <c r="D1758" s="38" t="n"/>
      <c r="E1758" s="37" t="n"/>
      <c r="F1758" s="38" t="n"/>
      <c r="G1758" s="38" t="n"/>
      <c r="H1758" s="38" t="n"/>
      <c r="I1758" s="38" t="n"/>
      <c r="J1758" s="38" t="n"/>
      <c r="K1758" s="37" t="n"/>
      <c r="L1758" s="39" t="n"/>
      <c r="M1758" s="40" t="n"/>
      <c r="N1758" s="30">
        <f>IF(A1758="","",MONTH(A1758))</f>
        <v/>
      </c>
      <c r="O1758" s="30">
        <f>IF(A1758="","",YEAR(A1758))</f>
        <v/>
      </c>
      <c r="P1758" s="30">
        <f>IF(A1758="","",CHOOSE(WEEKDAY(A1758,2),"Segunda","Terça","Quarta","Quinta","Sexta","Sábado","Domingo"))</f>
        <v/>
      </c>
      <c r="Q1758" s="30">
        <f>IF(B1758="","",IF(B1758&lt;TIME(12,0,0),"Manhã",IF(B1758&lt;TIME(18,0,0),"Tarde","Noite")))</f>
        <v/>
      </c>
      <c r="R1758" s="46">
        <f>IF(AND(H1758="Realizado",L1758&lt;&gt;"",A1758&lt;=Config!$B$9),L1758/60,0)</f>
        <v>0</v>
      </c>
      <c r="S1758" s="45">
        <f>IF(G1758="","",IFERROR(INDEX(Config!$K$5:$K$16,MATCH(G1758,Config!$J$5:$J$16,0)),""))</f>
        <v/>
      </c>
      <c r="T1758" s="31">
        <f>IF(OR(G1758="",F1758=""),"",IFERROR(INDEX(Config!$M$5:$R$16,MATCH(G1758,Config!$J$5:$J$16,0),MATCH(F1758,Config!$H$5:$H$10,0)),""))</f>
        <v/>
      </c>
      <c r="U1758" s="47">
        <f>IF(AND(H1758="Realizado",L1758&lt;&gt;""),L1758/60,0)</f>
        <v>0</v>
      </c>
      <c r="V1758" s="47">
        <f>IF(AND(H1758="Realizado",OR(L1758="",M1758="")),1,0)</f>
        <v>0</v>
      </c>
    </row>
    <row r="1759">
      <c r="A1759" s="43" t="n"/>
      <c r="B1759" s="44" t="n"/>
      <c r="C1759" s="38" t="n"/>
      <c r="D1759" s="38" t="n"/>
      <c r="E1759" s="37" t="n"/>
      <c r="F1759" s="38" t="n"/>
      <c r="G1759" s="38" t="n"/>
      <c r="H1759" s="38" t="n"/>
      <c r="I1759" s="38" t="n"/>
      <c r="J1759" s="38" t="n"/>
      <c r="K1759" s="37" t="n"/>
      <c r="L1759" s="39" t="n"/>
      <c r="M1759" s="40" t="n"/>
      <c r="N1759" s="30">
        <f>IF(A1759="","",MONTH(A1759))</f>
        <v/>
      </c>
      <c r="O1759" s="30">
        <f>IF(A1759="","",YEAR(A1759))</f>
        <v/>
      </c>
      <c r="P1759" s="30">
        <f>IF(A1759="","",CHOOSE(WEEKDAY(A1759,2),"Segunda","Terça","Quarta","Quinta","Sexta","Sábado","Domingo"))</f>
        <v/>
      </c>
      <c r="Q1759" s="30">
        <f>IF(B1759="","",IF(B1759&lt;TIME(12,0,0),"Manhã",IF(B1759&lt;TIME(18,0,0),"Tarde","Noite")))</f>
        <v/>
      </c>
      <c r="R1759" s="46">
        <f>IF(AND(H1759="Realizado",L1759&lt;&gt;"",A1759&lt;=Config!$B$9),L1759/60,0)</f>
        <v>0</v>
      </c>
      <c r="S1759" s="45">
        <f>IF(G1759="","",IFERROR(INDEX(Config!$K$5:$K$16,MATCH(G1759,Config!$J$5:$J$16,0)),""))</f>
        <v/>
      </c>
      <c r="T1759" s="31">
        <f>IF(OR(G1759="",F1759=""),"",IFERROR(INDEX(Config!$M$5:$R$16,MATCH(G1759,Config!$J$5:$J$16,0),MATCH(F1759,Config!$H$5:$H$10,0)),""))</f>
        <v/>
      </c>
      <c r="U1759" s="47">
        <f>IF(AND(H1759="Realizado",L1759&lt;&gt;""),L1759/60,0)</f>
        <v>0</v>
      </c>
      <c r="V1759" s="47">
        <f>IF(AND(H1759="Realizado",OR(L1759="",M1759="")),1,0)</f>
        <v>0</v>
      </c>
    </row>
    <row r="1760">
      <c r="A1760" s="43" t="n"/>
      <c r="B1760" s="44" t="n"/>
      <c r="C1760" s="38" t="n"/>
      <c r="D1760" s="38" t="n"/>
      <c r="E1760" s="37" t="n"/>
      <c r="F1760" s="38" t="n"/>
      <c r="G1760" s="38" t="n"/>
      <c r="H1760" s="38" t="n"/>
      <c r="I1760" s="38" t="n"/>
      <c r="J1760" s="38" t="n"/>
      <c r="K1760" s="37" t="n"/>
      <c r="L1760" s="39" t="n"/>
      <c r="M1760" s="40" t="n"/>
      <c r="N1760" s="30">
        <f>IF(A1760="","",MONTH(A1760))</f>
        <v/>
      </c>
      <c r="O1760" s="30">
        <f>IF(A1760="","",YEAR(A1760))</f>
        <v/>
      </c>
      <c r="P1760" s="30">
        <f>IF(A1760="","",CHOOSE(WEEKDAY(A1760,2),"Segunda","Terça","Quarta","Quinta","Sexta","Sábado","Domingo"))</f>
        <v/>
      </c>
      <c r="Q1760" s="30">
        <f>IF(B1760="","",IF(B1760&lt;TIME(12,0,0),"Manhã",IF(B1760&lt;TIME(18,0,0),"Tarde","Noite")))</f>
        <v/>
      </c>
      <c r="R1760" s="46">
        <f>IF(AND(H1760="Realizado",L1760&lt;&gt;"",A1760&lt;=Config!$B$9),L1760/60,0)</f>
        <v>0</v>
      </c>
      <c r="S1760" s="45">
        <f>IF(G1760="","",IFERROR(INDEX(Config!$K$5:$K$16,MATCH(G1760,Config!$J$5:$J$16,0)),""))</f>
        <v/>
      </c>
      <c r="T1760" s="31">
        <f>IF(OR(G1760="",F1760=""),"",IFERROR(INDEX(Config!$M$5:$R$16,MATCH(G1760,Config!$J$5:$J$16,0),MATCH(F1760,Config!$H$5:$H$10,0)),""))</f>
        <v/>
      </c>
      <c r="U1760" s="47">
        <f>IF(AND(H1760="Realizado",L1760&lt;&gt;""),L1760/60,0)</f>
        <v>0</v>
      </c>
      <c r="V1760" s="47">
        <f>IF(AND(H1760="Realizado",OR(L1760="",M1760="")),1,0)</f>
        <v>0</v>
      </c>
    </row>
    <row r="1761">
      <c r="A1761" s="43" t="n"/>
      <c r="B1761" s="44" t="n"/>
      <c r="C1761" s="38" t="n"/>
      <c r="D1761" s="38" t="n"/>
      <c r="E1761" s="37" t="n"/>
      <c r="F1761" s="38" t="n"/>
      <c r="G1761" s="38" t="n"/>
      <c r="H1761" s="38" t="n"/>
      <c r="I1761" s="38" t="n"/>
      <c r="J1761" s="38" t="n"/>
      <c r="K1761" s="37" t="n"/>
      <c r="L1761" s="39" t="n"/>
      <c r="M1761" s="40" t="n"/>
      <c r="N1761" s="30">
        <f>IF(A1761="","",MONTH(A1761))</f>
        <v/>
      </c>
      <c r="O1761" s="30">
        <f>IF(A1761="","",YEAR(A1761))</f>
        <v/>
      </c>
      <c r="P1761" s="30">
        <f>IF(A1761="","",CHOOSE(WEEKDAY(A1761,2),"Segunda","Terça","Quarta","Quinta","Sexta","Sábado","Domingo"))</f>
        <v/>
      </c>
      <c r="Q1761" s="30">
        <f>IF(B1761="","",IF(B1761&lt;TIME(12,0,0),"Manhã",IF(B1761&lt;TIME(18,0,0),"Tarde","Noite")))</f>
        <v/>
      </c>
      <c r="R1761" s="46">
        <f>IF(AND(H1761="Realizado",L1761&lt;&gt;"",A1761&lt;=Config!$B$9),L1761/60,0)</f>
        <v>0</v>
      </c>
      <c r="S1761" s="45">
        <f>IF(G1761="","",IFERROR(INDEX(Config!$K$5:$K$16,MATCH(G1761,Config!$J$5:$J$16,0)),""))</f>
        <v/>
      </c>
      <c r="T1761" s="31">
        <f>IF(OR(G1761="",F1761=""),"",IFERROR(INDEX(Config!$M$5:$R$16,MATCH(G1761,Config!$J$5:$J$16,0),MATCH(F1761,Config!$H$5:$H$10,0)),""))</f>
        <v/>
      </c>
      <c r="U1761" s="47">
        <f>IF(AND(H1761="Realizado",L1761&lt;&gt;""),L1761/60,0)</f>
        <v>0</v>
      </c>
      <c r="V1761" s="47">
        <f>IF(AND(H1761="Realizado",OR(L1761="",M1761="")),1,0)</f>
        <v>0</v>
      </c>
    </row>
    <row r="1762">
      <c r="A1762" s="43" t="n"/>
      <c r="B1762" s="44" t="n"/>
      <c r="C1762" s="38" t="n"/>
      <c r="D1762" s="38" t="n"/>
      <c r="E1762" s="37" t="n"/>
      <c r="F1762" s="38" t="n"/>
      <c r="G1762" s="38" t="n"/>
      <c r="H1762" s="38" t="n"/>
      <c r="I1762" s="38" t="n"/>
      <c r="J1762" s="38" t="n"/>
      <c r="K1762" s="37" t="n"/>
      <c r="L1762" s="39" t="n"/>
      <c r="M1762" s="40" t="n"/>
      <c r="N1762" s="30">
        <f>IF(A1762="","",MONTH(A1762))</f>
        <v/>
      </c>
      <c r="O1762" s="30">
        <f>IF(A1762="","",YEAR(A1762))</f>
        <v/>
      </c>
      <c r="P1762" s="30">
        <f>IF(A1762="","",CHOOSE(WEEKDAY(A1762,2),"Segunda","Terça","Quarta","Quinta","Sexta","Sábado","Domingo"))</f>
        <v/>
      </c>
      <c r="Q1762" s="30">
        <f>IF(B1762="","",IF(B1762&lt;TIME(12,0,0),"Manhã",IF(B1762&lt;TIME(18,0,0),"Tarde","Noite")))</f>
        <v/>
      </c>
      <c r="R1762" s="46">
        <f>IF(AND(H1762="Realizado",L1762&lt;&gt;"",A1762&lt;=Config!$B$9),L1762/60,0)</f>
        <v>0</v>
      </c>
      <c r="S1762" s="45">
        <f>IF(G1762="","",IFERROR(INDEX(Config!$K$5:$K$16,MATCH(G1762,Config!$J$5:$J$16,0)),""))</f>
        <v/>
      </c>
      <c r="T1762" s="31">
        <f>IF(OR(G1762="",F1762=""),"",IFERROR(INDEX(Config!$M$5:$R$16,MATCH(G1762,Config!$J$5:$J$16,0),MATCH(F1762,Config!$H$5:$H$10,0)),""))</f>
        <v/>
      </c>
      <c r="U1762" s="47">
        <f>IF(AND(H1762="Realizado",L1762&lt;&gt;""),L1762/60,0)</f>
        <v>0</v>
      </c>
      <c r="V1762" s="47">
        <f>IF(AND(H1762="Realizado",OR(L1762="",M1762="")),1,0)</f>
        <v>0</v>
      </c>
    </row>
    <row r="1763">
      <c r="A1763" s="43" t="n"/>
      <c r="B1763" s="44" t="n"/>
      <c r="C1763" s="38" t="n"/>
      <c r="D1763" s="38" t="n"/>
      <c r="E1763" s="37" t="n"/>
      <c r="F1763" s="38" t="n"/>
      <c r="G1763" s="38" t="n"/>
      <c r="H1763" s="38" t="n"/>
      <c r="I1763" s="38" t="n"/>
      <c r="J1763" s="38" t="n"/>
      <c r="K1763" s="37" t="n"/>
      <c r="L1763" s="39" t="n"/>
      <c r="M1763" s="40" t="n"/>
      <c r="N1763" s="30">
        <f>IF(A1763="","",MONTH(A1763))</f>
        <v/>
      </c>
      <c r="O1763" s="30">
        <f>IF(A1763="","",YEAR(A1763))</f>
        <v/>
      </c>
      <c r="P1763" s="30">
        <f>IF(A1763="","",CHOOSE(WEEKDAY(A1763,2),"Segunda","Terça","Quarta","Quinta","Sexta","Sábado","Domingo"))</f>
        <v/>
      </c>
      <c r="Q1763" s="30">
        <f>IF(B1763="","",IF(B1763&lt;TIME(12,0,0),"Manhã",IF(B1763&lt;TIME(18,0,0),"Tarde","Noite")))</f>
        <v/>
      </c>
      <c r="R1763" s="46">
        <f>IF(AND(H1763="Realizado",L1763&lt;&gt;"",A1763&lt;=Config!$B$9),L1763/60,0)</f>
        <v>0</v>
      </c>
      <c r="S1763" s="45">
        <f>IF(G1763="","",IFERROR(INDEX(Config!$K$5:$K$16,MATCH(G1763,Config!$J$5:$J$16,0)),""))</f>
        <v/>
      </c>
      <c r="T1763" s="31">
        <f>IF(OR(G1763="",F1763=""),"",IFERROR(INDEX(Config!$M$5:$R$16,MATCH(G1763,Config!$J$5:$J$16,0),MATCH(F1763,Config!$H$5:$H$10,0)),""))</f>
        <v/>
      </c>
      <c r="U1763" s="47">
        <f>IF(AND(H1763="Realizado",L1763&lt;&gt;""),L1763/60,0)</f>
        <v>0</v>
      </c>
      <c r="V1763" s="47">
        <f>IF(AND(H1763="Realizado",OR(L1763="",M1763="")),1,0)</f>
        <v>0</v>
      </c>
    </row>
    <row r="1764">
      <c r="A1764" s="43" t="n"/>
      <c r="B1764" s="44" t="n"/>
      <c r="C1764" s="38" t="n"/>
      <c r="D1764" s="38" t="n"/>
      <c r="E1764" s="37" t="n"/>
      <c r="F1764" s="38" t="n"/>
      <c r="G1764" s="38" t="n"/>
      <c r="H1764" s="38" t="n"/>
      <c r="I1764" s="38" t="n"/>
      <c r="J1764" s="38" t="n"/>
      <c r="K1764" s="37" t="n"/>
      <c r="L1764" s="39" t="n"/>
      <c r="M1764" s="40" t="n"/>
      <c r="N1764" s="30">
        <f>IF(A1764="","",MONTH(A1764))</f>
        <v/>
      </c>
      <c r="O1764" s="30">
        <f>IF(A1764="","",YEAR(A1764))</f>
        <v/>
      </c>
      <c r="P1764" s="30">
        <f>IF(A1764="","",CHOOSE(WEEKDAY(A1764,2),"Segunda","Terça","Quarta","Quinta","Sexta","Sábado","Domingo"))</f>
        <v/>
      </c>
      <c r="Q1764" s="30">
        <f>IF(B1764="","",IF(B1764&lt;TIME(12,0,0),"Manhã",IF(B1764&lt;TIME(18,0,0),"Tarde","Noite")))</f>
        <v/>
      </c>
      <c r="R1764" s="46">
        <f>IF(AND(H1764="Realizado",L1764&lt;&gt;"",A1764&lt;=Config!$B$9),L1764/60,0)</f>
        <v>0</v>
      </c>
      <c r="S1764" s="45">
        <f>IF(G1764="","",IFERROR(INDEX(Config!$K$5:$K$16,MATCH(G1764,Config!$J$5:$J$16,0)),""))</f>
        <v/>
      </c>
      <c r="T1764" s="31">
        <f>IF(OR(G1764="",F1764=""),"",IFERROR(INDEX(Config!$M$5:$R$16,MATCH(G1764,Config!$J$5:$J$16,0),MATCH(F1764,Config!$H$5:$H$10,0)),""))</f>
        <v/>
      </c>
      <c r="U1764" s="47">
        <f>IF(AND(H1764="Realizado",L1764&lt;&gt;""),L1764/60,0)</f>
        <v>0</v>
      </c>
      <c r="V1764" s="47">
        <f>IF(AND(H1764="Realizado",OR(L1764="",M1764="")),1,0)</f>
        <v>0</v>
      </c>
    </row>
    <row r="1765">
      <c r="A1765" s="43" t="n"/>
      <c r="B1765" s="44" t="n"/>
      <c r="C1765" s="38" t="n"/>
      <c r="D1765" s="38" t="n"/>
      <c r="E1765" s="37" t="n"/>
      <c r="F1765" s="38" t="n"/>
      <c r="G1765" s="38" t="n"/>
      <c r="H1765" s="38" t="n"/>
      <c r="I1765" s="38" t="n"/>
      <c r="J1765" s="38" t="n"/>
      <c r="K1765" s="37" t="n"/>
      <c r="L1765" s="39" t="n"/>
      <c r="M1765" s="40" t="n"/>
      <c r="N1765" s="30">
        <f>IF(A1765="","",MONTH(A1765))</f>
        <v/>
      </c>
      <c r="O1765" s="30">
        <f>IF(A1765="","",YEAR(A1765))</f>
        <v/>
      </c>
      <c r="P1765" s="30">
        <f>IF(A1765="","",CHOOSE(WEEKDAY(A1765,2),"Segunda","Terça","Quarta","Quinta","Sexta","Sábado","Domingo"))</f>
        <v/>
      </c>
      <c r="Q1765" s="30">
        <f>IF(B1765="","",IF(B1765&lt;TIME(12,0,0),"Manhã",IF(B1765&lt;TIME(18,0,0),"Tarde","Noite")))</f>
        <v/>
      </c>
      <c r="R1765" s="46">
        <f>IF(AND(H1765="Realizado",L1765&lt;&gt;"",A1765&lt;=Config!$B$9),L1765/60,0)</f>
        <v>0</v>
      </c>
      <c r="S1765" s="45">
        <f>IF(G1765="","",IFERROR(INDEX(Config!$K$5:$K$16,MATCH(G1765,Config!$J$5:$J$16,0)),""))</f>
        <v/>
      </c>
      <c r="T1765" s="31">
        <f>IF(OR(G1765="",F1765=""),"",IFERROR(INDEX(Config!$M$5:$R$16,MATCH(G1765,Config!$J$5:$J$16,0),MATCH(F1765,Config!$H$5:$H$10,0)),""))</f>
        <v/>
      </c>
      <c r="U1765" s="47">
        <f>IF(AND(H1765="Realizado",L1765&lt;&gt;""),L1765/60,0)</f>
        <v>0</v>
      </c>
      <c r="V1765" s="47">
        <f>IF(AND(H1765="Realizado",OR(L1765="",M1765="")),1,0)</f>
        <v>0</v>
      </c>
    </row>
    <row r="1766">
      <c r="A1766" s="43" t="n"/>
      <c r="B1766" s="44" t="n"/>
      <c r="C1766" s="38" t="n"/>
      <c r="D1766" s="38" t="n"/>
      <c r="E1766" s="37" t="n"/>
      <c r="F1766" s="38" t="n"/>
      <c r="G1766" s="38" t="n"/>
      <c r="H1766" s="38" t="n"/>
      <c r="I1766" s="38" t="n"/>
      <c r="J1766" s="38" t="n"/>
      <c r="K1766" s="37" t="n"/>
      <c r="L1766" s="39" t="n"/>
      <c r="M1766" s="40" t="n"/>
      <c r="N1766" s="30">
        <f>IF(A1766="","",MONTH(A1766))</f>
        <v/>
      </c>
      <c r="O1766" s="30">
        <f>IF(A1766="","",YEAR(A1766))</f>
        <v/>
      </c>
      <c r="P1766" s="30">
        <f>IF(A1766="","",CHOOSE(WEEKDAY(A1766,2),"Segunda","Terça","Quarta","Quinta","Sexta","Sábado","Domingo"))</f>
        <v/>
      </c>
      <c r="Q1766" s="30">
        <f>IF(B1766="","",IF(B1766&lt;TIME(12,0,0),"Manhã",IF(B1766&lt;TIME(18,0,0),"Tarde","Noite")))</f>
        <v/>
      </c>
      <c r="R1766" s="46">
        <f>IF(AND(H1766="Realizado",L1766&lt;&gt;"",A1766&lt;=Config!$B$9),L1766/60,0)</f>
        <v>0</v>
      </c>
      <c r="S1766" s="45">
        <f>IF(G1766="","",IFERROR(INDEX(Config!$K$5:$K$16,MATCH(G1766,Config!$J$5:$J$16,0)),""))</f>
        <v/>
      </c>
      <c r="T1766" s="31">
        <f>IF(OR(G1766="",F1766=""),"",IFERROR(INDEX(Config!$M$5:$R$16,MATCH(G1766,Config!$J$5:$J$16,0),MATCH(F1766,Config!$H$5:$H$10,0)),""))</f>
        <v/>
      </c>
      <c r="U1766" s="47">
        <f>IF(AND(H1766="Realizado",L1766&lt;&gt;""),L1766/60,0)</f>
        <v>0</v>
      </c>
      <c r="V1766" s="47">
        <f>IF(AND(H1766="Realizado",OR(L1766="",M1766="")),1,0)</f>
        <v>0</v>
      </c>
    </row>
    <row r="1767">
      <c r="A1767" s="43" t="n"/>
      <c r="B1767" s="44" t="n"/>
      <c r="C1767" s="38" t="n"/>
      <c r="D1767" s="38" t="n"/>
      <c r="E1767" s="37" t="n"/>
      <c r="F1767" s="38" t="n"/>
      <c r="G1767" s="38" t="n"/>
      <c r="H1767" s="38" t="n"/>
      <c r="I1767" s="38" t="n"/>
      <c r="J1767" s="38" t="n"/>
      <c r="K1767" s="37" t="n"/>
      <c r="L1767" s="39" t="n"/>
      <c r="M1767" s="40" t="n"/>
      <c r="N1767" s="30">
        <f>IF(A1767="","",MONTH(A1767))</f>
        <v/>
      </c>
      <c r="O1767" s="30">
        <f>IF(A1767="","",YEAR(A1767))</f>
        <v/>
      </c>
      <c r="P1767" s="30">
        <f>IF(A1767="","",CHOOSE(WEEKDAY(A1767,2),"Segunda","Terça","Quarta","Quinta","Sexta","Sábado","Domingo"))</f>
        <v/>
      </c>
      <c r="Q1767" s="30">
        <f>IF(B1767="","",IF(B1767&lt;TIME(12,0,0),"Manhã",IF(B1767&lt;TIME(18,0,0),"Tarde","Noite")))</f>
        <v/>
      </c>
      <c r="R1767" s="46">
        <f>IF(AND(H1767="Realizado",L1767&lt;&gt;"",A1767&lt;=Config!$B$9),L1767/60,0)</f>
        <v>0</v>
      </c>
      <c r="S1767" s="45">
        <f>IF(G1767="","",IFERROR(INDEX(Config!$K$5:$K$16,MATCH(G1767,Config!$J$5:$J$16,0)),""))</f>
        <v/>
      </c>
      <c r="T1767" s="31">
        <f>IF(OR(G1767="",F1767=""),"",IFERROR(INDEX(Config!$M$5:$R$16,MATCH(G1767,Config!$J$5:$J$16,0),MATCH(F1767,Config!$H$5:$H$10,0)),""))</f>
        <v/>
      </c>
      <c r="U1767" s="47">
        <f>IF(AND(H1767="Realizado",L1767&lt;&gt;""),L1767/60,0)</f>
        <v>0</v>
      </c>
      <c r="V1767" s="47">
        <f>IF(AND(H1767="Realizado",OR(L1767="",M1767="")),1,0)</f>
        <v>0</v>
      </c>
    </row>
    <row r="1768">
      <c r="A1768" s="43" t="n"/>
      <c r="B1768" s="44" t="n"/>
      <c r="C1768" s="38" t="n"/>
      <c r="D1768" s="38" t="n"/>
      <c r="E1768" s="37" t="n"/>
      <c r="F1768" s="38" t="n"/>
      <c r="G1768" s="38" t="n"/>
      <c r="H1768" s="38" t="n"/>
      <c r="I1768" s="38" t="n"/>
      <c r="J1768" s="38" t="n"/>
      <c r="K1768" s="37" t="n"/>
      <c r="L1768" s="39" t="n"/>
      <c r="M1768" s="40" t="n"/>
      <c r="N1768" s="30">
        <f>IF(A1768="","",MONTH(A1768))</f>
        <v/>
      </c>
      <c r="O1768" s="30">
        <f>IF(A1768="","",YEAR(A1768))</f>
        <v/>
      </c>
      <c r="P1768" s="30">
        <f>IF(A1768="","",CHOOSE(WEEKDAY(A1768,2),"Segunda","Terça","Quarta","Quinta","Sexta","Sábado","Domingo"))</f>
        <v/>
      </c>
      <c r="Q1768" s="30">
        <f>IF(B1768="","",IF(B1768&lt;TIME(12,0,0),"Manhã",IF(B1768&lt;TIME(18,0,0),"Tarde","Noite")))</f>
        <v/>
      </c>
      <c r="R1768" s="46">
        <f>IF(AND(H1768="Realizado",L1768&lt;&gt;"",A1768&lt;=Config!$B$9),L1768/60,0)</f>
        <v>0</v>
      </c>
      <c r="S1768" s="45">
        <f>IF(G1768="","",IFERROR(INDEX(Config!$K$5:$K$16,MATCH(G1768,Config!$J$5:$J$16,0)),""))</f>
        <v/>
      </c>
      <c r="T1768" s="31">
        <f>IF(OR(G1768="",F1768=""),"",IFERROR(INDEX(Config!$M$5:$R$16,MATCH(G1768,Config!$J$5:$J$16,0),MATCH(F1768,Config!$H$5:$H$10,0)),""))</f>
        <v/>
      </c>
      <c r="U1768" s="47">
        <f>IF(AND(H1768="Realizado",L1768&lt;&gt;""),L1768/60,0)</f>
        <v>0</v>
      </c>
      <c r="V1768" s="47">
        <f>IF(AND(H1768="Realizado",OR(L1768="",M1768="")),1,0)</f>
        <v>0</v>
      </c>
    </row>
    <row r="1769">
      <c r="A1769" s="43" t="n"/>
      <c r="B1769" s="44" t="n"/>
      <c r="C1769" s="38" t="n"/>
      <c r="D1769" s="38" t="n"/>
      <c r="E1769" s="37" t="n"/>
      <c r="F1769" s="38" t="n"/>
      <c r="G1769" s="38" t="n"/>
      <c r="H1769" s="38" t="n"/>
      <c r="I1769" s="38" t="n"/>
      <c r="J1769" s="38" t="n"/>
      <c r="K1769" s="37" t="n"/>
      <c r="L1769" s="39" t="n"/>
      <c r="M1769" s="40" t="n"/>
      <c r="N1769" s="30">
        <f>IF(A1769="","",MONTH(A1769))</f>
        <v/>
      </c>
      <c r="O1769" s="30">
        <f>IF(A1769="","",YEAR(A1769))</f>
        <v/>
      </c>
      <c r="P1769" s="30">
        <f>IF(A1769="","",CHOOSE(WEEKDAY(A1769,2),"Segunda","Terça","Quarta","Quinta","Sexta","Sábado","Domingo"))</f>
        <v/>
      </c>
      <c r="Q1769" s="30">
        <f>IF(B1769="","",IF(B1769&lt;TIME(12,0,0),"Manhã",IF(B1769&lt;TIME(18,0,0),"Tarde","Noite")))</f>
        <v/>
      </c>
      <c r="R1769" s="46">
        <f>IF(AND(H1769="Realizado",L1769&lt;&gt;"",A1769&lt;=Config!$B$9),L1769/60,0)</f>
        <v>0</v>
      </c>
      <c r="S1769" s="45">
        <f>IF(G1769="","",IFERROR(INDEX(Config!$K$5:$K$16,MATCH(G1769,Config!$J$5:$J$16,0)),""))</f>
        <v/>
      </c>
      <c r="T1769" s="31">
        <f>IF(OR(G1769="",F1769=""),"",IFERROR(INDEX(Config!$M$5:$R$16,MATCH(G1769,Config!$J$5:$J$16,0),MATCH(F1769,Config!$H$5:$H$10,0)),""))</f>
        <v/>
      </c>
      <c r="U1769" s="47">
        <f>IF(AND(H1769="Realizado",L1769&lt;&gt;""),L1769/60,0)</f>
        <v>0</v>
      </c>
      <c r="V1769" s="47">
        <f>IF(AND(H1769="Realizado",OR(L1769="",M1769="")),1,0)</f>
        <v>0</v>
      </c>
    </row>
    <row r="1770">
      <c r="A1770" s="43" t="n"/>
      <c r="B1770" s="44" t="n"/>
      <c r="C1770" s="38" t="n"/>
      <c r="D1770" s="38" t="n"/>
      <c r="E1770" s="37" t="n"/>
      <c r="F1770" s="38" t="n"/>
      <c r="G1770" s="38" t="n"/>
      <c r="H1770" s="38" t="n"/>
      <c r="I1770" s="38" t="n"/>
      <c r="J1770" s="38" t="n"/>
      <c r="K1770" s="37" t="n"/>
      <c r="L1770" s="39" t="n"/>
      <c r="M1770" s="40" t="n"/>
      <c r="N1770" s="30">
        <f>IF(A1770="","",MONTH(A1770))</f>
        <v/>
      </c>
      <c r="O1770" s="30">
        <f>IF(A1770="","",YEAR(A1770))</f>
        <v/>
      </c>
      <c r="P1770" s="30">
        <f>IF(A1770="","",CHOOSE(WEEKDAY(A1770,2),"Segunda","Terça","Quarta","Quinta","Sexta","Sábado","Domingo"))</f>
        <v/>
      </c>
      <c r="Q1770" s="30">
        <f>IF(B1770="","",IF(B1770&lt;TIME(12,0,0),"Manhã",IF(B1770&lt;TIME(18,0,0),"Tarde","Noite")))</f>
        <v/>
      </c>
      <c r="R1770" s="46">
        <f>IF(AND(H1770="Realizado",L1770&lt;&gt;"",A1770&lt;=Config!$B$9),L1770/60,0)</f>
        <v>0</v>
      </c>
      <c r="S1770" s="45">
        <f>IF(G1770="","",IFERROR(INDEX(Config!$K$5:$K$16,MATCH(G1770,Config!$J$5:$J$16,0)),""))</f>
        <v/>
      </c>
      <c r="T1770" s="31">
        <f>IF(OR(G1770="",F1770=""),"",IFERROR(INDEX(Config!$M$5:$R$16,MATCH(G1770,Config!$J$5:$J$16,0),MATCH(F1770,Config!$H$5:$H$10,0)),""))</f>
        <v/>
      </c>
      <c r="U1770" s="47">
        <f>IF(AND(H1770="Realizado",L1770&lt;&gt;""),L1770/60,0)</f>
        <v>0</v>
      </c>
      <c r="V1770" s="47">
        <f>IF(AND(H1770="Realizado",OR(L1770="",M1770="")),1,0)</f>
        <v>0</v>
      </c>
    </row>
    <row r="1771">
      <c r="A1771" s="43" t="n"/>
      <c r="B1771" s="44" t="n"/>
      <c r="C1771" s="38" t="n"/>
      <c r="D1771" s="38" t="n"/>
      <c r="E1771" s="37" t="n"/>
      <c r="F1771" s="38" t="n"/>
      <c r="G1771" s="38" t="n"/>
      <c r="H1771" s="38" t="n"/>
      <c r="I1771" s="38" t="n"/>
      <c r="J1771" s="38" t="n"/>
      <c r="K1771" s="37" t="n"/>
      <c r="L1771" s="39" t="n"/>
      <c r="M1771" s="40" t="n"/>
      <c r="N1771" s="30">
        <f>IF(A1771="","",MONTH(A1771))</f>
        <v/>
      </c>
      <c r="O1771" s="30">
        <f>IF(A1771="","",YEAR(A1771))</f>
        <v/>
      </c>
      <c r="P1771" s="30">
        <f>IF(A1771="","",CHOOSE(WEEKDAY(A1771,2),"Segunda","Terça","Quarta","Quinta","Sexta","Sábado","Domingo"))</f>
        <v/>
      </c>
      <c r="Q1771" s="30">
        <f>IF(B1771="","",IF(B1771&lt;TIME(12,0,0),"Manhã",IF(B1771&lt;TIME(18,0,0),"Tarde","Noite")))</f>
        <v/>
      </c>
      <c r="R1771" s="46">
        <f>IF(AND(H1771="Realizado",L1771&lt;&gt;"",A1771&lt;=Config!$B$9),L1771/60,0)</f>
        <v>0</v>
      </c>
      <c r="S1771" s="45">
        <f>IF(G1771="","",IFERROR(INDEX(Config!$K$5:$K$16,MATCH(G1771,Config!$J$5:$J$16,0)),""))</f>
        <v/>
      </c>
      <c r="T1771" s="31">
        <f>IF(OR(G1771="",F1771=""),"",IFERROR(INDEX(Config!$M$5:$R$16,MATCH(G1771,Config!$J$5:$J$16,0),MATCH(F1771,Config!$H$5:$H$10,0)),""))</f>
        <v/>
      </c>
      <c r="U1771" s="47">
        <f>IF(AND(H1771="Realizado",L1771&lt;&gt;""),L1771/60,0)</f>
        <v>0</v>
      </c>
      <c r="V1771" s="47">
        <f>IF(AND(H1771="Realizado",OR(L1771="",M1771="")),1,0)</f>
        <v>0</v>
      </c>
    </row>
    <row r="1772">
      <c r="A1772" s="43" t="n"/>
      <c r="B1772" s="44" t="n"/>
      <c r="C1772" s="38" t="n"/>
      <c r="D1772" s="38" t="n"/>
      <c r="E1772" s="37" t="n"/>
      <c r="F1772" s="38" t="n"/>
      <c r="G1772" s="38" t="n"/>
      <c r="H1772" s="38" t="n"/>
      <c r="I1772" s="38" t="n"/>
      <c r="J1772" s="38" t="n"/>
      <c r="K1772" s="37" t="n"/>
      <c r="L1772" s="39" t="n"/>
      <c r="M1772" s="40" t="n"/>
      <c r="N1772" s="30">
        <f>IF(A1772="","",MONTH(A1772))</f>
        <v/>
      </c>
      <c r="O1772" s="30">
        <f>IF(A1772="","",YEAR(A1772))</f>
        <v/>
      </c>
      <c r="P1772" s="30">
        <f>IF(A1772="","",CHOOSE(WEEKDAY(A1772,2),"Segunda","Terça","Quarta","Quinta","Sexta","Sábado","Domingo"))</f>
        <v/>
      </c>
      <c r="Q1772" s="30">
        <f>IF(B1772="","",IF(B1772&lt;TIME(12,0,0),"Manhã",IF(B1772&lt;TIME(18,0,0),"Tarde","Noite")))</f>
        <v/>
      </c>
      <c r="R1772" s="46">
        <f>IF(AND(H1772="Realizado",L1772&lt;&gt;"",A1772&lt;=Config!$B$9),L1772/60,0)</f>
        <v>0</v>
      </c>
      <c r="S1772" s="45">
        <f>IF(G1772="","",IFERROR(INDEX(Config!$K$5:$K$16,MATCH(G1772,Config!$J$5:$J$16,0)),""))</f>
        <v/>
      </c>
      <c r="T1772" s="31">
        <f>IF(OR(G1772="",F1772=""),"",IFERROR(INDEX(Config!$M$5:$R$16,MATCH(G1772,Config!$J$5:$J$16,0),MATCH(F1772,Config!$H$5:$H$10,0)),""))</f>
        <v/>
      </c>
      <c r="U1772" s="47">
        <f>IF(AND(H1772="Realizado",L1772&lt;&gt;""),L1772/60,0)</f>
        <v>0</v>
      </c>
      <c r="V1772" s="47">
        <f>IF(AND(H1772="Realizado",OR(L1772="",M1772="")),1,0)</f>
        <v>0</v>
      </c>
    </row>
    <row r="1773">
      <c r="A1773" s="43" t="n"/>
      <c r="B1773" s="44" t="n"/>
      <c r="C1773" s="38" t="n"/>
      <c r="D1773" s="38" t="n"/>
      <c r="E1773" s="37" t="n"/>
      <c r="F1773" s="38" t="n"/>
      <c r="G1773" s="38" t="n"/>
      <c r="H1773" s="38" t="n"/>
      <c r="I1773" s="38" t="n"/>
      <c r="J1773" s="38" t="n"/>
      <c r="K1773" s="37" t="n"/>
      <c r="L1773" s="39" t="n"/>
      <c r="M1773" s="40" t="n"/>
      <c r="N1773" s="30">
        <f>IF(A1773="","",MONTH(A1773))</f>
        <v/>
      </c>
      <c r="O1773" s="30">
        <f>IF(A1773="","",YEAR(A1773))</f>
        <v/>
      </c>
      <c r="P1773" s="30">
        <f>IF(A1773="","",CHOOSE(WEEKDAY(A1773,2),"Segunda","Terça","Quarta","Quinta","Sexta","Sábado","Domingo"))</f>
        <v/>
      </c>
      <c r="Q1773" s="30">
        <f>IF(B1773="","",IF(B1773&lt;TIME(12,0,0),"Manhã",IF(B1773&lt;TIME(18,0,0),"Tarde","Noite")))</f>
        <v/>
      </c>
      <c r="R1773" s="46">
        <f>IF(AND(H1773="Realizado",L1773&lt;&gt;"",A1773&lt;=Config!$B$9),L1773/60,0)</f>
        <v>0</v>
      </c>
      <c r="S1773" s="45">
        <f>IF(G1773="","",IFERROR(INDEX(Config!$K$5:$K$16,MATCH(G1773,Config!$J$5:$J$16,0)),""))</f>
        <v/>
      </c>
      <c r="T1773" s="31">
        <f>IF(OR(G1773="",F1773=""),"",IFERROR(INDEX(Config!$M$5:$R$16,MATCH(G1773,Config!$J$5:$J$16,0),MATCH(F1773,Config!$H$5:$H$10,0)),""))</f>
        <v/>
      </c>
      <c r="U1773" s="47">
        <f>IF(AND(H1773="Realizado",L1773&lt;&gt;""),L1773/60,0)</f>
        <v>0</v>
      </c>
      <c r="V1773" s="47">
        <f>IF(AND(H1773="Realizado",OR(L1773="",M1773="")),1,0)</f>
        <v>0</v>
      </c>
    </row>
    <row r="1774">
      <c r="A1774" s="43" t="n"/>
      <c r="B1774" s="44" t="n"/>
      <c r="C1774" s="38" t="n"/>
      <c r="D1774" s="38" t="n"/>
      <c r="E1774" s="37" t="n"/>
      <c r="F1774" s="38" t="n"/>
      <c r="G1774" s="38" t="n"/>
      <c r="H1774" s="38" t="n"/>
      <c r="I1774" s="38" t="n"/>
      <c r="J1774" s="38" t="n"/>
      <c r="K1774" s="37" t="n"/>
      <c r="L1774" s="39" t="n"/>
      <c r="M1774" s="40" t="n"/>
      <c r="N1774" s="30">
        <f>IF(A1774="","",MONTH(A1774))</f>
        <v/>
      </c>
      <c r="O1774" s="30">
        <f>IF(A1774="","",YEAR(A1774))</f>
        <v/>
      </c>
      <c r="P1774" s="30">
        <f>IF(A1774="","",CHOOSE(WEEKDAY(A1774,2),"Segunda","Terça","Quarta","Quinta","Sexta","Sábado","Domingo"))</f>
        <v/>
      </c>
      <c r="Q1774" s="30">
        <f>IF(B1774="","",IF(B1774&lt;TIME(12,0,0),"Manhã",IF(B1774&lt;TIME(18,0,0),"Tarde","Noite")))</f>
        <v/>
      </c>
      <c r="R1774" s="46">
        <f>IF(AND(H1774="Realizado",L1774&lt;&gt;"",A1774&lt;=Config!$B$9),L1774/60,0)</f>
        <v>0</v>
      </c>
      <c r="S1774" s="45">
        <f>IF(G1774="","",IFERROR(INDEX(Config!$K$5:$K$16,MATCH(G1774,Config!$J$5:$J$16,0)),""))</f>
        <v/>
      </c>
      <c r="T1774" s="31">
        <f>IF(OR(G1774="",F1774=""),"",IFERROR(INDEX(Config!$M$5:$R$16,MATCH(G1774,Config!$J$5:$J$16,0),MATCH(F1774,Config!$H$5:$H$10,0)),""))</f>
        <v/>
      </c>
      <c r="U1774" s="47">
        <f>IF(AND(H1774="Realizado",L1774&lt;&gt;""),L1774/60,0)</f>
        <v>0</v>
      </c>
      <c r="V1774" s="47">
        <f>IF(AND(H1774="Realizado",OR(L1774="",M1774="")),1,0)</f>
        <v>0</v>
      </c>
    </row>
    <row r="1775">
      <c r="A1775" s="43" t="n"/>
      <c r="B1775" s="44" t="n"/>
      <c r="C1775" s="38" t="n"/>
      <c r="D1775" s="38" t="n"/>
      <c r="E1775" s="37" t="n"/>
      <c r="F1775" s="38" t="n"/>
      <c r="G1775" s="38" t="n"/>
      <c r="H1775" s="38" t="n"/>
      <c r="I1775" s="38" t="n"/>
      <c r="J1775" s="38" t="n"/>
      <c r="K1775" s="37" t="n"/>
      <c r="L1775" s="39" t="n"/>
      <c r="M1775" s="40" t="n"/>
      <c r="N1775" s="30">
        <f>IF(A1775="","",MONTH(A1775))</f>
        <v/>
      </c>
      <c r="O1775" s="30">
        <f>IF(A1775="","",YEAR(A1775))</f>
        <v/>
      </c>
      <c r="P1775" s="30">
        <f>IF(A1775="","",CHOOSE(WEEKDAY(A1775,2),"Segunda","Terça","Quarta","Quinta","Sexta","Sábado","Domingo"))</f>
        <v/>
      </c>
      <c r="Q1775" s="30">
        <f>IF(B1775="","",IF(B1775&lt;TIME(12,0,0),"Manhã",IF(B1775&lt;TIME(18,0,0),"Tarde","Noite")))</f>
        <v/>
      </c>
      <c r="R1775" s="46">
        <f>IF(AND(H1775="Realizado",L1775&lt;&gt;"",A1775&lt;=Config!$B$9),L1775/60,0)</f>
        <v>0</v>
      </c>
      <c r="S1775" s="45">
        <f>IF(G1775="","",IFERROR(INDEX(Config!$K$5:$K$16,MATCH(G1775,Config!$J$5:$J$16,0)),""))</f>
        <v/>
      </c>
      <c r="T1775" s="31">
        <f>IF(OR(G1775="",F1775=""),"",IFERROR(INDEX(Config!$M$5:$R$16,MATCH(G1775,Config!$J$5:$J$16,0),MATCH(F1775,Config!$H$5:$H$10,0)),""))</f>
        <v/>
      </c>
      <c r="U1775" s="47">
        <f>IF(AND(H1775="Realizado",L1775&lt;&gt;""),L1775/60,0)</f>
        <v>0</v>
      </c>
      <c r="V1775" s="47">
        <f>IF(AND(H1775="Realizado",OR(L1775="",M1775="")),1,0)</f>
        <v>0</v>
      </c>
    </row>
    <row r="1776">
      <c r="A1776" s="43" t="n"/>
      <c r="B1776" s="44" t="n"/>
      <c r="C1776" s="38" t="n"/>
      <c r="D1776" s="38" t="n"/>
      <c r="E1776" s="37" t="n"/>
      <c r="F1776" s="38" t="n"/>
      <c r="G1776" s="38" t="n"/>
      <c r="H1776" s="38" t="n"/>
      <c r="I1776" s="38" t="n"/>
      <c r="J1776" s="38" t="n"/>
      <c r="K1776" s="37" t="n"/>
      <c r="L1776" s="39" t="n"/>
      <c r="M1776" s="40" t="n"/>
      <c r="N1776" s="30">
        <f>IF(A1776="","",MONTH(A1776))</f>
        <v/>
      </c>
      <c r="O1776" s="30">
        <f>IF(A1776="","",YEAR(A1776))</f>
        <v/>
      </c>
      <c r="P1776" s="30">
        <f>IF(A1776="","",CHOOSE(WEEKDAY(A1776,2),"Segunda","Terça","Quarta","Quinta","Sexta","Sábado","Domingo"))</f>
        <v/>
      </c>
      <c r="Q1776" s="30">
        <f>IF(B1776="","",IF(B1776&lt;TIME(12,0,0),"Manhã",IF(B1776&lt;TIME(18,0,0),"Tarde","Noite")))</f>
        <v/>
      </c>
      <c r="R1776" s="46">
        <f>IF(AND(H1776="Realizado",L1776&lt;&gt;"",A1776&lt;=Config!$B$9),L1776/60,0)</f>
        <v>0</v>
      </c>
      <c r="S1776" s="45">
        <f>IF(G1776="","",IFERROR(INDEX(Config!$K$5:$K$16,MATCH(G1776,Config!$J$5:$J$16,0)),""))</f>
        <v/>
      </c>
      <c r="T1776" s="31">
        <f>IF(OR(G1776="",F1776=""),"",IFERROR(INDEX(Config!$M$5:$R$16,MATCH(G1776,Config!$J$5:$J$16,0),MATCH(F1776,Config!$H$5:$H$10,0)),""))</f>
        <v/>
      </c>
      <c r="U1776" s="47">
        <f>IF(AND(H1776="Realizado",L1776&lt;&gt;""),L1776/60,0)</f>
        <v>0</v>
      </c>
      <c r="V1776" s="47">
        <f>IF(AND(H1776="Realizado",OR(L1776="",M1776="")),1,0)</f>
        <v>0</v>
      </c>
    </row>
    <row r="1777">
      <c r="A1777" s="43" t="n"/>
      <c r="B1777" s="44" t="n"/>
      <c r="C1777" s="38" t="n"/>
      <c r="D1777" s="38" t="n"/>
      <c r="E1777" s="37" t="n"/>
      <c r="F1777" s="38" t="n"/>
      <c r="G1777" s="38" t="n"/>
      <c r="H1777" s="38" t="n"/>
      <c r="I1777" s="38" t="n"/>
      <c r="J1777" s="38" t="n"/>
      <c r="K1777" s="37" t="n"/>
      <c r="L1777" s="39" t="n"/>
      <c r="M1777" s="40" t="n"/>
      <c r="N1777" s="30">
        <f>IF(A1777="","",MONTH(A1777))</f>
        <v/>
      </c>
      <c r="O1777" s="30">
        <f>IF(A1777="","",YEAR(A1777))</f>
        <v/>
      </c>
      <c r="P1777" s="30">
        <f>IF(A1777="","",CHOOSE(WEEKDAY(A1777,2),"Segunda","Terça","Quarta","Quinta","Sexta","Sábado","Domingo"))</f>
        <v/>
      </c>
      <c r="Q1777" s="30">
        <f>IF(B1777="","",IF(B1777&lt;TIME(12,0,0),"Manhã",IF(B1777&lt;TIME(18,0,0),"Tarde","Noite")))</f>
        <v/>
      </c>
      <c r="R1777" s="46">
        <f>IF(AND(H1777="Realizado",L1777&lt;&gt;"",A1777&lt;=Config!$B$9),L1777/60,0)</f>
        <v>0</v>
      </c>
      <c r="S1777" s="45">
        <f>IF(G1777="","",IFERROR(INDEX(Config!$K$5:$K$16,MATCH(G1777,Config!$J$5:$J$16,0)),""))</f>
        <v/>
      </c>
      <c r="T1777" s="31">
        <f>IF(OR(G1777="",F1777=""),"",IFERROR(INDEX(Config!$M$5:$R$16,MATCH(G1777,Config!$J$5:$J$16,0),MATCH(F1777,Config!$H$5:$H$10,0)),""))</f>
        <v/>
      </c>
      <c r="U1777" s="47">
        <f>IF(AND(H1777="Realizado",L1777&lt;&gt;""),L1777/60,0)</f>
        <v>0</v>
      </c>
      <c r="V1777" s="47">
        <f>IF(AND(H1777="Realizado",OR(L1777="",M1777="")),1,0)</f>
        <v>0</v>
      </c>
    </row>
    <row r="1778">
      <c r="A1778" s="43" t="n"/>
      <c r="B1778" s="44" t="n"/>
      <c r="C1778" s="38" t="n"/>
      <c r="D1778" s="38" t="n"/>
      <c r="E1778" s="37" t="n"/>
      <c r="F1778" s="38" t="n"/>
      <c r="G1778" s="38" t="n"/>
      <c r="H1778" s="38" t="n"/>
      <c r="I1778" s="38" t="n"/>
      <c r="J1778" s="38" t="n"/>
      <c r="K1778" s="37" t="n"/>
      <c r="L1778" s="39" t="n"/>
      <c r="M1778" s="40" t="n"/>
      <c r="N1778" s="30">
        <f>IF(A1778="","",MONTH(A1778))</f>
        <v/>
      </c>
      <c r="O1778" s="30">
        <f>IF(A1778="","",YEAR(A1778))</f>
        <v/>
      </c>
      <c r="P1778" s="30">
        <f>IF(A1778="","",CHOOSE(WEEKDAY(A1778,2),"Segunda","Terça","Quarta","Quinta","Sexta","Sábado","Domingo"))</f>
        <v/>
      </c>
      <c r="Q1778" s="30">
        <f>IF(B1778="","",IF(B1778&lt;TIME(12,0,0),"Manhã",IF(B1778&lt;TIME(18,0,0),"Tarde","Noite")))</f>
        <v/>
      </c>
      <c r="R1778" s="46">
        <f>IF(AND(H1778="Realizado",L1778&lt;&gt;"",A1778&lt;=Config!$B$9),L1778/60,0)</f>
        <v>0</v>
      </c>
      <c r="S1778" s="45">
        <f>IF(G1778="","",IFERROR(INDEX(Config!$K$5:$K$16,MATCH(G1778,Config!$J$5:$J$16,0)),""))</f>
        <v/>
      </c>
      <c r="T1778" s="31">
        <f>IF(OR(G1778="",F1778=""),"",IFERROR(INDEX(Config!$M$5:$R$16,MATCH(G1778,Config!$J$5:$J$16,0),MATCH(F1778,Config!$H$5:$H$10,0)),""))</f>
        <v/>
      </c>
      <c r="U1778" s="47">
        <f>IF(AND(H1778="Realizado",L1778&lt;&gt;""),L1778/60,0)</f>
        <v>0</v>
      </c>
      <c r="V1778" s="47">
        <f>IF(AND(H1778="Realizado",OR(L1778="",M1778="")),1,0)</f>
        <v>0</v>
      </c>
    </row>
    <row r="1779">
      <c r="A1779" s="43" t="n"/>
      <c r="B1779" s="44" t="n"/>
      <c r="C1779" s="38" t="n"/>
      <c r="D1779" s="38" t="n"/>
      <c r="E1779" s="37" t="n"/>
      <c r="F1779" s="38" t="n"/>
      <c r="G1779" s="38" t="n"/>
      <c r="H1779" s="38" t="n"/>
      <c r="I1779" s="38" t="n"/>
      <c r="J1779" s="38" t="n"/>
      <c r="K1779" s="37" t="n"/>
      <c r="L1779" s="39" t="n"/>
      <c r="M1779" s="40" t="n"/>
      <c r="N1779" s="30">
        <f>IF(A1779="","",MONTH(A1779))</f>
        <v/>
      </c>
      <c r="O1779" s="30">
        <f>IF(A1779="","",YEAR(A1779))</f>
        <v/>
      </c>
      <c r="P1779" s="30">
        <f>IF(A1779="","",CHOOSE(WEEKDAY(A1779,2),"Segunda","Terça","Quarta","Quinta","Sexta","Sábado","Domingo"))</f>
        <v/>
      </c>
      <c r="Q1779" s="30">
        <f>IF(B1779="","",IF(B1779&lt;TIME(12,0,0),"Manhã",IF(B1779&lt;TIME(18,0,0),"Tarde","Noite")))</f>
        <v/>
      </c>
      <c r="R1779" s="46">
        <f>IF(AND(H1779="Realizado",L1779&lt;&gt;"",A1779&lt;=Config!$B$9),L1779/60,0)</f>
        <v>0</v>
      </c>
      <c r="S1779" s="45">
        <f>IF(G1779="","",IFERROR(INDEX(Config!$K$5:$K$16,MATCH(G1779,Config!$J$5:$J$16,0)),""))</f>
        <v/>
      </c>
      <c r="T1779" s="31">
        <f>IF(OR(G1779="",F1779=""),"",IFERROR(INDEX(Config!$M$5:$R$16,MATCH(G1779,Config!$J$5:$J$16,0),MATCH(F1779,Config!$H$5:$H$10,0)),""))</f>
        <v/>
      </c>
      <c r="U1779" s="47">
        <f>IF(AND(H1779="Realizado",L1779&lt;&gt;""),L1779/60,0)</f>
        <v>0</v>
      </c>
      <c r="V1779" s="47">
        <f>IF(AND(H1779="Realizado",OR(L1779="",M1779="")),1,0)</f>
        <v>0</v>
      </c>
    </row>
    <row r="1780">
      <c r="A1780" s="43" t="n"/>
      <c r="B1780" s="44" t="n"/>
      <c r="C1780" s="38" t="n"/>
      <c r="D1780" s="38" t="n"/>
      <c r="E1780" s="37" t="n"/>
      <c r="F1780" s="38" t="n"/>
      <c r="G1780" s="38" t="n"/>
      <c r="H1780" s="38" t="n"/>
      <c r="I1780" s="38" t="n"/>
      <c r="J1780" s="38" t="n"/>
      <c r="K1780" s="37" t="n"/>
      <c r="L1780" s="39" t="n"/>
      <c r="M1780" s="40" t="n"/>
      <c r="N1780" s="30">
        <f>IF(A1780="","",MONTH(A1780))</f>
        <v/>
      </c>
      <c r="O1780" s="30">
        <f>IF(A1780="","",YEAR(A1780))</f>
        <v/>
      </c>
      <c r="P1780" s="30">
        <f>IF(A1780="","",CHOOSE(WEEKDAY(A1780,2),"Segunda","Terça","Quarta","Quinta","Sexta","Sábado","Domingo"))</f>
        <v/>
      </c>
      <c r="Q1780" s="30">
        <f>IF(B1780="","",IF(B1780&lt;TIME(12,0,0),"Manhã",IF(B1780&lt;TIME(18,0,0),"Tarde","Noite")))</f>
        <v/>
      </c>
      <c r="R1780" s="46">
        <f>IF(AND(H1780="Realizado",L1780&lt;&gt;"",A1780&lt;=Config!$B$9),L1780/60,0)</f>
        <v>0</v>
      </c>
      <c r="S1780" s="45">
        <f>IF(G1780="","",IFERROR(INDEX(Config!$K$5:$K$16,MATCH(G1780,Config!$J$5:$J$16,0)),""))</f>
        <v/>
      </c>
      <c r="T1780" s="31">
        <f>IF(OR(G1780="",F1780=""),"",IFERROR(INDEX(Config!$M$5:$R$16,MATCH(G1780,Config!$J$5:$J$16,0),MATCH(F1780,Config!$H$5:$H$10,0)),""))</f>
        <v/>
      </c>
      <c r="U1780" s="47">
        <f>IF(AND(H1780="Realizado",L1780&lt;&gt;""),L1780/60,0)</f>
        <v>0</v>
      </c>
      <c r="V1780" s="47">
        <f>IF(AND(H1780="Realizado",OR(L1780="",M1780="")),1,0)</f>
        <v>0</v>
      </c>
    </row>
    <row r="1781">
      <c r="A1781" s="43" t="n"/>
      <c r="B1781" s="44" t="n"/>
      <c r="C1781" s="38" t="n"/>
      <c r="D1781" s="38" t="n"/>
      <c r="E1781" s="37" t="n"/>
      <c r="F1781" s="38" t="n"/>
      <c r="G1781" s="38" t="n"/>
      <c r="H1781" s="38" t="n"/>
      <c r="I1781" s="38" t="n"/>
      <c r="J1781" s="38" t="n"/>
      <c r="K1781" s="37" t="n"/>
      <c r="L1781" s="39" t="n"/>
      <c r="M1781" s="40" t="n"/>
      <c r="N1781" s="30">
        <f>IF(A1781="","",MONTH(A1781))</f>
        <v/>
      </c>
      <c r="O1781" s="30">
        <f>IF(A1781="","",YEAR(A1781))</f>
        <v/>
      </c>
      <c r="P1781" s="30">
        <f>IF(A1781="","",CHOOSE(WEEKDAY(A1781,2),"Segunda","Terça","Quarta","Quinta","Sexta","Sábado","Domingo"))</f>
        <v/>
      </c>
      <c r="Q1781" s="30">
        <f>IF(B1781="","",IF(B1781&lt;TIME(12,0,0),"Manhã",IF(B1781&lt;TIME(18,0,0),"Tarde","Noite")))</f>
        <v/>
      </c>
      <c r="R1781" s="46">
        <f>IF(AND(H1781="Realizado",L1781&lt;&gt;"",A1781&lt;=Config!$B$9),L1781/60,0)</f>
        <v>0</v>
      </c>
      <c r="S1781" s="45">
        <f>IF(G1781="","",IFERROR(INDEX(Config!$K$5:$K$16,MATCH(G1781,Config!$J$5:$J$16,0)),""))</f>
        <v/>
      </c>
      <c r="T1781" s="31">
        <f>IF(OR(G1781="",F1781=""),"",IFERROR(INDEX(Config!$M$5:$R$16,MATCH(G1781,Config!$J$5:$J$16,0),MATCH(F1781,Config!$H$5:$H$10,0)),""))</f>
        <v/>
      </c>
      <c r="U1781" s="47">
        <f>IF(AND(H1781="Realizado",L1781&lt;&gt;""),L1781/60,0)</f>
        <v>0</v>
      </c>
      <c r="V1781" s="47">
        <f>IF(AND(H1781="Realizado",OR(L1781="",M1781="")),1,0)</f>
        <v>0</v>
      </c>
    </row>
    <row r="1782">
      <c r="A1782" s="43" t="n"/>
      <c r="B1782" s="44" t="n"/>
      <c r="C1782" s="38" t="n"/>
      <c r="D1782" s="38" t="n"/>
      <c r="E1782" s="37" t="n"/>
      <c r="F1782" s="38" t="n"/>
      <c r="G1782" s="38" t="n"/>
      <c r="H1782" s="38" t="n"/>
      <c r="I1782" s="38" t="n"/>
      <c r="J1782" s="38" t="n"/>
      <c r="K1782" s="37" t="n"/>
      <c r="L1782" s="39" t="n"/>
      <c r="M1782" s="40" t="n"/>
      <c r="N1782" s="30">
        <f>IF(A1782="","",MONTH(A1782))</f>
        <v/>
      </c>
      <c r="O1782" s="30">
        <f>IF(A1782="","",YEAR(A1782))</f>
        <v/>
      </c>
      <c r="P1782" s="30">
        <f>IF(A1782="","",CHOOSE(WEEKDAY(A1782,2),"Segunda","Terça","Quarta","Quinta","Sexta","Sábado","Domingo"))</f>
        <v/>
      </c>
      <c r="Q1782" s="30">
        <f>IF(B1782="","",IF(B1782&lt;TIME(12,0,0),"Manhã",IF(B1782&lt;TIME(18,0,0),"Tarde","Noite")))</f>
        <v/>
      </c>
      <c r="R1782" s="46">
        <f>IF(AND(H1782="Realizado",L1782&lt;&gt;"",A1782&lt;=Config!$B$9),L1782/60,0)</f>
        <v>0</v>
      </c>
      <c r="S1782" s="45">
        <f>IF(G1782="","",IFERROR(INDEX(Config!$K$5:$K$16,MATCH(G1782,Config!$J$5:$J$16,0)),""))</f>
        <v/>
      </c>
      <c r="T1782" s="31">
        <f>IF(OR(G1782="",F1782=""),"",IFERROR(INDEX(Config!$M$5:$R$16,MATCH(G1782,Config!$J$5:$J$16,0),MATCH(F1782,Config!$H$5:$H$10,0)),""))</f>
        <v/>
      </c>
      <c r="U1782" s="47">
        <f>IF(AND(H1782="Realizado",L1782&lt;&gt;""),L1782/60,0)</f>
        <v>0</v>
      </c>
      <c r="V1782" s="47">
        <f>IF(AND(H1782="Realizado",OR(L1782="",M1782="")),1,0)</f>
        <v>0</v>
      </c>
    </row>
    <row r="1783">
      <c r="A1783" s="43" t="n"/>
      <c r="B1783" s="44" t="n"/>
      <c r="C1783" s="38" t="n"/>
      <c r="D1783" s="38" t="n"/>
      <c r="E1783" s="37" t="n"/>
      <c r="F1783" s="38" t="n"/>
      <c r="G1783" s="38" t="n"/>
      <c r="H1783" s="38" t="n"/>
      <c r="I1783" s="38" t="n"/>
      <c r="J1783" s="38" t="n"/>
      <c r="K1783" s="37" t="n"/>
      <c r="L1783" s="39" t="n"/>
      <c r="M1783" s="40" t="n"/>
      <c r="N1783" s="30">
        <f>IF(A1783="","",MONTH(A1783))</f>
        <v/>
      </c>
      <c r="O1783" s="30">
        <f>IF(A1783="","",YEAR(A1783))</f>
        <v/>
      </c>
      <c r="P1783" s="30">
        <f>IF(A1783="","",CHOOSE(WEEKDAY(A1783,2),"Segunda","Terça","Quarta","Quinta","Sexta","Sábado","Domingo"))</f>
        <v/>
      </c>
      <c r="Q1783" s="30">
        <f>IF(B1783="","",IF(B1783&lt;TIME(12,0,0),"Manhã",IF(B1783&lt;TIME(18,0,0),"Tarde","Noite")))</f>
        <v/>
      </c>
      <c r="R1783" s="46">
        <f>IF(AND(H1783="Realizado",L1783&lt;&gt;"",A1783&lt;=Config!$B$9),L1783/60,0)</f>
        <v>0</v>
      </c>
      <c r="S1783" s="45">
        <f>IF(G1783="","",IFERROR(INDEX(Config!$K$5:$K$16,MATCH(G1783,Config!$J$5:$J$16,0)),""))</f>
        <v/>
      </c>
      <c r="T1783" s="31">
        <f>IF(OR(G1783="",F1783=""),"",IFERROR(INDEX(Config!$M$5:$R$16,MATCH(G1783,Config!$J$5:$J$16,0),MATCH(F1783,Config!$H$5:$H$10,0)),""))</f>
        <v/>
      </c>
      <c r="U1783" s="47">
        <f>IF(AND(H1783="Realizado",L1783&lt;&gt;""),L1783/60,0)</f>
        <v>0</v>
      </c>
      <c r="V1783" s="47">
        <f>IF(AND(H1783="Realizado",OR(L1783="",M1783="")),1,0)</f>
        <v>0</v>
      </c>
    </row>
    <row r="1784">
      <c r="A1784" s="43" t="n"/>
      <c r="B1784" s="44" t="n"/>
      <c r="C1784" s="38" t="n"/>
      <c r="D1784" s="38" t="n"/>
      <c r="E1784" s="37" t="n"/>
      <c r="F1784" s="38" t="n"/>
      <c r="G1784" s="38" t="n"/>
      <c r="H1784" s="38" t="n"/>
      <c r="I1784" s="38" t="n"/>
      <c r="J1784" s="38" t="n"/>
      <c r="K1784" s="37" t="n"/>
      <c r="L1784" s="39" t="n"/>
      <c r="M1784" s="40" t="n"/>
      <c r="N1784" s="30">
        <f>IF(A1784="","",MONTH(A1784))</f>
        <v/>
      </c>
      <c r="O1784" s="30">
        <f>IF(A1784="","",YEAR(A1784))</f>
        <v/>
      </c>
      <c r="P1784" s="30">
        <f>IF(A1784="","",CHOOSE(WEEKDAY(A1784,2),"Segunda","Terça","Quarta","Quinta","Sexta","Sábado","Domingo"))</f>
        <v/>
      </c>
      <c r="Q1784" s="30">
        <f>IF(B1784="","",IF(B1784&lt;TIME(12,0,0),"Manhã",IF(B1784&lt;TIME(18,0,0),"Tarde","Noite")))</f>
        <v/>
      </c>
      <c r="R1784" s="46">
        <f>IF(AND(H1784="Realizado",L1784&lt;&gt;"",A1784&lt;=Config!$B$9),L1784/60,0)</f>
        <v>0</v>
      </c>
      <c r="S1784" s="45">
        <f>IF(G1784="","",IFERROR(INDEX(Config!$K$5:$K$16,MATCH(G1784,Config!$J$5:$J$16,0)),""))</f>
        <v/>
      </c>
      <c r="T1784" s="31">
        <f>IF(OR(G1784="",F1784=""),"",IFERROR(INDEX(Config!$M$5:$R$16,MATCH(G1784,Config!$J$5:$J$16,0),MATCH(F1784,Config!$H$5:$H$10,0)),""))</f>
        <v/>
      </c>
      <c r="U1784" s="47">
        <f>IF(AND(H1784="Realizado",L1784&lt;&gt;""),L1784/60,0)</f>
        <v>0</v>
      </c>
      <c r="V1784" s="47">
        <f>IF(AND(H1784="Realizado",OR(L1784="",M1784="")),1,0)</f>
        <v>0</v>
      </c>
    </row>
    <row r="1785">
      <c r="A1785" s="43" t="n"/>
      <c r="B1785" s="44" t="n"/>
      <c r="C1785" s="38" t="n"/>
      <c r="D1785" s="38" t="n"/>
      <c r="E1785" s="37" t="n"/>
      <c r="F1785" s="38" t="n"/>
      <c r="G1785" s="38" t="n"/>
      <c r="H1785" s="38" t="n"/>
      <c r="I1785" s="38" t="n"/>
      <c r="J1785" s="38" t="n"/>
      <c r="K1785" s="37" t="n"/>
      <c r="L1785" s="39" t="n"/>
      <c r="M1785" s="40" t="n"/>
      <c r="N1785" s="30">
        <f>IF(A1785="","",MONTH(A1785))</f>
        <v/>
      </c>
      <c r="O1785" s="30">
        <f>IF(A1785="","",YEAR(A1785))</f>
        <v/>
      </c>
      <c r="P1785" s="30">
        <f>IF(A1785="","",CHOOSE(WEEKDAY(A1785,2),"Segunda","Terça","Quarta","Quinta","Sexta","Sábado","Domingo"))</f>
        <v/>
      </c>
      <c r="Q1785" s="30">
        <f>IF(B1785="","",IF(B1785&lt;TIME(12,0,0),"Manhã",IF(B1785&lt;TIME(18,0,0),"Tarde","Noite")))</f>
        <v/>
      </c>
      <c r="R1785" s="46">
        <f>IF(AND(H1785="Realizado",L1785&lt;&gt;"",A1785&lt;=Config!$B$9),L1785/60,0)</f>
        <v>0</v>
      </c>
      <c r="S1785" s="45">
        <f>IF(G1785="","",IFERROR(INDEX(Config!$K$5:$K$16,MATCH(G1785,Config!$J$5:$J$16,0)),""))</f>
        <v/>
      </c>
      <c r="T1785" s="31">
        <f>IF(OR(G1785="",F1785=""),"",IFERROR(INDEX(Config!$M$5:$R$16,MATCH(G1785,Config!$J$5:$J$16,0),MATCH(F1785,Config!$H$5:$H$10,0)),""))</f>
        <v/>
      </c>
      <c r="U1785" s="47">
        <f>IF(AND(H1785="Realizado",L1785&lt;&gt;""),L1785/60,0)</f>
        <v>0</v>
      </c>
      <c r="V1785" s="47">
        <f>IF(AND(H1785="Realizado",OR(L1785="",M1785="")),1,0)</f>
        <v>0</v>
      </c>
    </row>
    <row r="1786">
      <c r="A1786" s="43" t="n"/>
      <c r="B1786" s="44" t="n"/>
      <c r="C1786" s="38" t="n"/>
      <c r="D1786" s="38" t="n"/>
      <c r="E1786" s="37" t="n"/>
      <c r="F1786" s="38" t="n"/>
      <c r="G1786" s="38" t="n"/>
      <c r="H1786" s="38" t="n"/>
      <c r="I1786" s="38" t="n"/>
      <c r="J1786" s="38" t="n"/>
      <c r="K1786" s="37" t="n"/>
      <c r="L1786" s="39" t="n"/>
      <c r="M1786" s="40" t="n"/>
      <c r="N1786" s="30">
        <f>IF(A1786="","",MONTH(A1786))</f>
        <v/>
      </c>
      <c r="O1786" s="30">
        <f>IF(A1786="","",YEAR(A1786))</f>
        <v/>
      </c>
      <c r="P1786" s="30">
        <f>IF(A1786="","",CHOOSE(WEEKDAY(A1786,2),"Segunda","Terça","Quarta","Quinta","Sexta","Sábado","Domingo"))</f>
        <v/>
      </c>
      <c r="Q1786" s="30">
        <f>IF(B1786="","",IF(B1786&lt;TIME(12,0,0),"Manhã",IF(B1786&lt;TIME(18,0,0),"Tarde","Noite")))</f>
        <v/>
      </c>
      <c r="R1786" s="46">
        <f>IF(AND(H1786="Realizado",L1786&lt;&gt;"",A1786&lt;=Config!$B$9),L1786/60,0)</f>
        <v>0</v>
      </c>
      <c r="S1786" s="45">
        <f>IF(G1786="","",IFERROR(INDEX(Config!$K$5:$K$16,MATCH(G1786,Config!$J$5:$J$16,0)),""))</f>
        <v/>
      </c>
      <c r="T1786" s="31">
        <f>IF(OR(G1786="",F1786=""),"",IFERROR(INDEX(Config!$M$5:$R$16,MATCH(G1786,Config!$J$5:$J$16,0),MATCH(F1786,Config!$H$5:$H$10,0)),""))</f>
        <v/>
      </c>
      <c r="U1786" s="47">
        <f>IF(AND(H1786="Realizado",L1786&lt;&gt;""),L1786/60,0)</f>
        <v>0</v>
      </c>
      <c r="V1786" s="47">
        <f>IF(AND(H1786="Realizado",OR(L1786="",M1786="")),1,0)</f>
        <v>0</v>
      </c>
    </row>
    <row r="1787">
      <c r="A1787" s="43" t="n"/>
      <c r="B1787" s="44" t="n"/>
      <c r="C1787" s="38" t="n"/>
      <c r="D1787" s="38" t="n"/>
      <c r="E1787" s="37" t="n"/>
      <c r="F1787" s="38" t="n"/>
      <c r="G1787" s="38" t="n"/>
      <c r="H1787" s="38" t="n"/>
      <c r="I1787" s="38" t="n"/>
      <c r="J1787" s="38" t="n"/>
      <c r="K1787" s="37" t="n"/>
      <c r="L1787" s="39" t="n"/>
      <c r="M1787" s="40" t="n"/>
      <c r="N1787" s="30">
        <f>IF(A1787="","",MONTH(A1787))</f>
        <v/>
      </c>
      <c r="O1787" s="30">
        <f>IF(A1787="","",YEAR(A1787))</f>
        <v/>
      </c>
      <c r="P1787" s="30">
        <f>IF(A1787="","",CHOOSE(WEEKDAY(A1787,2),"Segunda","Terça","Quarta","Quinta","Sexta","Sábado","Domingo"))</f>
        <v/>
      </c>
      <c r="Q1787" s="30">
        <f>IF(B1787="","",IF(B1787&lt;TIME(12,0,0),"Manhã",IF(B1787&lt;TIME(18,0,0),"Tarde","Noite")))</f>
        <v/>
      </c>
      <c r="R1787" s="46">
        <f>IF(AND(H1787="Realizado",L1787&lt;&gt;"",A1787&lt;=Config!$B$9),L1787/60,0)</f>
        <v>0</v>
      </c>
      <c r="S1787" s="45">
        <f>IF(G1787="","",IFERROR(INDEX(Config!$K$5:$K$16,MATCH(G1787,Config!$J$5:$J$16,0)),""))</f>
        <v/>
      </c>
      <c r="T1787" s="31">
        <f>IF(OR(G1787="",F1787=""),"",IFERROR(INDEX(Config!$M$5:$R$16,MATCH(G1787,Config!$J$5:$J$16,0),MATCH(F1787,Config!$H$5:$H$10,0)),""))</f>
        <v/>
      </c>
      <c r="U1787" s="47">
        <f>IF(AND(H1787="Realizado",L1787&lt;&gt;""),L1787/60,0)</f>
        <v>0</v>
      </c>
      <c r="V1787" s="47">
        <f>IF(AND(H1787="Realizado",OR(L1787="",M1787="")),1,0)</f>
        <v>0</v>
      </c>
    </row>
    <row r="1788">
      <c r="A1788" s="43" t="n"/>
      <c r="B1788" s="44" t="n"/>
      <c r="C1788" s="38" t="n"/>
      <c r="D1788" s="38" t="n"/>
      <c r="E1788" s="37" t="n"/>
      <c r="F1788" s="38" t="n"/>
      <c r="G1788" s="38" t="n"/>
      <c r="H1788" s="38" t="n"/>
      <c r="I1788" s="38" t="n"/>
      <c r="J1788" s="38" t="n"/>
      <c r="K1788" s="37" t="n"/>
      <c r="L1788" s="39" t="n"/>
      <c r="M1788" s="40" t="n"/>
      <c r="N1788" s="30">
        <f>IF(A1788="","",MONTH(A1788))</f>
        <v/>
      </c>
      <c r="O1788" s="30">
        <f>IF(A1788="","",YEAR(A1788))</f>
        <v/>
      </c>
      <c r="P1788" s="30">
        <f>IF(A1788="","",CHOOSE(WEEKDAY(A1788,2),"Segunda","Terça","Quarta","Quinta","Sexta","Sábado","Domingo"))</f>
        <v/>
      </c>
      <c r="Q1788" s="30">
        <f>IF(B1788="","",IF(B1788&lt;TIME(12,0,0),"Manhã",IF(B1788&lt;TIME(18,0,0),"Tarde","Noite")))</f>
        <v/>
      </c>
      <c r="R1788" s="46">
        <f>IF(AND(H1788="Realizado",L1788&lt;&gt;"",A1788&lt;=Config!$B$9),L1788/60,0)</f>
        <v>0</v>
      </c>
      <c r="S1788" s="45">
        <f>IF(G1788="","",IFERROR(INDEX(Config!$K$5:$K$16,MATCH(G1788,Config!$J$5:$J$16,0)),""))</f>
        <v/>
      </c>
      <c r="T1788" s="31">
        <f>IF(OR(G1788="",F1788=""),"",IFERROR(INDEX(Config!$M$5:$R$16,MATCH(G1788,Config!$J$5:$J$16,0),MATCH(F1788,Config!$H$5:$H$10,0)),""))</f>
        <v/>
      </c>
      <c r="U1788" s="47">
        <f>IF(AND(H1788="Realizado",L1788&lt;&gt;""),L1788/60,0)</f>
        <v>0</v>
      </c>
      <c r="V1788" s="47">
        <f>IF(AND(H1788="Realizado",OR(L1788="",M1788="")),1,0)</f>
        <v>0</v>
      </c>
    </row>
    <row r="1789">
      <c r="A1789" s="43" t="n"/>
      <c r="B1789" s="44" t="n"/>
      <c r="C1789" s="38" t="n"/>
      <c r="D1789" s="38" t="n"/>
      <c r="E1789" s="37" t="n"/>
      <c r="F1789" s="38" t="n"/>
      <c r="G1789" s="38" t="n"/>
      <c r="H1789" s="38" t="n"/>
      <c r="I1789" s="38" t="n"/>
      <c r="J1789" s="38" t="n"/>
      <c r="K1789" s="37" t="n"/>
      <c r="L1789" s="39" t="n"/>
      <c r="M1789" s="40" t="n"/>
      <c r="N1789" s="30">
        <f>IF(A1789="","",MONTH(A1789))</f>
        <v/>
      </c>
      <c r="O1789" s="30">
        <f>IF(A1789="","",YEAR(A1789))</f>
        <v/>
      </c>
      <c r="P1789" s="30">
        <f>IF(A1789="","",CHOOSE(WEEKDAY(A1789,2),"Segunda","Terça","Quarta","Quinta","Sexta","Sábado","Domingo"))</f>
        <v/>
      </c>
      <c r="Q1789" s="30">
        <f>IF(B1789="","",IF(B1789&lt;TIME(12,0,0),"Manhã",IF(B1789&lt;TIME(18,0,0),"Tarde","Noite")))</f>
        <v/>
      </c>
      <c r="R1789" s="46">
        <f>IF(AND(H1789="Realizado",L1789&lt;&gt;"",A1789&lt;=Config!$B$9),L1789/60,0)</f>
        <v>0</v>
      </c>
      <c r="S1789" s="45">
        <f>IF(G1789="","",IFERROR(INDEX(Config!$K$5:$K$16,MATCH(G1789,Config!$J$5:$J$16,0)),""))</f>
        <v/>
      </c>
      <c r="T1789" s="31">
        <f>IF(OR(G1789="",F1789=""),"",IFERROR(INDEX(Config!$M$5:$R$16,MATCH(G1789,Config!$J$5:$J$16,0),MATCH(F1789,Config!$H$5:$H$10,0)),""))</f>
        <v/>
      </c>
      <c r="U1789" s="47">
        <f>IF(AND(H1789="Realizado",L1789&lt;&gt;""),L1789/60,0)</f>
        <v>0</v>
      </c>
      <c r="V1789" s="47">
        <f>IF(AND(H1789="Realizado",OR(L1789="",M1789="")),1,0)</f>
        <v>0</v>
      </c>
    </row>
    <row r="1790">
      <c r="A1790" s="43" t="n"/>
      <c r="B1790" s="44" t="n"/>
      <c r="C1790" s="38" t="n"/>
      <c r="D1790" s="38" t="n"/>
      <c r="E1790" s="37" t="n"/>
      <c r="F1790" s="38" t="n"/>
      <c r="G1790" s="38" t="n"/>
      <c r="H1790" s="38" t="n"/>
      <c r="I1790" s="38" t="n"/>
      <c r="J1790" s="38" t="n"/>
      <c r="K1790" s="37" t="n"/>
      <c r="L1790" s="39" t="n"/>
      <c r="M1790" s="40" t="n"/>
      <c r="N1790" s="30">
        <f>IF(A1790="","",MONTH(A1790))</f>
        <v/>
      </c>
      <c r="O1790" s="30">
        <f>IF(A1790="","",YEAR(A1790))</f>
        <v/>
      </c>
      <c r="P1790" s="30">
        <f>IF(A1790="","",CHOOSE(WEEKDAY(A1790,2),"Segunda","Terça","Quarta","Quinta","Sexta","Sábado","Domingo"))</f>
        <v/>
      </c>
      <c r="Q1790" s="30">
        <f>IF(B1790="","",IF(B1790&lt;TIME(12,0,0),"Manhã",IF(B1790&lt;TIME(18,0,0),"Tarde","Noite")))</f>
        <v/>
      </c>
      <c r="R1790" s="46">
        <f>IF(AND(H1790="Realizado",L1790&lt;&gt;"",A1790&lt;=Config!$B$9),L1790/60,0)</f>
        <v>0</v>
      </c>
      <c r="S1790" s="45">
        <f>IF(G1790="","",IFERROR(INDEX(Config!$K$5:$K$16,MATCH(G1790,Config!$J$5:$J$16,0)),""))</f>
        <v/>
      </c>
      <c r="T1790" s="31">
        <f>IF(OR(G1790="",F1790=""),"",IFERROR(INDEX(Config!$M$5:$R$16,MATCH(G1790,Config!$J$5:$J$16,0),MATCH(F1790,Config!$H$5:$H$10,0)),""))</f>
        <v/>
      </c>
      <c r="U1790" s="47">
        <f>IF(AND(H1790="Realizado",L1790&lt;&gt;""),L1790/60,0)</f>
        <v>0</v>
      </c>
      <c r="V1790" s="47">
        <f>IF(AND(H1790="Realizado",OR(L1790="",M1790="")),1,0)</f>
        <v>0</v>
      </c>
    </row>
    <row r="1791">
      <c r="A1791" s="43" t="n"/>
      <c r="B1791" s="44" t="n"/>
      <c r="C1791" s="38" t="n"/>
      <c r="D1791" s="38" t="n"/>
      <c r="E1791" s="37" t="n"/>
      <c r="F1791" s="38" t="n"/>
      <c r="G1791" s="38" t="n"/>
      <c r="H1791" s="38" t="n"/>
      <c r="I1791" s="38" t="n"/>
      <c r="J1791" s="38" t="n"/>
      <c r="K1791" s="37" t="n"/>
      <c r="L1791" s="39" t="n"/>
      <c r="M1791" s="40" t="n"/>
      <c r="N1791" s="30">
        <f>IF(A1791="","",MONTH(A1791))</f>
        <v/>
      </c>
      <c r="O1791" s="30">
        <f>IF(A1791="","",YEAR(A1791))</f>
        <v/>
      </c>
      <c r="P1791" s="30">
        <f>IF(A1791="","",CHOOSE(WEEKDAY(A1791,2),"Segunda","Terça","Quarta","Quinta","Sexta","Sábado","Domingo"))</f>
        <v/>
      </c>
      <c r="Q1791" s="30">
        <f>IF(B1791="","",IF(B1791&lt;TIME(12,0,0),"Manhã",IF(B1791&lt;TIME(18,0,0),"Tarde","Noite")))</f>
        <v/>
      </c>
      <c r="R1791" s="46">
        <f>IF(AND(H1791="Realizado",L1791&lt;&gt;"",A1791&lt;=Config!$B$9),L1791/60,0)</f>
        <v>0</v>
      </c>
      <c r="S1791" s="45">
        <f>IF(G1791="","",IFERROR(INDEX(Config!$K$5:$K$16,MATCH(G1791,Config!$J$5:$J$16,0)),""))</f>
        <v/>
      </c>
      <c r="T1791" s="31">
        <f>IF(OR(G1791="",F1791=""),"",IFERROR(INDEX(Config!$M$5:$R$16,MATCH(G1791,Config!$J$5:$J$16,0),MATCH(F1791,Config!$H$5:$H$10,0)),""))</f>
        <v/>
      </c>
      <c r="U1791" s="47">
        <f>IF(AND(H1791="Realizado",L1791&lt;&gt;""),L1791/60,0)</f>
        <v>0</v>
      </c>
      <c r="V1791" s="47">
        <f>IF(AND(H1791="Realizado",OR(L1791="",M1791="")),1,0)</f>
        <v>0</v>
      </c>
    </row>
    <row r="1792">
      <c r="A1792" s="43" t="n"/>
      <c r="B1792" s="44" t="n"/>
      <c r="C1792" s="38" t="n"/>
      <c r="D1792" s="38" t="n"/>
      <c r="E1792" s="37" t="n"/>
      <c r="F1792" s="38" t="n"/>
      <c r="G1792" s="38" t="n"/>
      <c r="H1792" s="38" t="n"/>
      <c r="I1792" s="38" t="n"/>
      <c r="J1792" s="38" t="n"/>
      <c r="K1792" s="37" t="n"/>
      <c r="L1792" s="39" t="n"/>
      <c r="M1792" s="40" t="n"/>
      <c r="N1792" s="30">
        <f>IF(A1792="","",MONTH(A1792))</f>
        <v/>
      </c>
      <c r="O1792" s="30">
        <f>IF(A1792="","",YEAR(A1792))</f>
        <v/>
      </c>
      <c r="P1792" s="30">
        <f>IF(A1792="","",CHOOSE(WEEKDAY(A1792,2),"Segunda","Terça","Quarta","Quinta","Sexta","Sábado","Domingo"))</f>
        <v/>
      </c>
      <c r="Q1792" s="30">
        <f>IF(B1792="","",IF(B1792&lt;TIME(12,0,0),"Manhã",IF(B1792&lt;TIME(18,0,0),"Tarde","Noite")))</f>
        <v/>
      </c>
      <c r="R1792" s="46">
        <f>IF(AND(H1792="Realizado",L1792&lt;&gt;"",A1792&lt;=Config!$B$9),L1792/60,0)</f>
        <v>0</v>
      </c>
      <c r="S1792" s="45">
        <f>IF(G1792="","",IFERROR(INDEX(Config!$K$5:$K$16,MATCH(G1792,Config!$J$5:$J$16,0)),""))</f>
        <v/>
      </c>
      <c r="T1792" s="31">
        <f>IF(OR(G1792="",F1792=""),"",IFERROR(INDEX(Config!$M$5:$R$16,MATCH(G1792,Config!$J$5:$J$16,0),MATCH(F1792,Config!$H$5:$H$10,0)),""))</f>
        <v/>
      </c>
      <c r="U1792" s="47">
        <f>IF(AND(H1792="Realizado",L1792&lt;&gt;""),L1792/60,0)</f>
        <v>0</v>
      </c>
      <c r="V1792" s="47">
        <f>IF(AND(H1792="Realizado",OR(L1792="",M1792="")),1,0)</f>
        <v>0</v>
      </c>
    </row>
    <row r="1793">
      <c r="A1793" s="43" t="n"/>
      <c r="B1793" s="44" t="n"/>
      <c r="C1793" s="38" t="n"/>
      <c r="D1793" s="38" t="n"/>
      <c r="E1793" s="37" t="n"/>
      <c r="F1793" s="38" t="n"/>
      <c r="G1793" s="38" t="n"/>
      <c r="H1793" s="38" t="n"/>
      <c r="I1793" s="38" t="n"/>
      <c r="J1793" s="38" t="n"/>
      <c r="K1793" s="37" t="n"/>
      <c r="L1793" s="39" t="n"/>
      <c r="M1793" s="40" t="n"/>
      <c r="N1793" s="30">
        <f>IF(A1793="","",MONTH(A1793))</f>
        <v/>
      </c>
      <c r="O1793" s="30">
        <f>IF(A1793="","",YEAR(A1793))</f>
        <v/>
      </c>
      <c r="P1793" s="30">
        <f>IF(A1793="","",CHOOSE(WEEKDAY(A1793,2),"Segunda","Terça","Quarta","Quinta","Sexta","Sábado","Domingo"))</f>
        <v/>
      </c>
      <c r="Q1793" s="30">
        <f>IF(B1793="","",IF(B1793&lt;TIME(12,0,0),"Manhã",IF(B1793&lt;TIME(18,0,0),"Tarde","Noite")))</f>
        <v/>
      </c>
      <c r="R1793" s="46">
        <f>IF(AND(H1793="Realizado",L1793&lt;&gt;"",A1793&lt;=Config!$B$9),L1793/60,0)</f>
        <v>0</v>
      </c>
      <c r="S1793" s="45">
        <f>IF(G1793="","",IFERROR(INDEX(Config!$K$5:$K$16,MATCH(G1793,Config!$J$5:$J$16,0)),""))</f>
        <v/>
      </c>
      <c r="T1793" s="31">
        <f>IF(OR(G1793="",F1793=""),"",IFERROR(INDEX(Config!$M$5:$R$16,MATCH(G1793,Config!$J$5:$J$16,0),MATCH(F1793,Config!$H$5:$H$10,0)),""))</f>
        <v/>
      </c>
      <c r="U1793" s="47">
        <f>IF(AND(H1793="Realizado",L1793&lt;&gt;""),L1793/60,0)</f>
        <v>0</v>
      </c>
      <c r="V1793" s="47">
        <f>IF(AND(H1793="Realizado",OR(L1793="",M1793="")),1,0)</f>
        <v>0</v>
      </c>
    </row>
    <row r="1794">
      <c r="A1794" s="43" t="n"/>
      <c r="B1794" s="44" t="n"/>
      <c r="C1794" s="38" t="n"/>
      <c r="D1794" s="38" t="n"/>
      <c r="E1794" s="37" t="n"/>
      <c r="F1794" s="38" t="n"/>
      <c r="G1794" s="38" t="n"/>
      <c r="H1794" s="38" t="n"/>
      <c r="I1794" s="38" t="n"/>
      <c r="J1794" s="38" t="n"/>
      <c r="K1794" s="37" t="n"/>
      <c r="L1794" s="39" t="n"/>
      <c r="M1794" s="40" t="n"/>
      <c r="N1794" s="30">
        <f>IF(A1794="","",MONTH(A1794))</f>
        <v/>
      </c>
      <c r="O1794" s="30">
        <f>IF(A1794="","",YEAR(A1794))</f>
        <v/>
      </c>
      <c r="P1794" s="30">
        <f>IF(A1794="","",CHOOSE(WEEKDAY(A1794,2),"Segunda","Terça","Quarta","Quinta","Sexta","Sábado","Domingo"))</f>
        <v/>
      </c>
      <c r="Q1794" s="30">
        <f>IF(B1794="","",IF(B1794&lt;TIME(12,0,0),"Manhã",IF(B1794&lt;TIME(18,0,0),"Tarde","Noite")))</f>
        <v/>
      </c>
      <c r="R1794" s="46">
        <f>IF(AND(H1794="Realizado",L1794&lt;&gt;"",A1794&lt;=Config!$B$9),L1794/60,0)</f>
        <v>0</v>
      </c>
      <c r="S1794" s="45">
        <f>IF(G1794="","",IFERROR(INDEX(Config!$K$5:$K$16,MATCH(G1794,Config!$J$5:$J$16,0)),""))</f>
        <v/>
      </c>
      <c r="T1794" s="31">
        <f>IF(OR(G1794="",F1794=""),"",IFERROR(INDEX(Config!$M$5:$R$16,MATCH(G1794,Config!$J$5:$J$16,0),MATCH(F1794,Config!$H$5:$H$10,0)),""))</f>
        <v/>
      </c>
      <c r="U1794" s="47">
        <f>IF(AND(H1794="Realizado",L1794&lt;&gt;""),L1794/60,0)</f>
        <v>0</v>
      </c>
      <c r="V1794" s="47">
        <f>IF(AND(H1794="Realizado",OR(L1794="",M1794="")),1,0)</f>
        <v>0</v>
      </c>
    </row>
    <row r="1795">
      <c r="A1795" s="43" t="n"/>
      <c r="B1795" s="44" t="n"/>
      <c r="C1795" s="38" t="n"/>
      <c r="D1795" s="38" t="n"/>
      <c r="E1795" s="37" t="n"/>
      <c r="F1795" s="38" t="n"/>
      <c r="G1795" s="38" t="n"/>
      <c r="H1795" s="38" t="n"/>
      <c r="I1795" s="38" t="n"/>
      <c r="J1795" s="38" t="n"/>
      <c r="K1795" s="37" t="n"/>
      <c r="L1795" s="39" t="n"/>
      <c r="M1795" s="40" t="n"/>
      <c r="N1795" s="30">
        <f>IF(A1795="","",MONTH(A1795))</f>
        <v/>
      </c>
      <c r="O1795" s="30">
        <f>IF(A1795="","",YEAR(A1795))</f>
        <v/>
      </c>
      <c r="P1795" s="30">
        <f>IF(A1795="","",CHOOSE(WEEKDAY(A1795,2),"Segunda","Terça","Quarta","Quinta","Sexta","Sábado","Domingo"))</f>
        <v/>
      </c>
      <c r="Q1795" s="30">
        <f>IF(B1795="","",IF(B1795&lt;TIME(12,0,0),"Manhã",IF(B1795&lt;TIME(18,0,0),"Tarde","Noite")))</f>
        <v/>
      </c>
      <c r="R1795" s="46">
        <f>IF(AND(H1795="Realizado",L1795&lt;&gt;"",A1795&lt;=Config!$B$9),L1795/60,0)</f>
        <v>0</v>
      </c>
      <c r="S1795" s="45">
        <f>IF(G1795="","",IFERROR(INDEX(Config!$K$5:$K$16,MATCH(G1795,Config!$J$5:$J$16,0)),""))</f>
        <v/>
      </c>
      <c r="T1795" s="31">
        <f>IF(OR(G1795="",F1795=""),"",IFERROR(INDEX(Config!$M$5:$R$16,MATCH(G1795,Config!$J$5:$J$16,0),MATCH(F1795,Config!$H$5:$H$10,0)),""))</f>
        <v/>
      </c>
      <c r="U1795" s="47">
        <f>IF(AND(H1795="Realizado",L1795&lt;&gt;""),L1795/60,0)</f>
        <v>0</v>
      </c>
      <c r="V1795" s="47">
        <f>IF(AND(H1795="Realizado",OR(L1795="",M1795="")),1,0)</f>
        <v>0</v>
      </c>
    </row>
    <row r="1796">
      <c r="A1796" s="43" t="n"/>
      <c r="B1796" s="44" t="n"/>
      <c r="C1796" s="38" t="n"/>
      <c r="D1796" s="38" t="n"/>
      <c r="E1796" s="37" t="n"/>
      <c r="F1796" s="38" t="n"/>
      <c r="G1796" s="38" t="n"/>
      <c r="H1796" s="38" t="n"/>
      <c r="I1796" s="38" t="n"/>
      <c r="J1796" s="38" t="n"/>
      <c r="K1796" s="37" t="n"/>
      <c r="L1796" s="39" t="n"/>
      <c r="M1796" s="40" t="n"/>
      <c r="N1796" s="30">
        <f>IF(A1796="","",MONTH(A1796))</f>
        <v/>
      </c>
      <c r="O1796" s="30">
        <f>IF(A1796="","",YEAR(A1796))</f>
        <v/>
      </c>
      <c r="P1796" s="30">
        <f>IF(A1796="","",CHOOSE(WEEKDAY(A1796,2),"Segunda","Terça","Quarta","Quinta","Sexta","Sábado","Domingo"))</f>
        <v/>
      </c>
      <c r="Q1796" s="30">
        <f>IF(B1796="","",IF(B1796&lt;TIME(12,0,0),"Manhã",IF(B1796&lt;TIME(18,0,0),"Tarde","Noite")))</f>
        <v/>
      </c>
      <c r="R1796" s="46">
        <f>IF(AND(H1796="Realizado",L1796&lt;&gt;"",A1796&lt;=Config!$B$9),L1796/60,0)</f>
        <v>0</v>
      </c>
      <c r="S1796" s="45">
        <f>IF(G1796="","",IFERROR(INDEX(Config!$K$5:$K$16,MATCH(G1796,Config!$J$5:$J$16,0)),""))</f>
        <v/>
      </c>
      <c r="T1796" s="31">
        <f>IF(OR(G1796="",F1796=""),"",IFERROR(INDEX(Config!$M$5:$R$16,MATCH(G1796,Config!$J$5:$J$16,0),MATCH(F1796,Config!$H$5:$H$10,0)),""))</f>
        <v/>
      </c>
      <c r="U1796" s="47">
        <f>IF(AND(H1796="Realizado",L1796&lt;&gt;""),L1796/60,0)</f>
        <v>0</v>
      </c>
      <c r="V1796" s="47">
        <f>IF(AND(H1796="Realizado",OR(L1796="",M1796="")),1,0)</f>
        <v>0</v>
      </c>
    </row>
    <row r="1797">
      <c r="A1797" s="43" t="n"/>
      <c r="B1797" s="44" t="n"/>
      <c r="C1797" s="38" t="n"/>
      <c r="D1797" s="38" t="n"/>
      <c r="E1797" s="37" t="n"/>
      <c r="F1797" s="38" t="n"/>
      <c r="G1797" s="38" t="n"/>
      <c r="H1797" s="38" t="n"/>
      <c r="I1797" s="38" t="n"/>
      <c r="J1797" s="38" t="n"/>
      <c r="K1797" s="37" t="n"/>
      <c r="L1797" s="39" t="n"/>
      <c r="M1797" s="40" t="n"/>
      <c r="N1797" s="30">
        <f>IF(A1797="","",MONTH(A1797))</f>
        <v/>
      </c>
      <c r="O1797" s="30">
        <f>IF(A1797="","",YEAR(A1797))</f>
        <v/>
      </c>
      <c r="P1797" s="30">
        <f>IF(A1797="","",CHOOSE(WEEKDAY(A1797,2),"Segunda","Terça","Quarta","Quinta","Sexta","Sábado","Domingo"))</f>
        <v/>
      </c>
      <c r="Q1797" s="30">
        <f>IF(B1797="","",IF(B1797&lt;TIME(12,0,0),"Manhã",IF(B1797&lt;TIME(18,0,0),"Tarde","Noite")))</f>
        <v/>
      </c>
      <c r="R1797" s="46">
        <f>IF(AND(H1797="Realizado",L1797&lt;&gt;"",A1797&lt;=Config!$B$9),L1797/60,0)</f>
        <v>0</v>
      </c>
      <c r="S1797" s="45">
        <f>IF(G1797="","",IFERROR(INDEX(Config!$K$5:$K$16,MATCH(G1797,Config!$J$5:$J$16,0)),""))</f>
        <v/>
      </c>
      <c r="T1797" s="31">
        <f>IF(OR(G1797="",F1797=""),"",IFERROR(INDEX(Config!$M$5:$R$16,MATCH(G1797,Config!$J$5:$J$16,0),MATCH(F1797,Config!$H$5:$H$10,0)),""))</f>
        <v/>
      </c>
      <c r="U1797" s="47">
        <f>IF(AND(H1797="Realizado",L1797&lt;&gt;""),L1797/60,0)</f>
        <v>0</v>
      </c>
      <c r="V1797" s="47">
        <f>IF(AND(H1797="Realizado",OR(L1797="",M1797="")),1,0)</f>
        <v>0</v>
      </c>
    </row>
    <row r="1798">
      <c r="A1798" s="43" t="n"/>
      <c r="B1798" s="44" t="n"/>
      <c r="C1798" s="38" t="n"/>
      <c r="D1798" s="38" t="n"/>
      <c r="E1798" s="37" t="n"/>
      <c r="F1798" s="38" t="n"/>
      <c r="G1798" s="38" t="n"/>
      <c r="H1798" s="38" t="n"/>
      <c r="I1798" s="38" t="n"/>
      <c r="J1798" s="38" t="n"/>
      <c r="K1798" s="37" t="n"/>
      <c r="L1798" s="39" t="n"/>
      <c r="M1798" s="40" t="n"/>
      <c r="N1798" s="30">
        <f>IF(A1798="","",MONTH(A1798))</f>
        <v/>
      </c>
      <c r="O1798" s="30">
        <f>IF(A1798="","",YEAR(A1798))</f>
        <v/>
      </c>
      <c r="P1798" s="30">
        <f>IF(A1798="","",CHOOSE(WEEKDAY(A1798,2),"Segunda","Terça","Quarta","Quinta","Sexta","Sábado","Domingo"))</f>
        <v/>
      </c>
      <c r="Q1798" s="30">
        <f>IF(B1798="","",IF(B1798&lt;TIME(12,0,0),"Manhã",IF(B1798&lt;TIME(18,0,0),"Tarde","Noite")))</f>
        <v/>
      </c>
      <c r="R1798" s="46">
        <f>IF(AND(H1798="Realizado",L1798&lt;&gt;"",A1798&lt;=Config!$B$9),L1798/60,0)</f>
        <v>0</v>
      </c>
      <c r="S1798" s="45">
        <f>IF(G1798="","",IFERROR(INDEX(Config!$K$5:$K$16,MATCH(G1798,Config!$J$5:$J$16,0)),""))</f>
        <v/>
      </c>
      <c r="T1798" s="31">
        <f>IF(OR(G1798="",F1798=""),"",IFERROR(INDEX(Config!$M$5:$R$16,MATCH(G1798,Config!$J$5:$J$16,0),MATCH(F1798,Config!$H$5:$H$10,0)),""))</f>
        <v/>
      </c>
      <c r="U1798" s="47">
        <f>IF(AND(H1798="Realizado",L1798&lt;&gt;""),L1798/60,0)</f>
        <v>0</v>
      </c>
      <c r="V1798" s="47">
        <f>IF(AND(H1798="Realizado",OR(L1798="",M1798="")),1,0)</f>
        <v>0</v>
      </c>
    </row>
    <row r="1799">
      <c r="A1799" s="43" t="n"/>
      <c r="B1799" s="44" t="n"/>
      <c r="C1799" s="38" t="n"/>
      <c r="D1799" s="38" t="n"/>
      <c r="E1799" s="37" t="n"/>
      <c r="F1799" s="38" t="n"/>
      <c r="G1799" s="38" t="n"/>
      <c r="H1799" s="38" t="n"/>
      <c r="I1799" s="38" t="n"/>
      <c r="J1799" s="38" t="n"/>
      <c r="K1799" s="37" t="n"/>
      <c r="L1799" s="39" t="n"/>
      <c r="M1799" s="40" t="n"/>
      <c r="N1799" s="30">
        <f>IF(A1799="","",MONTH(A1799))</f>
        <v/>
      </c>
      <c r="O1799" s="30">
        <f>IF(A1799="","",YEAR(A1799))</f>
        <v/>
      </c>
      <c r="P1799" s="30">
        <f>IF(A1799="","",CHOOSE(WEEKDAY(A1799,2),"Segunda","Terça","Quarta","Quinta","Sexta","Sábado","Domingo"))</f>
        <v/>
      </c>
      <c r="Q1799" s="30">
        <f>IF(B1799="","",IF(B1799&lt;TIME(12,0,0),"Manhã",IF(B1799&lt;TIME(18,0,0),"Tarde","Noite")))</f>
        <v/>
      </c>
      <c r="R1799" s="46">
        <f>IF(AND(H1799="Realizado",L1799&lt;&gt;"",A1799&lt;=Config!$B$9),L1799/60,0)</f>
        <v>0</v>
      </c>
      <c r="S1799" s="45">
        <f>IF(G1799="","",IFERROR(INDEX(Config!$K$5:$K$16,MATCH(G1799,Config!$J$5:$J$16,0)),""))</f>
        <v/>
      </c>
      <c r="T1799" s="31">
        <f>IF(OR(G1799="",F1799=""),"",IFERROR(INDEX(Config!$M$5:$R$16,MATCH(G1799,Config!$J$5:$J$16,0),MATCH(F1799,Config!$H$5:$H$10,0)),""))</f>
        <v/>
      </c>
      <c r="U1799" s="47">
        <f>IF(AND(H1799="Realizado",L1799&lt;&gt;""),L1799/60,0)</f>
        <v>0</v>
      </c>
      <c r="V1799" s="47">
        <f>IF(AND(H1799="Realizado",OR(L1799="",M1799="")),1,0)</f>
        <v>0</v>
      </c>
    </row>
    <row r="1800">
      <c r="A1800" s="43" t="n"/>
      <c r="B1800" s="44" t="n"/>
      <c r="C1800" s="38" t="n"/>
      <c r="D1800" s="38" t="n"/>
      <c r="E1800" s="37" t="n"/>
      <c r="F1800" s="38" t="n"/>
      <c r="G1800" s="38" t="n"/>
      <c r="H1800" s="38" t="n"/>
      <c r="I1800" s="38" t="n"/>
      <c r="J1800" s="38" t="n"/>
      <c r="K1800" s="37" t="n"/>
      <c r="L1800" s="39" t="n"/>
      <c r="M1800" s="40" t="n"/>
      <c r="N1800" s="30">
        <f>IF(A1800="","",MONTH(A1800))</f>
        <v/>
      </c>
      <c r="O1800" s="30">
        <f>IF(A1800="","",YEAR(A1800))</f>
        <v/>
      </c>
      <c r="P1800" s="30">
        <f>IF(A1800="","",CHOOSE(WEEKDAY(A1800,2),"Segunda","Terça","Quarta","Quinta","Sexta","Sábado","Domingo"))</f>
        <v/>
      </c>
      <c r="Q1800" s="30">
        <f>IF(B1800="","",IF(B1800&lt;TIME(12,0,0),"Manhã",IF(B1800&lt;TIME(18,0,0),"Tarde","Noite")))</f>
        <v/>
      </c>
      <c r="R1800" s="46">
        <f>IF(AND(H1800="Realizado",L1800&lt;&gt;"",A1800&lt;=Config!$B$9),L1800/60,0)</f>
        <v>0</v>
      </c>
      <c r="S1800" s="45">
        <f>IF(G1800="","",IFERROR(INDEX(Config!$K$5:$K$16,MATCH(G1800,Config!$J$5:$J$16,0)),""))</f>
        <v/>
      </c>
      <c r="T1800" s="31">
        <f>IF(OR(G1800="",F1800=""),"",IFERROR(INDEX(Config!$M$5:$R$16,MATCH(G1800,Config!$J$5:$J$16,0),MATCH(F1800,Config!$H$5:$H$10,0)),""))</f>
        <v/>
      </c>
      <c r="U1800" s="47">
        <f>IF(AND(H1800="Realizado",L1800&lt;&gt;""),L1800/60,0)</f>
        <v>0</v>
      </c>
      <c r="V1800" s="47">
        <f>IF(AND(H1800="Realizado",OR(L1800="",M1800="")),1,0)</f>
        <v>0</v>
      </c>
    </row>
    <row r="1801">
      <c r="A1801" s="43" t="n"/>
      <c r="B1801" s="44" t="n"/>
      <c r="C1801" s="38" t="n"/>
      <c r="D1801" s="38" t="n"/>
      <c r="E1801" s="37" t="n"/>
      <c r="F1801" s="38" t="n"/>
      <c r="G1801" s="38" t="n"/>
      <c r="H1801" s="38" t="n"/>
      <c r="I1801" s="38" t="n"/>
      <c r="J1801" s="38" t="n"/>
      <c r="K1801" s="37" t="n"/>
      <c r="L1801" s="39" t="n"/>
      <c r="M1801" s="40" t="n"/>
      <c r="N1801" s="30">
        <f>IF(A1801="","",MONTH(A1801))</f>
        <v/>
      </c>
      <c r="O1801" s="30">
        <f>IF(A1801="","",YEAR(A1801))</f>
        <v/>
      </c>
      <c r="P1801" s="30">
        <f>IF(A1801="","",CHOOSE(WEEKDAY(A1801,2),"Segunda","Terça","Quarta","Quinta","Sexta","Sábado","Domingo"))</f>
        <v/>
      </c>
      <c r="Q1801" s="30">
        <f>IF(B1801="","",IF(B1801&lt;TIME(12,0,0),"Manhã",IF(B1801&lt;TIME(18,0,0),"Tarde","Noite")))</f>
        <v/>
      </c>
      <c r="R1801" s="46">
        <f>IF(AND(H1801="Realizado",L1801&lt;&gt;"",A1801&lt;=Config!$B$9),L1801/60,0)</f>
        <v>0</v>
      </c>
      <c r="S1801" s="45">
        <f>IF(G1801="","",IFERROR(INDEX(Config!$K$5:$K$16,MATCH(G1801,Config!$J$5:$J$16,0)),""))</f>
        <v/>
      </c>
      <c r="T1801" s="31">
        <f>IF(OR(G1801="",F1801=""),"",IFERROR(INDEX(Config!$M$5:$R$16,MATCH(G1801,Config!$J$5:$J$16,0),MATCH(F1801,Config!$H$5:$H$10,0)),""))</f>
        <v/>
      </c>
      <c r="U1801" s="47">
        <f>IF(AND(H1801="Realizado",L1801&lt;&gt;""),L1801/60,0)</f>
        <v>0</v>
      </c>
      <c r="V1801" s="47">
        <f>IF(AND(H1801="Realizado",OR(L1801="",M1801="")),1,0)</f>
        <v>0</v>
      </c>
    </row>
    <row r="1802">
      <c r="A1802" s="43" t="n"/>
      <c r="B1802" s="44" t="n"/>
      <c r="C1802" s="38" t="n"/>
      <c r="D1802" s="38" t="n"/>
      <c r="E1802" s="37" t="n"/>
      <c r="F1802" s="38" t="n"/>
      <c r="G1802" s="38" t="n"/>
      <c r="H1802" s="38" t="n"/>
      <c r="I1802" s="38" t="n"/>
      <c r="J1802" s="38" t="n"/>
      <c r="K1802" s="37" t="n"/>
      <c r="L1802" s="39" t="n"/>
      <c r="M1802" s="40" t="n"/>
      <c r="N1802" s="30">
        <f>IF(A1802="","",MONTH(A1802))</f>
        <v/>
      </c>
      <c r="O1802" s="30">
        <f>IF(A1802="","",YEAR(A1802))</f>
        <v/>
      </c>
      <c r="P1802" s="30">
        <f>IF(A1802="","",CHOOSE(WEEKDAY(A1802,2),"Segunda","Terça","Quarta","Quinta","Sexta","Sábado","Domingo"))</f>
        <v/>
      </c>
      <c r="Q1802" s="30">
        <f>IF(B1802="","",IF(B1802&lt;TIME(12,0,0),"Manhã",IF(B1802&lt;TIME(18,0,0),"Tarde","Noite")))</f>
        <v/>
      </c>
      <c r="R1802" s="46">
        <f>IF(AND(H1802="Realizado",L1802&lt;&gt;"",A1802&lt;=Config!$B$9),L1802/60,0)</f>
        <v>0</v>
      </c>
      <c r="S1802" s="45">
        <f>IF(G1802="","",IFERROR(INDEX(Config!$K$5:$K$16,MATCH(G1802,Config!$J$5:$J$16,0)),""))</f>
        <v/>
      </c>
      <c r="T1802" s="31">
        <f>IF(OR(G1802="",F1802=""),"",IFERROR(INDEX(Config!$M$5:$R$16,MATCH(G1802,Config!$J$5:$J$16,0),MATCH(F1802,Config!$H$5:$H$10,0)),""))</f>
        <v/>
      </c>
      <c r="U1802" s="47">
        <f>IF(AND(H1802="Realizado",L1802&lt;&gt;""),L1802/60,0)</f>
        <v>0</v>
      </c>
      <c r="V1802" s="47">
        <f>IF(AND(H1802="Realizado",OR(L1802="",M1802="")),1,0)</f>
        <v>0</v>
      </c>
    </row>
    <row r="1803">
      <c r="A1803" s="43" t="n"/>
      <c r="B1803" s="44" t="n"/>
      <c r="C1803" s="38" t="n"/>
      <c r="D1803" s="38" t="n"/>
      <c r="E1803" s="37" t="n"/>
      <c r="F1803" s="38" t="n"/>
      <c r="G1803" s="38" t="n"/>
      <c r="H1803" s="38" t="n"/>
      <c r="I1803" s="38" t="n"/>
      <c r="J1803" s="38" t="n"/>
      <c r="K1803" s="37" t="n"/>
      <c r="L1803" s="39" t="n"/>
      <c r="M1803" s="40" t="n"/>
      <c r="N1803" s="30">
        <f>IF(A1803="","",MONTH(A1803))</f>
        <v/>
      </c>
      <c r="O1803" s="30">
        <f>IF(A1803="","",YEAR(A1803))</f>
        <v/>
      </c>
      <c r="P1803" s="30">
        <f>IF(A1803="","",CHOOSE(WEEKDAY(A1803,2),"Segunda","Terça","Quarta","Quinta","Sexta","Sábado","Domingo"))</f>
        <v/>
      </c>
      <c r="Q1803" s="30">
        <f>IF(B1803="","",IF(B1803&lt;TIME(12,0,0),"Manhã",IF(B1803&lt;TIME(18,0,0),"Tarde","Noite")))</f>
        <v/>
      </c>
      <c r="R1803" s="46">
        <f>IF(AND(H1803="Realizado",L1803&lt;&gt;"",A1803&lt;=Config!$B$9),L1803/60,0)</f>
        <v>0</v>
      </c>
      <c r="S1803" s="45">
        <f>IF(G1803="","",IFERROR(INDEX(Config!$K$5:$K$16,MATCH(G1803,Config!$J$5:$J$16,0)),""))</f>
        <v/>
      </c>
      <c r="T1803" s="31">
        <f>IF(OR(G1803="",F1803=""),"",IFERROR(INDEX(Config!$M$5:$R$16,MATCH(G1803,Config!$J$5:$J$16,0),MATCH(F1803,Config!$H$5:$H$10,0)),""))</f>
        <v/>
      </c>
      <c r="U1803" s="47">
        <f>IF(AND(H1803="Realizado",L1803&lt;&gt;""),L1803/60,0)</f>
        <v>0</v>
      </c>
      <c r="V1803" s="47">
        <f>IF(AND(H1803="Realizado",OR(L1803="",M1803="")),1,0)</f>
        <v>0</v>
      </c>
    </row>
    <row r="1804">
      <c r="A1804" s="43" t="n"/>
      <c r="B1804" s="44" t="n"/>
      <c r="C1804" s="38" t="n"/>
      <c r="D1804" s="38" t="n"/>
      <c r="E1804" s="37" t="n"/>
      <c r="F1804" s="38" t="n"/>
      <c r="G1804" s="38" t="n"/>
      <c r="H1804" s="38" t="n"/>
      <c r="I1804" s="38" t="n"/>
      <c r="J1804" s="38" t="n"/>
      <c r="K1804" s="37" t="n"/>
      <c r="L1804" s="39" t="n"/>
      <c r="M1804" s="40" t="n"/>
      <c r="N1804" s="30">
        <f>IF(A1804="","",MONTH(A1804))</f>
        <v/>
      </c>
      <c r="O1804" s="30">
        <f>IF(A1804="","",YEAR(A1804))</f>
        <v/>
      </c>
      <c r="P1804" s="30">
        <f>IF(A1804="","",CHOOSE(WEEKDAY(A1804,2),"Segunda","Terça","Quarta","Quinta","Sexta","Sábado","Domingo"))</f>
        <v/>
      </c>
      <c r="Q1804" s="30">
        <f>IF(B1804="","",IF(B1804&lt;TIME(12,0,0),"Manhã",IF(B1804&lt;TIME(18,0,0),"Tarde","Noite")))</f>
        <v/>
      </c>
      <c r="R1804" s="46">
        <f>IF(AND(H1804="Realizado",L1804&lt;&gt;"",A1804&lt;=Config!$B$9),L1804/60,0)</f>
        <v>0</v>
      </c>
      <c r="S1804" s="45">
        <f>IF(G1804="","",IFERROR(INDEX(Config!$K$5:$K$16,MATCH(G1804,Config!$J$5:$J$16,0)),""))</f>
        <v/>
      </c>
      <c r="T1804" s="31">
        <f>IF(OR(G1804="",F1804=""),"",IFERROR(INDEX(Config!$M$5:$R$16,MATCH(G1804,Config!$J$5:$J$16,0),MATCH(F1804,Config!$H$5:$H$10,0)),""))</f>
        <v/>
      </c>
      <c r="U1804" s="47">
        <f>IF(AND(H1804="Realizado",L1804&lt;&gt;""),L1804/60,0)</f>
        <v>0</v>
      </c>
      <c r="V1804" s="47">
        <f>IF(AND(H1804="Realizado",OR(L1804="",M1804="")),1,0)</f>
        <v>0</v>
      </c>
    </row>
    <row r="1805">
      <c r="A1805" s="43" t="n"/>
      <c r="B1805" s="44" t="n"/>
      <c r="C1805" s="38" t="n"/>
      <c r="D1805" s="38" t="n"/>
      <c r="E1805" s="37" t="n"/>
      <c r="F1805" s="38" t="n"/>
      <c r="G1805" s="38" t="n"/>
      <c r="H1805" s="38" t="n"/>
      <c r="I1805" s="38" t="n"/>
      <c r="J1805" s="38" t="n"/>
      <c r="K1805" s="37" t="n"/>
      <c r="L1805" s="39" t="n"/>
      <c r="M1805" s="40" t="n"/>
      <c r="N1805" s="30">
        <f>IF(A1805="","",MONTH(A1805))</f>
        <v/>
      </c>
      <c r="O1805" s="30">
        <f>IF(A1805="","",YEAR(A1805))</f>
        <v/>
      </c>
      <c r="P1805" s="30">
        <f>IF(A1805="","",CHOOSE(WEEKDAY(A1805,2),"Segunda","Terça","Quarta","Quinta","Sexta","Sábado","Domingo"))</f>
        <v/>
      </c>
      <c r="Q1805" s="30">
        <f>IF(B1805="","",IF(B1805&lt;TIME(12,0,0),"Manhã",IF(B1805&lt;TIME(18,0,0),"Tarde","Noite")))</f>
        <v/>
      </c>
      <c r="R1805" s="46">
        <f>IF(AND(H1805="Realizado",L1805&lt;&gt;"",A1805&lt;=Config!$B$9),L1805/60,0)</f>
        <v>0</v>
      </c>
      <c r="S1805" s="45">
        <f>IF(G1805="","",IFERROR(INDEX(Config!$K$5:$K$16,MATCH(G1805,Config!$J$5:$J$16,0)),""))</f>
        <v/>
      </c>
      <c r="T1805" s="31">
        <f>IF(OR(G1805="",F1805=""),"",IFERROR(INDEX(Config!$M$5:$R$16,MATCH(G1805,Config!$J$5:$J$16,0),MATCH(F1805,Config!$H$5:$H$10,0)),""))</f>
        <v/>
      </c>
      <c r="U1805" s="47">
        <f>IF(AND(H1805="Realizado",L1805&lt;&gt;""),L1805/60,0)</f>
        <v>0</v>
      </c>
      <c r="V1805" s="47">
        <f>IF(AND(H1805="Realizado",OR(L1805="",M1805="")),1,0)</f>
        <v>0</v>
      </c>
    </row>
    <row r="1806">
      <c r="A1806" s="43" t="n"/>
      <c r="B1806" s="44" t="n"/>
      <c r="C1806" s="38" t="n"/>
      <c r="D1806" s="38" t="n"/>
      <c r="E1806" s="37" t="n"/>
      <c r="F1806" s="38" t="n"/>
      <c r="G1806" s="38" t="n"/>
      <c r="H1806" s="38" t="n"/>
      <c r="I1806" s="38" t="n"/>
      <c r="J1806" s="38" t="n"/>
      <c r="K1806" s="37" t="n"/>
      <c r="L1806" s="39" t="n"/>
      <c r="M1806" s="40" t="n"/>
      <c r="N1806" s="30">
        <f>IF(A1806="","",MONTH(A1806))</f>
        <v/>
      </c>
      <c r="O1806" s="30">
        <f>IF(A1806="","",YEAR(A1806))</f>
        <v/>
      </c>
      <c r="P1806" s="30">
        <f>IF(A1806="","",CHOOSE(WEEKDAY(A1806,2),"Segunda","Terça","Quarta","Quinta","Sexta","Sábado","Domingo"))</f>
        <v/>
      </c>
      <c r="Q1806" s="30">
        <f>IF(B1806="","",IF(B1806&lt;TIME(12,0,0),"Manhã",IF(B1806&lt;TIME(18,0,0),"Tarde","Noite")))</f>
        <v/>
      </c>
      <c r="R1806" s="46">
        <f>IF(AND(H1806="Realizado",L1806&lt;&gt;"",A1806&lt;=Config!$B$9),L1806/60,0)</f>
        <v>0</v>
      </c>
      <c r="S1806" s="45">
        <f>IF(G1806="","",IFERROR(INDEX(Config!$K$5:$K$16,MATCH(G1806,Config!$J$5:$J$16,0)),""))</f>
        <v/>
      </c>
      <c r="T1806" s="31">
        <f>IF(OR(G1806="",F1806=""),"",IFERROR(INDEX(Config!$M$5:$R$16,MATCH(G1806,Config!$J$5:$J$16,0),MATCH(F1806,Config!$H$5:$H$10,0)),""))</f>
        <v/>
      </c>
      <c r="U1806" s="47">
        <f>IF(AND(H1806="Realizado",L1806&lt;&gt;""),L1806/60,0)</f>
        <v>0</v>
      </c>
      <c r="V1806" s="47">
        <f>IF(AND(H1806="Realizado",OR(L1806="",M1806="")),1,0)</f>
        <v>0</v>
      </c>
    </row>
    <row r="1807">
      <c r="A1807" s="43" t="n"/>
      <c r="B1807" s="44" t="n"/>
      <c r="C1807" s="38" t="n"/>
      <c r="D1807" s="38" t="n"/>
      <c r="E1807" s="37" t="n"/>
      <c r="F1807" s="38" t="n"/>
      <c r="G1807" s="38" t="n"/>
      <c r="H1807" s="38" t="n"/>
      <c r="I1807" s="38" t="n"/>
      <c r="J1807" s="38" t="n"/>
      <c r="K1807" s="37" t="n"/>
      <c r="L1807" s="39" t="n"/>
      <c r="M1807" s="40" t="n"/>
      <c r="N1807" s="30">
        <f>IF(A1807="","",MONTH(A1807))</f>
        <v/>
      </c>
      <c r="O1807" s="30">
        <f>IF(A1807="","",YEAR(A1807))</f>
        <v/>
      </c>
      <c r="P1807" s="30">
        <f>IF(A1807="","",CHOOSE(WEEKDAY(A1807,2),"Segunda","Terça","Quarta","Quinta","Sexta","Sábado","Domingo"))</f>
        <v/>
      </c>
      <c r="Q1807" s="30">
        <f>IF(B1807="","",IF(B1807&lt;TIME(12,0,0),"Manhã",IF(B1807&lt;TIME(18,0,0),"Tarde","Noite")))</f>
        <v/>
      </c>
      <c r="R1807" s="46">
        <f>IF(AND(H1807="Realizado",L1807&lt;&gt;"",A1807&lt;=Config!$B$9),L1807/60,0)</f>
        <v>0</v>
      </c>
      <c r="S1807" s="45">
        <f>IF(G1807="","",IFERROR(INDEX(Config!$K$5:$K$16,MATCH(G1807,Config!$J$5:$J$16,0)),""))</f>
        <v/>
      </c>
      <c r="T1807" s="31">
        <f>IF(OR(G1807="",F1807=""),"",IFERROR(INDEX(Config!$M$5:$R$16,MATCH(G1807,Config!$J$5:$J$16,0),MATCH(F1807,Config!$H$5:$H$10,0)),""))</f>
        <v/>
      </c>
      <c r="U1807" s="47">
        <f>IF(AND(H1807="Realizado",L1807&lt;&gt;""),L1807/60,0)</f>
        <v>0</v>
      </c>
      <c r="V1807" s="47">
        <f>IF(AND(H1807="Realizado",OR(L1807="",M1807="")),1,0)</f>
        <v>0</v>
      </c>
    </row>
    <row r="1808">
      <c r="A1808" s="43" t="n"/>
      <c r="B1808" s="44" t="n"/>
      <c r="C1808" s="38" t="n"/>
      <c r="D1808" s="38" t="n"/>
      <c r="E1808" s="37" t="n"/>
      <c r="F1808" s="38" t="n"/>
      <c r="G1808" s="38" t="n"/>
      <c r="H1808" s="38" t="n"/>
      <c r="I1808" s="38" t="n"/>
      <c r="J1808" s="38" t="n"/>
      <c r="K1808" s="37" t="n"/>
      <c r="L1808" s="39" t="n"/>
      <c r="M1808" s="40" t="n"/>
      <c r="N1808" s="30">
        <f>IF(A1808="","",MONTH(A1808))</f>
        <v/>
      </c>
      <c r="O1808" s="30">
        <f>IF(A1808="","",YEAR(A1808))</f>
        <v/>
      </c>
      <c r="P1808" s="30">
        <f>IF(A1808="","",CHOOSE(WEEKDAY(A1808,2),"Segunda","Terça","Quarta","Quinta","Sexta","Sábado","Domingo"))</f>
        <v/>
      </c>
      <c r="Q1808" s="30">
        <f>IF(B1808="","",IF(B1808&lt;TIME(12,0,0),"Manhã",IF(B1808&lt;TIME(18,0,0),"Tarde","Noite")))</f>
        <v/>
      </c>
      <c r="R1808" s="46">
        <f>IF(AND(H1808="Realizado",L1808&lt;&gt;"",A1808&lt;=Config!$B$9),L1808/60,0)</f>
        <v>0</v>
      </c>
      <c r="S1808" s="45">
        <f>IF(G1808="","",IFERROR(INDEX(Config!$K$5:$K$16,MATCH(G1808,Config!$J$5:$J$16,0)),""))</f>
        <v/>
      </c>
      <c r="T1808" s="31">
        <f>IF(OR(G1808="",F1808=""),"",IFERROR(INDEX(Config!$M$5:$R$16,MATCH(G1808,Config!$J$5:$J$16,0),MATCH(F1808,Config!$H$5:$H$10,0)),""))</f>
        <v/>
      </c>
      <c r="U1808" s="47">
        <f>IF(AND(H1808="Realizado",L1808&lt;&gt;""),L1808/60,0)</f>
        <v>0</v>
      </c>
      <c r="V1808" s="47">
        <f>IF(AND(H1808="Realizado",OR(L1808="",M1808="")),1,0)</f>
        <v>0</v>
      </c>
    </row>
    <row r="1809">
      <c r="A1809" s="43" t="n"/>
      <c r="B1809" s="44" t="n"/>
      <c r="C1809" s="38" t="n"/>
      <c r="D1809" s="38" t="n"/>
      <c r="E1809" s="37" t="n"/>
      <c r="F1809" s="38" t="n"/>
      <c r="G1809" s="38" t="n"/>
      <c r="H1809" s="38" t="n"/>
      <c r="I1809" s="38" t="n"/>
      <c r="J1809" s="38" t="n"/>
      <c r="K1809" s="37" t="n"/>
      <c r="L1809" s="39" t="n"/>
      <c r="M1809" s="40" t="n"/>
      <c r="N1809" s="30">
        <f>IF(A1809="","",MONTH(A1809))</f>
        <v/>
      </c>
      <c r="O1809" s="30">
        <f>IF(A1809="","",YEAR(A1809))</f>
        <v/>
      </c>
      <c r="P1809" s="30">
        <f>IF(A1809="","",CHOOSE(WEEKDAY(A1809,2),"Segunda","Terça","Quarta","Quinta","Sexta","Sábado","Domingo"))</f>
        <v/>
      </c>
      <c r="Q1809" s="30">
        <f>IF(B1809="","",IF(B1809&lt;TIME(12,0,0),"Manhã",IF(B1809&lt;TIME(18,0,0),"Tarde","Noite")))</f>
        <v/>
      </c>
      <c r="R1809" s="46">
        <f>IF(AND(H1809="Realizado",L1809&lt;&gt;"",A1809&lt;=Config!$B$9),L1809/60,0)</f>
        <v>0</v>
      </c>
      <c r="S1809" s="45">
        <f>IF(G1809="","",IFERROR(INDEX(Config!$K$5:$K$16,MATCH(G1809,Config!$J$5:$J$16,0)),""))</f>
        <v/>
      </c>
      <c r="T1809" s="31">
        <f>IF(OR(G1809="",F1809=""),"",IFERROR(INDEX(Config!$M$5:$R$16,MATCH(G1809,Config!$J$5:$J$16,0),MATCH(F1809,Config!$H$5:$H$10,0)),""))</f>
        <v/>
      </c>
      <c r="U1809" s="47">
        <f>IF(AND(H1809="Realizado",L1809&lt;&gt;""),L1809/60,0)</f>
        <v>0</v>
      </c>
      <c r="V1809" s="47">
        <f>IF(AND(H1809="Realizado",OR(L1809="",M1809="")),1,0)</f>
        <v>0</v>
      </c>
    </row>
    <row r="1810">
      <c r="A1810" s="43" t="n"/>
      <c r="B1810" s="44" t="n"/>
      <c r="C1810" s="38" t="n"/>
      <c r="D1810" s="38" t="n"/>
      <c r="E1810" s="37" t="n"/>
      <c r="F1810" s="38" t="n"/>
      <c r="G1810" s="38" t="n"/>
      <c r="H1810" s="38" t="n"/>
      <c r="I1810" s="38" t="n"/>
      <c r="J1810" s="38" t="n"/>
      <c r="K1810" s="37" t="n"/>
      <c r="L1810" s="39" t="n"/>
      <c r="M1810" s="40" t="n"/>
      <c r="N1810" s="30">
        <f>IF(A1810="","",MONTH(A1810))</f>
        <v/>
      </c>
      <c r="O1810" s="30">
        <f>IF(A1810="","",YEAR(A1810))</f>
        <v/>
      </c>
      <c r="P1810" s="30">
        <f>IF(A1810="","",CHOOSE(WEEKDAY(A1810,2),"Segunda","Terça","Quarta","Quinta","Sexta","Sábado","Domingo"))</f>
        <v/>
      </c>
      <c r="Q1810" s="30">
        <f>IF(B1810="","",IF(B1810&lt;TIME(12,0,0),"Manhã",IF(B1810&lt;TIME(18,0,0),"Tarde","Noite")))</f>
        <v/>
      </c>
      <c r="R1810" s="46">
        <f>IF(AND(H1810="Realizado",L1810&lt;&gt;"",A1810&lt;=Config!$B$9),L1810/60,0)</f>
        <v>0</v>
      </c>
      <c r="S1810" s="45">
        <f>IF(G1810="","",IFERROR(INDEX(Config!$K$5:$K$16,MATCH(G1810,Config!$J$5:$J$16,0)),""))</f>
        <v/>
      </c>
      <c r="T1810" s="31">
        <f>IF(OR(G1810="",F1810=""),"",IFERROR(INDEX(Config!$M$5:$R$16,MATCH(G1810,Config!$J$5:$J$16,0),MATCH(F1810,Config!$H$5:$H$10,0)),""))</f>
        <v/>
      </c>
      <c r="U1810" s="47">
        <f>IF(AND(H1810="Realizado",L1810&lt;&gt;""),L1810/60,0)</f>
        <v>0</v>
      </c>
      <c r="V1810" s="47">
        <f>IF(AND(H1810="Realizado",OR(L1810="",M1810="")),1,0)</f>
        <v>0</v>
      </c>
    </row>
    <row r="1811">
      <c r="A1811" s="43" t="n"/>
      <c r="B1811" s="44" t="n"/>
      <c r="C1811" s="38" t="n"/>
      <c r="D1811" s="38" t="n"/>
      <c r="E1811" s="37" t="n"/>
      <c r="F1811" s="38" t="n"/>
      <c r="G1811" s="38" t="n"/>
      <c r="H1811" s="38" t="n"/>
      <c r="I1811" s="38" t="n"/>
      <c r="J1811" s="38" t="n"/>
      <c r="K1811" s="37" t="n"/>
      <c r="L1811" s="39" t="n"/>
      <c r="M1811" s="40" t="n"/>
      <c r="N1811" s="30">
        <f>IF(A1811="","",MONTH(A1811))</f>
        <v/>
      </c>
      <c r="O1811" s="30">
        <f>IF(A1811="","",YEAR(A1811))</f>
        <v/>
      </c>
      <c r="P1811" s="30">
        <f>IF(A1811="","",CHOOSE(WEEKDAY(A1811,2),"Segunda","Terça","Quarta","Quinta","Sexta","Sábado","Domingo"))</f>
        <v/>
      </c>
      <c r="Q1811" s="30">
        <f>IF(B1811="","",IF(B1811&lt;TIME(12,0,0),"Manhã",IF(B1811&lt;TIME(18,0,0),"Tarde","Noite")))</f>
        <v/>
      </c>
      <c r="R1811" s="46">
        <f>IF(AND(H1811="Realizado",L1811&lt;&gt;"",A1811&lt;=Config!$B$9),L1811/60,0)</f>
        <v>0</v>
      </c>
      <c r="S1811" s="45">
        <f>IF(G1811="","",IFERROR(INDEX(Config!$K$5:$K$16,MATCH(G1811,Config!$J$5:$J$16,0)),""))</f>
        <v/>
      </c>
      <c r="T1811" s="31">
        <f>IF(OR(G1811="",F1811=""),"",IFERROR(INDEX(Config!$M$5:$R$16,MATCH(G1811,Config!$J$5:$J$16,0),MATCH(F1811,Config!$H$5:$H$10,0)),""))</f>
        <v/>
      </c>
      <c r="U1811" s="47">
        <f>IF(AND(H1811="Realizado",L1811&lt;&gt;""),L1811/60,0)</f>
        <v>0</v>
      </c>
      <c r="V1811" s="47">
        <f>IF(AND(H1811="Realizado",OR(L1811="",M1811="")),1,0)</f>
        <v>0</v>
      </c>
    </row>
    <row r="1812">
      <c r="A1812" s="43" t="n"/>
      <c r="B1812" s="44" t="n"/>
      <c r="C1812" s="38" t="n"/>
      <c r="D1812" s="38" t="n"/>
      <c r="E1812" s="37" t="n"/>
      <c r="F1812" s="38" t="n"/>
      <c r="G1812" s="38" t="n"/>
      <c r="H1812" s="38" t="n"/>
      <c r="I1812" s="38" t="n"/>
      <c r="J1812" s="38" t="n"/>
      <c r="K1812" s="37" t="n"/>
      <c r="L1812" s="39" t="n"/>
      <c r="M1812" s="40" t="n"/>
      <c r="N1812" s="30">
        <f>IF(A1812="","",MONTH(A1812))</f>
        <v/>
      </c>
      <c r="O1812" s="30">
        <f>IF(A1812="","",YEAR(A1812))</f>
        <v/>
      </c>
      <c r="P1812" s="30">
        <f>IF(A1812="","",CHOOSE(WEEKDAY(A1812,2),"Segunda","Terça","Quarta","Quinta","Sexta","Sábado","Domingo"))</f>
        <v/>
      </c>
      <c r="Q1812" s="30">
        <f>IF(B1812="","",IF(B1812&lt;TIME(12,0,0),"Manhã",IF(B1812&lt;TIME(18,0,0),"Tarde","Noite")))</f>
        <v/>
      </c>
      <c r="R1812" s="46">
        <f>IF(AND(H1812="Realizado",L1812&lt;&gt;"",A1812&lt;=Config!$B$9),L1812/60,0)</f>
        <v>0</v>
      </c>
      <c r="S1812" s="45">
        <f>IF(G1812="","",IFERROR(INDEX(Config!$K$5:$K$16,MATCH(G1812,Config!$J$5:$J$16,0)),""))</f>
        <v/>
      </c>
      <c r="T1812" s="31">
        <f>IF(OR(G1812="",F1812=""),"",IFERROR(INDEX(Config!$M$5:$R$16,MATCH(G1812,Config!$J$5:$J$16,0),MATCH(F1812,Config!$H$5:$H$10,0)),""))</f>
        <v/>
      </c>
      <c r="U1812" s="47">
        <f>IF(AND(H1812="Realizado",L1812&lt;&gt;""),L1812/60,0)</f>
        <v>0</v>
      </c>
      <c r="V1812" s="47">
        <f>IF(AND(H1812="Realizado",OR(L1812="",M1812="")),1,0)</f>
        <v>0</v>
      </c>
    </row>
    <row r="1813">
      <c r="A1813" s="43" t="n"/>
      <c r="B1813" s="44" t="n"/>
      <c r="C1813" s="38" t="n"/>
      <c r="D1813" s="38" t="n"/>
      <c r="E1813" s="37" t="n"/>
      <c r="F1813" s="38" t="n"/>
      <c r="G1813" s="38" t="n"/>
      <c r="H1813" s="38" t="n"/>
      <c r="I1813" s="38" t="n"/>
      <c r="J1813" s="38" t="n"/>
      <c r="K1813" s="37" t="n"/>
      <c r="L1813" s="39" t="n"/>
      <c r="M1813" s="40" t="n"/>
      <c r="N1813" s="30">
        <f>IF(A1813="","",MONTH(A1813))</f>
        <v/>
      </c>
      <c r="O1813" s="30">
        <f>IF(A1813="","",YEAR(A1813))</f>
        <v/>
      </c>
      <c r="P1813" s="30">
        <f>IF(A1813="","",CHOOSE(WEEKDAY(A1813,2),"Segunda","Terça","Quarta","Quinta","Sexta","Sábado","Domingo"))</f>
        <v/>
      </c>
      <c r="Q1813" s="30">
        <f>IF(B1813="","",IF(B1813&lt;TIME(12,0,0),"Manhã",IF(B1813&lt;TIME(18,0,0),"Tarde","Noite")))</f>
        <v/>
      </c>
      <c r="R1813" s="46">
        <f>IF(AND(H1813="Realizado",L1813&lt;&gt;"",A1813&lt;=Config!$B$9),L1813/60,0)</f>
        <v>0</v>
      </c>
      <c r="S1813" s="45">
        <f>IF(G1813="","",IFERROR(INDEX(Config!$K$5:$K$16,MATCH(G1813,Config!$J$5:$J$16,0)),""))</f>
        <v/>
      </c>
      <c r="T1813" s="31">
        <f>IF(OR(G1813="",F1813=""),"",IFERROR(INDEX(Config!$M$5:$R$16,MATCH(G1813,Config!$J$5:$J$16,0),MATCH(F1813,Config!$H$5:$H$10,0)),""))</f>
        <v/>
      </c>
      <c r="U1813" s="47">
        <f>IF(AND(H1813="Realizado",L1813&lt;&gt;""),L1813/60,0)</f>
        <v>0</v>
      </c>
      <c r="V1813" s="47">
        <f>IF(AND(H1813="Realizado",OR(L1813="",M1813="")),1,0)</f>
        <v>0</v>
      </c>
    </row>
    <row r="1814">
      <c r="A1814" s="43" t="n"/>
      <c r="B1814" s="44" t="n"/>
      <c r="C1814" s="38" t="n"/>
      <c r="D1814" s="38" t="n"/>
      <c r="E1814" s="37" t="n"/>
      <c r="F1814" s="38" t="n"/>
      <c r="G1814" s="38" t="n"/>
      <c r="H1814" s="38" t="n"/>
      <c r="I1814" s="38" t="n"/>
      <c r="J1814" s="38" t="n"/>
      <c r="K1814" s="37" t="n"/>
      <c r="L1814" s="39" t="n"/>
      <c r="M1814" s="40" t="n"/>
      <c r="N1814" s="30">
        <f>IF(A1814="","",MONTH(A1814))</f>
        <v/>
      </c>
      <c r="O1814" s="30">
        <f>IF(A1814="","",YEAR(A1814))</f>
        <v/>
      </c>
      <c r="P1814" s="30">
        <f>IF(A1814="","",CHOOSE(WEEKDAY(A1814,2),"Segunda","Terça","Quarta","Quinta","Sexta","Sábado","Domingo"))</f>
        <v/>
      </c>
      <c r="Q1814" s="30">
        <f>IF(B1814="","",IF(B1814&lt;TIME(12,0,0),"Manhã",IF(B1814&lt;TIME(18,0,0),"Tarde","Noite")))</f>
        <v/>
      </c>
      <c r="R1814" s="46">
        <f>IF(AND(H1814="Realizado",L1814&lt;&gt;"",A1814&lt;=Config!$B$9),L1814/60,0)</f>
        <v>0</v>
      </c>
      <c r="S1814" s="45">
        <f>IF(G1814="","",IFERROR(INDEX(Config!$K$5:$K$16,MATCH(G1814,Config!$J$5:$J$16,0)),""))</f>
        <v/>
      </c>
      <c r="T1814" s="31">
        <f>IF(OR(G1814="",F1814=""),"",IFERROR(INDEX(Config!$M$5:$R$16,MATCH(G1814,Config!$J$5:$J$16,0),MATCH(F1814,Config!$H$5:$H$10,0)),""))</f>
        <v/>
      </c>
      <c r="U1814" s="47">
        <f>IF(AND(H1814="Realizado",L1814&lt;&gt;""),L1814/60,0)</f>
        <v>0</v>
      </c>
      <c r="V1814" s="47">
        <f>IF(AND(H1814="Realizado",OR(L1814="",M1814="")),1,0)</f>
        <v>0</v>
      </c>
    </row>
    <row r="1815">
      <c r="A1815" s="43" t="n"/>
      <c r="B1815" s="44" t="n"/>
      <c r="C1815" s="38" t="n"/>
      <c r="D1815" s="38" t="n"/>
      <c r="E1815" s="37" t="n"/>
      <c r="F1815" s="38" t="n"/>
      <c r="G1815" s="38" t="n"/>
      <c r="H1815" s="38" t="n"/>
      <c r="I1815" s="38" t="n"/>
      <c r="J1815" s="38" t="n"/>
      <c r="K1815" s="37" t="n"/>
      <c r="L1815" s="39" t="n"/>
      <c r="M1815" s="40" t="n"/>
      <c r="N1815" s="30">
        <f>IF(A1815="","",MONTH(A1815))</f>
        <v/>
      </c>
      <c r="O1815" s="30">
        <f>IF(A1815="","",YEAR(A1815))</f>
        <v/>
      </c>
      <c r="P1815" s="30">
        <f>IF(A1815="","",CHOOSE(WEEKDAY(A1815,2),"Segunda","Terça","Quarta","Quinta","Sexta","Sábado","Domingo"))</f>
        <v/>
      </c>
      <c r="Q1815" s="30">
        <f>IF(B1815="","",IF(B1815&lt;TIME(12,0,0),"Manhã",IF(B1815&lt;TIME(18,0,0),"Tarde","Noite")))</f>
        <v/>
      </c>
      <c r="R1815" s="46">
        <f>IF(AND(H1815="Realizado",L1815&lt;&gt;"",A1815&lt;=Config!$B$9),L1815/60,0)</f>
        <v>0</v>
      </c>
      <c r="S1815" s="45">
        <f>IF(G1815="","",IFERROR(INDEX(Config!$K$5:$K$16,MATCH(G1815,Config!$J$5:$J$16,0)),""))</f>
        <v/>
      </c>
      <c r="T1815" s="31">
        <f>IF(OR(G1815="",F1815=""),"",IFERROR(INDEX(Config!$M$5:$R$16,MATCH(G1815,Config!$J$5:$J$16,0),MATCH(F1815,Config!$H$5:$H$10,0)),""))</f>
        <v/>
      </c>
      <c r="U1815" s="47">
        <f>IF(AND(H1815="Realizado",L1815&lt;&gt;""),L1815/60,0)</f>
        <v>0</v>
      </c>
      <c r="V1815" s="47">
        <f>IF(AND(H1815="Realizado",OR(L1815="",M1815="")),1,0)</f>
        <v>0</v>
      </c>
    </row>
    <row r="1816">
      <c r="A1816" s="43" t="n"/>
      <c r="B1816" s="44" t="n"/>
      <c r="C1816" s="38" t="n"/>
      <c r="D1816" s="38" t="n"/>
      <c r="E1816" s="37" t="n"/>
      <c r="F1816" s="38" t="n"/>
      <c r="G1816" s="38" t="n"/>
      <c r="H1816" s="38" t="n"/>
      <c r="I1816" s="38" t="n"/>
      <c r="J1816" s="38" t="n"/>
      <c r="K1816" s="37" t="n"/>
      <c r="L1816" s="39" t="n"/>
      <c r="M1816" s="40" t="n"/>
      <c r="N1816" s="30">
        <f>IF(A1816="","",MONTH(A1816))</f>
        <v/>
      </c>
      <c r="O1816" s="30">
        <f>IF(A1816="","",YEAR(A1816))</f>
        <v/>
      </c>
      <c r="P1816" s="30">
        <f>IF(A1816="","",CHOOSE(WEEKDAY(A1816,2),"Segunda","Terça","Quarta","Quinta","Sexta","Sábado","Domingo"))</f>
        <v/>
      </c>
      <c r="Q1816" s="30">
        <f>IF(B1816="","",IF(B1816&lt;TIME(12,0,0),"Manhã",IF(B1816&lt;TIME(18,0,0),"Tarde","Noite")))</f>
        <v/>
      </c>
      <c r="R1816" s="46">
        <f>IF(AND(H1816="Realizado",L1816&lt;&gt;"",A1816&lt;=Config!$B$9),L1816/60,0)</f>
        <v>0</v>
      </c>
      <c r="S1816" s="45">
        <f>IF(G1816="","",IFERROR(INDEX(Config!$K$5:$K$16,MATCH(G1816,Config!$J$5:$J$16,0)),""))</f>
        <v/>
      </c>
      <c r="T1816" s="31">
        <f>IF(OR(G1816="",F1816=""),"",IFERROR(INDEX(Config!$M$5:$R$16,MATCH(G1816,Config!$J$5:$J$16,0),MATCH(F1816,Config!$H$5:$H$10,0)),""))</f>
        <v/>
      </c>
      <c r="U1816" s="47">
        <f>IF(AND(H1816="Realizado",L1816&lt;&gt;""),L1816/60,0)</f>
        <v>0</v>
      </c>
      <c r="V1816" s="47">
        <f>IF(AND(H1816="Realizado",OR(L1816="",M1816="")),1,0)</f>
        <v>0</v>
      </c>
    </row>
    <row r="1817">
      <c r="A1817" s="43" t="n"/>
      <c r="B1817" s="44" t="n"/>
      <c r="C1817" s="38" t="n"/>
      <c r="D1817" s="38" t="n"/>
      <c r="E1817" s="37" t="n"/>
      <c r="F1817" s="38" t="n"/>
      <c r="G1817" s="38" t="n"/>
      <c r="H1817" s="38" t="n"/>
      <c r="I1817" s="38" t="n"/>
      <c r="J1817" s="38" t="n"/>
      <c r="K1817" s="37" t="n"/>
      <c r="L1817" s="39" t="n"/>
      <c r="M1817" s="40" t="n"/>
      <c r="N1817" s="30">
        <f>IF(A1817="","",MONTH(A1817))</f>
        <v/>
      </c>
      <c r="O1817" s="30">
        <f>IF(A1817="","",YEAR(A1817))</f>
        <v/>
      </c>
      <c r="P1817" s="30">
        <f>IF(A1817="","",CHOOSE(WEEKDAY(A1817,2),"Segunda","Terça","Quarta","Quinta","Sexta","Sábado","Domingo"))</f>
        <v/>
      </c>
      <c r="Q1817" s="30">
        <f>IF(B1817="","",IF(B1817&lt;TIME(12,0,0),"Manhã",IF(B1817&lt;TIME(18,0,0),"Tarde","Noite")))</f>
        <v/>
      </c>
      <c r="R1817" s="46">
        <f>IF(AND(H1817="Realizado",L1817&lt;&gt;"",A1817&lt;=Config!$B$9),L1817/60,0)</f>
        <v>0</v>
      </c>
      <c r="S1817" s="45">
        <f>IF(G1817="","",IFERROR(INDEX(Config!$K$5:$K$16,MATCH(G1817,Config!$J$5:$J$16,0)),""))</f>
        <v/>
      </c>
      <c r="T1817" s="31">
        <f>IF(OR(G1817="",F1817=""),"",IFERROR(INDEX(Config!$M$5:$R$16,MATCH(G1817,Config!$J$5:$J$16,0),MATCH(F1817,Config!$H$5:$H$10,0)),""))</f>
        <v/>
      </c>
      <c r="U1817" s="47">
        <f>IF(AND(H1817="Realizado",L1817&lt;&gt;""),L1817/60,0)</f>
        <v>0</v>
      </c>
      <c r="V1817" s="47">
        <f>IF(AND(H1817="Realizado",OR(L1817="",M1817="")),1,0)</f>
        <v>0</v>
      </c>
    </row>
    <row r="1818">
      <c r="A1818" s="43" t="n"/>
      <c r="B1818" s="44" t="n"/>
      <c r="C1818" s="38" t="n"/>
      <c r="D1818" s="38" t="n"/>
      <c r="E1818" s="37" t="n"/>
      <c r="F1818" s="38" t="n"/>
      <c r="G1818" s="38" t="n"/>
      <c r="H1818" s="38" t="n"/>
      <c r="I1818" s="38" t="n"/>
      <c r="J1818" s="38" t="n"/>
      <c r="K1818" s="37" t="n"/>
      <c r="L1818" s="39" t="n"/>
      <c r="M1818" s="40" t="n"/>
      <c r="N1818" s="30">
        <f>IF(A1818="","",MONTH(A1818))</f>
        <v/>
      </c>
      <c r="O1818" s="30">
        <f>IF(A1818="","",YEAR(A1818))</f>
        <v/>
      </c>
      <c r="P1818" s="30">
        <f>IF(A1818="","",CHOOSE(WEEKDAY(A1818,2),"Segunda","Terça","Quarta","Quinta","Sexta","Sábado","Domingo"))</f>
        <v/>
      </c>
      <c r="Q1818" s="30">
        <f>IF(B1818="","",IF(B1818&lt;TIME(12,0,0),"Manhã",IF(B1818&lt;TIME(18,0,0),"Tarde","Noite")))</f>
        <v/>
      </c>
      <c r="R1818" s="46">
        <f>IF(AND(H1818="Realizado",L1818&lt;&gt;"",A1818&lt;=Config!$B$9),L1818/60,0)</f>
        <v>0</v>
      </c>
      <c r="S1818" s="45">
        <f>IF(G1818="","",IFERROR(INDEX(Config!$K$5:$K$16,MATCH(G1818,Config!$J$5:$J$16,0)),""))</f>
        <v/>
      </c>
      <c r="T1818" s="31">
        <f>IF(OR(G1818="",F1818=""),"",IFERROR(INDEX(Config!$M$5:$R$16,MATCH(G1818,Config!$J$5:$J$16,0),MATCH(F1818,Config!$H$5:$H$10,0)),""))</f>
        <v/>
      </c>
      <c r="U1818" s="47">
        <f>IF(AND(H1818="Realizado",L1818&lt;&gt;""),L1818/60,0)</f>
        <v>0</v>
      </c>
      <c r="V1818" s="47">
        <f>IF(AND(H1818="Realizado",OR(L1818="",M1818="")),1,0)</f>
        <v>0</v>
      </c>
    </row>
    <row r="1819">
      <c r="A1819" s="43" t="n"/>
      <c r="B1819" s="44" t="n"/>
      <c r="C1819" s="38" t="n"/>
      <c r="D1819" s="38" t="n"/>
      <c r="E1819" s="37" t="n"/>
      <c r="F1819" s="38" t="n"/>
      <c r="G1819" s="38" t="n"/>
      <c r="H1819" s="38" t="n"/>
      <c r="I1819" s="38" t="n"/>
      <c r="J1819" s="38" t="n"/>
      <c r="K1819" s="37" t="n"/>
      <c r="L1819" s="39" t="n"/>
      <c r="M1819" s="40" t="n"/>
      <c r="N1819" s="30">
        <f>IF(A1819="","",MONTH(A1819))</f>
        <v/>
      </c>
      <c r="O1819" s="30">
        <f>IF(A1819="","",YEAR(A1819))</f>
        <v/>
      </c>
      <c r="P1819" s="30">
        <f>IF(A1819="","",CHOOSE(WEEKDAY(A1819,2),"Segunda","Terça","Quarta","Quinta","Sexta","Sábado","Domingo"))</f>
        <v/>
      </c>
      <c r="Q1819" s="30">
        <f>IF(B1819="","",IF(B1819&lt;TIME(12,0,0),"Manhã",IF(B1819&lt;TIME(18,0,0),"Tarde","Noite")))</f>
        <v/>
      </c>
      <c r="R1819" s="46">
        <f>IF(AND(H1819="Realizado",L1819&lt;&gt;"",A1819&lt;=Config!$B$9),L1819/60,0)</f>
        <v>0</v>
      </c>
      <c r="S1819" s="45">
        <f>IF(G1819="","",IFERROR(INDEX(Config!$K$5:$K$16,MATCH(G1819,Config!$J$5:$J$16,0)),""))</f>
        <v/>
      </c>
      <c r="T1819" s="31">
        <f>IF(OR(G1819="",F1819=""),"",IFERROR(INDEX(Config!$M$5:$R$16,MATCH(G1819,Config!$J$5:$J$16,0),MATCH(F1819,Config!$H$5:$H$10,0)),""))</f>
        <v/>
      </c>
      <c r="U1819" s="47">
        <f>IF(AND(H1819="Realizado",L1819&lt;&gt;""),L1819/60,0)</f>
        <v>0</v>
      </c>
      <c r="V1819" s="47">
        <f>IF(AND(H1819="Realizado",OR(L1819="",M1819="")),1,0)</f>
        <v>0</v>
      </c>
    </row>
    <row r="1820">
      <c r="A1820" s="43" t="n"/>
      <c r="B1820" s="44" t="n"/>
      <c r="C1820" s="38" t="n"/>
      <c r="D1820" s="38" t="n"/>
      <c r="E1820" s="37" t="n"/>
      <c r="F1820" s="38" t="n"/>
      <c r="G1820" s="38" t="n"/>
      <c r="H1820" s="38" t="n"/>
      <c r="I1820" s="38" t="n"/>
      <c r="J1820" s="38" t="n"/>
      <c r="K1820" s="37" t="n"/>
      <c r="L1820" s="39" t="n"/>
      <c r="M1820" s="40" t="n"/>
      <c r="N1820" s="30">
        <f>IF(A1820="","",MONTH(A1820))</f>
        <v/>
      </c>
      <c r="O1820" s="30">
        <f>IF(A1820="","",YEAR(A1820))</f>
        <v/>
      </c>
      <c r="P1820" s="30">
        <f>IF(A1820="","",CHOOSE(WEEKDAY(A1820,2),"Segunda","Terça","Quarta","Quinta","Sexta","Sábado","Domingo"))</f>
        <v/>
      </c>
      <c r="Q1820" s="30">
        <f>IF(B1820="","",IF(B1820&lt;TIME(12,0,0),"Manhã",IF(B1820&lt;TIME(18,0,0),"Tarde","Noite")))</f>
        <v/>
      </c>
      <c r="R1820" s="46">
        <f>IF(AND(H1820="Realizado",L1820&lt;&gt;"",A1820&lt;=Config!$B$9),L1820/60,0)</f>
        <v>0</v>
      </c>
      <c r="S1820" s="45">
        <f>IF(G1820="","",IFERROR(INDEX(Config!$K$5:$K$16,MATCH(G1820,Config!$J$5:$J$16,0)),""))</f>
        <v/>
      </c>
      <c r="T1820" s="31">
        <f>IF(OR(G1820="",F1820=""),"",IFERROR(INDEX(Config!$M$5:$R$16,MATCH(G1820,Config!$J$5:$J$16,0),MATCH(F1820,Config!$H$5:$H$10,0)),""))</f>
        <v/>
      </c>
      <c r="U1820" s="47">
        <f>IF(AND(H1820="Realizado",L1820&lt;&gt;""),L1820/60,0)</f>
        <v>0</v>
      </c>
      <c r="V1820" s="47">
        <f>IF(AND(H1820="Realizado",OR(L1820="",M1820="")),1,0)</f>
        <v>0</v>
      </c>
    </row>
    <row r="1821">
      <c r="A1821" s="43" t="n"/>
      <c r="B1821" s="44" t="n"/>
      <c r="C1821" s="38" t="n"/>
      <c r="D1821" s="38" t="n"/>
      <c r="E1821" s="37" t="n"/>
      <c r="F1821" s="38" t="n"/>
      <c r="G1821" s="38" t="n"/>
      <c r="H1821" s="38" t="n"/>
      <c r="I1821" s="38" t="n"/>
      <c r="J1821" s="38" t="n"/>
      <c r="K1821" s="37" t="n"/>
      <c r="L1821" s="39" t="n"/>
      <c r="M1821" s="40" t="n"/>
      <c r="N1821" s="30">
        <f>IF(A1821="","",MONTH(A1821))</f>
        <v/>
      </c>
      <c r="O1821" s="30">
        <f>IF(A1821="","",YEAR(A1821))</f>
        <v/>
      </c>
      <c r="P1821" s="30">
        <f>IF(A1821="","",CHOOSE(WEEKDAY(A1821,2),"Segunda","Terça","Quarta","Quinta","Sexta","Sábado","Domingo"))</f>
        <v/>
      </c>
      <c r="Q1821" s="30">
        <f>IF(B1821="","",IF(B1821&lt;TIME(12,0,0),"Manhã",IF(B1821&lt;TIME(18,0,0),"Tarde","Noite")))</f>
        <v/>
      </c>
      <c r="R1821" s="46">
        <f>IF(AND(H1821="Realizado",L1821&lt;&gt;"",A1821&lt;=Config!$B$9),L1821/60,0)</f>
        <v>0</v>
      </c>
      <c r="S1821" s="45">
        <f>IF(G1821="","",IFERROR(INDEX(Config!$K$5:$K$16,MATCH(G1821,Config!$J$5:$J$16,0)),""))</f>
        <v/>
      </c>
      <c r="T1821" s="31">
        <f>IF(OR(G1821="",F1821=""),"",IFERROR(INDEX(Config!$M$5:$R$16,MATCH(G1821,Config!$J$5:$J$16,0),MATCH(F1821,Config!$H$5:$H$10,0)),""))</f>
        <v/>
      </c>
      <c r="U1821" s="47">
        <f>IF(AND(H1821="Realizado",L1821&lt;&gt;""),L1821/60,0)</f>
        <v>0</v>
      </c>
      <c r="V1821" s="47">
        <f>IF(AND(H1821="Realizado",OR(L1821="",M1821="")),1,0)</f>
        <v>0</v>
      </c>
    </row>
    <row r="1822">
      <c r="A1822" s="43" t="n"/>
      <c r="B1822" s="44" t="n"/>
      <c r="C1822" s="38" t="n"/>
      <c r="D1822" s="38" t="n"/>
      <c r="E1822" s="37" t="n"/>
      <c r="F1822" s="38" t="n"/>
      <c r="G1822" s="38" t="n"/>
      <c r="H1822" s="38" t="n"/>
      <c r="I1822" s="38" t="n"/>
      <c r="J1822" s="38" t="n"/>
      <c r="K1822" s="37" t="n"/>
      <c r="L1822" s="39" t="n"/>
      <c r="M1822" s="40" t="n"/>
      <c r="N1822" s="30">
        <f>IF(A1822="","",MONTH(A1822))</f>
        <v/>
      </c>
      <c r="O1822" s="30">
        <f>IF(A1822="","",YEAR(A1822))</f>
        <v/>
      </c>
      <c r="P1822" s="30">
        <f>IF(A1822="","",CHOOSE(WEEKDAY(A1822,2),"Segunda","Terça","Quarta","Quinta","Sexta","Sábado","Domingo"))</f>
        <v/>
      </c>
      <c r="Q1822" s="30">
        <f>IF(B1822="","",IF(B1822&lt;TIME(12,0,0),"Manhã",IF(B1822&lt;TIME(18,0,0),"Tarde","Noite")))</f>
        <v/>
      </c>
      <c r="R1822" s="46">
        <f>IF(AND(H1822="Realizado",L1822&lt;&gt;"",A1822&lt;=Config!$B$9),L1822/60,0)</f>
        <v>0</v>
      </c>
      <c r="S1822" s="45">
        <f>IF(G1822="","",IFERROR(INDEX(Config!$K$5:$K$16,MATCH(G1822,Config!$J$5:$J$16,0)),""))</f>
        <v/>
      </c>
      <c r="T1822" s="31">
        <f>IF(OR(G1822="",F1822=""),"",IFERROR(INDEX(Config!$M$5:$R$16,MATCH(G1822,Config!$J$5:$J$16,0),MATCH(F1822,Config!$H$5:$H$10,0)),""))</f>
        <v/>
      </c>
      <c r="U1822" s="47">
        <f>IF(AND(H1822="Realizado",L1822&lt;&gt;""),L1822/60,0)</f>
        <v>0</v>
      </c>
      <c r="V1822" s="47">
        <f>IF(AND(H1822="Realizado",OR(L1822="",M1822="")),1,0)</f>
        <v>0</v>
      </c>
    </row>
    <row r="1823">
      <c r="A1823" s="43" t="n"/>
      <c r="B1823" s="44" t="n"/>
      <c r="C1823" s="38" t="n"/>
      <c r="D1823" s="38" t="n"/>
      <c r="E1823" s="37" t="n"/>
      <c r="F1823" s="38" t="n"/>
      <c r="G1823" s="38" t="n"/>
      <c r="H1823" s="38" t="n"/>
      <c r="I1823" s="38" t="n"/>
      <c r="J1823" s="38" t="n"/>
      <c r="K1823" s="37" t="n"/>
      <c r="L1823" s="39" t="n"/>
      <c r="M1823" s="40" t="n"/>
      <c r="N1823" s="30">
        <f>IF(A1823="","",MONTH(A1823))</f>
        <v/>
      </c>
      <c r="O1823" s="30">
        <f>IF(A1823="","",YEAR(A1823))</f>
        <v/>
      </c>
      <c r="P1823" s="30">
        <f>IF(A1823="","",CHOOSE(WEEKDAY(A1823,2),"Segunda","Terça","Quarta","Quinta","Sexta","Sábado","Domingo"))</f>
        <v/>
      </c>
      <c r="Q1823" s="30">
        <f>IF(B1823="","",IF(B1823&lt;TIME(12,0,0),"Manhã",IF(B1823&lt;TIME(18,0,0),"Tarde","Noite")))</f>
        <v/>
      </c>
      <c r="R1823" s="46">
        <f>IF(AND(H1823="Realizado",L1823&lt;&gt;"",A1823&lt;=Config!$B$9),L1823/60,0)</f>
        <v>0</v>
      </c>
      <c r="S1823" s="45">
        <f>IF(G1823="","",IFERROR(INDEX(Config!$K$5:$K$16,MATCH(G1823,Config!$J$5:$J$16,0)),""))</f>
        <v/>
      </c>
      <c r="T1823" s="31">
        <f>IF(OR(G1823="",F1823=""),"",IFERROR(INDEX(Config!$M$5:$R$16,MATCH(G1823,Config!$J$5:$J$16,0),MATCH(F1823,Config!$H$5:$H$10,0)),""))</f>
        <v/>
      </c>
      <c r="U1823" s="47">
        <f>IF(AND(H1823="Realizado",L1823&lt;&gt;""),L1823/60,0)</f>
        <v>0</v>
      </c>
      <c r="V1823" s="47">
        <f>IF(AND(H1823="Realizado",OR(L1823="",M1823="")),1,0)</f>
        <v>0</v>
      </c>
    </row>
    <row r="1824">
      <c r="A1824" s="43" t="n"/>
      <c r="B1824" s="44" t="n"/>
      <c r="C1824" s="38" t="n"/>
      <c r="D1824" s="38" t="n"/>
      <c r="E1824" s="37" t="n"/>
      <c r="F1824" s="38" t="n"/>
      <c r="G1824" s="38" t="n"/>
      <c r="H1824" s="38" t="n"/>
      <c r="I1824" s="38" t="n"/>
      <c r="J1824" s="38" t="n"/>
      <c r="K1824" s="37" t="n"/>
      <c r="L1824" s="39" t="n"/>
      <c r="M1824" s="40" t="n"/>
      <c r="N1824" s="30">
        <f>IF(A1824="","",MONTH(A1824))</f>
        <v/>
      </c>
      <c r="O1824" s="30">
        <f>IF(A1824="","",YEAR(A1824))</f>
        <v/>
      </c>
      <c r="P1824" s="30">
        <f>IF(A1824="","",CHOOSE(WEEKDAY(A1824,2),"Segunda","Terça","Quarta","Quinta","Sexta","Sábado","Domingo"))</f>
        <v/>
      </c>
      <c r="Q1824" s="30">
        <f>IF(B1824="","",IF(B1824&lt;TIME(12,0,0),"Manhã",IF(B1824&lt;TIME(18,0,0),"Tarde","Noite")))</f>
        <v/>
      </c>
      <c r="R1824" s="46">
        <f>IF(AND(H1824="Realizado",L1824&lt;&gt;"",A1824&lt;=Config!$B$9),L1824/60,0)</f>
        <v>0</v>
      </c>
      <c r="S1824" s="45">
        <f>IF(G1824="","",IFERROR(INDEX(Config!$K$5:$K$16,MATCH(G1824,Config!$J$5:$J$16,0)),""))</f>
        <v/>
      </c>
      <c r="T1824" s="31">
        <f>IF(OR(G1824="",F1824=""),"",IFERROR(INDEX(Config!$M$5:$R$16,MATCH(G1824,Config!$J$5:$J$16,0),MATCH(F1824,Config!$H$5:$H$10,0)),""))</f>
        <v/>
      </c>
      <c r="U1824" s="47">
        <f>IF(AND(H1824="Realizado",L1824&lt;&gt;""),L1824/60,0)</f>
        <v>0</v>
      </c>
      <c r="V1824" s="47">
        <f>IF(AND(H1824="Realizado",OR(L1824="",M1824="")),1,0)</f>
        <v>0</v>
      </c>
    </row>
    <row r="1825">
      <c r="A1825" s="43" t="n"/>
      <c r="B1825" s="44" t="n"/>
      <c r="C1825" s="38" t="n"/>
      <c r="D1825" s="38" t="n"/>
      <c r="E1825" s="37" t="n"/>
      <c r="F1825" s="38" t="n"/>
      <c r="G1825" s="38" t="n"/>
      <c r="H1825" s="38" t="n"/>
      <c r="I1825" s="38" t="n"/>
      <c r="J1825" s="38" t="n"/>
      <c r="K1825" s="37" t="n"/>
      <c r="L1825" s="39" t="n"/>
      <c r="M1825" s="40" t="n"/>
      <c r="N1825" s="30">
        <f>IF(A1825="","",MONTH(A1825))</f>
        <v/>
      </c>
      <c r="O1825" s="30">
        <f>IF(A1825="","",YEAR(A1825))</f>
        <v/>
      </c>
      <c r="P1825" s="30">
        <f>IF(A1825="","",CHOOSE(WEEKDAY(A1825,2),"Segunda","Terça","Quarta","Quinta","Sexta","Sábado","Domingo"))</f>
        <v/>
      </c>
      <c r="Q1825" s="30">
        <f>IF(B1825="","",IF(B1825&lt;TIME(12,0,0),"Manhã",IF(B1825&lt;TIME(18,0,0),"Tarde","Noite")))</f>
        <v/>
      </c>
      <c r="R1825" s="46">
        <f>IF(AND(H1825="Realizado",L1825&lt;&gt;"",A1825&lt;=Config!$B$9),L1825/60,0)</f>
        <v>0</v>
      </c>
      <c r="S1825" s="45">
        <f>IF(G1825="","",IFERROR(INDEX(Config!$K$5:$K$16,MATCH(G1825,Config!$J$5:$J$16,0)),""))</f>
        <v/>
      </c>
      <c r="T1825" s="31">
        <f>IF(OR(G1825="",F1825=""),"",IFERROR(INDEX(Config!$M$5:$R$16,MATCH(G1825,Config!$J$5:$J$16,0),MATCH(F1825,Config!$H$5:$H$10,0)),""))</f>
        <v/>
      </c>
      <c r="U1825" s="47">
        <f>IF(AND(H1825="Realizado",L1825&lt;&gt;""),L1825/60,0)</f>
        <v>0</v>
      </c>
      <c r="V1825" s="47">
        <f>IF(AND(H1825="Realizado",OR(L1825="",M1825="")),1,0)</f>
        <v>0</v>
      </c>
    </row>
    <row r="1826">
      <c r="A1826" s="43" t="n"/>
      <c r="B1826" s="44" t="n"/>
      <c r="C1826" s="38" t="n"/>
      <c r="D1826" s="38" t="n"/>
      <c r="E1826" s="37" t="n"/>
      <c r="F1826" s="38" t="n"/>
      <c r="G1826" s="38" t="n"/>
      <c r="H1826" s="38" t="n"/>
      <c r="I1826" s="38" t="n"/>
      <c r="J1826" s="38" t="n"/>
      <c r="K1826" s="37" t="n"/>
      <c r="L1826" s="39" t="n"/>
      <c r="M1826" s="40" t="n"/>
      <c r="N1826" s="30">
        <f>IF(A1826="","",MONTH(A1826))</f>
        <v/>
      </c>
      <c r="O1826" s="30">
        <f>IF(A1826="","",YEAR(A1826))</f>
        <v/>
      </c>
      <c r="P1826" s="30">
        <f>IF(A1826="","",CHOOSE(WEEKDAY(A1826,2),"Segunda","Terça","Quarta","Quinta","Sexta","Sábado","Domingo"))</f>
        <v/>
      </c>
      <c r="Q1826" s="30">
        <f>IF(B1826="","",IF(B1826&lt;TIME(12,0,0),"Manhã",IF(B1826&lt;TIME(18,0,0),"Tarde","Noite")))</f>
        <v/>
      </c>
      <c r="R1826" s="46">
        <f>IF(AND(H1826="Realizado",L1826&lt;&gt;"",A1826&lt;=Config!$B$9),L1826/60,0)</f>
        <v>0</v>
      </c>
      <c r="S1826" s="45">
        <f>IF(G1826="","",IFERROR(INDEX(Config!$K$5:$K$16,MATCH(G1826,Config!$J$5:$J$16,0)),""))</f>
        <v/>
      </c>
      <c r="T1826" s="31">
        <f>IF(OR(G1826="",F1826=""),"",IFERROR(INDEX(Config!$M$5:$R$16,MATCH(G1826,Config!$J$5:$J$16,0),MATCH(F1826,Config!$H$5:$H$10,0)),""))</f>
        <v/>
      </c>
      <c r="U1826" s="47">
        <f>IF(AND(H1826="Realizado",L1826&lt;&gt;""),L1826/60,0)</f>
        <v>0</v>
      </c>
      <c r="V1826" s="47">
        <f>IF(AND(H1826="Realizado",OR(L1826="",M1826="")),1,0)</f>
        <v>0</v>
      </c>
    </row>
    <row r="1827">
      <c r="A1827" s="43" t="n"/>
      <c r="B1827" s="44" t="n"/>
      <c r="C1827" s="38" t="n"/>
      <c r="D1827" s="38" t="n"/>
      <c r="E1827" s="37" t="n"/>
      <c r="F1827" s="38" t="n"/>
      <c r="G1827" s="38" t="n"/>
      <c r="H1827" s="38" t="n"/>
      <c r="I1827" s="38" t="n"/>
      <c r="J1827" s="38" t="n"/>
      <c r="K1827" s="37" t="n"/>
      <c r="L1827" s="39" t="n"/>
      <c r="M1827" s="40" t="n"/>
      <c r="N1827" s="30">
        <f>IF(A1827="","",MONTH(A1827))</f>
        <v/>
      </c>
      <c r="O1827" s="30">
        <f>IF(A1827="","",YEAR(A1827))</f>
        <v/>
      </c>
      <c r="P1827" s="30">
        <f>IF(A1827="","",CHOOSE(WEEKDAY(A1827,2),"Segunda","Terça","Quarta","Quinta","Sexta","Sábado","Domingo"))</f>
        <v/>
      </c>
      <c r="Q1827" s="30">
        <f>IF(B1827="","",IF(B1827&lt;TIME(12,0,0),"Manhã",IF(B1827&lt;TIME(18,0,0),"Tarde","Noite")))</f>
        <v/>
      </c>
      <c r="R1827" s="46">
        <f>IF(AND(H1827="Realizado",L1827&lt;&gt;"",A1827&lt;=Config!$B$9),L1827/60,0)</f>
        <v>0</v>
      </c>
      <c r="S1827" s="45">
        <f>IF(G1827="","",IFERROR(INDEX(Config!$K$5:$K$16,MATCH(G1827,Config!$J$5:$J$16,0)),""))</f>
        <v/>
      </c>
      <c r="T1827" s="31">
        <f>IF(OR(G1827="",F1827=""),"",IFERROR(INDEX(Config!$M$5:$R$16,MATCH(G1827,Config!$J$5:$J$16,0),MATCH(F1827,Config!$H$5:$H$10,0)),""))</f>
        <v/>
      </c>
      <c r="U1827" s="47">
        <f>IF(AND(H1827="Realizado",L1827&lt;&gt;""),L1827/60,0)</f>
        <v>0</v>
      </c>
      <c r="V1827" s="47">
        <f>IF(AND(H1827="Realizado",OR(L1827="",M1827="")),1,0)</f>
        <v>0</v>
      </c>
    </row>
    <row r="1828">
      <c r="A1828" s="43" t="n"/>
      <c r="B1828" s="44" t="n"/>
      <c r="C1828" s="38" t="n"/>
      <c r="D1828" s="38" t="n"/>
      <c r="E1828" s="37" t="n"/>
      <c r="F1828" s="38" t="n"/>
      <c r="G1828" s="38" t="n"/>
      <c r="H1828" s="38" t="n"/>
      <c r="I1828" s="38" t="n"/>
      <c r="J1828" s="38" t="n"/>
      <c r="K1828" s="37" t="n"/>
      <c r="L1828" s="39" t="n"/>
      <c r="M1828" s="40" t="n"/>
      <c r="N1828" s="30">
        <f>IF(A1828="","",MONTH(A1828))</f>
        <v/>
      </c>
      <c r="O1828" s="30">
        <f>IF(A1828="","",YEAR(A1828))</f>
        <v/>
      </c>
      <c r="P1828" s="30">
        <f>IF(A1828="","",CHOOSE(WEEKDAY(A1828,2),"Segunda","Terça","Quarta","Quinta","Sexta","Sábado","Domingo"))</f>
        <v/>
      </c>
      <c r="Q1828" s="30">
        <f>IF(B1828="","",IF(B1828&lt;TIME(12,0,0),"Manhã",IF(B1828&lt;TIME(18,0,0),"Tarde","Noite")))</f>
        <v/>
      </c>
      <c r="R1828" s="46">
        <f>IF(AND(H1828="Realizado",L1828&lt;&gt;"",A1828&lt;=Config!$B$9),L1828/60,0)</f>
        <v>0</v>
      </c>
      <c r="S1828" s="45">
        <f>IF(G1828="","",IFERROR(INDEX(Config!$K$5:$K$16,MATCH(G1828,Config!$J$5:$J$16,0)),""))</f>
        <v/>
      </c>
      <c r="T1828" s="31">
        <f>IF(OR(G1828="",F1828=""),"",IFERROR(INDEX(Config!$M$5:$R$16,MATCH(G1828,Config!$J$5:$J$16,0),MATCH(F1828,Config!$H$5:$H$10,0)),""))</f>
        <v/>
      </c>
      <c r="U1828" s="47">
        <f>IF(AND(H1828="Realizado",L1828&lt;&gt;""),L1828/60,0)</f>
        <v>0</v>
      </c>
      <c r="V1828" s="47">
        <f>IF(AND(H1828="Realizado",OR(L1828="",M1828="")),1,0)</f>
        <v>0</v>
      </c>
    </row>
    <row r="1829">
      <c r="A1829" s="43" t="n"/>
      <c r="B1829" s="44" t="n"/>
      <c r="C1829" s="38" t="n"/>
      <c r="D1829" s="38" t="n"/>
      <c r="E1829" s="37" t="n"/>
      <c r="F1829" s="38" t="n"/>
      <c r="G1829" s="38" t="n"/>
      <c r="H1829" s="38" t="n"/>
      <c r="I1829" s="38" t="n"/>
      <c r="J1829" s="38" t="n"/>
      <c r="K1829" s="37" t="n"/>
      <c r="L1829" s="39" t="n"/>
      <c r="M1829" s="40" t="n"/>
      <c r="N1829" s="30">
        <f>IF(A1829="","",MONTH(A1829))</f>
        <v/>
      </c>
      <c r="O1829" s="30">
        <f>IF(A1829="","",YEAR(A1829))</f>
        <v/>
      </c>
      <c r="P1829" s="30">
        <f>IF(A1829="","",CHOOSE(WEEKDAY(A1829,2),"Segunda","Terça","Quarta","Quinta","Sexta","Sábado","Domingo"))</f>
        <v/>
      </c>
      <c r="Q1829" s="30">
        <f>IF(B1829="","",IF(B1829&lt;TIME(12,0,0),"Manhã",IF(B1829&lt;TIME(18,0,0),"Tarde","Noite")))</f>
        <v/>
      </c>
      <c r="R1829" s="46">
        <f>IF(AND(H1829="Realizado",L1829&lt;&gt;"",A1829&lt;=Config!$B$9),L1829/60,0)</f>
        <v>0</v>
      </c>
      <c r="S1829" s="45">
        <f>IF(G1829="","",IFERROR(INDEX(Config!$K$5:$K$16,MATCH(G1829,Config!$J$5:$J$16,0)),""))</f>
        <v/>
      </c>
      <c r="T1829" s="31">
        <f>IF(OR(G1829="",F1829=""),"",IFERROR(INDEX(Config!$M$5:$R$16,MATCH(G1829,Config!$J$5:$J$16,0),MATCH(F1829,Config!$H$5:$H$10,0)),""))</f>
        <v/>
      </c>
      <c r="U1829" s="47">
        <f>IF(AND(H1829="Realizado",L1829&lt;&gt;""),L1829/60,0)</f>
        <v>0</v>
      </c>
      <c r="V1829" s="47">
        <f>IF(AND(H1829="Realizado",OR(L1829="",M1829="")),1,0)</f>
        <v>0</v>
      </c>
    </row>
    <row r="1830">
      <c r="A1830" s="43" t="n"/>
      <c r="B1830" s="44" t="n"/>
      <c r="C1830" s="38" t="n"/>
      <c r="D1830" s="38" t="n"/>
      <c r="E1830" s="37" t="n"/>
      <c r="F1830" s="38" t="n"/>
      <c r="G1830" s="38" t="n"/>
      <c r="H1830" s="38" t="n"/>
      <c r="I1830" s="38" t="n"/>
      <c r="J1830" s="38" t="n"/>
      <c r="K1830" s="37" t="n"/>
      <c r="L1830" s="39" t="n"/>
      <c r="M1830" s="40" t="n"/>
      <c r="N1830" s="30">
        <f>IF(A1830="","",MONTH(A1830))</f>
        <v/>
      </c>
      <c r="O1830" s="30">
        <f>IF(A1830="","",YEAR(A1830))</f>
        <v/>
      </c>
      <c r="P1830" s="30">
        <f>IF(A1830="","",CHOOSE(WEEKDAY(A1830,2),"Segunda","Terça","Quarta","Quinta","Sexta","Sábado","Domingo"))</f>
        <v/>
      </c>
      <c r="Q1830" s="30">
        <f>IF(B1830="","",IF(B1830&lt;TIME(12,0,0),"Manhã",IF(B1830&lt;TIME(18,0,0),"Tarde","Noite")))</f>
        <v/>
      </c>
      <c r="R1830" s="46">
        <f>IF(AND(H1830="Realizado",L1830&lt;&gt;"",A1830&lt;=Config!$B$9),L1830/60,0)</f>
        <v>0</v>
      </c>
      <c r="S1830" s="45">
        <f>IF(G1830="","",IFERROR(INDEX(Config!$K$5:$K$16,MATCH(G1830,Config!$J$5:$J$16,0)),""))</f>
        <v/>
      </c>
      <c r="T1830" s="31">
        <f>IF(OR(G1830="",F1830=""),"",IFERROR(INDEX(Config!$M$5:$R$16,MATCH(G1830,Config!$J$5:$J$16,0),MATCH(F1830,Config!$H$5:$H$10,0)),""))</f>
        <v/>
      </c>
      <c r="U1830" s="47">
        <f>IF(AND(H1830="Realizado",L1830&lt;&gt;""),L1830/60,0)</f>
        <v>0</v>
      </c>
      <c r="V1830" s="47">
        <f>IF(AND(H1830="Realizado",OR(L1830="",M1830="")),1,0)</f>
        <v>0</v>
      </c>
    </row>
    <row r="1831">
      <c r="A1831" s="43" t="n"/>
      <c r="B1831" s="44" t="n"/>
      <c r="C1831" s="38" t="n"/>
      <c r="D1831" s="38" t="n"/>
      <c r="E1831" s="37" t="n"/>
      <c r="F1831" s="38" t="n"/>
      <c r="G1831" s="38" t="n"/>
      <c r="H1831" s="38" t="n"/>
      <c r="I1831" s="38" t="n"/>
      <c r="J1831" s="38" t="n"/>
      <c r="K1831" s="37" t="n"/>
      <c r="L1831" s="39" t="n"/>
      <c r="M1831" s="40" t="n"/>
      <c r="N1831" s="30">
        <f>IF(A1831="","",MONTH(A1831))</f>
        <v/>
      </c>
      <c r="O1831" s="30">
        <f>IF(A1831="","",YEAR(A1831))</f>
        <v/>
      </c>
      <c r="P1831" s="30">
        <f>IF(A1831="","",CHOOSE(WEEKDAY(A1831,2),"Segunda","Terça","Quarta","Quinta","Sexta","Sábado","Domingo"))</f>
        <v/>
      </c>
      <c r="Q1831" s="30">
        <f>IF(B1831="","",IF(B1831&lt;TIME(12,0,0),"Manhã",IF(B1831&lt;TIME(18,0,0),"Tarde","Noite")))</f>
        <v/>
      </c>
      <c r="R1831" s="46">
        <f>IF(AND(H1831="Realizado",L1831&lt;&gt;"",A1831&lt;=Config!$B$9),L1831/60,0)</f>
        <v>0</v>
      </c>
      <c r="S1831" s="45">
        <f>IF(G1831="","",IFERROR(INDEX(Config!$K$5:$K$16,MATCH(G1831,Config!$J$5:$J$16,0)),""))</f>
        <v/>
      </c>
      <c r="T1831" s="31">
        <f>IF(OR(G1831="",F1831=""),"",IFERROR(INDEX(Config!$M$5:$R$16,MATCH(G1831,Config!$J$5:$J$16,0),MATCH(F1831,Config!$H$5:$H$10,0)),""))</f>
        <v/>
      </c>
      <c r="U1831" s="47">
        <f>IF(AND(H1831="Realizado",L1831&lt;&gt;""),L1831/60,0)</f>
        <v>0</v>
      </c>
      <c r="V1831" s="47">
        <f>IF(AND(H1831="Realizado",OR(L1831="",M1831="")),1,0)</f>
        <v>0</v>
      </c>
    </row>
    <row r="1832">
      <c r="A1832" s="43" t="n"/>
      <c r="B1832" s="44" t="n"/>
      <c r="C1832" s="38" t="n"/>
      <c r="D1832" s="38" t="n"/>
      <c r="E1832" s="37" t="n"/>
      <c r="F1832" s="38" t="n"/>
      <c r="G1832" s="38" t="n"/>
      <c r="H1832" s="38" t="n"/>
      <c r="I1832" s="38" t="n"/>
      <c r="J1832" s="38" t="n"/>
      <c r="K1832" s="37" t="n"/>
      <c r="L1832" s="39" t="n"/>
      <c r="M1832" s="40" t="n"/>
      <c r="N1832" s="30">
        <f>IF(A1832="","",MONTH(A1832))</f>
        <v/>
      </c>
      <c r="O1832" s="30">
        <f>IF(A1832="","",YEAR(A1832))</f>
        <v/>
      </c>
      <c r="P1832" s="30">
        <f>IF(A1832="","",CHOOSE(WEEKDAY(A1832,2),"Segunda","Terça","Quarta","Quinta","Sexta","Sábado","Domingo"))</f>
        <v/>
      </c>
      <c r="Q1832" s="30">
        <f>IF(B1832="","",IF(B1832&lt;TIME(12,0,0),"Manhã",IF(B1832&lt;TIME(18,0,0),"Tarde","Noite")))</f>
        <v/>
      </c>
      <c r="R1832" s="46">
        <f>IF(AND(H1832="Realizado",L1832&lt;&gt;"",A1832&lt;=Config!$B$9),L1832/60,0)</f>
        <v>0</v>
      </c>
      <c r="S1832" s="45">
        <f>IF(G1832="","",IFERROR(INDEX(Config!$K$5:$K$16,MATCH(G1832,Config!$J$5:$J$16,0)),""))</f>
        <v/>
      </c>
      <c r="T1832" s="31">
        <f>IF(OR(G1832="",F1832=""),"",IFERROR(INDEX(Config!$M$5:$R$16,MATCH(G1832,Config!$J$5:$J$16,0),MATCH(F1832,Config!$H$5:$H$10,0)),""))</f>
        <v/>
      </c>
      <c r="U1832" s="47">
        <f>IF(AND(H1832="Realizado",L1832&lt;&gt;""),L1832/60,0)</f>
        <v>0</v>
      </c>
      <c r="V1832" s="47">
        <f>IF(AND(H1832="Realizado",OR(L1832="",M1832="")),1,0)</f>
        <v>0</v>
      </c>
    </row>
    <row r="1833">
      <c r="A1833" s="43" t="n"/>
      <c r="B1833" s="44" t="n"/>
      <c r="C1833" s="38" t="n"/>
      <c r="D1833" s="38" t="n"/>
      <c r="E1833" s="37" t="n"/>
      <c r="F1833" s="38" t="n"/>
      <c r="G1833" s="38" t="n"/>
      <c r="H1833" s="38" t="n"/>
      <c r="I1833" s="38" t="n"/>
      <c r="J1833" s="38" t="n"/>
      <c r="K1833" s="37" t="n"/>
      <c r="L1833" s="39" t="n"/>
      <c r="M1833" s="40" t="n"/>
      <c r="N1833" s="30">
        <f>IF(A1833="","",MONTH(A1833))</f>
        <v/>
      </c>
      <c r="O1833" s="30">
        <f>IF(A1833="","",YEAR(A1833))</f>
        <v/>
      </c>
      <c r="P1833" s="30">
        <f>IF(A1833="","",CHOOSE(WEEKDAY(A1833,2),"Segunda","Terça","Quarta","Quinta","Sexta","Sábado","Domingo"))</f>
        <v/>
      </c>
      <c r="Q1833" s="30">
        <f>IF(B1833="","",IF(B1833&lt;TIME(12,0,0),"Manhã",IF(B1833&lt;TIME(18,0,0),"Tarde","Noite")))</f>
        <v/>
      </c>
      <c r="R1833" s="46">
        <f>IF(AND(H1833="Realizado",L1833&lt;&gt;"",A1833&lt;=Config!$B$9),L1833/60,0)</f>
        <v>0</v>
      </c>
      <c r="S1833" s="45">
        <f>IF(G1833="","",IFERROR(INDEX(Config!$K$5:$K$16,MATCH(G1833,Config!$J$5:$J$16,0)),""))</f>
        <v/>
      </c>
      <c r="T1833" s="31">
        <f>IF(OR(G1833="",F1833=""),"",IFERROR(INDEX(Config!$M$5:$R$16,MATCH(G1833,Config!$J$5:$J$16,0),MATCH(F1833,Config!$H$5:$H$10,0)),""))</f>
        <v/>
      </c>
      <c r="U1833" s="47">
        <f>IF(AND(H1833="Realizado",L1833&lt;&gt;""),L1833/60,0)</f>
        <v>0</v>
      </c>
      <c r="V1833" s="47">
        <f>IF(AND(H1833="Realizado",OR(L1833="",M1833="")),1,0)</f>
        <v>0</v>
      </c>
    </row>
    <row r="1834">
      <c r="A1834" s="43" t="n"/>
      <c r="B1834" s="44" t="n"/>
      <c r="C1834" s="38" t="n"/>
      <c r="D1834" s="38" t="n"/>
      <c r="E1834" s="37" t="n"/>
      <c r="F1834" s="38" t="n"/>
      <c r="G1834" s="38" t="n"/>
      <c r="H1834" s="38" t="n"/>
      <c r="I1834" s="38" t="n"/>
      <c r="J1834" s="38" t="n"/>
      <c r="K1834" s="37" t="n"/>
      <c r="L1834" s="39" t="n"/>
      <c r="M1834" s="40" t="n"/>
      <c r="N1834" s="30">
        <f>IF(A1834="","",MONTH(A1834))</f>
        <v/>
      </c>
      <c r="O1834" s="30">
        <f>IF(A1834="","",YEAR(A1834))</f>
        <v/>
      </c>
      <c r="P1834" s="30">
        <f>IF(A1834="","",CHOOSE(WEEKDAY(A1834,2),"Segunda","Terça","Quarta","Quinta","Sexta","Sábado","Domingo"))</f>
        <v/>
      </c>
      <c r="Q1834" s="30">
        <f>IF(B1834="","",IF(B1834&lt;TIME(12,0,0),"Manhã",IF(B1834&lt;TIME(18,0,0),"Tarde","Noite")))</f>
        <v/>
      </c>
      <c r="R1834" s="46">
        <f>IF(AND(H1834="Realizado",L1834&lt;&gt;"",A1834&lt;=Config!$B$9),L1834/60,0)</f>
        <v>0</v>
      </c>
      <c r="S1834" s="45">
        <f>IF(G1834="","",IFERROR(INDEX(Config!$K$5:$K$16,MATCH(G1834,Config!$J$5:$J$16,0)),""))</f>
        <v/>
      </c>
      <c r="T1834" s="31">
        <f>IF(OR(G1834="",F1834=""),"",IFERROR(INDEX(Config!$M$5:$R$16,MATCH(G1834,Config!$J$5:$J$16,0),MATCH(F1834,Config!$H$5:$H$10,0)),""))</f>
        <v/>
      </c>
      <c r="U1834" s="47">
        <f>IF(AND(H1834="Realizado",L1834&lt;&gt;""),L1834/60,0)</f>
        <v>0</v>
      </c>
      <c r="V1834" s="47">
        <f>IF(AND(H1834="Realizado",OR(L1834="",M1834="")),1,0)</f>
        <v>0</v>
      </c>
    </row>
    <row r="1835">
      <c r="A1835" s="43" t="n"/>
      <c r="B1835" s="44" t="n"/>
      <c r="C1835" s="38" t="n"/>
      <c r="D1835" s="38" t="n"/>
      <c r="E1835" s="37" t="n"/>
      <c r="F1835" s="38" t="n"/>
      <c r="G1835" s="38" t="n"/>
      <c r="H1835" s="38" t="n"/>
      <c r="I1835" s="38" t="n"/>
      <c r="J1835" s="38" t="n"/>
      <c r="K1835" s="37" t="n"/>
      <c r="L1835" s="39" t="n"/>
      <c r="M1835" s="40" t="n"/>
      <c r="N1835" s="30">
        <f>IF(A1835="","",MONTH(A1835))</f>
        <v/>
      </c>
      <c r="O1835" s="30">
        <f>IF(A1835="","",YEAR(A1835))</f>
        <v/>
      </c>
      <c r="P1835" s="30">
        <f>IF(A1835="","",CHOOSE(WEEKDAY(A1835,2),"Segunda","Terça","Quarta","Quinta","Sexta","Sábado","Domingo"))</f>
        <v/>
      </c>
      <c r="Q1835" s="30">
        <f>IF(B1835="","",IF(B1835&lt;TIME(12,0,0),"Manhã",IF(B1835&lt;TIME(18,0,0),"Tarde","Noite")))</f>
        <v/>
      </c>
      <c r="R1835" s="46">
        <f>IF(AND(H1835="Realizado",L1835&lt;&gt;"",A1835&lt;=Config!$B$9),L1835/60,0)</f>
        <v>0</v>
      </c>
      <c r="S1835" s="45">
        <f>IF(G1835="","",IFERROR(INDEX(Config!$K$5:$K$16,MATCH(G1835,Config!$J$5:$J$16,0)),""))</f>
        <v/>
      </c>
      <c r="T1835" s="31">
        <f>IF(OR(G1835="",F1835=""),"",IFERROR(INDEX(Config!$M$5:$R$16,MATCH(G1835,Config!$J$5:$J$16,0),MATCH(F1835,Config!$H$5:$H$10,0)),""))</f>
        <v/>
      </c>
      <c r="U1835" s="47">
        <f>IF(AND(H1835="Realizado",L1835&lt;&gt;""),L1835/60,0)</f>
        <v>0</v>
      </c>
      <c r="V1835" s="47">
        <f>IF(AND(H1835="Realizado",OR(L1835="",M1835="")),1,0)</f>
        <v>0</v>
      </c>
    </row>
    <row r="1836">
      <c r="A1836" s="43" t="n"/>
      <c r="B1836" s="44" t="n"/>
      <c r="C1836" s="38" t="n"/>
      <c r="D1836" s="38" t="n"/>
      <c r="E1836" s="37" t="n"/>
      <c r="F1836" s="38" t="n"/>
      <c r="G1836" s="38" t="n"/>
      <c r="H1836" s="38" t="n"/>
      <c r="I1836" s="38" t="n"/>
      <c r="J1836" s="38" t="n"/>
      <c r="K1836" s="37" t="n"/>
      <c r="L1836" s="39" t="n"/>
      <c r="M1836" s="40" t="n"/>
      <c r="N1836" s="30">
        <f>IF(A1836="","",MONTH(A1836))</f>
        <v/>
      </c>
      <c r="O1836" s="30">
        <f>IF(A1836="","",YEAR(A1836))</f>
        <v/>
      </c>
      <c r="P1836" s="30">
        <f>IF(A1836="","",CHOOSE(WEEKDAY(A1836,2),"Segunda","Terça","Quarta","Quinta","Sexta","Sábado","Domingo"))</f>
        <v/>
      </c>
      <c r="Q1836" s="30">
        <f>IF(B1836="","",IF(B1836&lt;TIME(12,0,0),"Manhã",IF(B1836&lt;TIME(18,0,0),"Tarde","Noite")))</f>
        <v/>
      </c>
      <c r="R1836" s="46">
        <f>IF(AND(H1836="Realizado",L1836&lt;&gt;"",A1836&lt;=Config!$B$9),L1836/60,0)</f>
        <v>0</v>
      </c>
      <c r="S1836" s="45">
        <f>IF(G1836="","",IFERROR(INDEX(Config!$K$5:$K$16,MATCH(G1836,Config!$J$5:$J$16,0)),""))</f>
        <v/>
      </c>
      <c r="T1836" s="31">
        <f>IF(OR(G1836="",F1836=""),"",IFERROR(INDEX(Config!$M$5:$R$16,MATCH(G1836,Config!$J$5:$J$16,0),MATCH(F1836,Config!$H$5:$H$10,0)),""))</f>
        <v/>
      </c>
      <c r="U1836" s="47">
        <f>IF(AND(H1836="Realizado",L1836&lt;&gt;""),L1836/60,0)</f>
        <v>0</v>
      </c>
      <c r="V1836" s="47">
        <f>IF(AND(H1836="Realizado",OR(L1836="",M1836="")),1,0)</f>
        <v>0</v>
      </c>
    </row>
    <row r="1837">
      <c r="A1837" s="43" t="n"/>
      <c r="B1837" s="44" t="n"/>
      <c r="C1837" s="38" t="n"/>
      <c r="D1837" s="38" t="n"/>
      <c r="E1837" s="37" t="n"/>
      <c r="F1837" s="38" t="n"/>
      <c r="G1837" s="38" t="n"/>
      <c r="H1837" s="38" t="n"/>
      <c r="I1837" s="38" t="n"/>
      <c r="J1837" s="38" t="n"/>
      <c r="K1837" s="37" t="n"/>
      <c r="L1837" s="39" t="n"/>
      <c r="M1837" s="40" t="n"/>
      <c r="N1837" s="30">
        <f>IF(A1837="","",MONTH(A1837))</f>
        <v/>
      </c>
      <c r="O1837" s="30">
        <f>IF(A1837="","",YEAR(A1837))</f>
        <v/>
      </c>
      <c r="P1837" s="30">
        <f>IF(A1837="","",CHOOSE(WEEKDAY(A1837,2),"Segunda","Terça","Quarta","Quinta","Sexta","Sábado","Domingo"))</f>
        <v/>
      </c>
      <c r="Q1837" s="30">
        <f>IF(B1837="","",IF(B1837&lt;TIME(12,0,0),"Manhã",IF(B1837&lt;TIME(18,0,0),"Tarde","Noite")))</f>
        <v/>
      </c>
      <c r="R1837" s="46">
        <f>IF(AND(H1837="Realizado",L1837&lt;&gt;"",A1837&lt;=Config!$B$9),L1837/60,0)</f>
        <v>0</v>
      </c>
      <c r="S1837" s="45">
        <f>IF(G1837="","",IFERROR(INDEX(Config!$K$5:$K$16,MATCH(G1837,Config!$J$5:$J$16,0)),""))</f>
        <v/>
      </c>
      <c r="T1837" s="31">
        <f>IF(OR(G1837="",F1837=""),"",IFERROR(INDEX(Config!$M$5:$R$16,MATCH(G1837,Config!$J$5:$J$16,0),MATCH(F1837,Config!$H$5:$H$10,0)),""))</f>
        <v/>
      </c>
      <c r="U1837" s="47">
        <f>IF(AND(H1837="Realizado",L1837&lt;&gt;""),L1837/60,0)</f>
        <v>0</v>
      </c>
      <c r="V1837" s="47">
        <f>IF(AND(H1837="Realizado",OR(L1837="",M1837="")),1,0)</f>
        <v>0</v>
      </c>
    </row>
    <row r="1838">
      <c r="A1838" s="43" t="n"/>
      <c r="B1838" s="44" t="n"/>
      <c r="C1838" s="38" t="n"/>
      <c r="D1838" s="38" t="n"/>
      <c r="E1838" s="37" t="n"/>
      <c r="F1838" s="38" t="n"/>
      <c r="G1838" s="38" t="n"/>
      <c r="H1838" s="38" t="n"/>
      <c r="I1838" s="38" t="n"/>
      <c r="J1838" s="38" t="n"/>
      <c r="K1838" s="37" t="n"/>
      <c r="L1838" s="39" t="n"/>
      <c r="M1838" s="40" t="n"/>
      <c r="N1838" s="30">
        <f>IF(A1838="","",MONTH(A1838))</f>
        <v/>
      </c>
      <c r="O1838" s="30">
        <f>IF(A1838="","",YEAR(A1838))</f>
        <v/>
      </c>
      <c r="P1838" s="30">
        <f>IF(A1838="","",CHOOSE(WEEKDAY(A1838,2),"Segunda","Terça","Quarta","Quinta","Sexta","Sábado","Domingo"))</f>
        <v/>
      </c>
      <c r="Q1838" s="30">
        <f>IF(B1838="","",IF(B1838&lt;TIME(12,0,0),"Manhã",IF(B1838&lt;TIME(18,0,0),"Tarde","Noite")))</f>
        <v/>
      </c>
      <c r="R1838" s="46">
        <f>IF(AND(H1838="Realizado",L1838&lt;&gt;"",A1838&lt;=Config!$B$9),L1838/60,0)</f>
        <v>0</v>
      </c>
      <c r="S1838" s="45">
        <f>IF(G1838="","",IFERROR(INDEX(Config!$K$5:$K$16,MATCH(G1838,Config!$J$5:$J$16,0)),""))</f>
        <v/>
      </c>
      <c r="T1838" s="31">
        <f>IF(OR(G1838="",F1838=""),"",IFERROR(INDEX(Config!$M$5:$R$16,MATCH(G1838,Config!$J$5:$J$16,0),MATCH(F1838,Config!$H$5:$H$10,0)),""))</f>
        <v/>
      </c>
      <c r="U1838" s="47">
        <f>IF(AND(H1838="Realizado",L1838&lt;&gt;""),L1838/60,0)</f>
        <v>0</v>
      </c>
      <c r="V1838" s="47">
        <f>IF(AND(H1838="Realizado",OR(L1838="",M1838="")),1,0)</f>
        <v>0</v>
      </c>
    </row>
    <row r="1839">
      <c r="A1839" s="43" t="n"/>
      <c r="B1839" s="44" t="n"/>
      <c r="C1839" s="38" t="n"/>
      <c r="D1839" s="38" t="n"/>
      <c r="E1839" s="37" t="n"/>
      <c r="F1839" s="38" t="n"/>
      <c r="G1839" s="38" t="n"/>
      <c r="H1839" s="38" t="n"/>
      <c r="I1839" s="38" t="n"/>
      <c r="J1839" s="38" t="n"/>
      <c r="K1839" s="37" t="n"/>
      <c r="L1839" s="39" t="n"/>
      <c r="M1839" s="40" t="n"/>
      <c r="N1839" s="30">
        <f>IF(A1839="","",MONTH(A1839))</f>
        <v/>
      </c>
      <c r="O1839" s="30">
        <f>IF(A1839="","",YEAR(A1839))</f>
        <v/>
      </c>
      <c r="P1839" s="30">
        <f>IF(A1839="","",CHOOSE(WEEKDAY(A1839,2),"Segunda","Terça","Quarta","Quinta","Sexta","Sábado","Domingo"))</f>
        <v/>
      </c>
      <c r="Q1839" s="30">
        <f>IF(B1839="","",IF(B1839&lt;TIME(12,0,0),"Manhã",IF(B1839&lt;TIME(18,0,0),"Tarde","Noite")))</f>
        <v/>
      </c>
      <c r="R1839" s="46">
        <f>IF(AND(H1839="Realizado",L1839&lt;&gt;"",A1839&lt;=Config!$B$9),L1839/60,0)</f>
        <v>0</v>
      </c>
      <c r="S1839" s="45">
        <f>IF(G1839="","",IFERROR(INDEX(Config!$K$5:$K$16,MATCH(G1839,Config!$J$5:$J$16,0)),""))</f>
        <v/>
      </c>
      <c r="T1839" s="31">
        <f>IF(OR(G1839="",F1839=""),"",IFERROR(INDEX(Config!$M$5:$R$16,MATCH(G1839,Config!$J$5:$J$16,0),MATCH(F1839,Config!$H$5:$H$10,0)),""))</f>
        <v/>
      </c>
      <c r="U1839" s="47">
        <f>IF(AND(H1839="Realizado",L1839&lt;&gt;""),L1839/60,0)</f>
        <v>0</v>
      </c>
      <c r="V1839" s="47">
        <f>IF(AND(H1839="Realizado",OR(L1839="",M1839="")),1,0)</f>
        <v>0</v>
      </c>
    </row>
    <row r="1840">
      <c r="A1840" s="43" t="n"/>
      <c r="B1840" s="44" t="n"/>
      <c r="C1840" s="38" t="n"/>
      <c r="D1840" s="38" t="n"/>
      <c r="E1840" s="37" t="n"/>
      <c r="F1840" s="38" t="n"/>
      <c r="G1840" s="38" t="n"/>
      <c r="H1840" s="38" t="n"/>
      <c r="I1840" s="38" t="n"/>
      <c r="J1840" s="38" t="n"/>
      <c r="K1840" s="37" t="n"/>
      <c r="L1840" s="39" t="n"/>
      <c r="M1840" s="40" t="n"/>
      <c r="N1840" s="30">
        <f>IF(A1840="","",MONTH(A1840))</f>
        <v/>
      </c>
      <c r="O1840" s="30">
        <f>IF(A1840="","",YEAR(A1840))</f>
        <v/>
      </c>
      <c r="P1840" s="30">
        <f>IF(A1840="","",CHOOSE(WEEKDAY(A1840,2),"Segunda","Terça","Quarta","Quinta","Sexta","Sábado","Domingo"))</f>
        <v/>
      </c>
      <c r="Q1840" s="30">
        <f>IF(B1840="","",IF(B1840&lt;TIME(12,0,0),"Manhã",IF(B1840&lt;TIME(18,0,0),"Tarde","Noite")))</f>
        <v/>
      </c>
      <c r="R1840" s="46">
        <f>IF(AND(H1840="Realizado",L1840&lt;&gt;"",A1840&lt;=Config!$B$9),L1840/60,0)</f>
        <v>0</v>
      </c>
      <c r="S1840" s="45">
        <f>IF(G1840="","",IFERROR(INDEX(Config!$K$5:$K$16,MATCH(G1840,Config!$J$5:$J$16,0)),""))</f>
        <v/>
      </c>
      <c r="T1840" s="31">
        <f>IF(OR(G1840="",F1840=""),"",IFERROR(INDEX(Config!$M$5:$R$16,MATCH(G1840,Config!$J$5:$J$16,0),MATCH(F1840,Config!$H$5:$H$10,0)),""))</f>
        <v/>
      </c>
      <c r="U1840" s="47">
        <f>IF(AND(H1840="Realizado",L1840&lt;&gt;""),L1840/60,0)</f>
        <v>0</v>
      </c>
      <c r="V1840" s="47">
        <f>IF(AND(H1840="Realizado",OR(L1840="",M1840="")),1,0)</f>
        <v>0</v>
      </c>
    </row>
    <row r="1841">
      <c r="A1841" s="43" t="n"/>
      <c r="B1841" s="44" t="n"/>
      <c r="C1841" s="38" t="n"/>
      <c r="D1841" s="38" t="n"/>
      <c r="E1841" s="37" t="n"/>
      <c r="F1841" s="38" t="n"/>
      <c r="G1841" s="38" t="n"/>
      <c r="H1841" s="38" t="n"/>
      <c r="I1841" s="38" t="n"/>
      <c r="J1841" s="38" t="n"/>
      <c r="K1841" s="37" t="n"/>
      <c r="L1841" s="39" t="n"/>
      <c r="M1841" s="40" t="n"/>
      <c r="N1841" s="30">
        <f>IF(A1841="","",MONTH(A1841))</f>
        <v/>
      </c>
      <c r="O1841" s="30">
        <f>IF(A1841="","",YEAR(A1841))</f>
        <v/>
      </c>
      <c r="P1841" s="30">
        <f>IF(A1841="","",CHOOSE(WEEKDAY(A1841,2),"Segunda","Terça","Quarta","Quinta","Sexta","Sábado","Domingo"))</f>
        <v/>
      </c>
      <c r="Q1841" s="30">
        <f>IF(B1841="","",IF(B1841&lt;TIME(12,0,0),"Manhã",IF(B1841&lt;TIME(18,0,0),"Tarde","Noite")))</f>
        <v/>
      </c>
      <c r="R1841" s="46">
        <f>IF(AND(H1841="Realizado",L1841&lt;&gt;"",A1841&lt;=Config!$B$9),L1841/60,0)</f>
        <v>0</v>
      </c>
      <c r="S1841" s="45">
        <f>IF(G1841="","",IFERROR(INDEX(Config!$K$5:$K$16,MATCH(G1841,Config!$J$5:$J$16,0)),""))</f>
        <v/>
      </c>
      <c r="T1841" s="31">
        <f>IF(OR(G1841="",F1841=""),"",IFERROR(INDEX(Config!$M$5:$R$16,MATCH(G1841,Config!$J$5:$J$16,0),MATCH(F1841,Config!$H$5:$H$10,0)),""))</f>
        <v/>
      </c>
      <c r="U1841" s="47">
        <f>IF(AND(H1841="Realizado",L1841&lt;&gt;""),L1841/60,0)</f>
        <v>0</v>
      </c>
      <c r="V1841" s="47">
        <f>IF(AND(H1841="Realizado",OR(L1841="",M1841="")),1,0)</f>
        <v>0</v>
      </c>
    </row>
    <row r="1842">
      <c r="A1842" s="43" t="n"/>
      <c r="B1842" s="44" t="n"/>
      <c r="C1842" s="38" t="n"/>
      <c r="D1842" s="38" t="n"/>
      <c r="E1842" s="37" t="n"/>
      <c r="F1842" s="38" t="n"/>
      <c r="G1842" s="38" t="n"/>
      <c r="H1842" s="38" t="n"/>
      <c r="I1842" s="38" t="n"/>
      <c r="J1842" s="38" t="n"/>
      <c r="K1842" s="37" t="n"/>
      <c r="L1842" s="39" t="n"/>
      <c r="M1842" s="40" t="n"/>
      <c r="N1842" s="30">
        <f>IF(A1842="","",MONTH(A1842))</f>
        <v/>
      </c>
      <c r="O1842" s="30">
        <f>IF(A1842="","",YEAR(A1842))</f>
        <v/>
      </c>
      <c r="P1842" s="30">
        <f>IF(A1842="","",CHOOSE(WEEKDAY(A1842,2),"Segunda","Terça","Quarta","Quinta","Sexta","Sábado","Domingo"))</f>
        <v/>
      </c>
      <c r="Q1842" s="30">
        <f>IF(B1842="","",IF(B1842&lt;TIME(12,0,0),"Manhã",IF(B1842&lt;TIME(18,0,0),"Tarde","Noite")))</f>
        <v/>
      </c>
      <c r="R1842" s="46">
        <f>IF(AND(H1842="Realizado",L1842&lt;&gt;"",A1842&lt;=Config!$B$9),L1842/60,0)</f>
        <v>0</v>
      </c>
      <c r="S1842" s="45">
        <f>IF(G1842="","",IFERROR(INDEX(Config!$K$5:$K$16,MATCH(G1842,Config!$J$5:$J$16,0)),""))</f>
        <v/>
      </c>
      <c r="T1842" s="31">
        <f>IF(OR(G1842="",F1842=""),"",IFERROR(INDEX(Config!$M$5:$R$16,MATCH(G1842,Config!$J$5:$J$16,0),MATCH(F1842,Config!$H$5:$H$10,0)),""))</f>
        <v/>
      </c>
      <c r="U1842" s="47">
        <f>IF(AND(H1842="Realizado",L1842&lt;&gt;""),L1842/60,0)</f>
        <v>0</v>
      </c>
      <c r="V1842" s="47">
        <f>IF(AND(H1842="Realizado",OR(L1842="",M1842="")),1,0)</f>
        <v>0</v>
      </c>
    </row>
    <row r="1843">
      <c r="A1843" s="43" t="n"/>
      <c r="B1843" s="44" t="n"/>
      <c r="C1843" s="38" t="n"/>
      <c r="D1843" s="38" t="n"/>
      <c r="E1843" s="37" t="n"/>
      <c r="F1843" s="38" t="n"/>
      <c r="G1843" s="38" t="n"/>
      <c r="H1843" s="38" t="n"/>
      <c r="I1843" s="38" t="n"/>
      <c r="J1843" s="38" t="n"/>
      <c r="K1843" s="37" t="n"/>
      <c r="L1843" s="39" t="n"/>
      <c r="M1843" s="40" t="n"/>
      <c r="N1843" s="30">
        <f>IF(A1843="","",MONTH(A1843))</f>
        <v/>
      </c>
      <c r="O1843" s="30">
        <f>IF(A1843="","",YEAR(A1843))</f>
        <v/>
      </c>
      <c r="P1843" s="30">
        <f>IF(A1843="","",CHOOSE(WEEKDAY(A1843,2),"Segunda","Terça","Quarta","Quinta","Sexta","Sábado","Domingo"))</f>
        <v/>
      </c>
      <c r="Q1843" s="30">
        <f>IF(B1843="","",IF(B1843&lt;TIME(12,0,0),"Manhã",IF(B1843&lt;TIME(18,0,0),"Tarde","Noite")))</f>
        <v/>
      </c>
      <c r="R1843" s="46">
        <f>IF(AND(H1843="Realizado",L1843&lt;&gt;"",A1843&lt;=Config!$B$9),L1843/60,0)</f>
        <v>0</v>
      </c>
      <c r="S1843" s="45">
        <f>IF(G1843="","",IFERROR(INDEX(Config!$K$5:$K$16,MATCH(G1843,Config!$J$5:$J$16,0)),""))</f>
        <v/>
      </c>
      <c r="T1843" s="31">
        <f>IF(OR(G1843="",F1843=""),"",IFERROR(INDEX(Config!$M$5:$R$16,MATCH(G1843,Config!$J$5:$J$16,0),MATCH(F1843,Config!$H$5:$H$10,0)),""))</f>
        <v/>
      </c>
      <c r="U1843" s="47">
        <f>IF(AND(H1843="Realizado",L1843&lt;&gt;""),L1843/60,0)</f>
        <v>0</v>
      </c>
      <c r="V1843" s="47">
        <f>IF(AND(H1843="Realizado",OR(L1843="",M1843="")),1,0)</f>
        <v>0</v>
      </c>
    </row>
    <row r="1844">
      <c r="A1844" s="43" t="n"/>
      <c r="B1844" s="44" t="n"/>
      <c r="C1844" s="38" t="n"/>
      <c r="D1844" s="38" t="n"/>
      <c r="E1844" s="37" t="n"/>
      <c r="F1844" s="38" t="n"/>
      <c r="G1844" s="38" t="n"/>
      <c r="H1844" s="38" t="n"/>
      <c r="I1844" s="38" t="n"/>
      <c r="J1844" s="38" t="n"/>
      <c r="K1844" s="37" t="n"/>
      <c r="L1844" s="39" t="n"/>
      <c r="M1844" s="40" t="n"/>
      <c r="N1844" s="30">
        <f>IF(A1844="","",MONTH(A1844))</f>
        <v/>
      </c>
      <c r="O1844" s="30">
        <f>IF(A1844="","",YEAR(A1844))</f>
        <v/>
      </c>
      <c r="P1844" s="30">
        <f>IF(A1844="","",CHOOSE(WEEKDAY(A1844,2),"Segunda","Terça","Quarta","Quinta","Sexta","Sábado","Domingo"))</f>
        <v/>
      </c>
      <c r="Q1844" s="30">
        <f>IF(B1844="","",IF(B1844&lt;TIME(12,0,0),"Manhã",IF(B1844&lt;TIME(18,0,0),"Tarde","Noite")))</f>
        <v/>
      </c>
      <c r="R1844" s="46">
        <f>IF(AND(H1844="Realizado",L1844&lt;&gt;"",A1844&lt;=Config!$B$9),L1844/60,0)</f>
        <v>0</v>
      </c>
      <c r="S1844" s="45">
        <f>IF(G1844="","",IFERROR(INDEX(Config!$K$5:$K$16,MATCH(G1844,Config!$J$5:$J$16,0)),""))</f>
        <v/>
      </c>
      <c r="T1844" s="31">
        <f>IF(OR(G1844="",F1844=""),"",IFERROR(INDEX(Config!$M$5:$R$16,MATCH(G1844,Config!$J$5:$J$16,0),MATCH(F1844,Config!$H$5:$H$10,0)),""))</f>
        <v/>
      </c>
      <c r="U1844" s="47">
        <f>IF(AND(H1844="Realizado",L1844&lt;&gt;""),L1844/60,0)</f>
        <v>0</v>
      </c>
      <c r="V1844" s="47">
        <f>IF(AND(H1844="Realizado",OR(L1844="",M1844="")),1,0)</f>
        <v>0</v>
      </c>
    </row>
    <row r="1845">
      <c r="A1845" s="43" t="n"/>
      <c r="B1845" s="44" t="n"/>
      <c r="C1845" s="38" t="n"/>
      <c r="D1845" s="38" t="n"/>
      <c r="E1845" s="37" t="n"/>
      <c r="F1845" s="38" t="n"/>
      <c r="G1845" s="38" t="n"/>
      <c r="H1845" s="38" t="n"/>
      <c r="I1845" s="38" t="n"/>
      <c r="J1845" s="38" t="n"/>
      <c r="K1845" s="37" t="n"/>
      <c r="L1845" s="39" t="n"/>
      <c r="M1845" s="40" t="n"/>
      <c r="N1845" s="30">
        <f>IF(A1845="","",MONTH(A1845))</f>
        <v/>
      </c>
      <c r="O1845" s="30">
        <f>IF(A1845="","",YEAR(A1845))</f>
        <v/>
      </c>
      <c r="P1845" s="30">
        <f>IF(A1845="","",CHOOSE(WEEKDAY(A1845,2),"Segunda","Terça","Quarta","Quinta","Sexta","Sábado","Domingo"))</f>
        <v/>
      </c>
      <c r="Q1845" s="30">
        <f>IF(B1845="","",IF(B1845&lt;TIME(12,0,0),"Manhã",IF(B1845&lt;TIME(18,0,0),"Tarde","Noite")))</f>
        <v/>
      </c>
      <c r="R1845" s="46">
        <f>IF(AND(H1845="Realizado",L1845&lt;&gt;"",A1845&lt;=Config!$B$9),L1845/60,0)</f>
        <v>0</v>
      </c>
      <c r="S1845" s="45">
        <f>IF(G1845="","",IFERROR(INDEX(Config!$K$5:$K$16,MATCH(G1845,Config!$J$5:$J$16,0)),""))</f>
        <v/>
      </c>
      <c r="T1845" s="31">
        <f>IF(OR(G1845="",F1845=""),"",IFERROR(INDEX(Config!$M$5:$R$16,MATCH(G1845,Config!$J$5:$J$16,0),MATCH(F1845,Config!$H$5:$H$10,0)),""))</f>
        <v/>
      </c>
      <c r="U1845" s="47">
        <f>IF(AND(H1845="Realizado",L1845&lt;&gt;""),L1845/60,0)</f>
        <v>0</v>
      </c>
      <c r="V1845" s="47">
        <f>IF(AND(H1845="Realizado",OR(L1845="",M1845="")),1,0)</f>
        <v>0</v>
      </c>
    </row>
    <row r="1846">
      <c r="A1846" s="43" t="n"/>
      <c r="B1846" s="44" t="n"/>
      <c r="C1846" s="38" t="n"/>
      <c r="D1846" s="38" t="n"/>
      <c r="E1846" s="37" t="n"/>
      <c r="F1846" s="38" t="n"/>
      <c r="G1846" s="38" t="n"/>
      <c r="H1846" s="38" t="n"/>
      <c r="I1846" s="38" t="n"/>
      <c r="J1846" s="38" t="n"/>
      <c r="K1846" s="37" t="n"/>
      <c r="L1846" s="39" t="n"/>
      <c r="M1846" s="40" t="n"/>
      <c r="N1846" s="30">
        <f>IF(A1846="","",MONTH(A1846))</f>
        <v/>
      </c>
      <c r="O1846" s="30">
        <f>IF(A1846="","",YEAR(A1846))</f>
        <v/>
      </c>
      <c r="P1846" s="30">
        <f>IF(A1846="","",CHOOSE(WEEKDAY(A1846,2),"Segunda","Terça","Quarta","Quinta","Sexta","Sábado","Domingo"))</f>
        <v/>
      </c>
      <c r="Q1846" s="30">
        <f>IF(B1846="","",IF(B1846&lt;TIME(12,0,0),"Manhã",IF(B1846&lt;TIME(18,0,0),"Tarde","Noite")))</f>
        <v/>
      </c>
      <c r="R1846" s="46">
        <f>IF(AND(H1846="Realizado",L1846&lt;&gt;"",A1846&lt;=Config!$B$9),L1846/60,0)</f>
        <v>0</v>
      </c>
      <c r="S1846" s="45">
        <f>IF(G1846="","",IFERROR(INDEX(Config!$K$5:$K$16,MATCH(G1846,Config!$J$5:$J$16,0)),""))</f>
        <v/>
      </c>
      <c r="T1846" s="31">
        <f>IF(OR(G1846="",F1846=""),"",IFERROR(INDEX(Config!$M$5:$R$16,MATCH(G1846,Config!$J$5:$J$16,0),MATCH(F1846,Config!$H$5:$H$10,0)),""))</f>
        <v/>
      </c>
      <c r="U1846" s="47">
        <f>IF(AND(H1846="Realizado",L1846&lt;&gt;""),L1846/60,0)</f>
        <v>0</v>
      </c>
      <c r="V1846" s="47">
        <f>IF(AND(H1846="Realizado",OR(L1846="",M1846="")),1,0)</f>
        <v>0</v>
      </c>
    </row>
    <row r="1847">
      <c r="A1847" s="43" t="n"/>
      <c r="B1847" s="44" t="n"/>
      <c r="C1847" s="38" t="n"/>
      <c r="D1847" s="38" t="n"/>
      <c r="E1847" s="37" t="n"/>
      <c r="F1847" s="38" t="n"/>
      <c r="G1847" s="38" t="n"/>
      <c r="H1847" s="38" t="n"/>
      <c r="I1847" s="38" t="n"/>
      <c r="J1847" s="38" t="n"/>
      <c r="K1847" s="37" t="n"/>
      <c r="L1847" s="39" t="n"/>
      <c r="M1847" s="40" t="n"/>
      <c r="N1847" s="30">
        <f>IF(A1847="","",MONTH(A1847))</f>
        <v/>
      </c>
      <c r="O1847" s="30">
        <f>IF(A1847="","",YEAR(A1847))</f>
        <v/>
      </c>
      <c r="P1847" s="30">
        <f>IF(A1847="","",CHOOSE(WEEKDAY(A1847,2),"Segunda","Terça","Quarta","Quinta","Sexta","Sábado","Domingo"))</f>
        <v/>
      </c>
      <c r="Q1847" s="30">
        <f>IF(B1847="","",IF(B1847&lt;TIME(12,0,0),"Manhã",IF(B1847&lt;TIME(18,0,0),"Tarde","Noite")))</f>
        <v/>
      </c>
      <c r="R1847" s="46">
        <f>IF(AND(H1847="Realizado",L1847&lt;&gt;"",A1847&lt;=Config!$B$9),L1847/60,0)</f>
        <v>0</v>
      </c>
      <c r="S1847" s="45">
        <f>IF(G1847="","",IFERROR(INDEX(Config!$K$5:$K$16,MATCH(G1847,Config!$J$5:$J$16,0)),""))</f>
        <v/>
      </c>
      <c r="T1847" s="31">
        <f>IF(OR(G1847="",F1847=""),"",IFERROR(INDEX(Config!$M$5:$R$16,MATCH(G1847,Config!$J$5:$J$16,0),MATCH(F1847,Config!$H$5:$H$10,0)),""))</f>
        <v/>
      </c>
      <c r="U1847" s="47">
        <f>IF(AND(H1847="Realizado",L1847&lt;&gt;""),L1847/60,0)</f>
        <v>0</v>
      </c>
      <c r="V1847" s="47">
        <f>IF(AND(H1847="Realizado",OR(L1847="",M1847="")),1,0)</f>
        <v>0</v>
      </c>
    </row>
    <row r="1848">
      <c r="A1848" s="43" t="n"/>
      <c r="B1848" s="44" t="n"/>
      <c r="C1848" s="38" t="n"/>
      <c r="D1848" s="38" t="n"/>
      <c r="E1848" s="37" t="n"/>
      <c r="F1848" s="38" t="n"/>
      <c r="G1848" s="38" t="n"/>
      <c r="H1848" s="38" t="n"/>
      <c r="I1848" s="38" t="n"/>
      <c r="J1848" s="38" t="n"/>
      <c r="K1848" s="37" t="n"/>
      <c r="L1848" s="39" t="n"/>
      <c r="M1848" s="40" t="n"/>
      <c r="N1848" s="30">
        <f>IF(A1848="","",MONTH(A1848))</f>
        <v/>
      </c>
      <c r="O1848" s="30">
        <f>IF(A1848="","",YEAR(A1848))</f>
        <v/>
      </c>
      <c r="P1848" s="30">
        <f>IF(A1848="","",CHOOSE(WEEKDAY(A1848,2),"Segunda","Terça","Quarta","Quinta","Sexta","Sábado","Domingo"))</f>
        <v/>
      </c>
      <c r="Q1848" s="30">
        <f>IF(B1848="","",IF(B1848&lt;TIME(12,0,0),"Manhã",IF(B1848&lt;TIME(18,0,0),"Tarde","Noite")))</f>
        <v/>
      </c>
      <c r="R1848" s="46">
        <f>IF(AND(H1848="Realizado",L1848&lt;&gt;"",A1848&lt;=Config!$B$9),L1848/60,0)</f>
        <v>0</v>
      </c>
      <c r="S1848" s="45">
        <f>IF(G1848="","",IFERROR(INDEX(Config!$K$5:$K$16,MATCH(G1848,Config!$J$5:$J$16,0)),""))</f>
        <v/>
      </c>
      <c r="T1848" s="31">
        <f>IF(OR(G1848="",F1848=""),"",IFERROR(INDEX(Config!$M$5:$R$16,MATCH(G1848,Config!$J$5:$J$16,0),MATCH(F1848,Config!$H$5:$H$10,0)),""))</f>
        <v/>
      </c>
      <c r="U1848" s="47">
        <f>IF(AND(H1848="Realizado",L1848&lt;&gt;""),L1848/60,0)</f>
        <v>0</v>
      </c>
      <c r="V1848" s="47">
        <f>IF(AND(H1848="Realizado",OR(L1848="",M1848="")),1,0)</f>
        <v>0</v>
      </c>
    </row>
    <row r="1849">
      <c r="A1849" s="43" t="n"/>
      <c r="B1849" s="44" t="n"/>
      <c r="C1849" s="38" t="n"/>
      <c r="D1849" s="38" t="n"/>
      <c r="E1849" s="37" t="n"/>
      <c r="F1849" s="38" t="n"/>
      <c r="G1849" s="38" t="n"/>
      <c r="H1849" s="38" t="n"/>
      <c r="I1849" s="38" t="n"/>
      <c r="J1849" s="38" t="n"/>
      <c r="K1849" s="37" t="n"/>
      <c r="L1849" s="39" t="n"/>
      <c r="M1849" s="40" t="n"/>
      <c r="N1849" s="30">
        <f>IF(A1849="","",MONTH(A1849))</f>
        <v/>
      </c>
      <c r="O1849" s="30">
        <f>IF(A1849="","",YEAR(A1849))</f>
        <v/>
      </c>
      <c r="P1849" s="30">
        <f>IF(A1849="","",CHOOSE(WEEKDAY(A1849,2),"Segunda","Terça","Quarta","Quinta","Sexta","Sábado","Domingo"))</f>
        <v/>
      </c>
      <c r="Q1849" s="30">
        <f>IF(B1849="","",IF(B1849&lt;TIME(12,0,0),"Manhã",IF(B1849&lt;TIME(18,0,0),"Tarde","Noite")))</f>
        <v/>
      </c>
      <c r="R1849" s="46">
        <f>IF(AND(H1849="Realizado",L1849&lt;&gt;"",A1849&lt;=Config!$B$9),L1849/60,0)</f>
        <v>0</v>
      </c>
      <c r="S1849" s="45">
        <f>IF(G1849="","",IFERROR(INDEX(Config!$K$5:$K$16,MATCH(G1849,Config!$J$5:$J$16,0)),""))</f>
        <v/>
      </c>
      <c r="T1849" s="31">
        <f>IF(OR(G1849="",F1849=""),"",IFERROR(INDEX(Config!$M$5:$R$16,MATCH(G1849,Config!$J$5:$J$16,0),MATCH(F1849,Config!$H$5:$H$10,0)),""))</f>
        <v/>
      </c>
      <c r="U1849" s="47">
        <f>IF(AND(H1849="Realizado",L1849&lt;&gt;""),L1849/60,0)</f>
        <v>0</v>
      </c>
      <c r="V1849" s="47">
        <f>IF(AND(H1849="Realizado",OR(L1849="",M1849="")),1,0)</f>
        <v>0</v>
      </c>
    </row>
    <row r="1850">
      <c r="A1850" s="43" t="n"/>
      <c r="B1850" s="44" t="n"/>
      <c r="C1850" s="38" t="n"/>
      <c r="D1850" s="38" t="n"/>
      <c r="E1850" s="37" t="n"/>
      <c r="F1850" s="38" t="n"/>
      <c r="G1850" s="38" t="n"/>
      <c r="H1850" s="38" t="n"/>
      <c r="I1850" s="38" t="n"/>
      <c r="J1850" s="38" t="n"/>
      <c r="K1850" s="37" t="n"/>
      <c r="L1850" s="39" t="n"/>
      <c r="M1850" s="40" t="n"/>
      <c r="N1850" s="30">
        <f>IF(A1850="","",MONTH(A1850))</f>
        <v/>
      </c>
      <c r="O1850" s="30">
        <f>IF(A1850="","",YEAR(A1850))</f>
        <v/>
      </c>
      <c r="P1850" s="30">
        <f>IF(A1850="","",CHOOSE(WEEKDAY(A1850,2),"Segunda","Terça","Quarta","Quinta","Sexta","Sábado","Domingo"))</f>
        <v/>
      </c>
      <c r="Q1850" s="30">
        <f>IF(B1850="","",IF(B1850&lt;TIME(12,0,0),"Manhã",IF(B1850&lt;TIME(18,0,0),"Tarde","Noite")))</f>
        <v/>
      </c>
      <c r="R1850" s="46">
        <f>IF(AND(H1850="Realizado",L1850&lt;&gt;"",A1850&lt;=Config!$B$9),L1850/60,0)</f>
        <v>0</v>
      </c>
      <c r="S1850" s="45">
        <f>IF(G1850="","",IFERROR(INDEX(Config!$K$5:$K$16,MATCH(G1850,Config!$J$5:$J$16,0)),""))</f>
        <v/>
      </c>
      <c r="T1850" s="31">
        <f>IF(OR(G1850="",F1850=""),"",IFERROR(INDEX(Config!$M$5:$R$16,MATCH(G1850,Config!$J$5:$J$16,0),MATCH(F1850,Config!$H$5:$H$10,0)),""))</f>
        <v/>
      </c>
      <c r="U1850" s="47">
        <f>IF(AND(H1850="Realizado",L1850&lt;&gt;""),L1850/60,0)</f>
        <v>0</v>
      </c>
      <c r="V1850" s="47">
        <f>IF(AND(H1850="Realizado",OR(L1850="",M1850="")),1,0)</f>
        <v>0</v>
      </c>
    </row>
    <row r="1851">
      <c r="A1851" s="43" t="n"/>
      <c r="B1851" s="44" t="n"/>
      <c r="C1851" s="38" t="n"/>
      <c r="D1851" s="38" t="n"/>
      <c r="E1851" s="37" t="n"/>
      <c r="F1851" s="38" t="n"/>
      <c r="G1851" s="38" t="n"/>
      <c r="H1851" s="38" t="n"/>
      <c r="I1851" s="38" t="n"/>
      <c r="J1851" s="38" t="n"/>
      <c r="K1851" s="37" t="n"/>
      <c r="L1851" s="39" t="n"/>
      <c r="M1851" s="40" t="n"/>
      <c r="N1851" s="30">
        <f>IF(A1851="","",MONTH(A1851))</f>
        <v/>
      </c>
      <c r="O1851" s="30">
        <f>IF(A1851="","",YEAR(A1851))</f>
        <v/>
      </c>
      <c r="P1851" s="30">
        <f>IF(A1851="","",CHOOSE(WEEKDAY(A1851,2),"Segunda","Terça","Quarta","Quinta","Sexta","Sábado","Domingo"))</f>
        <v/>
      </c>
      <c r="Q1851" s="30">
        <f>IF(B1851="","",IF(B1851&lt;TIME(12,0,0),"Manhã",IF(B1851&lt;TIME(18,0,0),"Tarde","Noite")))</f>
        <v/>
      </c>
      <c r="R1851" s="46">
        <f>IF(AND(H1851="Realizado",L1851&lt;&gt;"",A1851&lt;=Config!$B$9),L1851/60,0)</f>
        <v>0</v>
      </c>
      <c r="S1851" s="45">
        <f>IF(G1851="","",IFERROR(INDEX(Config!$K$5:$K$16,MATCH(G1851,Config!$J$5:$J$16,0)),""))</f>
        <v/>
      </c>
      <c r="T1851" s="31">
        <f>IF(OR(G1851="",F1851=""),"",IFERROR(INDEX(Config!$M$5:$R$16,MATCH(G1851,Config!$J$5:$J$16,0),MATCH(F1851,Config!$H$5:$H$10,0)),""))</f>
        <v/>
      </c>
      <c r="U1851" s="47">
        <f>IF(AND(H1851="Realizado",L1851&lt;&gt;""),L1851/60,0)</f>
        <v>0</v>
      </c>
      <c r="V1851" s="47">
        <f>IF(AND(H1851="Realizado",OR(L1851="",M1851="")),1,0)</f>
        <v>0</v>
      </c>
    </row>
    <row r="1852">
      <c r="A1852" s="43" t="n"/>
      <c r="B1852" s="44" t="n"/>
      <c r="C1852" s="38" t="n"/>
      <c r="D1852" s="38" t="n"/>
      <c r="E1852" s="37" t="n"/>
      <c r="F1852" s="38" t="n"/>
      <c r="G1852" s="38" t="n"/>
      <c r="H1852" s="38" t="n"/>
      <c r="I1852" s="38" t="n"/>
      <c r="J1852" s="38" t="n"/>
      <c r="K1852" s="37" t="n"/>
      <c r="L1852" s="39" t="n"/>
      <c r="M1852" s="40" t="n"/>
      <c r="N1852" s="30">
        <f>IF(A1852="","",MONTH(A1852))</f>
        <v/>
      </c>
      <c r="O1852" s="30">
        <f>IF(A1852="","",YEAR(A1852))</f>
        <v/>
      </c>
      <c r="P1852" s="30">
        <f>IF(A1852="","",CHOOSE(WEEKDAY(A1852,2),"Segunda","Terça","Quarta","Quinta","Sexta","Sábado","Domingo"))</f>
        <v/>
      </c>
      <c r="Q1852" s="30">
        <f>IF(B1852="","",IF(B1852&lt;TIME(12,0,0),"Manhã",IF(B1852&lt;TIME(18,0,0),"Tarde","Noite")))</f>
        <v/>
      </c>
      <c r="R1852" s="46">
        <f>IF(AND(H1852="Realizado",L1852&lt;&gt;"",A1852&lt;=Config!$B$9),L1852/60,0)</f>
        <v>0</v>
      </c>
      <c r="S1852" s="45">
        <f>IF(G1852="","",IFERROR(INDEX(Config!$K$5:$K$16,MATCH(G1852,Config!$J$5:$J$16,0)),""))</f>
        <v/>
      </c>
      <c r="T1852" s="31">
        <f>IF(OR(G1852="",F1852=""),"",IFERROR(INDEX(Config!$M$5:$R$16,MATCH(G1852,Config!$J$5:$J$16,0),MATCH(F1852,Config!$H$5:$H$10,0)),""))</f>
        <v/>
      </c>
      <c r="U1852" s="47">
        <f>IF(AND(H1852="Realizado",L1852&lt;&gt;""),L1852/60,0)</f>
        <v>0</v>
      </c>
      <c r="V1852" s="47">
        <f>IF(AND(H1852="Realizado",OR(L1852="",M1852="")),1,0)</f>
        <v>0</v>
      </c>
    </row>
    <row r="1853">
      <c r="A1853" s="43" t="n"/>
      <c r="B1853" s="44" t="n"/>
      <c r="C1853" s="38" t="n"/>
      <c r="D1853" s="38" t="n"/>
      <c r="E1853" s="37" t="n"/>
      <c r="F1853" s="38" t="n"/>
      <c r="G1853" s="38" t="n"/>
      <c r="H1853" s="38" t="n"/>
      <c r="I1853" s="38" t="n"/>
      <c r="J1853" s="38" t="n"/>
      <c r="K1853" s="37" t="n"/>
      <c r="L1853" s="39" t="n"/>
      <c r="M1853" s="40" t="n"/>
      <c r="N1853" s="30">
        <f>IF(A1853="","",MONTH(A1853))</f>
        <v/>
      </c>
      <c r="O1853" s="30">
        <f>IF(A1853="","",YEAR(A1853))</f>
        <v/>
      </c>
      <c r="P1853" s="30">
        <f>IF(A1853="","",CHOOSE(WEEKDAY(A1853,2),"Segunda","Terça","Quarta","Quinta","Sexta","Sábado","Domingo"))</f>
        <v/>
      </c>
      <c r="Q1853" s="30">
        <f>IF(B1853="","",IF(B1853&lt;TIME(12,0,0),"Manhã",IF(B1853&lt;TIME(18,0,0),"Tarde","Noite")))</f>
        <v/>
      </c>
      <c r="R1853" s="46">
        <f>IF(AND(H1853="Realizado",L1853&lt;&gt;"",A1853&lt;=Config!$B$9),L1853/60,0)</f>
        <v>0</v>
      </c>
      <c r="S1853" s="45">
        <f>IF(G1853="","",IFERROR(INDEX(Config!$K$5:$K$16,MATCH(G1853,Config!$J$5:$J$16,0)),""))</f>
        <v/>
      </c>
      <c r="T1853" s="31">
        <f>IF(OR(G1853="",F1853=""),"",IFERROR(INDEX(Config!$M$5:$R$16,MATCH(G1853,Config!$J$5:$J$16,0),MATCH(F1853,Config!$H$5:$H$10,0)),""))</f>
        <v/>
      </c>
      <c r="U1853" s="47">
        <f>IF(AND(H1853="Realizado",L1853&lt;&gt;""),L1853/60,0)</f>
        <v>0</v>
      </c>
      <c r="V1853" s="47">
        <f>IF(AND(H1853="Realizado",OR(L1853="",M1853="")),1,0)</f>
        <v>0</v>
      </c>
    </row>
    <row r="1854">
      <c r="A1854" s="43" t="n"/>
      <c r="B1854" s="44" t="n"/>
      <c r="C1854" s="38" t="n"/>
      <c r="D1854" s="38" t="n"/>
      <c r="E1854" s="37" t="n"/>
      <c r="F1854" s="38" t="n"/>
      <c r="G1854" s="38" t="n"/>
      <c r="H1854" s="38" t="n"/>
      <c r="I1854" s="38" t="n"/>
      <c r="J1854" s="38" t="n"/>
      <c r="K1854" s="37" t="n"/>
      <c r="L1854" s="39" t="n"/>
      <c r="M1854" s="40" t="n"/>
      <c r="N1854" s="30">
        <f>IF(A1854="","",MONTH(A1854))</f>
        <v/>
      </c>
      <c r="O1854" s="30">
        <f>IF(A1854="","",YEAR(A1854))</f>
        <v/>
      </c>
      <c r="P1854" s="30">
        <f>IF(A1854="","",CHOOSE(WEEKDAY(A1854,2),"Segunda","Terça","Quarta","Quinta","Sexta","Sábado","Domingo"))</f>
        <v/>
      </c>
      <c r="Q1854" s="30">
        <f>IF(B1854="","",IF(B1854&lt;TIME(12,0,0),"Manhã",IF(B1854&lt;TIME(18,0,0),"Tarde","Noite")))</f>
        <v/>
      </c>
      <c r="R1854" s="46">
        <f>IF(AND(H1854="Realizado",L1854&lt;&gt;"",A1854&lt;=Config!$B$9),L1854/60,0)</f>
        <v>0</v>
      </c>
      <c r="S1854" s="45">
        <f>IF(G1854="","",IFERROR(INDEX(Config!$K$5:$K$16,MATCH(G1854,Config!$J$5:$J$16,0)),""))</f>
        <v/>
      </c>
      <c r="T1854" s="31">
        <f>IF(OR(G1854="",F1854=""),"",IFERROR(INDEX(Config!$M$5:$R$16,MATCH(G1854,Config!$J$5:$J$16,0),MATCH(F1854,Config!$H$5:$H$10,0)),""))</f>
        <v/>
      </c>
      <c r="U1854" s="47">
        <f>IF(AND(H1854="Realizado",L1854&lt;&gt;""),L1854/60,0)</f>
        <v>0</v>
      </c>
      <c r="V1854" s="47">
        <f>IF(AND(H1854="Realizado",OR(L1854="",M1854="")),1,0)</f>
        <v>0</v>
      </c>
    </row>
    <row r="1855">
      <c r="A1855" s="43" t="n"/>
      <c r="B1855" s="44" t="n"/>
      <c r="C1855" s="38" t="n"/>
      <c r="D1855" s="38" t="n"/>
      <c r="E1855" s="37" t="n"/>
      <c r="F1855" s="38" t="n"/>
      <c r="G1855" s="38" t="n"/>
      <c r="H1855" s="38" t="n"/>
      <c r="I1855" s="38" t="n"/>
      <c r="J1855" s="38" t="n"/>
      <c r="K1855" s="37" t="n"/>
      <c r="L1855" s="39" t="n"/>
      <c r="M1855" s="40" t="n"/>
      <c r="N1855" s="30">
        <f>IF(A1855="","",MONTH(A1855))</f>
        <v/>
      </c>
      <c r="O1855" s="30">
        <f>IF(A1855="","",YEAR(A1855))</f>
        <v/>
      </c>
      <c r="P1855" s="30">
        <f>IF(A1855="","",CHOOSE(WEEKDAY(A1855,2),"Segunda","Terça","Quarta","Quinta","Sexta","Sábado","Domingo"))</f>
        <v/>
      </c>
      <c r="Q1855" s="30">
        <f>IF(B1855="","",IF(B1855&lt;TIME(12,0,0),"Manhã",IF(B1855&lt;TIME(18,0,0),"Tarde","Noite")))</f>
        <v/>
      </c>
      <c r="R1855" s="46">
        <f>IF(AND(H1855="Realizado",L1855&lt;&gt;"",A1855&lt;=Config!$B$9),L1855/60,0)</f>
        <v>0</v>
      </c>
      <c r="S1855" s="45">
        <f>IF(G1855="","",IFERROR(INDEX(Config!$K$5:$K$16,MATCH(G1855,Config!$J$5:$J$16,0)),""))</f>
        <v/>
      </c>
      <c r="T1855" s="31">
        <f>IF(OR(G1855="",F1855=""),"",IFERROR(INDEX(Config!$M$5:$R$16,MATCH(G1855,Config!$J$5:$J$16,0),MATCH(F1855,Config!$H$5:$H$10,0)),""))</f>
        <v/>
      </c>
      <c r="U1855" s="47">
        <f>IF(AND(H1855="Realizado",L1855&lt;&gt;""),L1855/60,0)</f>
        <v>0</v>
      </c>
      <c r="V1855" s="47">
        <f>IF(AND(H1855="Realizado",OR(L1855="",M1855="")),1,0)</f>
        <v>0</v>
      </c>
    </row>
    <row r="1856">
      <c r="A1856" s="43" t="n"/>
      <c r="B1856" s="44" t="n"/>
      <c r="C1856" s="38" t="n"/>
      <c r="D1856" s="38" t="n"/>
      <c r="E1856" s="37" t="n"/>
      <c r="F1856" s="38" t="n"/>
      <c r="G1856" s="38" t="n"/>
      <c r="H1856" s="38" t="n"/>
      <c r="I1856" s="38" t="n"/>
      <c r="J1856" s="38" t="n"/>
      <c r="K1856" s="37" t="n"/>
      <c r="L1856" s="39" t="n"/>
      <c r="M1856" s="40" t="n"/>
      <c r="N1856" s="30">
        <f>IF(A1856="","",MONTH(A1856))</f>
        <v/>
      </c>
      <c r="O1856" s="30">
        <f>IF(A1856="","",YEAR(A1856))</f>
        <v/>
      </c>
      <c r="P1856" s="30">
        <f>IF(A1856="","",CHOOSE(WEEKDAY(A1856,2),"Segunda","Terça","Quarta","Quinta","Sexta","Sábado","Domingo"))</f>
        <v/>
      </c>
      <c r="Q1856" s="30">
        <f>IF(B1856="","",IF(B1856&lt;TIME(12,0,0),"Manhã",IF(B1856&lt;TIME(18,0,0),"Tarde","Noite")))</f>
        <v/>
      </c>
      <c r="R1856" s="46">
        <f>IF(AND(H1856="Realizado",L1856&lt;&gt;"",A1856&lt;=Config!$B$9),L1856/60,0)</f>
        <v>0</v>
      </c>
      <c r="S1856" s="45">
        <f>IF(G1856="","",IFERROR(INDEX(Config!$K$5:$K$16,MATCH(G1856,Config!$J$5:$J$16,0)),""))</f>
        <v/>
      </c>
      <c r="T1856" s="31">
        <f>IF(OR(G1856="",F1856=""),"",IFERROR(INDEX(Config!$M$5:$R$16,MATCH(G1856,Config!$J$5:$J$16,0),MATCH(F1856,Config!$H$5:$H$10,0)),""))</f>
        <v/>
      </c>
      <c r="U1856" s="47">
        <f>IF(AND(H1856="Realizado",L1856&lt;&gt;""),L1856/60,0)</f>
        <v>0</v>
      </c>
      <c r="V1856" s="47">
        <f>IF(AND(H1856="Realizado",OR(L1856="",M1856="")),1,0)</f>
        <v>0</v>
      </c>
    </row>
    <row r="1857">
      <c r="A1857" s="43" t="n"/>
      <c r="B1857" s="44" t="n"/>
      <c r="C1857" s="38" t="n"/>
      <c r="D1857" s="38" t="n"/>
      <c r="E1857" s="37" t="n"/>
      <c r="F1857" s="38" t="n"/>
      <c r="G1857" s="38" t="n"/>
      <c r="H1857" s="38" t="n"/>
      <c r="I1857" s="38" t="n"/>
      <c r="J1857" s="38" t="n"/>
      <c r="K1857" s="37" t="n"/>
      <c r="L1857" s="39" t="n"/>
      <c r="M1857" s="40" t="n"/>
      <c r="N1857" s="30">
        <f>IF(A1857="","",MONTH(A1857))</f>
        <v/>
      </c>
      <c r="O1857" s="30">
        <f>IF(A1857="","",YEAR(A1857))</f>
        <v/>
      </c>
      <c r="P1857" s="30">
        <f>IF(A1857="","",CHOOSE(WEEKDAY(A1857,2),"Segunda","Terça","Quarta","Quinta","Sexta","Sábado","Domingo"))</f>
        <v/>
      </c>
      <c r="Q1857" s="30">
        <f>IF(B1857="","",IF(B1857&lt;TIME(12,0,0),"Manhã",IF(B1857&lt;TIME(18,0,0),"Tarde","Noite")))</f>
        <v/>
      </c>
      <c r="R1857" s="46">
        <f>IF(AND(H1857="Realizado",L1857&lt;&gt;"",A1857&lt;=Config!$B$9),L1857/60,0)</f>
        <v>0</v>
      </c>
      <c r="S1857" s="45">
        <f>IF(G1857="","",IFERROR(INDEX(Config!$K$5:$K$16,MATCH(G1857,Config!$J$5:$J$16,0)),""))</f>
        <v/>
      </c>
      <c r="T1857" s="31">
        <f>IF(OR(G1857="",F1857=""),"",IFERROR(INDEX(Config!$M$5:$R$16,MATCH(G1857,Config!$J$5:$J$16,0),MATCH(F1857,Config!$H$5:$H$10,0)),""))</f>
        <v/>
      </c>
      <c r="U1857" s="47">
        <f>IF(AND(H1857="Realizado",L1857&lt;&gt;""),L1857/60,0)</f>
        <v>0</v>
      </c>
      <c r="V1857" s="47">
        <f>IF(AND(H1857="Realizado",OR(L1857="",M1857="")),1,0)</f>
        <v>0</v>
      </c>
    </row>
    <row r="1858">
      <c r="A1858" s="43" t="n"/>
      <c r="B1858" s="44" t="n"/>
      <c r="C1858" s="38" t="n"/>
      <c r="D1858" s="38" t="n"/>
      <c r="E1858" s="37" t="n"/>
      <c r="F1858" s="38" t="n"/>
      <c r="G1858" s="38" t="n"/>
      <c r="H1858" s="38" t="n"/>
      <c r="I1858" s="38" t="n"/>
      <c r="J1858" s="38" t="n"/>
      <c r="K1858" s="37" t="n"/>
      <c r="L1858" s="39" t="n"/>
      <c r="M1858" s="40" t="n"/>
      <c r="N1858" s="30">
        <f>IF(A1858="","",MONTH(A1858))</f>
        <v/>
      </c>
      <c r="O1858" s="30">
        <f>IF(A1858="","",YEAR(A1858))</f>
        <v/>
      </c>
      <c r="P1858" s="30">
        <f>IF(A1858="","",CHOOSE(WEEKDAY(A1858,2),"Segunda","Terça","Quarta","Quinta","Sexta","Sábado","Domingo"))</f>
        <v/>
      </c>
      <c r="Q1858" s="30">
        <f>IF(B1858="","",IF(B1858&lt;TIME(12,0,0),"Manhã",IF(B1858&lt;TIME(18,0,0),"Tarde","Noite")))</f>
        <v/>
      </c>
      <c r="R1858" s="46">
        <f>IF(AND(H1858="Realizado",L1858&lt;&gt;"",A1858&lt;=Config!$B$9),L1858/60,0)</f>
        <v>0</v>
      </c>
      <c r="S1858" s="45">
        <f>IF(G1858="","",IFERROR(INDEX(Config!$K$5:$K$16,MATCH(G1858,Config!$J$5:$J$16,0)),""))</f>
        <v/>
      </c>
      <c r="T1858" s="31">
        <f>IF(OR(G1858="",F1858=""),"",IFERROR(INDEX(Config!$M$5:$R$16,MATCH(G1858,Config!$J$5:$J$16,0),MATCH(F1858,Config!$H$5:$H$10,0)),""))</f>
        <v/>
      </c>
      <c r="U1858" s="47">
        <f>IF(AND(H1858="Realizado",L1858&lt;&gt;""),L1858/60,0)</f>
        <v>0</v>
      </c>
      <c r="V1858" s="47">
        <f>IF(AND(H1858="Realizado",OR(L1858="",M1858="")),1,0)</f>
        <v>0</v>
      </c>
    </row>
    <row r="1859">
      <c r="A1859" s="43" t="n"/>
      <c r="B1859" s="44" t="n"/>
      <c r="C1859" s="38" t="n"/>
      <c r="D1859" s="38" t="n"/>
      <c r="E1859" s="37" t="n"/>
      <c r="F1859" s="38" t="n"/>
      <c r="G1859" s="38" t="n"/>
      <c r="H1859" s="38" t="n"/>
      <c r="I1859" s="38" t="n"/>
      <c r="J1859" s="38" t="n"/>
      <c r="K1859" s="37" t="n"/>
      <c r="L1859" s="39" t="n"/>
      <c r="M1859" s="40" t="n"/>
      <c r="N1859" s="30">
        <f>IF(A1859="","",MONTH(A1859))</f>
        <v/>
      </c>
      <c r="O1859" s="30">
        <f>IF(A1859="","",YEAR(A1859))</f>
        <v/>
      </c>
      <c r="P1859" s="30">
        <f>IF(A1859="","",CHOOSE(WEEKDAY(A1859,2),"Segunda","Terça","Quarta","Quinta","Sexta","Sábado","Domingo"))</f>
        <v/>
      </c>
      <c r="Q1859" s="30">
        <f>IF(B1859="","",IF(B1859&lt;TIME(12,0,0),"Manhã",IF(B1859&lt;TIME(18,0,0),"Tarde","Noite")))</f>
        <v/>
      </c>
      <c r="R1859" s="46">
        <f>IF(AND(H1859="Realizado",L1859&lt;&gt;"",A1859&lt;=Config!$B$9),L1859/60,0)</f>
        <v>0</v>
      </c>
      <c r="S1859" s="45">
        <f>IF(G1859="","",IFERROR(INDEX(Config!$K$5:$K$16,MATCH(G1859,Config!$J$5:$J$16,0)),""))</f>
        <v/>
      </c>
      <c r="T1859" s="31">
        <f>IF(OR(G1859="",F1859=""),"",IFERROR(INDEX(Config!$M$5:$R$16,MATCH(G1859,Config!$J$5:$J$16,0),MATCH(F1859,Config!$H$5:$H$10,0)),""))</f>
        <v/>
      </c>
      <c r="U1859" s="47">
        <f>IF(AND(H1859="Realizado",L1859&lt;&gt;""),L1859/60,0)</f>
        <v>0</v>
      </c>
      <c r="V1859" s="47">
        <f>IF(AND(H1859="Realizado",OR(L1859="",M1859="")),1,0)</f>
        <v>0</v>
      </c>
    </row>
    <row r="1860">
      <c r="A1860" s="43" t="n"/>
      <c r="B1860" s="44" t="n"/>
      <c r="C1860" s="38" t="n"/>
      <c r="D1860" s="38" t="n"/>
      <c r="E1860" s="37" t="n"/>
      <c r="F1860" s="38" t="n"/>
      <c r="G1860" s="38" t="n"/>
      <c r="H1860" s="38" t="n"/>
      <c r="I1860" s="38" t="n"/>
      <c r="J1860" s="38" t="n"/>
      <c r="K1860" s="37" t="n"/>
      <c r="L1860" s="39" t="n"/>
      <c r="M1860" s="40" t="n"/>
      <c r="N1860" s="30">
        <f>IF(A1860="","",MONTH(A1860))</f>
        <v/>
      </c>
      <c r="O1860" s="30">
        <f>IF(A1860="","",YEAR(A1860))</f>
        <v/>
      </c>
      <c r="P1860" s="30">
        <f>IF(A1860="","",CHOOSE(WEEKDAY(A1860,2),"Segunda","Terça","Quarta","Quinta","Sexta","Sábado","Domingo"))</f>
        <v/>
      </c>
      <c r="Q1860" s="30">
        <f>IF(B1860="","",IF(B1860&lt;TIME(12,0,0),"Manhã",IF(B1860&lt;TIME(18,0,0),"Tarde","Noite")))</f>
        <v/>
      </c>
      <c r="R1860" s="46">
        <f>IF(AND(H1860="Realizado",L1860&lt;&gt;"",A1860&lt;=Config!$B$9),L1860/60,0)</f>
        <v>0</v>
      </c>
      <c r="S1860" s="45">
        <f>IF(G1860="","",IFERROR(INDEX(Config!$K$5:$K$16,MATCH(G1860,Config!$J$5:$J$16,0)),""))</f>
        <v/>
      </c>
      <c r="T1860" s="31">
        <f>IF(OR(G1860="",F1860=""),"",IFERROR(INDEX(Config!$M$5:$R$16,MATCH(G1860,Config!$J$5:$J$16,0),MATCH(F1860,Config!$H$5:$H$10,0)),""))</f>
        <v/>
      </c>
      <c r="U1860" s="47">
        <f>IF(AND(H1860="Realizado",L1860&lt;&gt;""),L1860/60,0)</f>
        <v>0</v>
      </c>
      <c r="V1860" s="47">
        <f>IF(AND(H1860="Realizado",OR(L1860="",M1860="")),1,0)</f>
        <v>0</v>
      </c>
    </row>
    <row r="1861">
      <c r="A1861" s="43" t="n"/>
      <c r="B1861" s="44" t="n"/>
      <c r="C1861" s="38" t="n"/>
      <c r="D1861" s="38" t="n"/>
      <c r="E1861" s="37" t="n"/>
      <c r="F1861" s="38" t="n"/>
      <c r="G1861" s="38" t="n"/>
      <c r="H1861" s="38" t="n"/>
      <c r="I1861" s="38" t="n"/>
      <c r="J1861" s="38" t="n"/>
      <c r="K1861" s="37" t="n"/>
      <c r="L1861" s="39" t="n"/>
      <c r="M1861" s="40" t="n"/>
      <c r="N1861" s="30">
        <f>IF(A1861="","",MONTH(A1861))</f>
        <v/>
      </c>
      <c r="O1861" s="30">
        <f>IF(A1861="","",YEAR(A1861))</f>
        <v/>
      </c>
      <c r="P1861" s="30">
        <f>IF(A1861="","",CHOOSE(WEEKDAY(A1861,2),"Segunda","Terça","Quarta","Quinta","Sexta","Sábado","Domingo"))</f>
        <v/>
      </c>
      <c r="Q1861" s="30">
        <f>IF(B1861="","",IF(B1861&lt;TIME(12,0,0),"Manhã",IF(B1861&lt;TIME(18,0,0),"Tarde","Noite")))</f>
        <v/>
      </c>
      <c r="R1861" s="46">
        <f>IF(AND(H1861="Realizado",L1861&lt;&gt;"",A1861&lt;=Config!$B$9),L1861/60,0)</f>
        <v>0</v>
      </c>
      <c r="S1861" s="45">
        <f>IF(G1861="","",IFERROR(INDEX(Config!$K$5:$K$16,MATCH(G1861,Config!$J$5:$J$16,0)),""))</f>
        <v/>
      </c>
      <c r="T1861" s="31">
        <f>IF(OR(G1861="",F1861=""),"",IFERROR(INDEX(Config!$M$5:$R$16,MATCH(G1861,Config!$J$5:$J$16,0),MATCH(F1861,Config!$H$5:$H$10,0)),""))</f>
        <v/>
      </c>
      <c r="U1861" s="47">
        <f>IF(AND(H1861="Realizado",L1861&lt;&gt;""),L1861/60,0)</f>
        <v>0</v>
      </c>
      <c r="V1861" s="47">
        <f>IF(AND(H1861="Realizado",OR(L1861="",M1861="")),1,0)</f>
        <v>0</v>
      </c>
    </row>
    <row r="1862">
      <c r="A1862" s="43" t="n"/>
      <c r="B1862" s="44" t="n"/>
      <c r="C1862" s="38" t="n"/>
      <c r="D1862" s="38" t="n"/>
      <c r="E1862" s="37" t="n"/>
      <c r="F1862" s="38" t="n"/>
      <c r="G1862" s="38" t="n"/>
      <c r="H1862" s="38" t="n"/>
      <c r="I1862" s="38" t="n"/>
      <c r="J1862" s="38" t="n"/>
      <c r="K1862" s="37" t="n"/>
      <c r="L1862" s="39" t="n"/>
      <c r="M1862" s="40" t="n"/>
      <c r="N1862" s="30">
        <f>IF(A1862="","",MONTH(A1862))</f>
        <v/>
      </c>
      <c r="O1862" s="30">
        <f>IF(A1862="","",YEAR(A1862))</f>
        <v/>
      </c>
      <c r="P1862" s="30">
        <f>IF(A1862="","",CHOOSE(WEEKDAY(A1862,2),"Segunda","Terça","Quarta","Quinta","Sexta","Sábado","Domingo"))</f>
        <v/>
      </c>
      <c r="Q1862" s="30">
        <f>IF(B1862="","",IF(B1862&lt;TIME(12,0,0),"Manhã",IF(B1862&lt;TIME(18,0,0),"Tarde","Noite")))</f>
        <v/>
      </c>
      <c r="R1862" s="46">
        <f>IF(AND(H1862="Realizado",L1862&lt;&gt;"",A1862&lt;=Config!$B$9),L1862/60,0)</f>
        <v>0</v>
      </c>
      <c r="S1862" s="45">
        <f>IF(G1862="","",IFERROR(INDEX(Config!$K$5:$K$16,MATCH(G1862,Config!$J$5:$J$16,0)),""))</f>
        <v/>
      </c>
      <c r="T1862" s="31">
        <f>IF(OR(G1862="",F1862=""),"",IFERROR(INDEX(Config!$M$5:$R$16,MATCH(G1862,Config!$J$5:$J$16,0),MATCH(F1862,Config!$H$5:$H$10,0)),""))</f>
        <v/>
      </c>
      <c r="U1862" s="47">
        <f>IF(AND(H1862="Realizado",L1862&lt;&gt;""),L1862/60,0)</f>
        <v>0</v>
      </c>
      <c r="V1862" s="47">
        <f>IF(AND(H1862="Realizado",OR(L1862="",M1862="")),1,0)</f>
        <v>0</v>
      </c>
    </row>
    <row r="1863">
      <c r="A1863" s="43" t="n"/>
      <c r="B1863" s="44" t="n"/>
      <c r="C1863" s="38" t="n"/>
      <c r="D1863" s="38" t="n"/>
      <c r="E1863" s="37" t="n"/>
      <c r="F1863" s="38" t="n"/>
      <c r="G1863" s="38" t="n"/>
      <c r="H1863" s="38" t="n"/>
      <c r="I1863" s="38" t="n"/>
      <c r="J1863" s="38" t="n"/>
      <c r="K1863" s="37" t="n"/>
      <c r="L1863" s="39" t="n"/>
      <c r="M1863" s="40" t="n"/>
      <c r="N1863" s="30">
        <f>IF(A1863="","",MONTH(A1863))</f>
        <v/>
      </c>
      <c r="O1863" s="30">
        <f>IF(A1863="","",YEAR(A1863))</f>
        <v/>
      </c>
      <c r="P1863" s="30">
        <f>IF(A1863="","",CHOOSE(WEEKDAY(A1863,2),"Segunda","Terça","Quarta","Quinta","Sexta","Sábado","Domingo"))</f>
        <v/>
      </c>
      <c r="Q1863" s="30">
        <f>IF(B1863="","",IF(B1863&lt;TIME(12,0,0),"Manhã",IF(B1863&lt;TIME(18,0,0),"Tarde","Noite")))</f>
        <v/>
      </c>
      <c r="R1863" s="46">
        <f>IF(AND(H1863="Realizado",L1863&lt;&gt;"",A1863&lt;=Config!$B$9),L1863/60,0)</f>
        <v>0</v>
      </c>
      <c r="S1863" s="45">
        <f>IF(G1863="","",IFERROR(INDEX(Config!$K$5:$K$16,MATCH(G1863,Config!$J$5:$J$16,0)),""))</f>
        <v/>
      </c>
      <c r="T1863" s="31">
        <f>IF(OR(G1863="",F1863=""),"",IFERROR(INDEX(Config!$M$5:$R$16,MATCH(G1863,Config!$J$5:$J$16,0),MATCH(F1863,Config!$H$5:$H$10,0)),""))</f>
        <v/>
      </c>
      <c r="U1863" s="47">
        <f>IF(AND(H1863="Realizado",L1863&lt;&gt;""),L1863/60,0)</f>
        <v>0</v>
      </c>
      <c r="V1863" s="47">
        <f>IF(AND(H1863="Realizado",OR(L1863="",M1863="")),1,0)</f>
        <v>0</v>
      </c>
    </row>
    <row r="1864">
      <c r="A1864" s="43" t="n"/>
      <c r="B1864" s="44" t="n"/>
      <c r="C1864" s="38" t="n"/>
      <c r="D1864" s="38" t="n"/>
      <c r="E1864" s="37" t="n"/>
      <c r="F1864" s="38" t="n"/>
      <c r="G1864" s="38" t="n"/>
      <c r="H1864" s="38" t="n"/>
      <c r="I1864" s="38" t="n"/>
      <c r="J1864" s="38" t="n"/>
      <c r="K1864" s="37" t="n"/>
      <c r="L1864" s="39" t="n"/>
      <c r="M1864" s="40" t="n"/>
      <c r="N1864" s="30">
        <f>IF(A1864="","",MONTH(A1864))</f>
        <v/>
      </c>
      <c r="O1864" s="30">
        <f>IF(A1864="","",YEAR(A1864))</f>
        <v/>
      </c>
      <c r="P1864" s="30">
        <f>IF(A1864="","",CHOOSE(WEEKDAY(A1864,2),"Segunda","Terça","Quarta","Quinta","Sexta","Sábado","Domingo"))</f>
        <v/>
      </c>
      <c r="Q1864" s="30">
        <f>IF(B1864="","",IF(B1864&lt;TIME(12,0,0),"Manhã",IF(B1864&lt;TIME(18,0,0),"Tarde","Noite")))</f>
        <v/>
      </c>
      <c r="R1864" s="46">
        <f>IF(AND(H1864="Realizado",L1864&lt;&gt;"",A1864&lt;=Config!$B$9),L1864/60,0)</f>
        <v>0</v>
      </c>
      <c r="S1864" s="45">
        <f>IF(G1864="","",IFERROR(INDEX(Config!$K$5:$K$16,MATCH(G1864,Config!$J$5:$J$16,0)),""))</f>
        <v/>
      </c>
      <c r="T1864" s="31">
        <f>IF(OR(G1864="",F1864=""),"",IFERROR(INDEX(Config!$M$5:$R$16,MATCH(G1864,Config!$J$5:$J$16,0),MATCH(F1864,Config!$H$5:$H$10,0)),""))</f>
        <v/>
      </c>
      <c r="U1864" s="47">
        <f>IF(AND(H1864="Realizado",L1864&lt;&gt;""),L1864/60,0)</f>
        <v>0</v>
      </c>
      <c r="V1864" s="47">
        <f>IF(AND(H1864="Realizado",OR(L1864="",M1864="")),1,0)</f>
        <v>0</v>
      </c>
    </row>
    <row r="1865">
      <c r="A1865" s="43" t="n"/>
      <c r="B1865" s="44" t="n"/>
      <c r="C1865" s="38" t="n"/>
      <c r="D1865" s="38" t="n"/>
      <c r="E1865" s="37" t="n"/>
      <c r="F1865" s="38" t="n"/>
      <c r="G1865" s="38" t="n"/>
      <c r="H1865" s="38" t="n"/>
      <c r="I1865" s="38" t="n"/>
      <c r="J1865" s="38" t="n"/>
      <c r="K1865" s="37" t="n"/>
      <c r="L1865" s="39" t="n"/>
      <c r="M1865" s="40" t="n"/>
      <c r="N1865" s="30">
        <f>IF(A1865="","",MONTH(A1865))</f>
        <v/>
      </c>
      <c r="O1865" s="30">
        <f>IF(A1865="","",YEAR(A1865))</f>
        <v/>
      </c>
      <c r="P1865" s="30">
        <f>IF(A1865="","",CHOOSE(WEEKDAY(A1865,2),"Segunda","Terça","Quarta","Quinta","Sexta","Sábado","Domingo"))</f>
        <v/>
      </c>
      <c r="Q1865" s="30">
        <f>IF(B1865="","",IF(B1865&lt;TIME(12,0,0),"Manhã",IF(B1865&lt;TIME(18,0,0),"Tarde","Noite")))</f>
        <v/>
      </c>
      <c r="R1865" s="46">
        <f>IF(AND(H1865="Realizado",L1865&lt;&gt;"",A1865&lt;=Config!$B$9),L1865/60,0)</f>
        <v>0</v>
      </c>
      <c r="S1865" s="45">
        <f>IF(G1865="","",IFERROR(INDEX(Config!$K$5:$K$16,MATCH(G1865,Config!$J$5:$J$16,0)),""))</f>
        <v/>
      </c>
      <c r="T1865" s="31">
        <f>IF(OR(G1865="",F1865=""),"",IFERROR(INDEX(Config!$M$5:$R$16,MATCH(G1865,Config!$J$5:$J$16,0),MATCH(F1865,Config!$H$5:$H$10,0)),""))</f>
        <v/>
      </c>
      <c r="U1865" s="47">
        <f>IF(AND(H1865="Realizado",L1865&lt;&gt;""),L1865/60,0)</f>
        <v>0</v>
      </c>
      <c r="V1865" s="47">
        <f>IF(AND(H1865="Realizado",OR(L1865="",M1865="")),1,0)</f>
        <v>0</v>
      </c>
    </row>
    <row r="1866">
      <c r="A1866" s="43" t="n"/>
      <c r="B1866" s="44" t="n"/>
      <c r="C1866" s="38" t="n"/>
      <c r="D1866" s="38" t="n"/>
      <c r="E1866" s="37" t="n"/>
      <c r="F1866" s="38" t="n"/>
      <c r="G1866" s="38" t="n"/>
      <c r="H1866" s="38" t="n"/>
      <c r="I1866" s="38" t="n"/>
      <c r="J1866" s="38" t="n"/>
      <c r="K1866" s="37" t="n"/>
      <c r="L1866" s="39" t="n"/>
      <c r="M1866" s="40" t="n"/>
      <c r="N1866" s="30">
        <f>IF(A1866="","",MONTH(A1866))</f>
        <v/>
      </c>
      <c r="O1866" s="30">
        <f>IF(A1866="","",YEAR(A1866))</f>
        <v/>
      </c>
      <c r="P1866" s="30">
        <f>IF(A1866="","",CHOOSE(WEEKDAY(A1866,2),"Segunda","Terça","Quarta","Quinta","Sexta","Sábado","Domingo"))</f>
        <v/>
      </c>
      <c r="Q1866" s="30">
        <f>IF(B1866="","",IF(B1866&lt;TIME(12,0,0),"Manhã",IF(B1866&lt;TIME(18,0,0),"Tarde","Noite")))</f>
        <v/>
      </c>
      <c r="R1866" s="46">
        <f>IF(AND(H1866="Realizado",L1866&lt;&gt;"",A1866&lt;=Config!$B$9),L1866/60,0)</f>
        <v>0</v>
      </c>
      <c r="S1866" s="45">
        <f>IF(G1866="","",IFERROR(INDEX(Config!$K$5:$K$16,MATCH(G1866,Config!$J$5:$J$16,0)),""))</f>
        <v/>
      </c>
      <c r="T1866" s="31">
        <f>IF(OR(G1866="",F1866=""),"",IFERROR(INDEX(Config!$M$5:$R$16,MATCH(G1866,Config!$J$5:$J$16,0),MATCH(F1866,Config!$H$5:$H$10,0)),""))</f>
        <v/>
      </c>
      <c r="U1866" s="47">
        <f>IF(AND(H1866="Realizado",L1866&lt;&gt;""),L1866/60,0)</f>
        <v>0</v>
      </c>
      <c r="V1866" s="47">
        <f>IF(AND(H1866="Realizado",OR(L1866="",M1866="")),1,0)</f>
        <v>0</v>
      </c>
    </row>
    <row r="1867">
      <c r="A1867" s="43" t="n"/>
      <c r="B1867" s="44" t="n"/>
      <c r="C1867" s="38" t="n"/>
      <c r="D1867" s="38" t="n"/>
      <c r="E1867" s="37" t="n"/>
      <c r="F1867" s="38" t="n"/>
      <c r="G1867" s="38" t="n"/>
      <c r="H1867" s="38" t="n"/>
      <c r="I1867" s="38" t="n"/>
      <c r="J1867" s="38" t="n"/>
      <c r="K1867" s="37" t="n"/>
      <c r="L1867" s="39" t="n"/>
      <c r="M1867" s="40" t="n"/>
      <c r="N1867" s="30">
        <f>IF(A1867="","",MONTH(A1867))</f>
        <v/>
      </c>
      <c r="O1867" s="30">
        <f>IF(A1867="","",YEAR(A1867))</f>
        <v/>
      </c>
      <c r="P1867" s="30">
        <f>IF(A1867="","",CHOOSE(WEEKDAY(A1867,2),"Segunda","Terça","Quarta","Quinta","Sexta","Sábado","Domingo"))</f>
        <v/>
      </c>
      <c r="Q1867" s="30">
        <f>IF(B1867="","",IF(B1867&lt;TIME(12,0,0),"Manhã",IF(B1867&lt;TIME(18,0,0),"Tarde","Noite")))</f>
        <v/>
      </c>
      <c r="R1867" s="46">
        <f>IF(AND(H1867="Realizado",L1867&lt;&gt;"",A1867&lt;=Config!$B$9),L1867/60,0)</f>
        <v>0</v>
      </c>
      <c r="S1867" s="45">
        <f>IF(G1867="","",IFERROR(INDEX(Config!$K$5:$K$16,MATCH(G1867,Config!$J$5:$J$16,0)),""))</f>
        <v/>
      </c>
      <c r="T1867" s="31">
        <f>IF(OR(G1867="",F1867=""),"",IFERROR(INDEX(Config!$M$5:$R$16,MATCH(G1867,Config!$J$5:$J$16,0),MATCH(F1867,Config!$H$5:$H$10,0)),""))</f>
        <v/>
      </c>
      <c r="U1867" s="47">
        <f>IF(AND(H1867="Realizado",L1867&lt;&gt;""),L1867/60,0)</f>
        <v>0</v>
      </c>
      <c r="V1867" s="47">
        <f>IF(AND(H1867="Realizado",OR(L1867="",M1867="")),1,0)</f>
        <v>0</v>
      </c>
    </row>
    <row r="1868">
      <c r="A1868" s="43" t="n"/>
      <c r="B1868" s="44" t="n"/>
      <c r="C1868" s="38" t="n"/>
      <c r="D1868" s="38" t="n"/>
      <c r="E1868" s="37" t="n"/>
      <c r="F1868" s="38" t="n"/>
      <c r="G1868" s="38" t="n"/>
      <c r="H1868" s="38" t="n"/>
      <c r="I1868" s="38" t="n"/>
      <c r="J1868" s="38" t="n"/>
      <c r="K1868" s="37" t="n"/>
      <c r="L1868" s="39" t="n"/>
      <c r="M1868" s="40" t="n"/>
      <c r="N1868" s="30">
        <f>IF(A1868="","",MONTH(A1868))</f>
        <v/>
      </c>
      <c r="O1868" s="30">
        <f>IF(A1868="","",YEAR(A1868))</f>
        <v/>
      </c>
      <c r="P1868" s="30">
        <f>IF(A1868="","",CHOOSE(WEEKDAY(A1868,2),"Segunda","Terça","Quarta","Quinta","Sexta","Sábado","Domingo"))</f>
        <v/>
      </c>
      <c r="Q1868" s="30">
        <f>IF(B1868="","",IF(B1868&lt;TIME(12,0,0),"Manhã",IF(B1868&lt;TIME(18,0,0),"Tarde","Noite")))</f>
        <v/>
      </c>
      <c r="R1868" s="46">
        <f>IF(AND(H1868="Realizado",L1868&lt;&gt;"",A1868&lt;=Config!$B$9),L1868/60,0)</f>
        <v>0</v>
      </c>
      <c r="S1868" s="45">
        <f>IF(G1868="","",IFERROR(INDEX(Config!$K$5:$K$16,MATCH(G1868,Config!$J$5:$J$16,0)),""))</f>
        <v/>
      </c>
      <c r="T1868" s="31">
        <f>IF(OR(G1868="",F1868=""),"",IFERROR(INDEX(Config!$M$5:$R$16,MATCH(G1868,Config!$J$5:$J$16,0),MATCH(F1868,Config!$H$5:$H$10,0)),""))</f>
        <v/>
      </c>
      <c r="U1868" s="47">
        <f>IF(AND(H1868="Realizado",L1868&lt;&gt;""),L1868/60,0)</f>
        <v>0</v>
      </c>
      <c r="V1868" s="47">
        <f>IF(AND(H1868="Realizado",OR(L1868="",M1868="")),1,0)</f>
        <v>0</v>
      </c>
    </row>
    <row r="1869">
      <c r="A1869" s="43" t="n"/>
      <c r="B1869" s="44" t="n"/>
      <c r="C1869" s="38" t="n"/>
      <c r="D1869" s="38" t="n"/>
      <c r="E1869" s="37" t="n"/>
      <c r="F1869" s="38" t="n"/>
      <c r="G1869" s="38" t="n"/>
      <c r="H1869" s="38" t="n"/>
      <c r="I1869" s="38" t="n"/>
      <c r="J1869" s="38" t="n"/>
      <c r="K1869" s="37" t="n"/>
      <c r="L1869" s="39" t="n"/>
      <c r="M1869" s="40" t="n"/>
      <c r="N1869" s="30">
        <f>IF(A1869="","",MONTH(A1869))</f>
        <v/>
      </c>
      <c r="O1869" s="30">
        <f>IF(A1869="","",YEAR(A1869))</f>
        <v/>
      </c>
      <c r="P1869" s="30">
        <f>IF(A1869="","",CHOOSE(WEEKDAY(A1869,2),"Segunda","Terça","Quarta","Quinta","Sexta","Sábado","Domingo"))</f>
        <v/>
      </c>
      <c r="Q1869" s="30">
        <f>IF(B1869="","",IF(B1869&lt;TIME(12,0,0),"Manhã",IF(B1869&lt;TIME(18,0,0),"Tarde","Noite")))</f>
        <v/>
      </c>
      <c r="R1869" s="46">
        <f>IF(AND(H1869="Realizado",L1869&lt;&gt;"",A1869&lt;=Config!$B$9),L1869/60,0)</f>
        <v>0</v>
      </c>
      <c r="S1869" s="45">
        <f>IF(G1869="","",IFERROR(INDEX(Config!$K$5:$K$16,MATCH(G1869,Config!$J$5:$J$16,0)),""))</f>
        <v/>
      </c>
      <c r="T1869" s="31">
        <f>IF(OR(G1869="",F1869=""),"",IFERROR(INDEX(Config!$M$5:$R$16,MATCH(G1869,Config!$J$5:$J$16,0),MATCH(F1869,Config!$H$5:$H$10,0)),""))</f>
        <v/>
      </c>
      <c r="U1869" s="47">
        <f>IF(AND(H1869="Realizado",L1869&lt;&gt;""),L1869/60,0)</f>
        <v>0</v>
      </c>
      <c r="V1869" s="47">
        <f>IF(AND(H1869="Realizado",OR(L1869="",M1869="")),1,0)</f>
        <v>0</v>
      </c>
    </row>
    <row r="1870">
      <c r="A1870" s="43" t="n"/>
      <c r="B1870" s="44" t="n"/>
      <c r="C1870" s="38" t="n"/>
      <c r="D1870" s="38" t="n"/>
      <c r="E1870" s="37" t="n"/>
      <c r="F1870" s="38" t="n"/>
      <c r="G1870" s="38" t="n"/>
      <c r="H1870" s="38" t="n"/>
      <c r="I1870" s="38" t="n"/>
      <c r="J1870" s="38" t="n"/>
      <c r="K1870" s="37" t="n"/>
      <c r="L1870" s="39" t="n"/>
      <c r="M1870" s="40" t="n"/>
      <c r="N1870" s="30">
        <f>IF(A1870="","",MONTH(A1870))</f>
        <v/>
      </c>
      <c r="O1870" s="30">
        <f>IF(A1870="","",YEAR(A1870))</f>
        <v/>
      </c>
      <c r="P1870" s="30">
        <f>IF(A1870="","",CHOOSE(WEEKDAY(A1870,2),"Segunda","Terça","Quarta","Quinta","Sexta","Sábado","Domingo"))</f>
        <v/>
      </c>
      <c r="Q1870" s="30">
        <f>IF(B1870="","",IF(B1870&lt;TIME(12,0,0),"Manhã",IF(B1870&lt;TIME(18,0,0),"Tarde","Noite")))</f>
        <v/>
      </c>
      <c r="R1870" s="46">
        <f>IF(AND(H1870="Realizado",L1870&lt;&gt;"",A1870&lt;=Config!$B$9),L1870/60,0)</f>
        <v>0</v>
      </c>
      <c r="S1870" s="45">
        <f>IF(G1870="","",IFERROR(INDEX(Config!$K$5:$K$16,MATCH(G1870,Config!$J$5:$J$16,0)),""))</f>
        <v/>
      </c>
      <c r="T1870" s="31">
        <f>IF(OR(G1870="",F1870=""),"",IFERROR(INDEX(Config!$M$5:$R$16,MATCH(G1870,Config!$J$5:$J$16,0),MATCH(F1870,Config!$H$5:$H$10,0)),""))</f>
        <v/>
      </c>
      <c r="U1870" s="47">
        <f>IF(AND(H1870="Realizado",L1870&lt;&gt;""),L1870/60,0)</f>
        <v>0</v>
      </c>
      <c r="V1870" s="47">
        <f>IF(AND(H1870="Realizado",OR(L1870="",M1870="")),1,0)</f>
        <v>0</v>
      </c>
    </row>
    <row r="1871">
      <c r="A1871" s="43" t="n"/>
      <c r="B1871" s="44" t="n"/>
      <c r="C1871" s="38" t="n"/>
      <c r="D1871" s="38" t="n"/>
      <c r="E1871" s="37" t="n"/>
      <c r="F1871" s="38" t="n"/>
      <c r="G1871" s="38" t="n"/>
      <c r="H1871" s="38" t="n"/>
      <c r="I1871" s="38" t="n"/>
      <c r="J1871" s="38" t="n"/>
      <c r="K1871" s="37" t="n"/>
      <c r="L1871" s="39" t="n"/>
      <c r="M1871" s="40" t="n"/>
      <c r="N1871" s="30">
        <f>IF(A1871="","",MONTH(A1871))</f>
        <v/>
      </c>
      <c r="O1871" s="30">
        <f>IF(A1871="","",YEAR(A1871))</f>
        <v/>
      </c>
      <c r="P1871" s="30">
        <f>IF(A1871="","",CHOOSE(WEEKDAY(A1871,2),"Segunda","Terça","Quarta","Quinta","Sexta","Sábado","Domingo"))</f>
        <v/>
      </c>
      <c r="Q1871" s="30">
        <f>IF(B1871="","",IF(B1871&lt;TIME(12,0,0),"Manhã",IF(B1871&lt;TIME(18,0,0),"Tarde","Noite")))</f>
        <v/>
      </c>
      <c r="R1871" s="46">
        <f>IF(AND(H1871="Realizado",L1871&lt;&gt;"",A1871&lt;=Config!$B$9),L1871/60,0)</f>
        <v>0</v>
      </c>
      <c r="S1871" s="45">
        <f>IF(G1871="","",IFERROR(INDEX(Config!$K$5:$K$16,MATCH(G1871,Config!$J$5:$J$16,0)),""))</f>
        <v/>
      </c>
      <c r="T1871" s="31">
        <f>IF(OR(G1871="",F1871=""),"",IFERROR(INDEX(Config!$M$5:$R$16,MATCH(G1871,Config!$J$5:$J$16,0),MATCH(F1871,Config!$H$5:$H$10,0)),""))</f>
        <v/>
      </c>
      <c r="U1871" s="47">
        <f>IF(AND(H1871="Realizado",L1871&lt;&gt;""),L1871/60,0)</f>
        <v>0</v>
      </c>
      <c r="V1871" s="47">
        <f>IF(AND(H1871="Realizado",OR(L1871="",M1871="")),1,0)</f>
        <v>0</v>
      </c>
    </row>
    <row r="1872">
      <c r="A1872" s="43" t="n"/>
      <c r="B1872" s="44" t="n"/>
      <c r="C1872" s="38" t="n"/>
      <c r="D1872" s="38" t="n"/>
      <c r="E1872" s="37" t="n"/>
      <c r="F1872" s="38" t="n"/>
      <c r="G1872" s="38" t="n"/>
      <c r="H1872" s="38" t="n"/>
      <c r="I1872" s="38" t="n"/>
      <c r="J1872" s="38" t="n"/>
      <c r="K1872" s="37" t="n"/>
      <c r="L1872" s="39" t="n"/>
      <c r="M1872" s="40" t="n"/>
      <c r="N1872" s="30">
        <f>IF(A1872="","",MONTH(A1872))</f>
        <v/>
      </c>
      <c r="O1872" s="30">
        <f>IF(A1872="","",YEAR(A1872))</f>
        <v/>
      </c>
      <c r="P1872" s="30">
        <f>IF(A1872="","",CHOOSE(WEEKDAY(A1872,2),"Segunda","Terça","Quarta","Quinta","Sexta","Sábado","Domingo"))</f>
        <v/>
      </c>
      <c r="Q1872" s="30">
        <f>IF(B1872="","",IF(B1872&lt;TIME(12,0,0),"Manhã",IF(B1872&lt;TIME(18,0,0),"Tarde","Noite")))</f>
        <v/>
      </c>
      <c r="R1872" s="46">
        <f>IF(AND(H1872="Realizado",L1872&lt;&gt;"",A1872&lt;=Config!$B$9),L1872/60,0)</f>
        <v>0</v>
      </c>
      <c r="S1872" s="45">
        <f>IF(G1872="","",IFERROR(INDEX(Config!$K$5:$K$16,MATCH(G1872,Config!$J$5:$J$16,0)),""))</f>
        <v/>
      </c>
      <c r="T1872" s="31">
        <f>IF(OR(G1872="",F1872=""),"",IFERROR(INDEX(Config!$M$5:$R$16,MATCH(G1872,Config!$J$5:$J$16,0),MATCH(F1872,Config!$H$5:$H$10,0)),""))</f>
        <v/>
      </c>
      <c r="U1872" s="47">
        <f>IF(AND(H1872="Realizado",L1872&lt;&gt;""),L1872/60,0)</f>
        <v>0</v>
      </c>
      <c r="V1872" s="47">
        <f>IF(AND(H1872="Realizado",OR(L1872="",M1872="")),1,0)</f>
        <v>0</v>
      </c>
    </row>
    <row r="1873">
      <c r="A1873" s="43" t="n"/>
      <c r="B1873" s="44" t="n"/>
      <c r="C1873" s="38" t="n"/>
      <c r="D1873" s="38" t="n"/>
      <c r="E1873" s="37" t="n"/>
      <c r="F1873" s="38" t="n"/>
      <c r="G1873" s="38" t="n"/>
      <c r="H1873" s="38" t="n"/>
      <c r="I1873" s="38" t="n"/>
      <c r="J1873" s="38" t="n"/>
      <c r="K1873" s="37" t="n"/>
      <c r="L1873" s="39" t="n"/>
      <c r="M1873" s="40" t="n"/>
      <c r="N1873" s="30">
        <f>IF(A1873="","",MONTH(A1873))</f>
        <v/>
      </c>
      <c r="O1873" s="30">
        <f>IF(A1873="","",YEAR(A1873))</f>
        <v/>
      </c>
      <c r="P1873" s="30">
        <f>IF(A1873="","",CHOOSE(WEEKDAY(A1873,2),"Segunda","Terça","Quarta","Quinta","Sexta","Sábado","Domingo"))</f>
        <v/>
      </c>
      <c r="Q1873" s="30">
        <f>IF(B1873="","",IF(B1873&lt;TIME(12,0,0),"Manhã",IF(B1873&lt;TIME(18,0,0),"Tarde","Noite")))</f>
        <v/>
      </c>
      <c r="R1873" s="46">
        <f>IF(AND(H1873="Realizado",L1873&lt;&gt;"",A1873&lt;=Config!$B$9),L1873/60,0)</f>
        <v>0</v>
      </c>
      <c r="S1873" s="45">
        <f>IF(G1873="","",IFERROR(INDEX(Config!$K$5:$K$16,MATCH(G1873,Config!$J$5:$J$16,0)),""))</f>
        <v/>
      </c>
      <c r="T1873" s="31">
        <f>IF(OR(G1873="",F1873=""),"",IFERROR(INDEX(Config!$M$5:$R$16,MATCH(G1873,Config!$J$5:$J$16,0),MATCH(F1873,Config!$H$5:$H$10,0)),""))</f>
        <v/>
      </c>
      <c r="U1873" s="47">
        <f>IF(AND(H1873="Realizado",L1873&lt;&gt;""),L1873/60,0)</f>
        <v>0</v>
      </c>
      <c r="V1873" s="47">
        <f>IF(AND(H1873="Realizado",OR(L1873="",M1873="")),1,0)</f>
        <v>0</v>
      </c>
    </row>
    <row r="1874">
      <c r="A1874" s="43" t="n"/>
      <c r="B1874" s="44" t="n"/>
      <c r="C1874" s="38" t="n"/>
      <c r="D1874" s="38" t="n"/>
      <c r="E1874" s="37" t="n"/>
      <c r="F1874" s="38" t="n"/>
      <c r="G1874" s="38" t="n"/>
      <c r="H1874" s="38" t="n"/>
      <c r="I1874" s="38" t="n"/>
      <c r="J1874" s="38" t="n"/>
      <c r="K1874" s="37" t="n"/>
      <c r="L1874" s="39" t="n"/>
      <c r="M1874" s="40" t="n"/>
      <c r="N1874" s="30">
        <f>IF(A1874="","",MONTH(A1874))</f>
        <v/>
      </c>
      <c r="O1874" s="30">
        <f>IF(A1874="","",YEAR(A1874))</f>
        <v/>
      </c>
      <c r="P1874" s="30">
        <f>IF(A1874="","",CHOOSE(WEEKDAY(A1874,2),"Segunda","Terça","Quarta","Quinta","Sexta","Sábado","Domingo"))</f>
        <v/>
      </c>
      <c r="Q1874" s="30">
        <f>IF(B1874="","",IF(B1874&lt;TIME(12,0,0),"Manhã",IF(B1874&lt;TIME(18,0,0),"Tarde","Noite")))</f>
        <v/>
      </c>
      <c r="R1874" s="46">
        <f>IF(AND(H1874="Realizado",L1874&lt;&gt;"",A1874&lt;=Config!$B$9),L1874/60,0)</f>
        <v>0</v>
      </c>
      <c r="S1874" s="45">
        <f>IF(G1874="","",IFERROR(INDEX(Config!$K$5:$K$16,MATCH(G1874,Config!$J$5:$J$16,0)),""))</f>
        <v/>
      </c>
      <c r="T1874" s="31">
        <f>IF(OR(G1874="",F1874=""),"",IFERROR(INDEX(Config!$M$5:$R$16,MATCH(G1874,Config!$J$5:$J$16,0),MATCH(F1874,Config!$H$5:$H$10,0)),""))</f>
        <v/>
      </c>
      <c r="U1874" s="47">
        <f>IF(AND(H1874="Realizado",L1874&lt;&gt;""),L1874/60,0)</f>
        <v>0</v>
      </c>
      <c r="V1874" s="47">
        <f>IF(AND(H1874="Realizado",OR(L1874="",M1874="")),1,0)</f>
        <v>0</v>
      </c>
    </row>
    <row r="1875">
      <c r="A1875" s="43" t="n"/>
      <c r="B1875" s="44" t="n"/>
      <c r="C1875" s="38" t="n"/>
      <c r="D1875" s="38" t="n"/>
      <c r="E1875" s="37" t="n"/>
      <c r="F1875" s="38" t="n"/>
      <c r="G1875" s="38" t="n"/>
      <c r="H1875" s="38" t="n"/>
      <c r="I1875" s="38" t="n"/>
      <c r="J1875" s="38" t="n"/>
      <c r="K1875" s="37" t="n"/>
      <c r="L1875" s="39" t="n"/>
      <c r="M1875" s="40" t="n"/>
      <c r="N1875" s="30">
        <f>IF(A1875="","",MONTH(A1875))</f>
        <v/>
      </c>
      <c r="O1875" s="30">
        <f>IF(A1875="","",YEAR(A1875))</f>
        <v/>
      </c>
      <c r="P1875" s="30">
        <f>IF(A1875="","",CHOOSE(WEEKDAY(A1875,2),"Segunda","Terça","Quarta","Quinta","Sexta","Sábado","Domingo"))</f>
        <v/>
      </c>
      <c r="Q1875" s="30">
        <f>IF(B1875="","",IF(B1875&lt;TIME(12,0,0),"Manhã",IF(B1875&lt;TIME(18,0,0),"Tarde","Noite")))</f>
        <v/>
      </c>
      <c r="R1875" s="46">
        <f>IF(AND(H1875="Realizado",L1875&lt;&gt;"",A1875&lt;=Config!$B$9),L1875/60,0)</f>
        <v>0</v>
      </c>
      <c r="S1875" s="45">
        <f>IF(G1875="","",IFERROR(INDEX(Config!$K$5:$K$16,MATCH(G1875,Config!$J$5:$J$16,0)),""))</f>
        <v/>
      </c>
      <c r="T1875" s="31">
        <f>IF(OR(G1875="",F1875=""),"",IFERROR(INDEX(Config!$M$5:$R$16,MATCH(G1875,Config!$J$5:$J$16,0),MATCH(F1875,Config!$H$5:$H$10,0)),""))</f>
        <v/>
      </c>
      <c r="U1875" s="47">
        <f>IF(AND(H1875="Realizado",L1875&lt;&gt;""),L1875/60,0)</f>
        <v>0</v>
      </c>
      <c r="V1875" s="47">
        <f>IF(AND(H1875="Realizado",OR(L1875="",M1875="")),1,0)</f>
        <v>0</v>
      </c>
    </row>
    <row r="1876">
      <c r="A1876" s="43" t="n"/>
      <c r="B1876" s="44" t="n"/>
      <c r="C1876" s="38" t="n"/>
      <c r="D1876" s="38" t="n"/>
      <c r="E1876" s="37" t="n"/>
      <c r="F1876" s="38" t="n"/>
      <c r="G1876" s="38" t="n"/>
      <c r="H1876" s="38" t="n"/>
      <c r="I1876" s="38" t="n"/>
      <c r="J1876" s="38" t="n"/>
      <c r="K1876" s="37" t="n"/>
      <c r="L1876" s="39" t="n"/>
      <c r="M1876" s="40" t="n"/>
      <c r="N1876" s="30">
        <f>IF(A1876="","",MONTH(A1876))</f>
        <v/>
      </c>
      <c r="O1876" s="30">
        <f>IF(A1876="","",YEAR(A1876))</f>
        <v/>
      </c>
      <c r="P1876" s="30">
        <f>IF(A1876="","",CHOOSE(WEEKDAY(A1876,2),"Segunda","Terça","Quarta","Quinta","Sexta","Sábado","Domingo"))</f>
        <v/>
      </c>
      <c r="Q1876" s="30">
        <f>IF(B1876="","",IF(B1876&lt;TIME(12,0,0),"Manhã",IF(B1876&lt;TIME(18,0,0),"Tarde","Noite")))</f>
        <v/>
      </c>
      <c r="R1876" s="46">
        <f>IF(AND(H1876="Realizado",L1876&lt;&gt;"",A1876&lt;=Config!$B$9),L1876/60,0)</f>
        <v>0</v>
      </c>
      <c r="S1876" s="45">
        <f>IF(G1876="","",IFERROR(INDEX(Config!$K$5:$K$16,MATCH(G1876,Config!$J$5:$J$16,0)),""))</f>
        <v/>
      </c>
      <c r="T1876" s="31">
        <f>IF(OR(G1876="",F1876=""),"",IFERROR(INDEX(Config!$M$5:$R$16,MATCH(G1876,Config!$J$5:$J$16,0),MATCH(F1876,Config!$H$5:$H$10,0)),""))</f>
        <v/>
      </c>
      <c r="U1876" s="47">
        <f>IF(AND(H1876="Realizado",L1876&lt;&gt;""),L1876/60,0)</f>
        <v>0</v>
      </c>
      <c r="V1876" s="47">
        <f>IF(AND(H1876="Realizado",OR(L1876="",M1876="")),1,0)</f>
        <v>0</v>
      </c>
    </row>
    <row r="1877">
      <c r="A1877" s="43" t="n"/>
      <c r="B1877" s="44" t="n"/>
      <c r="C1877" s="38" t="n"/>
      <c r="D1877" s="38" t="n"/>
      <c r="E1877" s="37" t="n"/>
      <c r="F1877" s="38" t="n"/>
      <c r="G1877" s="38" t="n"/>
      <c r="H1877" s="38" t="n"/>
      <c r="I1877" s="38" t="n"/>
      <c r="J1877" s="38" t="n"/>
      <c r="K1877" s="37" t="n"/>
      <c r="L1877" s="39" t="n"/>
      <c r="M1877" s="40" t="n"/>
      <c r="N1877" s="30">
        <f>IF(A1877="","",MONTH(A1877))</f>
        <v/>
      </c>
      <c r="O1877" s="30">
        <f>IF(A1877="","",YEAR(A1877))</f>
        <v/>
      </c>
      <c r="P1877" s="30">
        <f>IF(A1877="","",CHOOSE(WEEKDAY(A1877,2),"Segunda","Terça","Quarta","Quinta","Sexta","Sábado","Domingo"))</f>
        <v/>
      </c>
      <c r="Q1877" s="30">
        <f>IF(B1877="","",IF(B1877&lt;TIME(12,0,0),"Manhã",IF(B1877&lt;TIME(18,0,0),"Tarde","Noite")))</f>
        <v/>
      </c>
      <c r="R1877" s="46">
        <f>IF(AND(H1877="Realizado",L1877&lt;&gt;"",A1877&lt;=Config!$B$9),L1877/60,0)</f>
        <v>0</v>
      </c>
      <c r="S1877" s="45">
        <f>IF(G1877="","",IFERROR(INDEX(Config!$K$5:$K$16,MATCH(G1877,Config!$J$5:$J$16,0)),""))</f>
        <v/>
      </c>
      <c r="T1877" s="31">
        <f>IF(OR(G1877="",F1877=""),"",IFERROR(INDEX(Config!$M$5:$R$16,MATCH(G1877,Config!$J$5:$J$16,0),MATCH(F1877,Config!$H$5:$H$10,0)),""))</f>
        <v/>
      </c>
      <c r="U1877" s="47">
        <f>IF(AND(H1877="Realizado",L1877&lt;&gt;""),L1877/60,0)</f>
        <v>0</v>
      </c>
      <c r="V1877" s="47">
        <f>IF(AND(H1877="Realizado",OR(L1877="",M1877="")),1,0)</f>
        <v>0</v>
      </c>
    </row>
    <row r="1878">
      <c r="A1878" s="43" t="n"/>
      <c r="B1878" s="44" t="n"/>
      <c r="C1878" s="38" t="n"/>
      <c r="D1878" s="38" t="n"/>
      <c r="E1878" s="37" t="n"/>
      <c r="F1878" s="38" t="n"/>
      <c r="G1878" s="38" t="n"/>
      <c r="H1878" s="38" t="n"/>
      <c r="I1878" s="38" t="n"/>
      <c r="J1878" s="38" t="n"/>
      <c r="K1878" s="37" t="n"/>
      <c r="L1878" s="39" t="n"/>
      <c r="M1878" s="40" t="n"/>
      <c r="N1878" s="30">
        <f>IF(A1878="","",MONTH(A1878))</f>
        <v/>
      </c>
      <c r="O1878" s="30">
        <f>IF(A1878="","",YEAR(A1878))</f>
        <v/>
      </c>
      <c r="P1878" s="30">
        <f>IF(A1878="","",CHOOSE(WEEKDAY(A1878,2),"Segunda","Terça","Quarta","Quinta","Sexta","Sábado","Domingo"))</f>
        <v/>
      </c>
      <c r="Q1878" s="30">
        <f>IF(B1878="","",IF(B1878&lt;TIME(12,0,0),"Manhã",IF(B1878&lt;TIME(18,0,0),"Tarde","Noite")))</f>
        <v/>
      </c>
      <c r="R1878" s="46">
        <f>IF(AND(H1878="Realizado",L1878&lt;&gt;"",A1878&lt;=Config!$B$9),L1878/60,0)</f>
        <v>0</v>
      </c>
      <c r="S1878" s="45">
        <f>IF(G1878="","",IFERROR(INDEX(Config!$K$5:$K$16,MATCH(G1878,Config!$J$5:$J$16,0)),""))</f>
        <v/>
      </c>
      <c r="T1878" s="31">
        <f>IF(OR(G1878="",F1878=""),"",IFERROR(INDEX(Config!$M$5:$R$16,MATCH(G1878,Config!$J$5:$J$16,0),MATCH(F1878,Config!$H$5:$H$10,0)),""))</f>
        <v/>
      </c>
      <c r="U1878" s="47">
        <f>IF(AND(H1878="Realizado",L1878&lt;&gt;""),L1878/60,0)</f>
        <v>0</v>
      </c>
      <c r="V1878" s="47">
        <f>IF(AND(H1878="Realizado",OR(L1878="",M1878="")),1,0)</f>
        <v>0</v>
      </c>
    </row>
    <row r="1879">
      <c r="A1879" s="43" t="n"/>
      <c r="B1879" s="44" t="n"/>
      <c r="C1879" s="38" t="n"/>
      <c r="D1879" s="38" t="n"/>
      <c r="E1879" s="37" t="n"/>
      <c r="F1879" s="38" t="n"/>
      <c r="G1879" s="38" t="n"/>
      <c r="H1879" s="38" t="n"/>
      <c r="I1879" s="38" t="n"/>
      <c r="J1879" s="38" t="n"/>
      <c r="K1879" s="37" t="n"/>
      <c r="L1879" s="39" t="n"/>
      <c r="M1879" s="40" t="n"/>
      <c r="N1879" s="30">
        <f>IF(A1879="","",MONTH(A1879))</f>
        <v/>
      </c>
      <c r="O1879" s="30">
        <f>IF(A1879="","",YEAR(A1879))</f>
        <v/>
      </c>
      <c r="P1879" s="30">
        <f>IF(A1879="","",CHOOSE(WEEKDAY(A1879,2),"Segunda","Terça","Quarta","Quinta","Sexta","Sábado","Domingo"))</f>
        <v/>
      </c>
      <c r="Q1879" s="30">
        <f>IF(B1879="","",IF(B1879&lt;TIME(12,0,0),"Manhã",IF(B1879&lt;TIME(18,0,0),"Tarde","Noite")))</f>
        <v/>
      </c>
      <c r="R1879" s="46">
        <f>IF(AND(H1879="Realizado",L1879&lt;&gt;"",A1879&lt;=Config!$B$9),L1879/60,0)</f>
        <v>0</v>
      </c>
      <c r="S1879" s="45">
        <f>IF(G1879="","",IFERROR(INDEX(Config!$K$5:$K$16,MATCH(G1879,Config!$J$5:$J$16,0)),""))</f>
        <v/>
      </c>
      <c r="T1879" s="31">
        <f>IF(OR(G1879="",F1879=""),"",IFERROR(INDEX(Config!$M$5:$R$16,MATCH(G1879,Config!$J$5:$J$16,0),MATCH(F1879,Config!$H$5:$H$10,0)),""))</f>
        <v/>
      </c>
      <c r="U1879" s="47">
        <f>IF(AND(H1879="Realizado",L1879&lt;&gt;""),L1879/60,0)</f>
        <v>0</v>
      </c>
      <c r="V1879" s="47">
        <f>IF(AND(H1879="Realizado",OR(L1879="",M1879="")),1,0)</f>
        <v>0</v>
      </c>
    </row>
    <row r="1880">
      <c r="A1880" s="43" t="n"/>
      <c r="B1880" s="44" t="n"/>
      <c r="C1880" s="38" t="n"/>
      <c r="D1880" s="38" t="n"/>
      <c r="E1880" s="37" t="n"/>
      <c r="F1880" s="38" t="n"/>
      <c r="G1880" s="38" t="n"/>
      <c r="H1880" s="38" t="n"/>
      <c r="I1880" s="38" t="n"/>
      <c r="J1880" s="38" t="n"/>
      <c r="K1880" s="37" t="n"/>
      <c r="L1880" s="39" t="n"/>
      <c r="M1880" s="40" t="n"/>
      <c r="N1880" s="30">
        <f>IF(A1880="","",MONTH(A1880))</f>
        <v/>
      </c>
      <c r="O1880" s="30">
        <f>IF(A1880="","",YEAR(A1880))</f>
        <v/>
      </c>
      <c r="P1880" s="30">
        <f>IF(A1880="","",CHOOSE(WEEKDAY(A1880,2),"Segunda","Terça","Quarta","Quinta","Sexta","Sábado","Domingo"))</f>
        <v/>
      </c>
      <c r="Q1880" s="30">
        <f>IF(B1880="","",IF(B1880&lt;TIME(12,0,0),"Manhã",IF(B1880&lt;TIME(18,0,0),"Tarde","Noite")))</f>
        <v/>
      </c>
      <c r="R1880" s="46">
        <f>IF(AND(H1880="Realizado",L1880&lt;&gt;"",A1880&lt;=Config!$B$9),L1880/60,0)</f>
        <v>0</v>
      </c>
      <c r="S1880" s="45">
        <f>IF(G1880="","",IFERROR(INDEX(Config!$K$5:$K$16,MATCH(G1880,Config!$J$5:$J$16,0)),""))</f>
        <v/>
      </c>
      <c r="T1880" s="31">
        <f>IF(OR(G1880="",F1880=""),"",IFERROR(INDEX(Config!$M$5:$R$16,MATCH(G1880,Config!$J$5:$J$16,0),MATCH(F1880,Config!$H$5:$H$10,0)),""))</f>
        <v/>
      </c>
      <c r="U1880" s="47">
        <f>IF(AND(H1880="Realizado",L1880&lt;&gt;""),L1880/60,0)</f>
        <v>0</v>
      </c>
      <c r="V1880" s="47">
        <f>IF(AND(H1880="Realizado",OR(L1880="",M1880="")),1,0)</f>
        <v>0</v>
      </c>
    </row>
    <row r="1881">
      <c r="A1881" s="43" t="n"/>
      <c r="B1881" s="44" t="n"/>
      <c r="C1881" s="38" t="n"/>
      <c r="D1881" s="38" t="n"/>
      <c r="E1881" s="37" t="n"/>
      <c r="F1881" s="38" t="n"/>
      <c r="G1881" s="38" t="n"/>
      <c r="H1881" s="38" t="n"/>
      <c r="I1881" s="38" t="n"/>
      <c r="J1881" s="38" t="n"/>
      <c r="K1881" s="37" t="n"/>
      <c r="L1881" s="39" t="n"/>
      <c r="M1881" s="40" t="n"/>
      <c r="N1881" s="30">
        <f>IF(A1881="","",MONTH(A1881))</f>
        <v/>
      </c>
      <c r="O1881" s="30">
        <f>IF(A1881="","",YEAR(A1881))</f>
        <v/>
      </c>
      <c r="P1881" s="30">
        <f>IF(A1881="","",CHOOSE(WEEKDAY(A1881,2),"Segunda","Terça","Quarta","Quinta","Sexta","Sábado","Domingo"))</f>
        <v/>
      </c>
      <c r="Q1881" s="30">
        <f>IF(B1881="","",IF(B1881&lt;TIME(12,0,0),"Manhã",IF(B1881&lt;TIME(18,0,0),"Tarde","Noite")))</f>
        <v/>
      </c>
      <c r="R1881" s="46">
        <f>IF(AND(H1881="Realizado",L1881&lt;&gt;"",A1881&lt;=Config!$B$9),L1881/60,0)</f>
        <v>0</v>
      </c>
      <c r="S1881" s="45">
        <f>IF(G1881="","",IFERROR(INDEX(Config!$K$5:$K$16,MATCH(G1881,Config!$J$5:$J$16,0)),""))</f>
        <v/>
      </c>
      <c r="T1881" s="31">
        <f>IF(OR(G1881="",F1881=""),"",IFERROR(INDEX(Config!$M$5:$R$16,MATCH(G1881,Config!$J$5:$J$16,0),MATCH(F1881,Config!$H$5:$H$10,0)),""))</f>
        <v/>
      </c>
      <c r="U1881" s="47">
        <f>IF(AND(H1881="Realizado",L1881&lt;&gt;""),L1881/60,0)</f>
        <v>0</v>
      </c>
      <c r="V1881" s="47">
        <f>IF(AND(H1881="Realizado",OR(L1881="",M1881="")),1,0)</f>
        <v>0</v>
      </c>
    </row>
    <row r="1882">
      <c r="A1882" s="43" t="n"/>
      <c r="B1882" s="44" t="n"/>
      <c r="C1882" s="38" t="n"/>
      <c r="D1882" s="38" t="n"/>
      <c r="E1882" s="37" t="n"/>
      <c r="F1882" s="38" t="n"/>
      <c r="G1882" s="38" t="n"/>
      <c r="H1882" s="38" t="n"/>
      <c r="I1882" s="38" t="n"/>
      <c r="J1882" s="38" t="n"/>
      <c r="K1882" s="37" t="n"/>
      <c r="L1882" s="39" t="n"/>
      <c r="M1882" s="40" t="n"/>
      <c r="N1882" s="30">
        <f>IF(A1882="","",MONTH(A1882))</f>
        <v/>
      </c>
      <c r="O1882" s="30">
        <f>IF(A1882="","",YEAR(A1882))</f>
        <v/>
      </c>
      <c r="P1882" s="30">
        <f>IF(A1882="","",CHOOSE(WEEKDAY(A1882,2),"Segunda","Terça","Quarta","Quinta","Sexta","Sábado","Domingo"))</f>
        <v/>
      </c>
      <c r="Q1882" s="30">
        <f>IF(B1882="","",IF(B1882&lt;TIME(12,0,0),"Manhã",IF(B1882&lt;TIME(18,0,0),"Tarde","Noite")))</f>
        <v/>
      </c>
      <c r="R1882" s="46">
        <f>IF(AND(H1882="Realizado",L1882&lt;&gt;"",A1882&lt;=Config!$B$9),L1882/60,0)</f>
        <v>0</v>
      </c>
      <c r="S1882" s="45">
        <f>IF(G1882="","",IFERROR(INDEX(Config!$K$5:$K$16,MATCH(G1882,Config!$J$5:$J$16,0)),""))</f>
        <v/>
      </c>
      <c r="T1882" s="31">
        <f>IF(OR(G1882="",F1882=""),"",IFERROR(INDEX(Config!$M$5:$R$16,MATCH(G1882,Config!$J$5:$J$16,0),MATCH(F1882,Config!$H$5:$H$10,0)),""))</f>
        <v/>
      </c>
      <c r="U1882" s="47">
        <f>IF(AND(H1882="Realizado",L1882&lt;&gt;""),L1882/60,0)</f>
        <v>0</v>
      </c>
      <c r="V1882" s="47">
        <f>IF(AND(H1882="Realizado",OR(L1882="",M1882="")),1,0)</f>
        <v>0</v>
      </c>
    </row>
    <row r="1883">
      <c r="A1883" s="43" t="n"/>
      <c r="B1883" s="44" t="n"/>
      <c r="C1883" s="38" t="n"/>
      <c r="D1883" s="38" t="n"/>
      <c r="E1883" s="37" t="n"/>
      <c r="F1883" s="38" t="n"/>
      <c r="G1883" s="38" t="n"/>
      <c r="H1883" s="38" t="n"/>
      <c r="I1883" s="38" t="n"/>
      <c r="J1883" s="38" t="n"/>
      <c r="K1883" s="37" t="n"/>
      <c r="L1883" s="39" t="n"/>
      <c r="M1883" s="40" t="n"/>
      <c r="N1883" s="30">
        <f>IF(A1883="","",MONTH(A1883))</f>
        <v/>
      </c>
      <c r="O1883" s="30">
        <f>IF(A1883="","",YEAR(A1883))</f>
        <v/>
      </c>
      <c r="P1883" s="30">
        <f>IF(A1883="","",CHOOSE(WEEKDAY(A1883,2),"Segunda","Terça","Quarta","Quinta","Sexta","Sábado","Domingo"))</f>
        <v/>
      </c>
      <c r="Q1883" s="30">
        <f>IF(B1883="","",IF(B1883&lt;TIME(12,0,0),"Manhã",IF(B1883&lt;TIME(18,0,0),"Tarde","Noite")))</f>
        <v/>
      </c>
      <c r="R1883" s="46">
        <f>IF(AND(H1883="Realizado",L1883&lt;&gt;"",A1883&lt;=Config!$B$9),L1883/60,0)</f>
        <v>0</v>
      </c>
      <c r="S1883" s="45">
        <f>IF(G1883="","",IFERROR(INDEX(Config!$K$5:$K$16,MATCH(G1883,Config!$J$5:$J$16,0)),""))</f>
        <v/>
      </c>
      <c r="T1883" s="31">
        <f>IF(OR(G1883="",F1883=""),"",IFERROR(INDEX(Config!$M$5:$R$16,MATCH(G1883,Config!$J$5:$J$16,0),MATCH(F1883,Config!$H$5:$H$10,0)),""))</f>
        <v/>
      </c>
      <c r="U1883" s="47">
        <f>IF(AND(H1883="Realizado",L1883&lt;&gt;""),L1883/60,0)</f>
        <v>0</v>
      </c>
      <c r="V1883" s="47">
        <f>IF(AND(H1883="Realizado",OR(L1883="",M1883="")),1,0)</f>
        <v>0</v>
      </c>
    </row>
    <row r="1884">
      <c r="A1884" s="43" t="n"/>
      <c r="B1884" s="44" t="n"/>
      <c r="C1884" s="38" t="n"/>
      <c r="D1884" s="38" t="n"/>
      <c r="E1884" s="37" t="n"/>
      <c r="F1884" s="38" t="n"/>
      <c r="G1884" s="38" t="n"/>
      <c r="H1884" s="38" t="n"/>
      <c r="I1884" s="38" t="n"/>
      <c r="J1884" s="38" t="n"/>
      <c r="K1884" s="37" t="n"/>
      <c r="L1884" s="39" t="n"/>
      <c r="M1884" s="40" t="n"/>
      <c r="N1884" s="30">
        <f>IF(A1884="","",MONTH(A1884))</f>
        <v/>
      </c>
      <c r="O1884" s="30">
        <f>IF(A1884="","",YEAR(A1884))</f>
        <v/>
      </c>
      <c r="P1884" s="30">
        <f>IF(A1884="","",CHOOSE(WEEKDAY(A1884,2),"Segunda","Terça","Quarta","Quinta","Sexta","Sábado","Domingo"))</f>
        <v/>
      </c>
      <c r="Q1884" s="30">
        <f>IF(B1884="","",IF(B1884&lt;TIME(12,0,0),"Manhã",IF(B1884&lt;TIME(18,0,0),"Tarde","Noite")))</f>
        <v/>
      </c>
      <c r="R1884" s="46">
        <f>IF(AND(H1884="Realizado",L1884&lt;&gt;"",A1884&lt;=Config!$B$9),L1884/60,0)</f>
        <v>0</v>
      </c>
      <c r="S1884" s="45">
        <f>IF(G1884="","",IFERROR(INDEX(Config!$K$5:$K$16,MATCH(G1884,Config!$J$5:$J$16,0)),""))</f>
        <v/>
      </c>
      <c r="T1884" s="31">
        <f>IF(OR(G1884="",F1884=""),"",IFERROR(INDEX(Config!$M$5:$R$16,MATCH(G1884,Config!$J$5:$J$16,0),MATCH(F1884,Config!$H$5:$H$10,0)),""))</f>
        <v/>
      </c>
      <c r="U1884" s="47">
        <f>IF(AND(H1884="Realizado",L1884&lt;&gt;""),L1884/60,0)</f>
        <v>0</v>
      </c>
      <c r="V1884" s="47">
        <f>IF(AND(H1884="Realizado",OR(L1884="",M1884="")),1,0)</f>
        <v>0</v>
      </c>
    </row>
    <row r="1885">
      <c r="A1885" s="43" t="n"/>
      <c r="B1885" s="44" t="n"/>
      <c r="C1885" s="38" t="n"/>
      <c r="D1885" s="38" t="n"/>
      <c r="E1885" s="37" t="n"/>
      <c r="F1885" s="38" t="n"/>
      <c r="G1885" s="38" t="n"/>
      <c r="H1885" s="38" t="n"/>
      <c r="I1885" s="38" t="n"/>
      <c r="J1885" s="38" t="n"/>
      <c r="K1885" s="37" t="n"/>
      <c r="L1885" s="39" t="n"/>
      <c r="M1885" s="40" t="n"/>
      <c r="N1885" s="30">
        <f>IF(A1885="","",MONTH(A1885))</f>
        <v/>
      </c>
      <c r="O1885" s="30">
        <f>IF(A1885="","",YEAR(A1885))</f>
        <v/>
      </c>
      <c r="P1885" s="30">
        <f>IF(A1885="","",CHOOSE(WEEKDAY(A1885,2),"Segunda","Terça","Quarta","Quinta","Sexta","Sábado","Domingo"))</f>
        <v/>
      </c>
      <c r="Q1885" s="30">
        <f>IF(B1885="","",IF(B1885&lt;TIME(12,0,0),"Manhã",IF(B1885&lt;TIME(18,0,0),"Tarde","Noite")))</f>
        <v/>
      </c>
      <c r="R1885" s="46">
        <f>IF(AND(H1885="Realizado",L1885&lt;&gt;"",A1885&lt;=Config!$B$9),L1885/60,0)</f>
        <v>0</v>
      </c>
      <c r="S1885" s="45">
        <f>IF(G1885="","",IFERROR(INDEX(Config!$K$5:$K$16,MATCH(G1885,Config!$J$5:$J$16,0)),""))</f>
        <v/>
      </c>
      <c r="T1885" s="31">
        <f>IF(OR(G1885="",F1885=""),"",IFERROR(INDEX(Config!$M$5:$R$16,MATCH(G1885,Config!$J$5:$J$16,0),MATCH(F1885,Config!$H$5:$H$10,0)),""))</f>
        <v/>
      </c>
      <c r="U1885" s="47">
        <f>IF(AND(H1885="Realizado",L1885&lt;&gt;""),L1885/60,0)</f>
        <v>0</v>
      </c>
      <c r="V1885" s="47">
        <f>IF(AND(H1885="Realizado",OR(L1885="",M1885="")),1,0)</f>
        <v>0</v>
      </c>
    </row>
    <row r="1886">
      <c r="A1886" s="43" t="n"/>
      <c r="B1886" s="44" t="n"/>
      <c r="C1886" s="38" t="n"/>
      <c r="D1886" s="38" t="n"/>
      <c r="E1886" s="37" t="n"/>
      <c r="F1886" s="38" t="n"/>
      <c r="G1886" s="38" t="n"/>
      <c r="H1886" s="38" t="n"/>
      <c r="I1886" s="38" t="n"/>
      <c r="J1886" s="38" t="n"/>
      <c r="K1886" s="37" t="n"/>
      <c r="L1886" s="39" t="n"/>
      <c r="M1886" s="40" t="n"/>
      <c r="N1886" s="30">
        <f>IF(A1886="","",MONTH(A1886))</f>
        <v/>
      </c>
      <c r="O1886" s="30">
        <f>IF(A1886="","",YEAR(A1886))</f>
        <v/>
      </c>
      <c r="P1886" s="30">
        <f>IF(A1886="","",CHOOSE(WEEKDAY(A1886,2),"Segunda","Terça","Quarta","Quinta","Sexta","Sábado","Domingo"))</f>
        <v/>
      </c>
      <c r="Q1886" s="30">
        <f>IF(B1886="","",IF(B1886&lt;TIME(12,0,0),"Manhã",IF(B1886&lt;TIME(18,0,0),"Tarde","Noite")))</f>
        <v/>
      </c>
      <c r="R1886" s="46">
        <f>IF(AND(H1886="Realizado",L1886&lt;&gt;"",A1886&lt;=Config!$B$9),L1886/60,0)</f>
        <v>0</v>
      </c>
      <c r="S1886" s="45">
        <f>IF(G1886="","",IFERROR(INDEX(Config!$K$5:$K$16,MATCH(G1886,Config!$J$5:$J$16,0)),""))</f>
        <v/>
      </c>
      <c r="T1886" s="31">
        <f>IF(OR(G1886="",F1886=""),"",IFERROR(INDEX(Config!$M$5:$R$16,MATCH(G1886,Config!$J$5:$J$16,0),MATCH(F1886,Config!$H$5:$H$10,0)),""))</f>
        <v/>
      </c>
      <c r="U1886" s="47">
        <f>IF(AND(H1886="Realizado",L1886&lt;&gt;""),L1886/60,0)</f>
        <v>0</v>
      </c>
      <c r="V1886" s="47">
        <f>IF(AND(H1886="Realizado",OR(L1886="",M1886="")),1,0)</f>
        <v>0</v>
      </c>
    </row>
    <row r="1887">
      <c r="A1887" s="43" t="n"/>
      <c r="B1887" s="44" t="n"/>
      <c r="C1887" s="38" t="n"/>
      <c r="D1887" s="38" t="n"/>
      <c r="E1887" s="37" t="n"/>
      <c r="F1887" s="38" t="n"/>
      <c r="G1887" s="38" t="n"/>
      <c r="H1887" s="38" t="n"/>
      <c r="I1887" s="38" t="n"/>
      <c r="J1887" s="38" t="n"/>
      <c r="K1887" s="37" t="n"/>
      <c r="L1887" s="39" t="n"/>
      <c r="M1887" s="40" t="n"/>
      <c r="N1887" s="30">
        <f>IF(A1887="","",MONTH(A1887))</f>
        <v/>
      </c>
      <c r="O1887" s="30">
        <f>IF(A1887="","",YEAR(A1887))</f>
        <v/>
      </c>
      <c r="P1887" s="30">
        <f>IF(A1887="","",CHOOSE(WEEKDAY(A1887,2),"Segunda","Terça","Quarta","Quinta","Sexta","Sábado","Domingo"))</f>
        <v/>
      </c>
      <c r="Q1887" s="30">
        <f>IF(B1887="","",IF(B1887&lt;TIME(12,0,0),"Manhã",IF(B1887&lt;TIME(18,0,0),"Tarde","Noite")))</f>
        <v/>
      </c>
      <c r="R1887" s="46">
        <f>IF(AND(H1887="Realizado",L1887&lt;&gt;"",A1887&lt;=Config!$B$9),L1887/60,0)</f>
        <v>0</v>
      </c>
      <c r="S1887" s="45">
        <f>IF(G1887="","",IFERROR(INDEX(Config!$K$5:$K$16,MATCH(G1887,Config!$J$5:$J$16,0)),""))</f>
        <v/>
      </c>
      <c r="T1887" s="31">
        <f>IF(OR(G1887="",F1887=""),"",IFERROR(INDEX(Config!$M$5:$R$16,MATCH(G1887,Config!$J$5:$J$16,0),MATCH(F1887,Config!$H$5:$H$10,0)),""))</f>
        <v/>
      </c>
      <c r="U1887" s="47">
        <f>IF(AND(H1887="Realizado",L1887&lt;&gt;""),L1887/60,0)</f>
        <v>0</v>
      </c>
      <c r="V1887" s="47">
        <f>IF(AND(H1887="Realizado",OR(L1887="",M1887="")),1,0)</f>
        <v>0</v>
      </c>
    </row>
    <row r="1888">
      <c r="A1888" s="43" t="n"/>
      <c r="B1888" s="44" t="n"/>
      <c r="C1888" s="38" t="n"/>
      <c r="D1888" s="38" t="n"/>
      <c r="E1888" s="37" t="n"/>
      <c r="F1888" s="38" t="n"/>
      <c r="G1888" s="38" t="n"/>
      <c r="H1888" s="38" t="n"/>
      <c r="I1888" s="38" t="n"/>
      <c r="J1888" s="38" t="n"/>
      <c r="K1888" s="37" t="n"/>
      <c r="L1888" s="39" t="n"/>
      <c r="M1888" s="40" t="n"/>
      <c r="N1888" s="30">
        <f>IF(A1888="","",MONTH(A1888))</f>
        <v/>
      </c>
      <c r="O1888" s="30">
        <f>IF(A1888="","",YEAR(A1888))</f>
        <v/>
      </c>
      <c r="P1888" s="30">
        <f>IF(A1888="","",CHOOSE(WEEKDAY(A1888,2),"Segunda","Terça","Quarta","Quinta","Sexta","Sábado","Domingo"))</f>
        <v/>
      </c>
      <c r="Q1888" s="30">
        <f>IF(B1888="","",IF(B1888&lt;TIME(12,0,0),"Manhã",IF(B1888&lt;TIME(18,0,0),"Tarde","Noite")))</f>
        <v/>
      </c>
      <c r="R1888" s="46">
        <f>IF(AND(H1888="Realizado",L1888&lt;&gt;"",A1888&lt;=Config!$B$9),L1888/60,0)</f>
        <v>0</v>
      </c>
      <c r="S1888" s="45">
        <f>IF(G1888="","",IFERROR(INDEX(Config!$K$5:$K$16,MATCH(G1888,Config!$J$5:$J$16,0)),""))</f>
        <v/>
      </c>
      <c r="T1888" s="31">
        <f>IF(OR(G1888="",F1888=""),"",IFERROR(INDEX(Config!$M$5:$R$16,MATCH(G1888,Config!$J$5:$J$16,0),MATCH(F1888,Config!$H$5:$H$10,0)),""))</f>
        <v/>
      </c>
      <c r="U1888" s="47">
        <f>IF(AND(H1888="Realizado",L1888&lt;&gt;""),L1888/60,0)</f>
        <v>0</v>
      </c>
      <c r="V1888" s="47">
        <f>IF(AND(H1888="Realizado",OR(L1888="",M1888="")),1,0)</f>
        <v>0</v>
      </c>
    </row>
    <row r="1889">
      <c r="A1889" s="43" t="n"/>
      <c r="B1889" s="44" t="n"/>
      <c r="C1889" s="38" t="n"/>
      <c r="D1889" s="38" t="n"/>
      <c r="E1889" s="37" t="n"/>
      <c r="F1889" s="38" t="n"/>
      <c r="G1889" s="38" t="n"/>
      <c r="H1889" s="38" t="n"/>
      <c r="I1889" s="38" t="n"/>
      <c r="J1889" s="38" t="n"/>
      <c r="K1889" s="37" t="n"/>
      <c r="L1889" s="39" t="n"/>
      <c r="M1889" s="40" t="n"/>
      <c r="N1889" s="30">
        <f>IF(A1889="","",MONTH(A1889))</f>
        <v/>
      </c>
      <c r="O1889" s="30">
        <f>IF(A1889="","",YEAR(A1889))</f>
        <v/>
      </c>
      <c r="P1889" s="30">
        <f>IF(A1889="","",CHOOSE(WEEKDAY(A1889,2),"Segunda","Terça","Quarta","Quinta","Sexta","Sábado","Domingo"))</f>
        <v/>
      </c>
      <c r="Q1889" s="30">
        <f>IF(B1889="","",IF(B1889&lt;TIME(12,0,0),"Manhã",IF(B1889&lt;TIME(18,0,0),"Tarde","Noite")))</f>
        <v/>
      </c>
      <c r="R1889" s="46">
        <f>IF(AND(H1889="Realizado",L1889&lt;&gt;"",A1889&lt;=Config!$B$9),L1889/60,0)</f>
        <v>0</v>
      </c>
      <c r="S1889" s="45">
        <f>IF(G1889="","",IFERROR(INDEX(Config!$K$5:$K$16,MATCH(G1889,Config!$J$5:$J$16,0)),""))</f>
        <v/>
      </c>
      <c r="T1889" s="31">
        <f>IF(OR(G1889="",F1889=""),"",IFERROR(INDEX(Config!$M$5:$R$16,MATCH(G1889,Config!$J$5:$J$16,0),MATCH(F1889,Config!$H$5:$H$10,0)),""))</f>
        <v/>
      </c>
      <c r="U1889" s="47">
        <f>IF(AND(H1889="Realizado",L1889&lt;&gt;""),L1889/60,0)</f>
        <v>0</v>
      </c>
      <c r="V1889" s="47">
        <f>IF(AND(H1889="Realizado",OR(L1889="",M1889="")),1,0)</f>
        <v>0</v>
      </c>
    </row>
    <row r="1890">
      <c r="A1890" s="43" t="n"/>
      <c r="B1890" s="44" t="n"/>
      <c r="C1890" s="38" t="n"/>
      <c r="D1890" s="38" t="n"/>
      <c r="E1890" s="37" t="n"/>
      <c r="F1890" s="38" t="n"/>
      <c r="G1890" s="38" t="n"/>
      <c r="H1890" s="38" t="n"/>
      <c r="I1890" s="38" t="n"/>
      <c r="J1890" s="38" t="n"/>
      <c r="K1890" s="37" t="n"/>
      <c r="L1890" s="39" t="n"/>
      <c r="M1890" s="40" t="n"/>
      <c r="N1890" s="30">
        <f>IF(A1890="","",MONTH(A1890))</f>
        <v/>
      </c>
      <c r="O1890" s="30">
        <f>IF(A1890="","",YEAR(A1890))</f>
        <v/>
      </c>
      <c r="P1890" s="30">
        <f>IF(A1890="","",CHOOSE(WEEKDAY(A1890,2),"Segunda","Terça","Quarta","Quinta","Sexta","Sábado","Domingo"))</f>
        <v/>
      </c>
      <c r="Q1890" s="30">
        <f>IF(B1890="","",IF(B1890&lt;TIME(12,0,0),"Manhã",IF(B1890&lt;TIME(18,0,0),"Tarde","Noite")))</f>
        <v/>
      </c>
      <c r="R1890" s="46">
        <f>IF(AND(H1890="Realizado",L1890&lt;&gt;"",A1890&lt;=Config!$B$9),L1890/60,0)</f>
        <v>0</v>
      </c>
      <c r="S1890" s="45">
        <f>IF(G1890="","",IFERROR(INDEX(Config!$K$5:$K$16,MATCH(G1890,Config!$J$5:$J$16,0)),""))</f>
        <v/>
      </c>
      <c r="T1890" s="31">
        <f>IF(OR(G1890="",F1890=""),"",IFERROR(INDEX(Config!$M$5:$R$16,MATCH(G1890,Config!$J$5:$J$16,0),MATCH(F1890,Config!$H$5:$H$10,0)),""))</f>
        <v/>
      </c>
      <c r="U1890" s="47">
        <f>IF(AND(H1890="Realizado",L1890&lt;&gt;""),L1890/60,0)</f>
        <v>0</v>
      </c>
      <c r="V1890" s="47">
        <f>IF(AND(H1890="Realizado",OR(L1890="",M1890="")),1,0)</f>
        <v>0</v>
      </c>
    </row>
    <row r="1891">
      <c r="A1891" s="43" t="n"/>
      <c r="B1891" s="44" t="n"/>
      <c r="C1891" s="38" t="n"/>
      <c r="D1891" s="38" t="n"/>
      <c r="E1891" s="37" t="n"/>
      <c r="F1891" s="38" t="n"/>
      <c r="G1891" s="38" t="n"/>
      <c r="H1891" s="38" t="n"/>
      <c r="I1891" s="38" t="n"/>
      <c r="J1891" s="38" t="n"/>
      <c r="K1891" s="37" t="n"/>
      <c r="L1891" s="39" t="n"/>
      <c r="M1891" s="40" t="n"/>
      <c r="N1891" s="30">
        <f>IF(A1891="","",MONTH(A1891))</f>
        <v/>
      </c>
      <c r="O1891" s="30">
        <f>IF(A1891="","",YEAR(A1891))</f>
        <v/>
      </c>
      <c r="P1891" s="30">
        <f>IF(A1891="","",CHOOSE(WEEKDAY(A1891,2),"Segunda","Terça","Quarta","Quinta","Sexta","Sábado","Domingo"))</f>
        <v/>
      </c>
      <c r="Q1891" s="30">
        <f>IF(B1891="","",IF(B1891&lt;TIME(12,0,0),"Manhã",IF(B1891&lt;TIME(18,0,0),"Tarde","Noite")))</f>
        <v/>
      </c>
      <c r="R1891" s="46">
        <f>IF(AND(H1891="Realizado",L1891&lt;&gt;"",A1891&lt;=Config!$B$9),L1891/60,0)</f>
        <v>0</v>
      </c>
      <c r="S1891" s="45">
        <f>IF(G1891="","",IFERROR(INDEX(Config!$K$5:$K$16,MATCH(G1891,Config!$J$5:$J$16,0)),""))</f>
        <v/>
      </c>
      <c r="T1891" s="31">
        <f>IF(OR(G1891="",F1891=""),"",IFERROR(INDEX(Config!$M$5:$R$16,MATCH(G1891,Config!$J$5:$J$16,0),MATCH(F1891,Config!$H$5:$H$10,0)),""))</f>
        <v/>
      </c>
      <c r="U1891" s="47">
        <f>IF(AND(H1891="Realizado",L1891&lt;&gt;""),L1891/60,0)</f>
        <v>0</v>
      </c>
      <c r="V1891" s="47">
        <f>IF(AND(H1891="Realizado",OR(L1891="",M1891="")),1,0)</f>
        <v>0</v>
      </c>
    </row>
    <row r="1892">
      <c r="A1892" s="43" t="n"/>
      <c r="B1892" s="44" t="n"/>
      <c r="C1892" s="38" t="n"/>
      <c r="D1892" s="38" t="n"/>
      <c r="E1892" s="37" t="n"/>
      <c r="F1892" s="38" t="n"/>
      <c r="G1892" s="38" t="n"/>
      <c r="H1892" s="38" t="n"/>
      <c r="I1892" s="38" t="n"/>
      <c r="J1892" s="38" t="n"/>
      <c r="K1892" s="37" t="n"/>
      <c r="L1892" s="39" t="n"/>
      <c r="M1892" s="40" t="n"/>
      <c r="N1892" s="30">
        <f>IF(A1892="","",MONTH(A1892))</f>
        <v/>
      </c>
      <c r="O1892" s="30">
        <f>IF(A1892="","",YEAR(A1892))</f>
        <v/>
      </c>
      <c r="P1892" s="30">
        <f>IF(A1892="","",CHOOSE(WEEKDAY(A1892,2),"Segunda","Terça","Quarta","Quinta","Sexta","Sábado","Domingo"))</f>
        <v/>
      </c>
      <c r="Q1892" s="30">
        <f>IF(B1892="","",IF(B1892&lt;TIME(12,0,0),"Manhã",IF(B1892&lt;TIME(18,0,0),"Tarde","Noite")))</f>
        <v/>
      </c>
      <c r="R1892" s="46">
        <f>IF(AND(H1892="Realizado",L1892&lt;&gt;"",A1892&lt;=Config!$B$9),L1892/60,0)</f>
        <v>0</v>
      </c>
      <c r="S1892" s="45">
        <f>IF(G1892="","",IFERROR(INDEX(Config!$K$5:$K$16,MATCH(G1892,Config!$J$5:$J$16,0)),""))</f>
        <v/>
      </c>
      <c r="T1892" s="31">
        <f>IF(OR(G1892="",F1892=""),"",IFERROR(INDEX(Config!$M$5:$R$16,MATCH(G1892,Config!$J$5:$J$16,0),MATCH(F1892,Config!$H$5:$H$10,0)),""))</f>
        <v/>
      </c>
      <c r="U1892" s="47">
        <f>IF(AND(H1892="Realizado",L1892&lt;&gt;""),L1892/60,0)</f>
        <v>0</v>
      </c>
      <c r="V1892" s="47">
        <f>IF(AND(H1892="Realizado",OR(L1892="",M1892="")),1,0)</f>
        <v>0</v>
      </c>
    </row>
    <row r="1893">
      <c r="A1893" s="43" t="n"/>
      <c r="B1893" s="44" t="n"/>
      <c r="C1893" s="38" t="n"/>
      <c r="D1893" s="38" t="n"/>
      <c r="E1893" s="37" t="n"/>
      <c r="F1893" s="38" t="n"/>
      <c r="G1893" s="38" t="n"/>
      <c r="H1893" s="38" t="n"/>
      <c r="I1893" s="38" t="n"/>
      <c r="J1893" s="38" t="n"/>
      <c r="K1893" s="37" t="n"/>
      <c r="L1893" s="39" t="n"/>
      <c r="M1893" s="40" t="n"/>
      <c r="N1893" s="30">
        <f>IF(A1893="","",MONTH(A1893))</f>
        <v/>
      </c>
      <c r="O1893" s="30">
        <f>IF(A1893="","",YEAR(A1893))</f>
        <v/>
      </c>
      <c r="P1893" s="30">
        <f>IF(A1893="","",CHOOSE(WEEKDAY(A1893,2),"Segunda","Terça","Quarta","Quinta","Sexta","Sábado","Domingo"))</f>
        <v/>
      </c>
      <c r="Q1893" s="30">
        <f>IF(B1893="","",IF(B1893&lt;TIME(12,0,0),"Manhã",IF(B1893&lt;TIME(18,0,0),"Tarde","Noite")))</f>
        <v/>
      </c>
      <c r="R1893" s="46">
        <f>IF(AND(H1893="Realizado",L1893&lt;&gt;"",A1893&lt;=Config!$B$9),L1893/60,0)</f>
        <v>0</v>
      </c>
      <c r="S1893" s="45">
        <f>IF(G1893="","",IFERROR(INDEX(Config!$K$5:$K$16,MATCH(G1893,Config!$J$5:$J$16,0)),""))</f>
        <v/>
      </c>
      <c r="T1893" s="31">
        <f>IF(OR(G1893="",F1893=""),"",IFERROR(INDEX(Config!$M$5:$R$16,MATCH(G1893,Config!$J$5:$J$16,0),MATCH(F1893,Config!$H$5:$H$10,0)),""))</f>
        <v/>
      </c>
      <c r="U1893" s="47">
        <f>IF(AND(H1893="Realizado",L1893&lt;&gt;""),L1893/60,0)</f>
        <v>0</v>
      </c>
      <c r="V1893" s="47">
        <f>IF(AND(H1893="Realizado",OR(L1893="",M1893="")),1,0)</f>
        <v>0</v>
      </c>
    </row>
    <row r="1894">
      <c r="A1894" s="43" t="n"/>
      <c r="B1894" s="44" t="n"/>
      <c r="C1894" s="38" t="n"/>
      <c r="D1894" s="38" t="n"/>
      <c r="E1894" s="37" t="n"/>
      <c r="F1894" s="38" t="n"/>
      <c r="G1894" s="38" t="n"/>
      <c r="H1894" s="38" t="n"/>
      <c r="I1894" s="38" t="n"/>
      <c r="J1894" s="38" t="n"/>
      <c r="K1894" s="37" t="n"/>
      <c r="L1894" s="39" t="n"/>
      <c r="M1894" s="40" t="n"/>
      <c r="N1894" s="30">
        <f>IF(A1894="","",MONTH(A1894))</f>
        <v/>
      </c>
      <c r="O1894" s="30">
        <f>IF(A1894="","",YEAR(A1894))</f>
        <v/>
      </c>
      <c r="P1894" s="30">
        <f>IF(A1894="","",CHOOSE(WEEKDAY(A1894,2),"Segunda","Terça","Quarta","Quinta","Sexta","Sábado","Domingo"))</f>
        <v/>
      </c>
      <c r="Q1894" s="30">
        <f>IF(B1894="","",IF(B1894&lt;TIME(12,0,0),"Manhã",IF(B1894&lt;TIME(18,0,0),"Tarde","Noite")))</f>
        <v/>
      </c>
      <c r="R1894" s="46">
        <f>IF(AND(H1894="Realizado",L1894&lt;&gt;"",A1894&lt;=Config!$B$9),L1894/60,0)</f>
        <v>0</v>
      </c>
      <c r="S1894" s="45">
        <f>IF(G1894="","",IFERROR(INDEX(Config!$K$5:$K$16,MATCH(G1894,Config!$J$5:$J$16,0)),""))</f>
        <v/>
      </c>
      <c r="T1894" s="31">
        <f>IF(OR(G1894="",F1894=""),"",IFERROR(INDEX(Config!$M$5:$R$16,MATCH(G1894,Config!$J$5:$J$16,0),MATCH(F1894,Config!$H$5:$H$10,0)),""))</f>
        <v/>
      </c>
      <c r="U1894" s="47">
        <f>IF(AND(H1894="Realizado",L1894&lt;&gt;""),L1894/60,0)</f>
        <v>0</v>
      </c>
      <c r="V1894" s="47">
        <f>IF(AND(H1894="Realizado",OR(L1894="",M1894="")),1,0)</f>
        <v>0</v>
      </c>
    </row>
    <row r="1895">
      <c r="A1895" s="43" t="n"/>
      <c r="B1895" s="44" t="n"/>
      <c r="C1895" s="38" t="n"/>
      <c r="D1895" s="38" t="n"/>
      <c r="E1895" s="37" t="n"/>
      <c r="F1895" s="38" t="n"/>
      <c r="G1895" s="38" t="n"/>
      <c r="H1895" s="38" t="n"/>
      <c r="I1895" s="38" t="n"/>
      <c r="J1895" s="38" t="n"/>
      <c r="K1895" s="37" t="n"/>
      <c r="L1895" s="39" t="n"/>
      <c r="M1895" s="40" t="n"/>
      <c r="N1895" s="30">
        <f>IF(A1895="","",MONTH(A1895))</f>
        <v/>
      </c>
      <c r="O1895" s="30">
        <f>IF(A1895="","",YEAR(A1895))</f>
        <v/>
      </c>
      <c r="P1895" s="30">
        <f>IF(A1895="","",CHOOSE(WEEKDAY(A1895,2),"Segunda","Terça","Quarta","Quinta","Sexta","Sábado","Domingo"))</f>
        <v/>
      </c>
      <c r="Q1895" s="30">
        <f>IF(B1895="","",IF(B1895&lt;TIME(12,0,0),"Manhã",IF(B1895&lt;TIME(18,0,0),"Tarde","Noite")))</f>
        <v/>
      </c>
      <c r="R1895" s="46">
        <f>IF(AND(H1895="Realizado",L1895&lt;&gt;"",A1895&lt;=Config!$B$9),L1895/60,0)</f>
        <v>0</v>
      </c>
      <c r="S1895" s="45">
        <f>IF(G1895="","",IFERROR(INDEX(Config!$K$5:$K$16,MATCH(G1895,Config!$J$5:$J$16,0)),""))</f>
        <v/>
      </c>
      <c r="T1895" s="31">
        <f>IF(OR(G1895="",F1895=""),"",IFERROR(INDEX(Config!$M$5:$R$16,MATCH(G1895,Config!$J$5:$J$16,0),MATCH(F1895,Config!$H$5:$H$10,0)),""))</f>
        <v/>
      </c>
      <c r="U1895" s="47">
        <f>IF(AND(H1895="Realizado",L1895&lt;&gt;""),L1895/60,0)</f>
        <v>0</v>
      </c>
      <c r="V1895" s="47">
        <f>IF(AND(H1895="Realizado",OR(L1895="",M1895="")),1,0)</f>
        <v>0</v>
      </c>
    </row>
    <row r="1896">
      <c r="A1896" s="43" t="n"/>
      <c r="B1896" s="44" t="n"/>
      <c r="C1896" s="38" t="n"/>
      <c r="D1896" s="38" t="n"/>
      <c r="E1896" s="37" t="n"/>
      <c r="F1896" s="38" t="n"/>
      <c r="G1896" s="38" t="n"/>
      <c r="H1896" s="38" t="n"/>
      <c r="I1896" s="38" t="n"/>
      <c r="J1896" s="38" t="n"/>
      <c r="K1896" s="37" t="n"/>
      <c r="L1896" s="39" t="n"/>
      <c r="M1896" s="40" t="n"/>
      <c r="N1896" s="30">
        <f>IF(A1896="","",MONTH(A1896))</f>
        <v/>
      </c>
      <c r="O1896" s="30">
        <f>IF(A1896="","",YEAR(A1896))</f>
        <v/>
      </c>
      <c r="P1896" s="30">
        <f>IF(A1896="","",CHOOSE(WEEKDAY(A1896,2),"Segunda","Terça","Quarta","Quinta","Sexta","Sábado","Domingo"))</f>
        <v/>
      </c>
      <c r="Q1896" s="30">
        <f>IF(B1896="","",IF(B1896&lt;TIME(12,0,0),"Manhã",IF(B1896&lt;TIME(18,0,0),"Tarde","Noite")))</f>
        <v/>
      </c>
      <c r="R1896" s="46">
        <f>IF(AND(H1896="Realizado",L1896&lt;&gt;"",A1896&lt;=Config!$B$9),L1896/60,0)</f>
        <v>0</v>
      </c>
      <c r="S1896" s="45">
        <f>IF(G1896="","",IFERROR(INDEX(Config!$K$5:$K$16,MATCH(G1896,Config!$J$5:$J$16,0)),""))</f>
        <v/>
      </c>
      <c r="T1896" s="31">
        <f>IF(OR(G1896="",F1896=""),"",IFERROR(INDEX(Config!$M$5:$R$16,MATCH(G1896,Config!$J$5:$J$16,0),MATCH(F1896,Config!$H$5:$H$10,0)),""))</f>
        <v/>
      </c>
      <c r="U1896" s="47">
        <f>IF(AND(H1896="Realizado",L1896&lt;&gt;""),L1896/60,0)</f>
        <v>0</v>
      </c>
      <c r="V1896" s="47">
        <f>IF(AND(H1896="Realizado",OR(L1896="",M1896="")),1,0)</f>
        <v>0</v>
      </c>
    </row>
    <row r="1897">
      <c r="A1897" s="43" t="n"/>
      <c r="B1897" s="44" t="n"/>
      <c r="C1897" s="38" t="n"/>
      <c r="D1897" s="38" t="n"/>
      <c r="E1897" s="37" t="n"/>
      <c r="F1897" s="38" t="n"/>
      <c r="G1897" s="38" t="n"/>
      <c r="H1897" s="38" t="n"/>
      <c r="I1897" s="38" t="n"/>
      <c r="J1897" s="38" t="n"/>
      <c r="K1897" s="37" t="n"/>
      <c r="L1897" s="39" t="n"/>
      <c r="M1897" s="40" t="n"/>
      <c r="N1897" s="30">
        <f>IF(A1897="","",MONTH(A1897))</f>
        <v/>
      </c>
      <c r="O1897" s="30">
        <f>IF(A1897="","",YEAR(A1897))</f>
        <v/>
      </c>
      <c r="P1897" s="30">
        <f>IF(A1897="","",CHOOSE(WEEKDAY(A1897,2),"Segunda","Terça","Quarta","Quinta","Sexta","Sábado","Domingo"))</f>
        <v/>
      </c>
      <c r="Q1897" s="30">
        <f>IF(B1897="","",IF(B1897&lt;TIME(12,0,0),"Manhã",IF(B1897&lt;TIME(18,0,0),"Tarde","Noite")))</f>
        <v/>
      </c>
      <c r="R1897" s="46">
        <f>IF(AND(H1897="Realizado",L1897&lt;&gt;"",A1897&lt;=Config!$B$9),L1897/60,0)</f>
        <v>0</v>
      </c>
      <c r="S1897" s="45">
        <f>IF(G1897="","",IFERROR(INDEX(Config!$K$5:$K$16,MATCH(G1897,Config!$J$5:$J$16,0)),""))</f>
        <v/>
      </c>
      <c r="T1897" s="31">
        <f>IF(OR(G1897="",F1897=""),"",IFERROR(INDEX(Config!$M$5:$R$16,MATCH(G1897,Config!$J$5:$J$16,0),MATCH(F1897,Config!$H$5:$H$10,0)),""))</f>
        <v/>
      </c>
      <c r="U1897" s="47">
        <f>IF(AND(H1897="Realizado",L1897&lt;&gt;""),L1897/60,0)</f>
        <v>0</v>
      </c>
      <c r="V1897" s="47">
        <f>IF(AND(H1897="Realizado",OR(L1897="",M1897="")),1,0)</f>
        <v>0</v>
      </c>
    </row>
    <row r="1898">
      <c r="A1898" s="43" t="n"/>
      <c r="B1898" s="44" t="n"/>
      <c r="C1898" s="38" t="n"/>
      <c r="D1898" s="38" t="n"/>
      <c r="E1898" s="37" t="n"/>
      <c r="F1898" s="38" t="n"/>
      <c r="G1898" s="38" t="n"/>
      <c r="H1898" s="38" t="n"/>
      <c r="I1898" s="38" t="n"/>
      <c r="J1898" s="38" t="n"/>
      <c r="K1898" s="37" t="n"/>
      <c r="L1898" s="39" t="n"/>
      <c r="M1898" s="40" t="n"/>
      <c r="N1898" s="30">
        <f>IF(A1898="","",MONTH(A1898))</f>
        <v/>
      </c>
      <c r="O1898" s="30">
        <f>IF(A1898="","",YEAR(A1898))</f>
        <v/>
      </c>
      <c r="P1898" s="30">
        <f>IF(A1898="","",CHOOSE(WEEKDAY(A1898,2),"Segunda","Terça","Quarta","Quinta","Sexta","Sábado","Domingo"))</f>
        <v/>
      </c>
      <c r="Q1898" s="30">
        <f>IF(B1898="","",IF(B1898&lt;TIME(12,0,0),"Manhã",IF(B1898&lt;TIME(18,0,0),"Tarde","Noite")))</f>
        <v/>
      </c>
      <c r="R1898" s="46">
        <f>IF(AND(H1898="Realizado",L1898&lt;&gt;"",A1898&lt;=Config!$B$9),L1898/60,0)</f>
        <v>0</v>
      </c>
      <c r="S1898" s="45">
        <f>IF(G1898="","",IFERROR(INDEX(Config!$K$5:$K$16,MATCH(G1898,Config!$J$5:$J$16,0)),""))</f>
        <v/>
      </c>
      <c r="T1898" s="31">
        <f>IF(OR(G1898="",F1898=""),"",IFERROR(INDEX(Config!$M$5:$R$16,MATCH(G1898,Config!$J$5:$J$16,0),MATCH(F1898,Config!$H$5:$H$10,0)),""))</f>
        <v/>
      </c>
      <c r="U1898" s="47">
        <f>IF(AND(H1898="Realizado",L1898&lt;&gt;""),L1898/60,0)</f>
        <v>0</v>
      </c>
      <c r="V1898" s="47">
        <f>IF(AND(H1898="Realizado",OR(L1898="",M1898="")),1,0)</f>
        <v>0</v>
      </c>
    </row>
    <row r="1899">
      <c r="A1899" s="43" t="n"/>
      <c r="B1899" s="44" t="n"/>
      <c r="C1899" s="38" t="n"/>
      <c r="D1899" s="38" t="n"/>
      <c r="E1899" s="37" t="n"/>
      <c r="F1899" s="38" t="n"/>
      <c r="G1899" s="38" t="n"/>
      <c r="H1899" s="38" t="n"/>
      <c r="I1899" s="38" t="n"/>
      <c r="J1899" s="38" t="n"/>
      <c r="K1899" s="37" t="n"/>
      <c r="L1899" s="39" t="n"/>
      <c r="M1899" s="40" t="n"/>
      <c r="N1899" s="30">
        <f>IF(A1899="","",MONTH(A1899))</f>
        <v/>
      </c>
      <c r="O1899" s="30">
        <f>IF(A1899="","",YEAR(A1899))</f>
        <v/>
      </c>
      <c r="P1899" s="30">
        <f>IF(A1899="","",CHOOSE(WEEKDAY(A1899,2),"Segunda","Terça","Quarta","Quinta","Sexta","Sábado","Domingo"))</f>
        <v/>
      </c>
      <c r="Q1899" s="30">
        <f>IF(B1899="","",IF(B1899&lt;TIME(12,0,0),"Manhã",IF(B1899&lt;TIME(18,0,0),"Tarde","Noite")))</f>
        <v/>
      </c>
      <c r="R1899" s="46">
        <f>IF(AND(H1899="Realizado",L1899&lt;&gt;"",A1899&lt;=Config!$B$9),L1899/60,0)</f>
        <v>0</v>
      </c>
      <c r="S1899" s="45">
        <f>IF(G1899="","",IFERROR(INDEX(Config!$K$5:$K$16,MATCH(G1899,Config!$J$5:$J$16,0)),""))</f>
        <v/>
      </c>
      <c r="T1899" s="31">
        <f>IF(OR(G1899="",F1899=""),"",IFERROR(INDEX(Config!$M$5:$R$16,MATCH(G1899,Config!$J$5:$J$16,0),MATCH(F1899,Config!$H$5:$H$10,0)),""))</f>
        <v/>
      </c>
      <c r="U1899" s="47">
        <f>IF(AND(H1899="Realizado",L1899&lt;&gt;""),L1899/60,0)</f>
        <v>0</v>
      </c>
      <c r="V1899" s="47">
        <f>IF(AND(H1899="Realizado",OR(L1899="",M1899="")),1,0)</f>
        <v>0</v>
      </c>
    </row>
    <row r="1900">
      <c r="A1900" s="43" t="n"/>
      <c r="B1900" s="44" t="n"/>
      <c r="C1900" s="38" t="n"/>
      <c r="D1900" s="38" t="n"/>
      <c r="E1900" s="37" t="n"/>
      <c r="F1900" s="38" t="n"/>
      <c r="G1900" s="38" t="n"/>
      <c r="H1900" s="38" t="n"/>
      <c r="I1900" s="38" t="n"/>
      <c r="J1900" s="38" t="n"/>
      <c r="K1900" s="37" t="n"/>
      <c r="L1900" s="39" t="n"/>
      <c r="M1900" s="40" t="n"/>
      <c r="N1900" s="30">
        <f>IF(A1900="","",MONTH(A1900))</f>
        <v/>
      </c>
      <c r="O1900" s="30">
        <f>IF(A1900="","",YEAR(A1900))</f>
        <v/>
      </c>
      <c r="P1900" s="30">
        <f>IF(A1900="","",CHOOSE(WEEKDAY(A1900,2),"Segunda","Terça","Quarta","Quinta","Sexta","Sábado","Domingo"))</f>
        <v/>
      </c>
      <c r="Q1900" s="30">
        <f>IF(B1900="","",IF(B1900&lt;TIME(12,0,0),"Manhã",IF(B1900&lt;TIME(18,0,0),"Tarde","Noite")))</f>
        <v/>
      </c>
      <c r="R1900" s="46">
        <f>IF(AND(H1900="Realizado",L1900&lt;&gt;"",A1900&lt;=Config!$B$9),L1900/60,0)</f>
        <v>0</v>
      </c>
      <c r="S1900" s="45">
        <f>IF(G1900="","",IFERROR(INDEX(Config!$K$5:$K$16,MATCH(G1900,Config!$J$5:$J$16,0)),""))</f>
        <v/>
      </c>
      <c r="T1900" s="31">
        <f>IF(OR(G1900="",F1900=""),"",IFERROR(INDEX(Config!$M$5:$R$16,MATCH(G1900,Config!$J$5:$J$16,0),MATCH(F1900,Config!$H$5:$H$10,0)),""))</f>
        <v/>
      </c>
      <c r="U1900" s="47">
        <f>IF(AND(H1900="Realizado",L1900&lt;&gt;""),L1900/60,0)</f>
        <v>0</v>
      </c>
      <c r="V1900" s="47">
        <f>IF(AND(H1900="Realizado",OR(L1900="",M1900="")),1,0)</f>
        <v>0</v>
      </c>
    </row>
    <row r="1901">
      <c r="A1901" s="43" t="n"/>
      <c r="B1901" s="44" t="n"/>
      <c r="C1901" s="38" t="n"/>
      <c r="D1901" s="38" t="n"/>
      <c r="E1901" s="37" t="n"/>
      <c r="F1901" s="38" t="n"/>
      <c r="G1901" s="38" t="n"/>
      <c r="H1901" s="38" t="n"/>
      <c r="I1901" s="38" t="n"/>
      <c r="J1901" s="38" t="n"/>
      <c r="K1901" s="37" t="n"/>
      <c r="L1901" s="39" t="n"/>
      <c r="M1901" s="40" t="n"/>
      <c r="N1901" s="30">
        <f>IF(A1901="","",MONTH(A1901))</f>
        <v/>
      </c>
      <c r="O1901" s="30">
        <f>IF(A1901="","",YEAR(A1901))</f>
        <v/>
      </c>
      <c r="P1901" s="30">
        <f>IF(A1901="","",CHOOSE(WEEKDAY(A1901,2),"Segunda","Terça","Quarta","Quinta","Sexta","Sábado","Domingo"))</f>
        <v/>
      </c>
      <c r="Q1901" s="30">
        <f>IF(B1901="","",IF(B1901&lt;TIME(12,0,0),"Manhã",IF(B1901&lt;TIME(18,0,0),"Tarde","Noite")))</f>
        <v/>
      </c>
      <c r="R1901" s="46">
        <f>IF(AND(H1901="Realizado",L1901&lt;&gt;"",A1901&lt;=Config!$B$9),L1901/60,0)</f>
        <v>0</v>
      </c>
      <c r="S1901" s="45">
        <f>IF(G1901="","",IFERROR(INDEX(Config!$K$5:$K$16,MATCH(G1901,Config!$J$5:$J$16,0)),""))</f>
        <v/>
      </c>
      <c r="T1901" s="31">
        <f>IF(OR(G1901="",F1901=""),"",IFERROR(INDEX(Config!$M$5:$R$16,MATCH(G1901,Config!$J$5:$J$16,0),MATCH(F1901,Config!$H$5:$H$10,0)),""))</f>
        <v/>
      </c>
      <c r="U1901" s="47">
        <f>IF(AND(H1901="Realizado",L1901&lt;&gt;""),L1901/60,0)</f>
        <v>0</v>
      </c>
      <c r="V1901" s="47">
        <f>IF(AND(H1901="Realizado",OR(L1901="",M1901="")),1,0)</f>
        <v>0</v>
      </c>
    </row>
    <row r="1902">
      <c r="A1902" s="43" t="n"/>
      <c r="B1902" s="44" t="n"/>
      <c r="C1902" s="38" t="n"/>
      <c r="D1902" s="38" t="n"/>
      <c r="E1902" s="37" t="n"/>
      <c r="F1902" s="38" t="n"/>
      <c r="G1902" s="38" t="n"/>
      <c r="H1902" s="38" t="n"/>
      <c r="I1902" s="38" t="n"/>
      <c r="J1902" s="38" t="n"/>
      <c r="K1902" s="37" t="n"/>
      <c r="L1902" s="39" t="n"/>
      <c r="M1902" s="40" t="n"/>
      <c r="N1902" s="30">
        <f>IF(A1902="","",MONTH(A1902))</f>
        <v/>
      </c>
      <c r="O1902" s="30">
        <f>IF(A1902="","",YEAR(A1902))</f>
        <v/>
      </c>
      <c r="P1902" s="30">
        <f>IF(A1902="","",CHOOSE(WEEKDAY(A1902,2),"Segunda","Terça","Quarta","Quinta","Sexta","Sábado","Domingo"))</f>
        <v/>
      </c>
      <c r="Q1902" s="30">
        <f>IF(B1902="","",IF(B1902&lt;TIME(12,0,0),"Manhã",IF(B1902&lt;TIME(18,0,0),"Tarde","Noite")))</f>
        <v/>
      </c>
      <c r="R1902" s="46">
        <f>IF(AND(H1902="Realizado",L1902&lt;&gt;"",A1902&lt;=Config!$B$9),L1902/60,0)</f>
        <v>0</v>
      </c>
      <c r="S1902" s="45">
        <f>IF(G1902="","",IFERROR(INDEX(Config!$K$5:$K$16,MATCH(G1902,Config!$J$5:$J$16,0)),""))</f>
        <v/>
      </c>
      <c r="T1902" s="31">
        <f>IF(OR(G1902="",F1902=""),"",IFERROR(INDEX(Config!$M$5:$R$16,MATCH(G1902,Config!$J$5:$J$16,0),MATCH(F1902,Config!$H$5:$H$10,0)),""))</f>
        <v/>
      </c>
      <c r="U1902" s="47">
        <f>IF(AND(H1902="Realizado",L1902&lt;&gt;""),L1902/60,0)</f>
        <v>0</v>
      </c>
      <c r="V1902" s="47">
        <f>IF(AND(H1902="Realizado",OR(L1902="",M1902="")),1,0)</f>
        <v>0</v>
      </c>
    </row>
    <row r="1903">
      <c r="A1903" s="43" t="n"/>
      <c r="B1903" s="44" t="n"/>
      <c r="C1903" s="38" t="n"/>
      <c r="D1903" s="38" t="n"/>
      <c r="E1903" s="37" t="n"/>
      <c r="F1903" s="38" t="n"/>
      <c r="G1903" s="38" t="n"/>
      <c r="H1903" s="38" t="n"/>
      <c r="I1903" s="38" t="n"/>
      <c r="J1903" s="38" t="n"/>
      <c r="K1903" s="37" t="n"/>
      <c r="L1903" s="39" t="n"/>
      <c r="M1903" s="40" t="n"/>
      <c r="N1903" s="30">
        <f>IF(A1903="","",MONTH(A1903))</f>
        <v/>
      </c>
      <c r="O1903" s="30">
        <f>IF(A1903="","",YEAR(A1903))</f>
        <v/>
      </c>
      <c r="P1903" s="30">
        <f>IF(A1903="","",CHOOSE(WEEKDAY(A1903,2),"Segunda","Terça","Quarta","Quinta","Sexta","Sábado","Domingo"))</f>
        <v/>
      </c>
      <c r="Q1903" s="30">
        <f>IF(B1903="","",IF(B1903&lt;TIME(12,0,0),"Manhã",IF(B1903&lt;TIME(18,0,0),"Tarde","Noite")))</f>
        <v/>
      </c>
      <c r="R1903" s="46">
        <f>IF(AND(H1903="Realizado",L1903&lt;&gt;"",A1903&lt;=Config!$B$9),L1903/60,0)</f>
        <v>0</v>
      </c>
      <c r="S1903" s="45">
        <f>IF(G1903="","",IFERROR(INDEX(Config!$K$5:$K$16,MATCH(G1903,Config!$J$5:$J$16,0)),""))</f>
        <v/>
      </c>
      <c r="T1903" s="31">
        <f>IF(OR(G1903="",F1903=""),"",IFERROR(INDEX(Config!$M$5:$R$16,MATCH(G1903,Config!$J$5:$J$16,0),MATCH(F1903,Config!$H$5:$H$10,0)),""))</f>
        <v/>
      </c>
      <c r="U1903" s="47">
        <f>IF(AND(H1903="Realizado",L1903&lt;&gt;""),L1903/60,0)</f>
        <v>0</v>
      </c>
      <c r="V1903" s="47">
        <f>IF(AND(H1903="Realizado",OR(L1903="",M1903="")),1,0)</f>
        <v>0</v>
      </c>
    </row>
    <row r="1904">
      <c r="A1904" s="43" t="n"/>
      <c r="B1904" s="44" t="n"/>
      <c r="C1904" s="38" t="n"/>
      <c r="D1904" s="38" t="n"/>
      <c r="E1904" s="37" t="n"/>
      <c r="F1904" s="38" t="n"/>
      <c r="G1904" s="38" t="n"/>
      <c r="H1904" s="38" t="n"/>
      <c r="I1904" s="38" t="n"/>
      <c r="J1904" s="38" t="n"/>
      <c r="K1904" s="37" t="n"/>
      <c r="L1904" s="39" t="n"/>
      <c r="M1904" s="40" t="n"/>
      <c r="N1904" s="30">
        <f>IF(A1904="","",MONTH(A1904))</f>
        <v/>
      </c>
      <c r="O1904" s="30">
        <f>IF(A1904="","",YEAR(A1904))</f>
        <v/>
      </c>
      <c r="P1904" s="30">
        <f>IF(A1904="","",CHOOSE(WEEKDAY(A1904,2),"Segunda","Terça","Quarta","Quinta","Sexta","Sábado","Domingo"))</f>
        <v/>
      </c>
      <c r="Q1904" s="30">
        <f>IF(B1904="","",IF(B1904&lt;TIME(12,0,0),"Manhã",IF(B1904&lt;TIME(18,0,0),"Tarde","Noite")))</f>
        <v/>
      </c>
      <c r="R1904" s="46">
        <f>IF(AND(H1904="Realizado",L1904&lt;&gt;"",A1904&lt;=Config!$B$9),L1904/60,0)</f>
        <v>0</v>
      </c>
      <c r="S1904" s="45">
        <f>IF(G1904="","",IFERROR(INDEX(Config!$K$5:$K$16,MATCH(G1904,Config!$J$5:$J$16,0)),""))</f>
        <v/>
      </c>
      <c r="T1904" s="31">
        <f>IF(OR(G1904="",F1904=""),"",IFERROR(INDEX(Config!$M$5:$R$16,MATCH(G1904,Config!$J$5:$J$16,0),MATCH(F1904,Config!$H$5:$H$10,0)),""))</f>
        <v/>
      </c>
      <c r="U1904" s="47">
        <f>IF(AND(H1904="Realizado",L1904&lt;&gt;""),L1904/60,0)</f>
        <v>0</v>
      </c>
      <c r="V1904" s="47">
        <f>IF(AND(H1904="Realizado",OR(L1904="",M1904="")),1,0)</f>
        <v>0</v>
      </c>
    </row>
    <row r="1905">
      <c r="A1905" s="43" t="n"/>
      <c r="B1905" s="44" t="n"/>
      <c r="C1905" s="38" t="n"/>
      <c r="D1905" s="38" t="n"/>
      <c r="E1905" s="37" t="n"/>
      <c r="F1905" s="38" t="n"/>
      <c r="G1905" s="38" t="n"/>
      <c r="H1905" s="38" t="n"/>
      <c r="I1905" s="38" t="n"/>
      <c r="J1905" s="38" t="n"/>
      <c r="K1905" s="37" t="n"/>
      <c r="L1905" s="39" t="n"/>
      <c r="M1905" s="40" t="n"/>
      <c r="N1905" s="30">
        <f>IF(A1905="","",MONTH(A1905))</f>
        <v/>
      </c>
      <c r="O1905" s="30">
        <f>IF(A1905="","",YEAR(A1905))</f>
        <v/>
      </c>
      <c r="P1905" s="30">
        <f>IF(A1905="","",CHOOSE(WEEKDAY(A1905,2),"Segunda","Terça","Quarta","Quinta","Sexta","Sábado","Domingo"))</f>
        <v/>
      </c>
      <c r="Q1905" s="30">
        <f>IF(B1905="","",IF(B1905&lt;TIME(12,0,0),"Manhã",IF(B1905&lt;TIME(18,0,0),"Tarde","Noite")))</f>
        <v/>
      </c>
      <c r="R1905" s="46">
        <f>IF(AND(H1905="Realizado",L1905&lt;&gt;"",A1905&lt;=Config!$B$9),L1905/60,0)</f>
        <v>0</v>
      </c>
      <c r="S1905" s="45">
        <f>IF(G1905="","",IFERROR(INDEX(Config!$K$5:$K$16,MATCH(G1905,Config!$J$5:$J$16,0)),""))</f>
        <v/>
      </c>
      <c r="T1905" s="31">
        <f>IF(OR(G1905="",F1905=""),"",IFERROR(INDEX(Config!$M$5:$R$16,MATCH(G1905,Config!$J$5:$J$16,0),MATCH(F1905,Config!$H$5:$H$10,0)),""))</f>
        <v/>
      </c>
      <c r="U1905" s="47">
        <f>IF(AND(H1905="Realizado",L1905&lt;&gt;""),L1905/60,0)</f>
        <v>0</v>
      </c>
      <c r="V1905" s="47">
        <f>IF(AND(H1905="Realizado",OR(L1905="",M1905="")),1,0)</f>
        <v>0</v>
      </c>
    </row>
    <row r="1906">
      <c r="A1906" s="43" t="n"/>
      <c r="B1906" s="44" t="n"/>
      <c r="C1906" s="38" t="n"/>
      <c r="D1906" s="38" t="n"/>
      <c r="E1906" s="37" t="n"/>
      <c r="F1906" s="38" t="n"/>
      <c r="G1906" s="38" t="n"/>
      <c r="H1906" s="38" t="n"/>
      <c r="I1906" s="38" t="n"/>
      <c r="J1906" s="38" t="n"/>
      <c r="K1906" s="37" t="n"/>
      <c r="L1906" s="39" t="n"/>
      <c r="M1906" s="40" t="n"/>
      <c r="N1906" s="30">
        <f>IF(A1906="","",MONTH(A1906))</f>
        <v/>
      </c>
      <c r="O1906" s="30">
        <f>IF(A1906="","",YEAR(A1906))</f>
        <v/>
      </c>
      <c r="P1906" s="30">
        <f>IF(A1906="","",CHOOSE(WEEKDAY(A1906,2),"Segunda","Terça","Quarta","Quinta","Sexta","Sábado","Domingo"))</f>
        <v/>
      </c>
      <c r="Q1906" s="30">
        <f>IF(B1906="","",IF(B1906&lt;TIME(12,0,0),"Manhã",IF(B1906&lt;TIME(18,0,0),"Tarde","Noite")))</f>
        <v/>
      </c>
      <c r="R1906" s="46">
        <f>IF(AND(H1906="Realizado",L1906&lt;&gt;"",A1906&lt;=Config!$B$9),L1906/60,0)</f>
        <v>0</v>
      </c>
      <c r="S1906" s="45">
        <f>IF(G1906="","",IFERROR(INDEX(Config!$K$5:$K$16,MATCH(G1906,Config!$J$5:$J$16,0)),""))</f>
        <v/>
      </c>
      <c r="T1906" s="31">
        <f>IF(OR(G1906="",F1906=""),"",IFERROR(INDEX(Config!$M$5:$R$16,MATCH(G1906,Config!$J$5:$J$16,0),MATCH(F1906,Config!$H$5:$H$10,0)),""))</f>
        <v/>
      </c>
      <c r="U1906" s="47">
        <f>IF(AND(H1906="Realizado",L1906&lt;&gt;""),L1906/60,0)</f>
        <v>0</v>
      </c>
      <c r="V1906" s="47">
        <f>IF(AND(H1906="Realizado",OR(L1906="",M1906="")),1,0)</f>
        <v>0</v>
      </c>
    </row>
    <row r="1907">
      <c r="A1907" s="43" t="n"/>
      <c r="B1907" s="44" t="n"/>
      <c r="C1907" s="38" t="n"/>
      <c r="D1907" s="38" t="n"/>
      <c r="E1907" s="37" t="n"/>
      <c r="F1907" s="38" t="n"/>
      <c r="G1907" s="38" t="n"/>
      <c r="H1907" s="38" t="n"/>
      <c r="I1907" s="38" t="n"/>
      <c r="J1907" s="38" t="n"/>
      <c r="K1907" s="37" t="n"/>
      <c r="L1907" s="39" t="n"/>
      <c r="M1907" s="40" t="n"/>
      <c r="N1907" s="30">
        <f>IF(A1907="","",MONTH(A1907))</f>
        <v/>
      </c>
      <c r="O1907" s="30">
        <f>IF(A1907="","",YEAR(A1907))</f>
        <v/>
      </c>
      <c r="P1907" s="30">
        <f>IF(A1907="","",CHOOSE(WEEKDAY(A1907,2),"Segunda","Terça","Quarta","Quinta","Sexta","Sábado","Domingo"))</f>
        <v/>
      </c>
      <c r="Q1907" s="30">
        <f>IF(B1907="","",IF(B1907&lt;TIME(12,0,0),"Manhã",IF(B1907&lt;TIME(18,0,0),"Tarde","Noite")))</f>
        <v/>
      </c>
      <c r="R1907" s="46">
        <f>IF(AND(H1907="Realizado",L1907&lt;&gt;"",A1907&lt;=Config!$B$9),L1907/60,0)</f>
        <v>0</v>
      </c>
      <c r="S1907" s="45">
        <f>IF(G1907="","",IFERROR(INDEX(Config!$K$5:$K$16,MATCH(G1907,Config!$J$5:$J$16,0)),""))</f>
        <v/>
      </c>
      <c r="T1907" s="31">
        <f>IF(OR(G1907="",F1907=""),"",IFERROR(INDEX(Config!$M$5:$R$16,MATCH(G1907,Config!$J$5:$J$16,0),MATCH(F1907,Config!$H$5:$H$10,0)),""))</f>
        <v/>
      </c>
      <c r="U1907" s="47">
        <f>IF(AND(H1907="Realizado",L1907&lt;&gt;""),L1907/60,0)</f>
        <v>0</v>
      </c>
      <c r="V1907" s="47">
        <f>IF(AND(H1907="Realizado",OR(L1907="",M1907="")),1,0)</f>
        <v>0</v>
      </c>
    </row>
    <row r="1908">
      <c r="A1908" s="43" t="n"/>
      <c r="B1908" s="44" t="n"/>
      <c r="C1908" s="38" t="n"/>
      <c r="D1908" s="38" t="n"/>
      <c r="E1908" s="37" t="n"/>
      <c r="F1908" s="38" t="n"/>
      <c r="G1908" s="38" t="n"/>
      <c r="H1908" s="38" t="n"/>
      <c r="I1908" s="38" t="n"/>
      <c r="J1908" s="38" t="n"/>
      <c r="K1908" s="37" t="n"/>
      <c r="L1908" s="39" t="n"/>
      <c r="M1908" s="40" t="n"/>
      <c r="N1908" s="30">
        <f>IF(A1908="","",MONTH(A1908))</f>
        <v/>
      </c>
      <c r="O1908" s="30">
        <f>IF(A1908="","",YEAR(A1908))</f>
        <v/>
      </c>
      <c r="P1908" s="30">
        <f>IF(A1908="","",CHOOSE(WEEKDAY(A1908,2),"Segunda","Terça","Quarta","Quinta","Sexta","Sábado","Domingo"))</f>
        <v/>
      </c>
      <c r="Q1908" s="30">
        <f>IF(B1908="","",IF(B1908&lt;TIME(12,0,0),"Manhã",IF(B1908&lt;TIME(18,0,0),"Tarde","Noite")))</f>
        <v/>
      </c>
      <c r="R1908" s="46">
        <f>IF(AND(H1908="Realizado",L1908&lt;&gt;"",A1908&lt;=Config!$B$9),L1908/60,0)</f>
        <v>0</v>
      </c>
      <c r="S1908" s="45">
        <f>IF(G1908="","",IFERROR(INDEX(Config!$K$5:$K$16,MATCH(G1908,Config!$J$5:$J$16,0)),""))</f>
        <v/>
      </c>
      <c r="T1908" s="31">
        <f>IF(OR(G1908="",F1908=""),"",IFERROR(INDEX(Config!$M$5:$R$16,MATCH(G1908,Config!$J$5:$J$16,0),MATCH(F1908,Config!$H$5:$H$10,0)),""))</f>
        <v/>
      </c>
      <c r="U1908" s="47">
        <f>IF(AND(H1908="Realizado",L1908&lt;&gt;""),L1908/60,0)</f>
        <v>0</v>
      </c>
      <c r="V1908" s="47">
        <f>IF(AND(H1908="Realizado",OR(L1908="",M1908="")),1,0)</f>
        <v>0</v>
      </c>
    </row>
    <row r="1909">
      <c r="A1909" s="43" t="n"/>
      <c r="B1909" s="44" t="n"/>
      <c r="C1909" s="38" t="n"/>
      <c r="D1909" s="38" t="n"/>
      <c r="E1909" s="37" t="n"/>
      <c r="F1909" s="38" t="n"/>
      <c r="G1909" s="38" t="n"/>
      <c r="H1909" s="38" t="n"/>
      <c r="I1909" s="38" t="n"/>
      <c r="J1909" s="38" t="n"/>
      <c r="K1909" s="37" t="n"/>
      <c r="L1909" s="39" t="n"/>
      <c r="M1909" s="40" t="n"/>
      <c r="N1909" s="30">
        <f>IF(A1909="","",MONTH(A1909))</f>
        <v/>
      </c>
      <c r="O1909" s="30">
        <f>IF(A1909="","",YEAR(A1909))</f>
        <v/>
      </c>
      <c r="P1909" s="30">
        <f>IF(A1909="","",CHOOSE(WEEKDAY(A1909,2),"Segunda","Terça","Quarta","Quinta","Sexta","Sábado","Domingo"))</f>
        <v/>
      </c>
      <c r="Q1909" s="30">
        <f>IF(B1909="","",IF(B1909&lt;TIME(12,0,0),"Manhã",IF(B1909&lt;TIME(18,0,0),"Tarde","Noite")))</f>
        <v/>
      </c>
      <c r="R1909" s="46">
        <f>IF(AND(H1909="Realizado",L1909&lt;&gt;"",A1909&lt;=Config!$B$9),L1909/60,0)</f>
        <v>0</v>
      </c>
      <c r="S1909" s="45">
        <f>IF(G1909="","",IFERROR(INDEX(Config!$K$5:$K$16,MATCH(G1909,Config!$J$5:$J$16,0)),""))</f>
        <v/>
      </c>
      <c r="T1909" s="31">
        <f>IF(OR(G1909="",F1909=""),"",IFERROR(INDEX(Config!$M$5:$R$16,MATCH(G1909,Config!$J$5:$J$16,0),MATCH(F1909,Config!$H$5:$H$10,0)),""))</f>
        <v/>
      </c>
      <c r="U1909" s="47">
        <f>IF(AND(H1909="Realizado",L1909&lt;&gt;""),L1909/60,0)</f>
        <v>0</v>
      </c>
      <c r="V1909" s="47">
        <f>IF(AND(H1909="Realizado",OR(L1909="",M1909="")),1,0)</f>
        <v>0</v>
      </c>
    </row>
    <row r="1910">
      <c r="A1910" s="43" t="n"/>
      <c r="B1910" s="44" t="n"/>
      <c r="C1910" s="38" t="n"/>
      <c r="D1910" s="38" t="n"/>
      <c r="E1910" s="37" t="n"/>
      <c r="F1910" s="38" t="n"/>
      <c r="G1910" s="38" t="n"/>
      <c r="H1910" s="38" t="n"/>
      <c r="I1910" s="38" t="n"/>
      <c r="J1910" s="38" t="n"/>
      <c r="K1910" s="37" t="n"/>
      <c r="L1910" s="39" t="n"/>
      <c r="M1910" s="40" t="n"/>
      <c r="N1910" s="30">
        <f>IF(A1910="","",MONTH(A1910))</f>
        <v/>
      </c>
      <c r="O1910" s="30">
        <f>IF(A1910="","",YEAR(A1910))</f>
        <v/>
      </c>
      <c r="P1910" s="30">
        <f>IF(A1910="","",CHOOSE(WEEKDAY(A1910,2),"Segunda","Terça","Quarta","Quinta","Sexta","Sábado","Domingo"))</f>
        <v/>
      </c>
      <c r="Q1910" s="30">
        <f>IF(B1910="","",IF(B1910&lt;TIME(12,0,0),"Manhã",IF(B1910&lt;TIME(18,0,0),"Tarde","Noite")))</f>
        <v/>
      </c>
      <c r="R1910" s="46">
        <f>IF(AND(H1910="Realizado",L1910&lt;&gt;"",A1910&lt;=Config!$B$9),L1910/60,0)</f>
        <v>0</v>
      </c>
      <c r="S1910" s="45">
        <f>IF(G1910="","",IFERROR(INDEX(Config!$K$5:$K$16,MATCH(G1910,Config!$J$5:$J$16,0)),""))</f>
        <v/>
      </c>
      <c r="T1910" s="31">
        <f>IF(OR(G1910="",F1910=""),"",IFERROR(INDEX(Config!$M$5:$R$16,MATCH(G1910,Config!$J$5:$J$16,0),MATCH(F1910,Config!$H$5:$H$10,0)),""))</f>
        <v/>
      </c>
      <c r="U1910" s="47">
        <f>IF(AND(H1910="Realizado",L1910&lt;&gt;""),L1910/60,0)</f>
        <v>0</v>
      </c>
      <c r="V1910" s="47">
        <f>IF(AND(H1910="Realizado",OR(L1910="",M1910="")),1,0)</f>
        <v>0</v>
      </c>
    </row>
    <row r="1911">
      <c r="A1911" s="43" t="n"/>
      <c r="B1911" s="44" t="n"/>
      <c r="C1911" s="38" t="n"/>
      <c r="D1911" s="38" t="n"/>
      <c r="E1911" s="37" t="n"/>
      <c r="F1911" s="38" t="n"/>
      <c r="G1911" s="38" t="n"/>
      <c r="H1911" s="38" t="n"/>
      <c r="I1911" s="38" t="n"/>
      <c r="J1911" s="38" t="n"/>
      <c r="K1911" s="37" t="n"/>
      <c r="L1911" s="39" t="n"/>
      <c r="M1911" s="40" t="n"/>
      <c r="N1911" s="30">
        <f>IF(A1911="","",MONTH(A1911))</f>
        <v/>
      </c>
      <c r="O1911" s="30">
        <f>IF(A1911="","",YEAR(A1911))</f>
        <v/>
      </c>
      <c r="P1911" s="30">
        <f>IF(A1911="","",CHOOSE(WEEKDAY(A1911,2),"Segunda","Terça","Quarta","Quinta","Sexta","Sábado","Domingo"))</f>
        <v/>
      </c>
      <c r="Q1911" s="30">
        <f>IF(B1911="","",IF(B1911&lt;TIME(12,0,0),"Manhã",IF(B1911&lt;TIME(18,0,0),"Tarde","Noite")))</f>
        <v/>
      </c>
      <c r="R1911" s="46">
        <f>IF(AND(H1911="Realizado",L1911&lt;&gt;"",A1911&lt;=Config!$B$9),L1911/60,0)</f>
        <v>0</v>
      </c>
      <c r="S1911" s="45">
        <f>IF(G1911="","",IFERROR(INDEX(Config!$K$5:$K$16,MATCH(G1911,Config!$J$5:$J$16,0)),""))</f>
        <v/>
      </c>
      <c r="T1911" s="31">
        <f>IF(OR(G1911="",F1911=""),"",IFERROR(INDEX(Config!$M$5:$R$16,MATCH(G1911,Config!$J$5:$J$16,0),MATCH(F1911,Config!$H$5:$H$10,0)),""))</f>
        <v/>
      </c>
      <c r="U1911" s="47">
        <f>IF(AND(H1911="Realizado",L1911&lt;&gt;""),L1911/60,0)</f>
        <v>0</v>
      </c>
      <c r="V1911" s="47">
        <f>IF(AND(H1911="Realizado",OR(L1911="",M1911="")),1,0)</f>
        <v>0</v>
      </c>
    </row>
    <row r="1912">
      <c r="A1912" s="43" t="n"/>
      <c r="B1912" s="44" t="n"/>
      <c r="C1912" s="38" t="n"/>
      <c r="D1912" s="38" t="n"/>
      <c r="E1912" s="37" t="n"/>
      <c r="F1912" s="38" t="n"/>
      <c r="G1912" s="38" t="n"/>
      <c r="H1912" s="38" t="n"/>
      <c r="I1912" s="38" t="n"/>
      <c r="J1912" s="38" t="n"/>
      <c r="K1912" s="37" t="n"/>
      <c r="L1912" s="39" t="n"/>
      <c r="M1912" s="40" t="n"/>
      <c r="N1912" s="30">
        <f>IF(A1912="","",MONTH(A1912))</f>
        <v/>
      </c>
      <c r="O1912" s="30">
        <f>IF(A1912="","",YEAR(A1912))</f>
        <v/>
      </c>
      <c r="P1912" s="30">
        <f>IF(A1912="","",CHOOSE(WEEKDAY(A1912,2),"Segunda","Terça","Quarta","Quinta","Sexta","Sábado","Domingo"))</f>
        <v/>
      </c>
      <c r="Q1912" s="30">
        <f>IF(B1912="","",IF(B1912&lt;TIME(12,0,0),"Manhã",IF(B1912&lt;TIME(18,0,0),"Tarde","Noite")))</f>
        <v/>
      </c>
      <c r="R1912" s="46">
        <f>IF(AND(H1912="Realizado",L1912&lt;&gt;"",A1912&lt;=Config!$B$9),L1912/60,0)</f>
        <v>0</v>
      </c>
      <c r="S1912" s="45">
        <f>IF(G1912="","",IFERROR(INDEX(Config!$K$5:$K$16,MATCH(G1912,Config!$J$5:$J$16,0)),""))</f>
        <v/>
      </c>
      <c r="T1912" s="31">
        <f>IF(OR(G1912="",F1912=""),"",IFERROR(INDEX(Config!$M$5:$R$16,MATCH(G1912,Config!$J$5:$J$16,0),MATCH(F1912,Config!$H$5:$H$10,0)),""))</f>
        <v/>
      </c>
      <c r="U1912" s="47">
        <f>IF(AND(H1912="Realizado",L1912&lt;&gt;""),L1912/60,0)</f>
        <v>0</v>
      </c>
      <c r="V1912" s="47">
        <f>IF(AND(H1912="Realizado",OR(L1912="",M1912="")),1,0)</f>
        <v>0</v>
      </c>
    </row>
    <row r="1913">
      <c r="A1913" s="43" t="n"/>
      <c r="B1913" s="44" t="n"/>
      <c r="C1913" s="38" t="n"/>
      <c r="D1913" s="38" t="n"/>
      <c r="E1913" s="37" t="n"/>
      <c r="F1913" s="38" t="n"/>
      <c r="G1913" s="38" t="n"/>
      <c r="H1913" s="38" t="n"/>
      <c r="I1913" s="38" t="n"/>
      <c r="J1913" s="38" t="n"/>
      <c r="K1913" s="37" t="n"/>
      <c r="L1913" s="39" t="n"/>
      <c r="M1913" s="40" t="n"/>
      <c r="N1913" s="30">
        <f>IF(A1913="","",MONTH(A1913))</f>
        <v/>
      </c>
      <c r="O1913" s="30">
        <f>IF(A1913="","",YEAR(A1913))</f>
        <v/>
      </c>
      <c r="P1913" s="30">
        <f>IF(A1913="","",CHOOSE(WEEKDAY(A1913,2),"Segunda","Terça","Quarta","Quinta","Sexta","Sábado","Domingo"))</f>
        <v/>
      </c>
      <c r="Q1913" s="30">
        <f>IF(B1913="","",IF(B1913&lt;TIME(12,0,0),"Manhã",IF(B1913&lt;TIME(18,0,0),"Tarde","Noite")))</f>
        <v/>
      </c>
      <c r="R1913" s="46">
        <f>IF(AND(H1913="Realizado",L1913&lt;&gt;"",A1913&lt;=Config!$B$9),L1913/60,0)</f>
        <v>0</v>
      </c>
      <c r="S1913" s="45">
        <f>IF(G1913="","",IFERROR(INDEX(Config!$K$5:$K$16,MATCH(G1913,Config!$J$5:$J$16,0)),""))</f>
        <v/>
      </c>
      <c r="T1913" s="31">
        <f>IF(OR(G1913="",F1913=""),"",IFERROR(INDEX(Config!$M$5:$R$16,MATCH(G1913,Config!$J$5:$J$16,0),MATCH(F1913,Config!$H$5:$H$10,0)),""))</f>
        <v/>
      </c>
      <c r="U1913" s="47">
        <f>IF(AND(H1913="Realizado",L1913&lt;&gt;""),L1913/60,0)</f>
        <v>0</v>
      </c>
      <c r="V1913" s="47">
        <f>IF(AND(H1913="Realizado",OR(L1913="",M1913="")),1,0)</f>
        <v>0</v>
      </c>
    </row>
    <row r="1914">
      <c r="A1914" s="43" t="n"/>
      <c r="B1914" s="44" t="n"/>
      <c r="C1914" s="38" t="n"/>
      <c r="D1914" s="38" t="n"/>
      <c r="E1914" s="37" t="n"/>
      <c r="F1914" s="38" t="n"/>
      <c r="G1914" s="38" t="n"/>
      <c r="H1914" s="38" t="n"/>
      <c r="I1914" s="38" t="n"/>
      <c r="J1914" s="38" t="n"/>
      <c r="K1914" s="37" t="n"/>
      <c r="L1914" s="39" t="n"/>
      <c r="M1914" s="40" t="n"/>
      <c r="N1914" s="30">
        <f>IF(A1914="","",MONTH(A1914))</f>
        <v/>
      </c>
      <c r="O1914" s="30">
        <f>IF(A1914="","",YEAR(A1914))</f>
        <v/>
      </c>
      <c r="P1914" s="30">
        <f>IF(A1914="","",CHOOSE(WEEKDAY(A1914,2),"Segunda","Terça","Quarta","Quinta","Sexta","Sábado","Domingo"))</f>
        <v/>
      </c>
      <c r="Q1914" s="30">
        <f>IF(B1914="","",IF(B1914&lt;TIME(12,0,0),"Manhã",IF(B1914&lt;TIME(18,0,0),"Tarde","Noite")))</f>
        <v/>
      </c>
      <c r="R1914" s="46">
        <f>IF(AND(H1914="Realizado",L1914&lt;&gt;"",A1914&lt;=Config!$B$9),L1914/60,0)</f>
        <v>0</v>
      </c>
      <c r="S1914" s="45">
        <f>IF(G1914="","",IFERROR(INDEX(Config!$K$5:$K$16,MATCH(G1914,Config!$J$5:$J$16,0)),""))</f>
        <v/>
      </c>
      <c r="T1914" s="31">
        <f>IF(OR(G1914="",F1914=""),"",IFERROR(INDEX(Config!$M$5:$R$16,MATCH(G1914,Config!$J$5:$J$16,0),MATCH(F1914,Config!$H$5:$H$10,0)),""))</f>
        <v/>
      </c>
      <c r="U1914" s="47">
        <f>IF(AND(H1914="Realizado",L1914&lt;&gt;""),L1914/60,0)</f>
        <v>0</v>
      </c>
      <c r="V1914" s="47">
        <f>IF(AND(H1914="Realizado",OR(L1914="",M1914="")),1,0)</f>
        <v>0</v>
      </c>
    </row>
    <row r="1915">
      <c r="A1915" s="43" t="n"/>
      <c r="B1915" s="44" t="n"/>
      <c r="C1915" s="38" t="n"/>
      <c r="D1915" s="38" t="n"/>
      <c r="E1915" s="37" t="n"/>
      <c r="F1915" s="38" t="n"/>
      <c r="G1915" s="38" t="n"/>
      <c r="H1915" s="38" t="n"/>
      <c r="I1915" s="38" t="n"/>
      <c r="J1915" s="38" t="n"/>
      <c r="K1915" s="37" t="n"/>
      <c r="L1915" s="39" t="n"/>
      <c r="M1915" s="40" t="n"/>
      <c r="N1915" s="30">
        <f>IF(A1915="","",MONTH(A1915))</f>
        <v/>
      </c>
      <c r="O1915" s="30">
        <f>IF(A1915="","",YEAR(A1915))</f>
        <v/>
      </c>
      <c r="P1915" s="30">
        <f>IF(A1915="","",CHOOSE(WEEKDAY(A1915,2),"Segunda","Terça","Quarta","Quinta","Sexta","Sábado","Domingo"))</f>
        <v/>
      </c>
      <c r="Q1915" s="30">
        <f>IF(B1915="","",IF(B1915&lt;TIME(12,0,0),"Manhã",IF(B1915&lt;TIME(18,0,0),"Tarde","Noite")))</f>
        <v/>
      </c>
      <c r="R1915" s="46">
        <f>IF(AND(H1915="Realizado",L1915&lt;&gt;"",A1915&lt;=Config!$B$9),L1915/60,0)</f>
        <v>0</v>
      </c>
      <c r="S1915" s="45">
        <f>IF(G1915="","",IFERROR(INDEX(Config!$K$5:$K$16,MATCH(G1915,Config!$J$5:$J$16,0)),""))</f>
        <v/>
      </c>
      <c r="T1915" s="31">
        <f>IF(OR(G1915="",F1915=""),"",IFERROR(INDEX(Config!$M$5:$R$16,MATCH(G1915,Config!$J$5:$J$16,0),MATCH(F1915,Config!$H$5:$H$10,0)),""))</f>
        <v/>
      </c>
      <c r="U1915" s="47">
        <f>IF(AND(H1915="Realizado",L1915&lt;&gt;""),L1915/60,0)</f>
        <v>0</v>
      </c>
      <c r="V1915" s="47">
        <f>IF(AND(H1915="Realizado",OR(L1915="",M1915="")),1,0)</f>
        <v>0</v>
      </c>
    </row>
    <row r="1916">
      <c r="A1916" s="43" t="n"/>
      <c r="B1916" s="44" t="n"/>
      <c r="C1916" s="38" t="n"/>
      <c r="D1916" s="38" t="n"/>
      <c r="E1916" s="37" t="n"/>
      <c r="F1916" s="38" t="n"/>
      <c r="G1916" s="38" t="n"/>
      <c r="H1916" s="38" t="n"/>
      <c r="I1916" s="38" t="n"/>
      <c r="J1916" s="38" t="n"/>
      <c r="K1916" s="37" t="n"/>
      <c r="L1916" s="39" t="n"/>
      <c r="M1916" s="40" t="n"/>
      <c r="N1916" s="30">
        <f>IF(A1916="","",MONTH(A1916))</f>
        <v/>
      </c>
      <c r="O1916" s="30">
        <f>IF(A1916="","",YEAR(A1916))</f>
        <v/>
      </c>
      <c r="P1916" s="30">
        <f>IF(A1916="","",CHOOSE(WEEKDAY(A1916,2),"Segunda","Terça","Quarta","Quinta","Sexta","Sábado","Domingo"))</f>
        <v/>
      </c>
      <c r="Q1916" s="30">
        <f>IF(B1916="","",IF(B1916&lt;TIME(12,0,0),"Manhã",IF(B1916&lt;TIME(18,0,0),"Tarde","Noite")))</f>
        <v/>
      </c>
      <c r="R1916" s="46">
        <f>IF(AND(H1916="Realizado",L1916&lt;&gt;"",A1916&lt;=Config!$B$9),L1916/60,0)</f>
        <v>0</v>
      </c>
      <c r="S1916" s="45">
        <f>IF(G1916="","",IFERROR(INDEX(Config!$K$5:$K$16,MATCH(G1916,Config!$J$5:$J$16,0)),""))</f>
        <v/>
      </c>
      <c r="T1916" s="31">
        <f>IF(OR(G1916="",F1916=""),"",IFERROR(INDEX(Config!$M$5:$R$16,MATCH(G1916,Config!$J$5:$J$16,0),MATCH(F1916,Config!$H$5:$H$10,0)),""))</f>
        <v/>
      </c>
      <c r="U1916" s="47">
        <f>IF(AND(H1916="Realizado",L1916&lt;&gt;""),L1916/60,0)</f>
        <v>0</v>
      </c>
      <c r="V1916" s="47">
        <f>IF(AND(H1916="Realizado",OR(L1916="",M1916="")),1,0)</f>
        <v>0</v>
      </c>
    </row>
    <row r="1917">
      <c r="A1917" s="43" t="n"/>
      <c r="B1917" s="44" t="n"/>
      <c r="C1917" s="38" t="n"/>
      <c r="D1917" s="38" t="n"/>
      <c r="E1917" s="37" t="n"/>
      <c r="F1917" s="38" t="n"/>
      <c r="G1917" s="38" t="n"/>
      <c r="H1917" s="38" t="n"/>
      <c r="I1917" s="38" t="n"/>
      <c r="J1917" s="38" t="n"/>
      <c r="K1917" s="37" t="n"/>
      <c r="L1917" s="39" t="n"/>
      <c r="M1917" s="40" t="n"/>
      <c r="N1917" s="30">
        <f>IF(A1917="","",MONTH(A1917))</f>
        <v/>
      </c>
      <c r="O1917" s="30">
        <f>IF(A1917="","",YEAR(A1917))</f>
        <v/>
      </c>
      <c r="P1917" s="30">
        <f>IF(A1917="","",CHOOSE(WEEKDAY(A1917,2),"Segunda","Terça","Quarta","Quinta","Sexta","Sábado","Domingo"))</f>
        <v/>
      </c>
      <c r="Q1917" s="30">
        <f>IF(B1917="","",IF(B1917&lt;TIME(12,0,0),"Manhã",IF(B1917&lt;TIME(18,0,0),"Tarde","Noite")))</f>
        <v/>
      </c>
      <c r="R1917" s="46">
        <f>IF(AND(H1917="Realizado",L1917&lt;&gt;"",A1917&lt;=Config!$B$9),L1917/60,0)</f>
        <v>0</v>
      </c>
      <c r="S1917" s="45">
        <f>IF(G1917="","",IFERROR(INDEX(Config!$K$5:$K$16,MATCH(G1917,Config!$J$5:$J$16,0)),""))</f>
        <v/>
      </c>
      <c r="T1917" s="31">
        <f>IF(OR(G1917="",F1917=""),"",IFERROR(INDEX(Config!$M$5:$R$16,MATCH(G1917,Config!$J$5:$J$16,0),MATCH(F1917,Config!$H$5:$H$10,0)),""))</f>
        <v/>
      </c>
      <c r="U1917" s="47">
        <f>IF(AND(H1917="Realizado",L1917&lt;&gt;""),L1917/60,0)</f>
        <v>0</v>
      </c>
      <c r="V1917" s="47">
        <f>IF(AND(H1917="Realizado",OR(L1917="",M1917="")),1,0)</f>
        <v>0</v>
      </c>
    </row>
    <row r="1918">
      <c r="A1918" s="43" t="n"/>
      <c r="B1918" s="44" t="n"/>
      <c r="C1918" s="38" t="n"/>
      <c r="D1918" s="38" t="n"/>
      <c r="E1918" s="37" t="n"/>
      <c r="F1918" s="38" t="n"/>
      <c r="G1918" s="38" t="n"/>
      <c r="H1918" s="38" t="n"/>
      <c r="I1918" s="38" t="n"/>
      <c r="J1918" s="38" t="n"/>
      <c r="K1918" s="37" t="n"/>
      <c r="L1918" s="39" t="n"/>
      <c r="M1918" s="40" t="n"/>
      <c r="N1918" s="30">
        <f>IF(A1918="","",MONTH(A1918))</f>
        <v/>
      </c>
      <c r="O1918" s="30">
        <f>IF(A1918="","",YEAR(A1918))</f>
        <v/>
      </c>
      <c r="P1918" s="30">
        <f>IF(A1918="","",CHOOSE(WEEKDAY(A1918,2),"Segunda","Terça","Quarta","Quinta","Sexta","Sábado","Domingo"))</f>
        <v/>
      </c>
      <c r="Q1918" s="30">
        <f>IF(B1918="","",IF(B1918&lt;TIME(12,0,0),"Manhã",IF(B1918&lt;TIME(18,0,0),"Tarde","Noite")))</f>
        <v/>
      </c>
      <c r="R1918" s="46">
        <f>IF(AND(H1918="Realizado",L1918&lt;&gt;"",A1918&lt;=Config!$B$9),L1918/60,0)</f>
        <v>0</v>
      </c>
      <c r="S1918" s="45">
        <f>IF(G1918="","",IFERROR(INDEX(Config!$K$5:$K$16,MATCH(G1918,Config!$J$5:$J$16,0)),""))</f>
        <v/>
      </c>
      <c r="T1918" s="31">
        <f>IF(OR(G1918="",F1918=""),"",IFERROR(INDEX(Config!$M$5:$R$16,MATCH(G1918,Config!$J$5:$J$16,0),MATCH(F1918,Config!$H$5:$H$10,0)),""))</f>
        <v/>
      </c>
      <c r="U1918" s="47">
        <f>IF(AND(H1918="Realizado",L1918&lt;&gt;""),L1918/60,0)</f>
        <v>0</v>
      </c>
      <c r="V1918" s="47">
        <f>IF(AND(H1918="Realizado",OR(L1918="",M1918="")),1,0)</f>
        <v>0</v>
      </c>
    </row>
    <row r="1919">
      <c r="A1919" s="43" t="n"/>
      <c r="B1919" s="44" t="n"/>
      <c r="C1919" s="38" t="n"/>
      <c r="D1919" s="38" t="n"/>
      <c r="E1919" s="37" t="n"/>
      <c r="F1919" s="38" t="n"/>
      <c r="G1919" s="38" t="n"/>
      <c r="H1919" s="38" t="n"/>
      <c r="I1919" s="38" t="n"/>
      <c r="J1919" s="38" t="n"/>
      <c r="K1919" s="37" t="n"/>
      <c r="L1919" s="39" t="n"/>
      <c r="M1919" s="40" t="n"/>
      <c r="N1919" s="30">
        <f>IF(A1919="","",MONTH(A1919))</f>
        <v/>
      </c>
      <c r="O1919" s="30">
        <f>IF(A1919="","",YEAR(A1919))</f>
        <v/>
      </c>
      <c r="P1919" s="30">
        <f>IF(A1919="","",CHOOSE(WEEKDAY(A1919,2),"Segunda","Terça","Quarta","Quinta","Sexta","Sábado","Domingo"))</f>
        <v/>
      </c>
      <c r="Q1919" s="30">
        <f>IF(B1919="","",IF(B1919&lt;TIME(12,0,0),"Manhã",IF(B1919&lt;TIME(18,0,0),"Tarde","Noite")))</f>
        <v/>
      </c>
      <c r="R1919" s="46">
        <f>IF(AND(H1919="Realizado",L1919&lt;&gt;"",A1919&lt;=Config!$B$9),L1919/60,0)</f>
        <v>0</v>
      </c>
      <c r="S1919" s="45">
        <f>IF(G1919="","",IFERROR(INDEX(Config!$K$5:$K$16,MATCH(G1919,Config!$J$5:$J$16,0)),""))</f>
        <v/>
      </c>
      <c r="T1919" s="31">
        <f>IF(OR(G1919="",F1919=""),"",IFERROR(INDEX(Config!$M$5:$R$16,MATCH(G1919,Config!$J$5:$J$16,0),MATCH(F1919,Config!$H$5:$H$10,0)),""))</f>
        <v/>
      </c>
      <c r="U1919" s="47">
        <f>IF(AND(H1919="Realizado",L1919&lt;&gt;""),L1919/60,0)</f>
        <v>0</v>
      </c>
      <c r="V1919" s="47">
        <f>IF(AND(H1919="Realizado",OR(L1919="",M1919="")),1,0)</f>
        <v>0</v>
      </c>
    </row>
    <row r="1920">
      <c r="A1920" s="43" t="n"/>
      <c r="B1920" s="44" t="n"/>
      <c r="C1920" s="38" t="n"/>
      <c r="D1920" s="38" t="n"/>
      <c r="E1920" s="37" t="n"/>
      <c r="F1920" s="38" t="n"/>
      <c r="G1920" s="38" t="n"/>
      <c r="H1920" s="38" t="n"/>
      <c r="I1920" s="38" t="n"/>
      <c r="J1920" s="38" t="n"/>
      <c r="K1920" s="37" t="n"/>
      <c r="L1920" s="39" t="n"/>
      <c r="M1920" s="40" t="n"/>
      <c r="N1920" s="30">
        <f>IF(A1920="","",MONTH(A1920))</f>
        <v/>
      </c>
      <c r="O1920" s="30">
        <f>IF(A1920="","",YEAR(A1920))</f>
        <v/>
      </c>
      <c r="P1920" s="30">
        <f>IF(A1920="","",CHOOSE(WEEKDAY(A1920,2),"Segunda","Terça","Quarta","Quinta","Sexta","Sábado","Domingo"))</f>
        <v/>
      </c>
      <c r="Q1920" s="30">
        <f>IF(B1920="","",IF(B1920&lt;TIME(12,0,0),"Manhã",IF(B1920&lt;TIME(18,0,0),"Tarde","Noite")))</f>
        <v/>
      </c>
      <c r="R1920" s="46">
        <f>IF(AND(H1920="Realizado",L1920&lt;&gt;"",A1920&lt;=Config!$B$9),L1920/60,0)</f>
        <v>0</v>
      </c>
      <c r="S1920" s="45">
        <f>IF(G1920="","",IFERROR(INDEX(Config!$K$5:$K$16,MATCH(G1920,Config!$J$5:$J$16,0)),""))</f>
        <v/>
      </c>
      <c r="T1920" s="31">
        <f>IF(OR(G1920="",F1920=""),"",IFERROR(INDEX(Config!$M$5:$R$16,MATCH(G1920,Config!$J$5:$J$16,0),MATCH(F1920,Config!$H$5:$H$10,0)),""))</f>
        <v/>
      </c>
      <c r="U1920" s="47">
        <f>IF(AND(H1920="Realizado",L1920&lt;&gt;""),L1920/60,0)</f>
        <v>0</v>
      </c>
      <c r="V1920" s="47">
        <f>IF(AND(H1920="Realizado",OR(L1920="",M1920="")),1,0)</f>
        <v>0</v>
      </c>
    </row>
    <row r="1921">
      <c r="A1921" s="43" t="n"/>
      <c r="B1921" s="44" t="n"/>
      <c r="C1921" s="38" t="n"/>
      <c r="D1921" s="38" t="n"/>
      <c r="E1921" s="37" t="n"/>
      <c r="F1921" s="38" t="n"/>
      <c r="G1921" s="38" t="n"/>
      <c r="H1921" s="38" t="n"/>
      <c r="I1921" s="38" t="n"/>
      <c r="J1921" s="38" t="n"/>
      <c r="K1921" s="37" t="n"/>
      <c r="L1921" s="39" t="n"/>
      <c r="M1921" s="40" t="n"/>
      <c r="N1921" s="30">
        <f>IF(A1921="","",MONTH(A1921))</f>
        <v/>
      </c>
      <c r="O1921" s="30">
        <f>IF(A1921="","",YEAR(A1921))</f>
        <v/>
      </c>
      <c r="P1921" s="30">
        <f>IF(A1921="","",CHOOSE(WEEKDAY(A1921,2),"Segunda","Terça","Quarta","Quinta","Sexta","Sábado","Domingo"))</f>
        <v/>
      </c>
      <c r="Q1921" s="30">
        <f>IF(B1921="","",IF(B1921&lt;TIME(12,0,0),"Manhã",IF(B1921&lt;TIME(18,0,0),"Tarde","Noite")))</f>
        <v/>
      </c>
      <c r="R1921" s="46">
        <f>IF(AND(H1921="Realizado",L1921&lt;&gt;"",A1921&lt;=Config!$B$9),L1921/60,0)</f>
        <v>0</v>
      </c>
      <c r="S1921" s="45">
        <f>IF(G1921="","",IFERROR(INDEX(Config!$K$5:$K$16,MATCH(G1921,Config!$J$5:$J$16,0)),""))</f>
        <v/>
      </c>
      <c r="T1921" s="31">
        <f>IF(OR(G1921="",F1921=""),"",IFERROR(INDEX(Config!$M$5:$R$16,MATCH(G1921,Config!$J$5:$J$16,0),MATCH(F1921,Config!$H$5:$H$10,0)),""))</f>
        <v/>
      </c>
      <c r="U1921" s="47">
        <f>IF(AND(H1921="Realizado",L1921&lt;&gt;""),L1921/60,0)</f>
        <v>0</v>
      </c>
      <c r="V1921" s="47">
        <f>IF(AND(H1921="Realizado",OR(L1921="",M1921="")),1,0)</f>
        <v>0</v>
      </c>
    </row>
    <row r="1922">
      <c r="A1922" s="43" t="n"/>
      <c r="B1922" s="44" t="n"/>
      <c r="C1922" s="38" t="n"/>
      <c r="D1922" s="38" t="n"/>
      <c r="E1922" s="37" t="n"/>
      <c r="F1922" s="38" t="n"/>
      <c r="G1922" s="38" t="n"/>
      <c r="H1922" s="38" t="n"/>
      <c r="I1922" s="38" t="n"/>
      <c r="J1922" s="38" t="n"/>
      <c r="K1922" s="37" t="n"/>
      <c r="L1922" s="39" t="n"/>
      <c r="M1922" s="40" t="n"/>
      <c r="N1922" s="30">
        <f>IF(A1922="","",MONTH(A1922))</f>
        <v/>
      </c>
      <c r="O1922" s="30">
        <f>IF(A1922="","",YEAR(A1922))</f>
        <v/>
      </c>
      <c r="P1922" s="30">
        <f>IF(A1922="","",CHOOSE(WEEKDAY(A1922,2),"Segunda","Terça","Quarta","Quinta","Sexta","Sábado","Domingo"))</f>
        <v/>
      </c>
      <c r="Q1922" s="30">
        <f>IF(B1922="","",IF(B1922&lt;TIME(12,0,0),"Manhã",IF(B1922&lt;TIME(18,0,0),"Tarde","Noite")))</f>
        <v/>
      </c>
      <c r="R1922" s="46">
        <f>IF(AND(H1922="Realizado",L1922&lt;&gt;"",A1922&lt;=Config!$B$9),L1922/60,0)</f>
        <v>0</v>
      </c>
      <c r="S1922" s="45">
        <f>IF(G1922="","",IFERROR(INDEX(Config!$K$5:$K$16,MATCH(G1922,Config!$J$5:$J$16,0)),""))</f>
        <v/>
      </c>
      <c r="T1922" s="31">
        <f>IF(OR(G1922="",F1922=""),"",IFERROR(INDEX(Config!$M$5:$R$16,MATCH(G1922,Config!$J$5:$J$16,0),MATCH(F1922,Config!$H$5:$H$10,0)),""))</f>
        <v/>
      </c>
      <c r="U1922" s="47">
        <f>IF(AND(H1922="Realizado",L1922&lt;&gt;""),L1922/60,0)</f>
        <v>0</v>
      </c>
      <c r="V1922" s="47">
        <f>IF(AND(H1922="Realizado",OR(L1922="",M1922="")),1,0)</f>
        <v>0</v>
      </c>
    </row>
    <row r="1923">
      <c r="A1923" s="43" t="n"/>
      <c r="B1923" s="44" t="n"/>
      <c r="C1923" s="38" t="n"/>
      <c r="D1923" s="38" t="n"/>
      <c r="E1923" s="37" t="n"/>
      <c r="F1923" s="38" t="n"/>
      <c r="G1923" s="38" t="n"/>
      <c r="H1923" s="38" t="n"/>
      <c r="I1923" s="38" t="n"/>
      <c r="J1923" s="38" t="n"/>
      <c r="K1923" s="37" t="n"/>
      <c r="L1923" s="39" t="n"/>
      <c r="M1923" s="40" t="n"/>
      <c r="N1923" s="30">
        <f>IF(A1923="","",MONTH(A1923))</f>
        <v/>
      </c>
      <c r="O1923" s="30">
        <f>IF(A1923="","",YEAR(A1923))</f>
        <v/>
      </c>
      <c r="P1923" s="30">
        <f>IF(A1923="","",CHOOSE(WEEKDAY(A1923,2),"Segunda","Terça","Quarta","Quinta","Sexta","Sábado","Domingo"))</f>
        <v/>
      </c>
      <c r="Q1923" s="30">
        <f>IF(B1923="","",IF(B1923&lt;TIME(12,0,0),"Manhã",IF(B1923&lt;TIME(18,0,0),"Tarde","Noite")))</f>
        <v/>
      </c>
      <c r="R1923" s="46">
        <f>IF(AND(H1923="Realizado",L1923&lt;&gt;"",A1923&lt;=Config!$B$9),L1923/60,0)</f>
        <v>0</v>
      </c>
      <c r="S1923" s="45">
        <f>IF(G1923="","",IFERROR(INDEX(Config!$K$5:$K$16,MATCH(G1923,Config!$J$5:$J$16,0)),""))</f>
        <v/>
      </c>
      <c r="T1923" s="31">
        <f>IF(OR(G1923="",F1923=""),"",IFERROR(INDEX(Config!$M$5:$R$16,MATCH(G1923,Config!$J$5:$J$16,0),MATCH(F1923,Config!$H$5:$H$10,0)),""))</f>
        <v/>
      </c>
      <c r="U1923" s="47">
        <f>IF(AND(H1923="Realizado",L1923&lt;&gt;""),L1923/60,0)</f>
        <v>0</v>
      </c>
      <c r="V1923" s="47">
        <f>IF(AND(H1923="Realizado",OR(L1923="",M1923="")),1,0)</f>
        <v>0</v>
      </c>
    </row>
    <row r="1924">
      <c r="A1924" s="43" t="n"/>
      <c r="B1924" s="44" t="n"/>
      <c r="C1924" s="38" t="n"/>
      <c r="D1924" s="38" t="n"/>
      <c r="E1924" s="37" t="n"/>
      <c r="F1924" s="38" t="n"/>
      <c r="G1924" s="38" t="n"/>
      <c r="H1924" s="38" t="n"/>
      <c r="I1924" s="38" t="n"/>
      <c r="J1924" s="38" t="n"/>
      <c r="K1924" s="37" t="n"/>
      <c r="L1924" s="39" t="n"/>
      <c r="M1924" s="40" t="n"/>
      <c r="N1924" s="30">
        <f>IF(A1924="","",MONTH(A1924))</f>
        <v/>
      </c>
      <c r="O1924" s="30">
        <f>IF(A1924="","",YEAR(A1924))</f>
        <v/>
      </c>
      <c r="P1924" s="30">
        <f>IF(A1924="","",CHOOSE(WEEKDAY(A1924,2),"Segunda","Terça","Quarta","Quinta","Sexta","Sábado","Domingo"))</f>
        <v/>
      </c>
      <c r="Q1924" s="30">
        <f>IF(B1924="","",IF(B1924&lt;TIME(12,0,0),"Manhã",IF(B1924&lt;TIME(18,0,0),"Tarde","Noite")))</f>
        <v/>
      </c>
      <c r="R1924" s="46">
        <f>IF(AND(H1924="Realizado",L1924&lt;&gt;"",A1924&lt;=Config!$B$9),L1924/60,0)</f>
        <v>0</v>
      </c>
      <c r="S1924" s="45">
        <f>IF(G1924="","",IFERROR(INDEX(Config!$K$5:$K$16,MATCH(G1924,Config!$J$5:$J$16,0)),""))</f>
        <v/>
      </c>
      <c r="T1924" s="31">
        <f>IF(OR(G1924="",F1924=""),"",IFERROR(INDEX(Config!$M$5:$R$16,MATCH(G1924,Config!$J$5:$J$16,0),MATCH(F1924,Config!$H$5:$H$10,0)),""))</f>
        <v/>
      </c>
      <c r="U1924" s="47">
        <f>IF(AND(H1924="Realizado",L1924&lt;&gt;""),L1924/60,0)</f>
        <v>0</v>
      </c>
      <c r="V1924" s="47">
        <f>IF(AND(H1924="Realizado",OR(L1924="",M1924="")),1,0)</f>
        <v>0</v>
      </c>
    </row>
    <row r="1925">
      <c r="A1925" s="43" t="n"/>
      <c r="B1925" s="44" t="n"/>
      <c r="C1925" s="38" t="n"/>
      <c r="D1925" s="38" t="n"/>
      <c r="E1925" s="37" t="n"/>
      <c r="F1925" s="38" t="n"/>
      <c r="G1925" s="38" t="n"/>
      <c r="H1925" s="38" t="n"/>
      <c r="I1925" s="38" t="n"/>
      <c r="J1925" s="38" t="n"/>
      <c r="K1925" s="37" t="n"/>
      <c r="L1925" s="39" t="n"/>
      <c r="M1925" s="40" t="n"/>
      <c r="N1925" s="30">
        <f>IF(A1925="","",MONTH(A1925))</f>
        <v/>
      </c>
      <c r="O1925" s="30">
        <f>IF(A1925="","",YEAR(A1925))</f>
        <v/>
      </c>
      <c r="P1925" s="30">
        <f>IF(A1925="","",CHOOSE(WEEKDAY(A1925,2),"Segunda","Terça","Quarta","Quinta","Sexta","Sábado","Domingo"))</f>
        <v/>
      </c>
      <c r="Q1925" s="30">
        <f>IF(B1925="","",IF(B1925&lt;TIME(12,0,0),"Manhã",IF(B1925&lt;TIME(18,0,0),"Tarde","Noite")))</f>
        <v/>
      </c>
      <c r="R1925" s="46">
        <f>IF(AND(H1925="Realizado",L1925&lt;&gt;"",A1925&lt;=Config!$B$9),L1925/60,0)</f>
        <v>0</v>
      </c>
      <c r="S1925" s="45">
        <f>IF(G1925="","",IFERROR(INDEX(Config!$K$5:$K$16,MATCH(G1925,Config!$J$5:$J$16,0)),""))</f>
        <v/>
      </c>
      <c r="T1925" s="31">
        <f>IF(OR(G1925="",F1925=""),"",IFERROR(INDEX(Config!$M$5:$R$16,MATCH(G1925,Config!$J$5:$J$16,0),MATCH(F1925,Config!$H$5:$H$10,0)),""))</f>
        <v/>
      </c>
      <c r="U1925" s="47">
        <f>IF(AND(H1925="Realizado",L1925&lt;&gt;""),L1925/60,0)</f>
        <v>0</v>
      </c>
      <c r="V1925" s="47">
        <f>IF(AND(H1925="Realizado",OR(L1925="",M1925="")),1,0)</f>
        <v>0</v>
      </c>
    </row>
    <row r="1926">
      <c r="A1926" s="43" t="n"/>
      <c r="B1926" s="44" t="n"/>
      <c r="C1926" s="38" t="n"/>
      <c r="D1926" s="38" t="n"/>
      <c r="E1926" s="37" t="n"/>
      <c r="F1926" s="38" t="n"/>
      <c r="G1926" s="38" t="n"/>
      <c r="H1926" s="38" t="n"/>
      <c r="I1926" s="38" t="n"/>
      <c r="J1926" s="38" t="n"/>
      <c r="K1926" s="37" t="n"/>
      <c r="L1926" s="39" t="n"/>
      <c r="M1926" s="40" t="n"/>
      <c r="N1926" s="30">
        <f>IF(A1926="","",MONTH(A1926))</f>
        <v/>
      </c>
      <c r="O1926" s="30">
        <f>IF(A1926="","",YEAR(A1926))</f>
        <v/>
      </c>
      <c r="P1926" s="30">
        <f>IF(A1926="","",CHOOSE(WEEKDAY(A1926,2),"Segunda","Terça","Quarta","Quinta","Sexta","Sábado","Domingo"))</f>
        <v/>
      </c>
      <c r="Q1926" s="30">
        <f>IF(B1926="","",IF(B1926&lt;TIME(12,0,0),"Manhã",IF(B1926&lt;TIME(18,0,0),"Tarde","Noite")))</f>
        <v/>
      </c>
      <c r="R1926" s="46">
        <f>IF(AND(H1926="Realizado",L1926&lt;&gt;"",A1926&lt;=Config!$B$9),L1926/60,0)</f>
        <v>0</v>
      </c>
      <c r="S1926" s="45">
        <f>IF(G1926="","",IFERROR(INDEX(Config!$K$5:$K$16,MATCH(G1926,Config!$J$5:$J$16,0)),""))</f>
        <v/>
      </c>
      <c r="T1926" s="31">
        <f>IF(OR(G1926="",F1926=""),"",IFERROR(INDEX(Config!$M$5:$R$16,MATCH(G1926,Config!$J$5:$J$16,0),MATCH(F1926,Config!$H$5:$H$10,0)),""))</f>
        <v/>
      </c>
      <c r="U1926" s="47">
        <f>IF(AND(H1926="Realizado",L1926&lt;&gt;""),L1926/60,0)</f>
        <v>0</v>
      </c>
      <c r="V1926" s="47">
        <f>IF(AND(H1926="Realizado",OR(L1926="",M1926="")),1,0)</f>
        <v>0</v>
      </c>
    </row>
    <row r="1927">
      <c r="A1927" s="43" t="n"/>
      <c r="B1927" s="44" t="n"/>
      <c r="C1927" s="38" t="n"/>
      <c r="D1927" s="38" t="n"/>
      <c r="E1927" s="37" t="n"/>
      <c r="F1927" s="38" t="n"/>
      <c r="G1927" s="38" t="n"/>
      <c r="H1927" s="38" t="n"/>
      <c r="I1927" s="38" t="n"/>
      <c r="J1927" s="38" t="n"/>
      <c r="K1927" s="37" t="n"/>
      <c r="L1927" s="39" t="n"/>
      <c r="M1927" s="40" t="n"/>
      <c r="N1927" s="30">
        <f>IF(A1927="","",MONTH(A1927))</f>
        <v/>
      </c>
      <c r="O1927" s="30">
        <f>IF(A1927="","",YEAR(A1927))</f>
        <v/>
      </c>
      <c r="P1927" s="30">
        <f>IF(A1927="","",CHOOSE(WEEKDAY(A1927,2),"Segunda","Terça","Quarta","Quinta","Sexta","Sábado","Domingo"))</f>
        <v/>
      </c>
      <c r="Q1927" s="30">
        <f>IF(B1927="","",IF(B1927&lt;TIME(12,0,0),"Manhã",IF(B1927&lt;TIME(18,0,0),"Tarde","Noite")))</f>
        <v/>
      </c>
      <c r="R1927" s="46">
        <f>IF(AND(H1927="Realizado",L1927&lt;&gt;"",A1927&lt;=Config!$B$9),L1927/60,0)</f>
        <v>0</v>
      </c>
      <c r="S1927" s="45">
        <f>IF(G1927="","",IFERROR(INDEX(Config!$K$5:$K$16,MATCH(G1927,Config!$J$5:$J$16,0)),""))</f>
        <v/>
      </c>
      <c r="T1927" s="31">
        <f>IF(OR(G1927="",F1927=""),"",IFERROR(INDEX(Config!$M$5:$R$16,MATCH(G1927,Config!$J$5:$J$16,0),MATCH(F1927,Config!$H$5:$H$10,0)),""))</f>
        <v/>
      </c>
      <c r="U1927" s="47">
        <f>IF(AND(H1927="Realizado",L1927&lt;&gt;""),L1927/60,0)</f>
        <v>0</v>
      </c>
      <c r="V1927" s="47">
        <f>IF(AND(H1927="Realizado",OR(L1927="",M1927="")),1,0)</f>
        <v>0</v>
      </c>
    </row>
    <row r="1928">
      <c r="A1928" s="43" t="n"/>
      <c r="B1928" s="44" t="n"/>
      <c r="C1928" s="38" t="n"/>
      <c r="D1928" s="38" t="n"/>
      <c r="E1928" s="37" t="n"/>
      <c r="F1928" s="38" t="n"/>
      <c r="G1928" s="38" t="n"/>
      <c r="H1928" s="38" t="n"/>
      <c r="I1928" s="38" t="n"/>
      <c r="J1928" s="38" t="n"/>
      <c r="K1928" s="37" t="n"/>
      <c r="L1928" s="39" t="n"/>
      <c r="M1928" s="40" t="n"/>
      <c r="N1928" s="30">
        <f>IF(A1928="","",MONTH(A1928))</f>
        <v/>
      </c>
      <c r="O1928" s="30">
        <f>IF(A1928="","",YEAR(A1928))</f>
        <v/>
      </c>
      <c r="P1928" s="30">
        <f>IF(A1928="","",CHOOSE(WEEKDAY(A1928,2),"Segunda","Terça","Quarta","Quinta","Sexta","Sábado","Domingo"))</f>
        <v/>
      </c>
      <c r="Q1928" s="30">
        <f>IF(B1928="","",IF(B1928&lt;TIME(12,0,0),"Manhã",IF(B1928&lt;TIME(18,0,0),"Tarde","Noite")))</f>
        <v/>
      </c>
      <c r="R1928" s="46">
        <f>IF(AND(H1928="Realizado",L1928&lt;&gt;"",A1928&lt;=Config!$B$9),L1928/60,0)</f>
        <v>0</v>
      </c>
      <c r="S1928" s="45">
        <f>IF(G1928="","",IFERROR(INDEX(Config!$K$5:$K$16,MATCH(G1928,Config!$J$5:$J$16,0)),""))</f>
        <v/>
      </c>
      <c r="T1928" s="31">
        <f>IF(OR(G1928="",F1928=""),"",IFERROR(INDEX(Config!$M$5:$R$16,MATCH(G1928,Config!$J$5:$J$16,0),MATCH(F1928,Config!$H$5:$H$10,0)),""))</f>
        <v/>
      </c>
      <c r="U1928" s="47">
        <f>IF(AND(H1928="Realizado",L1928&lt;&gt;""),L1928/60,0)</f>
        <v>0</v>
      </c>
      <c r="V1928" s="47">
        <f>IF(AND(H1928="Realizado",OR(L1928="",M1928="")),1,0)</f>
        <v>0</v>
      </c>
    </row>
    <row r="1929">
      <c r="A1929" s="43" t="n"/>
      <c r="B1929" s="44" t="n"/>
      <c r="C1929" s="38" t="n"/>
      <c r="D1929" s="38" t="n"/>
      <c r="E1929" s="37" t="n"/>
      <c r="F1929" s="38" t="n"/>
      <c r="G1929" s="38" t="n"/>
      <c r="H1929" s="38" t="n"/>
      <c r="I1929" s="38" t="n"/>
      <c r="J1929" s="38" t="n"/>
      <c r="K1929" s="37" t="n"/>
      <c r="L1929" s="39" t="n"/>
      <c r="M1929" s="40" t="n"/>
      <c r="N1929" s="30">
        <f>IF(A1929="","",MONTH(A1929))</f>
        <v/>
      </c>
      <c r="O1929" s="30">
        <f>IF(A1929="","",YEAR(A1929))</f>
        <v/>
      </c>
      <c r="P1929" s="30">
        <f>IF(A1929="","",CHOOSE(WEEKDAY(A1929,2),"Segunda","Terça","Quarta","Quinta","Sexta","Sábado","Domingo"))</f>
        <v/>
      </c>
      <c r="Q1929" s="30">
        <f>IF(B1929="","",IF(B1929&lt;TIME(12,0,0),"Manhã",IF(B1929&lt;TIME(18,0,0),"Tarde","Noite")))</f>
        <v/>
      </c>
      <c r="R1929" s="46">
        <f>IF(AND(H1929="Realizado",L1929&lt;&gt;"",A1929&lt;=Config!$B$9),L1929/60,0)</f>
        <v>0</v>
      </c>
      <c r="S1929" s="45">
        <f>IF(G1929="","",IFERROR(INDEX(Config!$K$5:$K$16,MATCH(G1929,Config!$J$5:$J$16,0)),""))</f>
        <v/>
      </c>
      <c r="T1929" s="31">
        <f>IF(OR(G1929="",F1929=""),"",IFERROR(INDEX(Config!$M$5:$R$16,MATCH(G1929,Config!$J$5:$J$16,0),MATCH(F1929,Config!$H$5:$H$10,0)),""))</f>
        <v/>
      </c>
      <c r="U1929" s="47">
        <f>IF(AND(H1929="Realizado",L1929&lt;&gt;""),L1929/60,0)</f>
        <v>0</v>
      </c>
      <c r="V1929" s="47">
        <f>IF(AND(H1929="Realizado",OR(L1929="",M1929="")),1,0)</f>
        <v>0</v>
      </c>
    </row>
    <row r="1930">
      <c r="A1930" s="43" t="n"/>
      <c r="B1930" s="44" t="n"/>
      <c r="C1930" s="38" t="n"/>
      <c r="D1930" s="38" t="n"/>
      <c r="E1930" s="37" t="n"/>
      <c r="F1930" s="38" t="n"/>
      <c r="G1930" s="38" t="n"/>
      <c r="H1930" s="38" t="n"/>
      <c r="I1930" s="38" t="n"/>
      <c r="J1930" s="38" t="n"/>
      <c r="K1930" s="37" t="n"/>
      <c r="L1930" s="39" t="n"/>
      <c r="M1930" s="40" t="n"/>
      <c r="N1930" s="30">
        <f>IF(A1930="","",MONTH(A1930))</f>
        <v/>
      </c>
      <c r="O1930" s="30">
        <f>IF(A1930="","",YEAR(A1930))</f>
        <v/>
      </c>
      <c r="P1930" s="30">
        <f>IF(A1930="","",CHOOSE(WEEKDAY(A1930,2),"Segunda","Terça","Quarta","Quinta","Sexta","Sábado","Domingo"))</f>
        <v/>
      </c>
      <c r="Q1930" s="30">
        <f>IF(B1930="","",IF(B1930&lt;TIME(12,0,0),"Manhã",IF(B1930&lt;TIME(18,0,0),"Tarde","Noite")))</f>
        <v/>
      </c>
      <c r="R1930" s="46">
        <f>IF(AND(H1930="Realizado",L1930&lt;&gt;"",A1930&lt;=Config!$B$9),L1930/60,0)</f>
        <v>0</v>
      </c>
      <c r="S1930" s="45">
        <f>IF(G1930="","",IFERROR(INDEX(Config!$K$5:$K$16,MATCH(G1930,Config!$J$5:$J$16,0)),""))</f>
        <v/>
      </c>
      <c r="T1930" s="31">
        <f>IF(OR(G1930="",F1930=""),"",IFERROR(INDEX(Config!$M$5:$R$16,MATCH(G1930,Config!$J$5:$J$16,0),MATCH(F1930,Config!$H$5:$H$10,0)),""))</f>
        <v/>
      </c>
      <c r="U1930" s="47">
        <f>IF(AND(H1930="Realizado",L1930&lt;&gt;""),L1930/60,0)</f>
        <v>0</v>
      </c>
      <c r="V1930" s="47">
        <f>IF(AND(H1930="Realizado",OR(L1930="",M1930="")),1,0)</f>
        <v>0</v>
      </c>
    </row>
    <row r="1931">
      <c r="A1931" s="43" t="n"/>
      <c r="B1931" s="44" t="n"/>
      <c r="C1931" s="38" t="n"/>
      <c r="D1931" s="38" t="n"/>
      <c r="E1931" s="37" t="n"/>
      <c r="F1931" s="38" t="n"/>
      <c r="G1931" s="38" t="n"/>
      <c r="H1931" s="38" t="n"/>
      <c r="I1931" s="38" t="n"/>
      <c r="J1931" s="38" t="n"/>
      <c r="K1931" s="37" t="n"/>
      <c r="L1931" s="39" t="n"/>
      <c r="M1931" s="40" t="n"/>
      <c r="N1931" s="30">
        <f>IF(A1931="","",MONTH(A1931))</f>
        <v/>
      </c>
      <c r="O1931" s="30">
        <f>IF(A1931="","",YEAR(A1931))</f>
        <v/>
      </c>
      <c r="P1931" s="30">
        <f>IF(A1931="","",CHOOSE(WEEKDAY(A1931,2),"Segunda","Terça","Quarta","Quinta","Sexta","Sábado","Domingo"))</f>
        <v/>
      </c>
      <c r="Q1931" s="30">
        <f>IF(B1931="","",IF(B1931&lt;TIME(12,0,0),"Manhã",IF(B1931&lt;TIME(18,0,0),"Tarde","Noite")))</f>
        <v/>
      </c>
      <c r="R1931" s="46">
        <f>IF(AND(H1931="Realizado",L1931&lt;&gt;"",A1931&lt;=Config!$B$9),L1931/60,0)</f>
        <v>0</v>
      </c>
      <c r="S1931" s="45">
        <f>IF(G1931="","",IFERROR(INDEX(Config!$K$5:$K$16,MATCH(G1931,Config!$J$5:$J$16,0)),""))</f>
        <v/>
      </c>
      <c r="T1931" s="31">
        <f>IF(OR(G1931="",F1931=""),"",IFERROR(INDEX(Config!$M$5:$R$16,MATCH(G1931,Config!$J$5:$J$16,0),MATCH(F1931,Config!$H$5:$H$10,0)),""))</f>
        <v/>
      </c>
      <c r="U1931" s="47">
        <f>IF(AND(H1931="Realizado",L1931&lt;&gt;""),L1931/60,0)</f>
        <v>0</v>
      </c>
      <c r="V1931" s="47">
        <f>IF(AND(H1931="Realizado",OR(L1931="",M1931="")),1,0)</f>
        <v>0</v>
      </c>
    </row>
    <row r="1932">
      <c r="A1932" s="43" t="n"/>
      <c r="B1932" s="44" t="n"/>
      <c r="C1932" s="38" t="n"/>
      <c r="D1932" s="38" t="n"/>
      <c r="E1932" s="37" t="n"/>
      <c r="F1932" s="38" t="n"/>
      <c r="G1932" s="38" t="n"/>
      <c r="H1932" s="38" t="n"/>
      <c r="I1932" s="38" t="n"/>
      <c r="J1932" s="38" t="n"/>
      <c r="K1932" s="37" t="n"/>
      <c r="L1932" s="39" t="n"/>
      <c r="M1932" s="40" t="n"/>
      <c r="N1932" s="30">
        <f>IF(A1932="","",MONTH(A1932))</f>
        <v/>
      </c>
      <c r="O1932" s="30">
        <f>IF(A1932="","",YEAR(A1932))</f>
        <v/>
      </c>
      <c r="P1932" s="30">
        <f>IF(A1932="","",CHOOSE(WEEKDAY(A1932,2),"Segunda","Terça","Quarta","Quinta","Sexta","Sábado","Domingo"))</f>
        <v/>
      </c>
      <c r="Q1932" s="30">
        <f>IF(B1932="","",IF(B1932&lt;TIME(12,0,0),"Manhã",IF(B1932&lt;TIME(18,0,0),"Tarde","Noite")))</f>
        <v/>
      </c>
      <c r="R1932" s="46">
        <f>IF(AND(H1932="Realizado",L1932&lt;&gt;"",A1932&lt;=Config!$B$9),L1932/60,0)</f>
        <v>0</v>
      </c>
      <c r="S1932" s="45">
        <f>IF(G1932="","",IFERROR(INDEX(Config!$K$5:$K$16,MATCH(G1932,Config!$J$5:$J$16,0)),""))</f>
        <v/>
      </c>
      <c r="T1932" s="31">
        <f>IF(OR(G1932="",F1932=""),"",IFERROR(INDEX(Config!$M$5:$R$16,MATCH(G1932,Config!$J$5:$J$16,0),MATCH(F1932,Config!$H$5:$H$10,0)),""))</f>
        <v/>
      </c>
      <c r="U1932" s="47">
        <f>IF(AND(H1932="Realizado",L1932&lt;&gt;""),L1932/60,0)</f>
        <v>0</v>
      </c>
      <c r="V1932" s="47">
        <f>IF(AND(H1932="Realizado",OR(L1932="",M1932="")),1,0)</f>
        <v>0</v>
      </c>
    </row>
    <row r="1933">
      <c r="A1933" s="43" t="n"/>
      <c r="B1933" s="44" t="n"/>
      <c r="C1933" s="38" t="n"/>
      <c r="D1933" s="38" t="n"/>
      <c r="E1933" s="37" t="n"/>
      <c r="F1933" s="38" t="n"/>
      <c r="G1933" s="38" t="n"/>
      <c r="H1933" s="38" t="n"/>
      <c r="I1933" s="38" t="n"/>
      <c r="J1933" s="38" t="n"/>
      <c r="K1933" s="37" t="n"/>
      <c r="L1933" s="39" t="n"/>
      <c r="M1933" s="40" t="n"/>
      <c r="N1933" s="30">
        <f>IF(A1933="","",MONTH(A1933))</f>
        <v/>
      </c>
      <c r="O1933" s="30">
        <f>IF(A1933="","",YEAR(A1933))</f>
        <v/>
      </c>
      <c r="P1933" s="30">
        <f>IF(A1933="","",CHOOSE(WEEKDAY(A1933,2),"Segunda","Terça","Quarta","Quinta","Sexta","Sábado","Domingo"))</f>
        <v/>
      </c>
      <c r="Q1933" s="30">
        <f>IF(B1933="","",IF(B1933&lt;TIME(12,0,0),"Manhã",IF(B1933&lt;TIME(18,0,0),"Tarde","Noite")))</f>
        <v/>
      </c>
      <c r="R1933" s="46">
        <f>IF(AND(H1933="Realizado",L1933&lt;&gt;"",A1933&lt;=Config!$B$9),L1933/60,0)</f>
        <v>0</v>
      </c>
      <c r="S1933" s="45">
        <f>IF(G1933="","",IFERROR(INDEX(Config!$K$5:$K$16,MATCH(G1933,Config!$J$5:$J$16,0)),""))</f>
        <v/>
      </c>
      <c r="T1933" s="31">
        <f>IF(OR(G1933="",F1933=""),"",IFERROR(INDEX(Config!$M$5:$R$16,MATCH(G1933,Config!$J$5:$J$16,0),MATCH(F1933,Config!$H$5:$H$10,0)),""))</f>
        <v/>
      </c>
      <c r="U1933" s="47">
        <f>IF(AND(H1933="Realizado",L1933&lt;&gt;""),L1933/60,0)</f>
        <v>0</v>
      </c>
      <c r="V1933" s="47">
        <f>IF(AND(H1933="Realizado",OR(L1933="",M1933="")),1,0)</f>
        <v>0</v>
      </c>
    </row>
    <row r="1934">
      <c r="A1934" s="43" t="n"/>
      <c r="B1934" s="44" t="n"/>
      <c r="C1934" s="38" t="n"/>
      <c r="D1934" s="38" t="n"/>
      <c r="E1934" s="37" t="n"/>
      <c r="F1934" s="38" t="n"/>
      <c r="G1934" s="38" t="n"/>
      <c r="H1934" s="38" t="n"/>
      <c r="I1934" s="38" t="n"/>
      <c r="J1934" s="38" t="n"/>
      <c r="K1934" s="37" t="n"/>
      <c r="L1934" s="39" t="n"/>
      <c r="M1934" s="40" t="n"/>
      <c r="N1934" s="30">
        <f>IF(A1934="","",MONTH(A1934))</f>
        <v/>
      </c>
      <c r="O1934" s="30">
        <f>IF(A1934="","",YEAR(A1934))</f>
        <v/>
      </c>
      <c r="P1934" s="30">
        <f>IF(A1934="","",CHOOSE(WEEKDAY(A1934,2),"Segunda","Terça","Quarta","Quinta","Sexta","Sábado","Domingo"))</f>
        <v/>
      </c>
      <c r="Q1934" s="30">
        <f>IF(B1934="","",IF(B1934&lt;TIME(12,0,0),"Manhã",IF(B1934&lt;TIME(18,0,0),"Tarde","Noite")))</f>
        <v/>
      </c>
      <c r="R1934" s="46">
        <f>IF(AND(H1934="Realizado",L1934&lt;&gt;"",A1934&lt;=Config!$B$9),L1934/60,0)</f>
        <v>0</v>
      </c>
      <c r="S1934" s="45">
        <f>IF(G1934="","",IFERROR(INDEX(Config!$K$5:$K$16,MATCH(G1934,Config!$J$5:$J$16,0)),""))</f>
        <v/>
      </c>
      <c r="T1934" s="31">
        <f>IF(OR(G1934="",F1934=""),"",IFERROR(INDEX(Config!$M$5:$R$16,MATCH(G1934,Config!$J$5:$J$16,0),MATCH(F1934,Config!$H$5:$H$10,0)),""))</f>
        <v/>
      </c>
      <c r="U1934" s="47">
        <f>IF(AND(H1934="Realizado",L1934&lt;&gt;""),L1934/60,0)</f>
        <v>0</v>
      </c>
      <c r="V1934" s="47">
        <f>IF(AND(H1934="Realizado",OR(L1934="",M1934="")),1,0)</f>
        <v>0</v>
      </c>
    </row>
    <row r="1935">
      <c r="A1935" s="43" t="n"/>
      <c r="B1935" s="44" t="n"/>
      <c r="C1935" s="38" t="n"/>
      <c r="D1935" s="38" t="n"/>
      <c r="E1935" s="37" t="n"/>
      <c r="F1935" s="38" t="n"/>
      <c r="G1935" s="38" t="n"/>
      <c r="H1935" s="38" t="n"/>
      <c r="I1935" s="38" t="n"/>
      <c r="J1935" s="38" t="n"/>
      <c r="K1935" s="37" t="n"/>
      <c r="L1935" s="39" t="n"/>
      <c r="M1935" s="40" t="n"/>
      <c r="N1935" s="30">
        <f>IF(A1935="","",MONTH(A1935))</f>
        <v/>
      </c>
      <c r="O1935" s="30">
        <f>IF(A1935="","",YEAR(A1935))</f>
        <v/>
      </c>
      <c r="P1935" s="30">
        <f>IF(A1935="","",CHOOSE(WEEKDAY(A1935,2),"Segunda","Terça","Quarta","Quinta","Sexta","Sábado","Domingo"))</f>
        <v/>
      </c>
      <c r="Q1935" s="30">
        <f>IF(B1935="","",IF(B1935&lt;TIME(12,0,0),"Manhã",IF(B1935&lt;TIME(18,0,0),"Tarde","Noite")))</f>
        <v/>
      </c>
      <c r="R1935" s="46">
        <f>IF(AND(H1935="Realizado",L1935&lt;&gt;"",A1935&lt;=Config!$B$9),L1935/60,0)</f>
        <v>0</v>
      </c>
      <c r="S1935" s="45">
        <f>IF(G1935="","",IFERROR(INDEX(Config!$K$5:$K$16,MATCH(G1935,Config!$J$5:$J$16,0)),""))</f>
        <v/>
      </c>
      <c r="T1935" s="31">
        <f>IF(OR(G1935="",F1935=""),"",IFERROR(INDEX(Config!$M$5:$R$16,MATCH(G1935,Config!$J$5:$J$16,0),MATCH(F1935,Config!$H$5:$H$10,0)),""))</f>
        <v/>
      </c>
      <c r="U1935" s="47">
        <f>IF(AND(H1935="Realizado",L1935&lt;&gt;""),L1935/60,0)</f>
        <v>0</v>
      </c>
      <c r="V1935" s="47">
        <f>IF(AND(H1935="Realizado",OR(L1935="",M1935="")),1,0)</f>
        <v>0</v>
      </c>
    </row>
    <row r="1936">
      <c r="A1936" s="43" t="n"/>
      <c r="B1936" s="44" t="n"/>
      <c r="C1936" s="38" t="n"/>
      <c r="D1936" s="38" t="n"/>
      <c r="E1936" s="37" t="n"/>
      <c r="F1936" s="38" t="n"/>
      <c r="G1936" s="38" t="n"/>
      <c r="H1936" s="38" t="n"/>
      <c r="I1936" s="38" t="n"/>
      <c r="J1936" s="38" t="n"/>
      <c r="K1936" s="37" t="n"/>
      <c r="L1936" s="39" t="n"/>
      <c r="M1936" s="40" t="n"/>
      <c r="N1936" s="30">
        <f>IF(A1936="","",MONTH(A1936))</f>
        <v/>
      </c>
      <c r="O1936" s="30">
        <f>IF(A1936="","",YEAR(A1936))</f>
        <v/>
      </c>
      <c r="P1936" s="30">
        <f>IF(A1936="","",CHOOSE(WEEKDAY(A1936,2),"Segunda","Terça","Quarta","Quinta","Sexta","Sábado","Domingo"))</f>
        <v/>
      </c>
      <c r="Q1936" s="30">
        <f>IF(B1936="","",IF(B1936&lt;TIME(12,0,0),"Manhã",IF(B1936&lt;TIME(18,0,0),"Tarde","Noite")))</f>
        <v/>
      </c>
      <c r="R1936" s="46">
        <f>IF(AND(H1936="Realizado",L1936&lt;&gt;"",A1936&lt;=Config!$B$9),L1936/60,0)</f>
        <v>0</v>
      </c>
      <c r="S1936" s="45">
        <f>IF(G1936="","",IFERROR(INDEX(Config!$K$5:$K$16,MATCH(G1936,Config!$J$5:$J$16,0)),""))</f>
        <v/>
      </c>
      <c r="T1936" s="31">
        <f>IF(OR(G1936="",F1936=""),"",IFERROR(INDEX(Config!$M$5:$R$16,MATCH(G1936,Config!$J$5:$J$16,0),MATCH(F1936,Config!$H$5:$H$10,0)),""))</f>
        <v/>
      </c>
      <c r="U1936" s="47">
        <f>IF(AND(H1936="Realizado",L1936&lt;&gt;""),L1936/60,0)</f>
        <v>0</v>
      </c>
      <c r="V1936" s="47">
        <f>IF(AND(H1936="Realizado",OR(L1936="",M1936="")),1,0)</f>
        <v>0</v>
      </c>
    </row>
    <row r="1937">
      <c r="A1937" s="43" t="n"/>
      <c r="B1937" s="44" t="n"/>
      <c r="C1937" s="38" t="n"/>
      <c r="D1937" s="38" t="n"/>
      <c r="E1937" s="37" t="n"/>
      <c r="F1937" s="38" t="n"/>
      <c r="G1937" s="38" t="n"/>
      <c r="H1937" s="38" t="n"/>
      <c r="I1937" s="38" t="n"/>
      <c r="J1937" s="38" t="n"/>
      <c r="K1937" s="37" t="n"/>
      <c r="L1937" s="39" t="n"/>
      <c r="M1937" s="40" t="n"/>
      <c r="N1937" s="30">
        <f>IF(A1937="","",MONTH(A1937))</f>
        <v/>
      </c>
      <c r="O1937" s="30">
        <f>IF(A1937="","",YEAR(A1937))</f>
        <v/>
      </c>
      <c r="P1937" s="30">
        <f>IF(A1937="","",CHOOSE(WEEKDAY(A1937,2),"Segunda","Terça","Quarta","Quinta","Sexta","Sábado","Domingo"))</f>
        <v/>
      </c>
      <c r="Q1937" s="30">
        <f>IF(B1937="","",IF(B1937&lt;TIME(12,0,0),"Manhã",IF(B1937&lt;TIME(18,0,0),"Tarde","Noite")))</f>
        <v/>
      </c>
      <c r="R1937" s="46">
        <f>IF(AND(H1937="Realizado",L1937&lt;&gt;"",A1937&lt;=Config!$B$9),L1937/60,0)</f>
        <v>0</v>
      </c>
      <c r="S1937" s="45">
        <f>IF(G1937="","",IFERROR(INDEX(Config!$K$5:$K$16,MATCH(G1937,Config!$J$5:$J$16,0)),""))</f>
        <v/>
      </c>
      <c r="T1937" s="31">
        <f>IF(OR(G1937="",F1937=""),"",IFERROR(INDEX(Config!$M$5:$R$16,MATCH(G1937,Config!$J$5:$J$16,0),MATCH(F1937,Config!$H$5:$H$10,0)),""))</f>
        <v/>
      </c>
      <c r="U1937" s="47">
        <f>IF(AND(H1937="Realizado",L1937&lt;&gt;""),L1937/60,0)</f>
        <v>0</v>
      </c>
      <c r="V1937" s="47">
        <f>IF(AND(H1937="Realizado",OR(L1937="",M1937="")),1,0)</f>
        <v>0</v>
      </c>
    </row>
    <row r="1938">
      <c r="A1938" s="43" t="n"/>
      <c r="B1938" s="44" t="n"/>
      <c r="C1938" s="38" t="n"/>
      <c r="D1938" s="38" t="n"/>
      <c r="E1938" s="37" t="n"/>
      <c r="F1938" s="38" t="n"/>
      <c r="G1938" s="38" t="n"/>
      <c r="H1938" s="38" t="n"/>
      <c r="I1938" s="38" t="n"/>
      <c r="J1938" s="38" t="n"/>
      <c r="K1938" s="37" t="n"/>
      <c r="L1938" s="39" t="n"/>
      <c r="M1938" s="40" t="n"/>
      <c r="N1938" s="30">
        <f>IF(A1938="","",MONTH(A1938))</f>
        <v/>
      </c>
      <c r="O1938" s="30">
        <f>IF(A1938="","",YEAR(A1938))</f>
        <v/>
      </c>
      <c r="P1938" s="30">
        <f>IF(A1938="","",CHOOSE(WEEKDAY(A1938,2),"Segunda","Terça","Quarta","Quinta","Sexta","Sábado","Domingo"))</f>
        <v/>
      </c>
      <c r="Q1938" s="30">
        <f>IF(B1938="","",IF(B1938&lt;TIME(12,0,0),"Manhã",IF(B1938&lt;TIME(18,0,0),"Tarde","Noite")))</f>
        <v/>
      </c>
      <c r="R1938" s="46">
        <f>IF(AND(H1938="Realizado",L1938&lt;&gt;"",A1938&lt;=Config!$B$9),L1938/60,0)</f>
        <v>0</v>
      </c>
      <c r="S1938" s="45">
        <f>IF(G1938="","",IFERROR(INDEX(Config!$K$5:$K$16,MATCH(G1938,Config!$J$5:$J$16,0)),""))</f>
        <v/>
      </c>
      <c r="T1938" s="31">
        <f>IF(OR(G1938="",F1938=""),"",IFERROR(INDEX(Config!$M$5:$R$16,MATCH(G1938,Config!$J$5:$J$16,0),MATCH(F1938,Config!$H$5:$H$10,0)),""))</f>
        <v/>
      </c>
      <c r="U1938" s="47">
        <f>IF(AND(H1938="Realizado",L1938&lt;&gt;""),L1938/60,0)</f>
        <v>0</v>
      </c>
      <c r="V1938" s="47">
        <f>IF(AND(H1938="Realizado",OR(L1938="",M1938="")),1,0)</f>
        <v>0</v>
      </c>
    </row>
    <row r="1939">
      <c r="A1939" s="43" t="n"/>
      <c r="B1939" s="44" t="n"/>
      <c r="C1939" s="38" t="n"/>
      <c r="D1939" s="38" t="n"/>
      <c r="E1939" s="37" t="n"/>
      <c r="F1939" s="38" t="n"/>
      <c r="G1939" s="38" t="n"/>
      <c r="H1939" s="38" t="n"/>
      <c r="I1939" s="38" t="n"/>
      <c r="J1939" s="38" t="n"/>
      <c r="K1939" s="37" t="n"/>
      <c r="L1939" s="39" t="n"/>
      <c r="M1939" s="40" t="n"/>
      <c r="N1939" s="30">
        <f>IF(A1939="","",MONTH(A1939))</f>
        <v/>
      </c>
      <c r="O1939" s="30">
        <f>IF(A1939="","",YEAR(A1939))</f>
        <v/>
      </c>
      <c r="P1939" s="30">
        <f>IF(A1939="","",CHOOSE(WEEKDAY(A1939,2),"Segunda","Terça","Quarta","Quinta","Sexta","Sábado","Domingo"))</f>
        <v/>
      </c>
      <c r="Q1939" s="30">
        <f>IF(B1939="","",IF(B1939&lt;TIME(12,0,0),"Manhã",IF(B1939&lt;TIME(18,0,0),"Tarde","Noite")))</f>
        <v/>
      </c>
      <c r="R1939" s="46">
        <f>IF(AND(H1939="Realizado",L1939&lt;&gt;"",A1939&lt;=Config!$B$9),L1939/60,0)</f>
        <v>0</v>
      </c>
      <c r="S1939" s="45">
        <f>IF(G1939="","",IFERROR(INDEX(Config!$K$5:$K$16,MATCH(G1939,Config!$J$5:$J$16,0)),""))</f>
        <v/>
      </c>
      <c r="T1939" s="31">
        <f>IF(OR(G1939="",F1939=""),"",IFERROR(INDEX(Config!$M$5:$R$16,MATCH(G1939,Config!$J$5:$J$16,0),MATCH(F1939,Config!$H$5:$H$10,0)),""))</f>
        <v/>
      </c>
      <c r="U1939" s="47">
        <f>IF(AND(H1939="Realizado",L1939&lt;&gt;""),L1939/60,0)</f>
        <v>0</v>
      </c>
      <c r="V1939" s="47">
        <f>IF(AND(H1939="Realizado",OR(L1939="",M1939="")),1,0)</f>
        <v>0</v>
      </c>
    </row>
    <row r="1940">
      <c r="A1940" s="43" t="n"/>
      <c r="B1940" s="44" t="n"/>
      <c r="C1940" s="38" t="n"/>
      <c r="D1940" s="38" t="n"/>
      <c r="E1940" s="37" t="n"/>
      <c r="F1940" s="38" t="n"/>
      <c r="G1940" s="38" t="n"/>
      <c r="H1940" s="38" t="n"/>
      <c r="I1940" s="38" t="n"/>
      <c r="J1940" s="38" t="n"/>
      <c r="K1940" s="37" t="n"/>
      <c r="L1940" s="39" t="n"/>
      <c r="M1940" s="40" t="n"/>
      <c r="N1940" s="30">
        <f>IF(A1940="","",MONTH(A1940))</f>
        <v/>
      </c>
      <c r="O1940" s="30">
        <f>IF(A1940="","",YEAR(A1940))</f>
        <v/>
      </c>
      <c r="P1940" s="30">
        <f>IF(A1940="","",CHOOSE(WEEKDAY(A1940,2),"Segunda","Terça","Quarta","Quinta","Sexta","Sábado","Domingo"))</f>
        <v/>
      </c>
      <c r="Q1940" s="30">
        <f>IF(B1940="","",IF(B1940&lt;TIME(12,0,0),"Manhã",IF(B1940&lt;TIME(18,0,0),"Tarde","Noite")))</f>
        <v/>
      </c>
      <c r="R1940" s="46">
        <f>IF(AND(H1940="Realizado",L1940&lt;&gt;"",A1940&lt;=Config!$B$9),L1940/60,0)</f>
        <v>0</v>
      </c>
      <c r="S1940" s="45">
        <f>IF(G1940="","",IFERROR(INDEX(Config!$K$5:$K$16,MATCH(G1940,Config!$J$5:$J$16,0)),""))</f>
        <v/>
      </c>
      <c r="T1940" s="31">
        <f>IF(OR(G1940="",F1940=""),"",IFERROR(INDEX(Config!$M$5:$R$16,MATCH(G1940,Config!$J$5:$J$16,0),MATCH(F1940,Config!$H$5:$H$10,0)),""))</f>
        <v/>
      </c>
      <c r="U1940" s="47">
        <f>IF(AND(H1940="Realizado",L1940&lt;&gt;""),L1940/60,0)</f>
        <v>0</v>
      </c>
      <c r="V1940" s="47">
        <f>IF(AND(H1940="Realizado",OR(L1940="",M1940="")),1,0)</f>
        <v>0</v>
      </c>
    </row>
    <row r="1941">
      <c r="A1941" s="43" t="n"/>
      <c r="B1941" s="44" t="n"/>
      <c r="C1941" s="38" t="n"/>
      <c r="D1941" s="38" t="n"/>
      <c r="E1941" s="37" t="n"/>
      <c r="F1941" s="38" t="n"/>
      <c r="G1941" s="38" t="n"/>
      <c r="H1941" s="38" t="n"/>
      <c r="I1941" s="38" t="n"/>
      <c r="J1941" s="38" t="n"/>
      <c r="K1941" s="37" t="n"/>
      <c r="L1941" s="39" t="n"/>
      <c r="M1941" s="40" t="n"/>
      <c r="N1941" s="30">
        <f>IF(A1941="","",MONTH(A1941))</f>
        <v/>
      </c>
      <c r="O1941" s="30">
        <f>IF(A1941="","",YEAR(A1941))</f>
        <v/>
      </c>
      <c r="P1941" s="30">
        <f>IF(A1941="","",CHOOSE(WEEKDAY(A1941,2),"Segunda","Terça","Quarta","Quinta","Sexta","Sábado","Domingo"))</f>
        <v/>
      </c>
      <c r="Q1941" s="30">
        <f>IF(B1941="","",IF(B1941&lt;TIME(12,0,0),"Manhã",IF(B1941&lt;TIME(18,0,0),"Tarde","Noite")))</f>
        <v/>
      </c>
      <c r="R1941" s="46">
        <f>IF(AND(H1941="Realizado",L1941&lt;&gt;"",A1941&lt;=Config!$B$9),L1941/60,0)</f>
        <v>0</v>
      </c>
      <c r="S1941" s="45">
        <f>IF(G1941="","",IFERROR(INDEX(Config!$K$5:$K$16,MATCH(G1941,Config!$J$5:$J$16,0)),""))</f>
        <v/>
      </c>
      <c r="T1941" s="31">
        <f>IF(OR(G1941="",F1941=""),"",IFERROR(INDEX(Config!$M$5:$R$16,MATCH(G1941,Config!$J$5:$J$16,0),MATCH(F1941,Config!$H$5:$H$10,0)),""))</f>
        <v/>
      </c>
      <c r="U1941" s="47">
        <f>IF(AND(H1941="Realizado",L1941&lt;&gt;""),L1941/60,0)</f>
        <v>0</v>
      </c>
      <c r="V1941" s="47">
        <f>IF(AND(H1941="Realizado",OR(L1941="",M1941="")),1,0)</f>
        <v>0</v>
      </c>
    </row>
    <row r="1942">
      <c r="A1942" s="43" t="n"/>
      <c r="B1942" s="44" t="n"/>
      <c r="C1942" s="38" t="n"/>
      <c r="D1942" s="38" t="n"/>
      <c r="E1942" s="37" t="n"/>
      <c r="F1942" s="38" t="n"/>
      <c r="G1942" s="38" t="n"/>
      <c r="H1942" s="38" t="n"/>
      <c r="I1942" s="38" t="n"/>
      <c r="J1942" s="38" t="n"/>
      <c r="K1942" s="37" t="n"/>
      <c r="L1942" s="39" t="n"/>
      <c r="M1942" s="40" t="n"/>
      <c r="N1942" s="30">
        <f>IF(A1942="","",MONTH(A1942))</f>
        <v/>
      </c>
      <c r="O1942" s="30">
        <f>IF(A1942="","",YEAR(A1942))</f>
        <v/>
      </c>
      <c r="P1942" s="30">
        <f>IF(A1942="","",CHOOSE(WEEKDAY(A1942,2),"Segunda","Terça","Quarta","Quinta","Sexta","Sábado","Domingo"))</f>
        <v/>
      </c>
      <c r="Q1942" s="30">
        <f>IF(B1942="","",IF(B1942&lt;TIME(12,0,0),"Manhã",IF(B1942&lt;TIME(18,0,0),"Tarde","Noite")))</f>
        <v/>
      </c>
      <c r="R1942" s="46">
        <f>IF(AND(H1942="Realizado",L1942&lt;&gt;"",A1942&lt;=Config!$B$9),L1942/60,0)</f>
        <v>0</v>
      </c>
      <c r="S1942" s="45">
        <f>IF(G1942="","",IFERROR(INDEX(Config!$K$5:$K$16,MATCH(G1942,Config!$J$5:$J$16,0)),""))</f>
        <v/>
      </c>
      <c r="T1942" s="31">
        <f>IF(OR(G1942="",F1942=""),"",IFERROR(INDEX(Config!$M$5:$R$16,MATCH(G1942,Config!$J$5:$J$16,0),MATCH(F1942,Config!$H$5:$H$10,0)),""))</f>
        <v/>
      </c>
      <c r="U1942" s="47">
        <f>IF(AND(H1942="Realizado",L1942&lt;&gt;""),L1942/60,0)</f>
        <v>0</v>
      </c>
      <c r="V1942" s="47">
        <f>IF(AND(H1942="Realizado",OR(L1942="",M1942="")),1,0)</f>
        <v>0</v>
      </c>
    </row>
    <row r="1943">
      <c r="A1943" s="43" t="n"/>
      <c r="B1943" s="44" t="n"/>
      <c r="C1943" s="38" t="n"/>
      <c r="D1943" s="38" t="n"/>
      <c r="E1943" s="37" t="n"/>
      <c r="F1943" s="38" t="n"/>
      <c r="G1943" s="38" t="n"/>
      <c r="H1943" s="38" t="n"/>
      <c r="I1943" s="38" t="n"/>
      <c r="J1943" s="38" t="n"/>
      <c r="K1943" s="37" t="n"/>
      <c r="L1943" s="39" t="n"/>
      <c r="M1943" s="40" t="n"/>
      <c r="N1943" s="30">
        <f>IF(A1943="","",MONTH(A1943))</f>
        <v/>
      </c>
      <c r="O1943" s="30">
        <f>IF(A1943="","",YEAR(A1943))</f>
        <v/>
      </c>
      <c r="P1943" s="30">
        <f>IF(A1943="","",CHOOSE(WEEKDAY(A1943,2),"Segunda","Terça","Quarta","Quinta","Sexta","Sábado","Domingo"))</f>
        <v/>
      </c>
      <c r="Q1943" s="30">
        <f>IF(B1943="","",IF(B1943&lt;TIME(12,0,0),"Manhã",IF(B1943&lt;TIME(18,0,0),"Tarde","Noite")))</f>
        <v/>
      </c>
      <c r="R1943" s="46">
        <f>IF(AND(H1943="Realizado",L1943&lt;&gt;"",A1943&lt;=Config!$B$9),L1943/60,0)</f>
        <v>0</v>
      </c>
      <c r="S1943" s="45">
        <f>IF(G1943="","",IFERROR(INDEX(Config!$K$5:$K$16,MATCH(G1943,Config!$J$5:$J$16,0)),""))</f>
        <v/>
      </c>
      <c r="T1943" s="31">
        <f>IF(OR(G1943="",F1943=""),"",IFERROR(INDEX(Config!$M$5:$R$16,MATCH(G1943,Config!$J$5:$J$16,0),MATCH(F1943,Config!$H$5:$H$10,0)),""))</f>
        <v/>
      </c>
      <c r="U1943" s="47">
        <f>IF(AND(H1943="Realizado",L1943&lt;&gt;""),L1943/60,0)</f>
        <v>0</v>
      </c>
      <c r="V1943" s="47">
        <f>IF(AND(H1943="Realizado",OR(L1943="",M1943="")),1,0)</f>
        <v>0</v>
      </c>
    </row>
    <row r="1944">
      <c r="A1944" s="43" t="n"/>
      <c r="B1944" s="44" t="n"/>
      <c r="C1944" s="38" t="n"/>
      <c r="D1944" s="38" t="n"/>
      <c r="E1944" s="37" t="n"/>
      <c r="F1944" s="38" t="n"/>
      <c r="G1944" s="38" t="n"/>
      <c r="H1944" s="38" t="n"/>
      <c r="I1944" s="38" t="n"/>
      <c r="J1944" s="38" t="n"/>
      <c r="K1944" s="37" t="n"/>
      <c r="L1944" s="39" t="n"/>
      <c r="M1944" s="40" t="n"/>
      <c r="N1944" s="30">
        <f>IF(A1944="","",MONTH(A1944))</f>
        <v/>
      </c>
      <c r="O1944" s="30">
        <f>IF(A1944="","",YEAR(A1944))</f>
        <v/>
      </c>
      <c r="P1944" s="30">
        <f>IF(A1944="","",CHOOSE(WEEKDAY(A1944,2),"Segunda","Terça","Quarta","Quinta","Sexta","Sábado","Domingo"))</f>
        <v/>
      </c>
      <c r="Q1944" s="30">
        <f>IF(B1944="","",IF(B1944&lt;TIME(12,0,0),"Manhã",IF(B1944&lt;TIME(18,0,0),"Tarde","Noite")))</f>
        <v/>
      </c>
      <c r="R1944" s="46">
        <f>IF(AND(H1944="Realizado",L1944&lt;&gt;"",A1944&lt;=Config!$B$9),L1944/60,0)</f>
        <v>0</v>
      </c>
      <c r="S1944" s="45">
        <f>IF(G1944="","",IFERROR(INDEX(Config!$K$5:$K$16,MATCH(G1944,Config!$J$5:$J$16,0)),""))</f>
        <v/>
      </c>
      <c r="T1944" s="31">
        <f>IF(OR(G1944="",F1944=""),"",IFERROR(INDEX(Config!$M$5:$R$16,MATCH(G1944,Config!$J$5:$J$16,0),MATCH(F1944,Config!$H$5:$H$10,0)),""))</f>
        <v/>
      </c>
      <c r="U1944" s="47">
        <f>IF(AND(H1944="Realizado",L1944&lt;&gt;""),L1944/60,0)</f>
        <v>0</v>
      </c>
      <c r="V1944" s="47">
        <f>IF(AND(H1944="Realizado",OR(L1944="",M1944="")),1,0)</f>
        <v>0</v>
      </c>
    </row>
    <row r="1945">
      <c r="A1945" s="43" t="n"/>
      <c r="B1945" s="44" t="n"/>
      <c r="C1945" s="38" t="n"/>
      <c r="D1945" s="38" t="n"/>
      <c r="E1945" s="37" t="n"/>
      <c r="F1945" s="38" t="n"/>
      <c r="G1945" s="38" t="n"/>
      <c r="H1945" s="38" t="n"/>
      <c r="I1945" s="38" t="n"/>
      <c r="J1945" s="38" t="n"/>
      <c r="K1945" s="37" t="n"/>
      <c r="L1945" s="39" t="n"/>
      <c r="M1945" s="40" t="n"/>
      <c r="N1945" s="30">
        <f>IF(A1945="","",MONTH(A1945))</f>
        <v/>
      </c>
      <c r="O1945" s="30">
        <f>IF(A1945="","",YEAR(A1945))</f>
        <v/>
      </c>
      <c r="P1945" s="30">
        <f>IF(A1945="","",CHOOSE(WEEKDAY(A1945,2),"Segunda","Terça","Quarta","Quinta","Sexta","Sábado","Domingo"))</f>
        <v/>
      </c>
      <c r="Q1945" s="30">
        <f>IF(B1945="","",IF(B1945&lt;TIME(12,0,0),"Manhã",IF(B1945&lt;TIME(18,0,0),"Tarde","Noite")))</f>
        <v/>
      </c>
      <c r="R1945" s="46">
        <f>IF(AND(H1945="Realizado",L1945&lt;&gt;"",A1945&lt;=Config!$B$9),L1945/60,0)</f>
        <v>0</v>
      </c>
      <c r="S1945" s="45">
        <f>IF(G1945="","",IFERROR(INDEX(Config!$K$5:$K$16,MATCH(G1945,Config!$J$5:$J$16,0)),""))</f>
        <v/>
      </c>
      <c r="T1945" s="31">
        <f>IF(OR(G1945="",F1945=""),"",IFERROR(INDEX(Config!$M$5:$R$16,MATCH(G1945,Config!$J$5:$J$16,0),MATCH(F1945,Config!$H$5:$H$10,0)),""))</f>
        <v/>
      </c>
      <c r="U1945" s="47">
        <f>IF(AND(H1945="Realizado",L1945&lt;&gt;""),L1945/60,0)</f>
        <v>0</v>
      </c>
      <c r="V1945" s="47">
        <f>IF(AND(H1945="Realizado",OR(L1945="",M1945="")),1,0)</f>
        <v>0</v>
      </c>
    </row>
    <row r="1946">
      <c r="A1946" s="43" t="n"/>
      <c r="B1946" s="44" t="n"/>
      <c r="C1946" s="38" t="n"/>
      <c r="D1946" s="38" t="n"/>
      <c r="E1946" s="37" t="n"/>
      <c r="F1946" s="38" t="n"/>
      <c r="G1946" s="38" t="n"/>
      <c r="H1946" s="38" t="n"/>
      <c r="I1946" s="38" t="n"/>
      <c r="J1946" s="38" t="n"/>
      <c r="K1946" s="37" t="n"/>
      <c r="L1946" s="39" t="n"/>
      <c r="M1946" s="40" t="n"/>
      <c r="N1946" s="30">
        <f>IF(A1946="","",MONTH(A1946))</f>
        <v/>
      </c>
      <c r="O1946" s="30">
        <f>IF(A1946="","",YEAR(A1946))</f>
        <v/>
      </c>
      <c r="P1946" s="30">
        <f>IF(A1946="","",CHOOSE(WEEKDAY(A1946,2),"Segunda","Terça","Quarta","Quinta","Sexta","Sábado","Domingo"))</f>
        <v/>
      </c>
      <c r="Q1946" s="30">
        <f>IF(B1946="","",IF(B1946&lt;TIME(12,0,0),"Manhã",IF(B1946&lt;TIME(18,0,0),"Tarde","Noite")))</f>
        <v/>
      </c>
      <c r="R1946" s="46">
        <f>IF(AND(H1946="Realizado",L1946&lt;&gt;"",A1946&lt;=Config!$B$9),L1946/60,0)</f>
        <v>0</v>
      </c>
      <c r="S1946" s="45">
        <f>IF(G1946="","",IFERROR(INDEX(Config!$K$5:$K$16,MATCH(G1946,Config!$J$5:$J$16,0)),""))</f>
        <v/>
      </c>
      <c r="T1946" s="31">
        <f>IF(OR(G1946="",F1946=""),"",IFERROR(INDEX(Config!$M$5:$R$16,MATCH(G1946,Config!$J$5:$J$16,0),MATCH(F1946,Config!$H$5:$H$10,0)),""))</f>
        <v/>
      </c>
      <c r="U1946" s="47">
        <f>IF(AND(H1946="Realizado",L1946&lt;&gt;""),L1946/60,0)</f>
        <v>0</v>
      </c>
      <c r="V1946" s="47">
        <f>IF(AND(H1946="Realizado",OR(L1946="",M1946="")),1,0)</f>
        <v>0</v>
      </c>
    </row>
    <row r="1947">
      <c r="A1947" s="43" t="n"/>
      <c r="B1947" s="44" t="n"/>
      <c r="C1947" s="38" t="n"/>
      <c r="D1947" s="38" t="n"/>
      <c r="E1947" s="37" t="n"/>
      <c r="F1947" s="38" t="n"/>
      <c r="G1947" s="38" t="n"/>
      <c r="H1947" s="38" t="n"/>
      <c r="I1947" s="38" t="n"/>
      <c r="J1947" s="38" t="n"/>
      <c r="K1947" s="37" t="n"/>
      <c r="L1947" s="39" t="n"/>
      <c r="M1947" s="40" t="n"/>
      <c r="N1947" s="30">
        <f>IF(A1947="","",MONTH(A1947))</f>
        <v/>
      </c>
      <c r="O1947" s="30">
        <f>IF(A1947="","",YEAR(A1947))</f>
        <v/>
      </c>
      <c r="P1947" s="30">
        <f>IF(A1947="","",CHOOSE(WEEKDAY(A1947,2),"Segunda","Terça","Quarta","Quinta","Sexta","Sábado","Domingo"))</f>
        <v/>
      </c>
      <c r="Q1947" s="30">
        <f>IF(B1947="","",IF(B1947&lt;TIME(12,0,0),"Manhã",IF(B1947&lt;TIME(18,0,0),"Tarde","Noite")))</f>
        <v/>
      </c>
      <c r="R1947" s="46">
        <f>IF(AND(H1947="Realizado",L1947&lt;&gt;"",A1947&lt;=Config!$B$9),L1947/60,0)</f>
        <v>0</v>
      </c>
      <c r="S1947" s="45">
        <f>IF(G1947="","",IFERROR(INDEX(Config!$K$5:$K$16,MATCH(G1947,Config!$J$5:$J$16,0)),""))</f>
        <v/>
      </c>
      <c r="T1947" s="31">
        <f>IF(OR(G1947="",F1947=""),"",IFERROR(INDEX(Config!$M$5:$R$16,MATCH(G1947,Config!$J$5:$J$16,0),MATCH(F1947,Config!$H$5:$H$10,0)),""))</f>
        <v/>
      </c>
      <c r="U1947" s="47">
        <f>IF(AND(H1947="Realizado",L1947&lt;&gt;""),L1947/60,0)</f>
        <v>0</v>
      </c>
      <c r="V1947" s="47">
        <f>IF(AND(H1947="Realizado",OR(L1947="",M1947="")),1,0)</f>
        <v>0</v>
      </c>
    </row>
    <row r="1948">
      <c r="A1948" s="43" t="n"/>
      <c r="B1948" s="44" t="n"/>
      <c r="C1948" s="38" t="n"/>
      <c r="D1948" s="38" t="n"/>
      <c r="E1948" s="37" t="n"/>
      <c r="F1948" s="38" t="n"/>
      <c r="G1948" s="38" t="n"/>
      <c r="H1948" s="38" t="n"/>
      <c r="I1948" s="38" t="n"/>
      <c r="J1948" s="38" t="n"/>
      <c r="K1948" s="37" t="n"/>
      <c r="L1948" s="39" t="n"/>
      <c r="M1948" s="40" t="n"/>
      <c r="N1948" s="30">
        <f>IF(A1948="","",MONTH(A1948))</f>
        <v/>
      </c>
      <c r="O1948" s="30">
        <f>IF(A1948="","",YEAR(A1948))</f>
        <v/>
      </c>
      <c r="P1948" s="30">
        <f>IF(A1948="","",CHOOSE(WEEKDAY(A1948,2),"Segunda","Terça","Quarta","Quinta","Sexta","Sábado","Domingo"))</f>
        <v/>
      </c>
      <c r="Q1948" s="30">
        <f>IF(B1948="","",IF(B1948&lt;TIME(12,0,0),"Manhã",IF(B1948&lt;TIME(18,0,0),"Tarde","Noite")))</f>
        <v/>
      </c>
      <c r="R1948" s="46">
        <f>IF(AND(H1948="Realizado",L1948&lt;&gt;"",A1948&lt;=Config!$B$9),L1948/60,0)</f>
        <v>0</v>
      </c>
      <c r="S1948" s="45">
        <f>IF(G1948="","",IFERROR(INDEX(Config!$K$5:$K$16,MATCH(G1948,Config!$J$5:$J$16,0)),""))</f>
        <v/>
      </c>
      <c r="T1948" s="31">
        <f>IF(OR(G1948="",F1948=""),"",IFERROR(INDEX(Config!$M$5:$R$16,MATCH(G1948,Config!$J$5:$J$16,0),MATCH(F1948,Config!$H$5:$H$10,0)),""))</f>
        <v/>
      </c>
      <c r="U1948" s="47">
        <f>IF(AND(H1948="Realizado",L1948&lt;&gt;""),L1948/60,0)</f>
        <v>0</v>
      </c>
      <c r="V1948" s="47">
        <f>IF(AND(H1948="Realizado",OR(L1948="",M1948="")),1,0)</f>
        <v>0</v>
      </c>
    </row>
    <row r="1949">
      <c r="A1949" s="43" t="n"/>
      <c r="B1949" s="44" t="n"/>
      <c r="C1949" s="38" t="n"/>
      <c r="D1949" s="38" t="n"/>
      <c r="E1949" s="37" t="n"/>
      <c r="F1949" s="38" t="n"/>
      <c r="G1949" s="38" t="n"/>
      <c r="H1949" s="38" t="n"/>
      <c r="I1949" s="38" t="n"/>
      <c r="J1949" s="38" t="n"/>
      <c r="K1949" s="37" t="n"/>
      <c r="L1949" s="39" t="n"/>
      <c r="M1949" s="40" t="n"/>
      <c r="N1949" s="30">
        <f>IF(A1949="","",MONTH(A1949))</f>
        <v/>
      </c>
      <c r="O1949" s="30">
        <f>IF(A1949="","",YEAR(A1949))</f>
        <v/>
      </c>
      <c r="P1949" s="30">
        <f>IF(A1949="","",CHOOSE(WEEKDAY(A1949,2),"Segunda","Terça","Quarta","Quinta","Sexta","Sábado","Domingo"))</f>
        <v/>
      </c>
      <c r="Q1949" s="30">
        <f>IF(B1949="","",IF(B1949&lt;TIME(12,0,0),"Manhã",IF(B1949&lt;TIME(18,0,0),"Tarde","Noite")))</f>
        <v/>
      </c>
      <c r="R1949" s="46">
        <f>IF(AND(H1949="Realizado",L1949&lt;&gt;"",A1949&lt;=Config!$B$9),L1949/60,0)</f>
        <v>0</v>
      </c>
      <c r="S1949" s="45">
        <f>IF(G1949="","",IFERROR(INDEX(Config!$K$5:$K$16,MATCH(G1949,Config!$J$5:$J$16,0)),""))</f>
        <v/>
      </c>
      <c r="T1949" s="31">
        <f>IF(OR(G1949="",F1949=""),"",IFERROR(INDEX(Config!$M$5:$R$16,MATCH(G1949,Config!$J$5:$J$16,0),MATCH(F1949,Config!$H$5:$H$10,0)),""))</f>
        <v/>
      </c>
      <c r="U1949" s="47">
        <f>IF(AND(H1949="Realizado",L1949&lt;&gt;""),L1949/60,0)</f>
        <v>0</v>
      </c>
      <c r="V1949" s="47">
        <f>IF(AND(H1949="Realizado",OR(L1949="",M1949="")),1,0)</f>
        <v>0</v>
      </c>
    </row>
    <row r="1950">
      <c r="A1950" s="43" t="n"/>
      <c r="B1950" s="44" t="n"/>
      <c r="C1950" s="38" t="n"/>
      <c r="D1950" s="38" t="n"/>
      <c r="E1950" s="37" t="n"/>
      <c r="F1950" s="38" t="n"/>
      <c r="G1950" s="38" t="n"/>
      <c r="H1950" s="38" t="n"/>
      <c r="I1950" s="38" t="n"/>
      <c r="J1950" s="38" t="n"/>
      <c r="K1950" s="37" t="n"/>
      <c r="L1950" s="39" t="n"/>
      <c r="M1950" s="40" t="n"/>
      <c r="N1950" s="30">
        <f>IF(A1950="","",MONTH(A1950))</f>
        <v/>
      </c>
      <c r="O1950" s="30">
        <f>IF(A1950="","",YEAR(A1950))</f>
        <v/>
      </c>
      <c r="P1950" s="30">
        <f>IF(A1950="","",CHOOSE(WEEKDAY(A1950,2),"Segunda","Terça","Quarta","Quinta","Sexta","Sábado","Domingo"))</f>
        <v/>
      </c>
      <c r="Q1950" s="30">
        <f>IF(B1950="","",IF(B1950&lt;TIME(12,0,0),"Manhã",IF(B1950&lt;TIME(18,0,0),"Tarde","Noite")))</f>
        <v/>
      </c>
      <c r="R1950" s="46">
        <f>IF(AND(H1950="Realizado",L1950&lt;&gt;"",A1950&lt;=Config!$B$9),L1950/60,0)</f>
        <v>0</v>
      </c>
      <c r="S1950" s="45">
        <f>IF(G1950="","",IFERROR(INDEX(Config!$K$5:$K$16,MATCH(G1950,Config!$J$5:$J$16,0)),""))</f>
        <v/>
      </c>
      <c r="T1950" s="31">
        <f>IF(OR(G1950="",F1950=""),"",IFERROR(INDEX(Config!$M$5:$R$16,MATCH(G1950,Config!$J$5:$J$16,0),MATCH(F1950,Config!$H$5:$H$10,0)),""))</f>
        <v/>
      </c>
      <c r="U1950" s="47">
        <f>IF(AND(H1950="Realizado",L1950&lt;&gt;""),L1950/60,0)</f>
        <v>0</v>
      </c>
      <c r="V1950" s="47">
        <f>IF(AND(H1950="Realizado",OR(L1950="",M1950="")),1,0)</f>
        <v>0</v>
      </c>
    </row>
    <row r="1951">
      <c r="A1951" s="43" t="n"/>
      <c r="B1951" s="44" t="n"/>
      <c r="C1951" s="38" t="n"/>
      <c r="D1951" s="38" t="n"/>
      <c r="E1951" s="37" t="n"/>
      <c r="F1951" s="38" t="n"/>
      <c r="G1951" s="38" t="n"/>
      <c r="H1951" s="38" t="n"/>
      <c r="I1951" s="38" t="n"/>
      <c r="J1951" s="38" t="n"/>
      <c r="K1951" s="37" t="n"/>
      <c r="L1951" s="39" t="n"/>
      <c r="M1951" s="40" t="n"/>
      <c r="N1951" s="30">
        <f>IF(A1951="","",MONTH(A1951))</f>
        <v/>
      </c>
      <c r="O1951" s="30">
        <f>IF(A1951="","",YEAR(A1951))</f>
        <v/>
      </c>
      <c r="P1951" s="30">
        <f>IF(A1951="","",CHOOSE(WEEKDAY(A1951,2),"Segunda","Terça","Quarta","Quinta","Sexta","Sábado","Domingo"))</f>
        <v/>
      </c>
      <c r="Q1951" s="30">
        <f>IF(B1951="","",IF(B1951&lt;TIME(12,0,0),"Manhã",IF(B1951&lt;TIME(18,0,0),"Tarde","Noite")))</f>
        <v/>
      </c>
      <c r="R1951" s="46">
        <f>IF(AND(H1951="Realizado",L1951&lt;&gt;"",A1951&lt;=Config!$B$9),L1951/60,0)</f>
        <v>0</v>
      </c>
      <c r="S1951" s="45">
        <f>IF(G1951="","",IFERROR(INDEX(Config!$K$5:$K$16,MATCH(G1951,Config!$J$5:$J$16,0)),""))</f>
        <v/>
      </c>
      <c r="T1951" s="31">
        <f>IF(OR(G1951="",F1951=""),"",IFERROR(INDEX(Config!$M$5:$R$16,MATCH(G1951,Config!$J$5:$J$16,0),MATCH(F1951,Config!$H$5:$H$10,0)),""))</f>
        <v/>
      </c>
      <c r="U1951" s="47">
        <f>IF(AND(H1951="Realizado",L1951&lt;&gt;""),L1951/60,0)</f>
        <v>0</v>
      </c>
      <c r="V1951" s="47">
        <f>IF(AND(H1951="Realizado",OR(L1951="",M1951="")),1,0)</f>
        <v>0</v>
      </c>
    </row>
    <row r="1952">
      <c r="A1952" s="43" t="n"/>
      <c r="B1952" s="44" t="n"/>
      <c r="C1952" s="38" t="n"/>
      <c r="D1952" s="38" t="n"/>
      <c r="E1952" s="37" t="n"/>
      <c r="F1952" s="38" t="n"/>
      <c r="G1952" s="38" t="n"/>
      <c r="H1952" s="38" t="n"/>
      <c r="I1952" s="38" t="n"/>
      <c r="J1952" s="38" t="n"/>
      <c r="K1952" s="37" t="n"/>
      <c r="L1952" s="39" t="n"/>
      <c r="M1952" s="40" t="n"/>
      <c r="N1952" s="30">
        <f>IF(A1952="","",MONTH(A1952))</f>
        <v/>
      </c>
      <c r="O1952" s="30">
        <f>IF(A1952="","",YEAR(A1952))</f>
        <v/>
      </c>
      <c r="P1952" s="30">
        <f>IF(A1952="","",CHOOSE(WEEKDAY(A1952,2),"Segunda","Terça","Quarta","Quinta","Sexta","Sábado","Domingo"))</f>
        <v/>
      </c>
      <c r="Q1952" s="30">
        <f>IF(B1952="","",IF(B1952&lt;TIME(12,0,0),"Manhã",IF(B1952&lt;TIME(18,0,0),"Tarde","Noite")))</f>
        <v/>
      </c>
      <c r="R1952" s="46">
        <f>IF(AND(H1952="Realizado",L1952&lt;&gt;"",A1952&lt;=Config!$B$9),L1952/60,0)</f>
        <v>0</v>
      </c>
      <c r="S1952" s="45">
        <f>IF(G1952="","",IFERROR(INDEX(Config!$K$5:$K$16,MATCH(G1952,Config!$J$5:$J$16,0)),""))</f>
        <v/>
      </c>
      <c r="T1952" s="31">
        <f>IF(OR(G1952="",F1952=""),"",IFERROR(INDEX(Config!$M$5:$R$16,MATCH(G1952,Config!$J$5:$J$16,0),MATCH(F1952,Config!$H$5:$H$10,0)),""))</f>
        <v/>
      </c>
      <c r="U1952" s="47">
        <f>IF(AND(H1952="Realizado",L1952&lt;&gt;""),L1952/60,0)</f>
        <v>0</v>
      </c>
      <c r="V1952" s="47">
        <f>IF(AND(H1952="Realizado",OR(L1952="",M1952="")),1,0)</f>
        <v>0</v>
      </c>
    </row>
    <row r="1953">
      <c r="A1953" s="43" t="n"/>
      <c r="B1953" s="44" t="n"/>
      <c r="C1953" s="38" t="n"/>
      <c r="D1953" s="38" t="n"/>
      <c r="E1953" s="37" t="n"/>
      <c r="F1953" s="38" t="n"/>
      <c r="G1953" s="38" t="n"/>
      <c r="H1953" s="38" t="n"/>
      <c r="I1953" s="38" t="n"/>
      <c r="J1953" s="38" t="n"/>
      <c r="K1953" s="37" t="n"/>
      <c r="L1953" s="39" t="n"/>
      <c r="M1953" s="40" t="n"/>
      <c r="N1953" s="30">
        <f>IF(A1953="","",MONTH(A1953))</f>
        <v/>
      </c>
      <c r="O1953" s="30">
        <f>IF(A1953="","",YEAR(A1953))</f>
        <v/>
      </c>
      <c r="P1953" s="30">
        <f>IF(A1953="","",CHOOSE(WEEKDAY(A1953,2),"Segunda","Terça","Quarta","Quinta","Sexta","Sábado","Domingo"))</f>
        <v/>
      </c>
      <c r="Q1953" s="30">
        <f>IF(B1953="","",IF(B1953&lt;TIME(12,0,0),"Manhã",IF(B1953&lt;TIME(18,0,0),"Tarde","Noite")))</f>
        <v/>
      </c>
      <c r="R1953" s="46">
        <f>IF(AND(H1953="Realizado",L1953&lt;&gt;"",A1953&lt;=Config!$B$9),L1953/60,0)</f>
        <v>0</v>
      </c>
      <c r="S1953" s="45">
        <f>IF(G1953="","",IFERROR(INDEX(Config!$K$5:$K$16,MATCH(G1953,Config!$J$5:$J$16,0)),""))</f>
        <v/>
      </c>
      <c r="T1953" s="31">
        <f>IF(OR(G1953="",F1953=""),"",IFERROR(INDEX(Config!$M$5:$R$16,MATCH(G1953,Config!$J$5:$J$16,0),MATCH(F1953,Config!$H$5:$H$10,0)),""))</f>
        <v/>
      </c>
      <c r="U1953" s="47">
        <f>IF(AND(H1953="Realizado",L1953&lt;&gt;""),L1953/60,0)</f>
        <v>0</v>
      </c>
      <c r="V1953" s="47">
        <f>IF(AND(H1953="Realizado",OR(L1953="",M1953="")),1,0)</f>
        <v>0</v>
      </c>
    </row>
    <row r="1954">
      <c r="A1954" s="43" t="n"/>
      <c r="B1954" s="44" t="n"/>
      <c r="C1954" s="38" t="n"/>
      <c r="D1954" s="38" t="n"/>
      <c r="E1954" s="37" t="n"/>
      <c r="F1954" s="38" t="n"/>
      <c r="G1954" s="38" t="n"/>
      <c r="H1954" s="38" t="n"/>
      <c r="I1954" s="38" t="n"/>
      <c r="J1954" s="38" t="n"/>
      <c r="K1954" s="37" t="n"/>
      <c r="L1954" s="39" t="n"/>
      <c r="M1954" s="40" t="n"/>
      <c r="N1954" s="30">
        <f>IF(A1954="","",MONTH(A1954))</f>
        <v/>
      </c>
      <c r="O1954" s="30">
        <f>IF(A1954="","",YEAR(A1954))</f>
        <v/>
      </c>
      <c r="P1954" s="30">
        <f>IF(A1954="","",CHOOSE(WEEKDAY(A1954,2),"Segunda","Terça","Quarta","Quinta","Sexta","Sábado","Domingo"))</f>
        <v/>
      </c>
      <c r="Q1954" s="30">
        <f>IF(B1954="","",IF(B1954&lt;TIME(12,0,0),"Manhã",IF(B1954&lt;TIME(18,0,0),"Tarde","Noite")))</f>
        <v/>
      </c>
      <c r="R1954" s="46">
        <f>IF(AND(H1954="Realizado",L1954&lt;&gt;"",A1954&lt;=Config!$B$9),L1954/60,0)</f>
        <v>0</v>
      </c>
      <c r="S1954" s="45">
        <f>IF(G1954="","",IFERROR(INDEX(Config!$K$5:$K$16,MATCH(G1954,Config!$J$5:$J$16,0)),""))</f>
        <v/>
      </c>
      <c r="T1954" s="31">
        <f>IF(OR(G1954="",F1954=""),"",IFERROR(INDEX(Config!$M$5:$R$16,MATCH(G1954,Config!$J$5:$J$16,0),MATCH(F1954,Config!$H$5:$H$10,0)),""))</f>
        <v/>
      </c>
      <c r="U1954" s="47">
        <f>IF(AND(H1954="Realizado",L1954&lt;&gt;""),L1954/60,0)</f>
        <v>0</v>
      </c>
      <c r="V1954" s="47">
        <f>IF(AND(H1954="Realizado",OR(L1954="",M1954="")),1,0)</f>
        <v>0</v>
      </c>
    </row>
    <row r="1955">
      <c r="A1955" s="43" t="n"/>
      <c r="B1955" s="44" t="n"/>
      <c r="C1955" s="38" t="n"/>
      <c r="D1955" s="38" t="n"/>
      <c r="E1955" s="37" t="n"/>
      <c r="F1955" s="38" t="n"/>
      <c r="G1955" s="38" t="n"/>
      <c r="H1955" s="38" t="n"/>
      <c r="I1955" s="38" t="n"/>
      <c r="J1955" s="38" t="n"/>
      <c r="K1955" s="37" t="n"/>
      <c r="L1955" s="39" t="n"/>
      <c r="M1955" s="40" t="n"/>
      <c r="N1955" s="30">
        <f>IF(A1955="","",MONTH(A1955))</f>
        <v/>
      </c>
      <c r="O1955" s="30">
        <f>IF(A1955="","",YEAR(A1955))</f>
        <v/>
      </c>
      <c r="P1955" s="30">
        <f>IF(A1955="","",CHOOSE(WEEKDAY(A1955,2),"Segunda","Terça","Quarta","Quinta","Sexta","Sábado","Domingo"))</f>
        <v/>
      </c>
      <c r="Q1955" s="30">
        <f>IF(B1955="","",IF(B1955&lt;TIME(12,0,0),"Manhã",IF(B1955&lt;TIME(18,0,0),"Tarde","Noite")))</f>
        <v/>
      </c>
      <c r="R1955" s="46">
        <f>IF(AND(H1955="Realizado",L1955&lt;&gt;"",A1955&lt;=Config!$B$9),L1955/60,0)</f>
        <v>0</v>
      </c>
      <c r="S1955" s="45">
        <f>IF(G1955="","",IFERROR(INDEX(Config!$K$5:$K$16,MATCH(G1955,Config!$J$5:$J$16,0)),""))</f>
        <v/>
      </c>
      <c r="T1955" s="31">
        <f>IF(OR(G1955="",F1955=""),"",IFERROR(INDEX(Config!$M$5:$R$16,MATCH(G1955,Config!$J$5:$J$16,0),MATCH(F1955,Config!$H$5:$H$10,0)),""))</f>
        <v/>
      </c>
      <c r="U1955" s="47">
        <f>IF(AND(H1955="Realizado",L1955&lt;&gt;""),L1955/60,0)</f>
        <v>0</v>
      </c>
      <c r="V1955" s="47">
        <f>IF(AND(H1955="Realizado",OR(L1955="",M1955="")),1,0)</f>
        <v>0</v>
      </c>
    </row>
    <row r="1956">
      <c r="A1956" s="43" t="n"/>
      <c r="B1956" s="44" t="n"/>
      <c r="C1956" s="38" t="n"/>
      <c r="D1956" s="38" t="n"/>
      <c r="E1956" s="37" t="n"/>
      <c r="F1956" s="38" t="n"/>
      <c r="G1956" s="38" t="n"/>
      <c r="H1956" s="38" t="n"/>
      <c r="I1956" s="38" t="n"/>
      <c r="J1956" s="38" t="n"/>
      <c r="K1956" s="37" t="n"/>
      <c r="L1956" s="39" t="n"/>
      <c r="M1956" s="40" t="n"/>
      <c r="N1956" s="30">
        <f>IF(A1956="","",MONTH(A1956))</f>
        <v/>
      </c>
      <c r="O1956" s="30">
        <f>IF(A1956="","",YEAR(A1956))</f>
        <v/>
      </c>
      <c r="P1956" s="30">
        <f>IF(A1956="","",CHOOSE(WEEKDAY(A1956,2),"Segunda","Terça","Quarta","Quinta","Sexta","Sábado","Domingo"))</f>
        <v/>
      </c>
      <c r="Q1956" s="30">
        <f>IF(B1956="","",IF(B1956&lt;TIME(12,0,0),"Manhã",IF(B1956&lt;TIME(18,0,0),"Tarde","Noite")))</f>
        <v/>
      </c>
      <c r="R1956" s="46">
        <f>IF(AND(H1956="Realizado",L1956&lt;&gt;"",A1956&lt;=Config!$B$9),L1956/60,0)</f>
        <v>0</v>
      </c>
      <c r="S1956" s="45">
        <f>IF(G1956="","",IFERROR(INDEX(Config!$K$5:$K$16,MATCH(G1956,Config!$J$5:$J$16,0)),""))</f>
        <v/>
      </c>
      <c r="T1956" s="31">
        <f>IF(OR(G1956="",F1956=""),"",IFERROR(INDEX(Config!$M$5:$R$16,MATCH(G1956,Config!$J$5:$J$16,0),MATCH(F1956,Config!$H$5:$H$10,0)),""))</f>
        <v/>
      </c>
      <c r="U1956" s="47">
        <f>IF(AND(H1956="Realizado",L1956&lt;&gt;""),L1956/60,0)</f>
        <v>0</v>
      </c>
      <c r="V1956" s="47">
        <f>IF(AND(H1956="Realizado",OR(L1956="",M1956="")),1,0)</f>
        <v>0</v>
      </c>
    </row>
    <row r="1957">
      <c r="A1957" s="43" t="n"/>
      <c r="B1957" s="44" t="n"/>
      <c r="C1957" s="38" t="n"/>
      <c r="D1957" s="38" t="n"/>
      <c r="E1957" s="37" t="n"/>
      <c r="F1957" s="38" t="n"/>
      <c r="G1957" s="38" t="n"/>
      <c r="H1957" s="38" t="n"/>
      <c r="I1957" s="38" t="n"/>
      <c r="J1957" s="38" t="n"/>
      <c r="K1957" s="37" t="n"/>
      <c r="L1957" s="39" t="n"/>
      <c r="M1957" s="40" t="n"/>
      <c r="N1957" s="30">
        <f>IF(A1957="","",MONTH(A1957))</f>
        <v/>
      </c>
      <c r="O1957" s="30">
        <f>IF(A1957="","",YEAR(A1957))</f>
        <v/>
      </c>
      <c r="P1957" s="30">
        <f>IF(A1957="","",CHOOSE(WEEKDAY(A1957,2),"Segunda","Terça","Quarta","Quinta","Sexta","Sábado","Domingo"))</f>
        <v/>
      </c>
      <c r="Q1957" s="30">
        <f>IF(B1957="","",IF(B1957&lt;TIME(12,0,0),"Manhã",IF(B1957&lt;TIME(18,0,0),"Tarde","Noite")))</f>
        <v/>
      </c>
      <c r="R1957" s="46">
        <f>IF(AND(H1957="Realizado",L1957&lt;&gt;"",A1957&lt;=Config!$B$9),L1957/60,0)</f>
        <v>0</v>
      </c>
      <c r="S1957" s="45">
        <f>IF(G1957="","",IFERROR(INDEX(Config!$K$5:$K$16,MATCH(G1957,Config!$J$5:$J$16,0)),""))</f>
        <v/>
      </c>
      <c r="T1957" s="31">
        <f>IF(OR(G1957="",F1957=""),"",IFERROR(INDEX(Config!$M$5:$R$16,MATCH(G1957,Config!$J$5:$J$16,0),MATCH(F1957,Config!$H$5:$H$10,0)),""))</f>
        <v/>
      </c>
      <c r="U1957" s="47">
        <f>IF(AND(H1957="Realizado",L1957&lt;&gt;""),L1957/60,0)</f>
        <v>0</v>
      </c>
      <c r="V1957" s="47">
        <f>IF(AND(H1957="Realizado",OR(L1957="",M1957="")),1,0)</f>
        <v>0</v>
      </c>
    </row>
    <row r="1958">
      <c r="A1958" s="43" t="n"/>
      <c r="B1958" s="44" t="n"/>
      <c r="C1958" s="38" t="n"/>
      <c r="D1958" s="38" t="n"/>
      <c r="E1958" s="37" t="n"/>
      <c r="F1958" s="38" t="n"/>
      <c r="G1958" s="38" t="n"/>
      <c r="H1958" s="38" t="n"/>
      <c r="I1958" s="38" t="n"/>
      <c r="J1958" s="38" t="n"/>
      <c r="K1958" s="37" t="n"/>
      <c r="L1958" s="39" t="n"/>
      <c r="M1958" s="40" t="n"/>
      <c r="N1958" s="30">
        <f>IF(A1958="","",MONTH(A1958))</f>
        <v/>
      </c>
      <c r="O1958" s="30">
        <f>IF(A1958="","",YEAR(A1958))</f>
        <v/>
      </c>
      <c r="P1958" s="30">
        <f>IF(A1958="","",CHOOSE(WEEKDAY(A1958,2),"Segunda","Terça","Quarta","Quinta","Sexta","Sábado","Domingo"))</f>
        <v/>
      </c>
      <c r="Q1958" s="30">
        <f>IF(B1958="","",IF(B1958&lt;TIME(12,0,0),"Manhã",IF(B1958&lt;TIME(18,0,0),"Tarde","Noite")))</f>
        <v/>
      </c>
      <c r="R1958" s="46">
        <f>IF(AND(H1958="Realizado",L1958&lt;&gt;"",A1958&lt;=Config!$B$9),L1958/60,0)</f>
        <v>0</v>
      </c>
      <c r="S1958" s="45">
        <f>IF(G1958="","",IFERROR(INDEX(Config!$K$5:$K$16,MATCH(G1958,Config!$J$5:$J$16,0)),""))</f>
        <v/>
      </c>
      <c r="T1958" s="31">
        <f>IF(OR(G1958="",F1958=""),"",IFERROR(INDEX(Config!$M$5:$R$16,MATCH(G1958,Config!$J$5:$J$16,0),MATCH(F1958,Config!$H$5:$H$10,0)),""))</f>
        <v/>
      </c>
      <c r="U1958" s="47">
        <f>IF(AND(H1958="Realizado",L1958&lt;&gt;""),L1958/60,0)</f>
        <v>0</v>
      </c>
      <c r="V1958" s="47">
        <f>IF(AND(H1958="Realizado",OR(L1958="",M1958="")),1,0)</f>
        <v>0</v>
      </c>
    </row>
    <row r="1959">
      <c r="A1959" s="43" t="n"/>
      <c r="B1959" s="44" t="n"/>
      <c r="C1959" s="38" t="n"/>
      <c r="D1959" s="38" t="n"/>
      <c r="E1959" s="37" t="n"/>
      <c r="F1959" s="38" t="n"/>
      <c r="G1959" s="38" t="n"/>
      <c r="H1959" s="38" t="n"/>
      <c r="I1959" s="38" t="n"/>
      <c r="J1959" s="38" t="n"/>
      <c r="K1959" s="37" t="n"/>
      <c r="L1959" s="39" t="n"/>
      <c r="M1959" s="40" t="n"/>
      <c r="N1959" s="30">
        <f>IF(A1959="","",MONTH(A1959))</f>
        <v/>
      </c>
      <c r="O1959" s="30">
        <f>IF(A1959="","",YEAR(A1959))</f>
        <v/>
      </c>
      <c r="P1959" s="30">
        <f>IF(A1959="","",CHOOSE(WEEKDAY(A1959,2),"Segunda","Terça","Quarta","Quinta","Sexta","Sábado","Domingo"))</f>
        <v/>
      </c>
      <c r="Q1959" s="30">
        <f>IF(B1959="","",IF(B1959&lt;TIME(12,0,0),"Manhã",IF(B1959&lt;TIME(18,0,0),"Tarde","Noite")))</f>
        <v/>
      </c>
      <c r="R1959" s="46">
        <f>IF(AND(H1959="Realizado",L1959&lt;&gt;"",A1959&lt;=Config!$B$9),L1959/60,0)</f>
        <v>0</v>
      </c>
      <c r="S1959" s="45">
        <f>IF(G1959="","",IFERROR(INDEX(Config!$K$5:$K$16,MATCH(G1959,Config!$J$5:$J$16,0)),""))</f>
        <v/>
      </c>
      <c r="T1959" s="31">
        <f>IF(OR(G1959="",F1959=""),"",IFERROR(INDEX(Config!$M$5:$R$16,MATCH(G1959,Config!$J$5:$J$16,0),MATCH(F1959,Config!$H$5:$H$10,0)),""))</f>
        <v/>
      </c>
      <c r="U1959" s="47">
        <f>IF(AND(H1959="Realizado",L1959&lt;&gt;""),L1959/60,0)</f>
        <v>0</v>
      </c>
      <c r="V1959" s="47">
        <f>IF(AND(H1959="Realizado",OR(L1959="",M1959="")),1,0)</f>
        <v>0</v>
      </c>
    </row>
    <row r="1960">
      <c r="A1960" s="43" t="n"/>
      <c r="B1960" s="44" t="n"/>
      <c r="C1960" s="38" t="n"/>
      <c r="D1960" s="38" t="n"/>
      <c r="E1960" s="37" t="n"/>
      <c r="F1960" s="38" t="n"/>
      <c r="G1960" s="38" t="n"/>
      <c r="H1960" s="38" t="n"/>
      <c r="I1960" s="38" t="n"/>
      <c r="J1960" s="38" t="n"/>
      <c r="K1960" s="37" t="n"/>
      <c r="L1960" s="39" t="n"/>
      <c r="M1960" s="40" t="n"/>
      <c r="N1960" s="30">
        <f>IF(A1960="","",MONTH(A1960))</f>
        <v/>
      </c>
      <c r="O1960" s="30">
        <f>IF(A1960="","",YEAR(A1960))</f>
        <v/>
      </c>
      <c r="P1960" s="30">
        <f>IF(A1960="","",CHOOSE(WEEKDAY(A1960,2),"Segunda","Terça","Quarta","Quinta","Sexta","Sábado","Domingo"))</f>
        <v/>
      </c>
      <c r="Q1960" s="30">
        <f>IF(B1960="","",IF(B1960&lt;TIME(12,0,0),"Manhã",IF(B1960&lt;TIME(18,0,0),"Tarde","Noite")))</f>
        <v/>
      </c>
      <c r="R1960" s="46">
        <f>IF(AND(H1960="Realizado",L1960&lt;&gt;"",A1960&lt;=Config!$B$9),L1960/60,0)</f>
        <v>0</v>
      </c>
      <c r="S1960" s="45">
        <f>IF(G1960="","",IFERROR(INDEX(Config!$K$5:$K$16,MATCH(G1960,Config!$J$5:$J$16,0)),""))</f>
        <v/>
      </c>
      <c r="T1960" s="31">
        <f>IF(OR(G1960="",F1960=""),"",IFERROR(INDEX(Config!$M$5:$R$16,MATCH(G1960,Config!$J$5:$J$16,0),MATCH(F1960,Config!$H$5:$H$10,0)),""))</f>
        <v/>
      </c>
      <c r="U1960" s="47">
        <f>IF(AND(H1960="Realizado",L1960&lt;&gt;""),L1960/60,0)</f>
        <v>0</v>
      </c>
      <c r="V1960" s="47">
        <f>IF(AND(H1960="Realizado",OR(L1960="",M1960="")),1,0)</f>
        <v>0</v>
      </c>
    </row>
    <row r="1961">
      <c r="A1961" s="43" t="n"/>
      <c r="B1961" s="44" t="n"/>
      <c r="C1961" s="38" t="n"/>
      <c r="D1961" s="38" t="n"/>
      <c r="E1961" s="37" t="n"/>
      <c r="F1961" s="38" t="n"/>
      <c r="G1961" s="38" t="n"/>
      <c r="H1961" s="38" t="n"/>
      <c r="I1961" s="38" t="n"/>
      <c r="J1961" s="38" t="n"/>
      <c r="K1961" s="37" t="n"/>
      <c r="L1961" s="39" t="n"/>
      <c r="M1961" s="40" t="n"/>
      <c r="N1961" s="30">
        <f>IF(A1961="","",MONTH(A1961))</f>
        <v/>
      </c>
      <c r="O1961" s="30">
        <f>IF(A1961="","",YEAR(A1961))</f>
        <v/>
      </c>
      <c r="P1961" s="30">
        <f>IF(A1961="","",CHOOSE(WEEKDAY(A1961,2),"Segunda","Terça","Quarta","Quinta","Sexta","Sábado","Domingo"))</f>
        <v/>
      </c>
      <c r="Q1961" s="30">
        <f>IF(B1961="","",IF(B1961&lt;TIME(12,0,0),"Manhã",IF(B1961&lt;TIME(18,0,0),"Tarde","Noite")))</f>
        <v/>
      </c>
      <c r="R1961" s="46">
        <f>IF(AND(H1961="Realizado",L1961&lt;&gt;"",A1961&lt;=Config!$B$9),L1961/60,0)</f>
        <v>0</v>
      </c>
      <c r="S1961" s="45">
        <f>IF(G1961="","",IFERROR(INDEX(Config!$K$5:$K$16,MATCH(G1961,Config!$J$5:$J$16,0)),""))</f>
        <v/>
      </c>
      <c r="T1961" s="31">
        <f>IF(OR(G1961="",F1961=""),"",IFERROR(INDEX(Config!$M$5:$R$16,MATCH(G1961,Config!$J$5:$J$16,0),MATCH(F1961,Config!$H$5:$H$10,0)),""))</f>
        <v/>
      </c>
      <c r="U1961" s="47">
        <f>IF(AND(H1961="Realizado",L1961&lt;&gt;""),L1961/60,0)</f>
        <v>0</v>
      </c>
      <c r="V1961" s="47">
        <f>IF(AND(H1961="Realizado",OR(L1961="",M1961="")),1,0)</f>
        <v>0</v>
      </c>
    </row>
    <row r="1962">
      <c r="A1962" s="43" t="n"/>
      <c r="B1962" s="44" t="n"/>
      <c r="C1962" s="38" t="n"/>
      <c r="D1962" s="38" t="n"/>
      <c r="E1962" s="37" t="n"/>
      <c r="F1962" s="38" t="n"/>
      <c r="G1962" s="38" t="n"/>
      <c r="H1962" s="38" t="n"/>
      <c r="I1962" s="38" t="n"/>
      <c r="J1962" s="38" t="n"/>
      <c r="K1962" s="37" t="n"/>
      <c r="L1962" s="39" t="n"/>
      <c r="M1962" s="40" t="n"/>
      <c r="N1962" s="30">
        <f>IF(A1962="","",MONTH(A1962))</f>
        <v/>
      </c>
      <c r="O1962" s="30">
        <f>IF(A1962="","",YEAR(A1962))</f>
        <v/>
      </c>
      <c r="P1962" s="30">
        <f>IF(A1962="","",CHOOSE(WEEKDAY(A1962,2),"Segunda","Terça","Quarta","Quinta","Sexta","Sábado","Domingo"))</f>
        <v/>
      </c>
      <c r="Q1962" s="30">
        <f>IF(B1962="","",IF(B1962&lt;TIME(12,0,0),"Manhã",IF(B1962&lt;TIME(18,0,0),"Tarde","Noite")))</f>
        <v/>
      </c>
      <c r="R1962" s="46">
        <f>IF(AND(H1962="Realizado",L1962&lt;&gt;"",A1962&lt;=Config!$B$9),L1962/60,0)</f>
        <v>0</v>
      </c>
      <c r="S1962" s="45">
        <f>IF(G1962="","",IFERROR(INDEX(Config!$K$5:$K$16,MATCH(G1962,Config!$J$5:$J$16,0)),""))</f>
        <v/>
      </c>
      <c r="T1962" s="31">
        <f>IF(OR(G1962="",F1962=""),"",IFERROR(INDEX(Config!$M$5:$R$16,MATCH(G1962,Config!$J$5:$J$16,0),MATCH(F1962,Config!$H$5:$H$10,0)),""))</f>
        <v/>
      </c>
      <c r="U1962" s="47">
        <f>IF(AND(H1962="Realizado",L1962&lt;&gt;""),L1962/60,0)</f>
        <v>0</v>
      </c>
      <c r="V1962" s="47">
        <f>IF(AND(H1962="Realizado",OR(L1962="",M1962="")),1,0)</f>
        <v>0</v>
      </c>
    </row>
    <row r="1963">
      <c r="A1963" s="43" t="n"/>
      <c r="B1963" s="44" t="n"/>
      <c r="C1963" s="38" t="n"/>
      <c r="D1963" s="38" t="n"/>
      <c r="E1963" s="37" t="n"/>
      <c r="F1963" s="38" t="n"/>
      <c r="G1963" s="38" t="n"/>
      <c r="H1963" s="38" t="n"/>
      <c r="I1963" s="38" t="n"/>
      <c r="J1963" s="38" t="n"/>
      <c r="K1963" s="37" t="n"/>
      <c r="L1963" s="39" t="n"/>
      <c r="M1963" s="40" t="n"/>
      <c r="N1963" s="30">
        <f>IF(A1963="","",MONTH(A1963))</f>
        <v/>
      </c>
      <c r="O1963" s="30">
        <f>IF(A1963="","",YEAR(A1963))</f>
        <v/>
      </c>
      <c r="P1963" s="30">
        <f>IF(A1963="","",CHOOSE(WEEKDAY(A1963,2),"Segunda","Terça","Quarta","Quinta","Sexta","Sábado","Domingo"))</f>
        <v/>
      </c>
      <c r="Q1963" s="30">
        <f>IF(B1963="","",IF(B1963&lt;TIME(12,0,0),"Manhã",IF(B1963&lt;TIME(18,0,0),"Tarde","Noite")))</f>
        <v/>
      </c>
      <c r="R1963" s="46">
        <f>IF(AND(H1963="Realizado",L1963&lt;&gt;"",A1963&lt;=Config!$B$9),L1963/60,0)</f>
        <v>0</v>
      </c>
      <c r="S1963" s="45">
        <f>IF(G1963="","",IFERROR(INDEX(Config!$K$5:$K$16,MATCH(G1963,Config!$J$5:$J$16,0)),""))</f>
        <v/>
      </c>
      <c r="T1963" s="31">
        <f>IF(OR(G1963="",F1963=""),"",IFERROR(INDEX(Config!$M$5:$R$16,MATCH(G1963,Config!$J$5:$J$16,0),MATCH(F1963,Config!$H$5:$H$10,0)),""))</f>
        <v/>
      </c>
      <c r="U1963" s="47">
        <f>IF(AND(H1963="Realizado",L1963&lt;&gt;""),L1963/60,0)</f>
        <v>0</v>
      </c>
      <c r="V1963" s="47">
        <f>IF(AND(H1963="Realizado",OR(L1963="",M1963="")),1,0)</f>
        <v>0</v>
      </c>
    </row>
    <row r="1964">
      <c r="A1964" s="43" t="n"/>
      <c r="B1964" s="44" t="n"/>
      <c r="C1964" s="38" t="n"/>
      <c r="D1964" s="38" t="n"/>
      <c r="E1964" s="37" t="n"/>
      <c r="F1964" s="38" t="n"/>
      <c r="G1964" s="38" t="n"/>
      <c r="H1964" s="38" t="n"/>
      <c r="I1964" s="38" t="n"/>
      <c r="J1964" s="38" t="n"/>
      <c r="K1964" s="37" t="n"/>
      <c r="L1964" s="39" t="n"/>
      <c r="M1964" s="40" t="n"/>
      <c r="N1964" s="30">
        <f>IF(A1964="","",MONTH(A1964))</f>
        <v/>
      </c>
      <c r="O1964" s="30">
        <f>IF(A1964="","",YEAR(A1964))</f>
        <v/>
      </c>
      <c r="P1964" s="30">
        <f>IF(A1964="","",CHOOSE(WEEKDAY(A1964,2),"Segunda","Terça","Quarta","Quinta","Sexta","Sábado","Domingo"))</f>
        <v/>
      </c>
      <c r="Q1964" s="30">
        <f>IF(B1964="","",IF(B1964&lt;TIME(12,0,0),"Manhã",IF(B1964&lt;TIME(18,0,0),"Tarde","Noite")))</f>
        <v/>
      </c>
      <c r="R1964" s="46">
        <f>IF(AND(H1964="Realizado",L1964&lt;&gt;"",A1964&lt;=Config!$B$9),L1964/60,0)</f>
        <v>0</v>
      </c>
      <c r="S1964" s="45">
        <f>IF(G1964="","",IFERROR(INDEX(Config!$K$5:$K$16,MATCH(G1964,Config!$J$5:$J$16,0)),""))</f>
        <v/>
      </c>
      <c r="T1964" s="31">
        <f>IF(OR(G1964="",F1964=""),"",IFERROR(INDEX(Config!$M$5:$R$16,MATCH(G1964,Config!$J$5:$J$16,0),MATCH(F1964,Config!$H$5:$H$10,0)),""))</f>
        <v/>
      </c>
      <c r="U1964" s="47">
        <f>IF(AND(H1964="Realizado",L1964&lt;&gt;""),L1964/60,0)</f>
        <v>0</v>
      </c>
      <c r="V1964" s="47">
        <f>IF(AND(H1964="Realizado",OR(L1964="",M1964="")),1,0)</f>
        <v>0</v>
      </c>
    </row>
    <row r="1965">
      <c r="A1965" s="43" t="n"/>
      <c r="B1965" s="44" t="n"/>
      <c r="C1965" s="38" t="n"/>
      <c r="D1965" s="38" t="n"/>
      <c r="E1965" s="37" t="n"/>
      <c r="F1965" s="38" t="n"/>
      <c r="G1965" s="38" t="n"/>
      <c r="H1965" s="38" t="n"/>
      <c r="I1965" s="38" t="n"/>
      <c r="J1965" s="38" t="n"/>
      <c r="K1965" s="37" t="n"/>
      <c r="L1965" s="39" t="n"/>
      <c r="M1965" s="40" t="n"/>
      <c r="N1965" s="30">
        <f>IF(A1965="","",MONTH(A1965))</f>
        <v/>
      </c>
      <c r="O1965" s="30">
        <f>IF(A1965="","",YEAR(A1965))</f>
        <v/>
      </c>
      <c r="P1965" s="30">
        <f>IF(A1965="","",CHOOSE(WEEKDAY(A1965,2),"Segunda","Terça","Quarta","Quinta","Sexta","Sábado","Domingo"))</f>
        <v/>
      </c>
      <c r="Q1965" s="30">
        <f>IF(B1965="","",IF(B1965&lt;TIME(12,0,0),"Manhã",IF(B1965&lt;TIME(18,0,0),"Tarde","Noite")))</f>
        <v/>
      </c>
      <c r="R1965" s="46">
        <f>IF(AND(H1965="Realizado",L1965&lt;&gt;"",A1965&lt;=Config!$B$9),L1965/60,0)</f>
        <v>0</v>
      </c>
      <c r="S1965" s="45">
        <f>IF(G1965="","",IFERROR(INDEX(Config!$K$5:$K$16,MATCH(G1965,Config!$J$5:$J$16,0)),""))</f>
        <v/>
      </c>
      <c r="T1965" s="31">
        <f>IF(OR(G1965="",F1965=""),"",IFERROR(INDEX(Config!$M$5:$R$16,MATCH(G1965,Config!$J$5:$J$16,0),MATCH(F1965,Config!$H$5:$H$10,0)),""))</f>
        <v/>
      </c>
      <c r="U1965" s="47">
        <f>IF(AND(H1965="Realizado",L1965&lt;&gt;""),L1965/60,0)</f>
        <v>0</v>
      </c>
      <c r="V1965" s="47">
        <f>IF(AND(H1965="Realizado",OR(L1965="",M1965="")),1,0)</f>
        <v>0</v>
      </c>
    </row>
    <row r="1966">
      <c r="A1966" s="43" t="n"/>
      <c r="B1966" s="44" t="n"/>
      <c r="C1966" s="38" t="n"/>
      <c r="D1966" s="38" t="n"/>
      <c r="E1966" s="37" t="n"/>
      <c r="F1966" s="38" t="n"/>
      <c r="G1966" s="38" t="n"/>
      <c r="H1966" s="38" t="n"/>
      <c r="I1966" s="38" t="n"/>
      <c r="J1966" s="38" t="n"/>
      <c r="K1966" s="37" t="n"/>
      <c r="L1966" s="39" t="n"/>
      <c r="M1966" s="40" t="n"/>
      <c r="N1966" s="30">
        <f>IF(A1966="","",MONTH(A1966))</f>
        <v/>
      </c>
      <c r="O1966" s="30">
        <f>IF(A1966="","",YEAR(A1966))</f>
        <v/>
      </c>
      <c r="P1966" s="30">
        <f>IF(A1966="","",CHOOSE(WEEKDAY(A1966,2),"Segunda","Terça","Quarta","Quinta","Sexta","Sábado","Domingo"))</f>
        <v/>
      </c>
      <c r="Q1966" s="30">
        <f>IF(B1966="","",IF(B1966&lt;TIME(12,0,0),"Manhã",IF(B1966&lt;TIME(18,0,0),"Tarde","Noite")))</f>
        <v/>
      </c>
      <c r="R1966" s="46">
        <f>IF(AND(H1966="Realizado",L1966&lt;&gt;"",A1966&lt;=Config!$B$9),L1966/60,0)</f>
        <v>0</v>
      </c>
      <c r="S1966" s="45">
        <f>IF(G1966="","",IFERROR(INDEX(Config!$K$5:$K$16,MATCH(G1966,Config!$J$5:$J$16,0)),""))</f>
        <v/>
      </c>
      <c r="T1966" s="31">
        <f>IF(OR(G1966="",F1966=""),"",IFERROR(INDEX(Config!$M$5:$R$16,MATCH(G1966,Config!$J$5:$J$16,0),MATCH(F1966,Config!$H$5:$H$10,0)),""))</f>
        <v/>
      </c>
      <c r="U1966" s="47">
        <f>IF(AND(H1966="Realizado",L1966&lt;&gt;""),L1966/60,0)</f>
        <v>0</v>
      </c>
      <c r="V1966" s="47">
        <f>IF(AND(H1966="Realizado",OR(L1966="",M1966="")),1,0)</f>
        <v>0</v>
      </c>
    </row>
    <row r="1967">
      <c r="A1967" s="43" t="n"/>
      <c r="B1967" s="44" t="n"/>
      <c r="C1967" s="38" t="n"/>
      <c r="D1967" s="38" t="n"/>
      <c r="E1967" s="37" t="n"/>
      <c r="F1967" s="38" t="n"/>
      <c r="G1967" s="38" t="n"/>
      <c r="H1967" s="38" t="n"/>
      <c r="I1967" s="38" t="n"/>
      <c r="J1967" s="38" t="n"/>
      <c r="K1967" s="37" t="n"/>
      <c r="L1967" s="39" t="n"/>
      <c r="M1967" s="40" t="n"/>
      <c r="N1967" s="30">
        <f>IF(A1967="","",MONTH(A1967))</f>
        <v/>
      </c>
      <c r="O1967" s="30">
        <f>IF(A1967="","",YEAR(A1967))</f>
        <v/>
      </c>
      <c r="P1967" s="30">
        <f>IF(A1967="","",CHOOSE(WEEKDAY(A1967,2),"Segunda","Terça","Quarta","Quinta","Sexta","Sábado","Domingo"))</f>
        <v/>
      </c>
      <c r="Q1967" s="30">
        <f>IF(B1967="","",IF(B1967&lt;TIME(12,0,0),"Manhã",IF(B1967&lt;TIME(18,0,0),"Tarde","Noite")))</f>
        <v/>
      </c>
      <c r="R1967" s="46">
        <f>IF(AND(H1967="Realizado",L1967&lt;&gt;"",A1967&lt;=Config!$B$9),L1967/60,0)</f>
        <v>0</v>
      </c>
      <c r="S1967" s="45">
        <f>IF(G1967="","",IFERROR(INDEX(Config!$K$5:$K$16,MATCH(G1967,Config!$J$5:$J$16,0)),""))</f>
        <v/>
      </c>
      <c r="T1967" s="31">
        <f>IF(OR(G1967="",F1967=""),"",IFERROR(INDEX(Config!$M$5:$R$16,MATCH(G1967,Config!$J$5:$J$16,0),MATCH(F1967,Config!$H$5:$H$10,0)),""))</f>
        <v/>
      </c>
      <c r="U1967" s="47">
        <f>IF(AND(H1967="Realizado",L1967&lt;&gt;""),L1967/60,0)</f>
        <v>0</v>
      </c>
      <c r="V1967" s="47">
        <f>IF(AND(H1967="Realizado",OR(L1967="",M1967="")),1,0)</f>
        <v>0</v>
      </c>
    </row>
    <row r="1968">
      <c r="A1968" s="43" t="n"/>
      <c r="B1968" s="44" t="n"/>
      <c r="C1968" s="38" t="n"/>
      <c r="D1968" s="38" t="n"/>
      <c r="E1968" s="37" t="n"/>
      <c r="F1968" s="38" t="n"/>
      <c r="G1968" s="38" t="n"/>
      <c r="H1968" s="38" t="n"/>
      <c r="I1968" s="38" t="n"/>
      <c r="J1968" s="38" t="n"/>
      <c r="K1968" s="37" t="n"/>
      <c r="L1968" s="39" t="n"/>
      <c r="M1968" s="40" t="n"/>
      <c r="N1968" s="30">
        <f>IF(A1968="","",MONTH(A1968))</f>
        <v/>
      </c>
      <c r="O1968" s="30">
        <f>IF(A1968="","",YEAR(A1968))</f>
        <v/>
      </c>
      <c r="P1968" s="30">
        <f>IF(A1968="","",CHOOSE(WEEKDAY(A1968,2),"Segunda","Terça","Quarta","Quinta","Sexta","Sábado","Domingo"))</f>
        <v/>
      </c>
      <c r="Q1968" s="30">
        <f>IF(B1968="","",IF(B1968&lt;TIME(12,0,0),"Manhã",IF(B1968&lt;TIME(18,0,0),"Tarde","Noite")))</f>
        <v/>
      </c>
      <c r="R1968" s="46">
        <f>IF(AND(H1968="Realizado",L1968&lt;&gt;"",A1968&lt;=Config!$B$9),L1968/60,0)</f>
        <v>0</v>
      </c>
      <c r="S1968" s="45">
        <f>IF(G1968="","",IFERROR(INDEX(Config!$K$5:$K$16,MATCH(G1968,Config!$J$5:$J$16,0)),""))</f>
        <v/>
      </c>
      <c r="T1968" s="31">
        <f>IF(OR(G1968="",F1968=""),"",IFERROR(INDEX(Config!$M$5:$R$16,MATCH(G1968,Config!$J$5:$J$16,0),MATCH(F1968,Config!$H$5:$H$10,0)),""))</f>
        <v/>
      </c>
      <c r="U1968" s="47">
        <f>IF(AND(H1968="Realizado",L1968&lt;&gt;""),L1968/60,0)</f>
        <v>0</v>
      </c>
      <c r="V1968" s="47">
        <f>IF(AND(H1968="Realizado",OR(L1968="",M1968="")),1,0)</f>
        <v>0</v>
      </c>
    </row>
    <row r="1969">
      <c r="A1969" s="43" t="n"/>
      <c r="B1969" s="44" t="n"/>
      <c r="C1969" s="38" t="n"/>
      <c r="D1969" s="38" t="n"/>
      <c r="E1969" s="37" t="n"/>
      <c r="F1969" s="38" t="n"/>
      <c r="G1969" s="38" t="n"/>
      <c r="H1969" s="38" t="n"/>
      <c r="I1969" s="38" t="n"/>
      <c r="J1969" s="38" t="n"/>
      <c r="K1969" s="37" t="n"/>
      <c r="L1969" s="39" t="n"/>
      <c r="M1969" s="40" t="n"/>
      <c r="N1969" s="30">
        <f>IF(A1969="","",MONTH(A1969))</f>
        <v/>
      </c>
      <c r="O1969" s="30">
        <f>IF(A1969="","",YEAR(A1969))</f>
        <v/>
      </c>
      <c r="P1969" s="30">
        <f>IF(A1969="","",CHOOSE(WEEKDAY(A1969,2),"Segunda","Terça","Quarta","Quinta","Sexta","Sábado","Domingo"))</f>
        <v/>
      </c>
      <c r="Q1969" s="30">
        <f>IF(B1969="","",IF(B1969&lt;TIME(12,0,0),"Manhã",IF(B1969&lt;TIME(18,0,0),"Tarde","Noite")))</f>
        <v/>
      </c>
      <c r="R1969" s="46">
        <f>IF(AND(H1969="Realizado",L1969&lt;&gt;"",A1969&lt;=Config!$B$9),L1969/60,0)</f>
        <v>0</v>
      </c>
      <c r="S1969" s="45">
        <f>IF(G1969="","",IFERROR(INDEX(Config!$K$5:$K$16,MATCH(G1969,Config!$J$5:$J$16,0)),""))</f>
        <v/>
      </c>
      <c r="T1969" s="31">
        <f>IF(OR(G1969="",F1969=""),"",IFERROR(INDEX(Config!$M$5:$R$16,MATCH(G1969,Config!$J$5:$J$16,0),MATCH(F1969,Config!$H$5:$H$10,0)),""))</f>
        <v/>
      </c>
      <c r="U1969" s="47">
        <f>IF(AND(H1969="Realizado",L1969&lt;&gt;""),L1969/60,0)</f>
        <v>0</v>
      </c>
      <c r="V1969" s="47">
        <f>IF(AND(H1969="Realizado",OR(L1969="",M1969="")),1,0)</f>
        <v>0</v>
      </c>
    </row>
    <row r="1970">
      <c r="A1970" s="43" t="n"/>
      <c r="B1970" s="44" t="n"/>
      <c r="C1970" s="38" t="n"/>
      <c r="D1970" s="38" t="n"/>
      <c r="E1970" s="37" t="n"/>
      <c r="F1970" s="38" t="n"/>
      <c r="G1970" s="38" t="n"/>
      <c r="H1970" s="38" t="n"/>
      <c r="I1970" s="38" t="n"/>
      <c r="J1970" s="38" t="n"/>
      <c r="K1970" s="37" t="n"/>
      <c r="L1970" s="39" t="n"/>
      <c r="M1970" s="40" t="n"/>
      <c r="N1970" s="30">
        <f>IF(A1970="","",MONTH(A1970))</f>
        <v/>
      </c>
      <c r="O1970" s="30">
        <f>IF(A1970="","",YEAR(A1970))</f>
        <v/>
      </c>
      <c r="P1970" s="30">
        <f>IF(A1970="","",CHOOSE(WEEKDAY(A1970,2),"Segunda","Terça","Quarta","Quinta","Sexta","Sábado","Domingo"))</f>
        <v/>
      </c>
      <c r="Q1970" s="30">
        <f>IF(B1970="","",IF(B1970&lt;TIME(12,0,0),"Manhã",IF(B1970&lt;TIME(18,0,0),"Tarde","Noite")))</f>
        <v/>
      </c>
      <c r="R1970" s="46">
        <f>IF(AND(H1970="Realizado",L1970&lt;&gt;"",A1970&lt;=Config!$B$9),L1970/60,0)</f>
        <v>0</v>
      </c>
      <c r="S1970" s="45">
        <f>IF(G1970="","",IFERROR(INDEX(Config!$K$5:$K$16,MATCH(G1970,Config!$J$5:$J$16,0)),""))</f>
        <v/>
      </c>
      <c r="T1970" s="31">
        <f>IF(OR(G1970="",F1970=""),"",IFERROR(INDEX(Config!$M$5:$R$16,MATCH(G1970,Config!$J$5:$J$16,0),MATCH(F1970,Config!$H$5:$H$10,0)),""))</f>
        <v/>
      </c>
      <c r="U1970" s="47">
        <f>IF(AND(H1970="Realizado",L1970&lt;&gt;""),L1970/60,0)</f>
        <v>0</v>
      </c>
      <c r="V1970" s="47">
        <f>IF(AND(H1970="Realizado",OR(L1970="",M1970="")),1,0)</f>
        <v>0</v>
      </c>
    </row>
    <row r="1971">
      <c r="A1971" s="43" t="n"/>
      <c r="B1971" s="44" t="n"/>
      <c r="C1971" s="38" t="n"/>
      <c r="D1971" s="38" t="n"/>
      <c r="E1971" s="37" t="n"/>
      <c r="F1971" s="38" t="n"/>
      <c r="G1971" s="38" t="n"/>
      <c r="H1971" s="38" t="n"/>
      <c r="I1971" s="38" t="n"/>
      <c r="J1971" s="38" t="n"/>
      <c r="K1971" s="37" t="n"/>
      <c r="L1971" s="39" t="n"/>
      <c r="M1971" s="40" t="n"/>
      <c r="N1971" s="30">
        <f>IF(A1971="","",MONTH(A1971))</f>
        <v/>
      </c>
      <c r="O1971" s="30">
        <f>IF(A1971="","",YEAR(A1971))</f>
        <v/>
      </c>
      <c r="P1971" s="30">
        <f>IF(A1971="","",CHOOSE(WEEKDAY(A1971,2),"Segunda","Terça","Quarta","Quinta","Sexta","Sábado","Domingo"))</f>
        <v/>
      </c>
      <c r="Q1971" s="30">
        <f>IF(B1971="","",IF(B1971&lt;TIME(12,0,0),"Manhã",IF(B1971&lt;TIME(18,0,0),"Tarde","Noite")))</f>
        <v/>
      </c>
      <c r="R1971" s="46">
        <f>IF(AND(H1971="Realizado",L1971&lt;&gt;"",A1971&lt;=Config!$B$9),L1971/60,0)</f>
        <v>0</v>
      </c>
      <c r="S1971" s="45">
        <f>IF(G1971="","",IFERROR(INDEX(Config!$K$5:$K$16,MATCH(G1971,Config!$J$5:$J$16,0)),""))</f>
        <v/>
      </c>
      <c r="T1971" s="31">
        <f>IF(OR(G1971="",F1971=""),"",IFERROR(INDEX(Config!$M$5:$R$16,MATCH(G1971,Config!$J$5:$J$16,0),MATCH(F1971,Config!$H$5:$H$10,0)),""))</f>
        <v/>
      </c>
      <c r="U1971" s="47">
        <f>IF(AND(H1971="Realizado",L1971&lt;&gt;""),L1971/60,0)</f>
        <v>0</v>
      </c>
      <c r="V1971" s="47">
        <f>IF(AND(H1971="Realizado",OR(L1971="",M1971="")),1,0)</f>
        <v>0</v>
      </c>
    </row>
    <row r="1972">
      <c r="A1972" s="43" t="n"/>
      <c r="B1972" s="44" t="n"/>
      <c r="C1972" s="38" t="n"/>
      <c r="D1972" s="38" t="n"/>
      <c r="E1972" s="37" t="n"/>
      <c r="F1972" s="38" t="n"/>
      <c r="G1972" s="38" t="n"/>
      <c r="H1972" s="38" t="n"/>
      <c r="I1972" s="38" t="n"/>
      <c r="J1972" s="38" t="n"/>
      <c r="K1972" s="37" t="n"/>
      <c r="L1972" s="39" t="n"/>
      <c r="M1972" s="40" t="n"/>
      <c r="N1972" s="30">
        <f>IF(A1972="","",MONTH(A1972))</f>
        <v/>
      </c>
      <c r="O1972" s="30">
        <f>IF(A1972="","",YEAR(A1972))</f>
        <v/>
      </c>
      <c r="P1972" s="30">
        <f>IF(A1972="","",CHOOSE(WEEKDAY(A1972,2),"Segunda","Terça","Quarta","Quinta","Sexta","Sábado","Domingo"))</f>
        <v/>
      </c>
      <c r="Q1972" s="30">
        <f>IF(B1972="","",IF(B1972&lt;TIME(12,0,0),"Manhã",IF(B1972&lt;TIME(18,0,0),"Tarde","Noite")))</f>
        <v/>
      </c>
      <c r="R1972" s="46">
        <f>IF(AND(H1972="Realizado",L1972&lt;&gt;"",A1972&lt;=Config!$B$9),L1972/60,0)</f>
        <v>0</v>
      </c>
      <c r="S1972" s="45">
        <f>IF(G1972="","",IFERROR(INDEX(Config!$K$5:$K$16,MATCH(G1972,Config!$J$5:$J$16,0)),""))</f>
        <v/>
      </c>
      <c r="T1972" s="31">
        <f>IF(OR(G1972="",F1972=""),"",IFERROR(INDEX(Config!$M$5:$R$16,MATCH(G1972,Config!$J$5:$J$16,0),MATCH(F1972,Config!$H$5:$H$10,0)),""))</f>
        <v/>
      </c>
      <c r="U1972" s="47">
        <f>IF(AND(H1972="Realizado",L1972&lt;&gt;""),L1972/60,0)</f>
        <v>0</v>
      </c>
      <c r="V1972" s="47">
        <f>IF(AND(H1972="Realizado",OR(L1972="",M1972="")),1,0)</f>
        <v>0</v>
      </c>
    </row>
    <row r="1973">
      <c r="A1973" s="43" t="n"/>
      <c r="B1973" s="44" t="n"/>
      <c r="C1973" s="38" t="n"/>
      <c r="D1973" s="38" t="n"/>
      <c r="E1973" s="37" t="n"/>
      <c r="F1973" s="38" t="n"/>
      <c r="G1973" s="38" t="n"/>
      <c r="H1973" s="38" t="n"/>
      <c r="I1973" s="38" t="n"/>
      <c r="J1973" s="38" t="n"/>
      <c r="K1973" s="37" t="n"/>
      <c r="L1973" s="39" t="n"/>
      <c r="M1973" s="40" t="n"/>
      <c r="N1973" s="30">
        <f>IF(A1973="","",MONTH(A1973))</f>
        <v/>
      </c>
      <c r="O1973" s="30">
        <f>IF(A1973="","",YEAR(A1973))</f>
        <v/>
      </c>
      <c r="P1973" s="30">
        <f>IF(A1973="","",CHOOSE(WEEKDAY(A1973,2),"Segunda","Terça","Quarta","Quinta","Sexta","Sábado","Domingo"))</f>
        <v/>
      </c>
      <c r="Q1973" s="30">
        <f>IF(B1973="","",IF(B1973&lt;TIME(12,0,0),"Manhã",IF(B1973&lt;TIME(18,0,0),"Tarde","Noite")))</f>
        <v/>
      </c>
      <c r="R1973" s="46">
        <f>IF(AND(H1973="Realizado",L1973&lt;&gt;"",A1973&lt;=Config!$B$9),L1973/60,0)</f>
        <v>0</v>
      </c>
      <c r="S1973" s="45">
        <f>IF(G1973="","",IFERROR(INDEX(Config!$K$5:$K$16,MATCH(G1973,Config!$J$5:$J$16,0)),""))</f>
        <v/>
      </c>
      <c r="T1973" s="31">
        <f>IF(OR(G1973="",F1973=""),"",IFERROR(INDEX(Config!$M$5:$R$16,MATCH(G1973,Config!$J$5:$J$16,0),MATCH(F1973,Config!$H$5:$H$10,0)),""))</f>
        <v/>
      </c>
      <c r="U1973" s="47">
        <f>IF(AND(H1973="Realizado",L1973&lt;&gt;""),L1973/60,0)</f>
        <v>0</v>
      </c>
      <c r="V1973" s="47">
        <f>IF(AND(H1973="Realizado",OR(L1973="",M1973="")),1,0)</f>
        <v>0</v>
      </c>
    </row>
    <row r="1974">
      <c r="A1974" s="43" t="n"/>
      <c r="B1974" s="44" t="n"/>
      <c r="C1974" s="38" t="n"/>
      <c r="D1974" s="38" t="n"/>
      <c r="E1974" s="37" t="n"/>
      <c r="F1974" s="38" t="n"/>
      <c r="G1974" s="38" t="n"/>
      <c r="H1974" s="38" t="n"/>
      <c r="I1974" s="38" t="n"/>
      <c r="J1974" s="38" t="n"/>
      <c r="K1974" s="37" t="n"/>
      <c r="L1974" s="39" t="n"/>
      <c r="M1974" s="40" t="n"/>
      <c r="N1974" s="30">
        <f>IF(A1974="","",MONTH(A1974))</f>
        <v/>
      </c>
      <c r="O1974" s="30">
        <f>IF(A1974="","",YEAR(A1974))</f>
        <v/>
      </c>
      <c r="P1974" s="30">
        <f>IF(A1974="","",CHOOSE(WEEKDAY(A1974,2),"Segunda","Terça","Quarta","Quinta","Sexta","Sábado","Domingo"))</f>
        <v/>
      </c>
      <c r="Q1974" s="30">
        <f>IF(B1974="","",IF(B1974&lt;TIME(12,0,0),"Manhã",IF(B1974&lt;TIME(18,0,0),"Tarde","Noite")))</f>
        <v/>
      </c>
      <c r="R1974" s="46">
        <f>IF(AND(H1974="Realizado",L1974&lt;&gt;"",A1974&lt;=Config!$B$9),L1974/60,0)</f>
        <v>0</v>
      </c>
      <c r="S1974" s="45">
        <f>IF(G1974="","",IFERROR(INDEX(Config!$K$5:$K$16,MATCH(G1974,Config!$J$5:$J$16,0)),""))</f>
        <v/>
      </c>
      <c r="T1974" s="31">
        <f>IF(OR(G1974="",F1974=""),"",IFERROR(INDEX(Config!$M$5:$R$16,MATCH(G1974,Config!$J$5:$J$16,0),MATCH(F1974,Config!$H$5:$H$10,0)),""))</f>
        <v/>
      </c>
      <c r="U1974" s="47">
        <f>IF(AND(H1974="Realizado",L1974&lt;&gt;""),L1974/60,0)</f>
        <v>0</v>
      </c>
      <c r="V1974" s="47">
        <f>IF(AND(H1974="Realizado",OR(L1974="",M1974="")),1,0)</f>
        <v>0</v>
      </c>
    </row>
    <row r="1975">
      <c r="A1975" s="43" t="n"/>
      <c r="B1975" s="44" t="n"/>
      <c r="C1975" s="38" t="n"/>
      <c r="D1975" s="38" t="n"/>
      <c r="E1975" s="37" t="n"/>
      <c r="F1975" s="38" t="n"/>
      <c r="G1975" s="38" t="n"/>
      <c r="H1975" s="38" t="n"/>
      <c r="I1975" s="38" t="n"/>
      <c r="J1975" s="38" t="n"/>
      <c r="K1975" s="37" t="n"/>
      <c r="L1975" s="39" t="n"/>
      <c r="M1975" s="40" t="n"/>
      <c r="N1975" s="30">
        <f>IF(A1975="","",MONTH(A1975))</f>
        <v/>
      </c>
      <c r="O1975" s="30">
        <f>IF(A1975="","",YEAR(A1975))</f>
        <v/>
      </c>
      <c r="P1975" s="30">
        <f>IF(A1975="","",CHOOSE(WEEKDAY(A1975,2),"Segunda","Terça","Quarta","Quinta","Sexta","Sábado","Domingo"))</f>
        <v/>
      </c>
      <c r="Q1975" s="30">
        <f>IF(B1975="","",IF(B1975&lt;TIME(12,0,0),"Manhã",IF(B1975&lt;TIME(18,0,0),"Tarde","Noite")))</f>
        <v/>
      </c>
      <c r="R1975" s="46">
        <f>IF(AND(H1975="Realizado",L1975&lt;&gt;"",A1975&lt;=Config!$B$9),L1975/60,0)</f>
        <v>0</v>
      </c>
      <c r="S1975" s="45">
        <f>IF(G1975="","",IFERROR(INDEX(Config!$K$5:$K$16,MATCH(G1975,Config!$J$5:$J$16,0)),""))</f>
        <v/>
      </c>
      <c r="T1975" s="31">
        <f>IF(OR(G1975="",F1975=""),"",IFERROR(INDEX(Config!$M$5:$R$16,MATCH(G1975,Config!$J$5:$J$16,0),MATCH(F1975,Config!$H$5:$H$10,0)),""))</f>
        <v/>
      </c>
      <c r="U1975" s="47">
        <f>IF(AND(H1975="Realizado",L1975&lt;&gt;""),L1975/60,0)</f>
        <v>0</v>
      </c>
      <c r="V1975" s="47">
        <f>IF(AND(H1975="Realizado",OR(L1975="",M1975="")),1,0)</f>
        <v>0</v>
      </c>
    </row>
    <row r="1976">
      <c r="A1976" s="43" t="n"/>
      <c r="B1976" s="44" t="n"/>
      <c r="C1976" s="38" t="n"/>
      <c r="D1976" s="38" t="n"/>
      <c r="E1976" s="37" t="n"/>
      <c r="F1976" s="38" t="n"/>
      <c r="G1976" s="38" t="n"/>
      <c r="H1976" s="38" t="n"/>
      <c r="I1976" s="38" t="n"/>
      <c r="J1976" s="38" t="n"/>
      <c r="K1976" s="37" t="n"/>
      <c r="L1976" s="39" t="n"/>
      <c r="M1976" s="40" t="n"/>
      <c r="N1976" s="30">
        <f>IF(A1976="","",MONTH(A1976))</f>
        <v/>
      </c>
      <c r="O1976" s="30">
        <f>IF(A1976="","",YEAR(A1976))</f>
        <v/>
      </c>
      <c r="P1976" s="30">
        <f>IF(A1976="","",CHOOSE(WEEKDAY(A1976,2),"Segunda","Terça","Quarta","Quinta","Sexta","Sábado","Domingo"))</f>
        <v/>
      </c>
      <c r="Q1976" s="30">
        <f>IF(B1976="","",IF(B1976&lt;TIME(12,0,0),"Manhã",IF(B1976&lt;TIME(18,0,0),"Tarde","Noite")))</f>
        <v/>
      </c>
      <c r="R1976" s="46">
        <f>IF(AND(H1976="Realizado",L1976&lt;&gt;"",A1976&lt;=Config!$B$9),L1976/60,0)</f>
        <v>0</v>
      </c>
      <c r="S1976" s="45">
        <f>IF(G1976="","",IFERROR(INDEX(Config!$K$5:$K$16,MATCH(G1976,Config!$J$5:$J$16,0)),""))</f>
        <v/>
      </c>
      <c r="T1976" s="31">
        <f>IF(OR(G1976="",F1976=""),"",IFERROR(INDEX(Config!$M$5:$R$16,MATCH(G1976,Config!$J$5:$J$16,0),MATCH(F1976,Config!$H$5:$H$10,0)),""))</f>
        <v/>
      </c>
      <c r="U1976" s="47">
        <f>IF(AND(H1976="Realizado",L1976&lt;&gt;""),L1976/60,0)</f>
        <v>0</v>
      </c>
      <c r="V1976" s="47">
        <f>IF(AND(H1976="Realizado",OR(L1976="",M1976="")),1,0)</f>
        <v>0</v>
      </c>
    </row>
    <row r="1977">
      <c r="A1977" s="43" t="n"/>
      <c r="B1977" s="44" t="n"/>
      <c r="C1977" s="38" t="n"/>
      <c r="D1977" s="38" t="n"/>
      <c r="E1977" s="37" t="n"/>
      <c r="F1977" s="38" t="n"/>
      <c r="G1977" s="38" t="n"/>
      <c r="H1977" s="38" t="n"/>
      <c r="I1977" s="38" t="n"/>
      <c r="J1977" s="38" t="n"/>
      <c r="K1977" s="37" t="n"/>
      <c r="L1977" s="39" t="n"/>
      <c r="M1977" s="40" t="n"/>
      <c r="N1977" s="30">
        <f>IF(A1977="","",MONTH(A1977))</f>
        <v/>
      </c>
      <c r="O1977" s="30">
        <f>IF(A1977="","",YEAR(A1977))</f>
        <v/>
      </c>
      <c r="P1977" s="30">
        <f>IF(A1977="","",CHOOSE(WEEKDAY(A1977,2),"Segunda","Terça","Quarta","Quinta","Sexta","Sábado","Domingo"))</f>
        <v/>
      </c>
      <c r="Q1977" s="30">
        <f>IF(B1977="","",IF(B1977&lt;TIME(12,0,0),"Manhã",IF(B1977&lt;TIME(18,0,0),"Tarde","Noite")))</f>
        <v/>
      </c>
      <c r="R1977" s="46">
        <f>IF(AND(H1977="Realizado",L1977&lt;&gt;"",A1977&lt;=Config!$B$9),L1977/60,0)</f>
        <v>0</v>
      </c>
      <c r="S1977" s="45">
        <f>IF(G1977="","",IFERROR(INDEX(Config!$K$5:$K$16,MATCH(G1977,Config!$J$5:$J$16,0)),""))</f>
        <v/>
      </c>
      <c r="T1977" s="31">
        <f>IF(OR(G1977="",F1977=""),"",IFERROR(INDEX(Config!$M$5:$R$16,MATCH(G1977,Config!$J$5:$J$16,0),MATCH(F1977,Config!$H$5:$H$10,0)),""))</f>
        <v/>
      </c>
      <c r="U1977" s="47">
        <f>IF(AND(H1977="Realizado",L1977&lt;&gt;""),L1977/60,0)</f>
        <v>0</v>
      </c>
      <c r="V1977" s="47">
        <f>IF(AND(H1977="Realizado",OR(L1977="",M1977="")),1,0)</f>
        <v>0</v>
      </c>
    </row>
    <row r="1978">
      <c r="A1978" s="43" t="n"/>
      <c r="B1978" s="44" t="n"/>
      <c r="C1978" s="38" t="n"/>
      <c r="D1978" s="38" t="n"/>
      <c r="E1978" s="37" t="n"/>
      <c r="F1978" s="38" t="n"/>
      <c r="G1978" s="38" t="n"/>
      <c r="H1978" s="38" t="n"/>
      <c r="I1978" s="38" t="n"/>
      <c r="J1978" s="38" t="n"/>
      <c r="K1978" s="37" t="n"/>
      <c r="L1978" s="39" t="n"/>
      <c r="M1978" s="40" t="n"/>
      <c r="N1978" s="30">
        <f>IF(A1978="","",MONTH(A1978))</f>
        <v/>
      </c>
      <c r="O1978" s="30">
        <f>IF(A1978="","",YEAR(A1978))</f>
        <v/>
      </c>
      <c r="P1978" s="30">
        <f>IF(A1978="","",CHOOSE(WEEKDAY(A1978,2),"Segunda","Terça","Quarta","Quinta","Sexta","Sábado","Domingo"))</f>
        <v/>
      </c>
      <c r="Q1978" s="30">
        <f>IF(B1978="","",IF(B1978&lt;TIME(12,0,0),"Manhã",IF(B1978&lt;TIME(18,0,0),"Tarde","Noite")))</f>
        <v/>
      </c>
      <c r="R1978" s="46">
        <f>IF(AND(H1978="Realizado",L1978&lt;&gt;"",A1978&lt;=Config!$B$9),L1978/60,0)</f>
        <v>0</v>
      </c>
      <c r="S1978" s="45">
        <f>IF(G1978="","",IFERROR(INDEX(Config!$K$5:$K$16,MATCH(G1978,Config!$J$5:$J$16,0)),""))</f>
        <v/>
      </c>
      <c r="T1978" s="31">
        <f>IF(OR(G1978="",F1978=""),"",IFERROR(INDEX(Config!$M$5:$R$16,MATCH(G1978,Config!$J$5:$J$16,0),MATCH(F1978,Config!$H$5:$H$10,0)),""))</f>
        <v/>
      </c>
      <c r="U1978" s="47">
        <f>IF(AND(H1978="Realizado",L1978&lt;&gt;""),L1978/60,0)</f>
        <v>0</v>
      </c>
      <c r="V1978" s="47">
        <f>IF(AND(H1978="Realizado",OR(L1978="",M1978="")),1,0)</f>
        <v>0</v>
      </c>
    </row>
    <row r="1979">
      <c r="A1979" s="43" t="n"/>
      <c r="B1979" s="44" t="n"/>
      <c r="C1979" s="38" t="n"/>
      <c r="D1979" s="38" t="n"/>
      <c r="E1979" s="37" t="n"/>
      <c r="F1979" s="38" t="n"/>
      <c r="G1979" s="38" t="n"/>
      <c r="H1979" s="38" t="n"/>
      <c r="I1979" s="38" t="n"/>
      <c r="J1979" s="38" t="n"/>
      <c r="K1979" s="37" t="n"/>
      <c r="L1979" s="39" t="n"/>
      <c r="M1979" s="40" t="n"/>
      <c r="N1979" s="30">
        <f>IF(A1979="","",MONTH(A1979))</f>
        <v/>
      </c>
      <c r="O1979" s="30">
        <f>IF(A1979="","",YEAR(A1979))</f>
        <v/>
      </c>
      <c r="P1979" s="30">
        <f>IF(A1979="","",CHOOSE(WEEKDAY(A1979,2),"Segunda","Terça","Quarta","Quinta","Sexta","Sábado","Domingo"))</f>
        <v/>
      </c>
      <c r="Q1979" s="30">
        <f>IF(B1979="","",IF(B1979&lt;TIME(12,0,0),"Manhã",IF(B1979&lt;TIME(18,0,0),"Tarde","Noite")))</f>
        <v/>
      </c>
      <c r="R1979" s="46">
        <f>IF(AND(H1979="Realizado",L1979&lt;&gt;"",A1979&lt;=Config!$B$9),L1979/60,0)</f>
        <v>0</v>
      </c>
      <c r="S1979" s="45">
        <f>IF(G1979="","",IFERROR(INDEX(Config!$K$5:$K$16,MATCH(G1979,Config!$J$5:$J$16,0)),""))</f>
        <v/>
      </c>
      <c r="T1979" s="31">
        <f>IF(OR(G1979="",F1979=""),"",IFERROR(INDEX(Config!$M$5:$R$16,MATCH(G1979,Config!$J$5:$J$16,0),MATCH(F1979,Config!$H$5:$H$10,0)),""))</f>
        <v/>
      </c>
      <c r="U1979" s="47">
        <f>IF(AND(H1979="Realizado",L1979&lt;&gt;""),L1979/60,0)</f>
        <v>0</v>
      </c>
      <c r="V1979" s="47">
        <f>IF(AND(H1979="Realizado",OR(L1979="",M1979="")),1,0)</f>
        <v>0</v>
      </c>
    </row>
    <row r="1980">
      <c r="A1980" s="43" t="n"/>
      <c r="B1980" s="44" t="n"/>
      <c r="C1980" s="38" t="n"/>
      <c r="D1980" s="38" t="n"/>
      <c r="E1980" s="37" t="n"/>
      <c r="F1980" s="38" t="n"/>
      <c r="G1980" s="38" t="n"/>
      <c r="H1980" s="38" t="n"/>
      <c r="I1980" s="38" t="n"/>
      <c r="J1980" s="38" t="n"/>
      <c r="K1980" s="37" t="n"/>
      <c r="L1980" s="39" t="n"/>
      <c r="M1980" s="40" t="n"/>
      <c r="N1980" s="30">
        <f>IF(A1980="","",MONTH(A1980))</f>
        <v/>
      </c>
      <c r="O1980" s="30">
        <f>IF(A1980="","",YEAR(A1980))</f>
        <v/>
      </c>
      <c r="P1980" s="30">
        <f>IF(A1980="","",CHOOSE(WEEKDAY(A1980,2),"Segunda","Terça","Quarta","Quinta","Sexta","Sábado","Domingo"))</f>
        <v/>
      </c>
      <c r="Q1980" s="30">
        <f>IF(B1980="","",IF(B1980&lt;TIME(12,0,0),"Manhã",IF(B1980&lt;TIME(18,0,0),"Tarde","Noite")))</f>
        <v/>
      </c>
      <c r="R1980" s="46">
        <f>IF(AND(H1980="Realizado",L1980&lt;&gt;"",A1980&lt;=Config!$B$9),L1980/60,0)</f>
        <v>0</v>
      </c>
      <c r="S1980" s="45">
        <f>IF(G1980="","",IFERROR(INDEX(Config!$K$5:$K$16,MATCH(G1980,Config!$J$5:$J$16,0)),""))</f>
        <v/>
      </c>
      <c r="T1980" s="31">
        <f>IF(OR(G1980="",F1980=""),"",IFERROR(INDEX(Config!$M$5:$R$16,MATCH(G1980,Config!$J$5:$J$16,0),MATCH(F1980,Config!$H$5:$H$10,0)),""))</f>
        <v/>
      </c>
      <c r="U1980" s="47">
        <f>IF(AND(H1980="Realizado",L1980&lt;&gt;""),L1980/60,0)</f>
        <v>0</v>
      </c>
      <c r="V1980" s="47">
        <f>IF(AND(H1980="Realizado",OR(L1980="",M1980="")),1,0)</f>
        <v>0</v>
      </c>
    </row>
    <row r="1981">
      <c r="A1981" s="43" t="n"/>
      <c r="B1981" s="44" t="n"/>
      <c r="C1981" s="38" t="n"/>
      <c r="D1981" s="38" t="n"/>
      <c r="E1981" s="37" t="n"/>
      <c r="F1981" s="38" t="n"/>
      <c r="G1981" s="38" t="n"/>
      <c r="H1981" s="38" t="n"/>
      <c r="I1981" s="38" t="n"/>
      <c r="J1981" s="38" t="n"/>
      <c r="K1981" s="37" t="n"/>
      <c r="L1981" s="39" t="n"/>
      <c r="M1981" s="40" t="n"/>
      <c r="N1981" s="30">
        <f>IF(A1981="","",MONTH(A1981))</f>
        <v/>
      </c>
      <c r="O1981" s="30">
        <f>IF(A1981="","",YEAR(A1981))</f>
        <v/>
      </c>
      <c r="P1981" s="30">
        <f>IF(A1981="","",CHOOSE(WEEKDAY(A1981,2),"Segunda","Terça","Quarta","Quinta","Sexta","Sábado","Domingo"))</f>
        <v/>
      </c>
      <c r="Q1981" s="30">
        <f>IF(B1981="","",IF(B1981&lt;TIME(12,0,0),"Manhã",IF(B1981&lt;TIME(18,0,0),"Tarde","Noite")))</f>
        <v/>
      </c>
      <c r="R1981" s="46">
        <f>IF(AND(H1981="Realizado",L1981&lt;&gt;"",A1981&lt;=Config!$B$9),L1981/60,0)</f>
        <v>0</v>
      </c>
      <c r="S1981" s="45">
        <f>IF(G1981="","",IFERROR(INDEX(Config!$K$5:$K$16,MATCH(G1981,Config!$J$5:$J$16,0)),""))</f>
        <v/>
      </c>
      <c r="T1981" s="31">
        <f>IF(OR(G1981="",F1981=""),"",IFERROR(INDEX(Config!$M$5:$R$16,MATCH(G1981,Config!$J$5:$J$16,0),MATCH(F1981,Config!$H$5:$H$10,0)),""))</f>
        <v/>
      </c>
      <c r="U1981" s="47">
        <f>IF(AND(H1981="Realizado",L1981&lt;&gt;""),L1981/60,0)</f>
        <v>0</v>
      </c>
      <c r="V1981" s="47">
        <f>IF(AND(H1981="Realizado",OR(L1981="",M1981="")),1,0)</f>
        <v>0</v>
      </c>
    </row>
    <row r="1982">
      <c r="A1982" s="43" t="n"/>
      <c r="B1982" s="44" t="n"/>
      <c r="C1982" s="38" t="n"/>
      <c r="D1982" s="38" t="n"/>
      <c r="E1982" s="37" t="n"/>
      <c r="F1982" s="38" t="n"/>
      <c r="G1982" s="38" t="n"/>
      <c r="H1982" s="38" t="n"/>
      <c r="I1982" s="38" t="n"/>
      <c r="J1982" s="38" t="n"/>
      <c r="K1982" s="37" t="n"/>
      <c r="L1982" s="39" t="n"/>
      <c r="M1982" s="40" t="n"/>
      <c r="N1982" s="30">
        <f>IF(A1982="","",MONTH(A1982))</f>
        <v/>
      </c>
      <c r="O1982" s="30">
        <f>IF(A1982="","",YEAR(A1982))</f>
        <v/>
      </c>
      <c r="P1982" s="30">
        <f>IF(A1982="","",CHOOSE(WEEKDAY(A1982,2),"Segunda","Terça","Quarta","Quinta","Sexta","Sábado","Domingo"))</f>
        <v/>
      </c>
      <c r="Q1982" s="30">
        <f>IF(B1982="","",IF(B1982&lt;TIME(12,0,0),"Manhã",IF(B1982&lt;TIME(18,0,0),"Tarde","Noite")))</f>
        <v/>
      </c>
      <c r="R1982" s="46">
        <f>IF(AND(H1982="Realizado",L1982&lt;&gt;"",A1982&lt;=Config!$B$9),L1982/60,0)</f>
        <v>0</v>
      </c>
      <c r="S1982" s="45">
        <f>IF(G1982="","",IFERROR(INDEX(Config!$K$5:$K$16,MATCH(G1982,Config!$J$5:$J$16,0)),""))</f>
        <v/>
      </c>
      <c r="T1982" s="31">
        <f>IF(OR(G1982="",F1982=""),"",IFERROR(INDEX(Config!$M$5:$R$16,MATCH(G1982,Config!$J$5:$J$16,0),MATCH(F1982,Config!$H$5:$H$10,0)),""))</f>
        <v/>
      </c>
      <c r="U1982" s="47">
        <f>IF(AND(H1982="Realizado",L1982&lt;&gt;""),L1982/60,0)</f>
        <v>0</v>
      </c>
      <c r="V1982" s="47">
        <f>IF(AND(H1982="Realizado",OR(L1982="",M1982="")),1,0)</f>
        <v>0</v>
      </c>
    </row>
    <row r="1983">
      <c r="A1983" s="43" t="n"/>
      <c r="B1983" s="44" t="n"/>
      <c r="C1983" s="38" t="n"/>
      <c r="D1983" s="38" t="n"/>
      <c r="E1983" s="37" t="n"/>
      <c r="F1983" s="38" t="n"/>
      <c r="G1983" s="38" t="n"/>
      <c r="H1983" s="38" t="n"/>
      <c r="I1983" s="38" t="n"/>
      <c r="J1983" s="38" t="n"/>
      <c r="K1983" s="37" t="n"/>
      <c r="L1983" s="39" t="n"/>
      <c r="M1983" s="40" t="n"/>
      <c r="N1983" s="30">
        <f>IF(A1983="","",MONTH(A1983))</f>
        <v/>
      </c>
      <c r="O1983" s="30">
        <f>IF(A1983="","",YEAR(A1983))</f>
        <v/>
      </c>
      <c r="P1983" s="30">
        <f>IF(A1983="","",CHOOSE(WEEKDAY(A1983,2),"Segunda","Terça","Quarta","Quinta","Sexta","Sábado","Domingo"))</f>
        <v/>
      </c>
      <c r="Q1983" s="30">
        <f>IF(B1983="","",IF(B1983&lt;TIME(12,0,0),"Manhã",IF(B1983&lt;TIME(18,0,0),"Tarde","Noite")))</f>
        <v/>
      </c>
      <c r="R1983" s="46">
        <f>IF(AND(H1983="Realizado",L1983&lt;&gt;"",A1983&lt;=Config!$B$9),L1983/60,0)</f>
        <v>0</v>
      </c>
      <c r="S1983" s="45">
        <f>IF(G1983="","",IFERROR(INDEX(Config!$K$5:$K$16,MATCH(G1983,Config!$J$5:$J$16,0)),""))</f>
        <v/>
      </c>
      <c r="T1983" s="31">
        <f>IF(OR(G1983="",F1983=""),"",IFERROR(INDEX(Config!$M$5:$R$16,MATCH(G1983,Config!$J$5:$J$16,0),MATCH(F1983,Config!$H$5:$H$10,0)),""))</f>
        <v/>
      </c>
      <c r="U1983" s="47">
        <f>IF(AND(H1983="Realizado",L1983&lt;&gt;""),L1983/60,0)</f>
        <v>0</v>
      </c>
      <c r="V1983" s="47">
        <f>IF(AND(H1983="Realizado",OR(L1983="",M1983="")),1,0)</f>
        <v>0</v>
      </c>
    </row>
    <row r="1984">
      <c r="A1984" s="43" t="n"/>
      <c r="B1984" s="44" t="n"/>
      <c r="C1984" s="38" t="n"/>
      <c r="D1984" s="38" t="n"/>
      <c r="E1984" s="37" t="n"/>
      <c r="F1984" s="38" t="n"/>
      <c r="G1984" s="38" t="n"/>
      <c r="H1984" s="38" t="n"/>
      <c r="I1984" s="38" t="n"/>
      <c r="J1984" s="38" t="n"/>
      <c r="K1984" s="37" t="n"/>
      <c r="L1984" s="39" t="n"/>
      <c r="M1984" s="40" t="n"/>
      <c r="N1984" s="30">
        <f>IF(A1984="","",MONTH(A1984))</f>
        <v/>
      </c>
      <c r="O1984" s="30">
        <f>IF(A1984="","",YEAR(A1984))</f>
        <v/>
      </c>
      <c r="P1984" s="30">
        <f>IF(A1984="","",CHOOSE(WEEKDAY(A1984,2),"Segunda","Terça","Quarta","Quinta","Sexta","Sábado","Domingo"))</f>
        <v/>
      </c>
      <c r="Q1984" s="30">
        <f>IF(B1984="","",IF(B1984&lt;TIME(12,0,0),"Manhã",IF(B1984&lt;TIME(18,0,0),"Tarde","Noite")))</f>
        <v/>
      </c>
      <c r="R1984" s="46">
        <f>IF(AND(H1984="Realizado",L1984&lt;&gt;"",A1984&lt;=Config!$B$9),L1984/60,0)</f>
        <v>0</v>
      </c>
      <c r="S1984" s="45">
        <f>IF(G1984="","",IFERROR(INDEX(Config!$K$5:$K$16,MATCH(G1984,Config!$J$5:$J$16,0)),""))</f>
        <v/>
      </c>
      <c r="T1984" s="31">
        <f>IF(OR(G1984="",F1984=""),"",IFERROR(INDEX(Config!$M$5:$R$16,MATCH(G1984,Config!$J$5:$J$16,0),MATCH(F1984,Config!$H$5:$H$10,0)),""))</f>
        <v/>
      </c>
      <c r="U1984" s="47">
        <f>IF(AND(H1984="Realizado",L1984&lt;&gt;""),L1984/60,0)</f>
        <v>0</v>
      </c>
      <c r="V1984" s="47">
        <f>IF(AND(H1984="Realizado",OR(L1984="",M1984="")),1,0)</f>
        <v>0</v>
      </c>
    </row>
    <row r="1985">
      <c r="A1985" s="43" t="n"/>
      <c r="B1985" s="44" t="n"/>
      <c r="C1985" s="38" t="n"/>
      <c r="D1985" s="38" t="n"/>
      <c r="E1985" s="37" t="n"/>
      <c r="F1985" s="38" t="n"/>
      <c r="G1985" s="38" t="n"/>
      <c r="H1985" s="38" t="n"/>
      <c r="I1985" s="38" t="n"/>
      <c r="J1985" s="38" t="n"/>
      <c r="K1985" s="37" t="n"/>
      <c r="L1985" s="39" t="n"/>
      <c r="M1985" s="40" t="n"/>
      <c r="N1985" s="30">
        <f>IF(A1985="","",MONTH(A1985))</f>
        <v/>
      </c>
      <c r="O1985" s="30">
        <f>IF(A1985="","",YEAR(A1985))</f>
        <v/>
      </c>
      <c r="P1985" s="30">
        <f>IF(A1985="","",CHOOSE(WEEKDAY(A1985,2),"Segunda","Terça","Quarta","Quinta","Sexta","Sábado","Domingo"))</f>
        <v/>
      </c>
      <c r="Q1985" s="30">
        <f>IF(B1985="","",IF(B1985&lt;TIME(12,0,0),"Manhã",IF(B1985&lt;TIME(18,0,0),"Tarde","Noite")))</f>
        <v/>
      </c>
      <c r="R1985" s="46">
        <f>IF(AND(H1985="Realizado",L1985&lt;&gt;"",A1985&lt;=Config!$B$9),L1985/60,0)</f>
        <v>0</v>
      </c>
      <c r="S1985" s="45">
        <f>IF(G1985="","",IFERROR(INDEX(Config!$K$5:$K$16,MATCH(G1985,Config!$J$5:$J$16,0)),""))</f>
        <v/>
      </c>
      <c r="T1985" s="31">
        <f>IF(OR(G1985="",F1985=""),"",IFERROR(INDEX(Config!$M$5:$R$16,MATCH(G1985,Config!$J$5:$J$16,0),MATCH(F1985,Config!$H$5:$H$10,0)),""))</f>
        <v/>
      </c>
      <c r="U1985" s="47">
        <f>IF(AND(H1985="Realizado",L1985&lt;&gt;""),L1985/60,0)</f>
        <v>0</v>
      </c>
      <c r="V1985" s="47">
        <f>IF(AND(H1985="Realizado",OR(L1985="",M1985="")),1,0)</f>
        <v>0</v>
      </c>
    </row>
    <row r="1986">
      <c r="A1986" s="43" t="n"/>
      <c r="B1986" s="44" t="n"/>
      <c r="C1986" s="38" t="n"/>
      <c r="D1986" s="38" t="n"/>
      <c r="E1986" s="37" t="n"/>
      <c r="F1986" s="38" t="n"/>
      <c r="G1986" s="38" t="n"/>
      <c r="H1986" s="38" t="n"/>
      <c r="I1986" s="38" t="n"/>
      <c r="J1986" s="38" t="n"/>
      <c r="K1986" s="37" t="n"/>
      <c r="L1986" s="39" t="n"/>
      <c r="M1986" s="40" t="n"/>
      <c r="N1986" s="30">
        <f>IF(A1986="","",MONTH(A1986))</f>
        <v/>
      </c>
      <c r="O1986" s="30">
        <f>IF(A1986="","",YEAR(A1986))</f>
        <v/>
      </c>
      <c r="P1986" s="30">
        <f>IF(A1986="","",CHOOSE(WEEKDAY(A1986,2),"Segunda","Terça","Quarta","Quinta","Sexta","Sábado","Domingo"))</f>
        <v/>
      </c>
      <c r="Q1986" s="30">
        <f>IF(B1986="","",IF(B1986&lt;TIME(12,0,0),"Manhã",IF(B1986&lt;TIME(18,0,0),"Tarde","Noite")))</f>
        <v/>
      </c>
      <c r="R1986" s="46">
        <f>IF(AND(H1986="Realizado",L1986&lt;&gt;"",A1986&lt;=Config!$B$9),L1986/60,0)</f>
        <v>0</v>
      </c>
      <c r="S1986" s="45">
        <f>IF(G1986="","",IFERROR(INDEX(Config!$K$5:$K$16,MATCH(G1986,Config!$J$5:$J$16,0)),""))</f>
        <v/>
      </c>
      <c r="T1986" s="31">
        <f>IF(OR(G1986="",F1986=""),"",IFERROR(INDEX(Config!$M$5:$R$16,MATCH(G1986,Config!$J$5:$J$16,0),MATCH(F1986,Config!$H$5:$H$10,0)),""))</f>
        <v/>
      </c>
      <c r="U1986" s="47">
        <f>IF(AND(H1986="Realizado",L1986&lt;&gt;""),L1986/60,0)</f>
        <v>0</v>
      </c>
      <c r="V1986" s="47">
        <f>IF(AND(H1986="Realizado",OR(L1986="",M1986="")),1,0)</f>
        <v>0</v>
      </c>
    </row>
    <row r="1987">
      <c r="A1987" s="43" t="n"/>
      <c r="B1987" s="44" t="n"/>
      <c r="C1987" s="38" t="n"/>
      <c r="D1987" s="38" t="n"/>
      <c r="E1987" s="37" t="n"/>
      <c r="F1987" s="38" t="n"/>
      <c r="G1987" s="38" t="n"/>
      <c r="H1987" s="38" t="n"/>
      <c r="I1987" s="38" t="n"/>
      <c r="J1987" s="38" t="n"/>
      <c r="K1987" s="37" t="n"/>
      <c r="L1987" s="39" t="n"/>
      <c r="M1987" s="40" t="n"/>
      <c r="N1987" s="30">
        <f>IF(A1987="","",MONTH(A1987))</f>
        <v/>
      </c>
      <c r="O1987" s="30">
        <f>IF(A1987="","",YEAR(A1987))</f>
        <v/>
      </c>
      <c r="P1987" s="30">
        <f>IF(A1987="","",CHOOSE(WEEKDAY(A1987,2),"Segunda","Terça","Quarta","Quinta","Sexta","Sábado","Domingo"))</f>
        <v/>
      </c>
      <c r="Q1987" s="30">
        <f>IF(B1987="","",IF(B1987&lt;TIME(12,0,0),"Manhã",IF(B1987&lt;TIME(18,0,0),"Tarde","Noite")))</f>
        <v/>
      </c>
      <c r="R1987" s="46">
        <f>IF(AND(H1987="Realizado",L1987&lt;&gt;"",A1987&lt;=Config!$B$9),L1987/60,0)</f>
        <v>0</v>
      </c>
      <c r="S1987" s="45">
        <f>IF(G1987="","",IFERROR(INDEX(Config!$K$5:$K$16,MATCH(G1987,Config!$J$5:$J$16,0)),""))</f>
        <v/>
      </c>
      <c r="T1987" s="31">
        <f>IF(OR(G1987="",F1987=""),"",IFERROR(INDEX(Config!$M$5:$R$16,MATCH(G1987,Config!$J$5:$J$16,0),MATCH(F1987,Config!$H$5:$H$10,0)),""))</f>
        <v/>
      </c>
      <c r="U1987" s="47">
        <f>IF(AND(H1987="Realizado",L1987&lt;&gt;""),L1987/60,0)</f>
        <v>0</v>
      </c>
      <c r="V1987" s="47">
        <f>IF(AND(H1987="Realizado",OR(L1987="",M1987="")),1,0)</f>
        <v>0</v>
      </c>
    </row>
    <row r="1988">
      <c r="A1988" s="43" t="n"/>
      <c r="B1988" s="44" t="n"/>
      <c r="C1988" s="38" t="n"/>
      <c r="D1988" s="38" t="n"/>
      <c r="E1988" s="37" t="n"/>
      <c r="F1988" s="38" t="n"/>
      <c r="G1988" s="38" t="n"/>
      <c r="H1988" s="38" t="n"/>
      <c r="I1988" s="38" t="n"/>
      <c r="J1988" s="38" t="n"/>
      <c r="K1988" s="37" t="n"/>
      <c r="L1988" s="39" t="n"/>
      <c r="M1988" s="40" t="n"/>
      <c r="N1988" s="30">
        <f>IF(A1988="","",MONTH(A1988))</f>
        <v/>
      </c>
      <c r="O1988" s="30">
        <f>IF(A1988="","",YEAR(A1988))</f>
        <v/>
      </c>
      <c r="P1988" s="30">
        <f>IF(A1988="","",CHOOSE(WEEKDAY(A1988,2),"Segunda","Terça","Quarta","Quinta","Sexta","Sábado","Domingo"))</f>
        <v/>
      </c>
      <c r="Q1988" s="30">
        <f>IF(B1988="","",IF(B1988&lt;TIME(12,0,0),"Manhã",IF(B1988&lt;TIME(18,0,0),"Tarde","Noite")))</f>
        <v/>
      </c>
      <c r="R1988" s="46">
        <f>IF(AND(H1988="Realizado",L1988&lt;&gt;"",A1988&lt;=Config!$B$9),L1988/60,0)</f>
        <v>0</v>
      </c>
      <c r="S1988" s="45">
        <f>IF(G1988="","",IFERROR(INDEX(Config!$K$5:$K$16,MATCH(G1988,Config!$J$5:$J$16,0)),""))</f>
        <v/>
      </c>
      <c r="T1988" s="31">
        <f>IF(OR(G1988="",F1988=""),"",IFERROR(INDEX(Config!$M$5:$R$16,MATCH(G1988,Config!$J$5:$J$16,0),MATCH(F1988,Config!$H$5:$H$10,0)),""))</f>
        <v/>
      </c>
      <c r="U1988" s="47">
        <f>IF(AND(H1988="Realizado",L1988&lt;&gt;""),L1988/60,0)</f>
        <v>0</v>
      </c>
      <c r="V1988" s="47">
        <f>IF(AND(H1988="Realizado",OR(L1988="",M1988="")),1,0)</f>
        <v>0</v>
      </c>
    </row>
    <row r="1989">
      <c r="A1989" s="43" t="n"/>
      <c r="B1989" s="44" t="n"/>
      <c r="C1989" s="38" t="n"/>
      <c r="D1989" s="38" t="n"/>
      <c r="E1989" s="37" t="n"/>
      <c r="F1989" s="38" t="n"/>
      <c r="G1989" s="38" t="n"/>
      <c r="H1989" s="38" t="n"/>
      <c r="I1989" s="38" t="n"/>
      <c r="J1989" s="38" t="n"/>
      <c r="K1989" s="37" t="n"/>
      <c r="L1989" s="39" t="n"/>
      <c r="M1989" s="40" t="n"/>
      <c r="N1989" s="30">
        <f>IF(A1989="","",MONTH(A1989))</f>
        <v/>
      </c>
      <c r="O1989" s="30">
        <f>IF(A1989="","",YEAR(A1989))</f>
        <v/>
      </c>
      <c r="P1989" s="30">
        <f>IF(A1989="","",CHOOSE(WEEKDAY(A1989,2),"Segunda","Terça","Quarta","Quinta","Sexta","Sábado","Domingo"))</f>
        <v/>
      </c>
      <c r="Q1989" s="30">
        <f>IF(B1989="","",IF(B1989&lt;TIME(12,0,0),"Manhã",IF(B1989&lt;TIME(18,0,0),"Tarde","Noite")))</f>
        <v/>
      </c>
      <c r="R1989" s="46">
        <f>IF(AND(H1989="Realizado",L1989&lt;&gt;"",A1989&lt;=Config!$B$9),L1989/60,0)</f>
        <v>0</v>
      </c>
      <c r="S1989" s="45">
        <f>IF(G1989="","",IFERROR(INDEX(Config!$K$5:$K$16,MATCH(G1989,Config!$J$5:$J$16,0)),""))</f>
        <v/>
      </c>
      <c r="T1989" s="31">
        <f>IF(OR(G1989="",F1989=""),"",IFERROR(INDEX(Config!$M$5:$R$16,MATCH(G1989,Config!$J$5:$J$16,0),MATCH(F1989,Config!$H$5:$H$10,0)),""))</f>
        <v/>
      </c>
      <c r="U1989" s="47">
        <f>IF(AND(H1989="Realizado",L1989&lt;&gt;""),L1989/60,0)</f>
        <v>0</v>
      </c>
      <c r="V1989" s="47">
        <f>IF(AND(H1989="Realizado",OR(L1989="",M1989="")),1,0)</f>
        <v>0</v>
      </c>
    </row>
    <row r="1990">
      <c r="A1990" s="43" t="n"/>
      <c r="B1990" s="44" t="n"/>
      <c r="C1990" s="38" t="n"/>
      <c r="D1990" s="38" t="n"/>
      <c r="E1990" s="37" t="n"/>
      <c r="F1990" s="38" t="n"/>
      <c r="G1990" s="38" t="n"/>
      <c r="H1990" s="38" t="n"/>
      <c r="I1990" s="38" t="n"/>
      <c r="J1990" s="38" t="n"/>
      <c r="K1990" s="37" t="n"/>
      <c r="L1990" s="39" t="n"/>
      <c r="M1990" s="40" t="n"/>
      <c r="N1990" s="30">
        <f>IF(A1990="","",MONTH(A1990))</f>
        <v/>
      </c>
      <c r="O1990" s="30">
        <f>IF(A1990="","",YEAR(A1990))</f>
        <v/>
      </c>
      <c r="P1990" s="30">
        <f>IF(A1990="","",CHOOSE(WEEKDAY(A1990,2),"Segunda","Terça","Quarta","Quinta","Sexta","Sábado","Domingo"))</f>
        <v/>
      </c>
      <c r="Q1990" s="30">
        <f>IF(B1990="","",IF(B1990&lt;TIME(12,0,0),"Manhã",IF(B1990&lt;TIME(18,0,0),"Tarde","Noite")))</f>
        <v/>
      </c>
      <c r="R1990" s="46">
        <f>IF(AND(H1990="Realizado",L1990&lt;&gt;"",A1990&lt;=Config!$B$9),L1990/60,0)</f>
        <v>0</v>
      </c>
      <c r="S1990" s="45">
        <f>IF(G1990="","",IFERROR(INDEX(Config!$K$5:$K$16,MATCH(G1990,Config!$J$5:$J$16,0)),""))</f>
        <v/>
      </c>
      <c r="T1990" s="31">
        <f>IF(OR(G1990="",F1990=""),"",IFERROR(INDEX(Config!$M$5:$R$16,MATCH(G1990,Config!$J$5:$J$16,0),MATCH(F1990,Config!$H$5:$H$10,0)),""))</f>
        <v/>
      </c>
      <c r="U1990" s="47">
        <f>IF(AND(H1990="Realizado",L1990&lt;&gt;""),L1990/60,0)</f>
        <v>0</v>
      </c>
      <c r="V1990" s="47">
        <f>IF(AND(H1990="Realizado",OR(L1990="",M1990="")),1,0)</f>
        <v>0</v>
      </c>
    </row>
    <row r="1991">
      <c r="A1991" s="43" t="n"/>
      <c r="B1991" s="44" t="n"/>
      <c r="C1991" s="38" t="n"/>
      <c r="D1991" s="38" t="n"/>
      <c r="E1991" s="37" t="n"/>
      <c r="F1991" s="38" t="n"/>
      <c r="G1991" s="38" t="n"/>
      <c r="H1991" s="38" t="n"/>
      <c r="I1991" s="38" t="n"/>
      <c r="J1991" s="38" t="n"/>
      <c r="K1991" s="37" t="n"/>
      <c r="L1991" s="39" t="n"/>
      <c r="M1991" s="40" t="n"/>
      <c r="N1991" s="30">
        <f>IF(A1991="","",MONTH(A1991))</f>
        <v/>
      </c>
      <c r="O1991" s="30">
        <f>IF(A1991="","",YEAR(A1991))</f>
        <v/>
      </c>
      <c r="P1991" s="30">
        <f>IF(A1991="","",CHOOSE(WEEKDAY(A1991,2),"Segunda","Terça","Quarta","Quinta","Sexta","Sábado","Domingo"))</f>
        <v/>
      </c>
      <c r="Q1991" s="30">
        <f>IF(B1991="","",IF(B1991&lt;TIME(12,0,0),"Manhã",IF(B1991&lt;TIME(18,0,0),"Tarde","Noite")))</f>
        <v/>
      </c>
      <c r="R1991" s="46">
        <f>IF(AND(H1991="Realizado",L1991&lt;&gt;"",A1991&lt;=Config!$B$9),L1991/60,0)</f>
        <v>0</v>
      </c>
      <c r="S1991" s="45">
        <f>IF(G1991="","",IFERROR(INDEX(Config!$K$5:$K$16,MATCH(G1991,Config!$J$5:$J$16,0)),""))</f>
        <v/>
      </c>
      <c r="T1991" s="31">
        <f>IF(OR(G1991="",F1991=""),"",IFERROR(INDEX(Config!$M$5:$R$16,MATCH(G1991,Config!$J$5:$J$16,0),MATCH(F1991,Config!$H$5:$H$10,0)),""))</f>
        <v/>
      </c>
      <c r="U1991" s="47">
        <f>IF(AND(H1991="Realizado",L1991&lt;&gt;""),L1991/60,0)</f>
        <v>0</v>
      </c>
      <c r="V1991" s="47">
        <f>IF(AND(H1991="Realizado",OR(L1991="",M1991="")),1,0)</f>
        <v>0</v>
      </c>
    </row>
    <row r="1992">
      <c r="A1992" s="43" t="n"/>
      <c r="B1992" s="44" t="n"/>
      <c r="C1992" s="38" t="n"/>
      <c r="D1992" s="38" t="n"/>
      <c r="E1992" s="37" t="n"/>
      <c r="F1992" s="38" t="n"/>
      <c r="G1992" s="38" t="n"/>
      <c r="H1992" s="38" t="n"/>
      <c r="I1992" s="38" t="n"/>
      <c r="J1992" s="38" t="n"/>
      <c r="K1992" s="37" t="n"/>
      <c r="L1992" s="39" t="n"/>
      <c r="M1992" s="40" t="n"/>
      <c r="N1992" s="30">
        <f>IF(A1992="","",MONTH(A1992))</f>
        <v/>
      </c>
      <c r="O1992" s="30">
        <f>IF(A1992="","",YEAR(A1992))</f>
        <v/>
      </c>
      <c r="P1992" s="30">
        <f>IF(A1992="","",CHOOSE(WEEKDAY(A1992,2),"Segunda","Terça","Quarta","Quinta","Sexta","Sábado","Domingo"))</f>
        <v/>
      </c>
      <c r="Q1992" s="30">
        <f>IF(B1992="","",IF(B1992&lt;TIME(12,0,0),"Manhã",IF(B1992&lt;TIME(18,0,0),"Tarde","Noite")))</f>
        <v/>
      </c>
      <c r="R1992" s="46">
        <f>IF(AND(H1992="Realizado",L1992&lt;&gt;"",A1992&lt;=Config!$B$9),L1992/60,0)</f>
        <v>0</v>
      </c>
      <c r="S1992" s="45">
        <f>IF(G1992="","",IFERROR(INDEX(Config!$K$5:$K$16,MATCH(G1992,Config!$J$5:$J$16,0)),""))</f>
        <v/>
      </c>
      <c r="T1992" s="31">
        <f>IF(OR(G1992="",F1992=""),"",IFERROR(INDEX(Config!$M$5:$R$16,MATCH(G1992,Config!$J$5:$J$16,0),MATCH(F1992,Config!$H$5:$H$10,0)),""))</f>
        <v/>
      </c>
      <c r="U1992" s="47">
        <f>IF(AND(H1992="Realizado",L1992&lt;&gt;""),L1992/60,0)</f>
        <v>0</v>
      </c>
      <c r="V1992" s="47">
        <f>IF(AND(H1992="Realizado",OR(L1992="",M1992="")),1,0)</f>
        <v>0</v>
      </c>
    </row>
    <row r="1993">
      <c r="A1993" s="43" t="n"/>
      <c r="B1993" s="44" t="n"/>
      <c r="C1993" s="38" t="n"/>
      <c r="D1993" s="38" t="n"/>
      <c r="E1993" s="37" t="n"/>
      <c r="F1993" s="38" t="n"/>
      <c r="G1993" s="38" t="n"/>
      <c r="H1993" s="38" t="n"/>
      <c r="I1993" s="38" t="n"/>
      <c r="J1993" s="38" t="n"/>
      <c r="K1993" s="37" t="n"/>
      <c r="L1993" s="39" t="n"/>
      <c r="M1993" s="40" t="n"/>
      <c r="N1993" s="30">
        <f>IF(A1993="","",MONTH(A1993))</f>
        <v/>
      </c>
      <c r="O1993" s="30">
        <f>IF(A1993="","",YEAR(A1993))</f>
        <v/>
      </c>
      <c r="P1993" s="30">
        <f>IF(A1993="","",CHOOSE(WEEKDAY(A1993,2),"Segunda","Terça","Quarta","Quinta","Sexta","Sábado","Domingo"))</f>
        <v/>
      </c>
      <c r="Q1993" s="30">
        <f>IF(B1993="","",IF(B1993&lt;TIME(12,0,0),"Manhã",IF(B1993&lt;TIME(18,0,0),"Tarde","Noite")))</f>
        <v/>
      </c>
      <c r="R1993" s="46">
        <f>IF(AND(H1993="Realizado",L1993&lt;&gt;"",A1993&lt;=Config!$B$9),L1993/60,0)</f>
        <v>0</v>
      </c>
      <c r="S1993" s="45">
        <f>IF(G1993="","",IFERROR(INDEX(Config!$K$5:$K$16,MATCH(G1993,Config!$J$5:$J$16,0)),""))</f>
        <v/>
      </c>
      <c r="T1993" s="31">
        <f>IF(OR(G1993="",F1993=""),"",IFERROR(INDEX(Config!$M$5:$R$16,MATCH(G1993,Config!$J$5:$J$16,0),MATCH(F1993,Config!$H$5:$H$10,0)),""))</f>
        <v/>
      </c>
      <c r="U1993" s="47">
        <f>IF(AND(H1993="Realizado",L1993&lt;&gt;""),L1993/60,0)</f>
        <v>0</v>
      </c>
      <c r="V1993" s="47">
        <f>IF(AND(H1993="Realizado",OR(L1993="",M1993="")),1,0)</f>
        <v>0</v>
      </c>
    </row>
    <row r="1994">
      <c r="A1994" s="43" t="n"/>
      <c r="B1994" s="44" t="n"/>
      <c r="C1994" s="38" t="n"/>
      <c r="D1994" s="38" t="n"/>
      <c r="E1994" s="37" t="n"/>
      <c r="F1994" s="38" t="n"/>
      <c r="G1994" s="38" t="n"/>
      <c r="H1994" s="38" t="n"/>
      <c r="I1994" s="38" t="n"/>
      <c r="J1994" s="38" t="n"/>
      <c r="K1994" s="37" t="n"/>
      <c r="L1994" s="39" t="n"/>
      <c r="M1994" s="40" t="n"/>
      <c r="N1994" s="30">
        <f>IF(A1994="","",MONTH(A1994))</f>
        <v/>
      </c>
      <c r="O1994" s="30">
        <f>IF(A1994="","",YEAR(A1994))</f>
        <v/>
      </c>
      <c r="P1994" s="30">
        <f>IF(A1994="","",CHOOSE(WEEKDAY(A1994,2),"Segunda","Terça","Quarta","Quinta","Sexta","Sábado","Domingo"))</f>
        <v/>
      </c>
      <c r="Q1994" s="30">
        <f>IF(B1994="","",IF(B1994&lt;TIME(12,0,0),"Manhã",IF(B1994&lt;TIME(18,0,0),"Tarde","Noite")))</f>
        <v/>
      </c>
      <c r="R1994" s="46">
        <f>IF(AND(H1994="Realizado",L1994&lt;&gt;"",A1994&lt;=Config!$B$9),L1994/60,0)</f>
        <v>0</v>
      </c>
      <c r="S1994" s="45">
        <f>IF(G1994="","",IFERROR(INDEX(Config!$K$5:$K$16,MATCH(G1994,Config!$J$5:$J$16,0)),""))</f>
        <v/>
      </c>
      <c r="T1994" s="31">
        <f>IF(OR(G1994="",F1994=""),"",IFERROR(INDEX(Config!$M$5:$R$16,MATCH(G1994,Config!$J$5:$J$16,0),MATCH(F1994,Config!$H$5:$H$10,0)),""))</f>
        <v/>
      </c>
      <c r="U1994" s="47">
        <f>IF(AND(H1994="Realizado",L1994&lt;&gt;""),L1994/60,0)</f>
        <v>0</v>
      </c>
      <c r="V1994" s="47">
        <f>IF(AND(H1994="Realizado",OR(L1994="",M1994="")),1,0)</f>
        <v>0</v>
      </c>
    </row>
    <row r="1995">
      <c r="A1995" s="43" t="n"/>
      <c r="B1995" s="44" t="n"/>
      <c r="C1995" s="38" t="n"/>
      <c r="D1995" s="38" t="n"/>
      <c r="E1995" s="37" t="n"/>
      <c r="F1995" s="38" t="n"/>
      <c r="G1995" s="38" t="n"/>
      <c r="H1995" s="38" t="n"/>
      <c r="I1995" s="38" t="n"/>
      <c r="J1995" s="38" t="n"/>
      <c r="K1995" s="37" t="n"/>
      <c r="L1995" s="39" t="n"/>
      <c r="M1995" s="40" t="n"/>
      <c r="N1995" s="30">
        <f>IF(A1995="","",MONTH(A1995))</f>
        <v/>
      </c>
      <c r="O1995" s="30">
        <f>IF(A1995="","",YEAR(A1995))</f>
        <v/>
      </c>
      <c r="P1995" s="30">
        <f>IF(A1995="","",CHOOSE(WEEKDAY(A1995,2),"Segunda","Terça","Quarta","Quinta","Sexta","Sábado","Domingo"))</f>
        <v/>
      </c>
      <c r="Q1995" s="30">
        <f>IF(B1995="","",IF(B1995&lt;TIME(12,0,0),"Manhã",IF(B1995&lt;TIME(18,0,0),"Tarde","Noite")))</f>
        <v/>
      </c>
      <c r="R1995" s="46">
        <f>IF(AND(H1995="Realizado",L1995&lt;&gt;"",A1995&lt;=Config!$B$9),L1995/60,0)</f>
        <v>0</v>
      </c>
      <c r="S1995" s="45">
        <f>IF(G1995="","",IFERROR(INDEX(Config!$K$5:$K$16,MATCH(G1995,Config!$J$5:$J$16,0)),""))</f>
        <v/>
      </c>
      <c r="T1995" s="31">
        <f>IF(OR(G1995="",F1995=""),"",IFERROR(INDEX(Config!$M$5:$R$16,MATCH(G1995,Config!$J$5:$J$16,0),MATCH(F1995,Config!$H$5:$H$10,0)),""))</f>
        <v/>
      </c>
      <c r="U1995" s="47">
        <f>IF(AND(H1995="Realizado",L1995&lt;&gt;""),L1995/60,0)</f>
        <v>0</v>
      </c>
      <c r="V1995" s="47">
        <f>IF(AND(H1995="Realizado",OR(L1995="",M1995="")),1,0)</f>
        <v>0</v>
      </c>
    </row>
    <row r="1996">
      <c r="A1996" s="43" t="n"/>
      <c r="B1996" s="44" t="n"/>
      <c r="C1996" s="38" t="n"/>
      <c r="D1996" s="38" t="n"/>
      <c r="E1996" s="37" t="n"/>
      <c r="F1996" s="38" t="n"/>
      <c r="G1996" s="38" t="n"/>
      <c r="H1996" s="38" t="n"/>
      <c r="I1996" s="38" t="n"/>
      <c r="J1996" s="38" t="n"/>
      <c r="K1996" s="37" t="n"/>
      <c r="L1996" s="39" t="n"/>
      <c r="M1996" s="40" t="n"/>
      <c r="N1996" s="30">
        <f>IF(A1996="","",MONTH(A1996))</f>
        <v/>
      </c>
      <c r="O1996" s="30">
        <f>IF(A1996="","",YEAR(A1996))</f>
        <v/>
      </c>
      <c r="P1996" s="30">
        <f>IF(A1996="","",CHOOSE(WEEKDAY(A1996,2),"Segunda","Terça","Quarta","Quinta","Sexta","Sábado","Domingo"))</f>
        <v/>
      </c>
      <c r="Q1996" s="30">
        <f>IF(B1996="","",IF(B1996&lt;TIME(12,0,0),"Manhã",IF(B1996&lt;TIME(18,0,0),"Tarde","Noite")))</f>
        <v/>
      </c>
      <c r="R1996" s="46">
        <f>IF(AND(H1996="Realizado",L1996&lt;&gt;"",A1996&lt;=Config!$B$9),L1996/60,0)</f>
        <v>0</v>
      </c>
      <c r="S1996" s="45">
        <f>IF(G1996="","",IFERROR(INDEX(Config!$K$5:$K$16,MATCH(G1996,Config!$J$5:$J$16,0)),""))</f>
        <v/>
      </c>
      <c r="T1996" s="31">
        <f>IF(OR(G1996="",F1996=""),"",IFERROR(INDEX(Config!$M$5:$R$16,MATCH(G1996,Config!$J$5:$J$16,0),MATCH(F1996,Config!$H$5:$H$10,0)),""))</f>
        <v/>
      </c>
      <c r="U1996" s="47">
        <f>IF(AND(H1996="Realizado",L1996&lt;&gt;""),L1996/60,0)</f>
        <v>0</v>
      </c>
      <c r="V1996" s="47">
        <f>IF(AND(H1996="Realizado",OR(L1996="",M1996="")),1,0)</f>
        <v>0</v>
      </c>
    </row>
    <row r="1997">
      <c r="A1997" s="43" t="n"/>
      <c r="B1997" s="44" t="n"/>
      <c r="C1997" s="38" t="n"/>
      <c r="D1997" s="38" t="n"/>
      <c r="E1997" s="37" t="n"/>
      <c r="F1997" s="38" t="n"/>
      <c r="G1997" s="38" t="n"/>
      <c r="H1997" s="38" t="n"/>
      <c r="I1997" s="38" t="n"/>
      <c r="J1997" s="38" t="n"/>
      <c r="K1997" s="37" t="n"/>
      <c r="L1997" s="39" t="n"/>
      <c r="M1997" s="40" t="n"/>
      <c r="N1997" s="30">
        <f>IF(A1997="","",MONTH(A1997))</f>
        <v/>
      </c>
      <c r="O1997" s="30">
        <f>IF(A1997="","",YEAR(A1997))</f>
        <v/>
      </c>
      <c r="P1997" s="30">
        <f>IF(A1997="","",CHOOSE(WEEKDAY(A1997,2),"Segunda","Terça","Quarta","Quinta","Sexta","Sábado","Domingo"))</f>
        <v/>
      </c>
      <c r="Q1997" s="30">
        <f>IF(B1997="","",IF(B1997&lt;TIME(12,0,0),"Manhã",IF(B1997&lt;TIME(18,0,0),"Tarde","Noite")))</f>
        <v/>
      </c>
      <c r="R1997" s="46">
        <f>IF(AND(H1997="Realizado",L1997&lt;&gt;"",A1997&lt;=Config!$B$9),L1997/60,0)</f>
        <v>0</v>
      </c>
      <c r="S1997" s="45">
        <f>IF(G1997="","",IFERROR(INDEX(Config!$K$5:$K$16,MATCH(G1997,Config!$J$5:$J$16,0)),""))</f>
        <v/>
      </c>
      <c r="T1997" s="31">
        <f>IF(OR(G1997="",F1997=""),"",IFERROR(INDEX(Config!$M$5:$R$16,MATCH(G1997,Config!$J$5:$J$16,0),MATCH(F1997,Config!$H$5:$H$10,0)),""))</f>
        <v/>
      </c>
      <c r="U1997" s="47">
        <f>IF(AND(H1997="Realizado",L1997&lt;&gt;""),L1997/60,0)</f>
        <v>0</v>
      </c>
      <c r="V1997" s="47">
        <f>IF(AND(H1997="Realizado",OR(L1997="",M1997="")),1,0)</f>
        <v>0</v>
      </c>
    </row>
    <row r="1998">
      <c r="A1998" s="43" t="n"/>
      <c r="B1998" s="44" t="n"/>
      <c r="C1998" s="38" t="n"/>
      <c r="D1998" s="38" t="n"/>
      <c r="E1998" s="37" t="n"/>
      <c r="F1998" s="38" t="n"/>
      <c r="G1998" s="38" t="n"/>
      <c r="H1998" s="38" t="n"/>
      <c r="I1998" s="38" t="n"/>
      <c r="J1998" s="38" t="n"/>
      <c r="K1998" s="37" t="n"/>
      <c r="L1998" s="39" t="n"/>
      <c r="M1998" s="40" t="n"/>
      <c r="N1998" s="30">
        <f>IF(A1998="","",MONTH(A1998))</f>
        <v/>
      </c>
      <c r="O1998" s="30">
        <f>IF(A1998="","",YEAR(A1998))</f>
        <v/>
      </c>
      <c r="P1998" s="30">
        <f>IF(A1998="","",CHOOSE(WEEKDAY(A1998,2),"Segunda","Terça","Quarta","Quinta","Sexta","Sábado","Domingo"))</f>
        <v/>
      </c>
      <c r="Q1998" s="30">
        <f>IF(B1998="","",IF(B1998&lt;TIME(12,0,0),"Manhã",IF(B1998&lt;TIME(18,0,0),"Tarde","Noite")))</f>
        <v/>
      </c>
      <c r="R1998" s="46">
        <f>IF(AND(H1998="Realizado",L1998&lt;&gt;"",A1998&lt;=Config!$B$9),L1998/60,0)</f>
        <v>0</v>
      </c>
      <c r="S1998" s="45">
        <f>IF(G1998="","",IFERROR(INDEX(Config!$K$5:$K$16,MATCH(G1998,Config!$J$5:$J$16,0)),""))</f>
        <v/>
      </c>
      <c r="T1998" s="31">
        <f>IF(OR(G1998="",F1998=""),"",IFERROR(INDEX(Config!$M$5:$R$16,MATCH(G1998,Config!$J$5:$J$16,0),MATCH(F1998,Config!$H$5:$H$10,0)),""))</f>
        <v/>
      </c>
      <c r="U1998" s="47">
        <f>IF(AND(H1998="Realizado",L1998&lt;&gt;""),L1998/60,0)</f>
        <v>0</v>
      </c>
      <c r="V1998" s="47">
        <f>IF(AND(H1998="Realizado",OR(L1998="",M1998="")),1,0)</f>
        <v>0</v>
      </c>
    </row>
    <row r="1999">
      <c r="A1999" s="43" t="n"/>
      <c r="B1999" s="44" t="n"/>
      <c r="C1999" s="38" t="n"/>
      <c r="D1999" s="38" t="n"/>
      <c r="E1999" s="37" t="n"/>
      <c r="F1999" s="38" t="n"/>
      <c r="G1999" s="38" t="n"/>
      <c r="H1999" s="38" t="n"/>
      <c r="I1999" s="38" t="n"/>
      <c r="J1999" s="38" t="n"/>
      <c r="K1999" s="37" t="n"/>
      <c r="L1999" s="39" t="n"/>
      <c r="M1999" s="40" t="n"/>
      <c r="N1999" s="30">
        <f>IF(A1999="","",MONTH(A1999))</f>
        <v/>
      </c>
      <c r="O1999" s="30">
        <f>IF(A1999="","",YEAR(A1999))</f>
        <v/>
      </c>
      <c r="P1999" s="30">
        <f>IF(A1999="","",CHOOSE(WEEKDAY(A1999,2),"Segunda","Terça","Quarta","Quinta","Sexta","Sábado","Domingo"))</f>
        <v/>
      </c>
      <c r="Q1999" s="30">
        <f>IF(B1999="","",IF(B1999&lt;TIME(12,0,0),"Manhã",IF(B1999&lt;TIME(18,0,0),"Tarde","Noite")))</f>
        <v/>
      </c>
      <c r="R1999" s="46">
        <f>IF(AND(H1999="Realizado",L1999&lt;&gt;"",A1999&lt;=Config!$B$9),L1999/60,0)</f>
        <v>0</v>
      </c>
      <c r="S1999" s="45">
        <f>IF(G1999="","",IFERROR(INDEX(Config!$K$5:$K$16,MATCH(G1999,Config!$J$5:$J$16,0)),""))</f>
        <v/>
      </c>
      <c r="T1999" s="31">
        <f>IF(OR(G1999="",F1999=""),"",IFERROR(INDEX(Config!$M$5:$R$16,MATCH(G1999,Config!$J$5:$J$16,0),MATCH(F1999,Config!$H$5:$H$10,0)),""))</f>
        <v/>
      </c>
      <c r="U1999" s="47">
        <f>IF(AND(H1999="Realizado",L1999&lt;&gt;""),L1999/60,0)</f>
        <v>0</v>
      </c>
      <c r="V1999" s="47">
        <f>IF(AND(H1999="Realizado",OR(L1999="",M1999="")),1,0)</f>
        <v>0</v>
      </c>
    </row>
    <row r="2000">
      <c r="A2000" s="43" t="n"/>
      <c r="B2000" s="44" t="n"/>
      <c r="C2000" s="38" t="n"/>
      <c r="D2000" s="38" t="n"/>
      <c r="E2000" s="37" t="n"/>
      <c r="F2000" s="38" t="n"/>
      <c r="G2000" s="38" t="n"/>
      <c r="H2000" s="38" t="n"/>
      <c r="I2000" s="38" t="n"/>
      <c r="J2000" s="38" t="n"/>
      <c r="K2000" s="37" t="n"/>
      <c r="L2000" s="39" t="n"/>
      <c r="M2000" s="40" t="n"/>
      <c r="N2000" s="30">
        <f>IF(A2000="","",MONTH(A2000))</f>
        <v/>
      </c>
      <c r="O2000" s="30">
        <f>IF(A2000="","",YEAR(A2000))</f>
        <v/>
      </c>
      <c r="P2000" s="30">
        <f>IF(A2000="","",CHOOSE(WEEKDAY(A2000,2),"Segunda","Terça","Quarta","Quinta","Sexta","Sábado","Domingo"))</f>
        <v/>
      </c>
      <c r="Q2000" s="30">
        <f>IF(B2000="","",IF(B2000&lt;TIME(12,0,0),"Manhã",IF(B2000&lt;TIME(18,0,0),"Tarde","Noite")))</f>
        <v/>
      </c>
      <c r="R2000" s="46">
        <f>IF(AND(H2000="Realizado",L2000&lt;&gt;"",A2000&lt;=Config!$B$9),L2000/60,0)</f>
        <v>0</v>
      </c>
      <c r="S2000" s="45">
        <f>IF(G2000="","",IFERROR(INDEX(Config!$K$5:$K$16,MATCH(G2000,Config!$J$5:$J$16,0)),""))</f>
        <v/>
      </c>
      <c r="T2000" s="31">
        <f>IF(OR(G2000="",F2000=""),"",IFERROR(INDEX(Config!$M$5:$R$16,MATCH(G2000,Config!$J$5:$J$16,0),MATCH(F2000,Config!$H$5:$H$10,0)),""))</f>
        <v/>
      </c>
      <c r="U2000" s="47">
        <f>IF(AND(H2000="Realizado",L2000&lt;&gt;""),L2000/60,0)</f>
        <v>0</v>
      </c>
      <c r="V2000" s="47">
        <f>IF(AND(H2000="Realizado",OR(L2000="",M2000="")),1,0)</f>
        <v>0</v>
      </c>
    </row>
    <row r="2001">
      <c r="A2001" s="43" t="n"/>
      <c r="B2001" s="44" t="n"/>
      <c r="C2001" s="38" t="n"/>
      <c r="D2001" s="38" t="n"/>
      <c r="E2001" s="37" t="n"/>
      <c r="F2001" s="38" t="n"/>
      <c r="G2001" s="38" t="n"/>
      <c r="H2001" s="38" t="n"/>
      <c r="I2001" s="38" t="n"/>
      <c r="J2001" s="38" t="n"/>
      <c r="K2001" s="37" t="n"/>
      <c r="L2001" s="39" t="n"/>
      <c r="M2001" s="40" t="n"/>
      <c r="N2001" s="30">
        <f>IF(A2001="","",MONTH(A2001))</f>
        <v/>
      </c>
      <c r="O2001" s="30">
        <f>IF(A2001="","",YEAR(A2001))</f>
        <v/>
      </c>
      <c r="P2001" s="30">
        <f>IF(A2001="","",CHOOSE(WEEKDAY(A2001,2),"Segunda","Terça","Quarta","Quinta","Sexta","Sábado","Domingo"))</f>
        <v/>
      </c>
      <c r="Q2001" s="30">
        <f>IF(B2001="","",IF(B2001&lt;TIME(12,0,0),"Manhã",IF(B2001&lt;TIME(18,0,0),"Tarde","Noite")))</f>
        <v/>
      </c>
      <c r="R2001" s="46">
        <f>IF(AND(H2001="Realizado",L2001&lt;&gt;"",A2001&lt;=Config!$B$9),L2001/60,0)</f>
        <v>0</v>
      </c>
      <c r="S2001" s="45">
        <f>IF(G2001="","",IFERROR(INDEX(Config!$K$5:$K$16,MATCH(G2001,Config!$J$5:$J$16,0)),""))</f>
        <v/>
      </c>
      <c r="T2001" s="31">
        <f>IF(OR(G2001="",F2001=""),"",IFERROR(INDEX(Config!$M$5:$R$16,MATCH(G2001,Config!$J$5:$J$16,0),MATCH(F2001,Config!$H$5:$H$10,0)),""))</f>
        <v/>
      </c>
      <c r="U2001" s="47">
        <f>IF(AND(H2001="Realizado",L2001&lt;&gt;""),L2001/60,0)</f>
        <v>0</v>
      </c>
      <c r="V2001" s="47">
        <f>IF(AND(H2001="Realizado",OR(L2001="",M2001="")),1,0)</f>
        <v>0</v>
      </c>
    </row>
    <row r="2002">
      <c r="A2002" s="43" t="n"/>
      <c r="B2002" s="44" t="n"/>
      <c r="C2002" s="38" t="n"/>
      <c r="D2002" s="38" t="n"/>
      <c r="E2002" s="37" t="n"/>
      <c r="F2002" s="38" t="n"/>
      <c r="G2002" s="38" t="n"/>
      <c r="H2002" s="38" t="n"/>
      <c r="I2002" s="38" t="n"/>
      <c r="J2002" s="38" t="n"/>
      <c r="K2002" s="37" t="n"/>
      <c r="L2002" s="39" t="n"/>
      <c r="M2002" s="40" t="n"/>
      <c r="N2002" s="30">
        <f>IF(A2002="","",MONTH(A2002))</f>
        <v/>
      </c>
      <c r="O2002" s="30">
        <f>IF(A2002="","",YEAR(A2002))</f>
        <v/>
      </c>
      <c r="P2002" s="30">
        <f>IF(A2002="","",CHOOSE(WEEKDAY(A2002,2),"Segunda","Terça","Quarta","Quinta","Sexta","Sábado","Domingo"))</f>
        <v/>
      </c>
      <c r="Q2002" s="30">
        <f>IF(B2002="","",IF(B2002&lt;TIME(12,0,0),"Manhã",IF(B2002&lt;TIME(18,0,0),"Tarde","Noite")))</f>
        <v/>
      </c>
      <c r="R2002" s="46">
        <f>IF(AND(H2002="Realizado",L2002&lt;&gt;"",A2002&lt;=Config!$B$9),L2002/60,0)</f>
        <v>0</v>
      </c>
      <c r="S2002" s="45">
        <f>IF(G2002="","",IFERROR(INDEX(Config!$K$5:$K$16,MATCH(G2002,Config!$J$5:$J$16,0)),""))</f>
        <v/>
      </c>
      <c r="T2002" s="31">
        <f>IF(OR(G2002="",F2002=""),"",IFERROR(INDEX(Config!$M$5:$R$16,MATCH(G2002,Config!$J$5:$J$16,0),MATCH(F2002,Config!$H$5:$H$10,0)),""))</f>
        <v/>
      </c>
      <c r="U2002" s="47">
        <f>IF(AND(H2002="Realizado",L2002&lt;&gt;""),L2002/60,0)</f>
        <v>0</v>
      </c>
      <c r="V2002" s="47">
        <f>IF(AND(H2002="Realizado",OR(L2002="",M2002="")),1,0)</f>
        <v>0</v>
      </c>
    </row>
    <row r="2003">
      <c r="A2003" s="43" t="n"/>
      <c r="B2003" s="44" t="n"/>
      <c r="C2003" s="38" t="n"/>
      <c r="D2003" s="38" t="n"/>
      <c r="E2003" s="37" t="n"/>
      <c r="F2003" s="38" t="n"/>
      <c r="G2003" s="38" t="n"/>
      <c r="H2003" s="38" t="n"/>
      <c r="I2003" s="38" t="n"/>
      <c r="J2003" s="38" t="n"/>
      <c r="K2003" s="37" t="n"/>
      <c r="L2003" s="39" t="n"/>
      <c r="M2003" s="40" t="n"/>
      <c r="N2003" s="30">
        <f>IF(A2003="","",MONTH(A2003))</f>
        <v/>
      </c>
      <c r="O2003" s="30">
        <f>IF(A2003="","",YEAR(A2003))</f>
        <v/>
      </c>
      <c r="P2003" s="30">
        <f>IF(A2003="","",CHOOSE(WEEKDAY(A2003,2),"Segunda","Terça","Quarta","Quinta","Sexta","Sábado","Domingo"))</f>
        <v/>
      </c>
      <c r="Q2003" s="30">
        <f>IF(B2003="","",IF(B2003&lt;TIME(12,0,0),"Manhã",IF(B2003&lt;TIME(18,0,0),"Tarde","Noite")))</f>
        <v/>
      </c>
      <c r="R2003" s="46">
        <f>IF(AND(H2003="Realizado",L2003&lt;&gt;"",A2003&lt;=Config!$B$9),L2003/60,0)</f>
        <v>0</v>
      </c>
      <c r="S2003" s="45">
        <f>IF(G2003="","",IFERROR(INDEX(Config!$K$5:$K$16,MATCH(G2003,Config!$J$5:$J$16,0)),""))</f>
        <v/>
      </c>
      <c r="T2003" s="31">
        <f>IF(OR(G2003="",F2003=""),"",IFERROR(INDEX(Config!$M$5:$R$16,MATCH(G2003,Config!$J$5:$J$16,0),MATCH(F2003,Config!$H$5:$H$10,0)),""))</f>
        <v/>
      </c>
      <c r="U2003" s="47">
        <f>IF(AND(H2003="Realizado",L2003&lt;&gt;""),L2003/60,0)</f>
        <v>0</v>
      </c>
      <c r="V2003" s="47">
        <f>IF(AND(H2003="Realizado",OR(L2003="",M2003="")),1,0)</f>
        <v>0</v>
      </c>
    </row>
    <row r="2004">
      <c r="A2004" s="43" t="n"/>
      <c r="B2004" s="44" t="n"/>
      <c r="C2004" s="38" t="n"/>
      <c r="D2004" s="38" t="n"/>
      <c r="E2004" s="37" t="n"/>
      <c r="F2004" s="38" t="n"/>
      <c r="G2004" s="38" t="n"/>
      <c r="H2004" s="38" t="n"/>
      <c r="I2004" s="38" t="n"/>
      <c r="J2004" s="38" t="n"/>
      <c r="K2004" s="37" t="n"/>
      <c r="L2004" s="39" t="n"/>
      <c r="M2004" s="40" t="n"/>
      <c r="N2004" s="30">
        <f>IF(A2004="","",MONTH(A2004))</f>
        <v/>
      </c>
      <c r="O2004" s="30">
        <f>IF(A2004="","",YEAR(A2004))</f>
        <v/>
      </c>
      <c r="P2004" s="30">
        <f>IF(A2004="","",CHOOSE(WEEKDAY(A2004,2),"Segunda","Terça","Quarta","Quinta","Sexta","Sábado","Domingo"))</f>
        <v/>
      </c>
      <c r="Q2004" s="30">
        <f>IF(B2004="","",IF(B2004&lt;TIME(12,0,0),"Manhã",IF(B2004&lt;TIME(18,0,0),"Tarde","Noite")))</f>
        <v/>
      </c>
      <c r="R2004" s="46">
        <f>IF(AND(H2004="Realizado",L2004&lt;&gt;"",A2004&lt;=Config!$B$9),L2004/60,0)</f>
        <v>0</v>
      </c>
      <c r="S2004" s="45">
        <f>IF(G2004="","",IFERROR(INDEX(Config!$K$5:$K$16,MATCH(G2004,Config!$J$5:$J$16,0)),""))</f>
        <v/>
      </c>
      <c r="T2004" s="31">
        <f>IF(OR(G2004="",F2004=""),"",IFERROR(INDEX(Config!$M$5:$R$16,MATCH(G2004,Config!$J$5:$J$16,0),MATCH(F2004,Config!$H$5:$H$10,0)),""))</f>
        <v/>
      </c>
      <c r="U2004" s="47">
        <f>IF(AND(H2004="Realizado",L2004&lt;&gt;""),L2004/60,0)</f>
        <v>0</v>
      </c>
      <c r="V2004" s="47">
        <f>IF(AND(H2004="Realizado",OR(L2004="",M2004="")),1,0)</f>
        <v>0</v>
      </c>
    </row>
    <row r="2005">
      <c r="A2005" s="43" t="n"/>
      <c r="B2005" s="44" t="n"/>
      <c r="C2005" s="38" t="n"/>
      <c r="D2005" s="38" t="n"/>
      <c r="E2005" s="37" t="n"/>
      <c r="F2005" s="38" t="n"/>
      <c r="G2005" s="38" t="n"/>
      <c r="H2005" s="38" t="n"/>
      <c r="I2005" s="38" t="n"/>
      <c r="J2005" s="38" t="n"/>
      <c r="K2005" s="37" t="n"/>
      <c r="L2005" s="39" t="n"/>
      <c r="M2005" s="40" t="n"/>
      <c r="N2005" s="30">
        <f>IF(A2005="","",MONTH(A2005))</f>
        <v/>
      </c>
      <c r="O2005" s="30">
        <f>IF(A2005="","",YEAR(A2005))</f>
        <v/>
      </c>
      <c r="P2005" s="30">
        <f>IF(A2005="","",CHOOSE(WEEKDAY(A2005,2),"Segunda","Terça","Quarta","Quinta","Sexta","Sábado","Domingo"))</f>
        <v/>
      </c>
      <c r="Q2005" s="30">
        <f>IF(B2005="","",IF(B2005&lt;TIME(12,0,0),"Manhã",IF(B2005&lt;TIME(18,0,0),"Tarde","Noite")))</f>
        <v/>
      </c>
      <c r="R2005" s="46">
        <f>IF(AND(H2005="Realizado",L2005&lt;&gt;"",A2005&lt;=Config!$B$9),L2005/60,0)</f>
        <v>0</v>
      </c>
      <c r="S2005" s="45">
        <f>IF(G2005="","",IFERROR(INDEX(Config!$K$5:$K$16,MATCH(G2005,Config!$J$5:$J$16,0)),""))</f>
        <v/>
      </c>
      <c r="T2005" s="31">
        <f>IF(OR(G2005="",F2005=""),"",IFERROR(INDEX(Config!$M$5:$R$16,MATCH(G2005,Config!$J$5:$J$16,0),MATCH(F2005,Config!$H$5:$H$10,0)),""))</f>
        <v/>
      </c>
      <c r="U2005" s="47">
        <f>IF(AND(H2005="Realizado",L2005&lt;&gt;""),L2005/60,0)</f>
        <v>0</v>
      </c>
      <c r="V2005" s="47">
        <f>IF(AND(H2005="Realizado",OR(L2005="",M2005="")),1,0)</f>
        <v>0</v>
      </c>
    </row>
    <row r="2006">
      <c r="A2006" s="43" t="n"/>
      <c r="B2006" s="44" t="n"/>
      <c r="C2006" s="38" t="n"/>
      <c r="D2006" s="38" t="n"/>
      <c r="E2006" s="37" t="n"/>
      <c r="F2006" s="38" t="n"/>
      <c r="G2006" s="38" t="n"/>
      <c r="H2006" s="38" t="n"/>
      <c r="I2006" s="38" t="n"/>
      <c r="J2006" s="38" t="n"/>
      <c r="K2006" s="37" t="n"/>
      <c r="L2006" s="39" t="n"/>
      <c r="M2006" s="40" t="n"/>
      <c r="N2006" s="30">
        <f>IF(A2006="","",MONTH(A2006))</f>
        <v/>
      </c>
      <c r="O2006" s="30">
        <f>IF(A2006="","",YEAR(A2006))</f>
        <v/>
      </c>
      <c r="P2006" s="30">
        <f>IF(A2006="","",CHOOSE(WEEKDAY(A2006,2),"Segunda","Terça","Quarta","Quinta","Sexta","Sábado","Domingo"))</f>
        <v/>
      </c>
      <c r="Q2006" s="30">
        <f>IF(B2006="","",IF(B2006&lt;TIME(12,0,0),"Manhã",IF(B2006&lt;TIME(18,0,0),"Tarde","Noite")))</f>
        <v/>
      </c>
      <c r="R2006" s="46">
        <f>IF(AND(H2006="Realizado",L2006&lt;&gt;"",A2006&lt;=Config!$B$9),L2006/60,0)</f>
        <v>0</v>
      </c>
      <c r="S2006" s="45">
        <f>IF(G2006="","",IFERROR(INDEX(Config!$K$5:$K$16,MATCH(G2006,Config!$J$5:$J$16,0)),""))</f>
        <v/>
      </c>
      <c r="T2006" s="31">
        <f>IF(OR(G2006="",F2006=""),"",IFERROR(INDEX(Config!$M$5:$R$16,MATCH(G2006,Config!$J$5:$J$16,0),MATCH(F2006,Config!$H$5:$H$10,0)),""))</f>
        <v/>
      </c>
      <c r="U2006" s="47">
        <f>IF(AND(H2006="Realizado",L2006&lt;&gt;""),L2006/60,0)</f>
        <v>0</v>
      </c>
      <c r="V2006" s="47">
        <f>IF(AND(H2006="Realizado",OR(L2006="",M2006="")),1,0)</f>
        <v>0</v>
      </c>
    </row>
    <row r="2007">
      <c r="A2007" s="43" t="n"/>
      <c r="B2007" s="44" t="n"/>
      <c r="C2007" s="38" t="n"/>
      <c r="D2007" s="38" t="n"/>
      <c r="E2007" s="37" t="n"/>
      <c r="F2007" s="38" t="n"/>
      <c r="G2007" s="38" t="n"/>
      <c r="H2007" s="38" t="n"/>
      <c r="I2007" s="38" t="n"/>
      <c r="J2007" s="38" t="n"/>
      <c r="K2007" s="37" t="n"/>
      <c r="L2007" s="39" t="n"/>
      <c r="M2007" s="40" t="n"/>
      <c r="N2007" s="30">
        <f>IF(A2007="","",MONTH(A2007))</f>
        <v/>
      </c>
      <c r="O2007" s="30">
        <f>IF(A2007="","",YEAR(A2007))</f>
        <v/>
      </c>
      <c r="P2007" s="30">
        <f>IF(A2007="","",CHOOSE(WEEKDAY(A2007,2),"Segunda","Terça","Quarta","Quinta","Sexta","Sábado","Domingo"))</f>
        <v/>
      </c>
      <c r="Q2007" s="30">
        <f>IF(B2007="","",IF(B2007&lt;TIME(12,0,0),"Manhã",IF(B2007&lt;TIME(18,0,0),"Tarde","Noite")))</f>
        <v/>
      </c>
      <c r="R2007" s="46">
        <f>IF(AND(H2007="Realizado",L2007&lt;&gt;"",A2007&lt;=Config!$B$9),L2007/60,0)</f>
        <v>0</v>
      </c>
      <c r="S2007" s="45">
        <f>IF(G2007="","",IFERROR(INDEX(Config!$K$5:$K$16,MATCH(G2007,Config!$J$5:$J$16,0)),""))</f>
        <v/>
      </c>
      <c r="T2007" s="31">
        <f>IF(OR(G2007="",F2007=""),"",IFERROR(INDEX(Config!$M$5:$R$16,MATCH(G2007,Config!$J$5:$J$16,0),MATCH(F2007,Config!$H$5:$H$10,0)),""))</f>
        <v/>
      </c>
      <c r="U2007" s="47">
        <f>IF(AND(H2007="Realizado",L2007&lt;&gt;""),L2007/60,0)</f>
        <v>0</v>
      </c>
      <c r="V2007" s="47">
        <f>IF(AND(H2007="Realizado",OR(L2007="",M2007="")),1,0)</f>
        <v>0</v>
      </c>
    </row>
    <row r="2008">
      <c r="A2008" s="43" t="n"/>
      <c r="B2008" s="44" t="n"/>
      <c r="C2008" s="38" t="n"/>
      <c r="D2008" s="38" t="n"/>
      <c r="E2008" s="37" t="n"/>
      <c r="F2008" s="38" t="n"/>
      <c r="G2008" s="38" t="n"/>
      <c r="H2008" s="38" t="n"/>
      <c r="I2008" s="38" t="n"/>
      <c r="J2008" s="38" t="n"/>
      <c r="K2008" s="37" t="n"/>
      <c r="L2008" s="39" t="n"/>
      <c r="M2008" s="40" t="n"/>
      <c r="N2008" s="30">
        <f>IF(A2008="","",MONTH(A2008))</f>
        <v/>
      </c>
      <c r="O2008" s="30">
        <f>IF(A2008="","",YEAR(A2008))</f>
        <v/>
      </c>
      <c r="P2008" s="30">
        <f>IF(A2008="","",CHOOSE(WEEKDAY(A2008,2),"Segunda","Terça","Quarta","Quinta","Sexta","Sábado","Domingo"))</f>
        <v/>
      </c>
      <c r="Q2008" s="30">
        <f>IF(B2008="","",IF(B2008&lt;TIME(12,0,0),"Manhã",IF(B2008&lt;TIME(18,0,0),"Tarde","Noite")))</f>
        <v/>
      </c>
      <c r="R2008" s="46">
        <f>IF(AND(H2008="Realizado",L2008&lt;&gt;"",A2008&lt;=Config!$B$9),L2008/60,0)</f>
        <v>0</v>
      </c>
      <c r="S2008" s="45">
        <f>IF(G2008="","",IFERROR(INDEX(Config!$K$5:$K$16,MATCH(G2008,Config!$J$5:$J$16,0)),""))</f>
        <v/>
      </c>
      <c r="T2008" s="31">
        <f>IF(OR(G2008="",F2008=""),"",IFERROR(INDEX(Config!$M$5:$R$16,MATCH(G2008,Config!$J$5:$J$16,0),MATCH(F2008,Config!$H$5:$H$10,0)),""))</f>
        <v/>
      </c>
      <c r="U2008" s="47">
        <f>IF(AND(H2008="Realizado",L2008&lt;&gt;""),L2008/60,0)</f>
        <v>0</v>
      </c>
      <c r="V2008" s="47">
        <f>IF(AND(H2008="Realizado",OR(L2008="",M2008="")),1,0)</f>
        <v>0</v>
      </c>
    </row>
    <row r="2009">
      <c r="A2009" s="43" t="n"/>
      <c r="B2009" s="44" t="n"/>
      <c r="C2009" s="38" t="n"/>
      <c r="D2009" s="38" t="n"/>
      <c r="E2009" s="37" t="n"/>
      <c r="F2009" s="38" t="n"/>
      <c r="G2009" s="38" t="n"/>
      <c r="H2009" s="38" t="n"/>
      <c r="I2009" s="38" t="n"/>
      <c r="J2009" s="38" t="n"/>
      <c r="K2009" s="37" t="n"/>
      <c r="L2009" s="39" t="n"/>
      <c r="M2009" s="40" t="n"/>
      <c r="N2009" s="30">
        <f>IF(A2009="","",MONTH(A2009))</f>
        <v/>
      </c>
      <c r="O2009" s="30">
        <f>IF(A2009="","",YEAR(A2009))</f>
        <v/>
      </c>
      <c r="P2009" s="30">
        <f>IF(A2009="","",CHOOSE(WEEKDAY(A2009,2),"Segunda","Terça","Quarta","Quinta","Sexta","Sábado","Domingo"))</f>
        <v/>
      </c>
      <c r="Q2009" s="30">
        <f>IF(B2009="","",IF(B2009&lt;TIME(12,0,0),"Manhã",IF(B2009&lt;TIME(18,0,0),"Tarde","Noite")))</f>
        <v/>
      </c>
      <c r="R2009" s="46">
        <f>IF(AND(H2009="Realizado",L2009&lt;&gt;"",A2009&lt;=Config!$B$9),L2009/60,0)</f>
        <v>0</v>
      </c>
      <c r="S2009" s="45">
        <f>IF(G2009="","",IFERROR(INDEX(Config!$K$5:$K$16,MATCH(G2009,Config!$J$5:$J$16,0)),""))</f>
        <v/>
      </c>
      <c r="T2009" s="31">
        <f>IF(OR(G2009="",F2009=""),"",IFERROR(INDEX(Config!$M$5:$R$16,MATCH(G2009,Config!$J$5:$J$16,0),MATCH(F2009,Config!$H$5:$H$10,0)),""))</f>
        <v/>
      </c>
      <c r="U2009" s="47">
        <f>IF(AND(H2009="Realizado",L2009&lt;&gt;""),L2009/60,0)</f>
        <v>0</v>
      </c>
      <c r="V2009" s="47">
        <f>IF(AND(H2009="Realizado",OR(L2009="",M2009="")),1,0)</f>
        <v>0</v>
      </c>
    </row>
    <row r="2010">
      <c r="A2010" s="43" t="n"/>
      <c r="B2010" s="44" t="n"/>
      <c r="C2010" s="38" t="n"/>
      <c r="D2010" s="38" t="n"/>
      <c r="E2010" s="37" t="n"/>
      <c r="F2010" s="38" t="n"/>
      <c r="G2010" s="38" t="n"/>
      <c r="H2010" s="38" t="n"/>
      <c r="I2010" s="38" t="n"/>
      <c r="J2010" s="38" t="n"/>
      <c r="K2010" s="37" t="n"/>
      <c r="L2010" s="39" t="n"/>
      <c r="M2010" s="40" t="n"/>
      <c r="N2010" s="30">
        <f>IF(A2010="","",MONTH(A2010))</f>
        <v/>
      </c>
      <c r="O2010" s="30">
        <f>IF(A2010="","",YEAR(A2010))</f>
        <v/>
      </c>
      <c r="P2010" s="30">
        <f>IF(A2010="","",CHOOSE(WEEKDAY(A2010,2),"Segunda","Terça","Quarta","Quinta","Sexta","Sábado","Domingo"))</f>
        <v/>
      </c>
      <c r="Q2010" s="30">
        <f>IF(B2010="","",IF(B2010&lt;TIME(12,0,0),"Manhã",IF(B2010&lt;TIME(18,0,0),"Tarde","Noite")))</f>
        <v/>
      </c>
      <c r="R2010" s="46">
        <f>IF(AND(H2010="Realizado",L2010&lt;&gt;"",A2010&lt;=Config!$B$9),L2010/60,0)</f>
        <v>0</v>
      </c>
      <c r="S2010" s="45">
        <f>IF(G2010="","",IFERROR(INDEX(Config!$K$5:$K$16,MATCH(G2010,Config!$J$5:$J$16,0)),""))</f>
        <v/>
      </c>
      <c r="T2010" s="31">
        <f>IF(OR(G2010="",F2010=""),"",IFERROR(INDEX(Config!$M$5:$R$16,MATCH(G2010,Config!$J$5:$J$16,0),MATCH(F2010,Config!$H$5:$H$10,0)),""))</f>
        <v/>
      </c>
      <c r="U2010" s="47">
        <f>IF(AND(H2010="Realizado",L2010&lt;&gt;""),L2010/60,0)</f>
        <v>0</v>
      </c>
      <c r="V2010" s="47">
        <f>IF(AND(H2010="Realizado",OR(L2010="",M2010="")),1,0)</f>
        <v>0</v>
      </c>
    </row>
    <row r="2011">
      <c r="A2011" s="43" t="n"/>
      <c r="B2011" s="44" t="n"/>
      <c r="C2011" s="38" t="n"/>
      <c r="D2011" s="38" t="n"/>
      <c r="E2011" s="37" t="n"/>
      <c r="F2011" s="38" t="n"/>
      <c r="G2011" s="38" t="n"/>
      <c r="H2011" s="38" t="n"/>
      <c r="I2011" s="38" t="n"/>
      <c r="J2011" s="38" t="n"/>
      <c r="K2011" s="37" t="n"/>
      <c r="L2011" s="39" t="n"/>
      <c r="M2011" s="40" t="n"/>
      <c r="N2011" s="30">
        <f>IF(A2011="","",MONTH(A2011))</f>
        <v/>
      </c>
      <c r="O2011" s="30">
        <f>IF(A2011="","",YEAR(A2011))</f>
        <v/>
      </c>
      <c r="P2011" s="30">
        <f>IF(A2011="","",CHOOSE(WEEKDAY(A2011,2),"Segunda","Terça","Quarta","Quinta","Sexta","Sábado","Domingo"))</f>
        <v/>
      </c>
      <c r="Q2011" s="30">
        <f>IF(B2011="","",IF(B2011&lt;TIME(12,0,0),"Manhã",IF(B2011&lt;TIME(18,0,0),"Tarde","Noite")))</f>
        <v/>
      </c>
      <c r="R2011" s="46">
        <f>IF(AND(H2011="Realizado",L2011&lt;&gt;"",A2011&lt;=Config!$B$9),L2011/60,0)</f>
        <v>0</v>
      </c>
      <c r="S2011" s="45">
        <f>IF(G2011="","",IFERROR(INDEX(Config!$K$5:$K$16,MATCH(G2011,Config!$J$5:$J$16,0)),""))</f>
        <v/>
      </c>
      <c r="T2011" s="31">
        <f>IF(OR(G2011="",F2011=""),"",IFERROR(INDEX(Config!$M$5:$R$16,MATCH(G2011,Config!$J$5:$J$16,0),MATCH(F2011,Config!$H$5:$H$10,0)),""))</f>
        <v/>
      </c>
      <c r="U2011" s="47">
        <f>IF(AND(H2011="Realizado",L2011&lt;&gt;""),L2011/60,0)</f>
        <v>0</v>
      </c>
      <c r="V2011" s="47">
        <f>IF(AND(H2011="Realizado",OR(L2011="",M2011="")),1,0)</f>
        <v>0</v>
      </c>
    </row>
    <row r="2012">
      <c r="A2012" s="43" t="n"/>
      <c r="B2012" s="44" t="n"/>
      <c r="C2012" s="38" t="n"/>
      <c r="D2012" s="38" t="n"/>
      <c r="E2012" s="37" t="n"/>
      <c r="F2012" s="38" t="n"/>
      <c r="G2012" s="38" t="n"/>
      <c r="H2012" s="38" t="n"/>
      <c r="I2012" s="38" t="n"/>
      <c r="J2012" s="38" t="n"/>
      <c r="K2012" s="37" t="n"/>
      <c r="L2012" s="39" t="n"/>
      <c r="M2012" s="40" t="n"/>
      <c r="N2012" s="30">
        <f>IF(A2012="","",MONTH(A2012))</f>
        <v/>
      </c>
      <c r="O2012" s="30">
        <f>IF(A2012="","",YEAR(A2012))</f>
        <v/>
      </c>
      <c r="P2012" s="30">
        <f>IF(A2012="","",CHOOSE(WEEKDAY(A2012,2),"Segunda","Terça","Quarta","Quinta","Sexta","Sábado","Domingo"))</f>
        <v/>
      </c>
      <c r="Q2012" s="30">
        <f>IF(B2012="","",IF(B2012&lt;TIME(12,0,0),"Manhã",IF(B2012&lt;TIME(18,0,0),"Tarde","Noite")))</f>
        <v/>
      </c>
      <c r="R2012" s="46">
        <f>IF(AND(H2012="Realizado",L2012&lt;&gt;"",A2012&lt;=Config!$B$9),L2012/60,0)</f>
        <v>0</v>
      </c>
      <c r="S2012" s="45">
        <f>IF(G2012="","",IFERROR(INDEX(Config!$K$5:$K$16,MATCH(G2012,Config!$J$5:$J$16,0)),""))</f>
        <v/>
      </c>
      <c r="T2012" s="31">
        <f>IF(OR(G2012="",F2012=""),"",IFERROR(INDEX(Config!$M$5:$R$16,MATCH(G2012,Config!$J$5:$J$16,0),MATCH(F2012,Config!$H$5:$H$10,0)),""))</f>
        <v/>
      </c>
      <c r="U2012" s="47">
        <f>IF(AND(H2012="Realizado",L2012&lt;&gt;""),L2012/60,0)</f>
        <v>0</v>
      </c>
      <c r="V2012" s="47">
        <f>IF(AND(H2012="Realizado",OR(L2012="",M2012="")),1,0)</f>
        <v>0</v>
      </c>
    </row>
    <row r="2013">
      <c r="A2013" s="43" t="n"/>
      <c r="B2013" s="44" t="n"/>
      <c r="C2013" s="38" t="n"/>
      <c r="D2013" s="38" t="n"/>
      <c r="E2013" s="37" t="n"/>
      <c r="F2013" s="38" t="n"/>
      <c r="G2013" s="38" t="n"/>
      <c r="H2013" s="38" t="n"/>
      <c r="I2013" s="38" t="n"/>
      <c r="J2013" s="38" t="n"/>
      <c r="K2013" s="37" t="n"/>
      <c r="L2013" s="39" t="n"/>
      <c r="M2013" s="40" t="n"/>
      <c r="N2013" s="30">
        <f>IF(A2013="","",MONTH(A2013))</f>
        <v/>
      </c>
      <c r="O2013" s="30">
        <f>IF(A2013="","",YEAR(A2013))</f>
        <v/>
      </c>
      <c r="P2013" s="30">
        <f>IF(A2013="","",CHOOSE(WEEKDAY(A2013,2),"Segunda","Terça","Quarta","Quinta","Sexta","Sábado","Domingo"))</f>
        <v/>
      </c>
      <c r="Q2013" s="30">
        <f>IF(B2013="","",IF(B2013&lt;TIME(12,0,0),"Manhã",IF(B2013&lt;TIME(18,0,0),"Tarde","Noite")))</f>
        <v/>
      </c>
      <c r="R2013" s="46">
        <f>IF(AND(H2013="Realizado",L2013&lt;&gt;"",A2013&lt;=Config!$B$9),L2013/60,0)</f>
        <v>0</v>
      </c>
      <c r="S2013" s="45">
        <f>IF(G2013="","",IFERROR(INDEX(Config!$K$5:$K$16,MATCH(G2013,Config!$J$5:$J$16,0)),""))</f>
        <v/>
      </c>
      <c r="T2013" s="31">
        <f>IF(OR(G2013="",F2013=""),"",IFERROR(INDEX(Config!$M$5:$R$16,MATCH(G2013,Config!$J$5:$J$16,0),MATCH(F2013,Config!$H$5:$H$10,0)),""))</f>
        <v/>
      </c>
      <c r="U2013" s="47">
        <f>IF(AND(H2013="Realizado",L2013&lt;&gt;""),L2013/60,0)</f>
        <v>0</v>
      </c>
      <c r="V2013" s="47">
        <f>IF(AND(H2013="Realizado",OR(L2013="",M2013="")),1,0)</f>
        <v>0</v>
      </c>
    </row>
    <row r="2014">
      <c r="A2014" s="43" t="n"/>
      <c r="B2014" s="44" t="n"/>
      <c r="C2014" s="38" t="n"/>
      <c r="D2014" s="38" t="n"/>
      <c r="E2014" s="37" t="n"/>
      <c r="F2014" s="38" t="n"/>
      <c r="G2014" s="38" t="n"/>
      <c r="H2014" s="38" t="n"/>
      <c r="I2014" s="38" t="n"/>
      <c r="J2014" s="38" t="n"/>
      <c r="K2014" s="37" t="n"/>
      <c r="L2014" s="39" t="n"/>
      <c r="M2014" s="40" t="n"/>
      <c r="N2014" s="30">
        <f>IF(A2014="","",MONTH(A2014))</f>
        <v/>
      </c>
      <c r="O2014" s="30">
        <f>IF(A2014="","",YEAR(A2014))</f>
        <v/>
      </c>
      <c r="P2014" s="30">
        <f>IF(A2014="","",CHOOSE(WEEKDAY(A2014,2),"Segunda","Terça","Quarta","Quinta","Sexta","Sábado","Domingo"))</f>
        <v/>
      </c>
      <c r="Q2014" s="30">
        <f>IF(B2014="","",IF(B2014&lt;TIME(12,0,0),"Manhã",IF(B2014&lt;TIME(18,0,0),"Tarde","Noite")))</f>
        <v/>
      </c>
      <c r="R2014" s="46">
        <f>IF(AND(H2014="Realizado",L2014&lt;&gt;"",A2014&lt;=Config!$B$9),L2014/60,0)</f>
        <v>0</v>
      </c>
      <c r="S2014" s="45">
        <f>IF(G2014="","",IFERROR(INDEX(Config!$K$5:$K$16,MATCH(G2014,Config!$J$5:$J$16,0)),""))</f>
        <v/>
      </c>
      <c r="T2014" s="31">
        <f>IF(OR(G2014="",F2014=""),"",IFERROR(INDEX(Config!$M$5:$R$16,MATCH(G2014,Config!$J$5:$J$16,0),MATCH(F2014,Config!$H$5:$H$10,0)),""))</f>
        <v/>
      </c>
      <c r="U2014" s="47">
        <f>IF(AND(H2014="Realizado",L2014&lt;&gt;""),L2014/60,0)</f>
        <v>0</v>
      </c>
      <c r="V2014" s="47">
        <f>IF(AND(H2014="Realizado",OR(L2014="",M2014="")),1,0)</f>
        <v>0</v>
      </c>
    </row>
    <row r="2015">
      <c r="A2015" s="43" t="n"/>
      <c r="B2015" s="44" t="n"/>
      <c r="C2015" s="38" t="n"/>
      <c r="D2015" s="38" t="n"/>
      <c r="E2015" s="37" t="n"/>
      <c r="F2015" s="38" t="n"/>
      <c r="G2015" s="38" t="n"/>
      <c r="H2015" s="38" t="n"/>
      <c r="I2015" s="38" t="n"/>
      <c r="J2015" s="38" t="n"/>
      <c r="K2015" s="37" t="n"/>
      <c r="L2015" s="39" t="n"/>
      <c r="M2015" s="40" t="n"/>
      <c r="N2015" s="30">
        <f>IF(A2015="","",MONTH(A2015))</f>
        <v/>
      </c>
      <c r="O2015" s="30">
        <f>IF(A2015="","",YEAR(A2015))</f>
        <v/>
      </c>
      <c r="P2015" s="30">
        <f>IF(A2015="","",CHOOSE(WEEKDAY(A2015,2),"Segunda","Terça","Quarta","Quinta","Sexta","Sábado","Domingo"))</f>
        <v/>
      </c>
      <c r="Q2015" s="30">
        <f>IF(B2015="","",IF(B2015&lt;TIME(12,0,0),"Manhã",IF(B2015&lt;TIME(18,0,0),"Tarde","Noite")))</f>
        <v/>
      </c>
      <c r="R2015" s="46">
        <f>IF(AND(H2015="Realizado",L2015&lt;&gt;"",A2015&lt;=Config!$B$9),L2015/60,0)</f>
        <v>0</v>
      </c>
      <c r="S2015" s="45">
        <f>IF(G2015="","",IFERROR(INDEX(Config!$K$5:$K$16,MATCH(G2015,Config!$J$5:$J$16,0)),""))</f>
        <v/>
      </c>
      <c r="T2015" s="31">
        <f>IF(OR(G2015="",F2015=""),"",IFERROR(INDEX(Config!$M$5:$R$16,MATCH(G2015,Config!$J$5:$J$16,0),MATCH(F2015,Config!$H$5:$H$10,0)),""))</f>
        <v/>
      </c>
      <c r="U2015" s="47">
        <f>IF(AND(H2015="Realizado",L2015&lt;&gt;""),L2015/60,0)</f>
        <v>0</v>
      </c>
      <c r="V2015" s="47">
        <f>IF(AND(H2015="Realizado",OR(L2015="",M2015="")),1,0)</f>
        <v>0</v>
      </c>
    </row>
    <row r="2016">
      <c r="A2016" s="43" t="n"/>
      <c r="B2016" s="44" t="n"/>
      <c r="C2016" s="38" t="n"/>
      <c r="D2016" s="38" t="n"/>
      <c r="E2016" s="37" t="n"/>
      <c r="F2016" s="38" t="n"/>
      <c r="G2016" s="38" t="n"/>
      <c r="H2016" s="38" t="n"/>
      <c r="I2016" s="38" t="n"/>
      <c r="J2016" s="38" t="n"/>
      <c r="K2016" s="37" t="n"/>
      <c r="L2016" s="39" t="n"/>
      <c r="M2016" s="40" t="n"/>
      <c r="N2016" s="30">
        <f>IF(A2016="","",MONTH(A2016))</f>
        <v/>
      </c>
      <c r="O2016" s="30">
        <f>IF(A2016="","",YEAR(A2016))</f>
        <v/>
      </c>
      <c r="P2016" s="30">
        <f>IF(A2016="","",CHOOSE(WEEKDAY(A2016,2),"Segunda","Terça","Quarta","Quinta","Sexta","Sábado","Domingo"))</f>
        <v/>
      </c>
      <c r="Q2016" s="30">
        <f>IF(B2016="","",IF(B2016&lt;TIME(12,0,0),"Manhã",IF(B2016&lt;TIME(18,0,0),"Tarde","Noite")))</f>
        <v/>
      </c>
      <c r="R2016" s="46">
        <f>IF(AND(H2016="Realizado",L2016&lt;&gt;"",A2016&lt;=Config!$B$9),L2016/60,0)</f>
        <v>0</v>
      </c>
      <c r="S2016" s="45">
        <f>IF(G2016="","",IFERROR(INDEX(Config!$K$5:$K$16,MATCH(G2016,Config!$J$5:$J$16,0)),""))</f>
        <v/>
      </c>
      <c r="T2016" s="31">
        <f>IF(OR(G2016="",F2016=""),"",IFERROR(INDEX(Config!$M$5:$R$16,MATCH(G2016,Config!$J$5:$J$16,0),MATCH(F2016,Config!$H$5:$H$10,0)),""))</f>
        <v/>
      </c>
      <c r="U2016" s="47">
        <f>IF(AND(H2016="Realizado",L2016&lt;&gt;""),L2016/60,0)</f>
        <v>0</v>
      </c>
      <c r="V2016" s="47">
        <f>IF(AND(H2016="Realizado",OR(L2016="",M2016="")),1,0)</f>
        <v>0</v>
      </c>
    </row>
    <row r="2017">
      <c r="A2017" s="43" t="n"/>
      <c r="B2017" s="44" t="n"/>
      <c r="C2017" s="38" t="n"/>
      <c r="D2017" s="38" t="n"/>
      <c r="E2017" s="37" t="n"/>
      <c r="F2017" s="38" t="n"/>
      <c r="G2017" s="38" t="n"/>
      <c r="H2017" s="38" t="n"/>
      <c r="I2017" s="38" t="n"/>
      <c r="J2017" s="38" t="n"/>
      <c r="K2017" s="37" t="n"/>
      <c r="L2017" s="39" t="n"/>
      <c r="M2017" s="40" t="n"/>
      <c r="N2017" s="30">
        <f>IF(A2017="","",MONTH(A2017))</f>
        <v/>
      </c>
      <c r="O2017" s="30">
        <f>IF(A2017="","",YEAR(A2017))</f>
        <v/>
      </c>
      <c r="P2017" s="30">
        <f>IF(A2017="","",CHOOSE(WEEKDAY(A2017,2),"Segunda","Terça","Quarta","Quinta","Sexta","Sábado","Domingo"))</f>
        <v/>
      </c>
      <c r="Q2017" s="30">
        <f>IF(B2017="","",IF(B2017&lt;TIME(12,0,0),"Manhã",IF(B2017&lt;TIME(18,0,0),"Tarde","Noite")))</f>
        <v/>
      </c>
      <c r="R2017" s="46">
        <f>IF(AND(H2017="Realizado",L2017&lt;&gt;"",A2017&lt;=Config!$B$9),L2017/60,0)</f>
        <v>0</v>
      </c>
      <c r="S2017" s="45">
        <f>IF(G2017="","",IFERROR(INDEX(Config!$K$5:$K$16,MATCH(G2017,Config!$J$5:$J$16,0)),""))</f>
        <v/>
      </c>
      <c r="T2017" s="31">
        <f>IF(OR(G2017="",F2017=""),"",IFERROR(INDEX(Config!$M$5:$R$16,MATCH(G2017,Config!$J$5:$J$16,0),MATCH(F2017,Config!$H$5:$H$10,0)),""))</f>
        <v/>
      </c>
      <c r="U2017" s="47">
        <f>IF(AND(H2017="Realizado",L2017&lt;&gt;""),L2017/60,0)</f>
        <v>0</v>
      </c>
      <c r="V2017" s="47">
        <f>IF(AND(H2017="Realizado",OR(L2017="",M2017="")),1,0)</f>
        <v>0</v>
      </c>
    </row>
    <row r="2018">
      <c r="A2018" s="43" t="n"/>
      <c r="B2018" s="44" t="n"/>
      <c r="C2018" s="38" t="n"/>
      <c r="D2018" s="38" t="n"/>
      <c r="E2018" s="37" t="n"/>
      <c r="F2018" s="38" t="n"/>
      <c r="G2018" s="38" t="n"/>
      <c r="H2018" s="38" t="n"/>
      <c r="I2018" s="38" t="n"/>
      <c r="J2018" s="38" t="n"/>
      <c r="K2018" s="37" t="n"/>
      <c r="L2018" s="39" t="n"/>
      <c r="M2018" s="40" t="n"/>
      <c r="N2018" s="30">
        <f>IF(A2018="","",MONTH(A2018))</f>
        <v/>
      </c>
      <c r="O2018" s="30">
        <f>IF(A2018="","",YEAR(A2018))</f>
        <v/>
      </c>
      <c r="P2018" s="30">
        <f>IF(A2018="","",CHOOSE(WEEKDAY(A2018,2),"Segunda","Terça","Quarta","Quinta","Sexta","Sábado","Domingo"))</f>
        <v/>
      </c>
      <c r="Q2018" s="30">
        <f>IF(B2018="","",IF(B2018&lt;TIME(12,0,0),"Manhã",IF(B2018&lt;TIME(18,0,0),"Tarde","Noite")))</f>
        <v/>
      </c>
      <c r="R2018" s="46">
        <f>IF(AND(H2018="Realizado",L2018&lt;&gt;"",A2018&lt;=Config!$B$9),L2018/60,0)</f>
        <v>0</v>
      </c>
      <c r="S2018" s="45">
        <f>IF(G2018="","",IFERROR(INDEX(Config!$K$5:$K$16,MATCH(G2018,Config!$J$5:$J$16,0)),""))</f>
        <v/>
      </c>
      <c r="T2018" s="31">
        <f>IF(OR(G2018="",F2018=""),"",IFERROR(INDEX(Config!$M$5:$R$16,MATCH(G2018,Config!$J$5:$J$16,0),MATCH(F2018,Config!$H$5:$H$10,0)),""))</f>
        <v/>
      </c>
      <c r="U2018" s="47">
        <f>IF(AND(H2018="Realizado",L2018&lt;&gt;""),L2018/60,0)</f>
        <v>0</v>
      </c>
      <c r="V2018" s="47">
        <f>IF(AND(H2018="Realizado",OR(L2018="",M2018="")),1,0)</f>
        <v>0</v>
      </c>
    </row>
    <row r="2019">
      <c r="A2019" s="43" t="n"/>
      <c r="B2019" s="44" t="n"/>
      <c r="C2019" s="38" t="n"/>
      <c r="D2019" s="38" t="n"/>
      <c r="E2019" s="37" t="n"/>
      <c r="F2019" s="38" t="n"/>
      <c r="G2019" s="38" t="n"/>
      <c r="H2019" s="38" t="n"/>
      <c r="I2019" s="38" t="n"/>
      <c r="J2019" s="38" t="n"/>
      <c r="K2019" s="37" t="n"/>
      <c r="L2019" s="39" t="n"/>
      <c r="M2019" s="40" t="n"/>
      <c r="N2019" s="30">
        <f>IF(A2019="","",MONTH(A2019))</f>
        <v/>
      </c>
      <c r="O2019" s="30">
        <f>IF(A2019="","",YEAR(A2019))</f>
        <v/>
      </c>
      <c r="P2019" s="30">
        <f>IF(A2019="","",CHOOSE(WEEKDAY(A2019,2),"Segunda","Terça","Quarta","Quinta","Sexta","Sábado","Domingo"))</f>
        <v/>
      </c>
      <c r="Q2019" s="30">
        <f>IF(B2019="","",IF(B2019&lt;TIME(12,0,0),"Manhã",IF(B2019&lt;TIME(18,0,0),"Tarde","Noite")))</f>
        <v/>
      </c>
      <c r="R2019" s="46">
        <f>IF(AND(H2019="Realizado",L2019&lt;&gt;"",A2019&lt;=Config!$B$9),L2019/60,0)</f>
        <v>0</v>
      </c>
      <c r="S2019" s="45">
        <f>IF(G2019="","",IFERROR(INDEX(Config!$K$5:$K$16,MATCH(G2019,Config!$J$5:$J$16,0)),""))</f>
        <v/>
      </c>
      <c r="T2019" s="31">
        <f>IF(OR(G2019="",F2019=""),"",IFERROR(INDEX(Config!$M$5:$R$16,MATCH(G2019,Config!$J$5:$J$16,0),MATCH(F2019,Config!$H$5:$H$10,0)),""))</f>
        <v/>
      </c>
      <c r="U2019" s="47">
        <f>IF(AND(H2019="Realizado",L2019&lt;&gt;""),L2019/60,0)</f>
        <v>0</v>
      </c>
      <c r="V2019" s="47">
        <f>IF(AND(H2019="Realizado",OR(L2019="",M2019="")),1,0)</f>
        <v>0</v>
      </c>
    </row>
    <row r="2020">
      <c r="A2020" s="43" t="n"/>
      <c r="B2020" s="44" t="n"/>
      <c r="C2020" s="38" t="n"/>
      <c r="D2020" s="38" t="n"/>
      <c r="E2020" s="37" t="n"/>
      <c r="F2020" s="38" t="n"/>
      <c r="G2020" s="38" t="n"/>
      <c r="H2020" s="38" t="n"/>
      <c r="I2020" s="38" t="n"/>
      <c r="J2020" s="38" t="n"/>
      <c r="K2020" s="37" t="n"/>
      <c r="L2020" s="39" t="n"/>
      <c r="M2020" s="40" t="n"/>
      <c r="N2020" s="30">
        <f>IF(A2020="","",MONTH(A2020))</f>
        <v/>
      </c>
      <c r="O2020" s="30">
        <f>IF(A2020="","",YEAR(A2020))</f>
        <v/>
      </c>
      <c r="P2020" s="30">
        <f>IF(A2020="","",CHOOSE(WEEKDAY(A2020,2),"Segunda","Terça","Quarta","Quinta","Sexta","Sábado","Domingo"))</f>
        <v/>
      </c>
      <c r="Q2020" s="30">
        <f>IF(B2020="","",IF(B2020&lt;TIME(12,0,0),"Manhã",IF(B2020&lt;TIME(18,0,0),"Tarde","Noite")))</f>
        <v/>
      </c>
      <c r="R2020" s="46">
        <f>IF(AND(H2020="Realizado",L2020&lt;&gt;"",A2020&lt;=Config!$B$9),L2020/60,0)</f>
        <v>0</v>
      </c>
      <c r="S2020" s="45">
        <f>IF(G2020="","",IFERROR(INDEX(Config!$K$5:$K$16,MATCH(G2020,Config!$J$5:$J$16,0)),""))</f>
        <v/>
      </c>
      <c r="T2020" s="31">
        <f>IF(OR(G2020="",F2020=""),"",IFERROR(INDEX(Config!$M$5:$R$16,MATCH(G2020,Config!$J$5:$J$16,0),MATCH(F2020,Config!$H$5:$H$10,0)),""))</f>
        <v/>
      </c>
      <c r="U2020" s="47">
        <f>IF(AND(H2020="Realizado",L2020&lt;&gt;""),L2020/60,0)</f>
        <v>0</v>
      </c>
      <c r="V2020" s="47">
        <f>IF(AND(H2020="Realizado",OR(L2020="",M2020="")),1,0)</f>
        <v>0</v>
      </c>
    </row>
    <row r="2021">
      <c r="A2021" s="43" t="n"/>
      <c r="B2021" s="44" t="n"/>
      <c r="C2021" s="38" t="n"/>
      <c r="D2021" s="38" t="n"/>
      <c r="E2021" s="37" t="n"/>
      <c r="F2021" s="38" t="n"/>
      <c r="G2021" s="38" t="n"/>
      <c r="H2021" s="38" t="n"/>
      <c r="I2021" s="38" t="n"/>
      <c r="J2021" s="38" t="n"/>
      <c r="K2021" s="37" t="n"/>
      <c r="L2021" s="39" t="n"/>
      <c r="M2021" s="40" t="n"/>
      <c r="N2021" s="30">
        <f>IF(A2021="","",MONTH(A2021))</f>
        <v/>
      </c>
      <c r="O2021" s="30">
        <f>IF(A2021="","",YEAR(A2021))</f>
        <v/>
      </c>
      <c r="P2021" s="30">
        <f>IF(A2021="","",CHOOSE(WEEKDAY(A2021,2),"Segunda","Terça","Quarta","Quinta","Sexta","Sábado","Domingo"))</f>
        <v/>
      </c>
      <c r="Q2021" s="30">
        <f>IF(B2021="","",IF(B2021&lt;TIME(12,0,0),"Manhã",IF(B2021&lt;TIME(18,0,0),"Tarde","Noite")))</f>
        <v/>
      </c>
      <c r="R2021" s="46">
        <f>IF(AND(H2021="Realizado",L2021&lt;&gt;"",A2021&lt;=Config!$B$9),L2021/60,0)</f>
        <v>0</v>
      </c>
      <c r="S2021" s="45">
        <f>IF(G2021="","",IFERROR(INDEX(Config!$K$5:$K$16,MATCH(G2021,Config!$J$5:$J$16,0)),""))</f>
        <v/>
      </c>
      <c r="T2021" s="31">
        <f>IF(OR(G2021="",F2021=""),"",IFERROR(INDEX(Config!$M$5:$R$16,MATCH(G2021,Config!$J$5:$J$16,0),MATCH(F2021,Config!$H$5:$H$10,0)),""))</f>
        <v/>
      </c>
      <c r="U2021" s="47">
        <f>IF(AND(H2021="Realizado",L2021&lt;&gt;""),L2021/60,0)</f>
        <v>0</v>
      </c>
      <c r="V2021" s="47">
        <f>IF(AND(H2021="Realizado",OR(L2021="",M2021="")),1,0)</f>
        <v>0</v>
      </c>
    </row>
    <row r="2022">
      <c r="A2022" s="43" t="n"/>
      <c r="B2022" s="44" t="n"/>
      <c r="C2022" s="38" t="n"/>
      <c r="D2022" s="38" t="n"/>
      <c r="E2022" s="37" t="n"/>
      <c r="F2022" s="38" t="n"/>
      <c r="G2022" s="38" t="n"/>
      <c r="H2022" s="38" t="n"/>
      <c r="I2022" s="38" t="n"/>
      <c r="J2022" s="38" t="n"/>
      <c r="K2022" s="37" t="n"/>
      <c r="L2022" s="39" t="n"/>
      <c r="M2022" s="40" t="n"/>
      <c r="N2022" s="30">
        <f>IF(A2022="","",MONTH(A2022))</f>
        <v/>
      </c>
      <c r="O2022" s="30">
        <f>IF(A2022="","",YEAR(A2022))</f>
        <v/>
      </c>
      <c r="P2022" s="30">
        <f>IF(A2022="","",CHOOSE(WEEKDAY(A2022,2),"Segunda","Terça","Quarta","Quinta","Sexta","Sábado","Domingo"))</f>
        <v/>
      </c>
      <c r="Q2022" s="30">
        <f>IF(B2022="","",IF(B2022&lt;TIME(12,0,0),"Manhã",IF(B2022&lt;TIME(18,0,0),"Tarde","Noite")))</f>
        <v/>
      </c>
      <c r="R2022" s="46">
        <f>IF(AND(H2022="Realizado",L2022&lt;&gt;"",A2022&lt;=Config!$B$9),L2022/60,0)</f>
        <v>0</v>
      </c>
      <c r="S2022" s="45">
        <f>IF(G2022="","",IFERROR(INDEX(Config!$K$5:$K$16,MATCH(G2022,Config!$J$5:$J$16,0)),""))</f>
        <v/>
      </c>
      <c r="T2022" s="31">
        <f>IF(OR(G2022="",F2022=""),"",IFERROR(INDEX(Config!$M$5:$R$16,MATCH(G2022,Config!$J$5:$J$16,0),MATCH(F2022,Config!$H$5:$H$10,0)),""))</f>
        <v/>
      </c>
      <c r="U2022" s="47">
        <f>IF(AND(H2022="Realizado",L2022&lt;&gt;""),L2022/60,0)</f>
        <v>0</v>
      </c>
      <c r="V2022" s="47">
        <f>IF(AND(H2022="Realizado",OR(L2022="",M2022="")),1,0)</f>
        <v>0</v>
      </c>
    </row>
    <row r="2023">
      <c r="A2023" s="43" t="n"/>
      <c r="B2023" s="44" t="n"/>
      <c r="C2023" s="38" t="n"/>
      <c r="D2023" s="38" t="n"/>
      <c r="E2023" s="37" t="n"/>
      <c r="F2023" s="38" t="n"/>
      <c r="G2023" s="38" t="n"/>
      <c r="H2023" s="38" t="n"/>
      <c r="I2023" s="38" t="n"/>
      <c r="J2023" s="38" t="n"/>
      <c r="K2023" s="37" t="n"/>
      <c r="L2023" s="39" t="n"/>
      <c r="M2023" s="40" t="n"/>
      <c r="N2023" s="30">
        <f>IF(A2023="","",MONTH(A2023))</f>
        <v/>
      </c>
      <c r="O2023" s="30">
        <f>IF(A2023="","",YEAR(A2023))</f>
        <v/>
      </c>
      <c r="P2023" s="30">
        <f>IF(A2023="","",CHOOSE(WEEKDAY(A2023,2),"Segunda","Terça","Quarta","Quinta","Sexta","Sábado","Domingo"))</f>
        <v/>
      </c>
      <c r="Q2023" s="30">
        <f>IF(B2023="","",IF(B2023&lt;TIME(12,0,0),"Manhã",IF(B2023&lt;TIME(18,0,0),"Tarde","Noite")))</f>
        <v/>
      </c>
      <c r="R2023" s="46">
        <f>IF(AND(H2023="Realizado",L2023&lt;&gt;"",A2023&lt;=Config!$B$9),L2023/60,0)</f>
        <v>0</v>
      </c>
      <c r="S2023" s="45">
        <f>IF(G2023="","",IFERROR(INDEX(Config!$K$5:$K$16,MATCH(G2023,Config!$J$5:$J$16,0)),""))</f>
        <v/>
      </c>
      <c r="T2023" s="31">
        <f>IF(OR(G2023="",F2023=""),"",IFERROR(INDEX(Config!$M$5:$R$16,MATCH(G2023,Config!$J$5:$J$16,0),MATCH(F2023,Config!$H$5:$H$10,0)),""))</f>
        <v/>
      </c>
      <c r="U2023" s="47">
        <f>IF(AND(H2023="Realizado",L2023&lt;&gt;""),L2023/60,0)</f>
        <v>0</v>
      </c>
      <c r="V2023" s="47">
        <f>IF(AND(H2023="Realizado",OR(L2023="",M2023="")),1,0)</f>
        <v>0</v>
      </c>
    </row>
    <row r="2024">
      <c r="A2024" s="43" t="n"/>
      <c r="B2024" s="44" t="n"/>
      <c r="C2024" s="38" t="n"/>
      <c r="D2024" s="38" t="n"/>
      <c r="E2024" s="37" t="n"/>
      <c r="F2024" s="38" t="n"/>
      <c r="G2024" s="38" t="n"/>
      <c r="H2024" s="38" t="n"/>
      <c r="I2024" s="38" t="n"/>
      <c r="J2024" s="38" t="n"/>
      <c r="K2024" s="37" t="n"/>
      <c r="L2024" s="39" t="n"/>
      <c r="M2024" s="40" t="n"/>
      <c r="N2024" s="30">
        <f>IF(A2024="","",MONTH(A2024))</f>
        <v/>
      </c>
      <c r="O2024" s="30">
        <f>IF(A2024="","",YEAR(A2024))</f>
        <v/>
      </c>
      <c r="P2024" s="30">
        <f>IF(A2024="","",CHOOSE(WEEKDAY(A2024,2),"Segunda","Terça","Quarta","Quinta","Sexta","Sábado","Domingo"))</f>
        <v/>
      </c>
      <c r="Q2024" s="30">
        <f>IF(B2024="","",IF(B2024&lt;TIME(12,0,0),"Manhã",IF(B2024&lt;TIME(18,0,0),"Tarde","Noite")))</f>
        <v/>
      </c>
      <c r="R2024" s="46">
        <f>IF(AND(H2024="Realizado",L2024&lt;&gt;"",A2024&lt;=Config!$B$9),L2024/60,0)</f>
        <v>0</v>
      </c>
      <c r="S2024" s="45">
        <f>IF(G2024="","",IFERROR(INDEX(Config!$K$5:$K$16,MATCH(G2024,Config!$J$5:$J$16,0)),""))</f>
        <v/>
      </c>
      <c r="T2024" s="31">
        <f>IF(OR(G2024="",F2024=""),"",IFERROR(INDEX(Config!$M$5:$R$16,MATCH(G2024,Config!$J$5:$J$16,0),MATCH(F2024,Config!$H$5:$H$10,0)),""))</f>
        <v/>
      </c>
      <c r="U2024" s="47">
        <f>IF(AND(H2024="Realizado",L2024&lt;&gt;""),L2024/60,0)</f>
        <v>0</v>
      </c>
      <c r="V2024" s="47">
        <f>IF(AND(H2024="Realizado",OR(L2024="",M2024="")),1,0)</f>
        <v>0</v>
      </c>
    </row>
    <row r="2025">
      <c r="A2025" s="43" t="n"/>
      <c r="B2025" s="44" t="n"/>
      <c r="C2025" s="38" t="n"/>
      <c r="D2025" s="38" t="n"/>
      <c r="E2025" s="37" t="n"/>
      <c r="F2025" s="38" t="n"/>
      <c r="G2025" s="38" t="n"/>
      <c r="H2025" s="38" t="n"/>
      <c r="I2025" s="38" t="n"/>
      <c r="J2025" s="38" t="n"/>
      <c r="K2025" s="37" t="n"/>
      <c r="L2025" s="39" t="n"/>
      <c r="M2025" s="40" t="n"/>
      <c r="N2025" s="30">
        <f>IF(A2025="","",MONTH(A2025))</f>
        <v/>
      </c>
      <c r="O2025" s="30">
        <f>IF(A2025="","",YEAR(A2025))</f>
        <v/>
      </c>
      <c r="P2025" s="30">
        <f>IF(A2025="","",CHOOSE(WEEKDAY(A2025,2),"Segunda","Terça","Quarta","Quinta","Sexta","Sábado","Domingo"))</f>
        <v/>
      </c>
      <c r="Q2025" s="30">
        <f>IF(B2025="","",IF(B2025&lt;TIME(12,0,0),"Manhã",IF(B2025&lt;TIME(18,0,0),"Tarde","Noite")))</f>
        <v/>
      </c>
      <c r="R2025" s="46">
        <f>IF(AND(H2025="Realizado",L2025&lt;&gt;"",A2025&lt;=Config!$B$9),L2025/60,0)</f>
        <v>0</v>
      </c>
      <c r="S2025" s="45">
        <f>IF(G2025="","",IFERROR(INDEX(Config!$K$5:$K$16,MATCH(G2025,Config!$J$5:$J$16,0)),""))</f>
        <v/>
      </c>
      <c r="T2025" s="31">
        <f>IF(OR(G2025="",F2025=""),"",IFERROR(INDEX(Config!$M$5:$R$16,MATCH(G2025,Config!$J$5:$J$16,0),MATCH(F2025,Config!$H$5:$H$10,0)),""))</f>
        <v/>
      </c>
      <c r="U2025" s="47">
        <f>IF(AND(H2025="Realizado",L2025&lt;&gt;""),L2025/60,0)</f>
        <v>0</v>
      </c>
      <c r="V2025" s="47">
        <f>IF(AND(H2025="Realizado",OR(L2025="",M2025="")),1,0)</f>
        <v>0</v>
      </c>
    </row>
    <row r="2026">
      <c r="A2026" s="43" t="n"/>
      <c r="B2026" s="44" t="n"/>
      <c r="C2026" s="38" t="n"/>
      <c r="D2026" s="38" t="n"/>
      <c r="E2026" s="37" t="n"/>
      <c r="F2026" s="38" t="n"/>
      <c r="G2026" s="38" t="n"/>
      <c r="H2026" s="38" t="n"/>
      <c r="I2026" s="38" t="n"/>
      <c r="J2026" s="38" t="n"/>
      <c r="K2026" s="37" t="n"/>
      <c r="L2026" s="39" t="n"/>
      <c r="M2026" s="40" t="n"/>
      <c r="N2026" s="30">
        <f>IF(A2026="","",MONTH(A2026))</f>
        <v/>
      </c>
      <c r="O2026" s="30">
        <f>IF(A2026="","",YEAR(A2026))</f>
        <v/>
      </c>
      <c r="P2026" s="30">
        <f>IF(A2026="","",CHOOSE(WEEKDAY(A2026,2),"Segunda","Terça","Quarta","Quinta","Sexta","Sábado","Domingo"))</f>
        <v/>
      </c>
      <c r="Q2026" s="30">
        <f>IF(B2026="","",IF(B2026&lt;TIME(12,0,0),"Manhã",IF(B2026&lt;TIME(18,0,0),"Tarde","Noite")))</f>
        <v/>
      </c>
      <c r="R2026" s="46">
        <f>IF(AND(H2026="Realizado",L2026&lt;&gt;"",A2026&lt;=Config!$B$9),L2026/60,0)</f>
        <v>0</v>
      </c>
      <c r="S2026" s="45">
        <f>IF(G2026="","",IFERROR(INDEX(Config!$K$5:$K$16,MATCH(G2026,Config!$J$5:$J$16,0)),""))</f>
        <v/>
      </c>
      <c r="T2026" s="31">
        <f>IF(OR(G2026="",F2026=""),"",IFERROR(INDEX(Config!$M$5:$R$16,MATCH(G2026,Config!$J$5:$J$16,0),MATCH(F2026,Config!$H$5:$H$10,0)),""))</f>
        <v/>
      </c>
      <c r="U2026" s="47">
        <f>IF(AND(H2026="Realizado",L2026&lt;&gt;""),L2026/60,0)</f>
        <v>0</v>
      </c>
      <c r="V2026" s="47">
        <f>IF(AND(H2026="Realizado",OR(L2026="",M2026="")),1,0)</f>
        <v>0</v>
      </c>
    </row>
    <row r="2027">
      <c r="A2027" s="43" t="n"/>
      <c r="B2027" s="44" t="n"/>
      <c r="C2027" s="38" t="n"/>
      <c r="D2027" s="38" t="n"/>
      <c r="E2027" s="37" t="n"/>
      <c r="F2027" s="38" t="n"/>
      <c r="G2027" s="38" t="n"/>
      <c r="H2027" s="38" t="n"/>
      <c r="I2027" s="38" t="n"/>
      <c r="J2027" s="38" t="n"/>
      <c r="K2027" s="37" t="n"/>
      <c r="L2027" s="39" t="n"/>
      <c r="M2027" s="40" t="n"/>
      <c r="N2027" s="30">
        <f>IF(A2027="","",MONTH(A2027))</f>
        <v/>
      </c>
      <c r="O2027" s="30">
        <f>IF(A2027="","",YEAR(A2027))</f>
        <v/>
      </c>
      <c r="P2027" s="30">
        <f>IF(A2027="","",CHOOSE(WEEKDAY(A2027,2),"Segunda","Terça","Quarta","Quinta","Sexta","Sábado","Domingo"))</f>
        <v/>
      </c>
      <c r="Q2027" s="30">
        <f>IF(B2027="","",IF(B2027&lt;TIME(12,0,0),"Manhã",IF(B2027&lt;TIME(18,0,0),"Tarde","Noite")))</f>
        <v/>
      </c>
      <c r="R2027" s="46">
        <f>IF(AND(H2027="Realizado",L2027&lt;&gt;"",A2027&lt;=Config!$B$9),L2027/60,0)</f>
        <v>0</v>
      </c>
      <c r="S2027" s="45">
        <f>IF(G2027="","",IFERROR(INDEX(Config!$K$5:$K$16,MATCH(G2027,Config!$J$5:$J$16,0)),""))</f>
        <v/>
      </c>
      <c r="T2027" s="31">
        <f>IF(OR(G2027="",F2027=""),"",IFERROR(INDEX(Config!$M$5:$R$16,MATCH(G2027,Config!$J$5:$J$16,0),MATCH(F2027,Config!$H$5:$H$10,0)),""))</f>
        <v/>
      </c>
      <c r="U2027" s="47">
        <f>IF(AND(H2027="Realizado",L2027&lt;&gt;""),L2027/60,0)</f>
        <v>0</v>
      </c>
      <c r="V2027" s="47">
        <f>IF(AND(H2027="Realizado",OR(L2027="",M2027="")),1,0)</f>
        <v>0</v>
      </c>
    </row>
    <row r="2028">
      <c r="A2028" s="43" t="n"/>
      <c r="B2028" s="44" t="n"/>
      <c r="C2028" s="38" t="n"/>
      <c r="D2028" s="38" t="n"/>
      <c r="E2028" s="37" t="n"/>
      <c r="F2028" s="38" t="n"/>
      <c r="G2028" s="38" t="n"/>
      <c r="H2028" s="38" t="n"/>
      <c r="I2028" s="38" t="n"/>
      <c r="J2028" s="38" t="n"/>
      <c r="K2028" s="37" t="n"/>
      <c r="L2028" s="39" t="n"/>
      <c r="M2028" s="40" t="n"/>
      <c r="N2028" s="30">
        <f>IF(A2028="","",MONTH(A2028))</f>
        <v/>
      </c>
      <c r="O2028" s="30">
        <f>IF(A2028="","",YEAR(A2028))</f>
        <v/>
      </c>
      <c r="P2028" s="30">
        <f>IF(A2028="","",CHOOSE(WEEKDAY(A2028,2),"Segunda","Terça","Quarta","Quinta","Sexta","Sábado","Domingo"))</f>
        <v/>
      </c>
      <c r="Q2028" s="30">
        <f>IF(B2028="","",IF(B2028&lt;TIME(12,0,0),"Manhã",IF(B2028&lt;TIME(18,0,0),"Tarde","Noite")))</f>
        <v/>
      </c>
      <c r="R2028" s="46">
        <f>IF(AND(H2028="Realizado",L2028&lt;&gt;"",A2028&lt;=Config!$B$9),L2028/60,0)</f>
        <v>0</v>
      </c>
      <c r="S2028" s="45">
        <f>IF(G2028="","",IFERROR(INDEX(Config!$K$5:$K$16,MATCH(G2028,Config!$J$5:$J$16,0)),""))</f>
        <v/>
      </c>
      <c r="T2028" s="31">
        <f>IF(OR(G2028="",F2028=""),"",IFERROR(INDEX(Config!$M$5:$R$16,MATCH(G2028,Config!$J$5:$J$16,0),MATCH(F2028,Config!$H$5:$H$10,0)),""))</f>
        <v/>
      </c>
      <c r="U2028" s="47">
        <f>IF(AND(H2028="Realizado",L2028&lt;&gt;""),L2028/60,0)</f>
        <v>0</v>
      </c>
      <c r="V2028" s="47">
        <f>IF(AND(H2028="Realizado",OR(L2028="",M2028="")),1,0)</f>
        <v>0</v>
      </c>
    </row>
    <row r="2029">
      <c r="A2029" s="43" t="n"/>
      <c r="B2029" s="44" t="n"/>
      <c r="C2029" s="38" t="n"/>
      <c r="D2029" s="38" t="n"/>
      <c r="E2029" s="37" t="n"/>
      <c r="F2029" s="38" t="n"/>
      <c r="G2029" s="38" t="n"/>
      <c r="H2029" s="38" t="n"/>
      <c r="I2029" s="38" t="n"/>
      <c r="J2029" s="38" t="n"/>
      <c r="K2029" s="37" t="n"/>
      <c r="L2029" s="39" t="n"/>
      <c r="M2029" s="40" t="n"/>
      <c r="N2029" s="30">
        <f>IF(A2029="","",MONTH(A2029))</f>
        <v/>
      </c>
      <c r="O2029" s="30">
        <f>IF(A2029="","",YEAR(A2029))</f>
        <v/>
      </c>
      <c r="P2029" s="30">
        <f>IF(A2029="","",CHOOSE(WEEKDAY(A2029,2),"Segunda","Terça","Quarta","Quinta","Sexta","Sábado","Domingo"))</f>
        <v/>
      </c>
      <c r="Q2029" s="30">
        <f>IF(B2029="","",IF(B2029&lt;TIME(12,0,0),"Manhã",IF(B2029&lt;TIME(18,0,0),"Tarde","Noite")))</f>
        <v/>
      </c>
      <c r="R2029" s="46">
        <f>IF(AND(H2029="Realizado",L2029&lt;&gt;"",A2029&lt;=Config!$B$9),L2029/60,0)</f>
        <v>0</v>
      </c>
      <c r="S2029" s="45">
        <f>IF(G2029="","",IFERROR(INDEX(Config!$K$5:$K$16,MATCH(G2029,Config!$J$5:$J$16,0)),""))</f>
        <v/>
      </c>
      <c r="T2029" s="31">
        <f>IF(OR(G2029="",F2029=""),"",IFERROR(INDEX(Config!$M$5:$R$16,MATCH(G2029,Config!$J$5:$J$16,0),MATCH(F2029,Config!$H$5:$H$10,0)),""))</f>
        <v/>
      </c>
      <c r="U2029" s="47">
        <f>IF(AND(H2029="Realizado",L2029&lt;&gt;""),L2029/60,0)</f>
        <v>0</v>
      </c>
      <c r="V2029" s="47">
        <f>IF(AND(H2029="Realizado",OR(L2029="",M2029="")),1,0)</f>
        <v>0</v>
      </c>
    </row>
    <row r="2030">
      <c r="A2030" s="43" t="n"/>
      <c r="B2030" s="44" t="n"/>
      <c r="C2030" s="38" t="n"/>
      <c r="D2030" s="38" t="n"/>
      <c r="E2030" s="37" t="n"/>
      <c r="F2030" s="38" t="n"/>
      <c r="G2030" s="38" t="n"/>
      <c r="H2030" s="38" t="n"/>
      <c r="I2030" s="38" t="n"/>
      <c r="J2030" s="38" t="n"/>
      <c r="K2030" s="37" t="n"/>
      <c r="L2030" s="39" t="n"/>
      <c r="M2030" s="40" t="n"/>
      <c r="N2030" s="30">
        <f>IF(A2030="","",MONTH(A2030))</f>
        <v/>
      </c>
      <c r="O2030" s="30">
        <f>IF(A2030="","",YEAR(A2030))</f>
        <v/>
      </c>
      <c r="P2030" s="30">
        <f>IF(A2030="","",CHOOSE(WEEKDAY(A2030,2),"Segunda","Terça","Quarta","Quinta","Sexta","Sábado","Domingo"))</f>
        <v/>
      </c>
      <c r="Q2030" s="30">
        <f>IF(B2030="","",IF(B2030&lt;TIME(12,0,0),"Manhã",IF(B2030&lt;TIME(18,0,0),"Tarde","Noite")))</f>
        <v/>
      </c>
      <c r="R2030" s="46">
        <f>IF(AND(H2030="Realizado",L2030&lt;&gt;"",A2030&lt;=Config!$B$9),L2030/60,0)</f>
        <v>0</v>
      </c>
      <c r="S2030" s="45">
        <f>IF(G2030="","",IFERROR(INDEX(Config!$K$5:$K$16,MATCH(G2030,Config!$J$5:$J$16,0)),""))</f>
        <v/>
      </c>
      <c r="T2030" s="31">
        <f>IF(OR(G2030="",F2030=""),"",IFERROR(INDEX(Config!$M$5:$R$16,MATCH(G2030,Config!$J$5:$J$16,0),MATCH(F2030,Config!$H$5:$H$10,0)),""))</f>
        <v/>
      </c>
      <c r="U2030" s="47">
        <f>IF(AND(H2030="Realizado",L2030&lt;&gt;""),L2030/60,0)</f>
        <v>0</v>
      </c>
      <c r="V2030" s="47">
        <f>IF(AND(H2030="Realizado",OR(L2030="",M2030="")),1,0)</f>
        <v>0</v>
      </c>
    </row>
    <row r="2031">
      <c r="A2031" s="43" t="n"/>
      <c r="B2031" s="44" t="n"/>
      <c r="C2031" s="38" t="n"/>
      <c r="D2031" s="38" t="n"/>
      <c r="E2031" s="37" t="n"/>
      <c r="F2031" s="38" t="n"/>
      <c r="G2031" s="38" t="n"/>
      <c r="H2031" s="38" t="n"/>
      <c r="I2031" s="38" t="n"/>
      <c r="J2031" s="38" t="n"/>
      <c r="K2031" s="37" t="n"/>
      <c r="L2031" s="39" t="n"/>
      <c r="M2031" s="40" t="n"/>
      <c r="N2031" s="30">
        <f>IF(A2031="","",MONTH(A2031))</f>
        <v/>
      </c>
      <c r="O2031" s="30">
        <f>IF(A2031="","",YEAR(A2031))</f>
        <v/>
      </c>
      <c r="P2031" s="30">
        <f>IF(A2031="","",CHOOSE(WEEKDAY(A2031,2),"Segunda","Terça","Quarta","Quinta","Sexta","Sábado","Domingo"))</f>
        <v/>
      </c>
      <c r="Q2031" s="30">
        <f>IF(B2031="","",IF(B2031&lt;TIME(12,0,0),"Manhã",IF(B2031&lt;TIME(18,0,0),"Tarde","Noite")))</f>
        <v/>
      </c>
      <c r="R2031" s="46">
        <f>IF(AND(H2031="Realizado",L2031&lt;&gt;"",A2031&lt;=Config!$B$9),L2031/60,0)</f>
        <v>0</v>
      </c>
      <c r="S2031" s="45">
        <f>IF(G2031="","",IFERROR(INDEX(Config!$K$5:$K$16,MATCH(G2031,Config!$J$5:$J$16,0)),""))</f>
        <v/>
      </c>
      <c r="T2031" s="31">
        <f>IF(OR(G2031="",F2031=""),"",IFERROR(INDEX(Config!$M$5:$R$16,MATCH(G2031,Config!$J$5:$J$16,0),MATCH(F2031,Config!$H$5:$H$10,0)),""))</f>
        <v/>
      </c>
      <c r="U2031" s="47">
        <f>IF(AND(H2031="Realizado",L2031&lt;&gt;""),L2031/60,0)</f>
        <v>0</v>
      </c>
      <c r="V2031" s="47">
        <f>IF(AND(H2031="Realizado",OR(L2031="",M2031="")),1,0)</f>
        <v>0</v>
      </c>
    </row>
    <row r="2032">
      <c r="A2032" s="43" t="n"/>
      <c r="B2032" s="44" t="n"/>
      <c r="C2032" s="38" t="n"/>
      <c r="D2032" s="38" t="n"/>
      <c r="E2032" s="37" t="n"/>
      <c r="F2032" s="38" t="n"/>
      <c r="G2032" s="38" t="n"/>
      <c r="H2032" s="38" t="n"/>
      <c r="I2032" s="38" t="n"/>
      <c r="J2032" s="38" t="n"/>
      <c r="K2032" s="37" t="n"/>
      <c r="L2032" s="39" t="n"/>
      <c r="M2032" s="40" t="n"/>
      <c r="N2032" s="30">
        <f>IF(A2032="","",MONTH(A2032))</f>
        <v/>
      </c>
      <c r="O2032" s="30">
        <f>IF(A2032="","",YEAR(A2032))</f>
        <v/>
      </c>
      <c r="P2032" s="30">
        <f>IF(A2032="","",CHOOSE(WEEKDAY(A2032,2),"Segunda","Terça","Quarta","Quinta","Sexta","Sábado","Domingo"))</f>
        <v/>
      </c>
      <c r="Q2032" s="30">
        <f>IF(B2032="","",IF(B2032&lt;TIME(12,0,0),"Manhã",IF(B2032&lt;TIME(18,0,0),"Tarde","Noite")))</f>
        <v/>
      </c>
      <c r="R2032" s="46">
        <f>IF(AND(H2032="Realizado",L2032&lt;&gt;"",A2032&lt;=Config!$B$9),L2032/60,0)</f>
        <v>0</v>
      </c>
      <c r="S2032" s="45">
        <f>IF(G2032="","",IFERROR(INDEX(Config!$K$5:$K$16,MATCH(G2032,Config!$J$5:$J$16,0)),""))</f>
        <v/>
      </c>
      <c r="T2032" s="31">
        <f>IF(OR(G2032="",F2032=""),"",IFERROR(INDEX(Config!$M$5:$R$16,MATCH(G2032,Config!$J$5:$J$16,0),MATCH(F2032,Config!$H$5:$H$10,0)),""))</f>
        <v/>
      </c>
      <c r="U2032" s="47">
        <f>IF(AND(H2032="Realizado",L2032&lt;&gt;""),L2032/60,0)</f>
        <v>0</v>
      </c>
      <c r="V2032" s="47">
        <f>IF(AND(H2032="Realizado",OR(L2032="",M2032="")),1,0)</f>
        <v>0</v>
      </c>
    </row>
    <row r="2033">
      <c r="A2033" s="43" t="n"/>
      <c r="B2033" s="44" t="n"/>
      <c r="C2033" s="38" t="n"/>
      <c r="D2033" s="38" t="n"/>
      <c r="E2033" s="37" t="n"/>
      <c r="F2033" s="38" t="n"/>
      <c r="G2033" s="38" t="n"/>
      <c r="H2033" s="38" t="n"/>
      <c r="I2033" s="38" t="n"/>
      <c r="J2033" s="38" t="n"/>
      <c r="K2033" s="37" t="n"/>
      <c r="L2033" s="39" t="n"/>
      <c r="M2033" s="40" t="n"/>
      <c r="N2033" s="30">
        <f>IF(A2033="","",MONTH(A2033))</f>
        <v/>
      </c>
      <c r="O2033" s="30">
        <f>IF(A2033="","",YEAR(A2033))</f>
        <v/>
      </c>
      <c r="P2033" s="30">
        <f>IF(A2033="","",CHOOSE(WEEKDAY(A2033,2),"Segunda","Terça","Quarta","Quinta","Sexta","Sábado","Domingo"))</f>
        <v/>
      </c>
      <c r="Q2033" s="30">
        <f>IF(B2033="","",IF(B2033&lt;TIME(12,0,0),"Manhã",IF(B2033&lt;TIME(18,0,0),"Tarde","Noite")))</f>
        <v/>
      </c>
      <c r="R2033" s="46">
        <f>IF(AND(H2033="Realizado",L2033&lt;&gt;"",A2033&lt;=Config!$B$9),L2033/60,0)</f>
        <v>0</v>
      </c>
      <c r="S2033" s="45">
        <f>IF(G2033="","",IFERROR(INDEX(Config!$K$5:$K$16,MATCH(G2033,Config!$J$5:$J$16,0)),""))</f>
        <v/>
      </c>
      <c r="T2033" s="31">
        <f>IF(OR(G2033="",F2033=""),"",IFERROR(INDEX(Config!$M$5:$R$16,MATCH(G2033,Config!$J$5:$J$16,0),MATCH(F2033,Config!$H$5:$H$10,0)),""))</f>
        <v/>
      </c>
      <c r="U2033" s="47">
        <f>IF(AND(H2033="Realizado",L2033&lt;&gt;""),L2033/60,0)</f>
        <v>0</v>
      </c>
      <c r="V2033" s="47">
        <f>IF(AND(H2033="Realizado",OR(L2033="",M2033="")),1,0)</f>
        <v>0</v>
      </c>
    </row>
    <row r="2034">
      <c r="A2034" s="43" t="n"/>
      <c r="B2034" s="44" t="n"/>
      <c r="C2034" s="38" t="n"/>
      <c r="D2034" s="38" t="n"/>
      <c r="E2034" s="37" t="n"/>
      <c r="F2034" s="38" t="n"/>
      <c r="G2034" s="38" t="n"/>
      <c r="H2034" s="38" t="n"/>
      <c r="I2034" s="38" t="n"/>
      <c r="J2034" s="38" t="n"/>
      <c r="K2034" s="37" t="n"/>
      <c r="L2034" s="39" t="n"/>
      <c r="M2034" s="40" t="n"/>
      <c r="N2034" s="30">
        <f>IF(A2034="","",MONTH(A2034))</f>
        <v/>
      </c>
      <c r="O2034" s="30">
        <f>IF(A2034="","",YEAR(A2034))</f>
        <v/>
      </c>
      <c r="P2034" s="30">
        <f>IF(A2034="","",CHOOSE(WEEKDAY(A2034,2),"Segunda","Terça","Quarta","Quinta","Sexta","Sábado","Domingo"))</f>
        <v/>
      </c>
      <c r="Q2034" s="30">
        <f>IF(B2034="","",IF(B2034&lt;TIME(12,0,0),"Manhã",IF(B2034&lt;TIME(18,0,0),"Tarde","Noite")))</f>
        <v/>
      </c>
      <c r="R2034" s="46">
        <f>IF(AND(H2034="Realizado",L2034&lt;&gt;"",A2034&lt;=Config!$B$9),L2034/60,0)</f>
        <v>0</v>
      </c>
      <c r="S2034" s="45">
        <f>IF(G2034="","",IFERROR(INDEX(Config!$K$5:$K$16,MATCH(G2034,Config!$J$5:$J$16,0)),""))</f>
        <v/>
      </c>
      <c r="T2034" s="31">
        <f>IF(OR(G2034="",F2034=""),"",IFERROR(INDEX(Config!$M$5:$R$16,MATCH(G2034,Config!$J$5:$J$16,0),MATCH(F2034,Config!$H$5:$H$10,0)),""))</f>
        <v/>
      </c>
      <c r="U2034" s="47">
        <f>IF(AND(H2034="Realizado",L2034&lt;&gt;""),L2034/60,0)</f>
        <v>0</v>
      </c>
      <c r="V2034" s="47">
        <f>IF(AND(H2034="Realizado",OR(L2034="",M2034="")),1,0)</f>
        <v>0</v>
      </c>
    </row>
    <row r="2035">
      <c r="A2035" s="43" t="n"/>
      <c r="B2035" s="44" t="n"/>
      <c r="C2035" s="38" t="n"/>
      <c r="D2035" s="38" t="n"/>
      <c r="E2035" s="37" t="n"/>
      <c r="F2035" s="38" t="n"/>
      <c r="G2035" s="38" t="n"/>
      <c r="H2035" s="38" t="n"/>
      <c r="I2035" s="38" t="n"/>
      <c r="J2035" s="38" t="n"/>
      <c r="K2035" s="37" t="n"/>
      <c r="L2035" s="39" t="n"/>
      <c r="M2035" s="40" t="n"/>
      <c r="N2035" s="30">
        <f>IF(A2035="","",MONTH(A2035))</f>
        <v/>
      </c>
      <c r="O2035" s="30">
        <f>IF(A2035="","",YEAR(A2035))</f>
        <v/>
      </c>
      <c r="P2035" s="30">
        <f>IF(A2035="","",CHOOSE(WEEKDAY(A2035,2),"Segunda","Terça","Quarta","Quinta","Sexta","Sábado","Domingo"))</f>
        <v/>
      </c>
      <c r="Q2035" s="30">
        <f>IF(B2035="","",IF(B2035&lt;TIME(12,0,0),"Manhã",IF(B2035&lt;TIME(18,0,0),"Tarde","Noite")))</f>
        <v/>
      </c>
      <c r="R2035" s="46">
        <f>IF(AND(H2035="Realizado",L2035&lt;&gt;"",A2035&lt;=Config!$B$9),L2035/60,0)</f>
        <v>0</v>
      </c>
      <c r="S2035" s="45">
        <f>IF(G2035="","",IFERROR(INDEX(Config!$K$5:$K$16,MATCH(G2035,Config!$J$5:$J$16,0)),""))</f>
        <v/>
      </c>
      <c r="T2035" s="31">
        <f>IF(OR(G2035="",F2035=""),"",IFERROR(INDEX(Config!$M$5:$R$16,MATCH(G2035,Config!$J$5:$J$16,0),MATCH(F2035,Config!$H$5:$H$10,0)),""))</f>
        <v/>
      </c>
      <c r="U2035" s="47">
        <f>IF(AND(H2035="Realizado",L2035&lt;&gt;""),L2035/60,0)</f>
        <v>0</v>
      </c>
      <c r="V2035" s="47">
        <f>IF(AND(H2035="Realizado",OR(L2035="",M2035="")),1,0)</f>
        <v>0</v>
      </c>
    </row>
    <row r="2036">
      <c r="A2036" s="43" t="n"/>
      <c r="B2036" s="44" t="n"/>
      <c r="C2036" s="38" t="n"/>
      <c r="D2036" s="38" t="n"/>
      <c r="E2036" s="37" t="n"/>
      <c r="F2036" s="38" t="n"/>
      <c r="G2036" s="38" t="n"/>
      <c r="H2036" s="38" t="n"/>
      <c r="I2036" s="38" t="n"/>
      <c r="J2036" s="38" t="n"/>
      <c r="K2036" s="37" t="n"/>
      <c r="L2036" s="39" t="n"/>
      <c r="M2036" s="40" t="n"/>
      <c r="N2036" s="30">
        <f>IF(A2036="","",MONTH(A2036))</f>
        <v/>
      </c>
      <c r="O2036" s="30">
        <f>IF(A2036="","",YEAR(A2036))</f>
        <v/>
      </c>
      <c r="P2036" s="30">
        <f>IF(A2036="","",CHOOSE(WEEKDAY(A2036,2),"Segunda","Terça","Quarta","Quinta","Sexta","Sábado","Domingo"))</f>
        <v/>
      </c>
      <c r="Q2036" s="30">
        <f>IF(B2036="","",IF(B2036&lt;TIME(12,0,0),"Manhã",IF(B2036&lt;TIME(18,0,0),"Tarde","Noite")))</f>
        <v/>
      </c>
      <c r="R2036" s="46">
        <f>IF(AND(H2036="Realizado",L2036&lt;&gt;"",A2036&lt;=Config!$B$9),L2036/60,0)</f>
        <v>0</v>
      </c>
      <c r="S2036" s="45">
        <f>IF(G2036="","",IFERROR(INDEX(Config!$K$5:$K$16,MATCH(G2036,Config!$J$5:$J$16,0)),""))</f>
        <v/>
      </c>
      <c r="T2036" s="31">
        <f>IF(OR(G2036="",F2036=""),"",IFERROR(INDEX(Config!$M$5:$R$16,MATCH(G2036,Config!$J$5:$J$16,0),MATCH(F2036,Config!$H$5:$H$10,0)),""))</f>
        <v/>
      </c>
      <c r="U2036" s="47">
        <f>IF(AND(H2036="Realizado",L2036&lt;&gt;""),L2036/60,0)</f>
        <v>0</v>
      </c>
      <c r="V2036" s="47">
        <f>IF(AND(H2036="Realizado",OR(L2036="",M2036="")),1,0)</f>
        <v>0</v>
      </c>
    </row>
    <row r="2037">
      <c r="A2037" s="43" t="n"/>
      <c r="B2037" s="44" t="n"/>
      <c r="C2037" s="38" t="n"/>
      <c r="D2037" s="38" t="n"/>
      <c r="E2037" s="37" t="n"/>
      <c r="F2037" s="38" t="n"/>
      <c r="G2037" s="38" t="n"/>
      <c r="H2037" s="38" t="n"/>
      <c r="I2037" s="38" t="n"/>
      <c r="J2037" s="38" t="n"/>
      <c r="K2037" s="37" t="n"/>
      <c r="L2037" s="39" t="n"/>
      <c r="M2037" s="40" t="n"/>
      <c r="N2037" s="30">
        <f>IF(A2037="","",MONTH(A2037))</f>
        <v/>
      </c>
      <c r="O2037" s="30">
        <f>IF(A2037="","",YEAR(A2037))</f>
        <v/>
      </c>
      <c r="P2037" s="30">
        <f>IF(A2037="","",CHOOSE(WEEKDAY(A2037,2),"Segunda","Terça","Quarta","Quinta","Sexta","Sábado","Domingo"))</f>
        <v/>
      </c>
      <c r="Q2037" s="30">
        <f>IF(B2037="","",IF(B2037&lt;TIME(12,0,0),"Manhã",IF(B2037&lt;TIME(18,0,0),"Tarde","Noite")))</f>
        <v/>
      </c>
      <c r="R2037" s="46">
        <f>IF(AND(H2037="Realizado",L2037&lt;&gt;"",A2037&lt;=Config!$B$9),L2037/60,0)</f>
        <v>0</v>
      </c>
      <c r="S2037" s="45">
        <f>IF(G2037="","",IFERROR(INDEX(Config!$K$5:$K$16,MATCH(G2037,Config!$J$5:$J$16,0)),""))</f>
        <v/>
      </c>
      <c r="T2037" s="31">
        <f>IF(OR(G2037="",F2037=""),"",IFERROR(INDEX(Config!$M$5:$R$16,MATCH(G2037,Config!$J$5:$J$16,0),MATCH(F2037,Config!$H$5:$H$10,0)),""))</f>
        <v/>
      </c>
      <c r="U2037" s="47">
        <f>IF(AND(H2037="Realizado",L2037&lt;&gt;""),L2037/60,0)</f>
        <v>0</v>
      </c>
      <c r="V2037" s="47">
        <f>IF(AND(H2037="Realizado",OR(L2037="",M2037="")),1,0)</f>
        <v>0</v>
      </c>
    </row>
    <row r="2038">
      <c r="A2038" s="43" t="n"/>
      <c r="B2038" s="44" t="n"/>
      <c r="C2038" s="38" t="n"/>
      <c r="D2038" s="38" t="n"/>
      <c r="E2038" s="37" t="n"/>
      <c r="F2038" s="38" t="n"/>
      <c r="G2038" s="38" t="n"/>
      <c r="H2038" s="38" t="n"/>
      <c r="I2038" s="38" t="n"/>
      <c r="J2038" s="38" t="n"/>
      <c r="K2038" s="37" t="n"/>
      <c r="L2038" s="39" t="n"/>
      <c r="M2038" s="40" t="n"/>
      <c r="N2038" s="30">
        <f>IF(A2038="","",MONTH(A2038))</f>
        <v/>
      </c>
      <c r="O2038" s="30">
        <f>IF(A2038="","",YEAR(A2038))</f>
        <v/>
      </c>
      <c r="P2038" s="30">
        <f>IF(A2038="","",CHOOSE(WEEKDAY(A2038,2),"Segunda","Terça","Quarta","Quinta","Sexta","Sábado","Domingo"))</f>
        <v/>
      </c>
      <c r="Q2038" s="30">
        <f>IF(B2038="","",IF(B2038&lt;TIME(12,0,0),"Manhã",IF(B2038&lt;TIME(18,0,0),"Tarde","Noite")))</f>
        <v/>
      </c>
      <c r="R2038" s="46">
        <f>IF(AND(H2038="Realizado",L2038&lt;&gt;"",A2038&lt;=Config!$B$9),L2038/60,0)</f>
        <v>0</v>
      </c>
      <c r="S2038" s="45">
        <f>IF(G2038="","",IFERROR(INDEX(Config!$K$5:$K$16,MATCH(G2038,Config!$J$5:$J$16,0)),""))</f>
        <v/>
      </c>
      <c r="T2038" s="31">
        <f>IF(OR(G2038="",F2038=""),"",IFERROR(INDEX(Config!$M$5:$R$16,MATCH(G2038,Config!$J$5:$J$16,0),MATCH(F2038,Config!$H$5:$H$10,0)),""))</f>
        <v/>
      </c>
      <c r="U2038" s="47">
        <f>IF(AND(H2038="Realizado",L2038&lt;&gt;""),L2038/60,0)</f>
        <v>0</v>
      </c>
      <c r="V2038" s="47">
        <f>IF(AND(H2038="Realizado",OR(L2038="",M2038="")),1,0)</f>
        <v>0</v>
      </c>
    </row>
    <row r="2039">
      <c r="A2039" s="43" t="n"/>
      <c r="B2039" s="44" t="n"/>
      <c r="C2039" s="38" t="n"/>
      <c r="D2039" s="38" t="n"/>
      <c r="E2039" s="37" t="n"/>
      <c r="F2039" s="38" t="n"/>
      <c r="G2039" s="38" t="n"/>
      <c r="H2039" s="38" t="n"/>
      <c r="I2039" s="38" t="n"/>
      <c r="J2039" s="38" t="n"/>
      <c r="K2039" s="37" t="n"/>
      <c r="L2039" s="39" t="n"/>
      <c r="M2039" s="40" t="n"/>
      <c r="N2039" s="30">
        <f>IF(A2039="","",MONTH(A2039))</f>
        <v/>
      </c>
      <c r="O2039" s="30">
        <f>IF(A2039="","",YEAR(A2039))</f>
        <v/>
      </c>
      <c r="P2039" s="30">
        <f>IF(A2039="","",CHOOSE(WEEKDAY(A2039,2),"Segunda","Terça","Quarta","Quinta","Sexta","Sábado","Domingo"))</f>
        <v/>
      </c>
      <c r="Q2039" s="30">
        <f>IF(B2039="","",IF(B2039&lt;TIME(12,0,0),"Manhã",IF(B2039&lt;TIME(18,0,0),"Tarde","Noite")))</f>
        <v/>
      </c>
      <c r="R2039" s="46">
        <f>IF(AND(H2039="Realizado",L2039&lt;&gt;"",A2039&lt;=Config!$B$9),L2039/60,0)</f>
        <v>0</v>
      </c>
      <c r="S2039" s="45">
        <f>IF(G2039="","",IFERROR(INDEX(Config!$K$5:$K$16,MATCH(G2039,Config!$J$5:$J$16,0)),""))</f>
        <v/>
      </c>
      <c r="T2039" s="31">
        <f>IF(OR(G2039="",F2039=""),"",IFERROR(INDEX(Config!$M$5:$R$16,MATCH(G2039,Config!$J$5:$J$16,0),MATCH(F2039,Config!$H$5:$H$10,0)),""))</f>
        <v/>
      </c>
      <c r="U2039" s="47">
        <f>IF(AND(H2039="Realizado",L2039&lt;&gt;""),L2039/60,0)</f>
        <v>0</v>
      </c>
      <c r="V2039" s="47">
        <f>IF(AND(H2039="Realizado",OR(L2039="",M2039="")),1,0)</f>
        <v>0</v>
      </c>
    </row>
    <row r="2040">
      <c r="A2040" s="43" t="n"/>
      <c r="B2040" s="44" t="n"/>
      <c r="C2040" s="38" t="n"/>
      <c r="D2040" s="38" t="n"/>
      <c r="E2040" s="37" t="n"/>
      <c r="F2040" s="38" t="n"/>
      <c r="G2040" s="38" t="n"/>
      <c r="H2040" s="38" t="n"/>
      <c r="I2040" s="38" t="n"/>
      <c r="J2040" s="38" t="n"/>
      <c r="K2040" s="37" t="n"/>
      <c r="L2040" s="39" t="n"/>
      <c r="M2040" s="40" t="n"/>
      <c r="N2040" s="30">
        <f>IF(A2040="","",MONTH(A2040))</f>
        <v/>
      </c>
      <c r="O2040" s="30">
        <f>IF(A2040="","",YEAR(A2040))</f>
        <v/>
      </c>
      <c r="P2040" s="30">
        <f>IF(A2040="","",CHOOSE(WEEKDAY(A2040,2),"Segunda","Terça","Quarta","Quinta","Sexta","Sábado","Domingo"))</f>
        <v/>
      </c>
      <c r="Q2040" s="30">
        <f>IF(B2040="","",IF(B2040&lt;TIME(12,0,0),"Manhã",IF(B2040&lt;TIME(18,0,0),"Tarde","Noite")))</f>
        <v/>
      </c>
      <c r="R2040" s="46">
        <f>IF(AND(H2040="Realizado",L2040&lt;&gt;"",A2040&lt;=Config!$B$9),L2040/60,0)</f>
        <v>0</v>
      </c>
      <c r="S2040" s="45">
        <f>IF(G2040="","",IFERROR(INDEX(Config!$K$5:$K$16,MATCH(G2040,Config!$J$5:$J$16,0)),""))</f>
        <v/>
      </c>
      <c r="T2040" s="31">
        <f>IF(OR(G2040="",F2040=""),"",IFERROR(INDEX(Config!$M$5:$R$16,MATCH(G2040,Config!$J$5:$J$16,0),MATCH(F2040,Config!$H$5:$H$10,0)),""))</f>
        <v/>
      </c>
      <c r="U2040" s="47">
        <f>IF(AND(H2040="Realizado",L2040&lt;&gt;""),L2040/60,0)</f>
        <v>0</v>
      </c>
      <c r="V2040" s="47">
        <f>IF(AND(H2040="Realizado",OR(L2040="",M2040="")),1,0)</f>
        <v>0</v>
      </c>
    </row>
    <row r="2041">
      <c r="A2041" s="43" t="n"/>
      <c r="B2041" s="44" t="n"/>
      <c r="C2041" s="38" t="n"/>
      <c r="D2041" s="38" t="n"/>
      <c r="E2041" s="37" t="n"/>
      <c r="F2041" s="38" t="n"/>
      <c r="G2041" s="38" t="n"/>
      <c r="H2041" s="38" t="n"/>
      <c r="I2041" s="38" t="n"/>
      <c r="J2041" s="38" t="n"/>
      <c r="K2041" s="37" t="n"/>
      <c r="L2041" s="39" t="n"/>
      <c r="M2041" s="40" t="n"/>
      <c r="N2041" s="30">
        <f>IF(A2041="","",MONTH(A2041))</f>
        <v/>
      </c>
      <c r="O2041" s="30">
        <f>IF(A2041="","",YEAR(A2041))</f>
        <v/>
      </c>
      <c r="P2041" s="30">
        <f>IF(A2041="","",CHOOSE(WEEKDAY(A2041,2),"Segunda","Terça","Quarta","Quinta","Sexta","Sábado","Domingo"))</f>
        <v/>
      </c>
      <c r="Q2041" s="30">
        <f>IF(B2041="","",IF(B2041&lt;TIME(12,0,0),"Manhã",IF(B2041&lt;TIME(18,0,0),"Tarde","Noite")))</f>
        <v/>
      </c>
      <c r="R2041" s="46">
        <f>IF(AND(H2041="Realizado",L2041&lt;&gt;"",A2041&lt;=Config!$B$9),L2041/60,0)</f>
        <v>0</v>
      </c>
      <c r="S2041" s="45">
        <f>IF(G2041="","",IFERROR(INDEX(Config!$K$5:$K$16,MATCH(G2041,Config!$J$5:$J$16,0)),""))</f>
        <v/>
      </c>
      <c r="T2041" s="31">
        <f>IF(OR(G2041="",F2041=""),"",IFERROR(INDEX(Config!$M$5:$R$16,MATCH(G2041,Config!$J$5:$J$16,0),MATCH(F2041,Config!$H$5:$H$10,0)),""))</f>
        <v/>
      </c>
      <c r="U2041" s="47">
        <f>IF(AND(H2041="Realizado",L2041&lt;&gt;""),L2041/60,0)</f>
        <v>0</v>
      </c>
      <c r="V2041" s="47">
        <f>IF(AND(H2041="Realizado",OR(L2041="",M2041="")),1,0)</f>
        <v>0</v>
      </c>
    </row>
    <row r="2042">
      <c r="A2042" s="43" t="n"/>
      <c r="B2042" s="44" t="n"/>
      <c r="C2042" s="38" t="n"/>
      <c r="D2042" s="38" t="n"/>
      <c r="E2042" s="37" t="n"/>
      <c r="F2042" s="38" t="n"/>
      <c r="G2042" s="38" t="n"/>
      <c r="H2042" s="38" t="n"/>
      <c r="I2042" s="38" t="n"/>
      <c r="J2042" s="38" t="n"/>
      <c r="K2042" s="37" t="n"/>
      <c r="L2042" s="39" t="n"/>
      <c r="M2042" s="40" t="n"/>
      <c r="N2042" s="30">
        <f>IF(A2042="","",MONTH(A2042))</f>
        <v/>
      </c>
      <c r="O2042" s="30">
        <f>IF(A2042="","",YEAR(A2042))</f>
        <v/>
      </c>
      <c r="P2042" s="30">
        <f>IF(A2042="","",CHOOSE(WEEKDAY(A2042,2),"Segunda","Terça","Quarta","Quinta","Sexta","Sábado","Domingo"))</f>
        <v/>
      </c>
      <c r="Q2042" s="30">
        <f>IF(B2042="","",IF(B2042&lt;TIME(12,0,0),"Manhã",IF(B2042&lt;TIME(18,0,0),"Tarde","Noite")))</f>
        <v/>
      </c>
      <c r="R2042" s="46">
        <f>IF(AND(H2042="Realizado",L2042&lt;&gt;"",A2042&lt;=Config!$B$9),L2042/60,0)</f>
        <v>0</v>
      </c>
      <c r="S2042" s="45">
        <f>IF(G2042="","",IFERROR(INDEX(Config!$K$5:$K$16,MATCH(G2042,Config!$J$5:$J$16,0)),""))</f>
        <v/>
      </c>
      <c r="T2042" s="31">
        <f>IF(OR(G2042="",F2042=""),"",IFERROR(INDEX(Config!$M$5:$R$16,MATCH(G2042,Config!$J$5:$J$16,0),MATCH(F2042,Config!$H$5:$H$10,0)),""))</f>
        <v/>
      </c>
      <c r="U2042" s="47">
        <f>IF(AND(H2042="Realizado",L2042&lt;&gt;""),L2042/60,0)</f>
        <v>0</v>
      </c>
      <c r="V2042" s="47">
        <f>IF(AND(H2042="Realizado",OR(L2042="",M2042="")),1,0)</f>
        <v>0</v>
      </c>
    </row>
    <row r="2043">
      <c r="A2043" s="43" t="n"/>
      <c r="B2043" s="44" t="n"/>
      <c r="C2043" s="38" t="n"/>
      <c r="D2043" s="38" t="n"/>
      <c r="E2043" s="37" t="n"/>
      <c r="F2043" s="38" t="n"/>
      <c r="G2043" s="38" t="n"/>
      <c r="H2043" s="38" t="n"/>
      <c r="I2043" s="38" t="n"/>
      <c r="J2043" s="38" t="n"/>
      <c r="K2043" s="37" t="n"/>
      <c r="L2043" s="39" t="n"/>
      <c r="M2043" s="40" t="n"/>
      <c r="N2043" s="30">
        <f>IF(A2043="","",MONTH(A2043))</f>
        <v/>
      </c>
      <c r="O2043" s="30">
        <f>IF(A2043="","",YEAR(A2043))</f>
        <v/>
      </c>
      <c r="P2043" s="30">
        <f>IF(A2043="","",CHOOSE(WEEKDAY(A2043,2),"Segunda","Terça","Quarta","Quinta","Sexta","Sábado","Domingo"))</f>
        <v/>
      </c>
      <c r="Q2043" s="30">
        <f>IF(B2043="","",IF(B2043&lt;TIME(12,0,0),"Manhã",IF(B2043&lt;TIME(18,0,0),"Tarde","Noite")))</f>
        <v/>
      </c>
      <c r="R2043" s="46">
        <f>IF(AND(H2043="Realizado",L2043&lt;&gt;"",A2043&lt;=Config!$B$9),L2043/60,0)</f>
        <v>0</v>
      </c>
      <c r="S2043" s="45">
        <f>IF(G2043="","",IFERROR(INDEX(Config!$K$5:$K$16,MATCH(G2043,Config!$J$5:$J$16,0)),""))</f>
        <v/>
      </c>
      <c r="T2043" s="31">
        <f>IF(OR(G2043="",F2043=""),"",IFERROR(INDEX(Config!$M$5:$R$16,MATCH(G2043,Config!$J$5:$J$16,0),MATCH(F2043,Config!$H$5:$H$10,0)),""))</f>
        <v/>
      </c>
      <c r="U2043" s="47">
        <f>IF(AND(H2043="Realizado",L2043&lt;&gt;""),L2043/60,0)</f>
        <v>0</v>
      </c>
      <c r="V2043" s="47">
        <f>IF(AND(H2043="Realizado",OR(L2043="",M2043="")),1,0)</f>
        <v>0</v>
      </c>
    </row>
    <row r="2044">
      <c r="A2044" s="43" t="n"/>
      <c r="B2044" s="44" t="n"/>
      <c r="C2044" s="38" t="n"/>
      <c r="D2044" s="38" t="n"/>
      <c r="E2044" s="37" t="n"/>
      <c r="F2044" s="38" t="n"/>
      <c r="G2044" s="38" t="n"/>
      <c r="H2044" s="38" t="n"/>
      <c r="I2044" s="38" t="n"/>
      <c r="J2044" s="38" t="n"/>
      <c r="K2044" s="37" t="n"/>
      <c r="L2044" s="39" t="n"/>
      <c r="M2044" s="40" t="n"/>
      <c r="N2044" s="30">
        <f>IF(A2044="","",MONTH(A2044))</f>
        <v/>
      </c>
      <c r="O2044" s="30">
        <f>IF(A2044="","",YEAR(A2044))</f>
        <v/>
      </c>
      <c r="P2044" s="30">
        <f>IF(A2044="","",CHOOSE(WEEKDAY(A2044,2),"Segunda","Terça","Quarta","Quinta","Sexta","Sábado","Domingo"))</f>
        <v/>
      </c>
      <c r="Q2044" s="30">
        <f>IF(B2044="","",IF(B2044&lt;TIME(12,0,0),"Manhã",IF(B2044&lt;TIME(18,0,0),"Tarde","Noite")))</f>
        <v/>
      </c>
      <c r="R2044" s="46">
        <f>IF(AND(H2044="Realizado",L2044&lt;&gt;"",A2044&lt;=Config!$B$9),L2044/60,0)</f>
        <v>0</v>
      </c>
      <c r="S2044" s="45">
        <f>IF(G2044="","",IFERROR(INDEX(Config!$K$5:$K$16,MATCH(G2044,Config!$J$5:$J$16,0)),""))</f>
        <v/>
      </c>
      <c r="T2044" s="31">
        <f>IF(OR(G2044="",F2044=""),"",IFERROR(INDEX(Config!$M$5:$R$16,MATCH(G2044,Config!$J$5:$J$16,0),MATCH(F2044,Config!$H$5:$H$10,0)),""))</f>
        <v/>
      </c>
      <c r="U2044" s="47">
        <f>IF(AND(H2044="Realizado",L2044&lt;&gt;""),L2044/60,0)</f>
        <v>0</v>
      </c>
      <c r="V2044" s="47">
        <f>IF(AND(H2044="Realizado",OR(L2044="",M2044="")),1,0)</f>
        <v>0</v>
      </c>
    </row>
    <row r="2045">
      <c r="A2045" s="43" t="n"/>
      <c r="B2045" s="44" t="n"/>
      <c r="C2045" s="38" t="n"/>
      <c r="D2045" s="38" t="n"/>
      <c r="E2045" s="37" t="n"/>
      <c r="F2045" s="38" t="n"/>
      <c r="G2045" s="38" t="n"/>
      <c r="H2045" s="38" t="n"/>
      <c r="I2045" s="38" t="n"/>
      <c r="J2045" s="38" t="n"/>
      <c r="K2045" s="37" t="n"/>
      <c r="L2045" s="39" t="n"/>
      <c r="M2045" s="40" t="n"/>
      <c r="N2045" s="30">
        <f>IF(A2045="","",MONTH(A2045))</f>
        <v/>
      </c>
      <c r="O2045" s="30">
        <f>IF(A2045="","",YEAR(A2045))</f>
        <v/>
      </c>
      <c r="P2045" s="30">
        <f>IF(A2045="","",CHOOSE(WEEKDAY(A2045,2),"Segunda","Terça","Quarta","Quinta","Sexta","Sábado","Domingo"))</f>
        <v/>
      </c>
      <c r="Q2045" s="30">
        <f>IF(B2045="","",IF(B2045&lt;TIME(12,0,0),"Manhã",IF(B2045&lt;TIME(18,0,0),"Tarde","Noite")))</f>
        <v/>
      </c>
      <c r="R2045" s="46">
        <f>IF(AND(H2045="Realizado",L2045&lt;&gt;"",A2045&lt;=Config!$B$9),L2045/60,0)</f>
        <v>0</v>
      </c>
      <c r="S2045" s="45">
        <f>IF(G2045="","",IFERROR(INDEX(Config!$K$5:$K$16,MATCH(G2045,Config!$J$5:$J$16,0)),""))</f>
        <v/>
      </c>
      <c r="T2045" s="31">
        <f>IF(OR(G2045="",F2045=""),"",IFERROR(INDEX(Config!$M$5:$R$16,MATCH(G2045,Config!$J$5:$J$16,0),MATCH(F2045,Config!$H$5:$H$10,0)),""))</f>
        <v/>
      </c>
      <c r="U2045" s="47">
        <f>IF(AND(H2045="Realizado",L2045&lt;&gt;""),L2045/60,0)</f>
        <v>0</v>
      </c>
      <c r="V2045" s="47">
        <f>IF(AND(H2045="Realizado",OR(L2045="",M2045="")),1,0)</f>
        <v>0</v>
      </c>
    </row>
    <row r="2046">
      <c r="A2046" s="43" t="n"/>
      <c r="B2046" s="44" t="n"/>
      <c r="C2046" s="38" t="n"/>
      <c r="D2046" s="38" t="n"/>
      <c r="E2046" s="37" t="n"/>
      <c r="F2046" s="38" t="n"/>
      <c r="G2046" s="38" t="n"/>
      <c r="H2046" s="38" t="n"/>
      <c r="I2046" s="38" t="n"/>
      <c r="J2046" s="38" t="n"/>
      <c r="K2046" s="37" t="n"/>
      <c r="L2046" s="39" t="n"/>
      <c r="M2046" s="40" t="n"/>
      <c r="N2046" s="30">
        <f>IF(A2046="","",MONTH(A2046))</f>
        <v/>
      </c>
      <c r="O2046" s="30">
        <f>IF(A2046="","",YEAR(A2046))</f>
        <v/>
      </c>
      <c r="P2046" s="30">
        <f>IF(A2046="","",CHOOSE(WEEKDAY(A2046,2),"Segunda","Terça","Quarta","Quinta","Sexta","Sábado","Domingo"))</f>
        <v/>
      </c>
      <c r="Q2046" s="30">
        <f>IF(B2046="","",IF(B2046&lt;TIME(12,0,0),"Manhã",IF(B2046&lt;TIME(18,0,0),"Tarde","Noite")))</f>
        <v/>
      </c>
      <c r="R2046" s="46">
        <f>IF(AND(H2046="Realizado",L2046&lt;&gt;"",A2046&lt;=Config!$B$9),L2046/60,0)</f>
        <v>0</v>
      </c>
      <c r="S2046" s="45">
        <f>IF(G2046="","",IFERROR(INDEX(Config!$K$5:$K$16,MATCH(G2046,Config!$J$5:$J$16,0)),""))</f>
        <v/>
      </c>
      <c r="T2046" s="31">
        <f>IF(OR(G2046="",F2046=""),"",IFERROR(INDEX(Config!$M$5:$R$16,MATCH(G2046,Config!$J$5:$J$16,0),MATCH(F2046,Config!$H$5:$H$10,0)),""))</f>
        <v/>
      </c>
      <c r="U2046" s="47">
        <f>IF(AND(H2046="Realizado",L2046&lt;&gt;""),L2046/60,0)</f>
        <v>0</v>
      </c>
      <c r="V2046" s="47">
        <f>IF(AND(H2046="Realizado",OR(L2046="",M2046="")),1,0)</f>
        <v>0</v>
      </c>
    </row>
    <row r="2047">
      <c r="A2047" s="43" t="n"/>
      <c r="B2047" s="44" t="n"/>
      <c r="C2047" s="38" t="n"/>
      <c r="D2047" s="38" t="n"/>
      <c r="E2047" s="37" t="n"/>
      <c r="F2047" s="38" t="n"/>
      <c r="G2047" s="38" t="n"/>
      <c r="H2047" s="38" t="n"/>
      <c r="I2047" s="38" t="n"/>
      <c r="J2047" s="38" t="n"/>
      <c r="K2047" s="37" t="n"/>
      <c r="L2047" s="39" t="n"/>
      <c r="M2047" s="40" t="n"/>
      <c r="N2047" s="30">
        <f>IF(A2047="","",MONTH(A2047))</f>
        <v/>
      </c>
      <c r="O2047" s="30">
        <f>IF(A2047="","",YEAR(A2047))</f>
        <v/>
      </c>
      <c r="P2047" s="30">
        <f>IF(A2047="","",CHOOSE(WEEKDAY(A2047,2),"Segunda","Terça","Quarta","Quinta","Sexta","Sábado","Domingo"))</f>
        <v/>
      </c>
      <c r="Q2047" s="30">
        <f>IF(B2047="","",IF(B2047&lt;TIME(12,0,0),"Manhã",IF(B2047&lt;TIME(18,0,0),"Tarde","Noite")))</f>
        <v/>
      </c>
      <c r="R2047" s="46">
        <f>IF(AND(H2047="Realizado",L2047&lt;&gt;"",A2047&lt;=Config!$B$9),L2047/60,0)</f>
        <v>0</v>
      </c>
      <c r="S2047" s="45">
        <f>IF(G2047="","",IFERROR(INDEX(Config!$K$5:$K$16,MATCH(G2047,Config!$J$5:$J$16,0)),""))</f>
        <v/>
      </c>
      <c r="T2047" s="31">
        <f>IF(OR(G2047="",F2047=""),"",IFERROR(INDEX(Config!$M$5:$R$16,MATCH(G2047,Config!$J$5:$J$16,0),MATCH(F2047,Config!$H$5:$H$10,0)),""))</f>
        <v/>
      </c>
      <c r="U2047" s="47">
        <f>IF(AND(H2047="Realizado",L2047&lt;&gt;""),L2047/60,0)</f>
        <v>0</v>
      </c>
      <c r="V2047" s="47">
        <f>IF(AND(H2047="Realizado",OR(L2047="",M2047="")),1,0)</f>
        <v>0</v>
      </c>
    </row>
    <row r="2048">
      <c r="A2048" s="43" t="n"/>
      <c r="B2048" s="44" t="n"/>
      <c r="C2048" s="38" t="n"/>
      <c r="D2048" s="38" t="n"/>
      <c r="E2048" s="37" t="n"/>
      <c r="F2048" s="38" t="n"/>
      <c r="G2048" s="38" t="n"/>
      <c r="H2048" s="38" t="n"/>
      <c r="I2048" s="38" t="n"/>
      <c r="J2048" s="38" t="n"/>
      <c r="K2048" s="37" t="n"/>
      <c r="L2048" s="39" t="n"/>
      <c r="M2048" s="40" t="n"/>
      <c r="N2048" s="30">
        <f>IF(A2048="","",MONTH(A2048))</f>
        <v/>
      </c>
      <c r="O2048" s="30">
        <f>IF(A2048="","",YEAR(A2048))</f>
        <v/>
      </c>
      <c r="P2048" s="30">
        <f>IF(A2048="","",CHOOSE(WEEKDAY(A2048,2),"Segunda","Terça","Quarta","Quinta","Sexta","Sábado","Domingo"))</f>
        <v/>
      </c>
      <c r="Q2048" s="30">
        <f>IF(B2048="","",IF(B2048&lt;TIME(12,0,0),"Manhã",IF(B2048&lt;TIME(18,0,0),"Tarde","Noite")))</f>
        <v/>
      </c>
      <c r="R2048" s="46">
        <f>IF(AND(H2048="Realizado",L2048&lt;&gt;"",A2048&lt;=Config!$B$9),L2048/60,0)</f>
        <v>0</v>
      </c>
      <c r="S2048" s="45">
        <f>IF(G2048="","",IFERROR(INDEX(Config!$K$5:$K$16,MATCH(G2048,Config!$J$5:$J$16,0)),""))</f>
        <v/>
      </c>
      <c r="T2048" s="31">
        <f>IF(OR(G2048="",F2048=""),"",IFERROR(INDEX(Config!$M$5:$R$16,MATCH(G2048,Config!$J$5:$J$16,0),MATCH(F2048,Config!$H$5:$H$10,0)),""))</f>
        <v/>
      </c>
      <c r="U2048" s="47">
        <f>IF(AND(H2048="Realizado",L2048&lt;&gt;""),L2048/60,0)</f>
        <v>0</v>
      </c>
      <c r="V2048" s="47">
        <f>IF(AND(H2048="Realizado",OR(L2048="",M2048="")),1,0)</f>
        <v>0</v>
      </c>
    </row>
    <row r="2049">
      <c r="A2049" s="43" t="n"/>
      <c r="B2049" s="44" t="n"/>
      <c r="C2049" s="38" t="n"/>
      <c r="D2049" s="38" t="n"/>
      <c r="E2049" s="37" t="n"/>
      <c r="F2049" s="38" t="n"/>
      <c r="G2049" s="38" t="n"/>
      <c r="H2049" s="38" t="n"/>
      <c r="I2049" s="38" t="n"/>
      <c r="J2049" s="38" t="n"/>
      <c r="K2049" s="37" t="n"/>
      <c r="L2049" s="39" t="n"/>
      <c r="M2049" s="40" t="n"/>
      <c r="N2049" s="30">
        <f>IF(A2049="","",MONTH(A2049))</f>
        <v/>
      </c>
      <c r="O2049" s="30">
        <f>IF(A2049="","",YEAR(A2049))</f>
        <v/>
      </c>
      <c r="P2049" s="30">
        <f>IF(A2049="","",CHOOSE(WEEKDAY(A2049,2),"Segunda","Terça","Quarta","Quinta","Sexta","Sábado","Domingo"))</f>
        <v/>
      </c>
      <c r="Q2049" s="30">
        <f>IF(B2049="","",IF(B2049&lt;TIME(12,0,0),"Manhã",IF(B2049&lt;TIME(18,0,0),"Tarde","Noite")))</f>
        <v/>
      </c>
      <c r="R2049" s="46">
        <f>IF(AND(H2049="Realizado",L2049&lt;&gt;"",A2049&lt;=Config!$B$9),L2049/60,0)</f>
        <v>0</v>
      </c>
      <c r="S2049" s="45">
        <f>IF(G2049="","",IFERROR(INDEX(Config!$K$5:$K$16,MATCH(G2049,Config!$J$5:$J$16,0)),""))</f>
        <v/>
      </c>
      <c r="T2049" s="31">
        <f>IF(OR(G2049="",F2049=""),"",IFERROR(INDEX(Config!$M$5:$R$16,MATCH(G2049,Config!$J$5:$J$16,0),MATCH(F2049,Config!$H$5:$H$10,0)),""))</f>
        <v/>
      </c>
      <c r="U2049" s="47">
        <f>IF(AND(H2049="Realizado",L2049&lt;&gt;""),L2049/60,0)</f>
        <v>0</v>
      </c>
      <c r="V2049" s="47">
        <f>IF(AND(H2049="Realizado",OR(L2049="",M2049="")),1,0)</f>
        <v>0</v>
      </c>
    </row>
    <row r="2050">
      <c r="A2050" s="43" t="n"/>
      <c r="B2050" s="44" t="n"/>
      <c r="C2050" s="38" t="n"/>
      <c r="D2050" s="38" t="n"/>
      <c r="E2050" s="37" t="n"/>
      <c r="F2050" s="38" t="n"/>
      <c r="G2050" s="38" t="n"/>
      <c r="H2050" s="38" t="n"/>
      <c r="I2050" s="38" t="n"/>
      <c r="J2050" s="38" t="n"/>
      <c r="K2050" s="37" t="n"/>
      <c r="L2050" s="39" t="n"/>
      <c r="M2050" s="40" t="n"/>
      <c r="N2050" s="30">
        <f>IF(A2050="","",MONTH(A2050))</f>
        <v/>
      </c>
      <c r="O2050" s="30">
        <f>IF(A2050="","",YEAR(A2050))</f>
        <v/>
      </c>
      <c r="P2050" s="30">
        <f>IF(A2050="","",CHOOSE(WEEKDAY(A2050,2),"Segunda","Terça","Quarta","Quinta","Sexta","Sábado","Domingo"))</f>
        <v/>
      </c>
      <c r="Q2050" s="30">
        <f>IF(B2050="","",IF(B2050&lt;TIME(12,0,0),"Manhã",IF(B2050&lt;TIME(18,0,0),"Tarde","Noite")))</f>
        <v/>
      </c>
      <c r="R2050" s="46">
        <f>IF(AND(H2050="Realizado",L2050&lt;&gt;"",A2050&lt;=Config!$B$9),L2050/60,0)</f>
        <v>0</v>
      </c>
      <c r="S2050" s="45">
        <f>IF(G2050="","",IFERROR(INDEX(Config!$K$5:$K$16,MATCH(G2050,Config!$J$5:$J$16,0)),""))</f>
        <v/>
      </c>
      <c r="T2050" s="31">
        <f>IF(OR(G2050="",F2050=""),"",IFERROR(INDEX(Config!$M$5:$R$16,MATCH(G2050,Config!$J$5:$J$16,0),MATCH(F2050,Config!$H$5:$H$10,0)),""))</f>
        <v/>
      </c>
      <c r="U2050" s="47">
        <f>IF(AND(H2050="Realizado",L2050&lt;&gt;""),L2050/60,0)</f>
        <v>0</v>
      </c>
      <c r="V2050" s="47">
        <f>IF(AND(H2050="Realizado",OR(L2050="",M2050="")),1,0)</f>
        <v>0</v>
      </c>
    </row>
    <row r="2051">
      <c r="A2051" s="43" t="n"/>
      <c r="B2051" s="44" t="n"/>
      <c r="C2051" s="38" t="n"/>
      <c r="D2051" s="38" t="n"/>
      <c r="E2051" s="37" t="n"/>
      <c r="F2051" s="38" t="n"/>
      <c r="G2051" s="38" t="n"/>
      <c r="H2051" s="38" t="n"/>
      <c r="I2051" s="38" t="n"/>
      <c r="J2051" s="38" t="n"/>
      <c r="K2051" s="37" t="n"/>
      <c r="L2051" s="39" t="n"/>
      <c r="M2051" s="40" t="n"/>
      <c r="N2051" s="30">
        <f>IF(A2051="","",MONTH(A2051))</f>
        <v/>
      </c>
      <c r="O2051" s="30">
        <f>IF(A2051="","",YEAR(A2051))</f>
        <v/>
      </c>
      <c r="P2051" s="30">
        <f>IF(A2051="","",CHOOSE(WEEKDAY(A2051,2),"Segunda","Terça","Quarta","Quinta","Sexta","Sábado","Domingo"))</f>
        <v/>
      </c>
      <c r="Q2051" s="30">
        <f>IF(B2051="","",IF(B2051&lt;TIME(12,0,0),"Manhã",IF(B2051&lt;TIME(18,0,0),"Tarde","Noite")))</f>
        <v/>
      </c>
      <c r="R2051" s="46">
        <f>IF(AND(H2051="Realizado",L2051&lt;&gt;"",A2051&lt;=Config!$B$9),L2051/60,0)</f>
        <v>0</v>
      </c>
      <c r="S2051" s="45">
        <f>IF(G2051="","",IFERROR(INDEX(Config!$K$5:$K$16,MATCH(G2051,Config!$J$5:$J$16,0)),""))</f>
        <v/>
      </c>
      <c r="T2051" s="31">
        <f>IF(OR(G2051="",F2051=""),"",IFERROR(INDEX(Config!$M$5:$R$16,MATCH(G2051,Config!$J$5:$J$16,0),MATCH(F2051,Config!$H$5:$H$10,0)),""))</f>
        <v/>
      </c>
      <c r="U2051" s="47">
        <f>IF(AND(H2051="Realizado",L2051&lt;&gt;""),L2051/60,0)</f>
        <v>0</v>
      </c>
      <c r="V2051" s="47">
        <f>IF(AND(H2051="Realizado",OR(L2051="",M2051="")),1,0)</f>
        <v>0</v>
      </c>
    </row>
    <row r="2052">
      <c r="A2052" s="43" t="n"/>
      <c r="B2052" s="44" t="n"/>
      <c r="C2052" s="38" t="n"/>
      <c r="D2052" s="38" t="n"/>
      <c r="E2052" s="37" t="n"/>
      <c r="F2052" s="38" t="n"/>
      <c r="G2052" s="38" t="n"/>
      <c r="H2052" s="38" t="n"/>
      <c r="I2052" s="38" t="n"/>
      <c r="J2052" s="38" t="n"/>
      <c r="K2052" s="37" t="n"/>
      <c r="L2052" s="39" t="n"/>
      <c r="M2052" s="40" t="n"/>
      <c r="N2052" s="30">
        <f>IF(A2052="","",MONTH(A2052))</f>
        <v/>
      </c>
      <c r="O2052" s="30">
        <f>IF(A2052="","",YEAR(A2052))</f>
        <v/>
      </c>
      <c r="P2052" s="30">
        <f>IF(A2052="","",CHOOSE(WEEKDAY(A2052,2),"Segunda","Terça","Quarta","Quinta","Sexta","Sábado","Domingo"))</f>
        <v/>
      </c>
      <c r="Q2052" s="30">
        <f>IF(B2052="","",IF(B2052&lt;TIME(12,0,0),"Manhã",IF(B2052&lt;TIME(18,0,0),"Tarde","Noite")))</f>
        <v/>
      </c>
      <c r="R2052" s="46">
        <f>IF(AND(H2052="Realizado",L2052&lt;&gt;"",A2052&lt;=Config!$B$9),L2052/60,0)</f>
        <v>0</v>
      </c>
      <c r="S2052" s="45">
        <f>IF(G2052="","",IFERROR(INDEX(Config!$K$5:$K$16,MATCH(G2052,Config!$J$5:$J$16,0)),""))</f>
        <v/>
      </c>
      <c r="T2052" s="31">
        <f>IF(OR(G2052="",F2052=""),"",IFERROR(INDEX(Config!$M$5:$R$16,MATCH(G2052,Config!$J$5:$J$16,0),MATCH(F2052,Config!$H$5:$H$10,0)),""))</f>
        <v/>
      </c>
      <c r="U2052" s="47">
        <f>IF(AND(H2052="Realizado",L2052&lt;&gt;""),L2052/60,0)</f>
        <v>0</v>
      </c>
      <c r="V2052" s="47">
        <f>IF(AND(H2052="Realizado",OR(L2052="",M2052="")),1,0)</f>
        <v>0</v>
      </c>
    </row>
    <row r="2053">
      <c r="A2053" s="43" t="n"/>
      <c r="B2053" s="44" t="n"/>
      <c r="C2053" s="38" t="n"/>
      <c r="D2053" s="38" t="n"/>
      <c r="E2053" s="37" t="n"/>
      <c r="F2053" s="38" t="n"/>
      <c r="G2053" s="38" t="n"/>
      <c r="H2053" s="38" t="n"/>
      <c r="I2053" s="38" t="n"/>
      <c r="J2053" s="38" t="n"/>
      <c r="K2053" s="37" t="n"/>
      <c r="L2053" s="39" t="n"/>
      <c r="M2053" s="40" t="n"/>
      <c r="N2053" s="30">
        <f>IF(A2053="","",MONTH(A2053))</f>
        <v/>
      </c>
      <c r="O2053" s="30">
        <f>IF(A2053="","",YEAR(A2053))</f>
        <v/>
      </c>
      <c r="P2053" s="30">
        <f>IF(A2053="","",CHOOSE(WEEKDAY(A2053,2),"Segunda","Terça","Quarta","Quinta","Sexta","Sábado","Domingo"))</f>
        <v/>
      </c>
      <c r="Q2053" s="30">
        <f>IF(B2053="","",IF(B2053&lt;TIME(12,0,0),"Manhã",IF(B2053&lt;TIME(18,0,0),"Tarde","Noite")))</f>
        <v/>
      </c>
      <c r="R2053" s="46">
        <f>IF(AND(H2053="Realizado",L2053&lt;&gt;"",A2053&lt;=Config!$B$9),L2053/60,0)</f>
        <v>0</v>
      </c>
      <c r="S2053" s="45">
        <f>IF(G2053="","",IFERROR(INDEX(Config!$K$5:$K$16,MATCH(G2053,Config!$J$5:$J$16,0)),""))</f>
        <v/>
      </c>
      <c r="T2053" s="31">
        <f>IF(OR(G2053="",F2053=""),"",IFERROR(INDEX(Config!$M$5:$R$16,MATCH(G2053,Config!$J$5:$J$16,0),MATCH(F2053,Config!$H$5:$H$10,0)),""))</f>
        <v/>
      </c>
      <c r="U2053" s="47">
        <f>IF(AND(H2053="Realizado",L2053&lt;&gt;""),L2053/60,0)</f>
        <v>0</v>
      </c>
      <c r="V2053" s="47">
        <f>IF(AND(H2053="Realizado",OR(L2053="",M2053="")),1,0)</f>
        <v>0</v>
      </c>
    </row>
    <row r="2054">
      <c r="A2054" s="43" t="n"/>
      <c r="B2054" s="44" t="n"/>
      <c r="C2054" s="38" t="n"/>
      <c r="D2054" s="38" t="n"/>
      <c r="E2054" s="37" t="n"/>
      <c r="F2054" s="38" t="n"/>
      <c r="G2054" s="38" t="n"/>
      <c r="H2054" s="38" t="n"/>
      <c r="I2054" s="38" t="n"/>
      <c r="J2054" s="38" t="n"/>
      <c r="K2054" s="37" t="n"/>
      <c r="L2054" s="39" t="n"/>
      <c r="M2054" s="40" t="n"/>
      <c r="N2054" s="30">
        <f>IF(A2054="","",MONTH(A2054))</f>
        <v/>
      </c>
      <c r="O2054" s="30">
        <f>IF(A2054="","",YEAR(A2054))</f>
        <v/>
      </c>
      <c r="P2054" s="30">
        <f>IF(A2054="","",CHOOSE(WEEKDAY(A2054,2),"Segunda","Terça","Quarta","Quinta","Sexta","Sábado","Domingo"))</f>
        <v/>
      </c>
      <c r="Q2054" s="30">
        <f>IF(B2054="","",IF(B2054&lt;TIME(12,0,0),"Manhã",IF(B2054&lt;TIME(18,0,0),"Tarde","Noite")))</f>
        <v/>
      </c>
      <c r="R2054" s="46">
        <f>IF(AND(H2054="Realizado",L2054&lt;&gt;"",A2054&lt;=Config!$B$9),L2054/60,0)</f>
        <v>0</v>
      </c>
      <c r="S2054" s="45">
        <f>IF(G2054="","",IFERROR(INDEX(Config!$K$5:$K$16,MATCH(G2054,Config!$J$5:$J$16,0)),""))</f>
        <v/>
      </c>
      <c r="T2054" s="31">
        <f>IF(OR(G2054="",F2054=""),"",IFERROR(INDEX(Config!$M$5:$R$16,MATCH(G2054,Config!$J$5:$J$16,0),MATCH(F2054,Config!$H$5:$H$10,0)),""))</f>
        <v/>
      </c>
      <c r="U2054" s="47">
        <f>IF(AND(H2054="Realizado",L2054&lt;&gt;""),L2054/60,0)</f>
        <v>0</v>
      </c>
      <c r="V2054" s="47">
        <f>IF(AND(H2054="Realizado",OR(L2054="",M2054="")),1,0)</f>
        <v>0</v>
      </c>
    </row>
    <row r="2055">
      <c r="A2055" s="43" t="n"/>
      <c r="B2055" s="44" t="n"/>
      <c r="C2055" s="38" t="n"/>
      <c r="D2055" s="38" t="n"/>
      <c r="E2055" s="37" t="n"/>
      <c r="F2055" s="38" t="n"/>
      <c r="G2055" s="38" t="n"/>
      <c r="H2055" s="38" t="n"/>
      <c r="I2055" s="38" t="n"/>
      <c r="J2055" s="38" t="n"/>
      <c r="K2055" s="37" t="n"/>
      <c r="L2055" s="39" t="n"/>
      <c r="M2055" s="40" t="n"/>
      <c r="N2055" s="30">
        <f>IF(A2055="","",MONTH(A2055))</f>
        <v/>
      </c>
      <c r="O2055" s="30">
        <f>IF(A2055="","",YEAR(A2055))</f>
        <v/>
      </c>
      <c r="P2055" s="30">
        <f>IF(A2055="","",CHOOSE(WEEKDAY(A2055,2),"Segunda","Terça","Quarta","Quinta","Sexta","Sábado","Domingo"))</f>
        <v/>
      </c>
      <c r="Q2055" s="30">
        <f>IF(B2055="","",IF(B2055&lt;TIME(12,0,0),"Manhã",IF(B2055&lt;TIME(18,0,0),"Tarde","Noite")))</f>
        <v/>
      </c>
      <c r="R2055" s="46">
        <f>IF(AND(H2055="Realizado",L2055&lt;&gt;"",A2055&lt;=Config!$B$9),L2055/60,0)</f>
        <v>0</v>
      </c>
      <c r="S2055" s="45">
        <f>IF(G2055="","",IFERROR(INDEX(Config!$K$5:$K$16,MATCH(G2055,Config!$J$5:$J$16,0)),""))</f>
        <v/>
      </c>
      <c r="T2055" s="31">
        <f>IF(OR(G2055="",F2055=""),"",IFERROR(INDEX(Config!$M$5:$R$16,MATCH(G2055,Config!$J$5:$J$16,0),MATCH(F2055,Config!$H$5:$H$10,0)),""))</f>
        <v/>
      </c>
      <c r="U2055" s="47">
        <f>IF(AND(H2055="Realizado",L2055&lt;&gt;""),L2055/60,0)</f>
        <v>0</v>
      </c>
      <c r="V2055" s="47">
        <f>IF(AND(H2055="Realizado",OR(L2055="",M2055="")),1,0)</f>
        <v>0</v>
      </c>
    </row>
    <row r="2056">
      <c r="A2056" s="43" t="n"/>
      <c r="B2056" s="44" t="n"/>
      <c r="C2056" s="38" t="n"/>
      <c r="D2056" s="38" t="n"/>
      <c r="E2056" s="37" t="n"/>
      <c r="F2056" s="38" t="n"/>
      <c r="G2056" s="38" t="n"/>
      <c r="H2056" s="38" t="n"/>
      <c r="I2056" s="38" t="n"/>
      <c r="J2056" s="38" t="n"/>
      <c r="K2056" s="37" t="n"/>
      <c r="L2056" s="39" t="n"/>
      <c r="M2056" s="40" t="n"/>
      <c r="N2056" s="30">
        <f>IF(A2056="","",MONTH(A2056))</f>
        <v/>
      </c>
      <c r="O2056" s="30">
        <f>IF(A2056="","",YEAR(A2056))</f>
        <v/>
      </c>
      <c r="P2056" s="30">
        <f>IF(A2056="","",CHOOSE(WEEKDAY(A2056,2),"Segunda","Terça","Quarta","Quinta","Sexta","Sábado","Domingo"))</f>
        <v/>
      </c>
      <c r="Q2056" s="30">
        <f>IF(B2056="","",IF(B2056&lt;TIME(12,0,0),"Manhã",IF(B2056&lt;TIME(18,0,0),"Tarde","Noite")))</f>
        <v/>
      </c>
      <c r="R2056" s="46">
        <f>IF(AND(H2056="Realizado",L2056&lt;&gt;"",A2056&lt;=Config!$B$9),L2056/60,0)</f>
        <v>0</v>
      </c>
      <c r="S2056" s="45">
        <f>IF(G2056="","",IFERROR(INDEX(Config!$K$5:$K$16,MATCH(G2056,Config!$J$5:$J$16,0)),""))</f>
        <v/>
      </c>
      <c r="T2056" s="31">
        <f>IF(OR(G2056="",F2056=""),"",IFERROR(INDEX(Config!$M$5:$R$16,MATCH(G2056,Config!$J$5:$J$16,0),MATCH(F2056,Config!$H$5:$H$10,0)),""))</f>
        <v/>
      </c>
      <c r="U2056" s="47">
        <f>IF(AND(H2056="Realizado",L2056&lt;&gt;""),L2056/60,0)</f>
        <v>0</v>
      </c>
      <c r="V2056" s="47">
        <f>IF(AND(H2056="Realizado",OR(L2056="",M2056="")),1,0)</f>
        <v>0</v>
      </c>
    </row>
    <row r="2057">
      <c r="A2057" s="43" t="n"/>
      <c r="B2057" s="44" t="n"/>
      <c r="C2057" s="38" t="n"/>
      <c r="D2057" s="38" t="n"/>
      <c r="E2057" s="37" t="n"/>
      <c r="F2057" s="38" t="n"/>
      <c r="G2057" s="38" t="n"/>
      <c r="H2057" s="38" t="n"/>
      <c r="I2057" s="38" t="n"/>
      <c r="J2057" s="38" t="n"/>
      <c r="K2057" s="37" t="n"/>
      <c r="L2057" s="39" t="n"/>
      <c r="M2057" s="40" t="n"/>
      <c r="N2057" s="30">
        <f>IF(A2057="","",MONTH(A2057))</f>
        <v/>
      </c>
      <c r="O2057" s="30">
        <f>IF(A2057="","",YEAR(A2057))</f>
        <v/>
      </c>
      <c r="P2057" s="30">
        <f>IF(A2057="","",CHOOSE(WEEKDAY(A2057,2),"Segunda","Terça","Quarta","Quinta","Sexta","Sábado","Domingo"))</f>
        <v/>
      </c>
      <c r="Q2057" s="30">
        <f>IF(B2057="","",IF(B2057&lt;TIME(12,0,0),"Manhã",IF(B2057&lt;TIME(18,0,0),"Tarde","Noite")))</f>
        <v/>
      </c>
      <c r="R2057" s="46">
        <f>IF(AND(H2057="Realizado",L2057&lt;&gt;"",A2057&lt;=Config!$B$9),L2057/60,0)</f>
        <v>0</v>
      </c>
      <c r="S2057" s="45">
        <f>IF(G2057="","",IFERROR(INDEX(Config!$K$5:$K$16,MATCH(G2057,Config!$J$5:$J$16,0)),""))</f>
        <v/>
      </c>
      <c r="T2057" s="31">
        <f>IF(OR(G2057="",F2057=""),"",IFERROR(INDEX(Config!$M$5:$R$16,MATCH(G2057,Config!$J$5:$J$16,0),MATCH(F2057,Config!$H$5:$H$10,0)),""))</f>
        <v/>
      </c>
      <c r="U2057" s="47">
        <f>IF(AND(H2057="Realizado",L2057&lt;&gt;""),L2057/60,0)</f>
        <v>0</v>
      </c>
      <c r="V2057" s="47">
        <f>IF(AND(H2057="Realizado",OR(L2057="",M2057="")),1,0)</f>
        <v>0</v>
      </c>
    </row>
    <row r="2058">
      <c r="A2058" s="43" t="n"/>
      <c r="B2058" s="44" t="n"/>
      <c r="C2058" s="38" t="n"/>
      <c r="D2058" s="38" t="n"/>
      <c r="E2058" s="37" t="n"/>
      <c r="F2058" s="38" t="n"/>
      <c r="G2058" s="38" t="n"/>
      <c r="H2058" s="38" t="n"/>
      <c r="I2058" s="38" t="n"/>
      <c r="J2058" s="38" t="n"/>
      <c r="K2058" s="37" t="n"/>
      <c r="L2058" s="39" t="n"/>
      <c r="M2058" s="40" t="n"/>
      <c r="N2058" s="30">
        <f>IF(A2058="","",MONTH(A2058))</f>
        <v/>
      </c>
      <c r="O2058" s="30">
        <f>IF(A2058="","",YEAR(A2058))</f>
        <v/>
      </c>
      <c r="P2058" s="30">
        <f>IF(A2058="","",CHOOSE(WEEKDAY(A2058,2),"Segunda","Terça","Quarta","Quinta","Sexta","Sábado","Domingo"))</f>
        <v/>
      </c>
      <c r="Q2058" s="30">
        <f>IF(B2058="","",IF(B2058&lt;TIME(12,0,0),"Manhã",IF(B2058&lt;TIME(18,0,0),"Tarde","Noite")))</f>
        <v/>
      </c>
      <c r="R2058" s="46">
        <f>IF(AND(H2058="Realizado",L2058&lt;&gt;"",A2058&lt;=Config!$B$9),L2058/60,0)</f>
        <v>0</v>
      </c>
      <c r="S2058" s="45">
        <f>IF(G2058="","",IFERROR(INDEX(Config!$K$5:$K$16,MATCH(G2058,Config!$J$5:$J$16,0)),""))</f>
        <v/>
      </c>
      <c r="T2058" s="31">
        <f>IF(OR(G2058="",F2058=""),"",IFERROR(INDEX(Config!$M$5:$R$16,MATCH(G2058,Config!$J$5:$J$16,0),MATCH(F2058,Config!$H$5:$H$10,0)),""))</f>
        <v/>
      </c>
      <c r="U2058" s="47">
        <f>IF(AND(H2058="Realizado",L2058&lt;&gt;""),L2058/60,0)</f>
        <v>0</v>
      </c>
      <c r="V2058" s="47">
        <f>IF(AND(H2058="Realizado",OR(L2058="",M2058="")),1,0)</f>
        <v>0</v>
      </c>
    </row>
    <row r="2059">
      <c r="A2059" s="43" t="n"/>
      <c r="B2059" s="44" t="n"/>
      <c r="C2059" s="38" t="n"/>
      <c r="D2059" s="38" t="n"/>
      <c r="E2059" s="37" t="n"/>
      <c r="F2059" s="38" t="n"/>
      <c r="G2059" s="38" t="n"/>
      <c r="H2059" s="38" t="n"/>
      <c r="I2059" s="38" t="n"/>
      <c r="J2059" s="38" t="n"/>
      <c r="K2059" s="37" t="n"/>
      <c r="L2059" s="39" t="n"/>
      <c r="M2059" s="40" t="n"/>
      <c r="N2059" s="30">
        <f>IF(A2059="","",MONTH(A2059))</f>
        <v/>
      </c>
      <c r="O2059" s="30">
        <f>IF(A2059="","",YEAR(A2059))</f>
        <v/>
      </c>
      <c r="P2059" s="30">
        <f>IF(A2059="","",CHOOSE(WEEKDAY(A2059,2),"Segunda","Terça","Quarta","Quinta","Sexta","Sábado","Domingo"))</f>
        <v/>
      </c>
      <c r="Q2059" s="30">
        <f>IF(B2059="","",IF(B2059&lt;TIME(12,0,0),"Manhã",IF(B2059&lt;TIME(18,0,0),"Tarde","Noite")))</f>
        <v/>
      </c>
      <c r="R2059" s="46">
        <f>IF(AND(H2059="Realizado",L2059&lt;&gt;"",A2059&lt;=Config!$B$9),L2059/60,0)</f>
        <v>0</v>
      </c>
      <c r="S2059" s="45">
        <f>IF(G2059="","",IFERROR(INDEX(Config!$K$5:$K$16,MATCH(G2059,Config!$J$5:$J$16,0)),""))</f>
        <v/>
      </c>
      <c r="T2059" s="31">
        <f>IF(OR(G2059="",F2059=""),"",IFERROR(INDEX(Config!$M$5:$R$16,MATCH(G2059,Config!$J$5:$J$16,0),MATCH(F2059,Config!$H$5:$H$10,0)),""))</f>
        <v/>
      </c>
      <c r="U2059" s="47">
        <f>IF(AND(H2059="Realizado",L2059&lt;&gt;""),L2059/60,0)</f>
        <v>0</v>
      </c>
      <c r="V2059" s="47">
        <f>IF(AND(H2059="Realizado",OR(L2059="",M2059="")),1,0)</f>
        <v>0</v>
      </c>
    </row>
    <row r="2060">
      <c r="A2060" s="43" t="n"/>
      <c r="B2060" s="44" t="n"/>
      <c r="C2060" s="38" t="n"/>
      <c r="D2060" s="38" t="n"/>
      <c r="E2060" s="37" t="n"/>
      <c r="F2060" s="38" t="n"/>
      <c r="G2060" s="38" t="n"/>
      <c r="H2060" s="38" t="n"/>
      <c r="I2060" s="38" t="n"/>
      <c r="J2060" s="38" t="n"/>
      <c r="K2060" s="37" t="n"/>
      <c r="L2060" s="39" t="n"/>
      <c r="M2060" s="40" t="n"/>
      <c r="N2060" s="30">
        <f>IF(A2060="","",MONTH(A2060))</f>
        <v/>
      </c>
      <c r="O2060" s="30">
        <f>IF(A2060="","",YEAR(A2060))</f>
        <v/>
      </c>
      <c r="P2060" s="30">
        <f>IF(A2060="","",CHOOSE(WEEKDAY(A2060,2),"Segunda","Terça","Quarta","Quinta","Sexta","Sábado","Domingo"))</f>
        <v/>
      </c>
      <c r="Q2060" s="30">
        <f>IF(B2060="","",IF(B2060&lt;TIME(12,0,0),"Manhã",IF(B2060&lt;TIME(18,0,0),"Tarde","Noite")))</f>
        <v/>
      </c>
      <c r="R2060" s="46">
        <f>IF(AND(H2060="Realizado",L2060&lt;&gt;"",A2060&lt;=Config!$B$9),L2060/60,0)</f>
        <v>0</v>
      </c>
      <c r="S2060" s="45">
        <f>IF(G2060="","",IFERROR(INDEX(Config!$K$5:$K$16,MATCH(G2060,Config!$J$5:$J$16,0)),""))</f>
        <v/>
      </c>
      <c r="T2060" s="31">
        <f>IF(OR(G2060="",F2060=""),"",IFERROR(INDEX(Config!$M$5:$R$16,MATCH(G2060,Config!$J$5:$J$16,0),MATCH(F2060,Config!$H$5:$H$10,0)),""))</f>
        <v/>
      </c>
      <c r="U2060" s="47">
        <f>IF(AND(H2060="Realizado",L2060&lt;&gt;""),L2060/60,0)</f>
        <v>0</v>
      </c>
      <c r="V2060" s="47">
        <f>IF(AND(H2060="Realizado",OR(L2060="",M2060="")),1,0)</f>
        <v>0</v>
      </c>
    </row>
    <row r="2061">
      <c r="A2061" s="43" t="n"/>
      <c r="B2061" s="44" t="n"/>
      <c r="C2061" s="38" t="n"/>
      <c r="D2061" s="38" t="n"/>
      <c r="E2061" s="37" t="n"/>
      <c r="F2061" s="38" t="n"/>
      <c r="G2061" s="38" t="n"/>
      <c r="H2061" s="38" t="n"/>
      <c r="I2061" s="38" t="n"/>
      <c r="J2061" s="38" t="n"/>
      <c r="K2061" s="37" t="n"/>
      <c r="L2061" s="39" t="n"/>
      <c r="M2061" s="40" t="n"/>
      <c r="N2061" s="30">
        <f>IF(A2061="","",MONTH(A2061))</f>
        <v/>
      </c>
      <c r="O2061" s="30">
        <f>IF(A2061="","",YEAR(A2061))</f>
        <v/>
      </c>
      <c r="P2061" s="30">
        <f>IF(A2061="","",CHOOSE(WEEKDAY(A2061,2),"Segunda","Terça","Quarta","Quinta","Sexta","Sábado","Domingo"))</f>
        <v/>
      </c>
      <c r="Q2061" s="30">
        <f>IF(B2061="","",IF(B2061&lt;TIME(12,0,0),"Manhã",IF(B2061&lt;TIME(18,0,0),"Tarde","Noite")))</f>
        <v/>
      </c>
      <c r="R2061" s="46">
        <f>IF(AND(H2061="Realizado",L2061&lt;&gt;"",A2061&lt;=Config!$B$9),L2061/60,0)</f>
        <v>0</v>
      </c>
      <c r="S2061" s="45">
        <f>IF(G2061="","",IFERROR(INDEX(Config!$K$5:$K$16,MATCH(G2061,Config!$J$5:$J$16,0)),""))</f>
        <v/>
      </c>
      <c r="T2061" s="31">
        <f>IF(OR(G2061="",F2061=""),"",IFERROR(INDEX(Config!$M$5:$R$16,MATCH(G2061,Config!$J$5:$J$16,0),MATCH(F2061,Config!$H$5:$H$10,0)),""))</f>
        <v/>
      </c>
      <c r="U2061" s="47">
        <f>IF(AND(H2061="Realizado",L2061&lt;&gt;""),L2061/60,0)</f>
        <v>0</v>
      </c>
      <c r="V2061" s="47">
        <f>IF(AND(H2061="Realizado",OR(L2061="",M2061="")),1,0)</f>
        <v>0</v>
      </c>
    </row>
    <row r="2062">
      <c r="A2062" s="43" t="n"/>
      <c r="B2062" s="44" t="n"/>
      <c r="C2062" s="38" t="n"/>
      <c r="D2062" s="38" t="n"/>
      <c r="E2062" s="37" t="n"/>
      <c r="F2062" s="38" t="n"/>
      <c r="G2062" s="38" t="n"/>
      <c r="H2062" s="38" t="n"/>
      <c r="I2062" s="38" t="n"/>
      <c r="J2062" s="38" t="n"/>
      <c r="K2062" s="37" t="n"/>
      <c r="L2062" s="39" t="n"/>
      <c r="M2062" s="40" t="n"/>
      <c r="N2062" s="30">
        <f>IF(A2062="","",MONTH(A2062))</f>
        <v/>
      </c>
      <c r="O2062" s="30">
        <f>IF(A2062="","",YEAR(A2062))</f>
        <v/>
      </c>
      <c r="P2062" s="30">
        <f>IF(A2062="","",CHOOSE(WEEKDAY(A2062,2),"Segunda","Terça","Quarta","Quinta","Sexta","Sábado","Domingo"))</f>
        <v/>
      </c>
      <c r="Q2062" s="30">
        <f>IF(B2062="","",IF(B2062&lt;TIME(12,0,0),"Manhã",IF(B2062&lt;TIME(18,0,0),"Tarde","Noite")))</f>
        <v/>
      </c>
      <c r="R2062" s="46">
        <f>IF(AND(H2062="Realizado",L2062&lt;&gt;"",A2062&lt;=Config!$B$9),L2062/60,0)</f>
        <v>0</v>
      </c>
      <c r="S2062" s="45">
        <f>IF(G2062="","",IFERROR(INDEX(Config!$K$5:$K$16,MATCH(G2062,Config!$J$5:$J$16,0)),""))</f>
        <v/>
      </c>
      <c r="T2062" s="31">
        <f>IF(OR(G2062="",F2062=""),"",IFERROR(INDEX(Config!$M$5:$R$16,MATCH(G2062,Config!$J$5:$J$16,0),MATCH(F2062,Config!$H$5:$H$10,0)),""))</f>
        <v/>
      </c>
      <c r="U2062" s="47">
        <f>IF(AND(H2062="Realizado",L2062&lt;&gt;""),L2062/60,0)</f>
        <v>0</v>
      </c>
      <c r="V2062" s="47">
        <f>IF(AND(H2062="Realizado",OR(L2062="",M2062="")),1,0)</f>
        <v>0</v>
      </c>
    </row>
    <row r="2063">
      <c r="A2063" s="43" t="n"/>
      <c r="B2063" s="44" t="n"/>
      <c r="C2063" s="38" t="n"/>
      <c r="D2063" s="38" t="n"/>
      <c r="E2063" s="37" t="n"/>
      <c r="F2063" s="38" t="n"/>
      <c r="G2063" s="38" t="n"/>
      <c r="H2063" s="38" t="n"/>
      <c r="I2063" s="38" t="n"/>
      <c r="J2063" s="38" t="n"/>
      <c r="K2063" s="37" t="n"/>
      <c r="L2063" s="39" t="n"/>
      <c r="M2063" s="40" t="n"/>
      <c r="N2063" s="30">
        <f>IF(A2063="","",MONTH(A2063))</f>
        <v/>
      </c>
      <c r="O2063" s="30">
        <f>IF(A2063="","",YEAR(A2063))</f>
        <v/>
      </c>
      <c r="P2063" s="30">
        <f>IF(A2063="","",CHOOSE(WEEKDAY(A2063,2),"Segunda","Terça","Quarta","Quinta","Sexta","Sábado","Domingo"))</f>
        <v/>
      </c>
      <c r="Q2063" s="30">
        <f>IF(B2063="","",IF(B2063&lt;TIME(12,0,0),"Manhã",IF(B2063&lt;TIME(18,0,0),"Tarde","Noite")))</f>
        <v/>
      </c>
      <c r="R2063" s="46">
        <f>IF(AND(H2063="Realizado",L2063&lt;&gt;"",A2063&lt;=Config!$B$9),L2063/60,0)</f>
        <v>0</v>
      </c>
      <c r="S2063" s="45">
        <f>IF(G2063="","",IFERROR(INDEX(Config!$K$5:$K$16,MATCH(G2063,Config!$J$5:$J$16,0)),""))</f>
        <v/>
      </c>
      <c r="T2063" s="31">
        <f>IF(OR(G2063="",F2063=""),"",IFERROR(INDEX(Config!$M$5:$R$16,MATCH(G2063,Config!$J$5:$J$16,0),MATCH(F2063,Config!$H$5:$H$10,0)),""))</f>
        <v/>
      </c>
      <c r="U2063" s="47">
        <f>IF(AND(H2063="Realizado",L2063&lt;&gt;""),L2063/60,0)</f>
        <v>0</v>
      </c>
      <c r="V2063" s="47">
        <f>IF(AND(H2063="Realizado",OR(L2063="",M2063="")),1,0)</f>
        <v>0</v>
      </c>
    </row>
    <row r="2064">
      <c r="A2064" s="43" t="n"/>
      <c r="B2064" s="44" t="n"/>
      <c r="C2064" s="38" t="n"/>
      <c r="D2064" s="38" t="n"/>
      <c r="E2064" s="37" t="n"/>
      <c r="F2064" s="38" t="n"/>
      <c r="G2064" s="38" t="n"/>
      <c r="H2064" s="38" t="n"/>
      <c r="I2064" s="38" t="n"/>
      <c r="J2064" s="38" t="n"/>
      <c r="K2064" s="37" t="n"/>
      <c r="L2064" s="39" t="n"/>
      <c r="M2064" s="40" t="n"/>
      <c r="N2064" s="30">
        <f>IF(A2064="","",MONTH(A2064))</f>
        <v/>
      </c>
      <c r="O2064" s="30">
        <f>IF(A2064="","",YEAR(A2064))</f>
        <v/>
      </c>
      <c r="P2064" s="30">
        <f>IF(A2064="","",CHOOSE(WEEKDAY(A2064,2),"Segunda","Terça","Quarta","Quinta","Sexta","Sábado","Domingo"))</f>
        <v/>
      </c>
      <c r="Q2064" s="30">
        <f>IF(B2064="","",IF(B2064&lt;TIME(12,0,0),"Manhã",IF(B2064&lt;TIME(18,0,0),"Tarde","Noite")))</f>
        <v/>
      </c>
      <c r="R2064" s="46">
        <f>IF(AND(H2064="Realizado",L2064&lt;&gt;"",A2064&lt;=Config!$B$9),L2064/60,0)</f>
        <v>0</v>
      </c>
      <c r="S2064" s="45">
        <f>IF(G2064="","",IFERROR(INDEX(Config!$K$5:$K$16,MATCH(G2064,Config!$J$5:$J$16,0)),""))</f>
        <v/>
      </c>
      <c r="T2064" s="31">
        <f>IF(OR(G2064="",F2064=""),"",IFERROR(INDEX(Config!$M$5:$R$16,MATCH(G2064,Config!$J$5:$J$16,0),MATCH(F2064,Config!$H$5:$H$10,0)),""))</f>
        <v/>
      </c>
      <c r="U2064" s="47">
        <f>IF(AND(H2064="Realizado",L2064&lt;&gt;""),L2064/60,0)</f>
        <v>0</v>
      </c>
      <c r="V2064" s="47">
        <f>IF(AND(H2064="Realizado",OR(L2064="",M2064="")),1,0)</f>
        <v>0</v>
      </c>
    </row>
    <row r="2065">
      <c r="A2065" s="43" t="n"/>
      <c r="B2065" s="44" t="n"/>
      <c r="C2065" s="38" t="n"/>
      <c r="D2065" s="38" t="n"/>
      <c r="E2065" s="37" t="n"/>
      <c r="F2065" s="38" t="n"/>
      <c r="G2065" s="38" t="n"/>
      <c r="H2065" s="38" t="n"/>
      <c r="I2065" s="38" t="n"/>
      <c r="J2065" s="38" t="n"/>
      <c r="K2065" s="37" t="n"/>
      <c r="L2065" s="39" t="n"/>
      <c r="M2065" s="40" t="n"/>
      <c r="N2065" s="30">
        <f>IF(A2065="","",MONTH(A2065))</f>
        <v/>
      </c>
      <c r="O2065" s="30">
        <f>IF(A2065="","",YEAR(A2065))</f>
        <v/>
      </c>
      <c r="P2065" s="30">
        <f>IF(A2065="","",CHOOSE(WEEKDAY(A2065,2),"Segunda","Terça","Quarta","Quinta","Sexta","Sábado","Domingo"))</f>
        <v/>
      </c>
      <c r="Q2065" s="30">
        <f>IF(B2065="","",IF(B2065&lt;TIME(12,0,0),"Manhã",IF(B2065&lt;TIME(18,0,0),"Tarde","Noite")))</f>
        <v/>
      </c>
      <c r="R2065" s="46">
        <f>IF(AND(H2065="Realizado",L2065&lt;&gt;"",A2065&lt;=Config!$B$9),L2065/60,0)</f>
        <v>0</v>
      </c>
      <c r="S2065" s="45">
        <f>IF(G2065="","",IFERROR(INDEX(Config!$K$5:$K$16,MATCH(G2065,Config!$J$5:$J$16,0)),""))</f>
        <v/>
      </c>
      <c r="T2065" s="31">
        <f>IF(OR(G2065="",F2065=""),"",IFERROR(INDEX(Config!$M$5:$R$16,MATCH(G2065,Config!$J$5:$J$16,0),MATCH(F2065,Config!$H$5:$H$10,0)),""))</f>
        <v/>
      </c>
      <c r="U2065" s="47">
        <f>IF(AND(H2065="Realizado",L2065&lt;&gt;""),L2065/60,0)</f>
        <v>0</v>
      </c>
      <c r="V2065" s="47">
        <f>IF(AND(H2065="Realizado",OR(L2065="",M2065="")),1,0)</f>
        <v>0</v>
      </c>
    </row>
    <row r="2066">
      <c r="A2066" s="43" t="n"/>
      <c r="B2066" s="44" t="n"/>
      <c r="C2066" s="38" t="n"/>
      <c r="D2066" s="38" t="n"/>
      <c r="E2066" s="37" t="n"/>
      <c r="F2066" s="38" t="n"/>
      <c r="G2066" s="38" t="n"/>
      <c r="H2066" s="38" t="n"/>
      <c r="I2066" s="38" t="n"/>
      <c r="J2066" s="38" t="n"/>
      <c r="K2066" s="37" t="n"/>
      <c r="L2066" s="39" t="n"/>
      <c r="M2066" s="40" t="n"/>
      <c r="N2066" s="30">
        <f>IF(A2066="","",MONTH(A2066))</f>
        <v/>
      </c>
      <c r="O2066" s="30">
        <f>IF(A2066="","",YEAR(A2066))</f>
        <v/>
      </c>
      <c r="P2066" s="30">
        <f>IF(A2066="","",CHOOSE(WEEKDAY(A2066,2),"Segunda","Terça","Quarta","Quinta","Sexta","Sábado","Domingo"))</f>
        <v/>
      </c>
      <c r="Q2066" s="30">
        <f>IF(B2066="","",IF(B2066&lt;TIME(12,0,0),"Manhã",IF(B2066&lt;TIME(18,0,0),"Tarde","Noite")))</f>
        <v/>
      </c>
      <c r="R2066" s="46">
        <f>IF(AND(H2066="Realizado",L2066&lt;&gt;"",A2066&lt;=Config!$B$9),L2066/60,0)</f>
        <v>0</v>
      </c>
      <c r="S2066" s="45">
        <f>IF(G2066="","",IFERROR(INDEX(Config!$K$5:$K$16,MATCH(G2066,Config!$J$5:$J$16,0)),""))</f>
        <v/>
      </c>
      <c r="T2066" s="31">
        <f>IF(OR(G2066="",F2066=""),"",IFERROR(INDEX(Config!$M$5:$R$16,MATCH(G2066,Config!$J$5:$J$16,0),MATCH(F2066,Config!$H$5:$H$10,0)),""))</f>
        <v/>
      </c>
      <c r="U2066" s="47">
        <f>IF(AND(H2066="Realizado",L2066&lt;&gt;""),L2066/60,0)</f>
        <v>0</v>
      </c>
      <c r="V2066" s="47">
        <f>IF(AND(H2066="Realizado",OR(L2066="",M2066="")),1,0)</f>
        <v>0</v>
      </c>
    </row>
    <row r="2067">
      <c r="A2067" s="43" t="n"/>
      <c r="B2067" s="44" t="n"/>
      <c r="C2067" s="38" t="n"/>
      <c r="D2067" s="38" t="n"/>
      <c r="E2067" s="37" t="n"/>
      <c r="F2067" s="38" t="n"/>
      <c r="G2067" s="38" t="n"/>
      <c r="H2067" s="38" t="n"/>
      <c r="I2067" s="38" t="n"/>
      <c r="J2067" s="38" t="n"/>
      <c r="K2067" s="37" t="n"/>
      <c r="L2067" s="39" t="n"/>
      <c r="M2067" s="40" t="n"/>
      <c r="N2067" s="30">
        <f>IF(A2067="","",MONTH(A2067))</f>
        <v/>
      </c>
      <c r="O2067" s="30">
        <f>IF(A2067="","",YEAR(A2067))</f>
        <v/>
      </c>
      <c r="P2067" s="30">
        <f>IF(A2067="","",CHOOSE(WEEKDAY(A2067,2),"Segunda","Terça","Quarta","Quinta","Sexta","Sábado","Domingo"))</f>
        <v/>
      </c>
      <c r="Q2067" s="30">
        <f>IF(B2067="","",IF(B2067&lt;TIME(12,0,0),"Manhã",IF(B2067&lt;TIME(18,0,0),"Tarde","Noite")))</f>
        <v/>
      </c>
      <c r="R2067" s="46">
        <f>IF(AND(H2067="Realizado",L2067&lt;&gt;"",A2067&lt;=Config!$B$9),L2067/60,0)</f>
        <v>0</v>
      </c>
      <c r="S2067" s="45">
        <f>IF(G2067="","",IFERROR(INDEX(Config!$K$5:$K$16,MATCH(G2067,Config!$J$5:$J$16,0)),""))</f>
        <v/>
      </c>
      <c r="T2067" s="31">
        <f>IF(OR(G2067="",F2067=""),"",IFERROR(INDEX(Config!$M$5:$R$16,MATCH(G2067,Config!$J$5:$J$16,0),MATCH(F2067,Config!$H$5:$H$10,0)),""))</f>
        <v/>
      </c>
      <c r="U2067" s="47">
        <f>IF(AND(H2067="Realizado",L2067&lt;&gt;""),L2067/60,0)</f>
        <v>0</v>
      </c>
      <c r="V2067" s="47">
        <f>IF(AND(H2067="Realizado",OR(L2067="",M2067="")),1,0)</f>
        <v>0</v>
      </c>
    </row>
    <row r="2068">
      <c r="A2068" s="43" t="n"/>
      <c r="B2068" s="44" t="n"/>
      <c r="C2068" s="38" t="n"/>
      <c r="D2068" s="38" t="n"/>
      <c r="E2068" s="37" t="n"/>
      <c r="F2068" s="38" t="n"/>
      <c r="G2068" s="38" t="n"/>
      <c r="H2068" s="38" t="n"/>
      <c r="I2068" s="38" t="n"/>
      <c r="J2068" s="38" t="n"/>
      <c r="K2068" s="37" t="n"/>
      <c r="L2068" s="39" t="n"/>
      <c r="M2068" s="40" t="n"/>
      <c r="N2068" s="30">
        <f>IF(A2068="","",MONTH(A2068))</f>
        <v/>
      </c>
      <c r="O2068" s="30">
        <f>IF(A2068="","",YEAR(A2068))</f>
        <v/>
      </c>
      <c r="P2068" s="30">
        <f>IF(A2068="","",CHOOSE(WEEKDAY(A2068,2),"Segunda","Terça","Quarta","Quinta","Sexta","Sábado","Domingo"))</f>
        <v/>
      </c>
      <c r="Q2068" s="30">
        <f>IF(B2068="","",IF(B2068&lt;TIME(12,0,0),"Manhã",IF(B2068&lt;TIME(18,0,0),"Tarde","Noite")))</f>
        <v/>
      </c>
      <c r="R2068" s="46">
        <f>IF(AND(H2068="Realizado",L2068&lt;&gt;"",A2068&lt;=Config!$B$9),L2068/60,0)</f>
        <v>0</v>
      </c>
      <c r="S2068" s="45">
        <f>IF(G2068="","",IFERROR(INDEX(Config!$K$5:$K$16,MATCH(G2068,Config!$J$5:$J$16,0)),""))</f>
        <v/>
      </c>
      <c r="T2068" s="31">
        <f>IF(OR(G2068="",F2068=""),"",IFERROR(INDEX(Config!$M$5:$R$16,MATCH(G2068,Config!$J$5:$J$16,0),MATCH(F2068,Config!$H$5:$H$10,0)),""))</f>
        <v/>
      </c>
      <c r="U2068" s="47">
        <f>IF(AND(H2068="Realizado",L2068&lt;&gt;""),L2068/60,0)</f>
        <v>0</v>
      </c>
      <c r="V2068" s="47">
        <f>IF(AND(H2068="Realizado",OR(L2068="",M2068="")),1,0)</f>
        <v>0</v>
      </c>
    </row>
    <row r="2069">
      <c r="A2069" s="43" t="n"/>
      <c r="B2069" s="44" t="n"/>
      <c r="C2069" s="38" t="n"/>
      <c r="D2069" s="38" t="n"/>
      <c r="E2069" s="37" t="n"/>
      <c r="F2069" s="38" t="n"/>
      <c r="G2069" s="38" t="n"/>
      <c r="H2069" s="38" t="n"/>
      <c r="I2069" s="38" t="n"/>
      <c r="J2069" s="38" t="n"/>
      <c r="K2069" s="37" t="n"/>
      <c r="L2069" s="39" t="n"/>
      <c r="M2069" s="40" t="n"/>
      <c r="N2069" s="30">
        <f>IF(A2069="","",MONTH(A2069))</f>
        <v/>
      </c>
      <c r="O2069" s="30">
        <f>IF(A2069="","",YEAR(A2069))</f>
        <v/>
      </c>
      <c r="P2069" s="30">
        <f>IF(A2069="","",CHOOSE(WEEKDAY(A2069,2),"Segunda","Terça","Quarta","Quinta","Sexta","Sábado","Domingo"))</f>
        <v/>
      </c>
      <c r="Q2069" s="30">
        <f>IF(B2069="","",IF(B2069&lt;TIME(12,0,0),"Manhã",IF(B2069&lt;TIME(18,0,0),"Tarde","Noite")))</f>
        <v/>
      </c>
      <c r="R2069" s="46">
        <f>IF(AND(H2069="Realizado",L2069&lt;&gt;"",A2069&lt;=Config!$B$9),L2069/60,0)</f>
        <v>0</v>
      </c>
      <c r="S2069" s="45">
        <f>IF(G2069="","",IFERROR(INDEX(Config!$K$5:$K$16,MATCH(G2069,Config!$J$5:$J$16,0)),""))</f>
        <v/>
      </c>
      <c r="T2069" s="31">
        <f>IF(OR(G2069="",F2069=""),"",IFERROR(INDEX(Config!$M$5:$R$16,MATCH(G2069,Config!$J$5:$J$16,0),MATCH(F2069,Config!$H$5:$H$10,0)),""))</f>
        <v/>
      </c>
      <c r="U2069" s="47">
        <f>IF(AND(H2069="Realizado",L2069&lt;&gt;""),L2069/60,0)</f>
        <v>0</v>
      </c>
      <c r="V2069" s="47">
        <f>IF(AND(H2069="Realizado",OR(L2069="",M2069="")),1,0)</f>
        <v>0</v>
      </c>
    </row>
    <row r="2070">
      <c r="A2070" s="43" t="n"/>
      <c r="B2070" s="44" t="n"/>
      <c r="C2070" s="38" t="n"/>
      <c r="D2070" s="38" t="n"/>
      <c r="E2070" s="37" t="n"/>
      <c r="F2070" s="38" t="n"/>
      <c r="G2070" s="38" t="n"/>
      <c r="H2070" s="38" t="n"/>
      <c r="I2070" s="38" t="n"/>
      <c r="J2070" s="38" t="n"/>
      <c r="K2070" s="37" t="n"/>
      <c r="L2070" s="39" t="n"/>
      <c r="M2070" s="40" t="n"/>
      <c r="N2070" s="30">
        <f>IF(A2070="","",MONTH(A2070))</f>
        <v/>
      </c>
      <c r="O2070" s="30">
        <f>IF(A2070="","",YEAR(A2070))</f>
        <v/>
      </c>
      <c r="P2070" s="30">
        <f>IF(A2070="","",CHOOSE(WEEKDAY(A2070,2),"Segunda","Terça","Quarta","Quinta","Sexta","Sábado","Domingo"))</f>
        <v/>
      </c>
      <c r="Q2070" s="30">
        <f>IF(B2070="","",IF(B2070&lt;TIME(12,0,0),"Manhã",IF(B2070&lt;TIME(18,0,0),"Tarde","Noite")))</f>
        <v/>
      </c>
      <c r="R2070" s="46">
        <f>IF(AND(H2070="Realizado",L2070&lt;&gt;"",A2070&lt;=Config!$B$9),L2070/60,0)</f>
        <v>0</v>
      </c>
      <c r="S2070" s="45">
        <f>IF(G2070="","",IFERROR(INDEX(Config!$K$5:$K$16,MATCH(G2070,Config!$J$5:$J$16,0)),""))</f>
        <v/>
      </c>
      <c r="T2070" s="31">
        <f>IF(OR(G2070="",F2070=""),"",IFERROR(INDEX(Config!$M$5:$R$16,MATCH(G2070,Config!$J$5:$J$16,0),MATCH(F2070,Config!$H$5:$H$10,0)),""))</f>
        <v/>
      </c>
      <c r="U2070" s="47">
        <f>IF(AND(H2070="Realizado",L2070&lt;&gt;""),L2070/60,0)</f>
        <v>0</v>
      </c>
      <c r="V2070" s="47">
        <f>IF(AND(H2070="Realizado",OR(L2070="",M2070="")),1,0)</f>
        <v>0</v>
      </c>
    </row>
    <row r="2071">
      <c r="A2071" s="43" t="n"/>
      <c r="B2071" s="44" t="n"/>
      <c r="C2071" s="38" t="n"/>
      <c r="D2071" s="38" t="n"/>
      <c r="E2071" s="37" t="n"/>
      <c r="F2071" s="38" t="n"/>
      <c r="G2071" s="38" t="n"/>
      <c r="H2071" s="38" t="n"/>
      <c r="I2071" s="38" t="n"/>
      <c r="J2071" s="38" t="n"/>
      <c r="K2071" s="37" t="n"/>
      <c r="L2071" s="39" t="n"/>
      <c r="M2071" s="40" t="n"/>
      <c r="N2071" s="30">
        <f>IF(A2071="","",MONTH(A2071))</f>
        <v/>
      </c>
      <c r="O2071" s="30">
        <f>IF(A2071="","",YEAR(A2071))</f>
        <v/>
      </c>
      <c r="P2071" s="30">
        <f>IF(A2071="","",CHOOSE(WEEKDAY(A2071,2),"Segunda","Terça","Quarta","Quinta","Sexta","Sábado","Domingo"))</f>
        <v/>
      </c>
      <c r="Q2071" s="30">
        <f>IF(B2071="","",IF(B2071&lt;TIME(12,0,0),"Manhã",IF(B2071&lt;TIME(18,0,0),"Tarde","Noite")))</f>
        <v/>
      </c>
      <c r="R2071" s="46">
        <f>IF(AND(H2071="Realizado",L2071&lt;&gt;"",A2071&lt;=Config!$B$9),L2071/60,0)</f>
        <v>0</v>
      </c>
      <c r="S2071" s="45">
        <f>IF(G2071="","",IFERROR(INDEX(Config!$K$5:$K$16,MATCH(G2071,Config!$J$5:$J$16,0)),""))</f>
        <v/>
      </c>
      <c r="T2071" s="31">
        <f>IF(OR(G2071="",F2071=""),"",IFERROR(INDEX(Config!$M$5:$R$16,MATCH(G2071,Config!$J$5:$J$16,0),MATCH(F2071,Config!$H$5:$H$10,0)),""))</f>
        <v/>
      </c>
      <c r="U2071" s="47">
        <f>IF(AND(H2071="Realizado",L2071&lt;&gt;""),L2071/60,0)</f>
        <v>0</v>
      </c>
      <c r="V2071" s="47">
        <f>IF(AND(H2071="Realizado",OR(L2071="",M2071="")),1,0)</f>
        <v>0</v>
      </c>
    </row>
    <row r="2072">
      <c r="A2072" s="43" t="n"/>
      <c r="B2072" s="44" t="n"/>
      <c r="C2072" s="38" t="n"/>
      <c r="D2072" s="38" t="n"/>
      <c r="E2072" s="37" t="n"/>
      <c r="F2072" s="38" t="n"/>
      <c r="G2072" s="38" t="n"/>
      <c r="H2072" s="38" t="n"/>
      <c r="I2072" s="38" t="n"/>
      <c r="J2072" s="38" t="n"/>
      <c r="K2072" s="37" t="n"/>
      <c r="L2072" s="39" t="n"/>
      <c r="M2072" s="40" t="n"/>
      <c r="N2072" s="30">
        <f>IF(A2072="","",MONTH(A2072))</f>
        <v/>
      </c>
      <c r="O2072" s="30">
        <f>IF(A2072="","",YEAR(A2072))</f>
        <v/>
      </c>
      <c r="P2072" s="30">
        <f>IF(A2072="","",CHOOSE(WEEKDAY(A2072,2),"Segunda","Terça","Quarta","Quinta","Sexta","Sábado","Domingo"))</f>
        <v/>
      </c>
      <c r="Q2072" s="30">
        <f>IF(B2072="","",IF(B2072&lt;TIME(12,0,0),"Manhã",IF(B2072&lt;TIME(18,0,0),"Tarde","Noite")))</f>
        <v/>
      </c>
      <c r="R2072" s="46">
        <f>IF(AND(H2072="Realizado",L2072&lt;&gt;"",A2072&lt;=Config!$B$9),L2072/60,0)</f>
        <v>0</v>
      </c>
      <c r="S2072" s="45">
        <f>IF(G2072="","",IFERROR(INDEX(Config!$K$5:$K$16,MATCH(G2072,Config!$J$5:$J$16,0)),""))</f>
        <v/>
      </c>
      <c r="T2072" s="31">
        <f>IF(OR(G2072="",F2072=""),"",IFERROR(INDEX(Config!$M$5:$R$16,MATCH(G2072,Config!$J$5:$J$16,0),MATCH(F2072,Config!$H$5:$H$10,0)),""))</f>
        <v/>
      </c>
      <c r="U2072" s="47">
        <f>IF(AND(H2072="Realizado",L2072&lt;&gt;""),L2072/60,0)</f>
        <v>0</v>
      </c>
      <c r="V2072" s="47">
        <f>IF(AND(H2072="Realizado",OR(L2072="",M2072="")),1,0)</f>
        <v>0</v>
      </c>
    </row>
    <row r="2073">
      <c r="A2073" s="43" t="n"/>
      <c r="B2073" s="44" t="n"/>
      <c r="C2073" s="38" t="n"/>
      <c r="D2073" s="38" t="n"/>
      <c r="E2073" s="37" t="n"/>
      <c r="F2073" s="38" t="n"/>
      <c r="G2073" s="38" t="n"/>
      <c r="H2073" s="38" t="n"/>
      <c r="I2073" s="38" t="n"/>
      <c r="J2073" s="38" t="n"/>
      <c r="K2073" s="37" t="n"/>
      <c r="L2073" s="39" t="n"/>
      <c r="M2073" s="40" t="n"/>
      <c r="N2073" s="30">
        <f>IF(A2073="","",MONTH(A2073))</f>
        <v/>
      </c>
      <c r="O2073" s="30">
        <f>IF(A2073="","",YEAR(A2073))</f>
        <v/>
      </c>
      <c r="P2073" s="30">
        <f>IF(A2073="","",CHOOSE(WEEKDAY(A2073,2),"Segunda","Terça","Quarta","Quinta","Sexta","Sábado","Domingo"))</f>
        <v/>
      </c>
      <c r="Q2073" s="30">
        <f>IF(B2073="","",IF(B2073&lt;TIME(12,0,0),"Manhã",IF(B2073&lt;TIME(18,0,0),"Tarde","Noite")))</f>
        <v/>
      </c>
      <c r="R2073" s="46">
        <f>IF(AND(H2073="Realizado",L2073&lt;&gt;"",A2073&lt;=Config!$B$9),L2073/60,0)</f>
        <v>0</v>
      </c>
      <c r="S2073" s="45">
        <f>IF(G2073="","",IFERROR(INDEX(Config!$K$5:$K$16,MATCH(G2073,Config!$J$5:$J$16,0)),""))</f>
        <v/>
      </c>
      <c r="T2073" s="31">
        <f>IF(OR(G2073="",F2073=""),"",IFERROR(INDEX(Config!$M$5:$R$16,MATCH(G2073,Config!$J$5:$J$16,0),MATCH(F2073,Config!$H$5:$H$10,0)),""))</f>
        <v/>
      </c>
      <c r="U2073" s="47">
        <f>IF(AND(H2073="Realizado",L2073&lt;&gt;""),L2073/60,0)</f>
        <v>0</v>
      </c>
      <c r="V2073" s="47">
        <f>IF(AND(H2073="Realizado",OR(L2073="",M2073="")),1,0)</f>
        <v>0</v>
      </c>
    </row>
    <row r="2074">
      <c r="A2074" s="43" t="n"/>
      <c r="B2074" s="44" t="n"/>
      <c r="C2074" s="38" t="n"/>
      <c r="D2074" s="38" t="n"/>
      <c r="E2074" s="37" t="n"/>
      <c r="F2074" s="38" t="n"/>
      <c r="G2074" s="38" t="n"/>
      <c r="H2074" s="38" t="n"/>
      <c r="I2074" s="38" t="n"/>
      <c r="J2074" s="38" t="n"/>
      <c r="K2074" s="37" t="n"/>
      <c r="L2074" s="39" t="n"/>
      <c r="M2074" s="40" t="n"/>
      <c r="N2074" s="30">
        <f>IF(A2074="","",MONTH(A2074))</f>
        <v/>
      </c>
      <c r="O2074" s="30">
        <f>IF(A2074="","",YEAR(A2074))</f>
        <v/>
      </c>
      <c r="P2074" s="30">
        <f>IF(A2074="","",CHOOSE(WEEKDAY(A2074,2),"Segunda","Terça","Quarta","Quinta","Sexta","Sábado","Domingo"))</f>
        <v/>
      </c>
      <c r="Q2074" s="30">
        <f>IF(B2074="","",IF(B2074&lt;TIME(12,0,0),"Manhã",IF(B2074&lt;TIME(18,0,0),"Tarde","Noite")))</f>
        <v/>
      </c>
      <c r="R2074" s="46">
        <f>IF(AND(H2074="Realizado",L2074&lt;&gt;"",A2074&lt;=Config!$B$9),L2074/60,0)</f>
        <v>0</v>
      </c>
      <c r="S2074" s="45">
        <f>IF(G2074="","",IFERROR(INDEX(Config!$K$5:$K$16,MATCH(G2074,Config!$J$5:$J$16,0)),""))</f>
        <v/>
      </c>
      <c r="T2074" s="31">
        <f>IF(OR(G2074="",F2074=""),"",IFERROR(INDEX(Config!$M$5:$R$16,MATCH(G2074,Config!$J$5:$J$16,0),MATCH(F2074,Config!$H$5:$H$10,0)),""))</f>
        <v/>
      </c>
      <c r="U2074" s="47">
        <f>IF(AND(H2074="Realizado",L2074&lt;&gt;""),L2074/60,0)</f>
        <v>0</v>
      </c>
      <c r="V2074" s="47">
        <f>IF(AND(H2074="Realizado",OR(L2074="",M2074="")),1,0)</f>
        <v>0</v>
      </c>
    </row>
    <row r="2075">
      <c r="A2075" s="43" t="n"/>
      <c r="B2075" s="44" t="n"/>
      <c r="C2075" s="38" t="n"/>
      <c r="D2075" s="38" t="n"/>
      <c r="E2075" s="37" t="n"/>
      <c r="F2075" s="38" t="n"/>
      <c r="G2075" s="38" t="n"/>
      <c r="H2075" s="38" t="n"/>
      <c r="I2075" s="38" t="n"/>
      <c r="J2075" s="38" t="n"/>
      <c r="K2075" s="37" t="n"/>
      <c r="L2075" s="39" t="n"/>
      <c r="M2075" s="40" t="n"/>
      <c r="N2075" s="30">
        <f>IF(A2075="","",MONTH(A2075))</f>
        <v/>
      </c>
      <c r="O2075" s="30">
        <f>IF(A2075="","",YEAR(A2075))</f>
        <v/>
      </c>
      <c r="P2075" s="30">
        <f>IF(A2075="","",CHOOSE(WEEKDAY(A2075,2),"Segunda","Terça","Quarta","Quinta","Sexta","Sábado","Domingo"))</f>
        <v/>
      </c>
      <c r="Q2075" s="30">
        <f>IF(B2075="","",IF(B2075&lt;TIME(12,0,0),"Manhã",IF(B2075&lt;TIME(18,0,0),"Tarde","Noite")))</f>
        <v/>
      </c>
      <c r="R2075" s="46">
        <f>IF(AND(H2075="Realizado",L2075&lt;&gt;"",A2075&lt;=Config!$B$9),L2075/60,0)</f>
        <v>0</v>
      </c>
      <c r="S2075" s="45">
        <f>IF(G2075="","",IFERROR(INDEX(Config!$K$5:$K$16,MATCH(G2075,Config!$J$5:$J$16,0)),""))</f>
        <v/>
      </c>
      <c r="T2075" s="31">
        <f>IF(OR(G2075="",F2075=""),"",IFERROR(INDEX(Config!$M$5:$R$16,MATCH(G2075,Config!$J$5:$J$16,0),MATCH(F2075,Config!$H$5:$H$10,0)),""))</f>
        <v/>
      </c>
      <c r="U2075" s="47">
        <f>IF(AND(H2075="Realizado",L2075&lt;&gt;""),L2075/60,0)</f>
        <v>0</v>
      </c>
      <c r="V2075" s="47">
        <f>IF(AND(H2075="Realizado",OR(L2075="",M2075="")),1,0)</f>
        <v>0</v>
      </c>
    </row>
    <row r="2076">
      <c r="A2076" s="43" t="n"/>
      <c r="B2076" s="44" t="n"/>
      <c r="C2076" s="38" t="n"/>
      <c r="D2076" s="38" t="n"/>
      <c r="E2076" s="37" t="n"/>
      <c r="F2076" s="38" t="n"/>
      <c r="G2076" s="38" t="n"/>
      <c r="H2076" s="38" t="n"/>
      <c r="I2076" s="38" t="n"/>
      <c r="J2076" s="38" t="n"/>
      <c r="K2076" s="37" t="n"/>
      <c r="L2076" s="39" t="n"/>
      <c r="M2076" s="40" t="n"/>
      <c r="N2076" s="30">
        <f>IF(A2076="","",MONTH(A2076))</f>
        <v/>
      </c>
      <c r="O2076" s="30">
        <f>IF(A2076="","",YEAR(A2076))</f>
        <v/>
      </c>
      <c r="P2076" s="30">
        <f>IF(A2076="","",CHOOSE(WEEKDAY(A2076,2),"Segunda","Terça","Quarta","Quinta","Sexta","Sábado","Domingo"))</f>
        <v/>
      </c>
      <c r="Q2076" s="30">
        <f>IF(B2076="","",IF(B2076&lt;TIME(12,0,0),"Manhã",IF(B2076&lt;TIME(18,0,0),"Tarde","Noite")))</f>
        <v/>
      </c>
      <c r="R2076" s="46">
        <f>IF(AND(H2076="Realizado",L2076&lt;&gt;"",A2076&lt;=Config!$B$9),L2076/60,0)</f>
        <v>0</v>
      </c>
      <c r="S2076" s="45">
        <f>IF(G2076="","",IFERROR(INDEX(Config!$K$5:$K$16,MATCH(G2076,Config!$J$5:$J$16,0)),""))</f>
        <v/>
      </c>
      <c r="T2076" s="31">
        <f>IF(OR(G2076="",F2076=""),"",IFERROR(INDEX(Config!$M$5:$R$16,MATCH(G2076,Config!$J$5:$J$16,0),MATCH(F2076,Config!$H$5:$H$10,0)),""))</f>
        <v/>
      </c>
      <c r="U2076" s="47">
        <f>IF(AND(H2076="Realizado",L2076&lt;&gt;""),L2076/60,0)</f>
        <v>0</v>
      </c>
      <c r="V2076" s="47">
        <f>IF(AND(H2076="Realizado",OR(L2076="",M2076="")),1,0)</f>
        <v>0</v>
      </c>
    </row>
    <row r="2077">
      <c r="A2077" s="43" t="n"/>
      <c r="B2077" s="44" t="n"/>
      <c r="C2077" s="38" t="n"/>
      <c r="D2077" s="38" t="n"/>
      <c r="E2077" s="37" t="n"/>
      <c r="F2077" s="38" t="n"/>
      <c r="G2077" s="38" t="n"/>
      <c r="H2077" s="38" t="n"/>
      <c r="I2077" s="38" t="n"/>
      <c r="J2077" s="38" t="n"/>
      <c r="K2077" s="37" t="n"/>
      <c r="L2077" s="39" t="n"/>
      <c r="M2077" s="40" t="n"/>
      <c r="N2077" s="30">
        <f>IF(A2077="","",MONTH(A2077))</f>
        <v/>
      </c>
      <c r="O2077" s="30">
        <f>IF(A2077="","",YEAR(A2077))</f>
        <v/>
      </c>
      <c r="P2077" s="30">
        <f>IF(A2077="","",CHOOSE(WEEKDAY(A2077,2),"Segunda","Terça","Quarta","Quinta","Sexta","Sábado","Domingo"))</f>
        <v/>
      </c>
      <c r="Q2077" s="30">
        <f>IF(B2077="","",IF(B2077&lt;TIME(12,0,0),"Manhã",IF(B2077&lt;TIME(18,0,0),"Tarde","Noite")))</f>
        <v/>
      </c>
      <c r="R2077" s="46">
        <f>IF(AND(H2077="Realizado",L2077&lt;&gt;"",A2077&lt;=Config!$B$9),L2077/60,0)</f>
        <v>0</v>
      </c>
      <c r="S2077" s="45">
        <f>IF(G2077="","",IFERROR(INDEX(Config!$K$5:$K$16,MATCH(G2077,Config!$J$5:$J$16,0)),""))</f>
        <v/>
      </c>
      <c r="T2077" s="31">
        <f>IF(OR(G2077="",F2077=""),"",IFERROR(INDEX(Config!$M$5:$R$16,MATCH(G2077,Config!$J$5:$J$16,0),MATCH(F2077,Config!$H$5:$H$10,0)),""))</f>
        <v/>
      </c>
      <c r="U2077" s="47">
        <f>IF(AND(H2077="Realizado",L2077&lt;&gt;""),L2077/60,0)</f>
        <v>0</v>
      </c>
      <c r="V2077" s="47">
        <f>IF(AND(H2077="Realizado",OR(L2077="",M2077="")),1,0)</f>
        <v>0</v>
      </c>
    </row>
    <row r="2078">
      <c r="A2078" s="43" t="n"/>
      <c r="B2078" s="44" t="n"/>
      <c r="C2078" s="38" t="n"/>
      <c r="D2078" s="38" t="n"/>
      <c r="E2078" s="37" t="n"/>
      <c r="F2078" s="38" t="n"/>
      <c r="G2078" s="38" t="n"/>
      <c r="H2078" s="38" t="n"/>
      <c r="I2078" s="38" t="n"/>
      <c r="J2078" s="38" t="n"/>
      <c r="K2078" s="37" t="n"/>
      <c r="L2078" s="39" t="n"/>
      <c r="M2078" s="40" t="n"/>
      <c r="N2078" s="30">
        <f>IF(A2078="","",MONTH(A2078))</f>
        <v/>
      </c>
      <c r="O2078" s="30">
        <f>IF(A2078="","",YEAR(A2078))</f>
        <v/>
      </c>
      <c r="P2078" s="30">
        <f>IF(A2078="","",CHOOSE(WEEKDAY(A2078,2),"Segunda","Terça","Quarta","Quinta","Sexta","Sábado","Domingo"))</f>
        <v/>
      </c>
      <c r="Q2078" s="30">
        <f>IF(B2078="","",IF(B2078&lt;TIME(12,0,0),"Manhã",IF(B2078&lt;TIME(18,0,0),"Tarde","Noite")))</f>
        <v/>
      </c>
      <c r="R2078" s="46">
        <f>IF(AND(H2078="Realizado",L2078&lt;&gt;"",A2078&lt;=Config!$B$9),L2078/60,0)</f>
        <v>0</v>
      </c>
      <c r="S2078" s="45">
        <f>IF(G2078="","",IFERROR(INDEX(Config!$K$5:$K$16,MATCH(G2078,Config!$J$5:$J$16,0)),""))</f>
        <v/>
      </c>
      <c r="T2078" s="31">
        <f>IF(OR(G2078="",F2078=""),"",IFERROR(INDEX(Config!$M$5:$R$16,MATCH(G2078,Config!$J$5:$J$16,0),MATCH(F2078,Config!$H$5:$H$10,0)),""))</f>
        <v/>
      </c>
      <c r="U2078" s="47">
        <f>IF(AND(H2078="Realizado",L2078&lt;&gt;""),L2078/60,0)</f>
        <v>0</v>
      </c>
      <c r="V2078" s="47">
        <f>IF(AND(H2078="Realizado",OR(L2078="",M2078="")),1,0)</f>
        <v>0</v>
      </c>
    </row>
    <row r="2079">
      <c r="A2079" s="43" t="n"/>
      <c r="B2079" s="44" t="n"/>
      <c r="C2079" s="38" t="n"/>
      <c r="D2079" s="38" t="n"/>
      <c r="E2079" s="37" t="n"/>
      <c r="F2079" s="38" t="n"/>
      <c r="G2079" s="38" t="n"/>
      <c r="H2079" s="38" t="n"/>
      <c r="I2079" s="38" t="n"/>
      <c r="J2079" s="38" t="n"/>
      <c r="K2079" s="37" t="n"/>
      <c r="L2079" s="39" t="n"/>
      <c r="M2079" s="40" t="n"/>
      <c r="N2079" s="30">
        <f>IF(A2079="","",MONTH(A2079))</f>
        <v/>
      </c>
      <c r="O2079" s="30">
        <f>IF(A2079="","",YEAR(A2079))</f>
        <v/>
      </c>
      <c r="P2079" s="30">
        <f>IF(A2079="","",CHOOSE(WEEKDAY(A2079,2),"Segunda","Terça","Quarta","Quinta","Sexta","Sábado","Domingo"))</f>
        <v/>
      </c>
      <c r="Q2079" s="30">
        <f>IF(B2079="","",IF(B2079&lt;TIME(12,0,0),"Manhã",IF(B2079&lt;TIME(18,0,0),"Tarde","Noite")))</f>
        <v/>
      </c>
      <c r="R2079" s="46">
        <f>IF(AND(H2079="Realizado",L2079&lt;&gt;"",A2079&lt;=Config!$B$9),L2079/60,0)</f>
        <v>0</v>
      </c>
      <c r="S2079" s="45">
        <f>IF(G2079="","",IFERROR(INDEX(Config!$K$5:$K$16,MATCH(G2079,Config!$J$5:$J$16,0)),""))</f>
        <v/>
      </c>
      <c r="T2079" s="31">
        <f>IF(OR(G2079="",F2079=""),"",IFERROR(INDEX(Config!$M$5:$R$16,MATCH(G2079,Config!$J$5:$J$16,0),MATCH(F2079,Config!$H$5:$H$10,0)),""))</f>
        <v/>
      </c>
      <c r="U2079" s="47">
        <f>IF(AND(H2079="Realizado",L2079&lt;&gt;""),L2079/60,0)</f>
        <v>0</v>
      </c>
      <c r="V2079" s="47">
        <f>IF(AND(H2079="Realizado",OR(L2079="",M2079="")),1,0)</f>
        <v>0</v>
      </c>
    </row>
    <row r="2080">
      <c r="A2080" s="43" t="n"/>
      <c r="B2080" s="44" t="n"/>
      <c r="C2080" s="38" t="n"/>
      <c r="D2080" s="38" t="n"/>
      <c r="E2080" s="37" t="n"/>
      <c r="F2080" s="38" t="n"/>
      <c r="G2080" s="38" t="n"/>
      <c r="H2080" s="38" t="n"/>
      <c r="I2080" s="38" t="n"/>
      <c r="J2080" s="38" t="n"/>
      <c r="K2080" s="37" t="n"/>
      <c r="L2080" s="39" t="n"/>
      <c r="M2080" s="40" t="n"/>
      <c r="N2080" s="30">
        <f>IF(A2080="","",MONTH(A2080))</f>
        <v/>
      </c>
      <c r="O2080" s="30">
        <f>IF(A2080="","",YEAR(A2080))</f>
        <v/>
      </c>
      <c r="P2080" s="30">
        <f>IF(A2080="","",CHOOSE(WEEKDAY(A2080,2),"Segunda","Terça","Quarta","Quinta","Sexta","Sábado","Domingo"))</f>
        <v/>
      </c>
      <c r="Q2080" s="30">
        <f>IF(B2080="","",IF(B2080&lt;TIME(12,0,0),"Manhã",IF(B2080&lt;TIME(18,0,0),"Tarde","Noite")))</f>
        <v/>
      </c>
      <c r="R2080" s="46">
        <f>IF(AND(H2080="Realizado",L2080&lt;&gt;"",A2080&lt;=Config!$B$9),L2080/60,0)</f>
        <v>0</v>
      </c>
      <c r="S2080" s="45">
        <f>IF(G2080="","",IFERROR(INDEX(Config!$K$5:$K$16,MATCH(G2080,Config!$J$5:$J$16,0)),""))</f>
        <v/>
      </c>
      <c r="T2080" s="31">
        <f>IF(OR(G2080="",F2080=""),"",IFERROR(INDEX(Config!$M$5:$R$16,MATCH(G2080,Config!$J$5:$J$16,0),MATCH(F2080,Config!$H$5:$H$10,0)),""))</f>
        <v/>
      </c>
      <c r="U2080" s="47">
        <f>IF(AND(H2080="Realizado",L2080&lt;&gt;""),L2080/60,0)</f>
        <v>0</v>
      </c>
      <c r="V2080" s="47">
        <f>IF(AND(H2080="Realizado",OR(L2080="",M2080="")),1,0)</f>
        <v>0</v>
      </c>
    </row>
    <row r="2081">
      <c r="A2081" s="43" t="n"/>
      <c r="B2081" s="44" t="n"/>
      <c r="C2081" s="38" t="n"/>
      <c r="D2081" s="38" t="n"/>
      <c r="E2081" s="37" t="n"/>
      <c r="F2081" s="38" t="n"/>
      <c r="G2081" s="38" t="n"/>
      <c r="H2081" s="38" t="n"/>
      <c r="I2081" s="38" t="n"/>
      <c r="J2081" s="38" t="n"/>
      <c r="K2081" s="37" t="n"/>
      <c r="L2081" s="39" t="n"/>
      <c r="M2081" s="40" t="n"/>
      <c r="N2081" s="30">
        <f>IF(A2081="","",MONTH(A2081))</f>
        <v/>
      </c>
      <c r="O2081" s="30">
        <f>IF(A2081="","",YEAR(A2081))</f>
        <v/>
      </c>
      <c r="P2081" s="30">
        <f>IF(A2081="","",CHOOSE(WEEKDAY(A2081,2),"Segunda","Terça","Quarta","Quinta","Sexta","Sábado","Domingo"))</f>
        <v/>
      </c>
      <c r="Q2081" s="30">
        <f>IF(B2081="","",IF(B2081&lt;TIME(12,0,0),"Manhã",IF(B2081&lt;TIME(18,0,0),"Tarde","Noite")))</f>
        <v/>
      </c>
      <c r="R2081" s="46">
        <f>IF(AND(H2081="Realizado",L2081&lt;&gt;"",A2081&lt;=Config!$B$9),L2081/60,0)</f>
        <v>0</v>
      </c>
      <c r="S2081" s="45">
        <f>IF(G2081="","",IFERROR(INDEX(Config!$K$5:$K$16,MATCH(G2081,Config!$J$5:$J$16,0)),""))</f>
        <v/>
      </c>
      <c r="T2081" s="31">
        <f>IF(OR(G2081="",F2081=""),"",IFERROR(INDEX(Config!$M$5:$R$16,MATCH(G2081,Config!$J$5:$J$16,0),MATCH(F2081,Config!$H$5:$H$10,0)),""))</f>
        <v/>
      </c>
      <c r="U2081" s="47">
        <f>IF(AND(H2081="Realizado",L2081&lt;&gt;""),L2081/60,0)</f>
        <v>0</v>
      </c>
      <c r="V2081" s="47">
        <f>IF(AND(H2081="Realizado",OR(L2081="",M2081="")),1,0)</f>
        <v>0</v>
      </c>
    </row>
    <row r="2082">
      <c r="A2082" s="43" t="n"/>
      <c r="B2082" s="44" t="n"/>
      <c r="C2082" s="38" t="n"/>
      <c r="D2082" s="38" t="n"/>
      <c r="E2082" s="37" t="n"/>
      <c r="F2082" s="38" t="n"/>
      <c r="G2082" s="38" t="n"/>
      <c r="H2082" s="38" t="n"/>
      <c r="I2082" s="38" t="n"/>
      <c r="J2082" s="38" t="n"/>
      <c r="K2082" s="37" t="n"/>
      <c r="L2082" s="39" t="n"/>
      <c r="M2082" s="40" t="n"/>
      <c r="N2082" s="30">
        <f>IF(A2082="","",MONTH(A2082))</f>
        <v/>
      </c>
      <c r="O2082" s="30">
        <f>IF(A2082="","",YEAR(A2082))</f>
        <v/>
      </c>
      <c r="P2082" s="30">
        <f>IF(A2082="","",CHOOSE(WEEKDAY(A2082,2),"Segunda","Terça","Quarta","Quinta","Sexta","Sábado","Domingo"))</f>
        <v/>
      </c>
      <c r="Q2082" s="30">
        <f>IF(B2082="","",IF(B2082&lt;TIME(12,0,0),"Manhã",IF(B2082&lt;TIME(18,0,0),"Tarde","Noite")))</f>
        <v/>
      </c>
      <c r="R2082" s="46">
        <f>IF(AND(H2082="Realizado",L2082&lt;&gt;"",A2082&lt;=Config!$B$9),L2082/60,0)</f>
        <v>0</v>
      </c>
      <c r="S2082" s="45">
        <f>IF(G2082="","",IFERROR(INDEX(Config!$K$5:$K$16,MATCH(G2082,Config!$J$5:$J$16,0)),""))</f>
        <v/>
      </c>
      <c r="T2082" s="31">
        <f>IF(OR(G2082="",F2082=""),"",IFERROR(INDEX(Config!$M$5:$R$16,MATCH(G2082,Config!$J$5:$J$16,0),MATCH(F2082,Config!$H$5:$H$10,0)),""))</f>
        <v/>
      </c>
      <c r="U2082" s="47">
        <f>IF(AND(H2082="Realizado",L2082&lt;&gt;""),L2082/60,0)</f>
        <v>0</v>
      </c>
      <c r="V2082" s="47">
        <f>IF(AND(H2082="Realizado",OR(L2082="",M2082="")),1,0)</f>
        <v>0</v>
      </c>
    </row>
    <row r="2083">
      <c r="A2083" s="43" t="n"/>
      <c r="B2083" s="44" t="n"/>
      <c r="C2083" s="38" t="n"/>
      <c r="D2083" s="38" t="n"/>
      <c r="E2083" s="37" t="n"/>
      <c r="F2083" s="38" t="n"/>
      <c r="G2083" s="38" t="n"/>
      <c r="H2083" s="38" t="n"/>
      <c r="I2083" s="38" t="n"/>
      <c r="J2083" s="38" t="n"/>
      <c r="K2083" s="37" t="n"/>
      <c r="L2083" s="39" t="n"/>
      <c r="M2083" s="40" t="n"/>
      <c r="N2083" s="30">
        <f>IF(A2083="","",MONTH(A2083))</f>
        <v/>
      </c>
      <c r="O2083" s="30">
        <f>IF(A2083="","",YEAR(A2083))</f>
        <v/>
      </c>
      <c r="P2083" s="30">
        <f>IF(A2083="","",CHOOSE(WEEKDAY(A2083,2),"Segunda","Terça","Quarta","Quinta","Sexta","Sábado","Domingo"))</f>
        <v/>
      </c>
      <c r="Q2083" s="30">
        <f>IF(B2083="","",IF(B2083&lt;TIME(12,0,0),"Manhã",IF(B2083&lt;TIME(18,0,0),"Tarde","Noite")))</f>
        <v/>
      </c>
      <c r="R2083" s="46">
        <f>IF(AND(H2083="Realizado",L2083&lt;&gt;"",A2083&lt;=Config!$B$9),L2083/60,0)</f>
        <v>0</v>
      </c>
      <c r="S2083" s="45">
        <f>IF(G2083="","",IFERROR(INDEX(Config!$K$5:$K$16,MATCH(G2083,Config!$J$5:$J$16,0)),""))</f>
        <v/>
      </c>
      <c r="T2083" s="31">
        <f>IF(OR(G2083="",F2083=""),"",IFERROR(INDEX(Config!$M$5:$R$16,MATCH(G2083,Config!$J$5:$J$16,0),MATCH(F2083,Config!$H$5:$H$10,0)),""))</f>
        <v/>
      </c>
      <c r="U2083" s="47">
        <f>IF(AND(H2083="Realizado",L2083&lt;&gt;""),L2083/60,0)</f>
        <v>0</v>
      </c>
      <c r="V2083" s="47">
        <f>IF(AND(H2083="Realizado",OR(L2083="",M2083="")),1,0)</f>
        <v>0</v>
      </c>
    </row>
    <row r="2084">
      <c r="A2084" s="43" t="n"/>
      <c r="B2084" s="44" t="n"/>
      <c r="C2084" s="38" t="n"/>
      <c r="D2084" s="38" t="n"/>
      <c r="E2084" s="37" t="n"/>
      <c r="F2084" s="38" t="n"/>
      <c r="G2084" s="38" t="n"/>
      <c r="H2084" s="38" t="n"/>
      <c r="I2084" s="38" t="n"/>
      <c r="J2084" s="38" t="n"/>
      <c r="K2084" s="37" t="n"/>
      <c r="L2084" s="39" t="n"/>
      <c r="M2084" s="40" t="n"/>
      <c r="N2084" s="30">
        <f>IF(A2084="","",MONTH(A2084))</f>
        <v/>
      </c>
      <c r="O2084" s="30">
        <f>IF(A2084="","",YEAR(A2084))</f>
        <v/>
      </c>
      <c r="P2084" s="30">
        <f>IF(A2084="","",CHOOSE(WEEKDAY(A2084,2),"Segunda","Terça","Quarta","Quinta","Sexta","Sábado","Domingo"))</f>
        <v/>
      </c>
      <c r="Q2084" s="30">
        <f>IF(B2084="","",IF(B2084&lt;TIME(12,0,0),"Manhã",IF(B2084&lt;TIME(18,0,0),"Tarde","Noite")))</f>
        <v/>
      </c>
      <c r="R2084" s="46">
        <f>IF(AND(H2084="Realizado",L2084&lt;&gt;"",A2084&lt;=Config!$B$9),L2084/60,0)</f>
        <v>0</v>
      </c>
      <c r="S2084" s="45">
        <f>IF(G2084="","",IFERROR(INDEX(Config!$K$5:$K$16,MATCH(G2084,Config!$J$5:$J$16,0)),""))</f>
        <v/>
      </c>
      <c r="T2084" s="31">
        <f>IF(OR(G2084="",F2084=""),"",IFERROR(INDEX(Config!$M$5:$R$16,MATCH(G2084,Config!$J$5:$J$16,0),MATCH(F2084,Config!$H$5:$H$10,0)),""))</f>
        <v/>
      </c>
      <c r="U2084" s="47">
        <f>IF(AND(H2084="Realizado",L2084&lt;&gt;""),L2084/60,0)</f>
        <v>0</v>
      </c>
      <c r="V2084" s="47">
        <f>IF(AND(H2084="Realizado",OR(L2084="",M2084="")),1,0)</f>
        <v>0</v>
      </c>
    </row>
    <row r="2085">
      <c r="A2085" s="43" t="n"/>
      <c r="B2085" s="44" t="n"/>
      <c r="C2085" s="38" t="n"/>
      <c r="D2085" s="38" t="n"/>
      <c r="E2085" s="37" t="n"/>
      <c r="F2085" s="38" t="n"/>
      <c r="G2085" s="38" t="n"/>
      <c r="H2085" s="38" t="n"/>
      <c r="I2085" s="38" t="n"/>
      <c r="J2085" s="38" t="n"/>
      <c r="K2085" s="37" t="n"/>
      <c r="L2085" s="39" t="n"/>
      <c r="M2085" s="40" t="n"/>
      <c r="N2085" s="30">
        <f>IF(A2085="","",MONTH(A2085))</f>
        <v/>
      </c>
      <c r="O2085" s="30">
        <f>IF(A2085="","",YEAR(A2085))</f>
        <v/>
      </c>
      <c r="P2085" s="30">
        <f>IF(A2085="","",CHOOSE(WEEKDAY(A2085,2),"Segunda","Terça","Quarta","Quinta","Sexta","Sábado","Domingo"))</f>
        <v/>
      </c>
      <c r="Q2085" s="30">
        <f>IF(B2085="","",IF(B2085&lt;TIME(12,0,0),"Manhã",IF(B2085&lt;TIME(18,0,0),"Tarde","Noite")))</f>
        <v/>
      </c>
      <c r="R2085" s="46">
        <f>IF(AND(H2085="Realizado",L2085&lt;&gt;"",A2085&lt;=Config!$B$9),L2085/60,0)</f>
        <v>0</v>
      </c>
      <c r="S2085" s="45">
        <f>IF(G2085="","",IFERROR(INDEX(Config!$K$5:$K$16,MATCH(G2085,Config!$J$5:$J$16,0)),""))</f>
        <v/>
      </c>
      <c r="T2085" s="31">
        <f>IF(OR(G2085="",F2085=""),"",IFERROR(INDEX(Config!$M$5:$R$16,MATCH(G2085,Config!$J$5:$J$16,0),MATCH(F2085,Config!$H$5:$H$10,0)),""))</f>
        <v/>
      </c>
      <c r="U2085" s="47">
        <f>IF(AND(H2085="Realizado",L2085&lt;&gt;""),L2085/60,0)</f>
        <v>0</v>
      </c>
      <c r="V2085" s="47">
        <f>IF(AND(H2085="Realizado",OR(L2085="",M2085="")),1,0)</f>
        <v>0</v>
      </c>
    </row>
    <row r="2086">
      <c r="A2086" s="43" t="n"/>
      <c r="B2086" s="44" t="n"/>
      <c r="C2086" s="38" t="n"/>
      <c r="D2086" s="38" t="n"/>
      <c r="E2086" s="37" t="n"/>
      <c r="F2086" s="38" t="n"/>
      <c r="G2086" s="38" t="n"/>
      <c r="H2086" s="38" t="n"/>
      <c r="I2086" s="38" t="n"/>
      <c r="J2086" s="38" t="n"/>
      <c r="K2086" s="37" t="n"/>
      <c r="L2086" s="39" t="n"/>
      <c r="M2086" s="40" t="n"/>
      <c r="N2086" s="30">
        <f>IF(A2086="","",MONTH(A2086))</f>
        <v/>
      </c>
      <c r="O2086" s="30">
        <f>IF(A2086="","",YEAR(A2086))</f>
        <v/>
      </c>
      <c r="P2086" s="30">
        <f>IF(A2086="","",CHOOSE(WEEKDAY(A2086,2),"Segunda","Terça","Quarta","Quinta","Sexta","Sábado","Domingo"))</f>
        <v/>
      </c>
      <c r="Q2086" s="30">
        <f>IF(B2086="","",IF(B2086&lt;TIME(12,0,0),"Manhã",IF(B2086&lt;TIME(18,0,0),"Tarde","Noite")))</f>
        <v/>
      </c>
      <c r="R2086" s="46">
        <f>IF(AND(H2086="Realizado",L2086&lt;&gt;"",A2086&lt;=Config!$B$9),L2086/60,0)</f>
        <v>0</v>
      </c>
      <c r="S2086" s="45">
        <f>IF(G2086="","",IFERROR(INDEX(Config!$K$5:$K$16,MATCH(G2086,Config!$J$5:$J$16,0)),""))</f>
        <v/>
      </c>
      <c r="T2086" s="31">
        <f>IF(OR(G2086="",F2086=""),"",IFERROR(INDEX(Config!$M$5:$R$16,MATCH(G2086,Config!$J$5:$J$16,0),MATCH(F2086,Config!$H$5:$H$10,0)),""))</f>
        <v/>
      </c>
      <c r="U2086" s="47">
        <f>IF(AND(H2086="Realizado",L2086&lt;&gt;""),L2086/60,0)</f>
        <v>0</v>
      </c>
      <c r="V2086" s="47">
        <f>IF(AND(H2086="Realizado",OR(L2086="",M2086="")),1,0)</f>
        <v>0</v>
      </c>
    </row>
    <row r="2087">
      <c r="A2087" s="43" t="n"/>
      <c r="B2087" s="44" t="n"/>
      <c r="C2087" s="38" t="n"/>
      <c r="D2087" s="38" t="n"/>
      <c r="E2087" s="37" t="n"/>
      <c r="F2087" s="38" t="n"/>
      <c r="G2087" s="38" t="n"/>
      <c r="H2087" s="38" t="n"/>
      <c r="I2087" s="38" t="n"/>
      <c r="J2087" s="38" t="n"/>
      <c r="K2087" s="37" t="n"/>
      <c r="L2087" s="39" t="n"/>
      <c r="M2087" s="40" t="n"/>
      <c r="N2087" s="30">
        <f>IF(A2087="","",MONTH(A2087))</f>
        <v/>
      </c>
      <c r="O2087" s="30">
        <f>IF(A2087="","",YEAR(A2087))</f>
        <v/>
      </c>
      <c r="P2087" s="30">
        <f>IF(A2087="","",CHOOSE(WEEKDAY(A2087,2),"Segunda","Terça","Quarta","Quinta","Sexta","Sábado","Domingo"))</f>
        <v/>
      </c>
      <c r="Q2087" s="30">
        <f>IF(B2087="","",IF(B2087&lt;TIME(12,0,0),"Manhã",IF(B2087&lt;TIME(18,0,0),"Tarde","Noite")))</f>
        <v/>
      </c>
      <c r="R2087" s="46">
        <f>IF(AND(H2087="Realizado",L2087&lt;&gt;"",A2087&lt;=Config!$B$9),L2087/60,0)</f>
        <v>0</v>
      </c>
      <c r="S2087" s="45">
        <f>IF(G2087="","",IFERROR(INDEX(Config!$K$5:$K$16,MATCH(G2087,Config!$J$5:$J$16,0)),""))</f>
        <v/>
      </c>
      <c r="T2087" s="31">
        <f>IF(OR(G2087="",F2087=""),"",IFERROR(INDEX(Config!$M$5:$R$16,MATCH(G2087,Config!$J$5:$J$16,0),MATCH(F2087,Config!$H$5:$H$10,0)),""))</f>
        <v/>
      </c>
      <c r="U2087" s="47">
        <f>IF(AND(H2087="Realizado",L2087&lt;&gt;""),L2087/60,0)</f>
        <v>0</v>
      </c>
      <c r="V2087" s="47">
        <f>IF(AND(H2087="Realizado",OR(L2087="",M2087="")),1,0)</f>
        <v>0</v>
      </c>
    </row>
    <row r="2088">
      <c r="A2088" s="43" t="n"/>
      <c r="B2088" s="44" t="n"/>
      <c r="C2088" s="38" t="n"/>
      <c r="D2088" s="38" t="n"/>
      <c r="E2088" s="37" t="n"/>
      <c r="F2088" s="38" t="n"/>
      <c r="G2088" s="38" t="n"/>
      <c r="H2088" s="38" t="n"/>
      <c r="I2088" s="38" t="n"/>
      <c r="J2088" s="38" t="n"/>
      <c r="K2088" s="37" t="n"/>
      <c r="L2088" s="39" t="n"/>
      <c r="M2088" s="40" t="n"/>
      <c r="N2088" s="30">
        <f>IF(A2088="","",MONTH(A2088))</f>
        <v/>
      </c>
      <c r="O2088" s="30">
        <f>IF(A2088="","",YEAR(A2088))</f>
        <v/>
      </c>
      <c r="P2088" s="30">
        <f>IF(A2088="","",CHOOSE(WEEKDAY(A2088,2),"Segunda","Terça","Quarta","Quinta","Sexta","Sábado","Domingo"))</f>
        <v/>
      </c>
      <c r="Q2088" s="30">
        <f>IF(B2088="","",IF(B2088&lt;TIME(12,0,0),"Manhã",IF(B2088&lt;TIME(18,0,0),"Tarde","Noite")))</f>
        <v/>
      </c>
      <c r="R2088" s="46">
        <f>IF(AND(H2088="Realizado",L2088&lt;&gt;"",A2088&lt;=Config!$B$9),L2088/60,0)</f>
        <v>0</v>
      </c>
      <c r="S2088" s="45">
        <f>IF(G2088="","",IFERROR(INDEX(Config!$K$5:$K$16,MATCH(G2088,Config!$J$5:$J$16,0)),""))</f>
        <v/>
      </c>
      <c r="T2088" s="31">
        <f>IF(OR(G2088="",F2088=""),"",IFERROR(INDEX(Config!$M$5:$R$16,MATCH(G2088,Config!$J$5:$J$16,0),MATCH(F2088,Config!$H$5:$H$10,0)),""))</f>
        <v/>
      </c>
      <c r="U2088" s="47">
        <f>IF(AND(H2088="Realizado",L2088&lt;&gt;""),L2088/60,0)</f>
        <v>0</v>
      </c>
      <c r="V2088" s="47">
        <f>IF(AND(H2088="Realizado",OR(L2088="",M2088="")),1,0)</f>
        <v>0</v>
      </c>
    </row>
    <row r="2089">
      <c r="A2089" s="43" t="n"/>
      <c r="B2089" s="44" t="n"/>
      <c r="C2089" s="38" t="n"/>
      <c r="D2089" s="38" t="n"/>
      <c r="E2089" s="37" t="n"/>
      <c r="F2089" s="38" t="n"/>
      <c r="G2089" s="38" t="n"/>
      <c r="H2089" s="38" t="n"/>
      <c r="I2089" s="38" t="n"/>
      <c r="J2089" s="38" t="n"/>
      <c r="K2089" s="37" t="n"/>
      <c r="L2089" s="39" t="n"/>
      <c r="M2089" s="40" t="n"/>
      <c r="N2089" s="30">
        <f>IF(A2089="","",MONTH(A2089))</f>
        <v/>
      </c>
      <c r="O2089" s="30">
        <f>IF(A2089="","",YEAR(A2089))</f>
        <v/>
      </c>
      <c r="P2089" s="30">
        <f>IF(A2089="","",CHOOSE(WEEKDAY(A2089,2),"Segunda","Terça","Quarta","Quinta","Sexta","Sábado","Domingo"))</f>
        <v/>
      </c>
      <c r="Q2089" s="30">
        <f>IF(B2089="","",IF(B2089&lt;TIME(12,0,0),"Manhã",IF(B2089&lt;TIME(18,0,0),"Tarde","Noite")))</f>
        <v/>
      </c>
      <c r="R2089" s="46">
        <f>IF(AND(H2089="Realizado",L2089&lt;&gt;"",A2089&lt;=Config!$B$9),L2089/60,0)</f>
        <v>0</v>
      </c>
      <c r="S2089" s="45">
        <f>IF(G2089="","",IFERROR(INDEX(Config!$K$5:$K$16,MATCH(G2089,Config!$J$5:$J$16,0)),""))</f>
        <v/>
      </c>
      <c r="T2089" s="31">
        <f>IF(OR(G2089="",F2089=""),"",IFERROR(INDEX(Config!$M$5:$R$16,MATCH(G2089,Config!$J$5:$J$16,0),MATCH(F2089,Config!$H$5:$H$10,0)),""))</f>
        <v/>
      </c>
      <c r="U2089" s="47">
        <f>IF(AND(H2089="Realizado",L2089&lt;&gt;""),L2089/60,0)</f>
        <v>0</v>
      </c>
      <c r="V2089" s="47">
        <f>IF(AND(H2089="Realizado",OR(L2089="",M2089="")),1,0)</f>
        <v>0</v>
      </c>
    </row>
    <row r="2090">
      <c r="A2090" s="43" t="n"/>
      <c r="B2090" s="44" t="n"/>
      <c r="C2090" s="38" t="n"/>
      <c r="D2090" s="38" t="n"/>
      <c r="E2090" s="37" t="n"/>
      <c r="F2090" s="38" t="n"/>
      <c r="G2090" s="38" t="n"/>
      <c r="H2090" s="38" t="n"/>
      <c r="I2090" s="38" t="n"/>
      <c r="J2090" s="38" t="n"/>
      <c r="K2090" s="37" t="n"/>
      <c r="L2090" s="39" t="n"/>
      <c r="M2090" s="40" t="n"/>
      <c r="N2090" s="30">
        <f>IF(A2090="","",MONTH(A2090))</f>
        <v/>
      </c>
      <c r="O2090" s="30">
        <f>IF(A2090="","",YEAR(A2090))</f>
        <v/>
      </c>
      <c r="P2090" s="30">
        <f>IF(A2090="","",CHOOSE(WEEKDAY(A2090,2),"Segunda","Terça","Quarta","Quinta","Sexta","Sábado","Domingo"))</f>
        <v/>
      </c>
      <c r="Q2090" s="30">
        <f>IF(B2090="","",IF(B2090&lt;TIME(12,0,0),"Manhã",IF(B2090&lt;TIME(18,0,0),"Tarde","Noite")))</f>
        <v/>
      </c>
      <c r="R2090" s="46">
        <f>IF(AND(H2090="Realizado",L2090&lt;&gt;"",A2090&lt;=Config!$B$9),L2090/60,0)</f>
        <v>0</v>
      </c>
      <c r="S2090" s="45">
        <f>IF(G2090="","",IFERROR(INDEX(Config!$K$5:$K$16,MATCH(G2090,Config!$J$5:$J$16,0)),""))</f>
        <v/>
      </c>
      <c r="T2090" s="31">
        <f>IF(OR(G2090="",F2090=""),"",IFERROR(INDEX(Config!$M$5:$R$16,MATCH(G2090,Config!$J$5:$J$16,0),MATCH(F2090,Config!$H$5:$H$10,0)),""))</f>
        <v/>
      </c>
      <c r="U2090" s="47">
        <f>IF(AND(H2090="Realizado",L2090&lt;&gt;""),L2090/60,0)</f>
        <v>0</v>
      </c>
      <c r="V2090" s="47">
        <f>IF(AND(H2090="Realizado",OR(L2090="",M2090="")),1,0)</f>
        <v>0</v>
      </c>
    </row>
    <row r="2091">
      <c r="A2091" s="43" t="n"/>
      <c r="B2091" s="44" t="n"/>
      <c r="C2091" s="38" t="n"/>
      <c r="D2091" s="38" t="n"/>
      <c r="E2091" s="37" t="n"/>
      <c r="F2091" s="38" t="n"/>
      <c r="G2091" s="38" t="n"/>
      <c r="H2091" s="38" t="n"/>
      <c r="I2091" s="38" t="n"/>
      <c r="J2091" s="38" t="n"/>
      <c r="K2091" s="37" t="n"/>
      <c r="L2091" s="39" t="n"/>
      <c r="M2091" s="40" t="n"/>
      <c r="N2091" s="30">
        <f>IF(A2091="","",MONTH(A2091))</f>
        <v/>
      </c>
      <c r="O2091" s="30">
        <f>IF(A2091="","",YEAR(A2091))</f>
        <v/>
      </c>
      <c r="P2091" s="30">
        <f>IF(A2091="","",CHOOSE(WEEKDAY(A2091,2),"Segunda","Terça","Quarta","Quinta","Sexta","Sábado","Domingo"))</f>
        <v/>
      </c>
      <c r="Q2091" s="30">
        <f>IF(B2091="","",IF(B2091&lt;TIME(12,0,0),"Manhã",IF(B2091&lt;TIME(18,0,0),"Tarde","Noite")))</f>
        <v/>
      </c>
      <c r="R2091" s="46">
        <f>IF(AND(H2091="Realizado",L2091&lt;&gt;"",A2091&lt;=Config!$B$9),L2091/60,0)</f>
        <v>0</v>
      </c>
      <c r="S2091" s="45">
        <f>IF(G2091="","",IFERROR(INDEX(Config!$K$5:$K$16,MATCH(G2091,Config!$J$5:$J$16,0)),""))</f>
        <v/>
      </c>
      <c r="T2091" s="31">
        <f>IF(OR(G2091="",F2091=""),"",IFERROR(INDEX(Config!$M$5:$R$16,MATCH(G2091,Config!$J$5:$J$16,0),MATCH(F2091,Config!$H$5:$H$10,0)),""))</f>
        <v/>
      </c>
      <c r="U2091" s="47">
        <f>IF(AND(H2091="Realizado",L2091&lt;&gt;""),L2091/60,0)</f>
        <v>0</v>
      </c>
      <c r="V2091" s="47">
        <f>IF(AND(H2091="Realizado",OR(L2091="",M2091="")),1,0)</f>
        <v>0</v>
      </c>
    </row>
    <row r="2092">
      <c r="A2092" s="43" t="n"/>
      <c r="B2092" s="44" t="n"/>
      <c r="C2092" s="38" t="n"/>
      <c r="D2092" s="38" t="n"/>
      <c r="E2092" s="37" t="n"/>
      <c r="F2092" s="38" t="n"/>
      <c r="G2092" s="38" t="n"/>
      <c r="H2092" s="38" t="n"/>
      <c r="I2092" s="38" t="n"/>
      <c r="J2092" s="38" t="n"/>
      <c r="K2092" s="37" t="n"/>
      <c r="L2092" s="39" t="n"/>
      <c r="M2092" s="40" t="n"/>
      <c r="N2092" s="30">
        <f>IF(A2092="","",MONTH(A2092))</f>
        <v/>
      </c>
      <c r="O2092" s="30">
        <f>IF(A2092="","",YEAR(A2092))</f>
        <v/>
      </c>
      <c r="P2092" s="30">
        <f>IF(A2092="","",CHOOSE(WEEKDAY(A2092,2),"Segunda","Terça","Quarta","Quinta","Sexta","Sábado","Domingo"))</f>
        <v/>
      </c>
      <c r="Q2092" s="30">
        <f>IF(B2092="","",IF(B2092&lt;TIME(12,0,0),"Manhã",IF(B2092&lt;TIME(18,0,0),"Tarde","Noite")))</f>
        <v/>
      </c>
      <c r="R2092" s="46">
        <f>IF(AND(H2092="Realizado",L2092&lt;&gt;"",A2092&lt;=Config!$B$9),L2092/60,0)</f>
        <v>0</v>
      </c>
      <c r="S2092" s="45">
        <f>IF(G2092="","",IFERROR(INDEX(Config!$K$5:$K$16,MATCH(G2092,Config!$J$5:$J$16,0)),""))</f>
        <v/>
      </c>
      <c r="T2092" s="31">
        <f>IF(OR(G2092="",F2092=""),"",IFERROR(INDEX(Config!$M$5:$R$16,MATCH(G2092,Config!$J$5:$J$16,0),MATCH(F2092,Config!$H$5:$H$10,0)),""))</f>
        <v/>
      </c>
      <c r="U2092" s="47">
        <f>IF(AND(H2092="Realizado",L2092&lt;&gt;""),L2092/60,0)</f>
        <v>0</v>
      </c>
      <c r="V2092" s="47">
        <f>IF(AND(H2092="Realizado",OR(L2092="",M2092="")),1,0)</f>
        <v>0</v>
      </c>
    </row>
    <row r="2093">
      <c r="A2093" s="43" t="n"/>
      <c r="B2093" s="44" t="n"/>
      <c r="C2093" s="38" t="n"/>
      <c r="D2093" s="38" t="n"/>
      <c r="E2093" s="37" t="n"/>
      <c r="F2093" s="38" t="n"/>
      <c r="G2093" s="38" t="n"/>
      <c r="H2093" s="38" t="n"/>
      <c r="I2093" s="38" t="n"/>
      <c r="J2093" s="38" t="n"/>
      <c r="K2093" s="37" t="n"/>
      <c r="L2093" s="39" t="n"/>
      <c r="M2093" s="40" t="n"/>
      <c r="N2093" s="30">
        <f>IF(A2093="","",MONTH(A2093))</f>
        <v/>
      </c>
      <c r="O2093" s="30">
        <f>IF(A2093="","",YEAR(A2093))</f>
        <v/>
      </c>
      <c r="P2093" s="30">
        <f>IF(A2093="","",CHOOSE(WEEKDAY(A2093,2),"Segunda","Terça","Quarta","Quinta","Sexta","Sábado","Domingo"))</f>
        <v/>
      </c>
      <c r="Q2093" s="30">
        <f>IF(B2093="","",IF(B2093&lt;TIME(12,0,0),"Manhã",IF(B2093&lt;TIME(18,0,0),"Tarde","Noite")))</f>
        <v/>
      </c>
      <c r="R2093" s="46">
        <f>IF(AND(H2093="Realizado",L2093&lt;&gt;"",A2093&lt;=Config!$B$9),L2093/60,0)</f>
        <v>0</v>
      </c>
      <c r="S2093" s="45">
        <f>IF(G2093="","",IFERROR(INDEX(Config!$K$5:$K$16,MATCH(G2093,Config!$J$5:$J$16,0)),""))</f>
        <v/>
      </c>
      <c r="T2093" s="31">
        <f>IF(OR(G2093="",F2093=""),"",IFERROR(INDEX(Config!$M$5:$R$16,MATCH(G2093,Config!$J$5:$J$16,0),MATCH(F2093,Config!$H$5:$H$10,0)),""))</f>
        <v/>
      </c>
      <c r="U2093" s="47">
        <f>IF(AND(H2093="Realizado",L2093&lt;&gt;""),L2093/60,0)</f>
        <v>0</v>
      </c>
      <c r="V2093" s="47">
        <f>IF(AND(H2093="Realizado",OR(L2093="",M2093="")),1,0)</f>
        <v>0</v>
      </c>
    </row>
    <row r="2094">
      <c r="A2094" s="43" t="n"/>
      <c r="B2094" s="44" t="n"/>
      <c r="C2094" s="38" t="n"/>
      <c r="D2094" s="38" t="n"/>
      <c r="E2094" s="37" t="n"/>
      <c r="F2094" s="38" t="n"/>
      <c r="G2094" s="38" t="n"/>
      <c r="H2094" s="38" t="n"/>
      <c r="I2094" s="38" t="n"/>
      <c r="J2094" s="38" t="n"/>
      <c r="K2094" s="37" t="n"/>
      <c r="L2094" s="39" t="n"/>
      <c r="M2094" s="40" t="n"/>
      <c r="N2094" s="30">
        <f>IF(A2094="","",MONTH(A2094))</f>
        <v/>
      </c>
      <c r="O2094" s="30">
        <f>IF(A2094="","",YEAR(A2094))</f>
        <v/>
      </c>
      <c r="P2094" s="30">
        <f>IF(A2094="","",CHOOSE(WEEKDAY(A2094,2),"Segunda","Terça","Quarta","Quinta","Sexta","Sábado","Domingo"))</f>
        <v/>
      </c>
      <c r="Q2094" s="30">
        <f>IF(B2094="","",IF(B2094&lt;TIME(12,0,0),"Manhã",IF(B2094&lt;TIME(18,0,0),"Tarde","Noite")))</f>
        <v/>
      </c>
      <c r="R2094" s="46">
        <f>IF(AND(H2094="Realizado",L2094&lt;&gt;"",A2094&lt;=Config!$B$9),L2094/60,0)</f>
        <v>0</v>
      </c>
      <c r="S2094" s="45">
        <f>IF(G2094="","",IFERROR(INDEX(Config!$K$5:$K$16,MATCH(G2094,Config!$J$5:$J$16,0)),""))</f>
        <v/>
      </c>
      <c r="T2094" s="31">
        <f>IF(OR(G2094="",F2094=""),"",IFERROR(INDEX(Config!$M$5:$R$16,MATCH(G2094,Config!$J$5:$J$16,0),MATCH(F2094,Config!$H$5:$H$10,0)),""))</f>
        <v/>
      </c>
      <c r="U2094" s="47">
        <f>IF(AND(H2094="Realizado",L2094&lt;&gt;""),L2094/60,0)</f>
        <v>0</v>
      </c>
      <c r="V2094" s="47">
        <f>IF(AND(H2094="Realizado",OR(L2094="",M2094="")),1,0)</f>
        <v>0</v>
      </c>
    </row>
    <row r="2095">
      <c r="A2095" s="43" t="n"/>
      <c r="B2095" s="44" t="n"/>
      <c r="C2095" s="38" t="n"/>
      <c r="D2095" s="38" t="n"/>
      <c r="E2095" s="37" t="n"/>
      <c r="F2095" s="38" t="n"/>
      <c r="G2095" s="38" t="n"/>
      <c r="H2095" s="38" t="n"/>
      <c r="I2095" s="38" t="n"/>
      <c r="J2095" s="38" t="n"/>
      <c r="K2095" s="37" t="n"/>
      <c r="L2095" s="39" t="n"/>
      <c r="M2095" s="40" t="n"/>
      <c r="N2095" s="30">
        <f>IF(A2095="","",MONTH(A2095))</f>
        <v/>
      </c>
      <c r="O2095" s="30">
        <f>IF(A2095="","",YEAR(A2095))</f>
        <v/>
      </c>
      <c r="P2095" s="30">
        <f>IF(A2095="","",CHOOSE(WEEKDAY(A2095,2),"Segunda","Terça","Quarta","Quinta","Sexta","Sábado","Domingo"))</f>
        <v/>
      </c>
      <c r="Q2095" s="30">
        <f>IF(B2095="","",IF(B2095&lt;TIME(12,0,0),"Manhã",IF(B2095&lt;TIME(18,0,0),"Tarde","Noite")))</f>
        <v/>
      </c>
      <c r="R2095" s="46">
        <f>IF(AND(H2095="Realizado",L2095&lt;&gt;"",A2095&lt;=Config!$B$9),L2095/60,0)</f>
        <v>0</v>
      </c>
      <c r="S2095" s="45">
        <f>IF(G2095="","",IFERROR(INDEX(Config!$K$5:$K$16,MATCH(G2095,Config!$J$5:$J$16,0)),""))</f>
        <v/>
      </c>
      <c r="T2095" s="31">
        <f>IF(OR(G2095="",F2095=""),"",IFERROR(INDEX(Config!$M$5:$R$16,MATCH(G2095,Config!$J$5:$J$16,0),MATCH(F2095,Config!$H$5:$H$10,0)),""))</f>
        <v/>
      </c>
      <c r="U2095" s="47">
        <f>IF(AND(H2095="Realizado",L2095&lt;&gt;""),L2095/60,0)</f>
        <v>0</v>
      </c>
      <c r="V2095" s="47">
        <f>IF(AND(H2095="Realizado",OR(L2095="",M2095="")),1,0)</f>
        <v>0</v>
      </c>
    </row>
    <row r="2096">
      <c r="A2096" s="43" t="n"/>
      <c r="B2096" s="44" t="n"/>
      <c r="C2096" s="38" t="n"/>
      <c r="D2096" s="38" t="n"/>
      <c r="E2096" s="37" t="n"/>
      <c r="F2096" s="38" t="n"/>
      <c r="G2096" s="38" t="n"/>
      <c r="H2096" s="38" t="n"/>
      <c r="I2096" s="38" t="n"/>
      <c r="J2096" s="38" t="n"/>
      <c r="K2096" s="37" t="n"/>
      <c r="L2096" s="39" t="n"/>
      <c r="M2096" s="40" t="n"/>
      <c r="N2096" s="30">
        <f>IF(A2096="","",MONTH(A2096))</f>
        <v/>
      </c>
      <c r="O2096" s="30">
        <f>IF(A2096="","",YEAR(A2096))</f>
        <v/>
      </c>
      <c r="P2096" s="30">
        <f>IF(A2096="","",CHOOSE(WEEKDAY(A2096,2),"Segunda","Terça","Quarta","Quinta","Sexta","Sábado","Domingo"))</f>
        <v/>
      </c>
      <c r="Q2096" s="30">
        <f>IF(B2096="","",IF(B2096&lt;TIME(12,0,0),"Manhã",IF(B2096&lt;TIME(18,0,0),"Tarde","Noite")))</f>
        <v/>
      </c>
      <c r="R2096" s="46">
        <f>IF(AND(H2096="Realizado",L2096&lt;&gt;"",A2096&lt;=Config!$B$9),L2096/60,0)</f>
        <v>0</v>
      </c>
      <c r="S2096" s="45">
        <f>IF(G2096="","",IFERROR(INDEX(Config!$K$5:$K$16,MATCH(G2096,Config!$J$5:$J$16,0)),""))</f>
        <v/>
      </c>
      <c r="T2096" s="31">
        <f>IF(OR(G2096="",F2096=""),"",IFERROR(INDEX(Config!$M$5:$R$16,MATCH(G2096,Config!$J$5:$J$16,0),MATCH(F2096,Config!$H$5:$H$10,0)),""))</f>
        <v/>
      </c>
      <c r="U2096" s="47">
        <f>IF(AND(H2096="Realizado",L2096&lt;&gt;""),L2096/60,0)</f>
        <v>0</v>
      </c>
      <c r="V2096" s="47">
        <f>IF(AND(H2096="Realizado",OR(L2096="",M2096="")),1,0)</f>
        <v>0</v>
      </c>
    </row>
    <row r="2097">
      <c r="A2097" s="43" t="n"/>
      <c r="B2097" s="44" t="n"/>
      <c r="C2097" s="38" t="n"/>
      <c r="D2097" s="38" t="n"/>
      <c r="E2097" s="37" t="n"/>
      <c r="F2097" s="38" t="n"/>
      <c r="G2097" s="38" t="n"/>
      <c r="H2097" s="38" t="n"/>
      <c r="I2097" s="38" t="n"/>
      <c r="J2097" s="38" t="n"/>
      <c r="K2097" s="37" t="n"/>
      <c r="L2097" s="39" t="n"/>
      <c r="M2097" s="40" t="n"/>
      <c r="N2097" s="30">
        <f>IF(A2097="","",MONTH(A2097))</f>
        <v/>
      </c>
      <c r="O2097" s="30">
        <f>IF(A2097="","",YEAR(A2097))</f>
        <v/>
      </c>
      <c r="P2097" s="30">
        <f>IF(A2097="","",CHOOSE(WEEKDAY(A2097,2),"Segunda","Terça","Quarta","Quinta","Sexta","Sábado","Domingo"))</f>
        <v/>
      </c>
      <c r="Q2097" s="30">
        <f>IF(B2097="","",IF(B2097&lt;TIME(12,0,0),"Manhã",IF(B2097&lt;TIME(18,0,0),"Tarde","Noite")))</f>
        <v/>
      </c>
      <c r="R2097" s="46">
        <f>IF(AND(H2097="Realizado",L2097&lt;&gt;"",A2097&lt;=Config!$B$9),L2097/60,0)</f>
        <v>0</v>
      </c>
      <c r="S2097" s="45">
        <f>IF(G2097="","",IFERROR(INDEX(Config!$K$5:$K$16,MATCH(G2097,Config!$J$5:$J$16,0)),""))</f>
        <v/>
      </c>
      <c r="T2097" s="31">
        <f>IF(OR(G2097="",F2097=""),"",IFERROR(INDEX(Config!$M$5:$R$16,MATCH(G2097,Config!$J$5:$J$16,0),MATCH(F2097,Config!$H$5:$H$10,0)),""))</f>
        <v/>
      </c>
      <c r="U2097" s="47">
        <f>IF(AND(H2097="Realizado",L2097&lt;&gt;""),L2097/60,0)</f>
        <v>0</v>
      </c>
      <c r="V2097" s="47">
        <f>IF(AND(H2097="Realizado",OR(L2097="",M2097="")),1,0)</f>
        <v>0</v>
      </c>
    </row>
    <row r="2098">
      <c r="A2098" s="43" t="n"/>
      <c r="B2098" s="44" t="n"/>
      <c r="C2098" s="38" t="n"/>
      <c r="D2098" s="38" t="n"/>
      <c r="E2098" s="37" t="n"/>
      <c r="F2098" s="38" t="n"/>
      <c r="G2098" s="38" t="n"/>
      <c r="H2098" s="38" t="n"/>
      <c r="I2098" s="38" t="n"/>
      <c r="J2098" s="38" t="n"/>
      <c r="K2098" s="37" t="n"/>
      <c r="L2098" s="39" t="n"/>
      <c r="M2098" s="40" t="n"/>
      <c r="N2098" s="30">
        <f>IF(A2098="","",MONTH(A2098))</f>
        <v/>
      </c>
      <c r="O2098" s="30">
        <f>IF(A2098="","",YEAR(A2098))</f>
        <v/>
      </c>
      <c r="P2098" s="30">
        <f>IF(A2098="","",CHOOSE(WEEKDAY(A2098,2),"Segunda","Terça","Quarta","Quinta","Sexta","Sábado","Domingo"))</f>
        <v/>
      </c>
      <c r="Q2098" s="30">
        <f>IF(B2098="","",IF(B2098&lt;TIME(12,0,0),"Manhã",IF(B2098&lt;TIME(18,0,0),"Tarde","Noite")))</f>
        <v/>
      </c>
      <c r="R2098" s="46">
        <f>IF(AND(H2098="Realizado",L2098&lt;&gt;"",A2098&lt;=Config!$B$9),L2098/60,0)</f>
        <v>0</v>
      </c>
      <c r="S2098" s="45">
        <f>IF(G2098="","",IFERROR(INDEX(Config!$K$5:$K$16,MATCH(G2098,Config!$J$5:$J$16,0)),""))</f>
        <v/>
      </c>
      <c r="T2098" s="31">
        <f>IF(OR(G2098="",F2098=""),"",IFERROR(INDEX(Config!$M$5:$R$16,MATCH(G2098,Config!$J$5:$J$16,0),MATCH(F2098,Config!$H$5:$H$10,0)),""))</f>
        <v/>
      </c>
      <c r="U2098" s="47">
        <f>IF(AND(H2098="Realizado",L2098&lt;&gt;""),L2098/60,0)</f>
        <v>0</v>
      </c>
      <c r="V2098" s="47">
        <f>IF(AND(H2098="Realizado",OR(L2098="",M2098="")),1,0)</f>
        <v>0</v>
      </c>
    </row>
    <row r="2099">
      <c r="A2099" s="43" t="n"/>
      <c r="B2099" s="44" t="n"/>
      <c r="C2099" s="38" t="n"/>
      <c r="D2099" s="38" t="n"/>
      <c r="E2099" s="37" t="n"/>
      <c r="F2099" s="38" t="n"/>
      <c r="G2099" s="38" t="n"/>
      <c r="H2099" s="38" t="n"/>
      <c r="I2099" s="38" t="n"/>
      <c r="J2099" s="38" t="n"/>
      <c r="K2099" s="37" t="n"/>
      <c r="L2099" s="39" t="n"/>
      <c r="M2099" s="40" t="n"/>
      <c r="N2099" s="30">
        <f>IF(A2099="","",MONTH(A2099))</f>
        <v/>
      </c>
      <c r="O2099" s="30">
        <f>IF(A2099="","",YEAR(A2099))</f>
        <v/>
      </c>
      <c r="P2099" s="30">
        <f>IF(A2099="","",CHOOSE(WEEKDAY(A2099,2),"Segunda","Terça","Quarta","Quinta","Sexta","Sábado","Domingo"))</f>
        <v/>
      </c>
      <c r="Q2099" s="30">
        <f>IF(B2099="","",IF(B2099&lt;TIME(12,0,0),"Manhã",IF(B2099&lt;TIME(18,0,0),"Tarde","Noite")))</f>
        <v/>
      </c>
      <c r="R2099" s="46">
        <f>IF(AND(H2099="Realizado",L2099&lt;&gt;"",A2099&lt;=Config!$B$9),L2099/60,0)</f>
        <v>0</v>
      </c>
      <c r="S2099" s="45">
        <f>IF(G2099="","",IFERROR(INDEX(Config!$K$5:$K$16,MATCH(G2099,Config!$J$5:$J$16,0)),""))</f>
        <v/>
      </c>
      <c r="T2099" s="31">
        <f>IF(OR(G2099="",F2099=""),"",IFERROR(INDEX(Config!$M$5:$R$16,MATCH(G2099,Config!$J$5:$J$16,0),MATCH(F2099,Config!$H$5:$H$10,0)),""))</f>
        <v/>
      </c>
      <c r="U2099" s="47">
        <f>IF(AND(H2099="Realizado",L2099&lt;&gt;""),L2099/60,0)</f>
        <v>0</v>
      </c>
      <c r="V2099" s="47">
        <f>IF(AND(H2099="Realizado",OR(L2099="",M2099="")),1,0)</f>
        <v>0</v>
      </c>
    </row>
    <row r="2100">
      <c r="A2100" s="43" t="n"/>
      <c r="B2100" s="44" t="n"/>
      <c r="C2100" s="38" t="n"/>
      <c r="D2100" s="38" t="n"/>
      <c r="E2100" s="37" t="n"/>
      <c r="F2100" s="38" t="n"/>
      <c r="G2100" s="38" t="n"/>
      <c r="H2100" s="38" t="n"/>
      <c r="I2100" s="38" t="n"/>
      <c r="J2100" s="38" t="n"/>
      <c r="K2100" s="37" t="n"/>
      <c r="L2100" s="39" t="n"/>
      <c r="M2100" s="40" t="n"/>
      <c r="N2100" s="30">
        <f>IF(A2100="","",MONTH(A2100))</f>
        <v/>
      </c>
      <c r="O2100" s="30">
        <f>IF(A2100="","",YEAR(A2100))</f>
        <v/>
      </c>
      <c r="P2100" s="30">
        <f>IF(A2100="","",CHOOSE(WEEKDAY(A2100,2),"Segunda","Terça","Quarta","Quinta","Sexta","Sábado","Domingo"))</f>
        <v/>
      </c>
      <c r="Q2100" s="30">
        <f>IF(B2100="","",IF(B2100&lt;TIME(12,0,0),"Manhã",IF(B2100&lt;TIME(18,0,0),"Tarde","Noite")))</f>
        <v/>
      </c>
      <c r="R2100" s="46">
        <f>IF(AND(H2100="Realizado",L2100&lt;&gt;"",A2100&lt;=Config!$B$9),L2100/60,0)</f>
        <v>0</v>
      </c>
      <c r="S2100" s="45">
        <f>IF(G2100="","",IFERROR(INDEX(Config!$K$5:$K$16,MATCH(G2100,Config!$J$5:$J$16,0)),""))</f>
        <v/>
      </c>
      <c r="T2100" s="31">
        <f>IF(OR(G2100="",F2100=""),"",IFERROR(INDEX(Config!$M$5:$R$16,MATCH(G2100,Config!$J$5:$J$16,0),MATCH(F2100,Config!$H$5:$H$10,0)),""))</f>
        <v/>
      </c>
      <c r="U2100" s="47">
        <f>IF(AND(H2100="Realizado",L2100&lt;&gt;""),L2100/60,0)</f>
        <v>0</v>
      </c>
      <c r="V2100" s="47">
        <f>IF(AND(H2100="Realizado",OR(L2100="",M2100="")),1,0)</f>
        <v>0</v>
      </c>
    </row>
    <row r="2101">
      <c r="A2101" s="43" t="n"/>
      <c r="B2101" s="44" t="n"/>
      <c r="C2101" s="38" t="n"/>
      <c r="D2101" s="38" t="n"/>
      <c r="E2101" s="37" t="n"/>
      <c r="F2101" s="38" t="n"/>
      <c r="G2101" s="38" t="n"/>
      <c r="H2101" s="38" t="n"/>
      <c r="I2101" s="38" t="n"/>
      <c r="J2101" s="38" t="n"/>
      <c r="K2101" s="37" t="n"/>
      <c r="L2101" s="39" t="n"/>
      <c r="M2101" s="40" t="n"/>
      <c r="N2101" s="30">
        <f>IF(A2101="","",MONTH(A2101))</f>
        <v/>
      </c>
      <c r="O2101" s="30">
        <f>IF(A2101="","",YEAR(A2101))</f>
        <v/>
      </c>
      <c r="P2101" s="30">
        <f>IF(A2101="","",CHOOSE(WEEKDAY(A2101,2),"Segunda","Terça","Quarta","Quinta","Sexta","Sábado","Domingo"))</f>
        <v/>
      </c>
      <c r="Q2101" s="30">
        <f>IF(B2101="","",IF(B2101&lt;TIME(12,0,0),"Manhã",IF(B2101&lt;TIME(18,0,0),"Tarde","Noite")))</f>
        <v/>
      </c>
      <c r="R2101" s="46">
        <f>IF(AND(H2101="Realizado",L2101&lt;&gt;"",A2101&lt;=Config!$B$9),L2101/60,0)</f>
        <v>0</v>
      </c>
      <c r="S2101" s="45">
        <f>IF(G2101="","",IFERROR(INDEX(Config!$K$5:$K$16,MATCH(G2101,Config!$J$5:$J$16,0)),""))</f>
        <v/>
      </c>
      <c r="T2101" s="31">
        <f>IF(OR(G2101="",F2101=""),"",IFERROR(INDEX(Config!$M$5:$R$16,MATCH(G2101,Config!$J$5:$J$16,0),MATCH(F2101,Config!$H$5:$H$10,0)),""))</f>
        <v/>
      </c>
      <c r="U2101" s="47">
        <f>IF(AND(H2101="Realizado",L2101&lt;&gt;""),L2101/60,0)</f>
        <v>0</v>
      </c>
      <c r="V2101" s="47">
        <f>IF(AND(H2101="Realizado",OR(L2101="",M2101="")),1,0)</f>
        <v>0</v>
      </c>
    </row>
    <row r="2102">
      <c r="A2102" s="43" t="n"/>
      <c r="B2102" s="44" t="n"/>
      <c r="C2102" s="38" t="n"/>
      <c r="D2102" s="38" t="n"/>
      <c r="E2102" s="37" t="n"/>
      <c r="F2102" s="38" t="n"/>
      <c r="G2102" s="38" t="n"/>
      <c r="H2102" s="38" t="n"/>
      <c r="I2102" s="38" t="n"/>
      <c r="J2102" s="38" t="n"/>
      <c r="K2102" s="37" t="n"/>
      <c r="L2102" s="39" t="n"/>
      <c r="M2102" s="40" t="n"/>
      <c r="N2102" s="30">
        <f>IF(A2102="","",MONTH(A2102))</f>
        <v/>
      </c>
      <c r="O2102" s="30">
        <f>IF(A2102="","",YEAR(A2102))</f>
        <v/>
      </c>
      <c r="P2102" s="30">
        <f>IF(A2102="","",CHOOSE(WEEKDAY(A2102,2),"Segunda","Terça","Quarta","Quinta","Sexta","Sábado","Domingo"))</f>
        <v/>
      </c>
      <c r="Q2102" s="30">
        <f>IF(B2102="","",IF(B2102&lt;TIME(12,0,0),"Manhã",IF(B2102&lt;TIME(18,0,0),"Tarde","Noite")))</f>
        <v/>
      </c>
      <c r="R2102" s="46">
        <f>IF(AND(H2102="Realizado",L2102&lt;&gt;"",A2102&lt;=Config!$B$9),L2102/60,0)</f>
        <v>0</v>
      </c>
      <c r="S2102" s="45">
        <f>IF(G2102="","",IFERROR(INDEX(Config!$K$5:$K$16,MATCH(G2102,Config!$J$5:$J$16,0)),""))</f>
        <v/>
      </c>
      <c r="T2102" s="31">
        <f>IF(OR(G2102="",F2102=""),"",IFERROR(INDEX(Config!$M$5:$R$16,MATCH(G2102,Config!$J$5:$J$16,0),MATCH(F2102,Config!$H$5:$H$10,0)),""))</f>
        <v/>
      </c>
      <c r="U2102" s="47">
        <f>IF(AND(H2102="Realizado",L2102&lt;&gt;""),L2102/60,0)</f>
        <v>0</v>
      </c>
      <c r="V2102" s="47">
        <f>IF(AND(H2102="Realizado",OR(L2102="",M2102="")),1,0)</f>
        <v>0</v>
      </c>
    </row>
    <row r="2103">
      <c r="A2103" s="43" t="n"/>
      <c r="B2103" s="44" t="n"/>
      <c r="C2103" s="38" t="n"/>
      <c r="D2103" s="38" t="n"/>
      <c r="E2103" s="37" t="n"/>
      <c r="F2103" s="38" t="n"/>
      <c r="G2103" s="38" t="n"/>
      <c r="H2103" s="38" t="n"/>
      <c r="I2103" s="38" t="n"/>
      <c r="J2103" s="38" t="n"/>
      <c r="K2103" s="37" t="n"/>
      <c r="L2103" s="39" t="n"/>
      <c r="M2103" s="40" t="n"/>
      <c r="N2103" s="30">
        <f>IF(A2103="","",MONTH(A2103))</f>
        <v/>
      </c>
      <c r="O2103" s="30">
        <f>IF(A2103="","",YEAR(A2103))</f>
        <v/>
      </c>
      <c r="P2103" s="30">
        <f>IF(A2103="","",CHOOSE(WEEKDAY(A2103,2),"Segunda","Terça","Quarta","Quinta","Sexta","Sábado","Domingo"))</f>
        <v/>
      </c>
      <c r="Q2103" s="30">
        <f>IF(B2103="","",IF(B2103&lt;TIME(12,0,0),"Manhã",IF(B2103&lt;TIME(18,0,0),"Tarde","Noite")))</f>
        <v/>
      </c>
      <c r="R2103" s="46">
        <f>IF(AND(H2103="Realizado",L2103&lt;&gt;"",A2103&lt;=Config!$B$9),L2103/60,0)</f>
        <v>0</v>
      </c>
      <c r="S2103" s="45">
        <f>IF(G2103="","",IFERROR(INDEX(Config!$K$5:$K$16,MATCH(G2103,Config!$J$5:$J$16,0)),""))</f>
        <v/>
      </c>
      <c r="T2103" s="31">
        <f>IF(OR(G2103="",F2103=""),"",IFERROR(INDEX(Config!$M$5:$R$16,MATCH(G2103,Config!$J$5:$J$16,0),MATCH(F2103,Config!$H$5:$H$10,0)),""))</f>
        <v/>
      </c>
      <c r="U2103" s="47">
        <f>IF(AND(H2103="Realizado",L2103&lt;&gt;""),L2103/60,0)</f>
        <v>0</v>
      </c>
      <c r="V2103" s="47">
        <f>IF(AND(H2103="Realizado",OR(L2103="",M2103="")),1,0)</f>
        <v>0</v>
      </c>
    </row>
    <row r="2104">
      <c r="A2104" s="43" t="n"/>
      <c r="B2104" s="44" t="n"/>
      <c r="C2104" s="38" t="n"/>
      <c r="D2104" s="38" t="n"/>
      <c r="E2104" s="37" t="n"/>
      <c r="F2104" s="38" t="n"/>
      <c r="G2104" s="38" t="n"/>
      <c r="H2104" s="38" t="n"/>
      <c r="I2104" s="38" t="n"/>
      <c r="J2104" s="38" t="n"/>
      <c r="K2104" s="37" t="n"/>
      <c r="L2104" s="39" t="n"/>
      <c r="M2104" s="40" t="n"/>
      <c r="N2104" s="30">
        <f>IF(A2104="","",MONTH(A2104))</f>
        <v/>
      </c>
      <c r="O2104" s="30">
        <f>IF(A2104="","",YEAR(A2104))</f>
        <v/>
      </c>
      <c r="P2104" s="30">
        <f>IF(A2104="","",CHOOSE(WEEKDAY(A2104,2),"Segunda","Terça","Quarta","Quinta","Sexta","Sábado","Domingo"))</f>
        <v/>
      </c>
      <c r="Q2104" s="30">
        <f>IF(B2104="","",IF(B2104&lt;TIME(12,0,0),"Manhã",IF(B2104&lt;TIME(18,0,0),"Tarde","Noite")))</f>
        <v/>
      </c>
      <c r="R2104" s="46">
        <f>IF(AND(H2104="Realizado",L2104&lt;&gt;"",A2104&lt;=Config!$B$9),L2104/60,0)</f>
        <v>0</v>
      </c>
      <c r="S2104" s="45">
        <f>IF(G2104="","",IFERROR(INDEX(Config!$K$5:$K$16,MATCH(G2104,Config!$J$5:$J$16,0)),""))</f>
        <v/>
      </c>
      <c r="T2104" s="31">
        <f>IF(OR(G2104="",F2104=""),"",IFERROR(INDEX(Config!$M$5:$R$16,MATCH(G2104,Config!$J$5:$J$16,0),MATCH(F2104,Config!$H$5:$H$10,0)),""))</f>
        <v/>
      </c>
      <c r="U2104" s="47">
        <f>IF(AND(H2104="Realizado",L2104&lt;&gt;""),L2104/60,0)</f>
        <v>0</v>
      </c>
      <c r="V2104" s="47">
        <f>IF(AND(H2104="Realizado",OR(L2104="",M2104="")),1,0)</f>
        <v>0</v>
      </c>
    </row>
    <row r="2105">
      <c r="A2105" s="43" t="n"/>
      <c r="B2105" s="44" t="n"/>
      <c r="C2105" s="38" t="n"/>
      <c r="D2105" s="38" t="n"/>
      <c r="E2105" s="37" t="n"/>
      <c r="F2105" s="38" t="n"/>
      <c r="G2105" s="38" t="n"/>
      <c r="H2105" s="38" t="n"/>
      <c r="I2105" s="38" t="n"/>
      <c r="J2105" s="38" t="n"/>
      <c r="K2105" s="37" t="n"/>
      <c r="L2105" s="39" t="n"/>
      <c r="M2105" s="40" t="n"/>
      <c r="N2105" s="30">
        <f>IF(A2105="","",MONTH(A2105))</f>
        <v/>
      </c>
      <c r="O2105" s="30">
        <f>IF(A2105="","",YEAR(A2105))</f>
        <v/>
      </c>
      <c r="P2105" s="30">
        <f>IF(A2105="","",CHOOSE(WEEKDAY(A2105,2),"Segunda","Terça","Quarta","Quinta","Sexta","Sábado","Domingo"))</f>
        <v/>
      </c>
      <c r="Q2105" s="30">
        <f>IF(B2105="","",IF(B2105&lt;TIME(12,0,0),"Manhã",IF(B2105&lt;TIME(18,0,0),"Tarde","Noite")))</f>
        <v/>
      </c>
      <c r="R2105" s="46">
        <f>IF(AND(H2105="Realizado",L2105&lt;&gt;"",A2105&lt;=Config!$B$9),L2105/60,0)</f>
        <v>0</v>
      </c>
      <c r="S2105" s="45">
        <f>IF(G2105="","",IFERROR(INDEX(Config!$K$5:$K$16,MATCH(G2105,Config!$J$5:$J$16,0)),""))</f>
        <v/>
      </c>
      <c r="T2105" s="31">
        <f>IF(OR(G2105="",F2105=""),"",IFERROR(INDEX(Config!$M$5:$R$16,MATCH(G2105,Config!$J$5:$J$16,0),MATCH(F2105,Config!$H$5:$H$10,0)),""))</f>
        <v/>
      </c>
      <c r="U2105" s="47">
        <f>IF(AND(H2105="Realizado",L2105&lt;&gt;""),L2105/60,0)</f>
        <v>0</v>
      </c>
      <c r="V2105" s="47">
        <f>IF(AND(H2105="Realizado",OR(L2105="",M2105="")),1,0)</f>
        <v>0</v>
      </c>
    </row>
    <row r="2106">
      <c r="A2106" s="43" t="n"/>
      <c r="B2106" s="44" t="n"/>
      <c r="C2106" s="38" t="n"/>
      <c r="D2106" s="38" t="n"/>
      <c r="E2106" s="37" t="n"/>
      <c r="F2106" s="38" t="n"/>
      <c r="G2106" s="38" t="n"/>
      <c r="H2106" s="38" t="n"/>
      <c r="I2106" s="38" t="n"/>
      <c r="J2106" s="38" t="n"/>
      <c r="K2106" s="37" t="n"/>
      <c r="L2106" s="39" t="n"/>
      <c r="M2106" s="40" t="n"/>
      <c r="N2106" s="30">
        <f>IF(A2106="","",MONTH(A2106))</f>
        <v/>
      </c>
      <c r="O2106" s="30">
        <f>IF(A2106="","",YEAR(A2106))</f>
        <v/>
      </c>
      <c r="P2106" s="30">
        <f>IF(A2106="","",CHOOSE(WEEKDAY(A2106,2),"Segunda","Terça","Quarta","Quinta","Sexta","Sábado","Domingo"))</f>
        <v/>
      </c>
      <c r="Q2106" s="30">
        <f>IF(B2106="","",IF(B2106&lt;TIME(12,0,0),"Manhã",IF(B2106&lt;TIME(18,0,0),"Tarde","Noite")))</f>
        <v/>
      </c>
      <c r="R2106" s="46">
        <f>IF(AND(H2106="Realizado",L2106&lt;&gt;"",A2106&lt;=Config!$B$9),L2106/60,0)</f>
        <v>0</v>
      </c>
      <c r="S2106" s="45">
        <f>IF(G2106="","",IFERROR(INDEX(Config!$K$5:$K$16,MATCH(G2106,Config!$J$5:$J$16,0)),""))</f>
        <v/>
      </c>
      <c r="T2106" s="31">
        <f>IF(OR(G2106="",F2106=""),"",IFERROR(INDEX(Config!$M$5:$R$16,MATCH(G2106,Config!$J$5:$J$16,0),MATCH(F2106,Config!$H$5:$H$10,0)),""))</f>
        <v/>
      </c>
      <c r="U2106" s="47">
        <f>IF(AND(H2106="Realizado",L2106&lt;&gt;""),L2106/60,0)</f>
        <v>0</v>
      </c>
      <c r="V2106" s="47">
        <f>IF(AND(H2106="Realizado",OR(L2106="",M2106="")),1,0)</f>
        <v>0</v>
      </c>
    </row>
    <row r="2107">
      <c r="A2107" s="43" t="n"/>
      <c r="B2107" s="44" t="n"/>
      <c r="C2107" s="38" t="n"/>
      <c r="D2107" s="38" t="n"/>
      <c r="E2107" s="37" t="n"/>
      <c r="F2107" s="38" t="n"/>
      <c r="G2107" s="38" t="n"/>
      <c r="H2107" s="38" t="n"/>
      <c r="I2107" s="38" t="n"/>
      <c r="J2107" s="38" t="n"/>
      <c r="K2107" s="37" t="n"/>
      <c r="L2107" s="39" t="n"/>
      <c r="M2107" s="40" t="n"/>
      <c r="N2107" s="30">
        <f>IF(A2107="","",MONTH(A2107))</f>
        <v/>
      </c>
      <c r="O2107" s="30">
        <f>IF(A2107="","",YEAR(A2107))</f>
        <v/>
      </c>
      <c r="P2107" s="30">
        <f>IF(A2107="","",CHOOSE(WEEKDAY(A2107,2),"Segunda","Terça","Quarta","Quinta","Sexta","Sábado","Domingo"))</f>
        <v/>
      </c>
      <c r="Q2107" s="30">
        <f>IF(B2107="","",IF(B2107&lt;TIME(12,0,0),"Manhã",IF(B2107&lt;TIME(18,0,0),"Tarde","Noite")))</f>
        <v/>
      </c>
      <c r="R2107" s="46">
        <f>IF(AND(H2107="Realizado",L2107&lt;&gt;"",A2107&lt;=Config!$B$9),L2107/60,0)</f>
        <v>0</v>
      </c>
      <c r="S2107" s="45">
        <f>IF(G2107="","",IFERROR(INDEX(Config!$K$5:$K$16,MATCH(G2107,Config!$J$5:$J$16,0)),""))</f>
        <v/>
      </c>
      <c r="T2107" s="31">
        <f>IF(OR(G2107="",F2107=""),"",IFERROR(INDEX(Config!$M$5:$R$16,MATCH(G2107,Config!$J$5:$J$16,0),MATCH(F2107,Config!$H$5:$H$10,0)),""))</f>
        <v/>
      </c>
      <c r="U2107" s="47">
        <f>IF(AND(H2107="Realizado",L2107&lt;&gt;""),L2107/60,0)</f>
        <v>0</v>
      </c>
      <c r="V2107" s="47">
        <f>IF(AND(H2107="Realizado",OR(L2107="",M2107="")),1,0)</f>
        <v>0</v>
      </c>
    </row>
    <row r="2108">
      <c r="A2108" s="43" t="n"/>
      <c r="B2108" s="44" t="n"/>
      <c r="C2108" s="38" t="n"/>
      <c r="D2108" s="38" t="n"/>
      <c r="E2108" s="37" t="n"/>
      <c r="F2108" s="38" t="n"/>
      <c r="G2108" s="38" t="n"/>
      <c r="H2108" s="38" t="n"/>
      <c r="I2108" s="38" t="n"/>
      <c r="J2108" s="38" t="n"/>
      <c r="K2108" s="37" t="n"/>
      <c r="L2108" s="39" t="n"/>
      <c r="M2108" s="40" t="n"/>
      <c r="N2108" s="30">
        <f>IF(A2108="","",MONTH(A2108))</f>
        <v/>
      </c>
      <c r="O2108" s="30">
        <f>IF(A2108="","",YEAR(A2108))</f>
        <v/>
      </c>
      <c r="P2108" s="30">
        <f>IF(A2108="","",CHOOSE(WEEKDAY(A2108,2),"Segunda","Terça","Quarta","Quinta","Sexta","Sábado","Domingo"))</f>
        <v/>
      </c>
      <c r="Q2108" s="30">
        <f>IF(B2108="","",IF(B2108&lt;TIME(12,0,0),"Manhã",IF(B2108&lt;TIME(18,0,0),"Tarde","Noite")))</f>
        <v/>
      </c>
      <c r="R2108" s="46">
        <f>IF(AND(H2108="Realizado",L2108&lt;&gt;"",A2108&lt;=Config!$B$9),L2108/60,0)</f>
        <v>0</v>
      </c>
      <c r="S2108" s="45">
        <f>IF(G2108="","",IFERROR(INDEX(Config!$K$5:$K$16,MATCH(G2108,Config!$J$5:$J$16,0)),""))</f>
        <v/>
      </c>
      <c r="T2108" s="31">
        <f>IF(OR(G2108="",F2108=""),"",IFERROR(INDEX(Config!$M$5:$R$16,MATCH(G2108,Config!$J$5:$J$16,0),MATCH(F2108,Config!$H$5:$H$10,0)),""))</f>
        <v/>
      </c>
      <c r="U2108" s="47">
        <f>IF(AND(H2108="Realizado",L2108&lt;&gt;""),L2108/60,0)</f>
        <v>0</v>
      </c>
      <c r="V2108" s="47">
        <f>IF(AND(H2108="Realizado",OR(L2108="",M2108="")),1,0)</f>
        <v>0</v>
      </c>
    </row>
    <row r="2109">
      <c r="A2109" s="43" t="n"/>
      <c r="B2109" s="44" t="n"/>
      <c r="C2109" s="38" t="n"/>
      <c r="D2109" s="38" t="n"/>
      <c r="E2109" s="37" t="n"/>
      <c r="F2109" s="38" t="n"/>
      <c r="G2109" s="38" t="n"/>
      <c r="H2109" s="38" t="n"/>
      <c r="I2109" s="38" t="n"/>
      <c r="J2109" s="38" t="n"/>
      <c r="K2109" s="37" t="n"/>
      <c r="L2109" s="39" t="n"/>
      <c r="M2109" s="40" t="n"/>
      <c r="N2109" s="30">
        <f>IF(A2109="","",MONTH(A2109))</f>
        <v/>
      </c>
      <c r="O2109" s="30">
        <f>IF(A2109="","",YEAR(A2109))</f>
        <v/>
      </c>
      <c r="P2109" s="30">
        <f>IF(A2109="","",CHOOSE(WEEKDAY(A2109,2),"Segunda","Terça","Quarta","Quinta","Sexta","Sábado","Domingo"))</f>
        <v/>
      </c>
      <c r="Q2109" s="30">
        <f>IF(B2109="","",IF(B2109&lt;TIME(12,0,0),"Manhã",IF(B2109&lt;TIME(18,0,0),"Tarde","Noite")))</f>
        <v/>
      </c>
      <c r="R2109" s="46">
        <f>IF(AND(H2109="Realizado",L2109&lt;&gt;"",A2109&lt;=Config!$B$9),L2109/60,0)</f>
        <v>0</v>
      </c>
      <c r="S2109" s="45">
        <f>IF(G2109="","",IFERROR(INDEX(Config!$K$5:$K$16,MATCH(G2109,Config!$J$5:$J$16,0)),""))</f>
        <v/>
      </c>
      <c r="T2109" s="31">
        <f>IF(OR(G2109="",F2109=""),"",IFERROR(INDEX(Config!$M$5:$R$16,MATCH(G2109,Config!$J$5:$J$16,0),MATCH(F2109,Config!$H$5:$H$10,0)),""))</f>
        <v/>
      </c>
      <c r="U2109" s="47">
        <f>IF(AND(H2109="Realizado",L2109&lt;&gt;""),L2109/60,0)</f>
        <v>0</v>
      </c>
      <c r="V2109" s="47">
        <f>IF(AND(H2109="Realizado",OR(L2109="",M2109="")),1,0)</f>
        <v>0</v>
      </c>
    </row>
    <row r="2110">
      <c r="A2110" s="43" t="n"/>
      <c r="B2110" s="44" t="n"/>
      <c r="C2110" s="38" t="n"/>
      <c r="D2110" s="38" t="n"/>
      <c r="E2110" s="37" t="n"/>
      <c r="F2110" s="38" t="n"/>
      <c r="G2110" s="38" t="n"/>
      <c r="H2110" s="38" t="n"/>
      <c r="I2110" s="38" t="n"/>
      <c r="J2110" s="38" t="n"/>
      <c r="K2110" s="37" t="n"/>
      <c r="L2110" s="39" t="n"/>
      <c r="M2110" s="40" t="n"/>
      <c r="N2110" s="30">
        <f>IF(A2110="","",MONTH(A2110))</f>
        <v/>
      </c>
      <c r="O2110" s="30">
        <f>IF(A2110="","",YEAR(A2110))</f>
        <v/>
      </c>
      <c r="P2110" s="30">
        <f>IF(A2110="","",CHOOSE(WEEKDAY(A2110,2),"Segunda","Terça","Quarta","Quinta","Sexta","Sábado","Domingo"))</f>
        <v/>
      </c>
      <c r="Q2110" s="30">
        <f>IF(B2110="","",IF(B2110&lt;TIME(12,0,0),"Manhã",IF(B2110&lt;TIME(18,0,0),"Tarde","Noite")))</f>
        <v/>
      </c>
      <c r="R2110" s="46">
        <f>IF(AND(H2110="Realizado",L2110&lt;&gt;"",A2110&lt;=Config!$B$9),L2110/60,0)</f>
        <v>0</v>
      </c>
      <c r="S2110" s="45">
        <f>IF(G2110="","",IFERROR(INDEX(Config!$K$5:$K$16,MATCH(G2110,Config!$J$5:$J$16,0)),""))</f>
        <v/>
      </c>
      <c r="T2110" s="31">
        <f>IF(OR(G2110="",F2110=""),"",IFERROR(INDEX(Config!$M$5:$R$16,MATCH(G2110,Config!$J$5:$J$16,0),MATCH(F2110,Config!$H$5:$H$10,0)),""))</f>
        <v/>
      </c>
      <c r="U2110" s="47">
        <f>IF(AND(H2110="Realizado",L2110&lt;&gt;""),L2110/60,0)</f>
        <v>0</v>
      </c>
      <c r="V2110" s="47">
        <f>IF(AND(H2110="Realizado",OR(L2110="",M2110="")),1,0)</f>
        <v>0</v>
      </c>
    </row>
    <row r="2111">
      <c r="A2111" s="43" t="n"/>
      <c r="B2111" s="44" t="n"/>
      <c r="C2111" s="38" t="n"/>
      <c r="D2111" s="38" t="n"/>
      <c r="E2111" s="37" t="n"/>
      <c r="F2111" s="38" t="n"/>
      <c r="G2111" s="38" t="n"/>
      <c r="H2111" s="38" t="n"/>
      <c r="I2111" s="38" t="n"/>
      <c r="J2111" s="38" t="n"/>
      <c r="K2111" s="37" t="n"/>
      <c r="L2111" s="39" t="n"/>
      <c r="M2111" s="40" t="n"/>
      <c r="N2111" s="30">
        <f>IF(A2111="","",MONTH(A2111))</f>
        <v/>
      </c>
      <c r="O2111" s="30">
        <f>IF(A2111="","",YEAR(A2111))</f>
        <v/>
      </c>
      <c r="P2111" s="30">
        <f>IF(A2111="","",CHOOSE(WEEKDAY(A2111,2),"Segunda","Terça","Quarta","Quinta","Sexta","Sábado","Domingo"))</f>
        <v/>
      </c>
      <c r="Q2111" s="30">
        <f>IF(B2111="","",IF(B2111&lt;TIME(12,0,0),"Manhã",IF(B2111&lt;TIME(18,0,0),"Tarde","Noite")))</f>
        <v/>
      </c>
      <c r="R2111" s="46">
        <f>IF(AND(H2111="Realizado",L2111&lt;&gt;"",A2111&lt;=Config!$B$9),L2111/60,0)</f>
        <v>0</v>
      </c>
      <c r="S2111" s="45">
        <f>IF(G2111="","",IFERROR(INDEX(Config!$K$5:$K$16,MATCH(G2111,Config!$J$5:$J$16,0)),""))</f>
        <v/>
      </c>
      <c r="T2111" s="31">
        <f>IF(OR(G2111="",F2111=""),"",IFERROR(INDEX(Config!$M$5:$R$16,MATCH(G2111,Config!$J$5:$J$16,0),MATCH(F2111,Config!$H$5:$H$10,0)),""))</f>
        <v/>
      </c>
      <c r="U2111" s="47">
        <f>IF(AND(H2111="Realizado",L2111&lt;&gt;""),L2111/60,0)</f>
        <v>0</v>
      </c>
      <c r="V2111" s="47">
        <f>IF(AND(H2111="Realizado",OR(L2111="",M2111="")),1,0)</f>
        <v>0</v>
      </c>
    </row>
    <row r="2112">
      <c r="A2112" s="43" t="n"/>
      <c r="B2112" s="44" t="n"/>
      <c r="C2112" s="38" t="n"/>
      <c r="D2112" s="38" t="n"/>
      <c r="E2112" s="37" t="n"/>
      <c r="F2112" s="38" t="n"/>
      <c r="G2112" s="38" t="n"/>
      <c r="H2112" s="38" t="n"/>
      <c r="I2112" s="38" t="n"/>
      <c r="J2112" s="38" t="n"/>
      <c r="K2112" s="37" t="n"/>
      <c r="L2112" s="39" t="n"/>
      <c r="M2112" s="40" t="n"/>
      <c r="N2112" s="30">
        <f>IF(A2112="","",MONTH(A2112))</f>
        <v/>
      </c>
      <c r="O2112" s="30">
        <f>IF(A2112="","",YEAR(A2112))</f>
        <v/>
      </c>
      <c r="P2112" s="30">
        <f>IF(A2112="","",CHOOSE(WEEKDAY(A2112,2),"Segunda","Terça","Quarta","Quinta","Sexta","Sábado","Domingo"))</f>
        <v/>
      </c>
      <c r="Q2112" s="30">
        <f>IF(B2112="","",IF(B2112&lt;TIME(12,0,0),"Manhã",IF(B2112&lt;TIME(18,0,0),"Tarde","Noite")))</f>
        <v/>
      </c>
      <c r="R2112" s="46">
        <f>IF(AND(H2112="Realizado",L2112&lt;&gt;"",A2112&lt;=Config!$B$9),L2112/60,0)</f>
        <v>0</v>
      </c>
      <c r="S2112" s="45">
        <f>IF(G2112="","",IFERROR(INDEX(Config!$K$5:$K$16,MATCH(G2112,Config!$J$5:$J$16,0)),""))</f>
        <v/>
      </c>
      <c r="T2112" s="31">
        <f>IF(OR(G2112="",F2112=""),"",IFERROR(INDEX(Config!$M$5:$R$16,MATCH(G2112,Config!$J$5:$J$16,0),MATCH(F2112,Config!$H$5:$H$10,0)),""))</f>
        <v/>
      </c>
      <c r="U2112" s="47">
        <f>IF(AND(H2112="Realizado",L2112&lt;&gt;""),L2112/60,0)</f>
        <v>0</v>
      </c>
      <c r="V2112" s="47">
        <f>IF(AND(H2112="Realizado",OR(L2112="",M2112="")),1,0)</f>
        <v>0</v>
      </c>
    </row>
    <row r="2113">
      <c r="A2113" s="43" t="n"/>
      <c r="B2113" s="44" t="n"/>
      <c r="C2113" s="38" t="n"/>
      <c r="D2113" s="38" t="n"/>
      <c r="E2113" s="37" t="n"/>
      <c r="F2113" s="38" t="n"/>
      <c r="G2113" s="38" t="n"/>
      <c r="H2113" s="38" t="n"/>
      <c r="I2113" s="38" t="n"/>
      <c r="J2113" s="38" t="n"/>
      <c r="K2113" s="37" t="n"/>
      <c r="L2113" s="39" t="n"/>
      <c r="M2113" s="40" t="n"/>
      <c r="N2113" s="30">
        <f>IF(A2113="","",MONTH(A2113))</f>
        <v/>
      </c>
      <c r="O2113" s="30">
        <f>IF(A2113="","",YEAR(A2113))</f>
        <v/>
      </c>
      <c r="P2113" s="30">
        <f>IF(A2113="","",CHOOSE(WEEKDAY(A2113,2),"Segunda","Terça","Quarta","Quinta","Sexta","Sábado","Domingo"))</f>
        <v/>
      </c>
      <c r="Q2113" s="30">
        <f>IF(B2113="","",IF(B2113&lt;TIME(12,0,0),"Manhã",IF(B2113&lt;TIME(18,0,0),"Tarde","Noite")))</f>
        <v/>
      </c>
      <c r="R2113" s="46">
        <f>IF(AND(H2113="Realizado",L2113&lt;&gt;"",A2113&lt;=Config!$B$9),L2113/60,0)</f>
        <v>0</v>
      </c>
      <c r="S2113" s="45">
        <f>IF(G2113="","",IFERROR(INDEX(Config!$K$5:$K$16,MATCH(G2113,Config!$J$5:$J$16,0)),""))</f>
        <v/>
      </c>
      <c r="T2113" s="31">
        <f>IF(OR(G2113="",F2113=""),"",IFERROR(INDEX(Config!$M$5:$R$16,MATCH(G2113,Config!$J$5:$J$16,0),MATCH(F2113,Config!$H$5:$H$10,0)),""))</f>
        <v/>
      </c>
      <c r="U2113" s="47">
        <f>IF(AND(H2113="Realizado",L2113&lt;&gt;""),L2113/60,0)</f>
        <v>0</v>
      </c>
      <c r="V2113" s="47">
        <f>IF(AND(H2113="Realizado",OR(L2113="",M2113="")),1,0)</f>
        <v>0</v>
      </c>
    </row>
    <row r="2114">
      <c r="A2114" s="43" t="n"/>
      <c r="B2114" s="44" t="n"/>
      <c r="C2114" s="38" t="n"/>
      <c r="D2114" s="38" t="n"/>
      <c r="E2114" s="37" t="n"/>
      <c r="F2114" s="38" t="n"/>
      <c r="G2114" s="38" t="n"/>
      <c r="H2114" s="38" t="n"/>
      <c r="I2114" s="38" t="n"/>
      <c r="J2114" s="38" t="n"/>
      <c r="K2114" s="37" t="n"/>
      <c r="L2114" s="39" t="n"/>
      <c r="M2114" s="40" t="n"/>
      <c r="N2114" s="30">
        <f>IF(A2114="","",MONTH(A2114))</f>
        <v/>
      </c>
      <c r="O2114" s="30">
        <f>IF(A2114="","",YEAR(A2114))</f>
        <v/>
      </c>
      <c r="P2114" s="30">
        <f>IF(A2114="","",CHOOSE(WEEKDAY(A2114,2),"Segunda","Terça","Quarta","Quinta","Sexta","Sábado","Domingo"))</f>
        <v/>
      </c>
      <c r="Q2114" s="30">
        <f>IF(B2114="","",IF(B2114&lt;TIME(12,0,0),"Manhã",IF(B2114&lt;TIME(18,0,0),"Tarde","Noite")))</f>
        <v/>
      </c>
      <c r="R2114" s="46">
        <f>IF(AND(H2114="Realizado",L2114&lt;&gt;"",A2114&lt;=Config!$B$9),L2114/60,0)</f>
        <v>0</v>
      </c>
      <c r="S2114" s="45">
        <f>IF(G2114="","",IFERROR(INDEX(Config!$K$5:$K$16,MATCH(G2114,Config!$J$5:$J$16,0)),""))</f>
        <v/>
      </c>
      <c r="T2114" s="31">
        <f>IF(OR(G2114="",F2114=""),"",IFERROR(INDEX(Config!$M$5:$R$16,MATCH(G2114,Config!$J$5:$J$16,0),MATCH(F2114,Config!$H$5:$H$10,0)),""))</f>
        <v/>
      </c>
      <c r="U2114" s="47">
        <f>IF(AND(H2114="Realizado",L2114&lt;&gt;""),L2114/60,0)</f>
        <v>0</v>
      </c>
      <c r="V2114" s="47">
        <f>IF(AND(H2114="Realizado",OR(L2114="",M2114="")),1,0)</f>
        <v>0</v>
      </c>
    </row>
    <row r="2115">
      <c r="A2115" s="43" t="n"/>
      <c r="B2115" s="44" t="n"/>
      <c r="C2115" s="38" t="n"/>
      <c r="D2115" s="38" t="n"/>
      <c r="E2115" s="37" t="n"/>
      <c r="F2115" s="38" t="n"/>
      <c r="G2115" s="38" t="n"/>
      <c r="H2115" s="38" t="n"/>
      <c r="I2115" s="38" t="n"/>
      <c r="J2115" s="38" t="n"/>
      <c r="K2115" s="37" t="n"/>
      <c r="L2115" s="39" t="n"/>
      <c r="M2115" s="40" t="n"/>
      <c r="N2115" s="30">
        <f>IF(A2115="","",MONTH(A2115))</f>
        <v/>
      </c>
      <c r="O2115" s="30">
        <f>IF(A2115="","",YEAR(A2115))</f>
        <v/>
      </c>
      <c r="P2115" s="30">
        <f>IF(A2115="","",CHOOSE(WEEKDAY(A2115,2),"Segunda","Terça","Quarta","Quinta","Sexta","Sábado","Domingo"))</f>
        <v/>
      </c>
      <c r="Q2115" s="30">
        <f>IF(B2115="","",IF(B2115&lt;TIME(12,0,0),"Manhã",IF(B2115&lt;TIME(18,0,0),"Tarde","Noite")))</f>
        <v/>
      </c>
      <c r="R2115" s="46">
        <f>IF(AND(H2115="Realizado",L2115&lt;&gt;"",A2115&lt;=Config!$B$9),L2115/60,0)</f>
        <v>0</v>
      </c>
      <c r="S2115" s="45">
        <f>IF(G2115="","",IFERROR(INDEX(Config!$K$5:$K$16,MATCH(G2115,Config!$J$5:$J$16,0)),""))</f>
        <v/>
      </c>
      <c r="T2115" s="31">
        <f>IF(OR(G2115="",F2115=""),"",IFERROR(INDEX(Config!$M$5:$R$16,MATCH(G2115,Config!$J$5:$J$16,0),MATCH(F2115,Config!$H$5:$H$10,0)),""))</f>
        <v/>
      </c>
      <c r="U2115" s="47">
        <f>IF(AND(H2115="Realizado",L2115&lt;&gt;""),L2115/60,0)</f>
        <v>0</v>
      </c>
      <c r="V2115" s="47">
        <f>IF(AND(H2115="Realizado",OR(L2115="",M2115="")),1,0)</f>
        <v>0</v>
      </c>
    </row>
    <row r="2116">
      <c r="A2116" s="43" t="n"/>
      <c r="B2116" s="44" t="n"/>
      <c r="C2116" s="38" t="n"/>
      <c r="D2116" s="38" t="n"/>
      <c r="E2116" s="37" t="n"/>
      <c r="F2116" s="38" t="n"/>
      <c r="G2116" s="38" t="n"/>
      <c r="H2116" s="38" t="n"/>
      <c r="I2116" s="38" t="n"/>
      <c r="J2116" s="38" t="n"/>
      <c r="K2116" s="37" t="n"/>
      <c r="L2116" s="39" t="n"/>
      <c r="M2116" s="40" t="n"/>
      <c r="N2116" s="30">
        <f>IF(A2116="","",MONTH(A2116))</f>
        <v/>
      </c>
      <c r="O2116" s="30">
        <f>IF(A2116="","",YEAR(A2116))</f>
        <v/>
      </c>
      <c r="P2116" s="30">
        <f>IF(A2116="","",CHOOSE(WEEKDAY(A2116,2),"Segunda","Terça","Quarta","Quinta","Sexta","Sábado","Domingo"))</f>
        <v/>
      </c>
      <c r="Q2116" s="30">
        <f>IF(B2116="","",IF(B2116&lt;TIME(12,0,0),"Manhã",IF(B2116&lt;TIME(18,0,0),"Tarde","Noite")))</f>
        <v/>
      </c>
      <c r="R2116" s="46">
        <f>IF(AND(H2116="Realizado",L2116&lt;&gt;"",A2116&lt;=Config!$B$9),L2116/60,0)</f>
        <v>0</v>
      </c>
      <c r="S2116" s="45">
        <f>IF(G2116="","",IFERROR(INDEX(Config!$K$5:$K$16,MATCH(G2116,Config!$J$5:$J$16,0)),""))</f>
        <v/>
      </c>
      <c r="T2116" s="31">
        <f>IF(OR(G2116="",F2116=""),"",IFERROR(INDEX(Config!$M$5:$R$16,MATCH(G2116,Config!$J$5:$J$16,0),MATCH(F2116,Config!$H$5:$H$10,0)),""))</f>
        <v/>
      </c>
      <c r="U2116" s="47">
        <f>IF(AND(H2116="Realizado",L2116&lt;&gt;""),L2116/60,0)</f>
        <v>0</v>
      </c>
      <c r="V2116" s="47">
        <f>IF(AND(H2116="Realizado",OR(L2116="",M2116="")),1,0)</f>
        <v>0</v>
      </c>
    </row>
    <row r="2117">
      <c r="A2117" s="43" t="n"/>
      <c r="B2117" s="44" t="n"/>
      <c r="C2117" s="38" t="n"/>
      <c r="D2117" s="38" t="n"/>
      <c r="E2117" s="37" t="n"/>
      <c r="F2117" s="38" t="n"/>
      <c r="G2117" s="38" t="n"/>
      <c r="H2117" s="38" t="n"/>
      <c r="I2117" s="38" t="n"/>
      <c r="J2117" s="38" t="n"/>
      <c r="K2117" s="37" t="n"/>
      <c r="L2117" s="39" t="n"/>
      <c r="M2117" s="40" t="n"/>
      <c r="N2117" s="30">
        <f>IF(A2117="","",MONTH(A2117))</f>
        <v/>
      </c>
      <c r="O2117" s="30">
        <f>IF(A2117="","",YEAR(A2117))</f>
        <v/>
      </c>
      <c r="P2117" s="30">
        <f>IF(A2117="","",CHOOSE(WEEKDAY(A2117,2),"Segunda","Terça","Quarta","Quinta","Sexta","Sábado","Domingo"))</f>
        <v/>
      </c>
      <c r="Q2117" s="30">
        <f>IF(B2117="","",IF(B2117&lt;TIME(12,0,0),"Manhã",IF(B2117&lt;TIME(18,0,0),"Tarde","Noite")))</f>
        <v/>
      </c>
      <c r="R2117" s="46">
        <f>IF(AND(H2117="Realizado",L2117&lt;&gt;"",A2117&lt;=Config!$B$9),L2117/60,0)</f>
        <v>0</v>
      </c>
      <c r="S2117" s="45">
        <f>IF(G2117="","",IFERROR(INDEX(Config!$K$5:$K$16,MATCH(G2117,Config!$J$5:$J$16,0)),""))</f>
        <v/>
      </c>
      <c r="T2117" s="31">
        <f>IF(OR(G2117="",F2117=""),"",IFERROR(INDEX(Config!$M$5:$R$16,MATCH(G2117,Config!$J$5:$J$16,0),MATCH(F2117,Config!$H$5:$H$10,0)),""))</f>
        <v/>
      </c>
      <c r="U2117" s="47">
        <f>IF(AND(H2117="Realizado",L2117&lt;&gt;""),L2117/60,0)</f>
        <v>0</v>
      </c>
      <c r="V2117" s="47">
        <f>IF(AND(H2117="Realizado",OR(L2117="",M2117="")),1,0)</f>
        <v>0</v>
      </c>
    </row>
    <row r="2118">
      <c r="A2118" s="43" t="n"/>
      <c r="B2118" s="44" t="n"/>
      <c r="C2118" s="38" t="n"/>
      <c r="D2118" s="38" t="n"/>
      <c r="E2118" s="37" t="n"/>
      <c r="F2118" s="38" t="n"/>
      <c r="G2118" s="38" t="n"/>
      <c r="H2118" s="38" t="n"/>
      <c r="I2118" s="38" t="n"/>
      <c r="J2118" s="38" t="n"/>
      <c r="K2118" s="37" t="n"/>
      <c r="L2118" s="39" t="n"/>
      <c r="M2118" s="40" t="n"/>
      <c r="N2118" s="30">
        <f>IF(A2118="","",MONTH(A2118))</f>
        <v/>
      </c>
      <c r="O2118" s="30">
        <f>IF(A2118="","",YEAR(A2118))</f>
        <v/>
      </c>
      <c r="P2118" s="30">
        <f>IF(A2118="","",CHOOSE(WEEKDAY(A2118,2),"Segunda","Terça","Quarta","Quinta","Sexta","Sábado","Domingo"))</f>
        <v/>
      </c>
      <c r="Q2118" s="30">
        <f>IF(B2118="","",IF(B2118&lt;TIME(12,0,0),"Manhã",IF(B2118&lt;TIME(18,0,0),"Tarde","Noite")))</f>
        <v/>
      </c>
      <c r="R2118" s="46">
        <f>IF(AND(H2118="Realizado",L2118&lt;&gt;"",A2118&lt;=Config!$B$9),L2118/60,0)</f>
        <v>0</v>
      </c>
      <c r="S2118" s="45">
        <f>IF(G2118="","",IFERROR(INDEX(Config!$K$5:$K$16,MATCH(G2118,Config!$J$5:$J$16,0)),""))</f>
        <v/>
      </c>
      <c r="T2118" s="31">
        <f>IF(OR(G2118="",F2118=""),"",IFERROR(INDEX(Config!$M$5:$R$16,MATCH(G2118,Config!$J$5:$J$16,0),MATCH(F2118,Config!$H$5:$H$10,0)),""))</f>
        <v/>
      </c>
      <c r="U2118" s="47">
        <f>IF(AND(H2118="Realizado",L2118&lt;&gt;""),L2118/60,0)</f>
        <v>0</v>
      </c>
      <c r="V2118" s="47">
        <f>IF(AND(H2118="Realizado",OR(L2118="",M2118="")),1,0)</f>
        <v>0</v>
      </c>
    </row>
    <row r="2119">
      <c r="A2119" s="43" t="n"/>
      <c r="B2119" s="44" t="n"/>
      <c r="C2119" s="38" t="n"/>
      <c r="D2119" s="38" t="n"/>
      <c r="E2119" s="37" t="n"/>
      <c r="F2119" s="38" t="n"/>
      <c r="G2119" s="38" t="n"/>
      <c r="H2119" s="38" t="n"/>
      <c r="I2119" s="38" t="n"/>
      <c r="J2119" s="38" t="n"/>
      <c r="K2119" s="37" t="n"/>
      <c r="L2119" s="39" t="n"/>
      <c r="M2119" s="40" t="n"/>
      <c r="N2119" s="30">
        <f>IF(A2119="","",MONTH(A2119))</f>
        <v/>
      </c>
      <c r="O2119" s="30">
        <f>IF(A2119="","",YEAR(A2119))</f>
        <v/>
      </c>
      <c r="P2119" s="30">
        <f>IF(A2119="","",CHOOSE(WEEKDAY(A2119,2),"Segunda","Terça","Quarta","Quinta","Sexta","Sábado","Domingo"))</f>
        <v/>
      </c>
      <c r="Q2119" s="30">
        <f>IF(B2119="","",IF(B2119&lt;TIME(12,0,0),"Manhã",IF(B2119&lt;TIME(18,0,0),"Tarde","Noite")))</f>
        <v/>
      </c>
      <c r="R2119" s="46">
        <f>IF(AND(H2119="Realizado",L2119&lt;&gt;"",A2119&lt;=Config!$B$9),L2119/60,0)</f>
        <v>0</v>
      </c>
      <c r="S2119" s="45">
        <f>IF(G2119="","",IFERROR(INDEX(Config!$K$5:$K$16,MATCH(G2119,Config!$J$5:$J$16,0)),""))</f>
        <v/>
      </c>
      <c r="T2119" s="31">
        <f>IF(OR(G2119="",F2119=""),"",IFERROR(INDEX(Config!$M$5:$R$16,MATCH(G2119,Config!$J$5:$J$16,0),MATCH(F2119,Config!$H$5:$H$10,0)),""))</f>
        <v/>
      </c>
      <c r="U2119" s="47">
        <f>IF(AND(H2119="Realizado",L2119&lt;&gt;""),L2119/60,0)</f>
        <v>0</v>
      </c>
      <c r="V2119" s="47">
        <f>IF(AND(H2119="Realizado",OR(L2119="",M2119="")),1,0)</f>
        <v>0</v>
      </c>
    </row>
    <row r="2120">
      <c r="A2120" s="43" t="n"/>
      <c r="B2120" s="44" t="n"/>
      <c r="C2120" s="38" t="n"/>
      <c r="D2120" s="38" t="n"/>
      <c r="E2120" s="37" t="n"/>
      <c r="F2120" s="38" t="n"/>
      <c r="G2120" s="38" t="n"/>
      <c r="H2120" s="38" t="n"/>
      <c r="I2120" s="38" t="n"/>
      <c r="J2120" s="38" t="n"/>
      <c r="K2120" s="37" t="n"/>
      <c r="L2120" s="39" t="n"/>
      <c r="M2120" s="40" t="n"/>
      <c r="N2120" s="30">
        <f>IF(A2120="","",MONTH(A2120))</f>
        <v/>
      </c>
      <c r="O2120" s="30">
        <f>IF(A2120="","",YEAR(A2120))</f>
        <v/>
      </c>
      <c r="P2120" s="30">
        <f>IF(A2120="","",CHOOSE(WEEKDAY(A2120,2),"Segunda","Terça","Quarta","Quinta","Sexta","Sábado","Domingo"))</f>
        <v/>
      </c>
      <c r="Q2120" s="30">
        <f>IF(B2120="","",IF(B2120&lt;TIME(12,0,0),"Manhã",IF(B2120&lt;TIME(18,0,0),"Tarde","Noite")))</f>
        <v/>
      </c>
      <c r="R2120" s="46">
        <f>IF(AND(H2120="Realizado",L2120&lt;&gt;"",A2120&lt;=Config!$B$9),L2120/60,0)</f>
        <v>0</v>
      </c>
      <c r="S2120" s="45">
        <f>IF(G2120="","",IFERROR(INDEX(Config!$K$5:$K$16,MATCH(G2120,Config!$J$5:$J$16,0)),""))</f>
        <v/>
      </c>
      <c r="T2120" s="31">
        <f>IF(OR(G2120="",F2120=""),"",IFERROR(INDEX(Config!$M$5:$R$16,MATCH(G2120,Config!$J$5:$J$16,0),MATCH(F2120,Config!$H$5:$H$10,0)),""))</f>
        <v/>
      </c>
      <c r="U2120" s="47">
        <f>IF(AND(H2120="Realizado",L2120&lt;&gt;""),L2120/60,0)</f>
        <v>0</v>
      </c>
      <c r="V2120" s="47">
        <f>IF(AND(H2120="Realizado",OR(L2120="",M2120="")),1,0)</f>
        <v>0</v>
      </c>
    </row>
    <row r="2121">
      <c r="A2121" s="43" t="n"/>
      <c r="B2121" s="44" t="n"/>
      <c r="C2121" s="38" t="n"/>
      <c r="D2121" s="38" t="n"/>
      <c r="E2121" s="37" t="n"/>
      <c r="F2121" s="38" t="n"/>
      <c r="G2121" s="38" t="n"/>
      <c r="H2121" s="38" t="n"/>
      <c r="I2121" s="38" t="n"/>
      <c r="J2121" s="38" t="n"/>
      <c r="K2121" s="37" t="n"/>
      <c r="L2121" s="39" t="n"/>
      <c r="M2121" s="40" t="n"/>
      <c r="N2121" s="30">
        <f>IF(A2121="","",MONTH(A2121))</f>
        <v/>
      </c>
      <c r="O2121" s="30">
        <f>IF(A2121="","",YEAR(A2121))</f>
        <v/>
      </c>
      <c r="P2121" s="30">
        <f>IF(A2121="","",CHOOSE(WEEKDAY(A2121,2),"Segunda","Terça","Quarta","Quinta","Sexta","Sábado","Domingo"))</f>
        <v/>
      </c>
      <c r="Q2121" s="30">
        <f>IF(B2121="","",IF(B2121&lt;TIME(12,0,0),"Manhã",IF(B2121&lt;TIME(18,0,0),"Tarde","Noite")))</f>
        <v/>
      </c>
      <c r="R2121" s="46">
        <f>IF(AND(H2121="Realizado",L2121&lt;&gt;"",A2121&lt;=Config!$B$9),L2121/60,0)</f>
        <v>0</v>
      </c>
      <c r="S2121" s="45">
        <f>IF(G2121="","",IFERROR(INDEX(Config!$K$5:$K$16,MATCH(G2121,Config!$J$5:$J$16,0)),""))</f>
        <v/>
      </c>
      <c r="T2121" s="31">
        <f>IF(OR(G2121="",F2121=""),"",IFERROR(INDEX(Config!$M$5:$R$16,MATCH(G2121,Config!$J$5:$J$16,0),MATCH(F2121,Config!$H$5:$H$10,0)),""))</f>
        <v/>
      </c>
      <c r="U2121" s="47">
        <f>IF(AND(H2121="Realizado",L2121&lt;&gt;""),L2121/60,0)</f>
        <v>0</v>
      </c>
      <c r="V2121" s="47">
        <f>IF(AND(H2121="Realizado",OR(L2121="",M2121="")),1,0)</f>
        <v>0</v>
      </c>
    </row>
    <row r="2122">
      <c r="A2122" s="43" t="n"/>
      <c r="B2122" s="44" t="n"/>
      <c r="C2122" s="38" t="n"/>
      <c r="D2122" s="38" t="n"/>
      <c r="E2122" s="37" t="n"/>
      <c r="F2122" s="38" t="n"/>
      <c r="G2122" s="38" t="n"/>
      <c r="H2122" s="38" t="n"/>
      <c r="I2122" s="38" t="n"/>
      <c r="J2122" s="38" t="n"/>
      <c r="K2122" s="37" t="n"/>
      <c r="L2122" s="39" t="n"/>
      <c r="M2122" s="40" t="n"/>
      <c r="N2122" s="30">
        <f>IF(A2122="","",MONTH(A2122))</f>
        <v/>
      </c>
      <c r="O2122" s="30">
        <f>IF(A2122="","",YEAR(A2122))</f>
        <v/>
      </c>
      <c r="P2122" s="30">
        <f>IF(A2122="","",CHOOSE(WEEKDAY(A2122,2),"Segunda","Terça","Quarta","Quinta","Sexta","Sábado","Domingo"))</f>
        <v/>
      </c>
      <c r="Q2122" s="30">
        <f>IF(B2122="","",IF(B2122&lt;TIME(12,0,0),"Manhã",IF(B2122&lt;TIME(18,0,0),"Tarde","Noite")))</f>
        <v/>
      </c>
      <c r="R2122" s="46">
        <f>IF(AND(H2122="Realizado",L2122&lt;&gt;"",A2122&lt;=Config!$B$9),L2122/60,0)</f>
        <v>0</v>
      </c>
      <c r="S2122" s="45">
        <f>IF(G2122="","",IFERROR(INDEX(Config!$K$5:$K$16,MATCH(G2122,Config!$J$5:$J$16,0)),""))</f>
        <v/>
      </c>
      <c r="T2122" s="31">
        <f>IF(OR(G2122="",F2122=""),"",IFERROR(INDEX(Config!$M$5:$R$16,MATCH(G2122,Config!$J$5:$J$16,0),MATCH(F2122,Config!$H$5:$H$10,0)),""))</f>
        <v/>
      </c>
      <c r="U2122" s="47">
        <f>IF(AND(H2122="Realizado",L2122&lt;&gt;""),L2122/60,0)</f>
        <v>0</v>
      </c>
      <c r="V2122" s="47">
        <f>IF(AND(H2122="Realizado",OR(L2122="",M2122="")),1,0)</f>
        <v>0</v>
      </c>
    </row>
    <row r="2123">
      <c r="A2123" s="43" t="n"/>
      <c r="B2123" s="44" t="n"/>
      <c r="C2123" s="38" t="n"/>
      <c r="D2123" s="38" t="n"/>
      <c r="E2123" s="37" t="n"/>
      <c r="F2123" s="38" t="n"/>
      <c r="G2123" s="38" t="n"/>
      <c r="H2123" s="38" t="n"/>
      <c r="I2123" s="38" t="n"/>
      <c r="J2123" s="38" t="n"/>
      <c r="K2123" s="37" t="n"/>
      <c r="L2123" s="39" t="n"/>
      <c r="M2123" s="40" t="n"/>
      <c r="N2123" s="30">
        <f>IF(A2123="","",MONTH(A2123))</f>
        <v/>
      </c>
      <c r="O2123" s="30">
        <f>IF(A2123="","",YEAR(A2123))</f>
        <v/>
      </c>
      <c r="P2123" s="30">
        <f>IF(A2123="","",CHOOSE(WEEKDAY(A2123,2),"Segunda","Terça","Quarta","Quinta","Sexta","Sábado","Domingo"))</f>
        <v/>
      </c>
      <c r="Q2123" s="30">
        <f>IF(B2123="","",IF(B2123&lt;TIME(12,0,0),"Manhã",IF(B2123&lt;TIME(18,0,0),"Tarde","Noite")))</f>
        <v/>
      </c>
      <c r="R2123" s="46">
        <f>IF(AND(H2123="Realizado",L2123&lt;&gt;"",A2123&lt;=Config!$B$9),L2123/60,0)</f>
        <v>0</v>
      </c>
      <c r="S2123" s="45">
        <f>IF(G2123="","",IFERROR(INDEX(Config!$K$5:$K$16,MATCH(G2123,Config!$J$5:$J$16,0)),""))</f>
        <v/>
      </c>
      <c r="T2123" s="31">
        <f>IF(OR(G2123="",F2123=""),"",IFERROR(INDEX(Config!$M$5:$R$16,MATCH(G2123,Config!$J$5:$J$16,0),MATCH(F2123,Config!$H$5:$H$10,0)),""))</f>
        <v/>
      </c>
      <c r="U2123" s="47">
        <f>IF(AND(H2123="Realizado",L2123&lt;&gt;""),L2123/60,0)</f>
        <v>0</v>
      </c>
      <c r="V2123" s="47">
        <f>IF(AND(H2123="Realizado",OR(L2123="",M2123="")),1,0)</f>
        <v>0</v>
      </c>
    </row>
    <row r="2124">
      <c r="A2124" s="43" t="n"/>
      <c r="B2124" s="44" t="n"/>
      <c r="C2124" s="38" t="n"/>
      <c r="D2124" s="38" t="n"/>
      <c r="E2124" s="37" t="n"/>
      <c r="F2124" s="38" t="n"/>
      <c r="G2124" s="38" t="n"/>
      <c r="H2124" s="38" t="n"/>
      <c r="I2124" s="38" t="n"/>
      <c r="J2124" s="38" t="n"/>
      <c r="K2124" s="37" t="n"/>
      <c r="L2124" s="39" t="n"/>
      <c r="M2124" s="40" t="n"/>
      <c r="N2124" s="30">
        <f>IF(A2124="","",MONTH(A2124))</f>
        <v/>
      </c>
      <c r="O2124" s="30">
        <f>IF(A2124="","",YEAR(A2124))</f>
        <v/>
      </c>
      <c r="P2124" s="30">
        <f>IF(A2124="","",CHOOSE(WEEKDAY(A2124,2),"Segunda","Terça","Quarta","Quinta","Sexta","Sábado","Domingo"))</f>
        <v/>
      </c>
      <c r="Q2124" s="30">
        <f>IF(B2124="","",IF(B2124&lt;TIME(12,0,0),"Manhã",IF(B2124&lt;TIME(18,0,0),"Tarde","Noite")))</f>
        <v/>
      </c>
      <c r="R2124" s="46">
        <f>IF(AND(H2124="Realizado",L2124&lt;&gt;"",A2124&lt;=Config!$B$9),L2124/60,0)</f>
        <v>0</v>
      </c>
      <c r="S2124" s="45">
        <f>IF(G2124="","",IFERROR(INDEX(Config!$K$5:$K$16,MATCH(G2124,Config!$J$5:$J$16,0)),""))</f>
        <v/>
      </c>
      <c r="T2124" s="31">
        <f>IF(OR(G2124="",F2124=""),"",IFERROR(INDEX(Config!$M$5:$R$16,MATCH(G2124,Config!$J$5:$J$16,0),MATCH(F2124,Config!$H$5:$H$10,0)),""))</f>
        <v/>
      </c>
      <c r="U2124" s="47">
        <f>IF(AND(H2124="Realizado",L2124&lt;&gt;""),L2124/60,0)</f>
        <v>0</v>
      </c>
      <c r="V2124" s="47">
        <f>IF(AND(H2124="Realizado",OR(L2124="",M2124="")),1,0)</f>
        <v>0</v>
      </c>
    </row>
    <row r="2125">
      <c r="A2125" s="43" t="n"/>
      <c r="B2125" s="44" t="n"/>
      <c r="C2125" s="38" t="n"/>
      <c r="D2125" s="38" t="n"/>
      <c r="E2125" s="37" t="n"/>
      <c r="F2125" s="38" t="n"/>
      <c r="G2125" s="38" t="n"/>
      <c r="H2125" s="38" t="n"/>
      <c r="I2125" s="38" t="n"/>
      <c r="J2125" s="38" t="n"/>
      <c r="K2125" s="37" t="n"/>
      <c r="L2125" s="39" t="n"/>
      <c r="M2125" s="40" t="n"/>
      <c r="N2125" s="30">
        <f>IF(A2125="","",MONTH(A2125))</f>
        <v/>
      </c>
      <c r="O2125" s="30">
        <f>IF(A2125="","",YEAR(A2125))</f>
        <v/>
      </c>
      <c r="P2125" s="30">
        <f>IF(A2125="","",CHOOSE(WEEKDAY(A2125,2),"Segunda","Terça","Quarta","Quinta","Sexta","Sábado","Domingo"))</f>
        <v/>
      </c>
      <c r="Q2125" s="30">
        <f>IF(B2125="","",IF(B2125&lt;TIME(12,0,0),"Manhã",IF(B2125&lt;TIME(18,0,0),"Tarde","Noite")))</f>
        <v/>
      </c>
      <c r="R2125" s="46">
        <f>IF(AND(H2125="Realizado",L2125&lt;&gt;"",A2125&lt;=Config!$B$9),L2125/60,0)</f>
        <v>0</v>
      </c>
      <c r="S2125" s="45">
        <f>IF(G2125="","",IFERROR(INDEX(Config!$K$5:$K$16,MATCH(G2125,Config!$J$5:$J$16,0)),""))</f>
        <v/>
      </c>
      <c r="T2125" s="31">
        <f>IF(OR(G2125="",F2125=""),"",IFERROR(INDEX(Config!$M$5:$R$16,MATCH(G2125,Config!$J$5:$J$16,0),MATCH(F2125,Config!$H$5:$H$10,0)),""))</f>
        <v/>
      </c>
      <c r="U2125" s="47">
        <f>IF(AND(H2125="Realizado",L2125&lt;&gt;""),L2125/60,0)</f>
        <v>0</v>
      </c>
      <c r="V2125" s="47">
        <f>IF(AND(H2125="Realizado",OR(L2125="",M2125="")),1,0)</f>
        <v>0</v>
      </c>
    </row>
    <row r="2126">
      <c r="A2126" s="43" t="n"/>
      <c r="B2126" s="44" t="n"/>
      <c r="C2126" s="38" t="n"/>
      <c r="D2126" s="38" t="n"/>
      <c r="E2126" s="37" t="n"/>
      <c r="F2126" s="38" t="n"/>
      <c r="G2126" s="38" t="n"/>
      <c r="H2126" s="38" t="n"/>
      <c r="I2126" s="38" t="n"/>
      <c r="J2126" s="38" t="n"/>
      <c r="K2126" s="37" t="n"/>
      <c r="L2126" s="39" t="n"/>
      <c r="M2126" s="40" t="n"/>
      <c r="N2126" s="30">
        <f>IF(A2126="","",MONTH(A2126))</f>
        <v/>
      </c>
      <c r="O2126" s="30">
        <f>IF(A2126="","",YEAR(A2126))</f>
        <v/>
      </c>
      <c r="P2126" s="30">
        <f>IF(A2126="","",CHOOSE(WEEKDAY(A2126,2),"Segunda","Terça","Quarta","Quinta","Sexta","Sábado","Domingo"))</f>
        <v/>
      </c>
      <c r="Q2126" s="30">
        <f>IF(B2126="","",IF(B2126&lt;TIME(12,0,0),"Manhã",IF(B2126&lt;TIME(18,0,0),"Tarde","Noite")))</f>
        <v/>
      </c>
      <c r="R2126" s="46">
        <f>IF(AND(H2126="Realizado",L2126&lt;&gt;"",A2126&lt;=Config!$B$9),L2126/60,0)</f>
        <v>0</v>
      </c>
      <c r="S2126" s="45">
        <f>IF(G2126="","",IFERROR(INDEX(Config!$K$5:$K$16,MATCH(G2126,Config!$J$5:$J$16,0)),""))</f>
        <v/>
      </c>
      <c r="T2126" s="31">
        <f>IF(OR(G2126="",F2126=""),"",IFERROR(INDEX(Config!$M$5:$R$16,MATCH(G2126,Config!$J$5:$J$16,0),MATCH(F2126,Config!$H$5:$H$10,0)),""))</f>
        <v/>
      </c>
      <c r="U2126" s="47">
        <f>IF(AND(H2126="Realizado",L2126&lt;&gt;""),L2126/60,0)</f>
        <v>0</v>
      </c>
      <c r="V2126" s="47">
        <f>IF(AND(H2126="Realizado",OR(L2126="",M2126="")),1,0)</f>
        <v>0</v>
      </c>
    </row>
    <row r="2127">
      <c r="A2127" s="43" t="n"/>
      <c r="B2127" s="44" t="n"/>
      <c r="C2127" s="38" t="n"/>
      <c r="D2127" s="38" t="n"/>
      <c r="E2127" s="37" t="n"/>
      <c r="F2127" s="38" t="n"/>
      <c r="G2127" s="38" t="n"/>
      <c r="H2127" s="38" t="n"/>
      <c r="I2127" s="38" t="n"/>
      <c r="J2127" s="38" t="n"/>
      <c r="K2127" s="37" t="n"/>
      <c r="L2127" s="39" t="n"/>
      <c r="M2127" s="40" t="n"/>
      <c r="N2127" s="30">
        <f>IF(A2127="","",MONTH(A2127))</f>
        <v/>
      </c>
      <c r="O2127" s="30">
        <f>IF(A2127="","",YEAR(A2127))</f>
        <v/>
      </c>
      <c r="P2127" s="30">
        <f>IF(A2127="","",CHOOSE(WEEKDAY(A2127,2),"Segunda","Terça","Quarta","Quinta","Sexta","Sábado","Domingo"))</f>
        <v/>
      </c>
      <c r="Q2127" s="30">
        <f>IF(B2127="","",IF(B2127&lt;TIME(12,0,0),"Manhã",IF(B2127&lt;TIME(18,0,0),"Tarde","Noite")))</f>
        <v/>
      </c>
      <c r="R2127" s="46">
        <f>IF(AND(H2127="Realizado",L2127&lt;&gt;"",A2127&lt;=Config!$B$9),L2127/60,0)</f>
        <v>0</v>
      </c>
      <c r="S2127" s="45">
        <f>IF(G2127="","",IFERROR(INDEX(Config!$K$5:$K$16,MATCH(G2127,Config!$J$5:$J$16,0)),""))</f>
        <v/>
      </c>
      <c r="T2127" s="31">
        <f>IF(OR(G2127="",F2127=""),"",IFERROR(INDEX(Config!$M$5:$R$16,MATCH(G2127,Config!$J$5:$J$16,0),MATCH(F2127,Config!$H$5:$H$10,0)),""))</f>
        <v/>
      </c>
      <c r="U2127" s="47">
        <f>IF(AND(H2127="Realizado",L2127&lt;&gt;""),L2127/60,0)</f>
        <v>0</v>
      </c>
      <c r="V2127" s="47">
        <f>IF(AND(H2127="Realizado",OR(L2127="",M2127="")),1,0)</f>
        <v>0</v>
      </c>
    </row>
    <row r="2128">
      <c r="A2128" s="43" t="n"/>
      <c r="B2128" s="44" t="n"/>
      <c r="C2128" s="38" t="n"/>
      <c r="D2128" s="38" t="n"/>
      <c r="E2128" s="37" t="n"/>
      <c r="F2128" s="38" t="n"/>
      <c r="G2128" s="38" t="n"/>
      <c r="H2128" s="38" t="n"/>
      <c r="I2128" s="38" t="n"/>
      <c r="J2128" s="38" t="n"/>
      <c r="K2128" s="37" t="n"/>
      <c r="L2128" s="39" t="n"/>
      <c r="M2128" s="40" t="n"/>
      <c r="N2128" s="30">
        <f>IF(A2128="","",MONTH(A2128))</f>
        <v/>
      </c>
      <c r="O2128" s="30">
        <f>IF(A2128="","",YEAR(A2128))</f>
        <v/>
      </c>
      <c r="P2128" s="30">
        <f>IF(A2128="","",CHOOSE(WEEKDAY(A2128,2),"Segunda","Terça","Quarta","Quinta","Sexta","Sábado","Domingo"))</f>
        <v/>
      </c>
      <c r="Q2128" s="30">
        <f>IF(B2128="","",IF(B2128&lt;TIME(12,0,0),"Manhã",IF(B2128&lt;TIME(18,0,0),"Tarde","Noite")))</f>
        <v/>
      </c>
      <c r="R2128" s="46">
        <f>IF(AND(H2128="Realizado",L2128&lt;&gt;"",A2128&lt;=Config!$B$9),L2128/60,0)</f>
        <v>0</v>
      </c>
      <c r="S2128" s="45">
        <f>IF(G2128="","",IFERROR(INDEX(Config!$K$5:$K$16,MATCH(G2128,Config!$J$5:$J$16,0)),""))</f>
        <v/>
      </c>
      <c r="T2128" s="31">
        <f>IF(OR(G2128="",F2128=""),"",IFERROR(INDEX(Config!$M$5:$R$16,MATCH(G2128,Config!$J$5:$J$16,0),MATCH(F2128,Config!$H$5:$H$10,0)),""))</f>
        <v/>
      </c>
      <c r="U2128" s="47">
        <f>IF(AND(H2128="Realizado",L2128&lt;&gt;""),L2128/60,0)</f>
        <v>0</v>
      </c>
      <c r="V2128" s="47">
        <f>IF(AND(H2128="Realizado",OR(L2128="",M2128="")),1,0)</f>
        <v>0</v>
      </c>
    </row>
    <row r="2129">
      <c r="A2129" s="43" t="n"/>
      <c r="B2129" s="44" t="n"/>
      <c r="C2129" s="38" t="n"/>
      <c r="D2129" s="38" t="n"/>
      <c r="E2129" s="37" t="n"/>
      <c r="F2129" s="38" t="n"/>
      <c r="G2129" s="38" t="n"/>
      <c r="H2129" s="38" t="n"/>
      <c r="I2129" s="38" t="n"/>
      <c r="J2129" s="38" t="n"/>
      <c r="K2129" s="37" t="n"/>
      <c r="L2129" s="39" t="n"/>
      <c r="M2129" s="40" t="n"/>
      <c r="N2129" s="30">
        <f>IF(A2129="","",MONTH(A2129))</f>
        <v/>
      </c>
      <c r="O2129" s="30">
        <f>IF(A2129="","",YEAR(A2129))</f>
        <v/>
      </c>
      <c r="P2129" s="30">
        <f>IF(A2129="","",CHOOSE(WEEKDAY(A2129,2),"Segunda","Terça","Quarta","Quinta","Sexta","Sábado","Domingo"))</f>
        <v/>
      </c>
      <c r="Q2129" s="30">
        <f>IF(B2129="","",IF(B2129&lt;TIME(12,0,0),"Manhã",IF(B2129&lt;TIME(18,0,0),"Tarde","Noite")))</f>
        <v/>
      </c>
      <c r="R2129" s="46">
        <f>IF(AND(H2129="Realizado",L2129&lt;&gt;"",A2129&lt;=Config!$B$9),L2129/60,0)</f>
        <v>0</v>
      </c>
      <c r="S2129" s="45">
        <f>IF(G2129="","",IFERROR(INDEX(Config!$K$5:$K$16,MATCH(G2129,Config!$J$5:$J$16,0)),""))</f>
        <v/>
      </c>
      <c r="T2129" s="31">
        <f>IF(OR(G2129="",F2129=""),"",IFERROR(INDEX(Config!$M$5:$R$16,MATCH(G2129,Config!$J$5:$J$16,0),MATCH(F2129,Config!$H$5:$H$10,0)),""))</f>
        <v/>
      </c>
      <c r="U2129" s="47">
        <f>IF(AND(H2129="Realizado",L2129&lt;&gt;""),L2129/60,0)</f>
        <v>0</v>
      </c>
      <c r="V2129" s="47">
        <f>IF(AND(H2129="Realizado",OR(L2129="",M2129="")),1,0)</f>
        <v>0</v>
      </c>
    </row>
    <row r="2130">
      <c r="A2130" s="43" t="n"/>
      <c r="B2130" s="44" t="n"/>
      <c r="C2130" s="38" t="n"/>
      <c r="D2130" s="38" t="n"/>
      <c r="E2130" s="37" t="n"/>
      <c r="F2130" s="38" t="n"/>
      <c r="G2130" s="38" t="n"/>
      <c r="H2130" s="38" t="n"/>
      <c r="I2130" s="38" t="n"/>
      <c r="J2130" s="38" t="n"/>
      <c r="K2130" s="37" t="n"/>
      <c r="L2130" s="39" t="n"/>
      <c r="M2130" s="40" t="n"/>
      <c r="N2130" s="30">
        <f>IF(A2130="","",MONTH(A2130))</f>
        <v/>
      </c>
      <c r="O2130" s="30">
        <f>IF(A2130="","",YEAR(A2130))</f>
        <v/>
      </c>
      <c r="P2130" s="30">
        <f>IF(A2130="","",CHOOSE(WEEKDAY(A2130,2),"Segunda","Terça","Quarta","Quinta","Sexta","Sábado","Domingo"))</f>
        <v/>
      </c>
      <c r="Q2130" s="30">
        <f>IF(B2130="","",IF(B2130&lt;TIME(12,0,0),"Manhã",IF(B2130&lt;TIME(18,0,0),"Tarde","Noite")))</f>
        <v/>
      </c>
      <c r="R2130" s="46">
        <f>IF(AND(H2130="Realizado",L2130&lt;&gt;"",A2130&lt;=Config!$B$9),L2130/60,0)</f>
        <v>0</v>
      </c>
      <c r="S2130" s="45">
        <f>IF(G2130="","",IFERROR(INDEX(Config!$K$5:$K$16,MATCH(G2130,Config!$J$5:$J$16,0)),""))</f>
        <v/>
      </c>
      <c r="T2130" s="31">
        <f>IF(OR(G2130="",F2130=""),"",IFERROR(INDEX(Config!$M$5:$R$16,MATCH(G2130,Config!$J$5:$J$16,0),MATCH(F2130,Config!$H$5:$H$10,0)),""))</f>
        <v/>
      </c>
      <c r="U2130" s="47">
        <f>IF(AND(H2130="Realizado",L2130&lt;&gt;""),L2130/60,0)</f>
        <v>0</v>
      </c>
      <c r="V2130" s="47">
        <f>IF(AND(H2130="Realizado",OR(L2130="",M2130="")),1,0)</f>
        <v>0</v>
      </c>
    </row>
    <row r="2131">
      <c r="A2131" s="43" t="n"/>
      <c r="B2131" s="44" t="n"/>
      <c r="C2131" s="38" t="n"/>
      <c r="D2131" s="38" t="n"/>
      <c r="E2131" s="37" t="n"/>
      <c r="F2131" s="38" t="n"/>
      <c r="G2131" s="38" t="n"/>
      <c r="H2131" s="38" t="n"/>
      <c r="I2131" s="38" t="n"/>
      <c r="J2131" s="38" t="n"/>
      <c r="K2131" s="37" t="n"/>
      <c r="L2131" s="39" t="n"/>
      <c r="M2131" s="40" t="n"/>
      <c r="N2131" s="30">
        <f>IF(A2131="","",MONTH(A2131))</f>
        <v/>
      </c>
      <c r="O2131" s="30">
        <f>IF(A2131="","",YEAR(A2131))</f>
        <v/>
      </c>
      <c r="P2131" s="30">
        <f>IF(A2131="","",CHOOSE(WEEKDAY(A2131,2),"Segunda","Terça","Quarta","Quinta","Sexta","Sábado","Domingo"))</f>
        <v/>
      </c>
      <c r="Q2131" s="30">
        <f>IF(B2131="","",IF(B2131&lt;TIME(12,0,0),"Manhã",IF(B2131&lt;TIME(18,0,0),"Tarde","Noite")))</f>
        <v/>
      </c>
      <c r="R2131" s="46">
        <f>IF(AND(H2131="Realizado",L2131&lt;&gt;"",A2131&lt;=Config!$B$9),L2131/60,0)</f>
        <v>0</v>
      </c>
      <c r="S2131" s="45">
        <f>IF(G2131="","",IFERROR(INDEX(Config!$K$5:$K$16,MATCH(G2131,Config!$J$5:$J$16,0)),""))</f>
        <v/>
      </c>
      <c r="T2131" s="31">
        <f>IF(OR(G2131="",F2131=""),"",IFERROR(INDEX(Config!$M$5:$R$16,MATCH(G2131,Config!$J$5:$J$16,0),MATCH(F2131,Config!$H$5:$H$10,0)),""))</f>
        <v/>
      </c>
      <c r="U2131" s="47">
        <f>IF(AND(H2131="Realizado",L2131&lt;&gt;""),L2131/60,0)</f>
        <v>0</v>
      </c>
      <c r="V2131" s="47">
        <f>IF(AND(H2131="Realizado",OR(L2131="",M2131="")),1,0)</f>
        <v>0</v>
      </c>
    </row>
    <row r="2132">
      <c r="A2132" s="43" t="n"/>
      <c r="B2132" s="44" t="n"/>
      <c r="C2132" s="38" t="n"/>
      <c r="D2132" s="38" t="n"/>
      <c r="E2132" s="37" t="n"/>
      <c r="F2132" s="38" t="n"/>
      <c r="G2132" s="38" t="n"/>
      <c r="H2132" s="38" t="n"/>
      <c r="I2132" s="38" t="n"/>
      <c r="J2132" s="38" t="n"/>
      <c r="K2132" s="37" t="n"/>
      <c r="L2132" s="39" t="n"/>
      <c r="M2132" s="40" t="n"/>
      <c r="N2132" s="30">
        <f>IF(A2132="","",MONTH(A2132))</f>
        <v/>
      </c>
      <c r="O2132" s="30">
        <f>IF(A2132="","",YEAR(A2132))</f>
        <v/>
      </c>
      <c r="P2132" s="30">
        <f>IF(A2132="","",CHOOSE(WEEKDAY(A2132,2),"Segunda","Terça","Quarta","Quinta","Sexta","Sábado","Domingo"))</f>
        <v/>
      </c>
      <c r="Q2132" s="30">
        <f>IF(B2132="","",IF(B2132&lt;TIME(12,0,0),"Manhã",IF(B2132&lt;TIME(18,0,0),"Tarde","Noite")))</f>
        <v/>
      </c>
      <c r="R2132" s="46">
        <f>IF(AND(H2132="Realizado",L2132&lt;&gt;"",A2132&lt;=Config!$B$9),L2132/60,0)</f>
        <v>0</v>
      </c>
      <c r="S2132" s="45">
        <f>IF(G2132="","",IFERROR(INDEX(Config!$K$5:$K$16,MATCH(G2132,Config!$J$5:$J$16,0)),""))</f>
        <v/>
      </c>
      <c r="T2132" s="31">
        <f>IF(OR(G2132="",F2132=""),"",IFERROR(INDEX(Config!$M$5:$R$16,MATCH(G2132,Config!$J$5:$J$16,0),MATCH(F2132,Config!$H$5:$H$10,0)),""))</f>
        <v/>
      </c>
      <c r="U2132" s="47">
        <f>IF(AND(H2132="Realizado",L2132&lt;&gt;""),L2132/60,0)</f>
        <v>0</v>
      </c>
      <c r="V2132" s="47">
        <f>IF(AND(H2132="Realizado",OR(L2132="",M2132="")),1,0)</f>
        <v>0</v>
      </c>
    </row>
    <row r="2133">
      <c r="A2133" s="43" t="n"/>
      <c r="B2133" s="44" t="n"/>
      <c r="C2133" s="38" t="n"/>
      <c r="D2133" s="38" t="n"/>
      <c r="E2133" s="37" t="n"/>
      <c r="F2133" s="38" t="n"/>
      <c r="G2133" s="38" t="n"/>
      <c r="H2133" s="38" t="n"/>
      <c r="I2133" s="38" t="n"/>
      <c r="J2133" s="38" t="n"/>
      <c r="K2133" s="37" t="n"/>
      <c r="L2133" s="39" t="n"/>
      <c r="M2133" s="40" t="n"/>
      <c r="N2133" s="30">
        <f>IF(A2133="","",MONTH(A2133))</f>
        <v/>
      </c>
      <c r="O2133" s="30">
        <f>IF(A2133="","",YEAR(A2133))</f>
        <v/>
      </c>
      <c r="P2133" s="30">
        <f>IF(A2133="","",CHOOSE(WEEKDAY(A2133,2),"Segunda","Terça","Quarta","Quinta","Sexta","Sábado","Domingo"))</f>
        <v/>
      </c>
      <c r="Q2133" s="30">
        <f>IF(B2133="","",IF(B2133&lt;TIME(12,0,0),"Manhã",IF(B2133&lt;TIME(18,0,0),"Tarde","Noite")))</f>
        <v/>
      </c>
      <c r="R2133" s="46">
        <f>IF(AND(H2133="Realizado",L2133&lt;&gt;"",A2133&lt;=Config!$B$9),L2133/60,0)</f>
        <v>0</v>
      </c>
      <c r="S2133" s="45">
        <f>IF(G2133="","",IFERROR(INDEX(Config!$K$5:$K$16,MATCH(G2133,Config!$J$5:$J$16,0)),""))</f>
        <v/>
      </c>
      <c r="T2133" s="31">
        <f>IF(OR(G2133="",F2133=""),"",IFERROR(INDEX(Config!$M$5:$R$16,MATCH(G2133,Config!$J$5:$J$16,0),MATCH(F2133,Config!$H$5:$H$10,0)),""))</f>
        <v/>
      </c>
      <c r="U2133" s="47">
        <f>IF(AND(H2133="Realizado",L2133&lt;&gt;""),L2133/60,0)</f>
        <v>0</v>
      </c>
      <c r="V2133" s="47">
        <f>IF(AND(H2133="Realizado",OR(L2133="",M2133="")),1,0)</f>
        <v>0</v>
      </c>
    </row>
    <row r="2134">
      <c r="A2134" s="43" t="n"/>
      <c r="B2134" s="44" t="n"/>
      <c r="C2134" s="38" t="n"/>
      <c r="D2134" s="38" t="n"/>
      <c r="E2134" s="37" t="n"/>
      <c r="F2134" s="38" t="n"/>
      <c r="G2134" s="38" t="n"/>
      <c r="H2134" s="38" t="n"/>
      <c r="I2134" s="38" t="n"/>
      <c r="J2134" s="38" t="n"/>
      <c r="K2134" s="37" t="n"/>
      <c r="L2134" s="39" t="n"/>
      <c r="M2134" s="40" t="n"/>
      <c r="N2134" s="30">
        <f>IF(A2134="","",MONTH(A2134))</f>
        <v/>
      </c>
      <c r="O2134" s="30">
        <f>IF(A2134="","",YEAR(A2134))</f>
        <v/>
      </c>
      <c r="P2134" s="30">
        <f>IF(A2134="","",CHOOSE(WEEKDAY(A2134,2),"Segunda","Terça","Quarta","Quinta","Sexta","Sábado","Domingo"))</f>
        <v/>
      </c>
      <c r="Q2134" s="30">
        <f>IF(B2134="","",IF(B2134&lt;TIME(12,0,0),"Manhã",IF(B2134&lt;TIME(18,0,0),"Tarde","Noite")))</f>
        <v/>
      </c>
      <c r="R2134" s="46">
        <f>IF(AND(H2134="Realizado",L2134&lt;&gt;"",A2134&lt;=Config!$B$9),L2134/60,0)</f>
        <v>0</v>
      </c>
      <c r="S2134" s="45">
        <f>IF(G2134="","",IFERROR(INDEX(Config!$K$5:$K$16,MATCH(G2134,Config!$J$5:$J$16,0)),""))</f>
        <v/>
      </c>
      <c r="T2134" s="31">
        <f>IF(OR(G2134="",F2134=""),"",IFERROR(INDEX(Config!$M$5:$R$16,MATCH(G2134,Config!$J$5:$J$16,0),MATCH(F2134,Config!$H$5:$H$10,0)),""))</f>
        <v/>
      </c>
      <c r="U2134" s="47">
        <f>IF(AND(H2134="Realizado",L2134&lt;&gt;""),L2134/60,0)</f>
        <v>0</v>
      </c>
      <c r="V2134" s="47">
        <f>IF(AND(H2134="Realizado",OR(L2134="",M2134="")),1,0)</f>
        <v>0</v>
      </c>
    </row>
    <row r="2135">
      <c r="A2135" s="43" t="n"/>
      <c r="B2135" s="44" t="n"/>
      <c r="C2135" s="38" t="n"/>
      <c r="D2135" s="38" t="n"/>
      <c r="E2135" s="37" t="n"/>
      <c r="F2135" s="38" t="n"/>
      <c r="G2135" s="38" t="n"/>
      <c r="H2135" s="38" t="n"/>
      <c r="I2135" s="38" t="n"/>
      <c r="J2135" s="38" t="n"/>
      <c r="K2135" s="37" t="n"/>
      <c r="L2135" s="39" t="n"/>
      <c r="M2135" s="40" t="n"/>
      <c r="N2135" s="30">
        <f>IF(A2135="","",MONTH(A2135))</f>
        <v/>
      </c>
      <c r="O2135" s="30">
        <f>IF(A2135="","",YEAR(A2135))</f>
        <v/>
      </c>
      <c r="P2135" s="30">
        <f>IF(A2135="","",CHOOSE(WEEKDAY(A2135,2),"Segunda","Terça","Quarta","Quinta","Sexta","Sábado","Domingo"))</f>
        <v/>
      </c>
      <c r="Q2135" s="30">
        <f>IF(B2135="","",IF(B2135&lt;TIME(12,0,0),"Manhã",IF(B2135&lt;TIME(18,0,0),"Tarde","Noite")))</f>
        <v/>
      </c>
      <c r="R2135" s="46">
        <f>IF(AND(H2135="Realizado",L2135&lt;&gt;"",A2135&lt;=Config!$B$9),L2135/60,0)</f>
        <v>0</v>
      </c>
      <c r="S2135" s="45">
        <f>IF(G2135="","",IFERROR(INDEX(Config!$K$5:$K$16,MATCH(G2135,Config!$J$5:$J$16,0)),""))</f>
        <v/>
      </c>
      <c r="T2135" s="31">
        <f>IF(OR(G2135="",F2135=""),"",IFERROR(INDEX(Config!$M$5:$R$16,MATCH(G2135,Config!$J$5:$J$16,0),MATCH(F2135,Config!$H$5:$H$10,0)),""))</f>
        <v/>
      </c>
      <c r="U2135" s="47">
        <f>IF(AND(H2135="Realizado",L2135&lt;&gt;""),L2135/60,0)</f>
        <v>0</v>
      </c>
      <c r="V2135" s="47">
        <f>IF(AND(H2135="Realizado",OR(L2135="",M2135="")),1,0)</f>
        <v>0</v>
      </c>
    </row>
    <row r="2136">
      <c r="A2136" s="43" t="n"/>
      <c r="B2136" s="44" t="n"/>
      <c r="C2136" s="38" t="n"/>
      <c r="D2136" s="38" t="n"/>
      <c r="E2136" s="37" t="n"/>
      <c r="F2136" s="38" t="n"/>
      <c r="G2136" s="38" t="n"/>
      <c r="H2136" s="38" t="n"/>
      <c r="I2136" s="38" t="n"/>
      <c r="J2136" s="38" t="n"/>
      <c r="K2136" s="37" t="n"/>
      <c r="L2136" s="39" t="n"/>
      <c r="M2136" s="40" t="n"/>
      <c r="N2136" s="30">
        <f>IF(A2136="","",MONTH(A2136))</f>
        <v/>
      </c>
      <c r="O2136" s="30">
        <f>IF(A2136="","",YEAR(A2136))</f>
        <v/>
      </c>
      <c r="P2136" s="30">
        <f>IF(A2136="","",CHOOSE(WEEKDAY(A2136,2),"Segunda","Terça","Quarta","Quinta","Sexta","Sábado","Domingo"))</f>
        <v/>
      </c>
      <c r="Q2136" s="30">
        <f>IF(B2136="","",IF(B2136&lt;TIME(12,0,0),"Manhã",IF(B2136&lt;TIME(18,0,0),"Tarde","Noite")))</f>
        <v/>
      </c>
      <c r="R2136" s="46">
        <f>IF(AND(H2136="Realizado",L2136&lt;&gt;"",A2136&lt;=Config!$B$9),L2136/60,0)</f>
        <v>0</v>
      </c>
      <c r="S2136" s="45">
        <f>IF(G2136="","",IFERROR(INDEX(Config!$K$5:$K$16,MATCH(G2136,Config!$J$5:$J$16,0)),""))</f>
        <v/>
      </c>
      <c r="T2136" s="31">
        <f>IF(OR(G2136="",F2136=""),"",IFERROR(INDEX(Config!$M$5:$R$16,MATCH(G2136,Config!$J$5:$J$16,0),MATCH(F2136,Config!$H$5:$H$10,0)),""))</f>
        <v/>
      </c>
      <c r="U2136" s="47">
        <f>IF(AND(H2136="Realizado",L2136&lt;&gt;""),L2136/60,0)</f>
        <v>0</v>
      </c>
      <c r="V2136" s="47">
        <f>IF(AND(H2136="Realizado",OR(L2136="",M2136="")),1,0)</f>
        <v>0</v>
      </c>
    </row>
    <row r="2137">
      <c r="A2137" s="43" t="n"/>
      <c r="B2137" s="44" t="n"/>
      <c r="C2137" s="38" t="n"/>
      <c r="D2137" s="38" t="n"/>
      <c r="E2137" s="37" t="n"/>
      <c r="F2137" s="38" t="n"/>
      <c r="G2137" s="38" t="n"/>
      <c r="H2137" s="38" t="n"/>
      <c r="I2137" s="38" t="n"/>
      <c r="J2137" s="38" t="n"/>
      <c r="K2137" s="37" t="n"/>
      <c r="L2137" s="39" t="n"/>
      <c r="M2137" s="40" t="n"/>
      <c r="N2137" s="30">
        <f>IF(A2137="","",MONTH(A2137))</f>
        <v/>
      </c>
      <c r="O2137" s="30">
        <f>IF(A2137="","",YEAR(A2137))</f>
        <v/>
      </c>
      <c r="P2137" s="30">
        <f>IF(A2137="","",CHOOSE(WEEKDAY(A2137,2),"Segunda","Terça","Quarta","Quinta","Sexta","Sábado","Domingo"))</f>
        <v/>
      </c>
      <c r="Q2137" s="30">
        <f>IF(B2137="","",IF(B2137&lt;TIME(12,0,0),"Manhã",IF(B2137&lt;TIME(18,0,0),"Tarde","Noite")))</f>
        <v/>
      </c>
      <c r="R2137" s="46">
        <f>IF(AND(H2137="Realizado",L2137&lt;&gt;"",A2137&lt;=Config!$B$9),L2137/60,0)</f>
        <v>0</v>
      </c>
      <c r="S2137" s="45">
        <f>IF(G2137="","",IFERROR(INDEX(Config!$K$5:$K$16,MATCH(G2137,Config!$J$5:$J$16,0)),""))</f>
        <v/>
      </c>
      <c r="T2137" s="31">
        <f>IF(OR(G2137="",F2137=""),"",IFERROR(INDEX(Config!$M$5:$R$16,MATCH(G2137,Config!$J$5:$J$16,0),MATCH(F2137,Config!$H$5:$H$10,0)),""))</f>
        <v/>
      </c>
      <c r="U2137" s="47">
        <f>IF(AND(H2137="Realizado",L2137&lt;&gt;""),L2137/60,0)</f>
        <v>0</v>
      </c>
      <c r="V2137" s="47">
        <f>IF(AND(H2137="Realizado",OR(L2137="",M2137="")),1,0)</f>
        <v>0</v>
      </c>
    </row>
    <row r="2138">
      <c r="A2138" s="43" t="n"/>
      <c r="B2138" s="44" t="n"/>
      <c r="C2138" s="38" t="n"/>
      <c r="D2138" s="38" t="n"/>
      <c r="E2138" s="37" t="n"/>
      <c r="F2138" s="38" t="n"/>
      <c r="G2138" s="38" t="n"/>
      <c r="H2138" s="38" t="n"/>
      <c r="I2138" s="38" t="n"/>
      <c r="J2138" s="38" t="n"/>
      <c r="K2138" s="37" t="n"/>
      <c r="L2138" s="39" t="n"/>
      <c r="M2138" s="40" t="n"/>
      <c r="N2138" s="30">
        <f>IF(A2138="","",MONTH(A2138))</f>
        <v/>
      </c>
      <c r="O2138" s="30">
        <f>IF(A2138="","",YEAR(A2138))</f>
        <v/>
      </c>
      <c r="P2138" s="30">
        <f>IF(A2138="","",CHOOSE(WEEKDAY(A2138,2),"Segunda","Terça","Quarta","Quinta","Sexta","Sábado","Domingo"))</f>
        <v/>
      </c>
      <c r="Q2138" s="30">
        <f>IF(B2138="","",IF(B2138&lt;TIME(12,0,0),"Manhã",IF(B2138&lt;TIME(18,0,0),"Tarde","Noite")))</f>
        <v/>
      </c>
      <c r="R2138" s="46">
        <f>IF(AND(H2138="Realizado",L2138&lt;&gt;"",A2138&lt;=Config!$B$9),L2138/60,0)</f>
        <v>0</v>
      </c>
      <c r="S2138" s="45">
        <f>IF(G2138="","",IFERROR(INDEX(Config!$K$5:$K$16,MATCH(G2138,Config!$J$5:$J$16,0)),""))</f>
        <v/>
      </c>
      <c r="T2138" s="31">
        <f>IF(OR(G2138="",F2138=""),"",IFERROR(INDEX(Config!$M$5:$R$16,MATCH(G2138,Config!$J$5:$J$16,0),MATCH(F2138,Config!$H$5:$H$10,0)),""))</f>
        <v/>
      </c>
      <c r="U2138" s="47">
        <f>IF(AND(H2138="Realizado",L2138&lt;&gt;""),L2138/60,0)</f>
        <v>0</v>
      </c>
      <c r="V2138" s="47">
        <f>IF(AND(H2138="Realizado",OR(L2138="",M2138="")),1,0)</f>
        <v>0</v>
      </c>
    </row>
    <row r="2139">
      <c r="A2139" s="43" t="n"/>
      <c r="B2139" s="44" t="n"/>
      <c r="C2139" s="38" t="n"/>
      <c r="D2139" s="38" t="n"/>
      <c r="E2139" s="37" t="n"/>
      <c r="F2139" s="38" t="n"/>
      <c r="G2139" s="38" t="n"/>
      <c r="H2139" s="38" t="n"/>
      <c r="I2139" s="38" t="n"/>
      <c r="J2139" s="38" t="n"/>
      <c r="K2139" s="37" t="n"/>
      <c r="L2139" s="39" t="n"/>
      <c r="M2139" s="40" t="n"/>
      <c r="N2139" s="30">
        <f>IF(A2139="","",MONTH(A2139))</f>
        <v/>
      </c>
      <c r="O2139" s="30">
        <f>IF(A2139="","",YEAR(A2139))</f>
        <v/>
      </c>
      <c r="P2139" s="30">
        <f>IF(A2139="","",CHOOSE(WEEKDAY(A2139,2),"Segunda","Terça","Quarta","Quinta","Sexta","Sábado","Domingo"))</f>
        <v/>
      </c>
      <c r="Q2139" s="30">
        <f>IF(B2139="","",IF(B2139&lt;TIME(12,0,0),"Manhã",IF(B2139&lt;TIME(18,0,0),"Tarde","Noite")))</f>
        <v/>
      </c>
      <c r="R2139" s="46">
        <f>IF(AND(H2139="Realizado",L2139&lt;&gt;"",A2139&lt;=Config!$B$9),L2139/60,0)</f>
        <v>0</v>
      </c>
      <c r="S2139" s="45">
        <f>IF(G2139="","",IFERROR(INDEX(Config!$K$5:$K$16,MATCH(G2139,Config!$J$5:$J$16,0)),""))</f>
        <v/>
      </c>
      <c r="T2139" s="31">
        <f>IF(OR(G2139="",F2139=""),"",IFERROR(INDEX(Config!$M$5:$R$16,MATCH(G2139,Config!$J$5:$J$16,0),MATCH(F2139,Config!$H$5:$H$10,0)),""))</f>
        <v/>
      </c>
      <c r="U2139" s="47">
        <f>IF(AND(H2139="Realizado",L2139&lt;&gt;""),L2139/60,0)</f>
        <v>0</v>
      </c>
      <c r="V2139" s="47">
        <f>IF(AND(H2139="Realizado",OR(L2139="",M2139="")),1,0)</f>
        <v>0</v>
      </c>
    </row>
    <row r="2140">
      <c r="A2140" s="43" t="n"/>
      <c r="B2140" s="44" t="n"/>
      <c r="C2140" s="38" t="n"/>
      <c r="D2140" s="38" t="n"/>
      <c r="E2140" s="37" t="n"/>
      <c r="F2140" s="38" t="n"/>
      <c r="G2140" s="38" t="n"/>
      <c r="H2140" s="38" t="n"/>
      <c r="I2140" s="38" t="n"/>
      <c r="J2140" s="38" t="n"/>
      <c r="K2140" s="37" t="n"/>
      <c r="L2140" s="39" t="n"/>
      <c r="M2140" s="40" t="n"/>
      <c r="N2140" s="30">
        <f>IF(A2140="","",MONTH(A2140))</f>
        <v/>
      </c>
      <c r="O2140" s="30">
        <f>IF(A2140="","",YEAR(A2140))</f>
        <v/>
      </c>
      <c r="P2140" s="30">
        <f>IF(A2140="","",CHOOSE(WEEKDAY(A2140,2),"Segunda","Terça","Quarta","Quinta","Sexta","Sábado","Domingo"))</f>
        <v/>
      </c>
      <c r="Q2140" s="30">
        <f>IF(B2140="","",IF(B2140&lt;TIME(12,0,0),"Manhã",IF(B2140&lt;TIME(18,0,0),"Tarde","Noite")))</f>
        <v/>
      </c>
      <c r="R2140" s="46">
        <f>IF(AND(H2140="Realizado",L2140&lt;&gt;"",A2140&lt;=Config!$B$9),L2140/60,0)</f>
        <v>0</v>
      </c>
      <c r="S2140" s="45">
        <f>IF(G2140="","",IFERROR(INDEX(Config!$K$5:$K$16,MATCH(G2140,Config!$J$5:$J$16,0)),""))</f>
        <v/>
      </c>
      <c r="T2140" s="31">
        <f>IF(OR(G2140="",F2140=""),"",IFERROR(INDEX(Config!$M$5:$R$16,MATCH(G2140,Config!$J$5:$J$16,0),MATCH(F2140,Config!$H$5:$H$10,0)),""))</f>
        <v/>
      </c>
      <c r="U2140" s="47">
        <f>IF(AND(H2140="Realizado",L2140&lt;&gt;""),L2140/60,0)</f>
        <v>0</v>
      </c>
      <c r="V2140" s="47">
        <f>IF(AND(H2140="Realizado",OR(L2140="",M2140="")),1,0)</f>
        <v>0</v>
      </c>
    </row>
    <row r="2141">
      <c r="A2141" s="43" t="n"/>
      <c r="B2141" s="44" t="n"/>
      <c r="C2141" s="38" t="n"/>
      <c r="D2141" s="38" t="n"/>
      <c r="E2141" s="37" t="n"/>
      <c r="F2141" s="38" t="n"/>
      <c r="G2141" s="38" t="n"/>
      <c r="H2141" s="38" t="n"/>
      <c r="I2141" s="38" t="n"/>
      <c r="J2141" s="38" t="n"/>
      <c r="K2141" s="37" t="n"/>
      <c r="L2141" s="39" t="n"/>
      <c r="M2141" s="40" t="n"/>
      <c r="N2141" s="30">
        <f>IF(A2141="","",MONTH(A2141))</f>
        <v/>
      </c>
      <c r="O2141" s="30">
        <f>IF(A2141="","",YEAR(A2141))</f>
        <v/>
      </c>
      <c r="P2141" s="30">
        <f>IF(A2141="","",CHOOSE(WEEKDAY(A2141,2),"Segunda","Terça","Quarta","Quinta","Sexta","Sábado","Domingo"))</f>
        <v/>
      </c>
      <c r="Q2141" s="30">
        <f>IF(B2141="","",IF(B2141&lt;TIME(12,0,0),"Manhã",IF(B2141&lt;TIME(18,0,0),"Tarde","Noite")))</f>
        <v/>
      </c>
      <c r="R2141" s="46">
        <f>IF(AND(H2141="Realizado",L2141&lt;&gt;"",A2141&lt;=Config!$B$9),L2141/60,0)</f>
        <v>0</v>
      </c>
      <c r="S2141" s="45">
        <f>IF(G2141="","",IFERROR(INDEX(Config!$K$5:$K$16,MATCH(G2141,Config!$J$5:$J$16,0)),""))</f>
        <v/>
      </c>
      <c r="T2141" s="31">
        <f>IF(OR(G2141="",F2141=""),"",IFERROR(INDEX(Config!$M$5:$R$16,MATCH(G2141,Config!$J$5:$J$16,0),MATCH(F2141,Config!$H$5:$H$10,0)),""))</f>
        <v/>
      </c>
      <c r="U2141" s="47">
        <f>IF(AND(H2141="Realizado",L2141&lt;&gt;""),L2141/60,0)</f>
        <v>0</v>
      </c>
      <c r="V2141" s="47">
        <f>IF(AND(H2141="Realizado",OR(L2141="",M2141="")),1,0)</f>
        <v>0</v>
      </c>
    </row>
    <row r="2142">
      <c r="A2142" s="43" t="n"/>
      <c r="B2142" s="44" t="n"/>
      <c r="C2142" s="38" t="n"/>
      <c r="D2142" s="38" t="n"/>
      <c r="E2142" s="37" t="n"/>
      <c r="F2142" s="38" t="n"/>
      <c r="G2142" s="38" t="n"/>
      <c r="H2142" s="38" t="n"/>
      <c r="I2142" s="38" t="n"/>
      <c r="J2142" s="38" t="n"/>
      <c r="K2142" s="37" t="n"/>
      <c r="L2142" s="39" t="n"/>
      <c r="M2142" s="40" t="n"/>
      <c r="N2142" s="30">
        <f>IF(A2142="","",MONTH(A2142))</f>
        <v/>
      </c>
      <c r="O2142" s="30">
        <f>IF(A2142="","",YEAR(A2142))</f>
        <v/>
      </c>
      <c r="P2142" s="30">
        <f>IF(A2142="","",CHOOSE(WEEKDAY(A2142,2),"Segunda","Terça","Quarta","Quinta","Sexta","Sábado","Domingo"))</f>
        <v/>
      </c>
      <c r="Q2142" s="30">
        <f>IF(B2142="","",IF(B2142&lt;TIME(12,0,0),"Manhã",IF(B2142&lt;TIME(18,0,0),"Tarde","Noite")))</f>
        <v/>
      </c>
      <c r="R2142" s="46">
        <f>IF(AND(H2142="Realizado",L2142&lt;&gt;"",A2142&lt;=Config!$B$9),L2142/60,0)</f>
        <v>0</v>
      </c>
      <c r="S2142" s="45">
        <f>IF(G2142="","",IFERROR(INDEX(Config!$K$5:$K$16,MATCH(G2142,Config!$J$5:$J$16,0)),""))</f>
        <v/>
      </c>
      <c r="T2142" s="31">
        <f>IF(OR(G2142="",F2142=""),"",IFERROR(INDEX(Config!$M$5:$R$16,MATCH(G2142,Config!$J$5:$J$16,0),MATCH(F2142,Config!$H$5:$H$10,0)),""))</f>
        <v/>
      </c>
      <c r="U2142" s="47">
        <f>IF(AND(H2142="Realizado",L2142&lt;&gt;""),L2142/60,0)</f>
        <v>0</v>
      </c>
      <c r="V2142" s="47">
        <f>IF(AND(H2142="Realizado",OR(L2142="",M2142="")),1,0)</f>
        <v>0</v>
      </c>
    </row>
    <row r="2143">
      <c r="A2143" s="43" t="n"/>
      <c r="B2143" s="44" t="n"/>
      <c r="C2143" s="38" t="n"/>
      <c r="D2143" s="38" t="n"/>
      <c r="E2143" s="37" t="n"/>
      <c r="F2143" s="38" t="n"/>
      <c r="G2143" s="38" t="n"/>
      <c r="H2143" s="38" t="n"/>
      <c r="I2143" s="38" t="n"/>
      <c r="J2143" s="38" t="n"/>
      <c r="K2143" s="37" t="n"/>
      <c r="L2143" s="39" t="n"/>
      <c r="M2143" s="40" t="n"/>
      <c r="N2143" s="30">
        <f>IF(A2143="","",MONTH(A2143))</f>
        <v/>
      </c>
      <c r="O2143" s="30">
        <f>IF(A2143="","",YEAR(A2143))</f>
        <v/>
      </c>
      <c r="P2143" s="30">
        <f>IF(A2143="","",CHOOSE(WEEKDAY(A2143,2),"Segunda","Terça","Quarta","Quinta","Sexta","Sábado","Domingo"))</f>
        <v/>
      </c>
      <c r="Q2143" s="30">
        <f>IF(B2143="","",IF(B2143&lt;TIME(12,0,0),"Manhã",IF(B2143&lt;TIME(18,0,0),"Tarde","Noite")))</f>
        <v/>
      </c>
      <c r="R2143" s="46">
        <f>IF(AND(H2143="Realizado",L2143&lt;&gt;"",A2143&lt;=Config!$B$9),L2143/60,0)</f>
        <v>0</v>
      </c>
      <c r="S2143" s="45">
        <f>IF(G2143="","",IFERROR(INDEX(Config!$K$5:$K$16,MATCH(G2143,Config!$J$5:$J$16,0)),""))</f>
        <v/>
      </c>
      <c r="T2143" s="31">
        <f>IF(OR(G2143="",F2143=""),"",IFERROR(INDEX(Config!$M$5:$R$16,MATCH(G2143,Config!$J$5:$J$16,0),MATCH(F2143,Config!$H$5:$H$10,0)),""))</f>
        <v/>
      </c>
      <c r="U2143" s="47">
        <f>IF(AND(H2143="Realizado",L2143&lt;&gt;""),L2143/60,0)</f>
        <v>0</v>
      </c>
      <c r="V2143" s="47">
        <f>IF(AND(H2143="Realizado",OR(L2143="",M2143="")),1,0)</f>
        <v>0</v>
      </c>
    </row>
    <row r="2144">
      <c r="A2144" s="43" t="n"/>
      <c r="B2144" s="44" t="n"/>
      <c r="C2144" s="38" t="n"/>
      <c r="D2144" s="38" t="n"/>
      <c r="E2144" s="37" t="n"/>
      <c r="F2144" s="38" t="n"/>
      <c r="G2144" s="38" t="n"/>
      <c r="H2144" s="38" t="n"/>
      <c r="I2144" s="38" t="n"/>
      <c r="J2144" s="38" t="n"/>
      <c r="K2144" s="37" t="n"/>
      <c r="L2144" s="39" t="n"/>
      <c r="M2144" s="40" t="n"/>
      <c r="N2144" s="30">
        <f>IF(A2144="","",MONTH(A2144))</f>
        <v/>
      </c>
      <c r="O2144" s="30">
        <f>IF(A2144="","",YEAR(A2144))</f>
        <v/>
      </c>
      <c r="P2144" s="30">
        <f>IF(A2144="","",CHOOSE(WEEKDAY(A2144,2),"Segunda","Terça","Quarta","Quinta","Sexta","Sábado","Domingo"))</f>
        <v/>
      </c>
      <c r="Q2144" s="30">
        <f>IF(B2144="","",IF(B2144&lt;TIME(12,0,0),"Manhã",IF(B2144&lt;TIME(18,0,0),"Tarde","Noite")))</f>
        <v/>
      </c>
      <c r="R2144" s="46">
        <f>IF(AND(H2144="Realizado",L2144&lt;&gt;"",A2144&lt;=Config!$B$9),L2144/60,0)</f>
        <v>0</v>
      </c>
      <c r="S2144" s="45">
        <f>IF(G2144="","",IFERROR(INDEX(Config!$K$5:$K$16,MATCH(G2144,Config!$J$5:$J$16,0)),""))</f>
        <v/>
      </c>
      <c r="T2144" s="31">
        <f>IF(OR(G2144="",F2144=""),"",IFERROR(INDEX(Config!$M$5:$R$16,MATCH(G2144,Config!$J$5:$J$16,0),MATCH(F2144,Config!$H$5:$H$10,0)),""))</f>
        <v/>
      </c>
      <c r="U2144" s="47">
        <f>IF(AND(H2144="Realizado",L2144&lt;&gt;""),L2144/60,0)</f>
        <v>0</v>
      </c>
      <c r="V2144" s="47">
        <f>IF(AND(H2144="Realizado",OR(L2144="",M2144="")),1,0)</f>
        <v>0</v>
      </c>
    </row>
    <row r="2145">
      <c r="A2145" s="43" t="n"/>
      <c r="B2145" s="44" t="n"/>
      <c r="C2145" s="38" t="n"/>
      <c r="D2145" s="38" t="n"/>
      <c r="E2145" s="37" t="n"/>
      <c r="F2145" s="38" t="n"/>
      <c r="G2145" s="38" t="n"/>
      <c r="H2145" s="38" t="n"/>
      <c r="I2145" s="38" t="n"/>
      <c r="J2145" s="38" t="n"/>
      <c r="K2145" s="37" t="n"/>
      <c r="L2145" s="39" t="n"/>
      <c r="M2145" s="40" t="n"/>
      <c r="N2145" s="30">
        <f>IF(A2145="","",MONTH(A2145))</f>
        <v/>
      </c>
      <c r="O2145" s="30">
        <f>IF(A2145="","",YEAR(A2145))</f>
        <v/>
      </c>
      <c r="P2145" s="30">
        <f>IF(A2145="","",CHOOSE(WEEKDAY(A2145,2),"Segunda","Terça","Quarta","Quinta","Sexta","Sábado","Domingo"))</f>
        <v/>
      </c>
      <c r="Q2145" s="30">
        <f>IF(B2145="","",IF(B2145&lt;TIME(12,0,0),"Manhã",IF(B2145&lt;TIME(18,0,0),"Tarde","Noite")))</f>
        <v/>
      </c>
      <c r="R2145" s="46">
        <f>IF(AND(H2145="Realizado",L2145&lt;&gt;"",A2145&lt;=Config!$B$9),L2145/60,0)</f>
        <v>0</v>
      </c>
      <c r="S2145" s="45">
        <f>IF(G2145="","",IFERROR(INDEX(Config!$K$5:$K$16,MATCH(G2145,Config!$J$5:$J$16,0)),""))</f>
        <v/>
      </c>
      <c r="T2145" s="31">
        <f>IF(OR(G2145="",F2145=""),"",IFERROR(INDEX(Config!$M$5:$R$16,MATCH(G2145,Config!$J$5:$J$16,0),MATCH(F2145,Config!$H$5:$H$10,0)),""))</f>
        <v/>
      </c>
      <c r="U2145" s="47">
        <f>IF(AND(H2145="Realizado",L2145&lt;&gt;""),L2145/60,0)</f>
        <v>0</v>
      </c>
      <c r="V2145" s="47">
        <f>IF(AND(H2145="Realizado",OR(L2145="",M2145="")),1,0)</f>
        <v>0</v>
      </c>
    </row>
    <row r="2146">
      <c r="A2146" s="43" t="n"/>
      <c r="B2146" s="44" t="n"/>
      <c r="C2146" s="38" t="n"/>
      <c r="D2146" s="38" t="n"/>
      <c r="E2146" s="37" t="n"/>
      <c r="F2146" s="38" t="n"/>
      <c r="G2146" s="38" t="n"/>
      <c r="H2146" s="38" t="n"/>
      <c r="I2146" s="38" t="n"/>
      <c r="J2146" s="38" t="n"/>
      <c r="K2146" s="37" t="n"/>
      <c r="L2146" s="39" t="n"/>
      <c r="M2146" s="40" t="n"/>
      <c r="N2146" s="30">
        <f>IF(A2146="","",MONTH(A2146))</f>
        <v/>
      </c>
      <c r="O2146" s="30">
        <f>IF(A2146="","",YEAR(A2146))</f>
        <v/>
      </c>
      <c r="P2146" s="30">
        <f>IF(A2146="","",CHOOSE(WEEKDAY(A2146,2),"Segunda","Terça","Quarta","Quinta","Sexta","Sábado","Domingo"))</f>
        <v/>
      </c>
      <c r="Q2146" s="30">
        <f>IF(B2146="","",IF(B2146&lt;TIME(12,0,0),"Manhã",IF(B2146&lt;TIME(18,0,0),"Tarde","Noite")))</f>
        <v/>
      </c>
      <c r="R2146" s="46">
        <f>IF(AND(H2146="Realizado",L2146&lt;&gt;"",A2146&lt;=Config!$B$9),L2146/60,0)</f>
        <v>0</v>
      </c>
      <c r="S2146" s="45">
        <f>IF(G2146="","",IFERROR(INDEX(Config!$K$5:$K$16,MATCH(G2146,Config!$J$5:$J$16,0)),""))</f>
        <v/>
      </c>
      <c r="T2146" s="31">
        <f>IF(OR(G2146="",F2146=""),"",IFERROR(INDEX(Config!$M$5:$R$16,MATCH(G2146,Config!$J$5:$J$16,0),MATCH(F2146,Config!$H$5:$H$10,0)),""))</f>
        <v/>
      </c>
      <c r="U2146" s="47">
        <f>IF(AND(H2146="Realizado",L2146&lt;&gt;""),L2146/60,0)</f>
        <v>0</v>
      </c>
      <c r="V2146" s="47">
        <f>IF(AND(H2146="Realizado",OR(L2146="",M2146="")),1,0)</f>
        <v>0</v>
      </c>
    </row>
    <row r="2147">
      <c r="A2147" s="43" t="n"/>
      <c r="B2147" s="44" t="n"/>
      <c r="C2147" s="38" t="n"/>
      <c r="D2147" s="38" t="n"/>
      <c r="E2147" s="37" t="n"/>
      <c r="F2147" s="38" t="n"/>
      <c r="G2147" s="38" t="n"/>
      <c r="H2147" s="38" t="n"/>
      <c r="I2147" s="38" t="n"/>
      <c r="J2147" s="38" t="n"/>
      <c r="K2147" s="37" t="n"/>
      <c r="L2147" s="39" t="n"/>
      <c r="M2147" s="40" t="n"/>
      <c r="N2147" s="30">
        <f>IF(A2147="","",MONTH(A2147))</f>
        <v/>
      </c>
      <c r="O2147" s="30">
        <f>IF(A2147="","",YEAR(A2147))</f>
        <v/>
      </c>
      <c r="P2147" s="30">
        <f>IF(A2147="","",CHOOSE(WEEKDAY(A2147,2),"Segunda","Terça","Quarta","Quinta","Sexta","Sábado","Domingo"))</f>
        <v/>
      </c>
      <c r="Q2147" s="30">
        <f>IF(B2147="","",IF(B2147&lt;TIME(12,0,0),"Manhã",IF(B2147&lt;TIME(18,0,0),"Tarde","Noite")))</f>
        <v/>
      </c>
      <c r="R2147" s="46">
        <f>IF(AND(H2147="Realizado",L2147&lt;&gt;"",A2147&lt;=Config!$B$9),L2147/60,0)</f>
        <v>0</v>
      </c>
      <c r="S2147" s="45">
        <f>IF(G2147="","",IFERROR(INDEX(Config!$K$5:$K$16,MATCH(G2147,Config!$J$5:$J$16,0)),""))</f>
        <v/>
      </c>
      <c r="T2147" s="31">
        <f>IF(OR(G2147="",F2147=""),"",IFERROR(INDEX(Config!$M$5:$R$16,MATCH(G2147,Config!$J$5:$J$16,0),MATCH(F2147,Config!$H$5:$H$10,0)),""))</f>
        <v/>
      </c>
      <c r="U2147" s="47">
        <f>IF(AND(H2147="Realizado",L2147&lt;&gt;""),L2147/60,0)</f>
        <v>0</v>
      </c>
      <c r="V2147" s="47">
        <f>IF(AND(H2147="Realizado",OR(L2147="",M2147="")),1,0)</f>
        <v>0</v>
      </c>
    </row>
    <row r="2148">
      <c r="A2148" s="43" t="n"/>
      <c r="B2148" s="44" t="n"/>
      <c r="C2148" s="38" t="n"/>
      <c r="D2148" s="38" t="n"/>
      <c r="E2148" s="37" t="n"/>
      <c r="F2148" s="38" t="n"/>
      <c r="G2148" s="38" t="n"/>
      <c r="H2148" s="38" t="n"/>
      <c r="I2148" s="38" t="n"/>
      <c r="J2148" s="38" t="n"/>
      <c r="K2148" s="37" t="n"/>
      <c r="L2148" s="39" t="n"/>
      <c r="M2148" s="40" t="n"/>
      <c r="N2148" s="30">
        <f>IF(A2148="","",MONTH(A2148))</f>
        <v/>
      </c>
      <c r="O2148" s="30">
        <f>IF(A2148="","",YEAR(A2148))</f>
        <v/>
      </c>
      <c r="P2148" s="30">
        <f>IF(A2148="","",CHOOSE(WEEKDAY(A2148,2),"Segunda","Terça","Quarta","Quinta","Sexta","Sábado","Domingo"))</f>
        <v/>
      </c>
      <c r="Q2148" s="30">
        <f>IF(B2148="","",IF(B2148&lt;TIME(12,0,0),"Manhã",IF(B2148&lt;TIME(18,0,0),"Tarde","Noite")))</f>
        <v/>
      </c>
      <c r="R2148" s="46">
        <f>IF(AND(H2148="Realizado",L2148&lt;&gt;"",A2148&lt;=Config!$B$9),L2148/60,0)</f>
        <v>0</v>
      </c>
      <c r="S2148" s="45">
        <f>IF(G2148="","",IFERROR(INDEX(Config!$K$5:$K$16,MATCH(G2148,Config!$J$5:$J$16,0)),""))</f>
        <v/>
      </c>
      <c r="T2148" s="31">
        <f>IF(OR(G2148="",F2148=""),"",IFERROR(INDEX(Config!$M$5:$R$16,MATCH(G2148,Config!$J$5:$J$16,0),MATCH(F2148,Config!$H$5:$H$10,0)),""))</f>
        <v/>
      </c>
      <c r="U2148" s="47">
        <f>IF(AND(H2148="Realizado",L2148&lt;&gt;""),L2148/60,0)</f>
        <v>0</v>
      </c>
      <c r="V2148" s="47">
        <f>IF(AND(H2148="Realizado",OR(L2148="",M2148="")),1,0)</f>
        <v>0</v>
      </c>
    </row>
    <row r="2149">
      <c r="A2149" s="43" t="n"/>
      <c r="B2149" s="44" t="n"/>
      <c r="C2149" s="38" t="n"/>
      <c r="D2149" s="38" t="n"/>
      <c r="E2149" s="37" t="n"/>
      <c r="F2149" s="38" t="n"/>
      <c r="G2149" s="38" t="n"/>
      <c r="H2149" s="38" t="n"/>
      <c r="I2149" s="38" t="n"/>
      <c r="J2149" s="38" t="n"/>
      <c r="K2149" s="37" t="n"/>
      <c r="L2149" s="39" t="n"/>
      <c r="M2149" s="40" t="n"/>
      <c r="N2149" s="30">
        <f>IF(A2149="","",MONTH(A2149))</f>
        <v/>
      </c>
      <c r="O2149" s="30">
        <f>IF(A2149="","",YEAR(A2149))</f>
        <v/>
      </c>
      <c r="P2149" s="30">
        <f>IF(A2149="","",CHOOSE(WEEKDAY(A2149,2),"Segunda","Terça","Quarta","Quinta","Sexta","Sábado","Domingo"))</f>
        <v/>
      </c>
      <c r="Q2149" s="30">
        <f>IF(B2149="","",IF(B2149&lt;TIME(12,0,0),"Manhã",IF(B2149&lt;TIME(18,0,0),"Tarde","Noite")))</f>
        <v/>
      </c>
      <c r="R2149" s="46">
        <f>IF(AND(H2149="Realizado",L2149&lt;&gt;"",A2149&lt;=Config!$B$9),L2149/60,0)</f>
        <v>0</v>
      </c>
      <c r="S2149" s="45">
        <f>IF(G2149="","",IFERROR(INDEX(Config!$K$5:$K$16,MATCH(G2149,Config!$J$5:$J$16,0)),""))</f>
        <v/>
      </c>
      <c r="T2149" s="31">
        <f>IF(OR(G2149="",F2149=""),"",IFERROR(INDEX(Config!$M$5:$R$16,MATCH(G2149,Config!$J$5:$J$16,0),MATCH(F2149,Config!$H$5:$H$10,0)),""))</f>
        <v/>
      </c>
      <c r="U2149" s="47">
        <f>IF(AND(H2149="Realizado",L2149&lt;&gt;""),L2149/60,0)</f>
        <v>0</v>
      </c>
      <c r="V2149" s="47">
        <f>IF(AND(H2149="Realizado",OR(L2149="",M2149="")),1,0)</f>
        <v>0</v>
      </c>
    </row>
    <row r="2150">
      <c r="A2150" s="43" t="n"/>
      <c r="B2150" s="44" t="n"/>
      <c r="C2150" s="38" t="n"/>
      <c r="D2150" s="38" t="n"/>
      <c r="E2150" s="37" t="n"/>
      <c r="F2150" s="38" t="n"/>
      <c r="G2150" s="38" t="n"/>
      <c r="H2150" s="38" t="n"/>
      <c r="I2150" s="38" t="n"/>
      <c r="J2150" s="38" t="n"/>
      <c r="K2150" s="37" t="n"/>
      <c r="L2150" s="39" t="n"/>
      <c r="M2150" s="40" t="n"/>
      <c r="N2150" s="30">
        <f>IF(A2150="","",MONTH(A2150))</f>
        <v/>
      </c>
      <c r="O2150" s="30">
        <f>IF(A2150="","",YEAR(A2150))</f>
        <v/>
      </c>
      <c r="P2150" s="30">
        <f>IF(A2150="","",CHOOSE(WEEKDAY(A2150,2),"Segunda","Terça","Quarta","Quinta","Sexta","Sábado","Domingo"))</f>
        <v/>
      </c>
      <c r="Q2150" s="30">
        <f>IF(B2150="","",IF(B2150&lt;TIME(12,0,0),"Manhã",IF(B2150&lt;TIME(18,0,0),"Tarde","Noite")))</f>
        <v/>
      </c>
      <c r="R2150" s="46">
        <f>IF(AND(H2150="Realizado",L2150&lt;&gt;"",A2150&lt;=Config!$B$9),L2150/60,0)</f>
        <v>0</v>
      </c>
      <c r="S2150" s="45">
        <f>IF(G2150="","",IFERROR(INDEX(Config!$K$5:$K$16,MATCH(G2150,Config!$J$5:$J$16,0)),""))</f>
        <v/>
      </c>
      <c r="T2150" s="31">
        <f>IF(OR(G2150="",F2150=""),"",IFERROR(INDEX(Config!$M$5:$R$16,MATCH(G2150,Config!$J$5:$J$16,0),MATCH(F2150,Config!$H$5:$H$10,0)),""))</f>
        <v/>
      </c>
      <c r="U2150" s="47">
        <f>IF(AND(H2150="Realizado",L2150&lt;&gt;""),L2150/60,0)</f>
        <v>0</v>
      </c>
      <c r="V2150" s="47">
        <f>IF(AND(H2150="Realizado",OR(L2150="",M2150="")),1,0)</f>
        <v>0</v>
      </c>
    </row>
    <row r="2151">
      <c r="A2151" s="43" t="n"/>
      <c r="B2151" s="44" t="n"/>
      <c r="C2151" s="38" t="n"/>
      <c r="D2151" s="38" t="n"/>
      <c r="E2151" s="37" t="n"/>
      <c r="F2151" s="38" t="n"/>
      <c r="G2151" s="38" t="n"/>
      <c r="H2151" s="38" t="n"/>
      <c r="I2151" s="38" t="n"/>
      <c r="J2151" s="38" t="n"/>
      <c r="K2151" s="37" t="n"/>
      <c r="L2151" s="39" t="n"/>
      <c r="M2151" s="40" t="n"/>
      <c r="N2151" s="30">
        <f>IF(A2151="","",MONTH(A2151))</f>
        <v/>
      </c>
      <c r="O2151" s="30">
        <f>IF(A2151="","",YEAR(A2151))</f>
        <v/>
      </c>
      <c r="P2151" s="30">
        <f>IF(A2151="","",CHOOSE(WEEKDAY(A2151,2),"Segunda","Terça","Quarta","Quinta","Sexta","Sábado","Domingo"))</f>
        <v/>
      </c>
      <c r="Q2151" s="30">
        <f>IF(B2151="","",IF(B2151&lt;TIME(12,0,0),"Manhã",IF(B2151&lt;TIME(18,0,0),"Tarde","Noite")))</f>
        <v/>
      </c>
      <c r="R2151" s="46">
        <f>IF(AND(H2151="Realizado",L2151&lt;&gt;"",A2151&lt;=Config!$B$9),L2151/60,0)</f>
        <v>0</v>
      </c>
      <c r="S2151" s="45">
        <f>IF(G2151="","",IFERROR(INDEX(Config!$K$5:$K$16,MATCH(G2151,Config!$J$5:$J$16,0)),""))</f>
        <v/>
      </c>
      <c r="T2151" s="31">
        <f>IF(OR(G2151="",F2151=""),"",IFERROR(INDEX(Config!$M$5:$R$16,MATCH(G2151,Config!$J$5:$J$16,0),MATCH(F2151,Config!$H$5:$H$10,0)),""))</f>
        <v/>
      </c>
      <c r="U2151" s="47">
        <f>IF(AND(H2151="Realizado",L2151&lt;&gt;""),L2151/60,0)</f>
        <v>0</v>
      </c>
      <c r="V2151" s="47">
        <f>IF(AND(H2151="Realizado",OR(L2151="",M2151="")),1,0)</f>
        <v>0</v>
      </c>
    </row>
    <row r="2152">
      <c r="A2152" s="43" t="n"/>
      <c r="B2152" s="44" t="n"/>
      <c r="C2152" s="38" t="n"/>
      <c r="D2152" s="38" t="n"/>
      <c r="E2152" s="37" t="n"/>
      <c r="F2152" s="38" t="n"/>
      <c r="G2152" s="38" t="n"/>
      <c r="H2152" s="38" t="n"/>
      <c r="I2152" s="38" t="n"/>
      <c r="J2152" s="38" t="n"/>
      <c r="K2152" s="37" t="n"/>
      <c r="L2152" s="39" t="n"/>
      <c r="M2152" s="40" t="n"/>
      <c r="N2152" s="30">
        <f>IF(A2152="","",MONTH(A2152))</f>
        <v/>
      </c>
      <c r="O2152" s="30">
        <f>IF(A2152="","",YEAR(A2152))</f>
        <v/>
      </c>
      <c r="P2152" s="30">
        <f>IF(A2152="","",CHOOSE(WEEKDAY(A2152,2),"Segunda","Terça","Quarta","Quinta","Sexta","Sábado","Domingo"))</f>
        <v/>
      </c>
      <c r="Q2152" s="30">
        <f>IF(B2152="","",IF(B2152&lt;TIME(12,0,0),"Manhã",IF(B2152&lt;TIME(18,0,0),"Tarde","Noite")))</f>
        <v/>
      </c>
      <c r="R2152" s="46">
        <f>IF(AND(H2152="Realizado",L2152&lt;&gt;"",A2152&lt;=Config!$B$9),L2152/60,0)</f>
        <v>0</v>
      </c>
      <c r="S2152" s="45">
        <f>IF(G2152="","",IFERROR(INDEX(Config!$K$5:$K$16,MATCH(G2152,Config!$J$5:$J$16,0)),""))</f>
        <v/>
      </c>
      <c r="T2152" s="31">
        <f>IF(OR(G2152="",F2152=""),"",IFERROR(INDEX(Config!$M$5:$R$16,MATCH(G2152,Config!$J$5:$J$16,0),MATCH(F2152,Config!$H$5:$H$10,0)),""))</f>
        <v/>
      </c>
      <c r="U2152" s="47">
        <f>IF(AND(H2152="Realizado",L2152&lt;&gt;""),L2152/60,0)</f>
        <v>0</v>
      </c>
      <c r="V2152" s="47">
        <f>IF(AND(H2152="Realizado",OR(L2152="",M2152="")),1,0)</f>
        <v>0</v>
      </c>
    </row>
    <row r="2153">
      <c r="A2153" s="43" t="n"/>
      <c r="B2153" s="44" t="n"/>
      <c r="C2153" s="38" t="n"/>
      <c r="D2153" s="38" t="n"/>
      <c r="E2153" s="37" t="n"/>
      <c r="F2153" s="38" t="n"/>
      <c r="G2153" s="38" t="n"/>
      <c r="H2153" s="38" t="n"/>
      <c r="I2153" s="38" t="n"/>
      <c r="J2153" s="38" t="n"/>
      <c r="K2153" s="37" t="n"/>
      <c r="L2153" s="39" t="n"/>
      <c r="M2153" s="40" t="n"/>
      <c r="N2153" s="30">
        <f>IF(A2153="","",MONTH(A2153))</f>
        <v/>
      </c>
      <c r="O2153" s="30">
        <f>IF(A2153="","",YEAR(A2153))</f>
        <v/>
      </c>
      <c r="P2153" s="30">
        <f>IF(A2153="","",CHOOSE(WEEKDAY(A2153,2),"Segunda","Terça","Quarta","Quinta","Sexta","Sábado","Domingo"))</f>
        <v/>
      </c>
      <c r="Q2153" s="30">
        <f>IF(B2153="","",IF(B2153&lt;TIME(12,0,0),"Manhã",IF(B2153&lt;TIME(18,0,0),"Tarde","Noite")))</f>
        <v/>
      </c>
      <c r="R2153" s="46">
        <f>IF(AND(H2153="Realizado",L2153&lt;&gt;"",A2153&lt;=Config!$B$9),L2153/60,0)</f>
        <v>0</v>
      </c>
      <c r="S2153" s="45">
        <f>IF(G2153="","",IFERROR(INDEX(Config!$K$5:$K$16,MATCH(G2153,Config!$J$5:$J$16,0)),""))</f>
        <v/>
      </c>
      <c r="T2153" s="31">
        <f>IF(OR(G2153="",F2153=""),"",IFERROR(INDEX(Config!$M$5:$R$16,MATCH(G2153,Config!$J$5:$J$16,0),MATCH(F2153,Config!$H$5:$H$10,0)),""))</f>
        <v/>
      </c>
      <c r="U2153" s="47">
        <f>IF(AND(H2153="Realizado",L2153&lt;&gt;""),L2153/60,0)</f>
        <v>0</v>
      </c>
      <c r="V2153" s="47">
        <f>IF(AND(H2153="Realizado",OR(L2153="",M2153="")),1,0)</f>
        <v>0</v>
      </c>
    </row>
    <row r="2154">
      <c r="A2154" s="43" t="n"/>
      <c r="B2154" s="44" t="n"/>
      <c r="C2154" s="38" t="n"/>
      <c r="D2154" s="38" t="n"/>
      <c r="E2154" s="37" t="n"/>
      <c r="F2154" s="38" t="n"/>
      <c r="G2154" s="38" t="n"/>
      <c r="H2154" s="38" t="n"/>
      <c r="I2154" s="38" t="n"/>
      <c r="J2154" s="38" t="n"/>
      <c r="K2154" s="37" t="n"/>
      <c r="L2154" s="39" t="n"/>
      <c r="M2154" s="40" t="n"/>
      <c r="N2154" s="30">
        <f>IF(A2154="","",MONTH(A2154))</f>
        <v/>
      </c>
      <c r="O2154" s="30">
        <f>IF(A2154="","",YEAR(A2154))</f>
        <v/>
      </c>
      <c r="P2154" s="30">
        <f>IF(A2154="","",CHOOSE(WEEKDAY(A2154,2),"Segunda","Terça","Quarta","Quinta","Sexta","Sábado","Domingo"))</f>
        <v/>
      </c>
      <c r="Q2154" s="30">
        <f>IF(B2154="","",IF(B2154&lt;TIME(12,0,0),"Manhã",IF(B2154&lt;TIME(18,0,0),"Tarde","Noite")))</f>
        <v/>
      </c>
      <c r="R2154" s="46">
        <f>IF(AND(H2154="Realizado",L2154&lt;&gt;"",A2154&lt;=Config!$B$9),L2154/60,0)</f>
        <v>0</v>
      </c>
      <c r="S2154" s="45">
        <f>IF(G2154="","",IFERROR(INDEX(Config!$K$5:$K$16,MATCH(G2154,Config!$J$5:$J$16,0)),""))</f>
        <v/>
      </c>
      <c r="T2154" s="31">
        <f>IF(OR(G2154="",F2154=""),"",IFERROR(INDEX(Config!$M$5:$R$16,MATCH(G2154,Config!$J$5:$J$16,0),MATCH(F2154,Config!$H$5:$H$10,0)),""))</f>
        <v/>
      </c>
      <c r="U2154" s="47">
        <f>IF(AND(H2154="Realizado",L2154&lt;&gt;""),L2154/60,0)</f>
        <v>0</v>
      </c>
      <c r="V2154" s="47">
        <f>IF(AND(H2154="Realizado",OR(L2154="",M2154="")),1,0)</f>
        <v>0</v>
      </c>
    </row>
    <row r="2155">
      <c r="A2155" s="43" t="n"/>
      <c r="B2155" s="44" t="n"/>
      <c r="C2155" s="38" t="n"/>
      <c r="D2155" s="38" t="n"/>
      <c r="E2155" s="37" t="n"/>
      <c r="F2155" s="38" t="n"/>
      <c r="G2155" s="38" t="n"/>
      <c r="H2155" s="38" t="n"/>
      <c r="I2155" s="38" t="n"/>
      <c r="J2155" s="38" t="n"/>
      <c r="K2155" s="37" t="n"/>
      <c r="L2155" s="39" t="n"/>
      <c r="M2155" s="40" t="n"/>
      <c r="N2155" s="30">
        <f>IF(A2155="","",MONTH(A2155))</f>
        <v/>
      </c>
      <c r="O2155" s="30">
        <f>IF(A2155="","",YEAR(A2155))</f>
        <v/>
      </c>
      <c r="P2155" s="30">
        <f>IF(A2155="","",CHOOSE(WEEKDAY(A2155,2),"Segunda","Terça","Quarta","Quinta","Sexta","Sábado","Domingo"))</f>
        <v/>
      </c>
      <c r="Q2155" s="30">
        <f>IF(B2155="","",IF(B2155&lt;TIME(12,0,0),"Manhã",IF(B2155&lt;TIME(18,0,0),"Tarde","Noite")))</f>
        <v/>
      </c>
      <c r="R2155" s="46">
        <f>IF(AND(H2155="Realizado",L2155&lt;&gt;"",A2155&lt;=Config!$B$9),L2155/60,0)</f>
        <v>0</v>
      </c>
      <c r="S2155" s="45">
        <f>IF(G2155="","",IFERROR(INDEX(Config!$K$5:$K$16,MATCH(G2155,Config!$J$5:$J$16,0)),""))</f>
        <v/>
      </c>
      <c r="T2155" s="31">
        <f>IF(OR(G2155="",F2155=""),"",IFERROR(INDEX(Config!$M$5:$R$16,MATCH(G2155,Config!$J$5:$J$16,0),MATCH(F2155,Config!$H$5:$H$10,0)),""))</f>
        <v/>
      </c>
      <c r="U2155" s="47">
        <f>IF(AND(H2155="Realizado",L2155&lt;&gt;""),L2155/60,0)</f>
        <v>0</v>
      </c>
      <c r="V2155" s="47">
        <f>IF(AND(H2155="Realizado",OR(L2155="",M2155="")),1,0)</f>
        <v>0</v>
      </c>
    </row>
    <row r="2156">
      <c r="A2156" s="43" t="n"/>
      <c r="B2156" s="44" t="n"/>
      <c r="C2156" s="38" t="n"/>
      <c r="D2156" s="38" t="n"/>
      <c r="E2156" s="37" t="n"/>
      <c r="F2156" s="38" t="n"/>
      <c r="G2156" s="38" t="n"/>
      <c r="H2156" s="38" t="n"/>
      <c r="I2156" s="38" t="n"/>
      <c r="J2156" s="38" t="n"/>
      <c r="K2156" s="37" t="n"/>
      <c r="L2156" s="39" t="n"/>
      <c r="M2156" s="40" t="n"/>
      <c r="N2156" s="30">
        <f>IF(A2156="","",MONTH(A2156))</f>
        <v/>
      </c>
      <c r="O2156" s="30">
        <f>IF(A2156="","",YEAR(A2156))</f>
        <v/>
      </c>
      <c r="P2156" s="30">
        <f>IF(A2156="","",CHOOSE(WEEKDAY(A2156,2),"Segunda","Terça","Quarta","Quinta","Sexta","Sábado","Domingo"))</f>
        <v/>
      </c>
      <c r="Q2156" s="30">
        <f>IF(B2156="","",IF(B2156&lt;TIME(12,0,0),"Manhã",IF(B2156&lt;TIME(18,0,0),"Tarde","Noite")))</f>
        <v/>
      </c>
      <c r="R2156" s="46">
        <f>IF(AND(H2156="Realizado",L2156&lt;&gt;"",A2156&lt;=Config!$B$9),L2156/60,0)</f>
        <v>0</v>
      </c>
      <c r="S2156" s="45">
        <f>IF(G2156="","",IFERROR(INDEX(Config!$K$5:$K$16,MATCH(G2156,Config!$J$5:$J$16,0)),""))</f>
        <v/>
      </c>
      <c r="T2156" s="31">
        <f>IF(OR(G2156="",F2156=""),"",IFERROR(INDEX(Config!$M$5:$R$16,MATCH(G2156,Config!$J$5:$J$16,0),MATCH(F2156,Config!$H$5:$H$10,0)),""))</f>
        <v/>
      </c>
      <c r="U2156" s="47">
        <f>IF(AND(H2156="Realizado",L2156&lt;&gt;""),L2156/60,0)</f>
        <v>0</v>
      </c>
      <c r="V2156" s="47">
        <f>IF(AND(H2156="Realizado",OR(L2156="",M2156="")),1,0)</f>
        <v>0</v>
      </c>
    </row>
    <row r="2157">
      <c r="A2157" s="43" t="n"/>
      <c r="B2157" s="44" t="n"/>
      <c r="C2157" s="38" t="n"/>
      <c r="D2157" s="38" t="n"/>
      <c r="E2157" s="37" t="n"/>
      <c r="F2157" s="38" t="n"/>
      <c r="G2157" s="38" t="n"/>
      <c r="H2157" s="38" t="n"/>
      <c r="I2157" s="38" t="n"/>
      <c r="J2157" s="38" t="n"/>
      <c r="K2157" s="37" t="n"/>
      <c r="L2157" s="39" t="n"/>
      <c r="M2157" s="40" t="n"/>
      <c r="N2157" s="30">
        <f>IF(A2157="","",MONTH(A2157))</f>
        <v/>
      </c>
      <c r="O2157" s="30">
        <f>IF(A2157="","",YEAR(A2157))</f>
        <v/>
      </c>
      <c r="P2157" s="30">
        <f>IF(A2157="","",CHOOSE(WEEKDAY(A2157,2),"Segunda","Terça","Quarta","Quinta","Sexta","Sábado","Domingo"))</f>
        <v/>
      </c>
      <c r="Q2157" s="30">
        <f>IF(B2157="","",IF(B2157&lt;TIME(12,0,0),"Manhã",IF(B2157&lt;TIME(18,0,0),"Tarde","Noite")))</f>
        <v/>
      </c>
      <c r="R2157" s="46">
        <f>IF(AND(H2157="Realizado",L2157&lt;&gt;"",A2157&lt;=Config!$B$9),L2157/60,0)</f>
        <v>0</v>
      </c>
      <c r="S2157" s="45">
        <f>IF(G2157="","",IFERROR(INDEX(Config!$K$5:$K$16,MATCH(G2157,Config!$J$5:$J$16,0)),""))</f>
        <v/>
      </c>
      <c r="T2157" s="31">
        <f>IF(OR(G2157="",F2157=""),"",IFERROR(INDEX(Config!$M$5:$R$16,MATCH(G2157,Config!$J$5:$J$16,0),MATCH(F2157,Config!$H$5:$H$10,0)),""))</f>
        <v/>
      </c>
      <c r="U2157" s="47">
        <f>IF(AND(H2157="Realizado",L2157&lt;&gt;""),L2157/60,0)</f>
        <v>0</v>
      </c>
      <c r="V2157" s="47">
        <f>IF(AND(H2157="Realizado",OR(L2157="",M2157="")),1,0)</f>
        <v>0</v>
      </c>
    </row>
    <row r="2158">
      <c r="A2158" s="43" t="n"/>
      <c r="B2158" s="44" t="n"/>
      <c r="C2158" s="38" t="n"/>
      <c r="D2158" s="38" t="n"/>
      <c r="E2158" s="37" t="n"/>
      <c r="F2158" s="38" t="n"/>
      <c r="G2158" s="38" t="n"/>
      <c r="H2158" s="38" t="n"/>
      <c r="I2158" s="38" t="n"/>
      <c r="J2158" s="38" t="n"/>
      <c r="K2158" s="37" t="n"/>
      <c r="L2158" s="39" t="n"/>
      <c r="M2158" s="40" t="n"/>
      <c r="N2158" s="30">
        <f>IF(A2158="","",MONTH(A2158))</f>
        <v/>
      </c>
      <c r="O2158" s="30">
        <f>IF(A2158="","",YEAR(A2158))</f>
        <v/>
      </c>
      <c r="P2158" s="30">
        <f>IF(A2158="","",CHOOSE(WEEKDAY(A2158,2),"Segunda","Terça","Quarta","Quinta","Sexta","Sábado","Domingo"))</f>
        <v/>
      </c>
      <c r="Q2158" s="30">
        <f>IF(B2158="","",IF(B2158&lt;TIME(12,0,0),"Manhã",IF(B2158&lt;TIME(18,0,0),"Tarde","Noite")))</f>
        <v/>
      </c>
      <c r="R2158" s="46">
        <f>IF(AND(H2158="Realizado",L2158&lt;&gt;"",A2158&lt;=Config!$B$9),L2158/60,0)</f>
        <v>0</v>
      </c>
      <c r="S2158" s="45">
        <f>IF(G2158="","",IFERROR(INDEX(Config!$K$5:$K$16,MATCH(G2158,Config!$J$5:$J$16,0)),""))</f>
        <v/>
      </c>
      <c r="T2158" s="31">
        <f>IF(OR(G2158="",F2158=""),"",IFERROR(INDEX(Config!$M$5:$R$16,MATCH(G2158,Config!$J$5:$J$16,0),MATCH(F2158,Config!$H$5:$H$10,0)),""))</f>
        <v/>
      </c>
      <c r="U2158" s="47">
        <f>IF(AND(H2158="Realizado",L2158&lt;&gt;""),L2158/60,0)</f>
        <v>0</v>
      </c>
      <c r="V2158" s="47">
        <f>IF(AND(H2158="Realizado",OR(L2158="",M2158="")),1,0)</f>
        <v>0</v>
      </c>
    </row>
    <row r="2159">
      <c r="A2159" s="43" t="n"/>
      <c r="B2159" s="44" t="n"/>
      <c r="C2159" s="38" t="n"/>
      <c r="D2159" s="38" t="n"/>
      <c r="E2159" s="37" t="n"/>
      <c r="F2159" s="38" t="n"/>
      <c r="G2159" s="38" t="n"/>
      <c r="H2159" s="38" t="n"/>
      <c r="I2159" s="38" t="n"/>
      <c r="J2159" s="38" t="n"/>
      <c r="K2159" s="37" t="n"/>
      <c r="L2159" s="39" t="n"/>
      <c r="M2159" s="40" t="n"/>
      <c r="N2159" s="30">
        <f>IF(A2159="","",MONTH(A2159))</f>
        <v/>
      </c>
      <c r="O2159" s="30">
        <f>IF(A2159="","",YEAR(A2159))</f>
        <v/>
      </c>
      <c r="P2159" s="30">
        <f>IF(A2159="","",CHOOSE(WEEKDAY(A2159,2),"Segunda","Terça","Quarta","Quinta","Sexta","Sábado","Domingo"))</f>
        <v/>
      </c>
      <c r="Q2159" s="30">
        <f>IF(B2159="","",IF(B2159&lt;TIME(12,0,0),"Manhã",IF(B2159&lt;TIME(18,0,0),"Tarde","Noite")))</f>
        <v/>
      </c>
      <c r="R2159" s="46">
        <f>IF(AND(H2159="Realizado",L2159&lt;&gt;"",A2159&lt;=Config!$B$9),L2159/60,0)</f>
        <v>0</v>
      </c>
      <c r="S2159" s="45">
        <f>IF(G2159="","",IFERROR(INDEX(Config!$K$5:$K$16,MATCH(G2159,Config!$J$5:$J$16,0)),""))</f>
        <v/>
      </c>
      <c r="T2159" s="31">
        <f>IF(OR(G2159="",F2159=""),"",IFERROR(INDEX(Config!$M$5:$R$16,MATCH(G2159,Config!$J$5:$J$16,0),MATCH(F2159,Config!$H$5:$H$10,0)),""))</f>
        <v/>
      </c>
      <c r="U2159" s="47">
        <f>IF(AND(H2159="Realizado",L2159&lt;&gt;""),L2159/60,0)</f>
        <v>0</v>
      </c>
      <c r="V2159" s="47">
        <f>IF(AND(H2159="Realizado",OR(L2159="",M2159="")),1,0)</f>
        <v>0</v>
      </c>
    </row>
    <row r="2160">
      <c r="A2160" s="43" t="n"/>
      <c r="B2160" s="44" t="n"/>
      <c r="C2160" s="38" t="n"/>
      <c r="D2160" s="38" t="n"/>
      <c r="E2160" s="37" t="n"/>
      <c r="F2160" s="38" t="n"/>
      <c r="G2160" s="38" t="n"/>
      <c r="H2160" s="38" t="n"/>
      <c r="I2160" s="38" t="n"/>
      <c r="J2160" s="38" t="n"/>
      <c r="K2160" s="37" t="n"/>
      <c r="L2160" s="39" t="n"/>
      <c r="M2160" s="40" t="n"/>
      <c r="N2160" s="30">
        <f>IF(A2160="","",MONTH(A2160))</f>
        <v/>
      </c>
      <c r="O2160" s="30">
        <f>IF(A2160="","",YEAR(A2160))</f>
        <v/>
      </c>
      <c r="P2160" s="30">
        <f>IF(A2160="","",CHOOSE(WEEKDAY(A2160,2),"Segunda","Terça","Quarta","Quinta","Sexta","Sábado","Domingo"))</f>
        <v/>
      </c>
      <c r="Q2160" s="30">
        <f>IF(B2160="","",IF(B2160&lt;TIME(12,0,0),"Manhã",IF(B2160&lt;TIME(18,0,0),"Tarde","Noite")))</f>
        <v/>
      </c>
      <c r="R2160" s="46">
        <f>IF(AND(H2160="Realizado",L2160&lt;&gt;"",A2160&lt;=Config!$B$9),L2160/60,0)</f>
        <v>0</v>
      </c>
      <c r="S2160" s="45">
        <f>IF(G2160="","",IFERROR(INDEX(Config!$K$5:$K$16,MATCH(G2160,Config!$J$5:$J$16,0)),""))</f>
        <v/>
      </c>
      <c r="T2160" s="31">
        <f>IF(OR(G2160="",F2160=""),"",IFERROR(INDEX(Config!$M$5:$R$16,MATCH(G2160,Config!$J$5:$J$16,0),MATCH(F2160,Config!$H$5:$H$10,0)),""))</f>
        <v/>
      </c>
      <c r="U2160" s="47">
        <f>IF(AND(H2160="Realizado",L2160&lt;&gt;""),L2160/60,0)</f>
        <v>0</v>
      </c>
      <c r="V2160" s="47">
        <f>IF(AND(H2160="Realizado",OR(L2160="",M2160="")),1,0)</f>
        <v>0</v>
      </c>
    </row>
    <row r="2161">
      <c r="A2161" s="43" t="n"/>
      <c r="B2161" s="44" t="n"/>
      <c r="C2161" s="38" t="n"/>
      <c r="D2161" s="38" t="n"/>
      <c r="E2161" s="37" t="n"/>
      <c r="F2161" s="38" t="n"/>
      <c r="G2161" s="38" t="n"/>
      <c r="H2161" s="38" t="n"/>
      <c r="I2161" s="38" t="n"/>
      <c r="J2161" s="38" t="n"/>
      <c r="K2161" s="37" t="n"/>
      <c r="L2161" s="39" t="n"/>
      <c r="M2161" s="40" t="n"/>
      <c r="N2161" s="30">
        <f>IF(A2161="","",MONTH(A2161))</f>
        <v/>
      </c>
      <c r="O2161" s="30">
        <f>IF(A2161="","",YEAR(A2161))</f>
        <v/>
      </c>
      <c r="P2161" s="30">
        <f>IF(A2161="","",CHOOSE(WEEKDAY(A2161,2),"Segunda","Terça","Quarta","Quinta","Sexta","Sábado","Domingo"))</f>
        <v/>
      </c>
      <c r="Q2161" s="30">
        <f>IF(B2161="","",IF(B2161&lt;TIME(12,0,0),"Manhã",IF(B2161&lt;TIME(18,0,0),"Tarde","Noite")))</f>
        <v/>
      </c>
      <c r="R2161" s="46">
        <f>IF(AND(H2161="Realizado",L2161&lt;&gt;"",A2161&lt;=Config!$B$9),L2161/60,0)</f>
        <v>0</v>
      </c>
      <c r="S2161" s="45">
        <f>IF(G2161="","",IFERROR(INDEX(Config!$K$5:$K$16,MATCH(G2161,Config!$J$5:$J$16,0)),""))</f>
        <v/>
      </c>
      <c r="T2161" s="31">
        <f>IF(OR(G2161="",F2161=""),"",IFERROR(INDEX(Config!$M$5:$R$16,MATCH(G2161,Config!$J$5:$J$16,0),MATCH(F2161,Config!$H$5:$H$10,0)),""))</f>
        <v/>
      </c>
      <c r="U2161" s="47">
        <f>IF(AND(H2161="Realizado",L2161&lt;&gt;""),L2161/60,0)</f>
        <v>0</v>
      </c>
      <c r="V2161" s="47">
        <f>IF(AND(H2161="Realizado",OR(L2161="",M2161="")),1,0)</f>
        <v>0</v>
      </c>
    </row>
    <row r="2162">
      <c r="A2162" s="43" t="n"/>
      <c r="B2162" s="44" t="n"/>
      <c r="C2162" s="38" t="n"/>
      <c r="D2162" s="38" t="n"/>
      <c r="E2162" s="37" t="n"/>
      <c r="F2162" s="38" t="n"/>
      <c r="G2162" s="38" t="n"/>
      <c r="H2162" s="38" t="n"/>
      <c r="I2162" s="38" t="n"/>
      <c r="J2162" s="38" t="n"/>
      <c r="K2162" s="37" t="n"/>
      <c r="L2162" s="39" t="n"/>
      <c r="M2162" s="40" t="n"/>
      <c r="N2162" s="30">
        <f>IF(A2162="","",MONTH(A2162))</f>
        <v/>
      </c>
      <c r="O2162" s="30">
        <f>IF(A2162="","",YEAR(A2162))</f>
        <v/>
      </c>
      <c r="P2162" s="30">
        <f>IF(A2162="","",CHOOSE(WEEKDAY(A2162,2),"Segunda","Terça","Quarta","Quinta","Sexta","Sábado","Domingo"))</f>
        <v/>
      </c>
      <c r="Q2162" s="30">
        <f>IF(B2162="","",IF(B2162&lt;TIME(12,0,0),"Manhã",IF(B2162&lt;TIME(18,0,0),"Tarde","Noite")))</f>
        <v/>
      </c>
      <c r="R2162" s="46">
        <f>IF(AND(H2162="Realizado",L2162&lt;&gt;"",A2162&lt;=Config!$B$9),L2162/60,0)</f>
        <v>0</v>
      </c>
      <c r="S2162" s="45">
        <f>IF(G2162="","",IFERROR(INDEX(Config!$K$5:$K$16,MATCH(G2162,Config!$J$5:$J$16,0)),""))</f>
        <v/>
      </c>
      <c r="T2162" s="31">
        <f>IF(OR(G2162="",F2162=""),"",IFERROR(INDEX(Config!$M$5:$R$16,MATCH(G2162,Config!$J$5:$J$16,0),MATCH(F2162,Config!$H$5:$H$10,0)),""))</f>
        <v/>
      </c>
      <c r="U2162" s="47">
        <f>IF(AND(H2162="Realizado",L2162&lt;&gt;""),L2162/60,0)</f>
        <v>0</v>
      </c>
      <c r="V2162" s="47">
        <f>IF(AND(H2162="Realizado",OR(L2162="",M2162="")),1,0)</f>
        <v>0</v>
      </c>
    </row>
    <row r="2163">
      <c r="A2163" s="43" t="n"/>
      <c r="B2163" s="44" t="n"/>
      <c r="C2163" s="38" t="n"/>
      <c r="D2163" s="38" t="n"/>
      <c r="E2163" s="37" t="n"/>
      <c r="F2163" s="38" t="n"/>
      <c r="G2163" s="38" t="n"/>
      <c r="H2163" s="38" t="n"/>
      <c r="I2163" s="38" t="n"/>
      <c r="J2163" s="38" t="n"/>
      <c r="K2163" s="37" t="n"/>
      <c r="L2163" s="39" t="n"/>
      <c r="M2163" s="40" t="n"/>
      <c r="N2163" s="30">
        <f>IF(A2163="","",MONTH(A2163))</f>
        <v/>
      </c>
      <c r="O2163" s="30">
        <f>IF(A2163="","",YEAR(A2163))</f>
        <v/>
      </c>
      <c r="P2163" s="30">
        <f>IF(A2163="","",CHOOSE(WEEKDAY(A2163,2),"Segunda","Terça","Quarta","Quinta","Sexta","Sábado","Domingo"))</f>
        <v/>
      </c>
      <c r="Q2163" s="30">
        <f>IF(B2163="","",IF(B2163&lt;TIME(12,0,0),"Manhã",IF(B2163&lt;TIME(18,0,0),"Tarde","Noite")))</f>
        <v/>
      </c>
      <c r="R2163" s="46">
        <f>IF(AND(H2163="Realizado",L2163&lt;&gt;"",A2163&lt;=Config!$B$9),L2163/60,0)</f>
        <v>0</v>
      </c>
      <c r="S2163" s="45">
        <f>IF(G2163="","",IFERROR(INDEX(Config!$K$5:$K$16,MATCH(G2163,Config!$J$5:$J$16,0)),""))</f>
        <v/>
      </c>
      <c r="T2163" s="31">
        <f>IF(OR(G2163="",F2163=""),"",IFERROR(INDEX(Config!$M$5:$R$16,MATCH(G2163,Config!$J$5:$J$16,0),MATCH(F2163,Config!$H$5:$H$10,0)),""))</f>
        <v/>
      </c>
      <c r="U2163" s="47">
        <f>IF(AND(H2163="Realizado",L2163&lt;&gt;""),L2163/60,0)</f>
        <v>0</v>
      </c>
      <c r="V2163" s="47">
        <f>IF(AND(H2163="Realizado",OR(L2163="",M2163="")),1,0)</f>
        <v>0</v>
      </c>
    </row>
    <row r="2164">
      <c r="A2164" s="43" t="n"/>
      <c r="B2164" s="44" t="n"/>
      <c r="C2164" s="38" t="n"/>
      <c r="D2164" s="38" t="n"/>
      <c r="E2164" s="37" t="n"/>
      <c r="F2164" s="38" t="n"/>
      <c r="G2164" s="38" t="n"/>
      <c r="H2164" s="38" t="n"/>
      <c r="I2164" s="38" t="n"/>
      <c r="J2164" s="38" t="n"/>
      <c r="K2164" s="37" t="n"/>
      <c r="L2164" s="39" t="n"/>
      <c r="M2164" s="40" t="n"/>
      <c r="N2164" s="30">
        <f>IF(A2164="","",MONTH(A2164))</f>
        <v/>
      </c>
      <c r="O2164" s="30">
        <f>IF(A2164="","",YEAR(A2164))</f>
        <v/>
      </c>
      <c r="P2164" s="30">
        <f>IF(A2164="","",CHOOSE(WEEKDAY(A2164,2),"Segunda","Terça","Quarta","Quinta","Sexta","Sábado","Domingo"))</f>
        <v/>
      </c>
      <c r="Q2164" s="30">
        <f>IF(B2164="","",IF(B2164&lt;TIME(12,0,0),"Manhã",IF(B2164&lt;TIME(18,0,0),"Tarde","Noite")))</f>
        <v/>
      </c>
      <c r="R2164" s="46">
        <f>IF(AND(H2164="Realizado",L2164&lt;&gt;"",A2164&lt;=Config!$B$9),L2164/60,0)</f>
        <v>0</v>
      </c>
      <c r="S2164" s="45">
        <f>IF(G2164="","",IFERROR(INDEX(Config!$K$5:$K$16,MATCH(G2164,Config!$J$5:$J$16,0)),""))</f>
        <v/>
      </c>
      <c r="T2164" s="31">
        <f>IF(OR(G2164="",F2164=""),"",IFERROR(INDEX(Config!$M$5:$R$16,MATCH(G2164,Config!$J$5:$J$16,0),MATCH(F2164,Config!$H$5:$H$10,0)),""))</f>
        <v/>
      </c>
      <c r="U2164" s="47">
        <f>IF(AND(H2164="Realizado",L2164&lt;&gt;""),L2164/60,0)</f>
        <v>0</v>
      </c>
      <c r="V2164" s="47">
        <f>IF(AND(H2164="Realizado",OR(L2164="",M2164="")),1,0)</f>
        <v>0</v>
      </c>
    </row>
    <row r="2165">
      <c r="A2165" s="43" t="n"/>
      <c r="B2165" s="44" t="n"/>
      <c r="C2165" s="38" t="n"/>
      <c r="D2165" s="38" t="n"/>
      <c r="E2165" s="37" t="n"/>
      <c r="F2165" s="38" t="n"/>
      <c r="G2165" s="38" t="n"/>
      <c r="H2165" s="38" t="n"/>
      <c r="I2165" s="38" t="n"/>
      <c r="J2165" s="38" t="n"/>
      <c r="K2165" s="37" t="n"/>
      <c r="L2165" s="39" t="n"/>
      <c r="M2165" s="40" t="n"/>
      <c r="N2165" s="30">
        <f>IF(A2165="","",MONTH(A2165))</f>
        <v/>
      </c>
      <c r="O2165" s="30">
        <f>IF(A2165="","",YEAR(A2165))</f>
        <v/>
      </c>
      <c r="P2165" s="30">
        <f>IF(A2165="","",CHOOSE(WEEKDAY(A2165,2),"Segunda","Terça","Quarta","Quinta","Sexta","Sábado","Domingo"))</f>
        <v/>
      </c>
      <c r="Q2165" s="30">
        <f>IF(B2165="","",IF(B2165&lt;TIME(12,0,0),"Manhã",IF(B2165&lt;TIME(18,0,0),"Tarde","Noite")))</f>
        <v/>
      </c>
      <c r="R2165" s="46">
        <f>IF(AND(H2165="Realizado",L2165&lt;&gt;"",A2165&lt;=Config!$B$9),L2165/60,0)</f>
        <v>0</v>
      </c>
      <c r="S2165" s="45">
        <f>IF(G2165="","",IFERROR(INDEX(Config!$K$5:$K$16,MATCH(G2165,Config!$J$5:$J$16,0)),""))</f>
        <v/>
      </c>
      <c r="T2165" s="31">
        <f>IF(OR(G2165="",F2165=""),"",IFERROR(INDEX(Config!$M$5:$R$16,MATCH(G2165,Config!$J$5:$J$16,0),MATCH(F2165,Config!$H$5:$H$10,0)),""))</f>
        <v/>
      </c>
      <c r="U2165" s="47">
        <f>IF(AND(H2165="Realizado",L2165&lt;&gt;""),L2165/60,0)</f>
        <v>0</v>
      </c>
      <c r="V2165" s="47">
        <f>IF(AND(H2165="Realizado",OR(L2165="",M2165="")),1,0)</f>
        <v>0</v>
      </c>
    </row>
    <row r="2166">
      <c r="A2166" s="43" t="n"/>
      <c r="B2166" s="44" t="n"/>
      <c r="C2166" s="38" t="n"/>
      <c r="D2166" s="38" t="n"/>
      <c r="E2166" s="37" t="n"/>
      <c r="F2166" s="38" t="n"/>
      <c r="G2166" s="38" t="n"/>
      <c r="H2166" s="38" t="n"/>
      <c r="I2166" s="38" t="n"/>
      <c r="J2166" s="38" t="n"/>
      <c r="K2166" s="37" t="n"/>
      <c r="L2166" s="39" t="n"/>
      <c r="M2166" s="40" t="n"/>
      <c r="N2166" s="30">
        <f>IF(A2166="","",MONTH(A2166))</f>
        <v/>
      </c>
      <c r="O2166" s="30">
        <f>IF(A2166="","",YEAR(A2166))</f>
        <v/>
      </c>
      <c r="P2166" s="30">
        <f>IF(A2166="","",CHOOSE(WEEKDAY(A2166,2),"Segunda","Terça","Quarta","Quinta","Sexta","Sábado","Domingo"))</f>
        <v/>
      </c>
      <c r="Q2166" s="30">
        <f>IF(B2166="","",IF(B2166&lt;TIME(12,0,0),"Manhã",IF(B2166&lt;TIME(18,0,0),"Tarde","Noite")))</f>
        <v/>
      </c>
      <c r="R2166" s="46">
        <f>IF(AND(H2166="Realizado",L2166&lt;&gt;"",A2166&lt;=Config!$B$9),L2166/60,0)</f>
        <v>0</v>
      </c>
      <c r="S2166" s="45">
        <f>IF(G2166="","",IFERROR(INDEX(Config!$K$5:$K$16,MATCH(G2166,Config!$J$5:$J$16,0)),""))</f>
        <v/>
      </c>
      <c r="T2166" s="31">
        <f>IF(OR(G2166="",F2166=""),"",IFERROR(INDEX(Config!$M$5:$R$16,MATCH(G2166,Config!$J$5:$J$16,0),MATCH(F2166,Config!$H$5:$H$10,0)),""))</f>
        <v/>
      </c>
      <c r="U2166" s="47">
        <f>IF(AND(H2166="Realizado",L2166&lt;&gt;""),L2166/60,0)</f>
        <v>0</v>
      </c>
      <c r="V2166" s="47">
        <f>IF(AND(H2166="Realizado",OR(L2166="",M2166="")),1,0)</f>
        <v>0</v>
      </c>
    </row>
    <row r="2167">
      <c r="A2167" s="43" t="n"/>
      <c r="B2167" s="44" t="n"/>
      <c r="C2167" s="38" t="n"/>
      <c r="D2167" s="38" t="n"/>
      <c r="E2167" s="37" t="n"/>
      <c r="F2167" s="38" t="n"/>
      <c r="G2167" s="38" t="n"/>
      <c r="H2167" s="38" t="n"/>
      <c r="I2167" s="38" t="n"/>
      <c r="J2167" s="38" t="n"/>
      <c r="K2167" s="37" t="n"/>
      <c r="L2167" s="39" t="n"/>
      <c r="M2167" s="40" t="n"/>
      <c r="N2167" s="30">
        <f>IF(A2167="","",MONTH(A2167))</f>
        <v/>
      </c>
      <c r="O2167" s="30">
        <f>IF(A2167="","",YEAR(A2167))</f>
        <v/>
      </c>
      <c r="P2167" s="30">
        <f>IF(A2167="","",CHOOSE(WEEKDAY(A2167,2),"Segunda","Terça","Quarta","Quinta","Sexta","Sábado","Domingo"))</f>
        <v/>
      </c>
      <c r="Q2167" s="30">
        <f>IF(B2167="","",IF(B2167&lt;TIME(12,0,0),"Manhã",IF(B2167&lt;TIME(18,0,0),"Tarde","Noite")))</f>
        <v/>
      </c>
      <c r="R2167" s="46">
        <f>IF(AND(H2167="Realizado",L2167&lt;&gt;"",A2167&lt;=Config!$B$9),L2167/60,0)</f>
        <v>0</v>
      </c>
      <c r="S2167" s="45">
        <f>IF(G2167="","",IFERROR(INDEX(Config!$K$5:$K$16,MATCH(G2167,Config!$J$5:$J$16,0)),""))</f>
        <v/>
      </c>
      <c r="T2167" s="31">
        <f>IF(OR(G2167="",F2167=""),"",IFERROR(INDEX(Config!$M$5:$R$16,MATCH(G2167,Config!$J$5:$J$16,0),MATCH(F2167,Config!$H$5:$H$10,0)),""))</f>
        <v/>
      </c>
      <c r="U2167" s="47">
        <f>IF(AND(H2167="Realizado",L2167&lt;&gt;""),L2167/60,0)</f>
        <v>0</v>
      </c>
      <c r="V2167" s="47">
        <f>IF(AND(H2167="Realizado",OR(L2167="",M2167="")),1,0)</f>
        <v>0</v>
      </c>
    </row>
    <row r="2168">
      <c r="A2168" s="43" t="n"/>
      <c r="B2168" s="44" t="n"/>
      <c r="C2168" s="38" t="n"/>
      <c r="D2168" s="38" t="n"/>
      <c r="E2168" s="37" t="n"/>
      <c r="F2168" s="38" t="n"/>
      <c r="G2168" s="38" t="n"/>
      <c r="H2168" s="38" t="n"/>
      <c r="I2168" s="38" t="n"/>
      <c r="J2168" s="38" t="n"/>
      <c r="K2168" s="37" t="n"/>
      <c r="L2168" s="39" t="n"/>
      <c r="M2168" s="40" t="n"/>
      <c r="N2168" s="30">
        <f>IF(A2168="","",MONTH(A2168))</f>
        <v/>
      </c>
      <c r="O2168" s="30">
        <f>IF(A2168="","",YEAR(A2168))</f>
        <v/>
      </c>
      <c r="P2168" s="30">
        <f>IF(A2168="","",CHOOSE(WEEKDAY(A2168,2),"Segunda","Terça","Quarta","Quinta","Sexta","Sábado","Domingo"))</f>
        <v/>
      </c>
      <c r="Q2168" s="30">
        <f>IF(B2168="","",IF(B2168&lt;TIME(12,0,0),"Manhã",IF(B2168&lt;TIME(18,0,0),"Tarde","Noite")))</f>
        <v/>
      </c>
      <c r="R2168" s="46">
        <f>IF(AND(H2168="Realizado",L2168&lt;&gt;"",A2168&lt;=Config!$B$9),L2168/60,0)</f>
        <v>0</v>
      </c>
      <c r="S2168" s="45">
        <f>IF(G2168="","",IFERROR(INDEX(Config!$K$5:$K$16,MATCH(G2168,Config!$J$5:$J$16,0)),""))</f>
        <v/>
      </c>
      <c r="T2168" s="31">
        <f>IF(OR(G2168="",F2168=""),"",IFERROR(INDEX(Config!$M$5:$R$16,MATCH(G2168,Config!$J$5:$J$16,0),MATCH(F2168,Config!$H$5:$H$10,0)),""))</f>
        <v/>
      </c>
      <c r="U2168" s="47">
        <f>IF(AND(H2168="Realizado",L2168&lt;&gt;""),L2168/60,0)</f>
        <v>0</v>
      </c>
      <c r="V2168" s="47">
        <f>IF(AND(H2168="Realizado",OR(L2168="",M2168="")),1,0)</f>
        <v>0</v>
      </c>
    </row>
    <row r="2169">
      <c r="A2169" s="43" t="n"/>
      <c r="B2169" s="44" t="n"/>
      <c r="C2169" s="38" t="n"/>
      <c r="D2169" s="38" t="n"/>
      <c r="E2169" s="37" t="n"/>
      <c r="F2169" s="38" t="n"/>
      <c r="G2169" s="38" t="n"/>
      <c r="H2169" s="38" t="n"/>
      <c r="I2169" s="38" t="n"/>
      <c r="J2169" s="38" t="n"/>
      <c r="K2169" s="37" t="n"/>
      <c r="L2169" s="39" t="n"/>
      <c r="M2169" s="40" t="n"/>
      <c r="N2169" s="30">
        <f>IF(A2169="","",MONTH(A2169))</f>
        <v/>
      </c>
      <c r="O2169" s="30">
        <f>IF(A2169="","",YEAR(A2169))</f>
        <v/>
      </c>
      <c r="P2169" s="30">
        <f>IF(A2169="","",CHOOSE(WEEKDAY(A2169,2),"Segunda","Terça","Quarta","Quinta","Sexta","Sábado","Domingo"))</f>
        <v/>
      </c>
      <c r="Q2169" s="30">
        <f>IF(B2169="","",IF(B2169&lt;TIME(12,0,0),"Manhã",IF(B2169&lt;TIME(18,0,0),"Tarde","Noite")))</f>
        <v/>
      </c>
      <c r="R2169" s="46">
        <f>IF(AND(H2169="Realizado",L2169&lt;&gt;"",A2169&lt;=Config!$B$9),L2169/60,0)</f>
        <v>0</v>
      </c>
      <c r="S2169" s="45">
        <f>IF(G2169="","",IFERROR(INDEX(Config!$K$5:$K$16,MATCH(G2169,Config!$J$5:$J$16,0)),""))</f>
        <v/>
      </c>
      <c r="T2169" s="31">
        <f>IF(OR(G2169="",F2169=""),"",IFERROR(INDEX(Config!$M$5:$R$16,MATCH(G2169,Config!$J$5:$J$16,0),MATCH(F2169,Config!$H$5:$H$10,0)),""))</f>
        <v/>
      </c>
      <c r="U2169" s="47">
        <f>IF(AND(H2169="Realizado",L2169&lt;&gt;""),L2169/60,0)</f>
        <v>0</v>
      </c>
      <c r="V2169" s="47">
        <f>IF(AND(H2169="Realizado",OR(L2169="",M2169="")),1,0)</f>
        <v>0</v>
      </c>
    </row>
    <row r="2170">
      <c r="A2170" s="43" t="n"/>
      <c r="B2170" s="44" t="n"/>
      <c r="C2170" s="38" t="n"/>
      <c r="D2170" s="38" t="n"/>
      <c r="E2170" s="37" t="n"/>
      <c r="F2170" s="38" t="n"/>
      <c r="G2170" s="38" t="n"/>
      <c r="H2170" s="38" t="n"/>
      <c r="I2170" s="38" t="n"/>
      <c r="J2170" s="38" t="n"/>
      <c r="K2170" s="37" t="n"/>
      <c r="L2170" s="39" t="n"/>
      <c r="M2170" s="40" t="n"/>
      <c r="N2170" s="30">
        <f>IF(A2170="","",MONTH(A2170))</f>
        <v/>
      </c>
      <c r="O2170" s="30">
        <f>IF(A2170="","",YEAR(A2170))</f>
        <v/>
      </c>
      <c r="P2170" s="30">
        <f>IF(A2170="","",CHOOSE(WEEKDAY(A2170,2),"Segunda","Terça","Quarta","Quinta","Sexta","Sábado","Domingo"))</f>
        <v/>
      </c>
      <c r="Q2170" s="30">
        <f>IF(B2170="","",IF(B2170&lt;TIME(12,0,0),"Manhã",IF(B2170&lt;TIME(18,0,0),"Tarde","Noite")))</f>
        <v/>
      </c>
      <c r="R2170" s="46">
        <f>IF(AND(H2170="Realizado",L2170&lt;&gt;"",A2170&lt;=Config!$B$9),L2170/60,0)</f>
        <v>0</v>
      </c>
      <c r="S2170" s="45">
        <f>IF(G2170="","",IFERROR(INDEX(Config!$K$5:$K$16,MATCH(G2170,Config!$J$5:$J$16,0)),""))</f>
        <v/>
      </c>
      <c r="T2170" s="31">
        <f>IF(OR(G2170="",F2170=""),"",IFERROR(INDEX(Config!$M$5:$R$16,MATCH(G2170,Config!$J$5:$J$16,0),MATCH(F2170,Config!$H$5:$H$10,0)),""))</f>
        <v/>
      </c>
      <c r="U2170" s="47">
        <f>IF(AND(H2170="Realizado",L2170&lt;&gt;""),L2170/60,0)</f>
        <v>0</v>
      </c>
      <c r="V2170" s="47">
        <f>IF(AND(H2170="Realizado",OR(L2170="",M2170="")),1,0)</f>
        <v>0</v>
      </c>
    </row>
    <row r="2171">
      <c r="A2171" s="43" t="n"/>
      <c r="B2171" s="44" t="n"/>
      <c r="C2171" s="38" t="n"/>
      <c r="D2171" s="38" t="n"/>
      <c r="E2171" s="37" t="n"/>
      <c r="F2171" s="38" t="n"/>
      <c r="G2171" s="38" t="n"/>
      <c r="H2171" s="38" t="n"/>
      <c r="I2171" s="38" t="n"/>
      <c r="J2171" s="38" t="n"/>
      <c r="K2171" s="37" t="n"/>
      <c r="L2171" s="39" t="n"/>
      <c r="M2171" s="40" t="n"/>
      <c r="N2171" s="30">
        <f>IF(A2171="","",MONTH(A2171))</f>
        <v/>
      </c>
      <c r="O2171" s="30">
        <f>IF(A2171="","",YEAR(A2171))</f>
        <v/>
      </c>
      <c r="P2171" s="30">
        <f>IF(A2171="","",CHOOSE(WEEKDAY(A2171,2),"Segunda","Terça","Quarta","Quinta","Sexta","Sábado","Domingo"))</f>
        <v/>
      </c>
      <c r="Q2171" s="30">
        <f>IF(B2171="","",IF(B2171&lt;TIME(12,0,0),"Manhã",IF(B2171&lt;TIME(18,0,0),"Tarde","Noite")))</f>
        <v/>
      </c>
      <c r="R2171" s="46">
        <f>IF(AND(H2171="Realizado",L2171&lt;&gt;"",A2171&lt;=Config!$B$9),L2171/60,0)</f>
        <v>0</v>
      </c>
      <c r="S2171" s="45">
        <f>IF(G2171="","",IFERROR(INDEX(Config!$K$5:$K$16,MATCH(G2171,Config!$J$5:$J$16,0)),""))</f>
        <v/>
      </c>
      <c r="T2171" s="31">
        <f>IF(OR(G2171="",F2171=""),"",IFERROR(INDEX(Config!$M$5:$R$16,MATCH(G2171,Config!$J$5:$J$16,0),MATCH(F2171,Config!$H$5:$H$10,0)),""))</f>
        <v/>
      </c>
      <c r="U2171" s="47">
        <f>IF(AND(H2171="Realizado",L2171&lt;&gt;""),L2171/60,0)</f>
        <v>0</v>
      </c>
      <c r="V2171" s="47">
        <f>IF(AND(H2171="Realizado",OR(L2171="",M2171="")),1,0)</f>
        <v>0</v>
      </c>
    </row>
    <row r="2172">
      <c r="A2172" s="43" t="n"/>
      <c r="B2172" s="44" t="n"/>
      <c r="C2172" s="38" t="n"/>
      <c r="D2172" s="38" t="n"/>
      <c r="E2172" s="37" t="n"/>
      <c r="F2172" s="38" t="n"/>
      <c r="G2172" s="38" t="n"/>
      <c r="H2172" s="38" t="n"/>
      <c r="I2172" s="38" t="n"/>
      <c r="J2172" s="38" t="n"/>
      <c r="K2172" s="37" t="n"/>
      <c r="L2172" s="39" t="n"/>
      <c r="M2172" s="40" t="n"/>
      <c r="N2172" s="30">
        <f>IF(A2172="","",MONTH(A2172))</f>
        <v/>
      </c>
      <c r="O2172" s="30">
        <f>IF(A2172="","",YEAR(A2172))</f>
        <v/>
      </c>
      <c r="P2172" s="30">
        <f>IF(A2172="","",CHOOSE(WEEKDAY(A2172,2),"Segunda","Terça","Quarta","Quinta","Sexta","Sábado","Domingo"))</f>
        <v/>
      </c>
      <c r="Q2172" s="30">
        <f>IF(B2172="","",IF(B2172&lt;TIME(12,0,0),"Manhã",IF(B2172&lt;TIME(18,0,0),"Tarde","Noite")))</f>
        <v/>
      </c>
      <c r="R2172" s="46">
        <f>IF(AND(H2172="Realizado",L2172&lt;&gt;"",A2172&lt;=Config!$B$9),L2172/60,0)</f>
        <v>0</v>
      </c>
      <c r="S2172" s="45">
        <f>IF(G2172="","",IFERROR(INDEX(Config!$K$5:$K$16,MATCH(G2172,Config!$J$5:$J$16,0)),""))</f>
        <v/>
      </c>
      <c r="T2172" s="31">
        <f>IF(OR(G2172="",F2172=""),"",IFERROR(INDEX(Config!$M$5:$R$16,MATCH(G2172,Config!$J$5:$J$16,0),MATCH(F2172,Config!$H$5:$H$10,0)),""))</f>
        <v/>
      </c>
      <c r="U2172" s="47">
        <f>IF(AND(H2172="Realizado",L2172&lt;&gt;""),L2172/60,0)</f>
        <v>0</v>
      </c>
      <c r="V2172" s="47">
        <f>IF(AND(H2172="Realizado",OR(L2172="",M2172="")),1,0)</f>
        <v>0</v>
      </c>
    </row>
    <row r="2173">
      <c r="A2173" s="43" t="n"/>
      <c r="B2173" s="44" t="n"/>
      <c r="C2173" s="38" t="n"/>
      <c r="D2173" s="38" t="n"/>
      <c r="E2173" s="37" t="n"/>
      <c r="F2173" s="38" t="n"/>
      <c r="G2173" s="38" t="n"/>
      <c r="H2173" s="38" t="n"/>
      <c r="I2173" s="38" t="n"/>
      <c r="J2173" s="38" t="n"/>
      <c r="K2173" s="37" t="n"/>
      <c r="L2173" s="39" t="n"/>
      <c r="M2173" s="40" t="n"/>
      <c r="N2173" s="30">
        <f>IF(A2173="","",MONTH(A2173))</f>
        <v/>
      </c>
      <c r="O2173" s="30">
        <f>IF(A2173="","",YEAR(A2173))</f>
        <v/>
      </c>
      <c r="P2173" s="30">
        <f>IF(A2173="","",CHOOSE(WEEKDAY(A2173,2),"Segunda","Terça","Quarta","Quinta","Sexta","Sábado","Domingo"))</f>
        <v/>
      </c>
      <c r="Q2173" s="30">
        <f>IF(B2173="","",IF(B2173&lt;TIME(12,0,0),"Manhã",IF(B2173&lt;TIME(18,0,0),"Tarde","Noite")))</f>
        <v/>
      </c>
      <c r="R2173" s="46">
        <f>IF(AND(H2173="Realizado",L2173&lt;&gt;"",A2173&lt;=Config!$B$9),L2173/60,0)</f>
        <v>0</v>
      </c>
      <c r="S2173" s="45">
        <f>IF(G2173="","",IFERROR(INDEX(Config!$K$5:$K$16,MATCH(G2173,Config!$J$5:$J$16,0)),""))</f>
        <v/>
      </c>
      <c r="T2173" s="31">
        <f>IF(OR(G2173="",F2173=""),"",IFERROR(INDEX(Config!$M$5:$R$16,MATCH(G2173,Config!$J$5:$J$16,0),MATCH(F2173,Config!$H$5:$H$10,0)),""))</f>
        <v/>
      </c>
      <c r="U2173" s="47">
        <f>IF(AND(H2173="Realizado",L2173&lt;&gt;""),L2173/60,0)</f>
        <v>0</v>
      </c>
      <c r="V2173" s="47">
        <f>IF(AND(H2173="Realizado",OR(L2173="",M2173="")),1,0)</f>
        <v>0</v>
      </c>
    </row>
    <row r="2174">
      <c r="A2174" s="43" t="n"/>
      <c r="B2174" s="44" t="n"/>
      <c r="C2174" s="38" t="n"/>
      <c r="D2174" s="38" t="n"/>
      <c r="E2174" s="37" t="n"/>
      <c r="F2174" s="38" t="n"/>
      <c r="G2174" s="38" t="n"/>
      <c r="H2174" s="38" t="n"/>
      <c r="I2174" s="38" t="n"/>
      <c r="J2174" s="38" t="n"/>
      <c r="K2174" s="37" t="n"/>
      <c r="L2174" s="39" t="n"/>
      <c r="M2174" s="40" t="n"/>
      <c r="N2174" s="30">
        <f>IF(A2174="","",MONTH(A2174))</f>
        <v/>
      </c>
      <c r="O2174" s="30">
        <f>IF(A2174="","",YEAR(A2174))</f>
        <v/>
      </c>
      <c r="P2174" s="30">
        <f>IF(A2174="","",CHOOSE(WEEKDAY(A2174,2),"Segunda","Terça","Quarta","Quinta","Sexta","Sábado","Domingo"))</f>
        <v/>
      </c>
      <c r="Q2174" s="30">
        <f>IF(B2174="","",IF(B2174&lt;TIME(12,0,0),"Manhã",IF(B2174&lt;TIME(18,0,0),"Tarde","Noite")))</f>
        <v/>
      </c>
      <c r="R2174" s="46">
        <f>IF(AND(H2174="Realizado",L2174&lt;&gt;"",A2174&lt;=Config!$B$9),L2174/60,0)</f>
        <v>0</v>
      </c>
      <c r="S2174" s="45">
        <f>IF(G2174="","",IFERROR(INDEX(Config!$K$5:$K$16,MATCH(G2174,Config!$J$5:$J$16,0)),""))</f>
        <v/>
      </c>
      <c r="T2174" s="31">
        <f>IF(OR(G2174="",F2174=""),"",IFERROR(INDEX(Config!$M$5:$R$16,MATCH(G2174,Config!$J$5:$J$16,0),MATCH(F2174,Config!$H$5:$H$10,0)),""))</f>
        <v/>
      </c>
      <c r="U2174" s="47">
        <f>IF(AND(H2174="Realizado",L2174&lt;&gt;""),L2174/60,0)</f>
        <v>0</v>
      </c>
      <c r="V2174" s="47">
        <f>IF(AND(H2174="Realizado",OR(L2174="",M2174="")),1,0)</f>
        <v>0</v>
      </c>
    </row>
    <row r="2175">
      <c r="A2175" s="43" t="n"/>
      <c r="B2175" s="44" t="n"/>
      <c r="C2175" s="38" t="n"/>
      <c r="D2175" s="38" t="n"/>
      <c r="E2175" s="37" t="n"/>
      <c r="F2175" s="38" t="n"/>
      <c r="G2175" s="38" t="n"/>
      <c r="H2175" s="38" t="n"/>
      <c r="I2175" s="38" t="n"/>
      <c r="J2175" s="38" t="n"/>
      <c r="K2175" s="37" t="n"/>
      <c r="L2175" s="39" t="n"/>
      <c r="M2175" s="40" t="n"/>
      <c r="N2175" s="30">
        <f>IF(A2175="","",MONTH(A2175))</f>
        <v/>
      </c>
      <c r="O2175" s="30">
        <f>IF(A2175="","",YEAR(A2175))</f>
        <v/>
      </c>
      <c r="P2175" s="30">
        <f>IF(A2175="","",CHOOSE(WEEKDAY(A2175,2),"Segunda","Terça","Quarta","Quinta","Sexta","Sábado","Domingo"))</f>
        <v/>
      </c>
      <c r="Q2175" s="30">
        <f>IF(B2175="","",IF(B2175&lt;TIME(12,0,0),"Manhã",IF(B2175&lt;TIME(18,0,0),"Tarde","Noite")))</f>
        <v/>
      </c>
      <c r="R2175" s="46">
        <f>IF(AND(H2175="Realizado",L2175&lt;&gt;"",A2175&lt;=Config!$B$9),L2175/60,0)</f>
        <v>0</v>
      </c>
      <c r="S2175" s="45">
        <f>IF(G2175="","",IFERROR(INDEX(Config!$K$5:$K$16,MATCH(G2175,Config!$J$5:$J$16,0)),""))</f>
        <v/>
      </c>
      <c r="T2175" s="31">
        <f>IF(OR(G2175="",F2175=""),"",IFERROR(INDEX(Config!$M$5:$R$16,MATCH(G2175,Config!$J$5:$J$16,0),MATCH(F2175,Config!$H$5:$H$10,0)),""))</f>
        <v/>
      </c>
      <c r="U2175" s="47">
        <f>IF(AND(H2175="Realizado",L2175&lt;&gt;""),L2175/60,0)</f>
        <v>0</v>
      </c>
      <c r="V2175" s="47">
        <f>IF(AND(H2175="Realizado",OR(L2175="",M2175="")),1,0)</f>
        <v>0</v>
      </c>
    </row>
    <row r="2176">
      <c r="A2176" s="43" t="n"/>
      <c r="B2176" s="44" t="n"/>
      <c r="C2176" s="38" t="n"/>
      <c r="D2176" s="38" t="n"/>
      <c r="E2176" s="37" t="n"/>
      <c r="F2176" s="38" t="n"/>
      <c r="G2176" s="38" t="n"/>
      <c r="H2176" s="38" t="n"/>
      <c r="I2176" s="38" t="n"/>
      <c r="J2176" s="38" t="n"/>
      <c r="K2176" s="37" t="n"/>
      <c r="L2176" s="39" t="n"/>
      <c r="M2176" s="40" t="n"/>
      <c r="N2176" s="30">
        <f>IF(A2176="","",MONTH(A2176))</f>
        <v/>
      </c>
      <c r="O2176" s="30">
        <f>IF(A2176="","",YEAR(A2176))</f>
        <v/>
      </c>
      <c r="P2176" s="30">
        <f>IF(A2176="","",CHOOSE(WEEKDAY(A2176,2),"Segunda","Terça","Quarta","Quinta","Sexta","Sábado","Domingo"))</f>
        <v/>
      </c>
      <c r="Q2176" s="30">
        <f>IF(B2176="","",IF(B2176&lt;TIME(12,0,0),"Manhã",IF(B2176&lt;TIME(18,0,0),"Tarde","Noite")))</f>
        <v/>
      </c>
      <c r="R2176" s="46">
        <f>IF(AND(H2176="Realizado",L2176&lt;&gt;"",A2176&lt;=Config!$B$9),L2176/60,0)</f>
        <v>0</v>
      </c>
      <c r="S2176" s="45">
        <f>IF(G2176="","",IFERROR(INDEX(Config!$K$5:$K$16,MATCH(G2176,Config!$J$5:$J$16,0)),""))</f>
        <v/>
      </c>
      <c r="T2176" s="31">
        <f>IF(OR(G2176="",F2176=""),"",IFERROR(INDEX(Config!$M$5:$R$16,MATCH(G2176,Config!$J$5:$J$16,0),MATCH(F2176,Config!$H$5:$H$10,0)),""))</f>
        <v/>
      </c>
      <c r="U2176" s="47">
        <f>IF(AND(H2176="Realizado",L2176&lt;&gt;""),L2176/60,0)</f>
        <v>0</v>
      </c>
      <c r="V2176" s="47">
        <f>IF(AND(H2176="Realizado",OR(L2176="",M2176="")),1,0)</f>
        <v>0</v>
      </c>
    </row>
    <row r="2177">
      <c r="A2177" s="43" t="n"/>
      <c r="B2177" s="44" t="n"/>
      <c r="C2177" s="38" t="n"/>
      <c r="D2177" s="38" t="n"/>
      <c r="E2177" s="37" t="n"/>
      <c r="F2177" s="38" t="n"/>
      <c r="G2177" s="38" t="n"/>
      <c r="H2177" s="38" t="n"/>
      <c r="I2177" s="38" t="n"/>
      <c r="J2177" s="38" t="n"/>
      <c r="K2177" s="37" t="n"/>
      <c r="L2177" s="39" t="n"/>
      <c r="M2177" s="40" t="n"/>
      <c r="N2177" s="30">
        <f>IF(A2177="","",MONTH(A2177))</f>
        <v/>
      </c>
      <c r="O2177" s="30">
        <f>IF(A2177="","",YEAR(A2177))</f>
        <v/>
      </c>
      <c r="P2177" s="30">
        <f>IF(A2177="","",CHOOSE(WEEKDAY(A2177,2),"Segunda","Terça","Quarta","Quinta","Sexta","Sábado","Domingo"))</f>
        <v/>
      </c>
      <c r="Q2177" s="30">
        <f>IF(B2177="","",IF(B2177&lt;TIME(12,0,0),"Manhã",IF(B2177&lt;TIME(18,0,0),"Tarde","Noite")))</f>
        <v/>
      </c>
      <c r="R2177" s="46">
        <f>IF(AND(H2177="Realizado",L2177&lt;&gt;"",A2177&lt;=Config!$B$9),L2177/60,0)</f>
        <v>0</v>
      </c>
      <c r="S2177" s="45">
        <f>IF(G2177="","",IFERROR(INDEX(Config!$K$5:$K$16,MATCH(G2177,Config!$J$5:$J$16,0)),""))</f>
        <v/>
      </c>
      <c r="T2177" s="31">
        <f>IF(OR(G2177="",F2177=""),"",IFERROR(INDEX(Config!$M$5:$R$16,MATCH(G2177,Config!$J$5:$J$16,0),MATCH(F2177,Config!$H$5:$H$10,0)),""))</f>
        <v/>
      </c>
      <c r="U2177" s="47">
        <f>IF(AND(H2177="Realizado",L2177&lt;&gt;""),L2177/60,0)</f>
        <v>0</v>
      </c>
      <c r="V2177" s="47">
        <f>IF(AND(H2177="Realizado",OR(L2177="",M2177="")),1,0)</f>
        <v>0</v>
      </c>
    </row>
    <row r="2178">
      <c r="A2178" s="43" t="n"/>
      <c r="B2178" s="44" t="n"/>
      <c r="C2178" s="38" t="n"/>
      <c r="D2178" s="38" t="n"/>
      <c r="E2178" s="37" t="n"/>
      <c r="F2178" s="38" t="n"/>
      <c r="G2178" s="38" t="n"/>
      <c r="H2178" s="38" t="n"/>
      <c r="I2178" s="38" t="n"/>
      <c r="J2178" s="38" t="n"/>
      <c r="K2178" s="37" t="n"/>
      <c r="L2178" s="39" t="n"/>
      <c r="M2178" s="40" t="n"/>
      <c r="N2178" s="30">
        <f>IF(A2178="","",MONTH(A2178))</f>
        <v/>
      </c>
      <c r="O2178" s="30">
        <f>IF(A2178="","",YEAR(A2178))</f>
        <v/>
      </c>
      <c r="P2178" s="30">
        <f>IF(A2178="","",CHOOSE(WEEKDAY(A2178,2),"Segunda","Terça","Quarta","Quinta","Sexta","Sábado","Domingo"))</f>
        <v/>
      </c>
      <c r="Q2178" s="30">
        <f>IF(B2178="","",IF(B2178&lt;TIME(12,0,0),"Manhã",IF(B2178&lt;TIME(18,0,0),"Tarde","Noite")))</f>
        <v/>
      </c>
      <c r="R2178" s="46">
        <f>IF(AND(H2178="Realizado",L2178&lt;&gt;"",A2178&lt;=Config!$B$9),L2178/60,0)</f>
        <v>0</v>
      </c>
      <c r="S2178" s="45">
        <f>IF(G2178="","",IFERROR(INDEX(Config!$K$5:$K$16,MATCH(G2178,Config!$J$5:$J$16,0)),""))</f>
        <v/>
      </c>
      <c r="T2178" s="31">
        <f>IF(OR(G2178="",F2178=""),"",IFERROR(INDEX(Config!$M$5:$R$16,MATCH(G2178,Config!$J$5:$J$16,0),MATCH(F2178,Config!$H$5:$H$10,0)),""))</f>
        <v/>
      </c>
      <c r="U2178" s="47">
        <f>IF(AND(H2178="Realizado",L2178&lt;&gt;""),L2178/60,0)</f>
        <v>0</v>
      </c>
      <c r="V2178" s="47">
        <f>IF(AND(H2178="Realizado",OR(L2178="",M2178="")),1,0)</f>
        <v>0</v>
      </c>
    </row>
    <row r="2179">
      <c r="A2179" s="43" t="n"/>
      <c r="B2179" s="44" t="n"/>
      <c r="C2179" s="38" t="n"/>
      <c r="D2179" s="38" t="n"/>
      <c r="E2179" s="37" t="n"/>
      <c r="F2179" s="38" t="n"/>
      <c r="G2179" s="38" t="n"/>
      <c r="H2179" s="38" t="n"/>
      <c r="I2179" s="38" t="n"/>
      <c r="J2179" s="38" t="n"/>
      <c r="K2179" s="37" t="n"/>
      <c r="L2179" s="39" t="n"/>
      <c r="M2179" s="40" t="n"/>
      <c r="N2179" s="30">
        <f>IF(A2179="","",MONTH(A2179))</f>
        <v/>
      </c>
      <c r="O2179" s="30">
        <f>IF(A2179="","",YEAR(A2179))</f>
        <v/>
      </c>
      <c r="P2179" s="30">
        <f>IF(A2179="","",CHOOSE(WEEKDAY(A2179,2),"Segunda","Terça","Quarta","Quinta","Sexta","Sábado","Domingo"))</f>
        <v/>
      </c>
      <c r="Q2179" s="30">
        <f>IF(B2179="","",IF(B2179&lt;TIME(12,0,0),"Manhã",IF(B2179&lt;TIME(18,0,0),"Tarde","Noite")))</f>
        <v/>
      </c>
      <c r="R2179" s="46">
        <f>IF(AND(H2179="Realizado",L2179&lt;&gt;"",A2179&lt;=Config!$B$9),L2179/60,0)</f>
        <v>0</v>
      </c>
      <c r="S2179" s="45">
        <f>IF(G2179="","",IFERROR(INDEX(Config!$K$5:$K$16,MATCH(G2179,Config!$J$5:$J$16,0)),""))</f>
        <v/>
      </c>
      <c r="T2179" s="31">
        <f>IF(OR(G2179="",F2179=""),"",IFERROR(INDEX(Config!$M$5:$R$16,MATCH(G2179,Config!$J$5:$J$16,0),MATCH(F2179,Config!$H$5:$H$10,0)),""))</f>
        <v/>
      </c>
      <c r="U2179" s="47">
        <f>IF(AND(H2179="Realizado",L2179&lt;&gt;""),L2179/60,0)</f>
        <v>0</v>
      </c>
      <c r="V2179" s="47">
        <f>IF(AND(H2179="Realizado",OR(L2179="",M2179="")),1,0)</f>
        <v>0</v>
      </c>
    </row>
    <row r="2180">
      <c r="A2180" s="43" t="n"/>
      <c r="B2180" s="44" t="n"/>
      <c r="C2180" s="38" t="n"/>
      <c r="D2180" s="38" t="n"/>
      <c r="E2180" s="37" t="n"/>
      <c r="F2180" s="38" t="n"/>
      <c r="G2180" s="38" t="n"/>
      <c r="H2180" s="38" t="n"/>
      <c r="I2180" s="38" t="n"/>
      <c r="J2180" s="38" t="n"/>
      <c r="K2180" s="37" t="n"/>
      <c r="L2180" s="39" t="n"/>
      <c r="M2180" s="40" t="n"/>
      <c r="N2180" s="30">
        <f>IF(A2180="","",MONTH(A2180))</f>
        <v/>
      </c>
      <c r="O2180" s="30">
        <f>IF(A2180="","",YEAR(A2180))</f>
        <v/>
      </c>
      <c r="P2180" s="30">
        <f>IF(A2180="","",CHOOSE(WEEKDAY(A2180,2),"Segunda","Terça","Quarta","Quinta","Sexta","Sábado","Domingo"))</f>
        <v/>
      </c>
      <c r="Q2180" s="30">
        <f>IF(B2180="","",IF(B2180&lt;TIME(12,0,0),"Manhã",IF(B2180&lt;TIME(18,0,0),"Tarde","Noite")))</f>
        <v/>
      </c>
      <c r="R2180" s="46">
        <f>IF(AND(H2180="Realizado",L2180&lt;&gt;"",A2180&lt;=Config!$B$9),L2180/60,0)</f>
        <v>0</v>
      </c>
      <c r="S2180" s="45">
        <f>IF(G2180="","",IFERROR(INDEX(Config!$K$5:$K$16,MATCH(G2180,Config!$J$5:$J$16,0)),""))</f>
        <v/>
      </c>
      <c r="T2180" s="31">
        <f>IF(OR(G2180="",F2180=""),"",IFERROR(INDEX(Config!$M$5:$R$16,MATCH(G2180,Config!$J$5:$J$16,0),MATCH(F2180,Config!$H$5:$H$10,0)),""))</f>
        <v/>
      </c>
      <c r="U2180" s="47">
        <f>IF(AND(H2180="Realizado",L2180&lt;&gt;""),L2180/60,0)</f>
        <v>0</v>
      </c>
      <c r="V2180" s="47">
        <f>IF(AND(H2180="Realizado",OR(L2180="",M2180="")),1,0)</f>
        <v>0</v>
      </c>
    </row>
    <row r="2181">
      <c r="A2181" s="43" t="n"/>
      <c r="B2181" s="44" t="n"/>
      <c r="C2181" s="38" t="n"/>
      <c r="D2181" s="38" t="n"/>
      <c r="E2181" s="37" t="n"/>
      <c r="F2181" s="38" t="n"/>
      <c r="G2181" s="38" t="n"/>
      <c r="H2181" s="38" t="n"/>
      <c r="I2181" s="38" t="n"/>
      <c r="J2181" s="38" t="n"/>
      <c r="K2181" s="37" t="n"/>
      <c r="L2181" s="39" t="n"/>
      <c r="M2181" s="40" t="n"/>
      <c r="N2181" s="30">
        <f>IF(A2181="","",MONTH(A2181))</f>
        <v/>
      </c>
      <c r="O2181" s="30">
        <f>IF(A2181="","",YEAR(A2181))</f>
        <v/>
      </c>
      <c r="P2181" s="30">
        <f>IF(A2181="","",CHOOSE(WEEKDAY(A2181,2),"Segunda","Terça","Quarta","Quinta","Sexta","Sábado","Domingo"))</f>
        <v/>
      </c>
      <c r="Q2181" s="30">
        <f>IF(B2181="","",IF(B2181&lt;TIME(12,0,0),"Manhã",IF(B2181&lt;TIME(18,0,0),"Tarde","Noite")))</f>
        <v/>
      </c>
      <c r="R2181" s="46">
        <f>IF(AND(H2181="Realizado",L2181&lt;&gt;"",A2181&lt;=Config!$B$9),L2181/60,0)</f>
        <v>0</v>
      </c>
      <c r="S2181" s="45">
        <f>IF(G2181="","",IFERROR(INDEX(Config!$K$5:$K$16,MATCH(G2181,Config!$J$5:$J$16,0)),""))</f>
        <v/>
      </c>
      <c r="T2181" s="31">
        <f>IF(OR(G2181="",F2181=""),"",IFERROR(INDEX(Config!$M$5:$R$16,MATCH(G2181,Config!$J$5:$J$16,0),MATCH(F2181,Config!$H$5:$H$10,0)),""))</f>
        <v/>
      </c>
      <c r="U2181" s="47">
        <f>IF(AND(H2181="Realizado",L2181&lt;&gt;""),L2181/60,0)</f>
        <v>0</v>
      </c>
      <c r="V2181" s="47">
        <f>IF(AND(H2181="Realizado",OR(L2181="",M2181="")),1,0)</f>
        <v>0</v>
      </c>
    </row>
    <row r="2182">
      <c r="A2182" s="43" t="n"/>
      <c r="B2182" s="44" t="n"/>
      <c r="C2182" s="38" t="n"/>
      <c r="D2182" s="38" t="n"/>
      <c r="E2182" s="37" t="n"/>
      <c r="F2182" s="38" t="n"/>
      <c r="G2182" s="38" t="n"/>
      <c r="H2182" s="38" t="n"/>
      <c r="I2182" s="38" t="n"/>
      <c r="J2182" s="38" t="n"/>
      <c r="K2182" s="37" t="n"/>
      <c r="L2182" s="39" t="n"/>
      <c r="M2182" s="40" t="n"/>
      <c r="N2182" s="30">
        <f>IF(A2182="","",MONTH(A2182))</f>
        <v/>
      </c>
      <c r="O2182" s="30">
        <f>IF(A2182="","",YEAR(A2182))</f>
        <v/>
      </c>
      <c r="P2182" s="30">
        <f>IF(A2182="","",CHOOSE(WEEKDAY(A2182,2),"Segunda","Terça","Quarta","Quinta","Sexta","Sábado","Domingo"))</f>
        <v/>
      </c>
      <c r="Q2182" s="30">
        <f>IF(B2182="","",IF(B2182&lt;TIME(12,0,0),"Manhã",IF(B2182&lt;TIME(18,0,0),"Tarde","Noite")))</f>
        <v/>
      </c>
      <c r="R2182" s="46">
        <f>IF(AND(H2182="Realizado",L2182&lt;&gt;"",A2182&lt;=Config!$B$9),L2182/60,0)</f>
        <v>0</v>
      </c>
      <c r="S2182" s="45">
        <f>IF(G2182="","",IFERROR(INDEX(Config!$K$5:$K$16,MATCH(G2182,Config!$J$5:$J$16,0)),""))</f>
        <v/>
      </c>
      <c r="T2182" s="31">
        <f>IF(OR(G2182="",F2182=""),"",IFERROR(INDEX(Config!$M$5:$R$16,MATCH(G2182,Config!$J$5:$J$16,0),MATCH(F2182,Config!$H$5:$H$10,0)),""))</f>
        <v/>
      </c>
      <c r="U2182" s="47">
        <f>IF(AND(H2182="Realizado",L2182&lt;&gt;""),L2182/60,0)</f>
        <v>0</v>
      </c>
      <c r="V2182" s="47">
        <f>IF(AND(H2182="Realizado",OR(L2182="",M2182="")),1,0)</f>
        <v>0</v>
      </c>
    </row>
    <row r="2183">
      <c r="A2183" s="43" t="n"/>
      <c r="B2183" s="44" t="n"/>
      <c r="C2183" s="38" t="n"/>
      <c r="D2183" s="38" t="n"/>
      <c r="E2183" s="37" t="n"/>
      <c r="F2183" s="38" t="n"/>
      <c r="G2183" s="38" t="n"/>
      <c r="H2183" s="38" t="n"/>
      <c r="I2183" s="38" t="n"/>
      <c r="J2183" s="38" t="n"/>
      <c r="K2183" s="37" t="n"/>
      <c r="L2183" s="39" t="n"/>
      <c r="M2183" s="40" t="n"/>
      <c r="N2183" s="30">
        <f>IF(A2183="","",MONTH(A2183))</f>
        <v/>
      </c>
      <c r="O2183" s="30">
        <f>IF(A2183="","",YEAR(A2183))</f>
        <v/>
      </c>
      <c r="P2183" s="30">
        <f>IF(A2183="","",CHOOSE(WEEKDAY(A2183,2),"Segunda","Terça","Quarta","Quinta","Sexta","Sábado","Domingo"))</f>
        <v/>
      </c>
      <c r="Q2183" s="30">
        <f>IF(B2183="","",IF(B2183&lt;TIME(12,0,0),"Manhã",IF(B2183&lt;TIME(18,0,0),"Tarde","Noite")))</f>
        <v/>
      </c>
      <c r="R2183" s="46">
        <f>IF(AND(H2183="Realizado",L2183&lt;&gt;"",A2183&lt;=Config!$B$9),L2183/60,0)</f>
        <v>0</v>
      </c>
      <c r="S2183" s="45">
        <f>IF(G2183="","",IFERROR(INDEX(Config!$K$5:$K$16,MATCH(G2183,Config!$J$5:$J$16,0)),""))</f>
        <v/>
      </c>
      <c r="T2183" s="31">
        <f>IF(OR(G2183="",F2183=""),"",IFERROR(INDEX(Config!$M$5:$R$16,MATCH(G2183,Config!$J$5:$J$16,0),MATCH(F2183,Config!$H$5:$H$10,0)),""))</f>
        <v/>
      </c>
      <c r="U2183" s="47">
        <f>IF(AND(H2183="Realizado",L2183&lt;&gt;""),L2183/60,0)</f>
        <v>0</v>
      </c>
      <c r="V2183" s="47">
        <f>IF(AND(H2183="Realizado",OR(L2183="",M2183="")),1,0)</f>
        <v>0</v>
      </c>
    </row>
    <row r="2184">
      <c r="A2184" s="43" t="n"/>
      <c r="B2184" s="44" t="n"/>
      <c r="C2184" s="38" t="n"/>
      <c r="D2184" s="38" t="n"/>
      <c r="E2184" s="37" t="n"/>
      <c r="F2184" s="38" t="n"/>
      <c r="G2184" s="38" t="n"/>
      <c r="H2184" s="38" t="n"/>
      <c r="I2184" s="38" t="n"/>
      <c r="J2184" s="38" t="n"/>
      <c r="K2184" s="37" t="n"/>
      <c r="L2184" s="39" t="n"/>
      <c r="M2184" s="40" t="n"/>
      <c r="N2184" s="30">
        <f>IF(A2184="","",MONTH(A2184))</f>
        <v/>
      </c>
      <c r="O2184" s="30">
        <f>IF(A2184="","",YEAR(A2184))</f>
        <v/>
      </c>
      <c r="P2184" s="30">
        <f>IF(A2184="","",CHOOSE(WEEKDAY(A2184,2),"Segunda","Terça","Quarta","Quinta","Sexta","Sábado","Domingo"))</f>
        <v/>
      </c>
      <c r="Q2184" s="30">
        <f>IF(B2184="","",IF(B2184&lt;TIME(12,0,0),"Manhã",IF(B2184&lt;TIME(18,0,0),"Tarde","Noite")))</f>
        <v/>
      </c>
      <c r="R2184" s="46">
        <f>IF(AND(H2184="Realizado",L2184&lt;&gt;"",A2184&lt;=Config!$B$9),L2184/60,0)</f>
        <v>0</v>
      </c>
      <c r="S2184" s="45">
        <f>IF(G2184="","",IFERROR(INDEX(Config!$K$5:$K$16,MATCH(G2184,Config!$J$5:$J$16,0)),""))</f>
        <v/>
      </c>
      <c r="T2184" s="31">
        <f>IF(OR(G2184="",F2184=""),"",IFERROR(INDEX(Config!$M$5:$R$16,MATCH(G2184,Config!$J$5:$J$16,0),MATCH(F2184,Config!$H$5:$H$10,0)),""))</f>
        <v/>
      </c>
      <c r="U2184" s="47">
        <f>IF(AND(H2184="Realizado",L2184&lt;&gt;""),L2184/60,0)</f>
        <v>0</v>
      </c>
      <c r="V2184" s="47">
        <f>IF(AND(H2184="Realizado",OR(L2184="",M2184="")),1,0)</f>
        <v>0</v>
      </c>
    </row>
    <row r="2185">
      <c r="A2185" s="43" t="n"/>
      <c r="B2185" s="44" t="n"/>
      <c r="C2185" s="38" t="n"/>
      <c r="D2185" s="38" t="n"/>
      <c r="E2185" s="37" t="n"/>
      <c r="F2185" s="38" t="n"/>
      <c r="G2185" s="38" t="n"/>
      <c r="H2185" s="38" t="n"/>
      <c r="I2185" s="38" t="n"/>
      <c r="J2185" s="38" t="n"/>
      <c r="K2185" s="37" t="n"/>
      <c r="L2185" s="39" t="n"/>
      <c r="M2185" s="40" t="n"/>
      <c r="N2185" s="30">
        <f>IF(A2185="","",MONTH(A2185))</f>
        <v/>
      </c>
      <c r="O2185" s="30">
        <f>IF(A2185="","",YEAR(A2185))</f>
        <v/>
      </c>
      <c r="P2185" s="30">
        <f>IF(A2185="","",CHOOSE(WEEKDAY(A2185,2),"Segunda","Terça","Quarta","Quinta","Sexta","Sábado","Domingo"))</f>
        <v/>
      </c>
      <c r="Q2185" s="30">
        <f>IF(B2185="","",IF(B2185&lt;TIME(12,0,0),"Manhã",IF(B2185&lt;TIME(18,0,0),"Tarde","Noite")))</f>
        <v/>
      </c>
      <c r="R2185" s="46">
        <f>IF(AND(H2185="Realizado",L2185&lt;&gt;"",A2185&lt;=Config!$B$9),L2185/60,0)</f>
        <v>0</v>
      </c>
      <c r="S2185" s="45">
        <f>IF(G2185="","",IFERROR(INDEX(Config!$K$5:$K$16,MATCH(G2185,Config!$J$5:$J$16,0)),""))</f>
        <v/>
      </c>
      <c r="T2185" s="31">
        <f>IF(OR(G2185="",F2185=""),"",IFERROR(INDEX(Config!$M$5:$R$16,MATCH(G2185,Config!$J$5:$J$16,0),MATCH(F2185,Config!$H$5:$H$10,0)),""))</f>
        <v/>
      </c>
      <c r="U2185" s="47">
        <f>IF(AND(H2185="Realizado",L2185&lt;&gt;""),L2185/60,0)</f>
        <v>0</v>
      </c>
      <c r="V2185" s="47">
        <f>IF(AND(H2185="Realizado",OR(L2185="",M2185="")),1,0)</f>
        <v>0</v>
      </c>
    </row>
    <row r="2186">
      <c r="A2186" s="43" t="n"/>
      <c r="B2186" s="44" t="n"/>
      <c r="C2186" s="38" t="n"/>
      <c r="D2186" s="38" t="n"/>
      <c r="E2186" s="37" t="n"/>
      <c r="F2186" s="38" t="n"/>
      <c r="G2186" s="38" t="n"/>
      <c r="H2186" s="38" t="n"/>
      <c r="I2186" s="38" t="n"/>
      <c r="J2186" s="38" t="n"/>
      <c r="K2186" s="37" t="n"/>
      <c r="L2186" s="39" t="n"/>
      <c r="M2186" s="40" t="n"/>
      <c r="N2186" s="30">
        <f>IF(A2186="","",MONTH(A2186))</f>
        <v/>
      </c>
      <c r="O2186" s="30">
        <f>IF(A2186="","",YEAR(A2186))</f>
        <v/>
      </c>
      <c r="P2186" s="30">
        <f>IF(A2186="","",CHOOSE(WEEKDAY(A2186,2),"Segunda","Terça","Quarta","Quinta","Sexta","Sábado","Domingo"))</f>
        <v/>
      </c>
      <c r="Q2186" s="30">
        <f>IF(B2186="","",IF(B2186&lt;TIME(12,0,0),"Manhã",IF(B2186&lt;TIME(18,0,0),"Tarde","Noite")))</f>
        <v/>
      </c>
      <c r="R2186" s="46">
        <f>IF(AND(H2186="Realizado",L2186&lt;&gt;"",A2186&lt;=Config!$B$9),L2186/60,0)</f>
        <v>0</v>
      </c>
      <c r="S2186" s="45">
        <f>IF(G2186="","",IFERROR(INDEX(Config!$K$5:$K$16,MATCH(G2186,Config!$J$5:$J$16,0)),""))</f>
        <v/>
      </c>
      <c r="T2186" s="31">
        <f>IF(OR(G2186="",F2186=""),"",IFERROR(INDEX(Config!$M$5:$R$16,MATCH(G2186,Config!$J$5:$J$16,0),MATCH(F2186,Config!$H$5:$H$10,0)),""))</f>
        <v/>
      </c>
      <c r="U2186" s="47">
        <f>IF(AND(H2186="Realizado",L2186&lt;&gt;""),L2186/60,0)</f>
        <v>0</v>
      </c>
      <c r="V2186" s="47">
        <f>IF(AND(H2186="Realizado",OR(L2186="",M2186="")),1,0)</f>
        <v>0</v>
      </c>
    </row>
    <row r="2187">
      <c r="A2187" s="43" t="n"/>
      <c r="B2187" s="44" t="n"/>
      <c r="C2187" s="38" t="n"/>
      <c r="D2187" s="38" t="n"/>
      <c r="E2187" s="37" t="n"/>
      <c r="F2187" s="38" t="n"/>
      <c r="G2187" s="38" t="n"/>
      <c r="H2187" s="38" t="n"/>
      <c r="I2187" s="38" t="n"/>
      <c r="J2187" s="38" t="n"/>
      <c r="K2187" s="37" t="n"/>
      <c r="L2187" s="39" t="n"/>
      <c r="M2187" s="40" t="n"/>
      <c r="N2187" s="30">
        <f>IF(A2187="","",MONTH(A2187))</f>
        <v/>
      </c>
      <c r="O2187" s="30">
        <f>IF(A2187="","",YEAR(A2187))</f>
        <v/>
      </c>
      <c r="P2187" s="30">
        <f>IF(A2187="","",CHOOSE(WEEKDAY(A2187,2),"Segunda","Terça","Quarta","Quinta","Sexta","Sábado","Domingo"))</f>
        <v/>
      </c>
      <c r="Q2187" s="30">
        <f>IF(B2187="","",IF(B2187&lt;TIME(12,0,0),"Manhã",IF(B2187&lt;TIME(18,0,0),"Tarde","Noite")))</f>
        <v/>
      </c>
      <c r="R2187" s="46">
        <f>IF(AND(H2187="Realizado",L2187&lt;&gt;"",A2187&lt;=Config!$B$9),L2187/60,0)</f>
        <v>0</v>
      </c>
      <c r="S2187" s="45">
        <f>IF(G2187="","",IFERROR(INDEX(Config!$K$5:$K$16,MATCH(G2187,Config!$J$5:$J$16,0)),""))</f>
        <v/>
      </c>
      <c r="T2187" s="31">
        <f>IF(OR(G2187="",F2187=""),"",IFERROR(INDEX(Config!$M$5:$R$16,MATCH(G2187,Config!$J$5:$J$16,0),MATCH(F2187,Config!$H$5:$H$10,0)),""))</f>
        <v/>
      </c>
      <c r="U2187" s="47">
        <f>IF(AND(H2187="Realizado",L2187&lt;&gt;""),L2187/60,0)</f>
        <v>0</v>
      </c>
      <c r="V2187" s="47">
        <f>IF(AND(H2187="Realizado",OR(L2187="",M2187="")),1,0)</f>
        <v>0</v>
      </c>
    </row>
    <row r="2188">
      <c r="A2188" s="43" t="n"/>
      <c r="B2188" s="44" t="n"/>
      <c r="C2188" s="38" t="n"/>
      <c r="D2188" s="38" t="n"/>
      <c r="E2188" s="37" t="n"/>
      <c r="F2188" s="38" t="n"/>
      <c r="G2188" s="38" t="n"/>
      <c r="H2188" s="38" t="n"/>
      <c r="I2188" s="38" t="n"/>
      <c r="J2188" s="38" t="n"/>
      <c r="K2188" s="37" t="n"/>
      <c r="L2188" s="39" t="n"/>
      <c r="M2188" s="40" t="n"/>
      <c r="N2188" s="30">
        <f>IF(A2188="","",MONTH(A2188))</f>
        <v/>
      </c>
      <c r="O2188" s="30">
        <f>IF(A2188="","",YEAR(A2188))</f>
        <v/>
      </c>
      <c r="P2188" s="30">
        <f>IF(A2188="","",CHOOSE(WEEKDAY(A2188,2),"Segunda","Terça","Quarta","Quinta","Sexta","Sábado","Domingo"))</f>
        <v/>
      </c>
      <c r="Q2188" s="30">
        <f>IF(B2188="","",IF(B2188&lt;TIME(12,0,0),"Manhã",IF(B2188&lt;TIME(18,0,0),"Tarde","Noite")))</f>
        <v/>
      </c>
      <c r="R2188" s="46">
        <f>IF(AND(H2188="Realizado",L2188&lt;&gt;"",A2188&lt;=Config!$B$9),L2188/60,0)</f>
        <v>0</v>
      </c>
      <c r="S2188" s="45">
        <f>IF(G2188="","",IFERROR(INDEX(Config!$K$5:$K$16,MATCH(G2188,Config!$J$5:$J$16,0)),""))</f>
        <v/>
      </c>
      <c r="T2188" s="31">
        <f>IF(OR(G2188="",F2188=""),"",IFERROR(INDEX(Config!$M$5:$R$16,MATCH(G2188,Config!$J$5:$J$16,0),MATCH(F2188,Config!$H$5:$H$10,0)),""))</f>
        <v/>
      </c>
      <c r="U2188" s="47">
        <f>IF(AND(H2188="Realizado",L2188&lt;&gt;""),L2188/60,0)</f>
        <v>0</v>
      </c>
      <c r="V2188" s="47">
        <f>IF(AND(H2188="Realizado",OR(L2188="",M2188="")),1,0)</f>
        <v>0</v>
      </c>
    </row>
    <row r="2189">
      <c r="A2189" s="43" t="n"/>
      <c r="B2189" s="44" t="n"/>
      <c r="C2189" s="38" t="n"/>
      <c r="D2189" s="38" t="n"/>
      <c r="E2189" s="37" t="n"/>
      <c r="F2189" s="38" t="n"/>
      <c r="G2189" s="38" t="n"/>
      <c r="H2189" s="38" t="n"/>
      <c r="I2189" s="38" t="n"/>
      <c r="J2189" s="38" t="n"/>
      <c r="K2189" s="37" t="n"/>
      <c r="L2189" s="39" t="n"/>
      <c r="M2189" s="40" t="n"/>
      <c r="N2189" s="30">
        <f>IF(A2189="","",MONTH(A2189))</f>
        <v/>
      </c>
      <c r="O2189" s="30">
        <f>IF(A2189="","",YEAR(A2189))</f>
        <v/>
      </c>
      <c r="P2189" s="30">
        <f>IF(A2189="","",CHOOSE(WEEKDAY(A2189,2),"Segunda","Terça","Quarta","Quinta","Sexta","Sábado","Domingo"))</f>
        <v/>
      </c>
      <c r="Q2189" s="30">
        <f>IF(B2189="","",IF(B2189&lt;TIME(12,0,0),"Manhã",IF(B2189&lt;TIME(18,0,0),"Tarde","Noite")))</f>
        <v/>
      </c>
      <c r="R2189" s="46">
        <f>IF(AND(H2189="Realizado",L2189&lt;&gt;"",A2189&lt;=Config!$B$9),L2189/60,0)</f>
        <v>0</v>
      </c>
      <c r="S2189" s="45">
        <f>IF(G2189="","",IFERROR(INDEX(Config!$K$5:$K$16,MATCH(G2189,Config!$J$5:$J$16,0)),""))</f>
        <v/>
      </c>
      <c r="T2189" s="31">
        <f>IF(OR(G2189="",F2189=""),"",IFERROR(INDEX(Config!$M$5:$R$16,MATCH(G2189,Config!$J$5:$J$16,0),MATCH(F2189,Config!$H$5:$H$10,0)),""))</f>
        <v/>
      </c>
      <c r="U2189" s="47">
        <f>IF(AND(H2189="Realizado",L2189&lt;&gt;""),L2189/60,0)</f>
        <v>0</v>
      </c>
      <c r="V2189" s="47">
        <f>IF(AND(H2189="Realizado",OR(L2189="",M2189="")),1,0)</f>
        <v>0</v>
      </c>
    </row>
    <row r="2190">
      <c r="A2190" s="43" t="n"/>
      <c r="B2190" s="44" t="n"/>
      <c r="C2190" s="38" t="n"/>
      <c r="D2190" s="38" t="n"/>
      <c r="E2190" s="37" t="n"/>
      <c r="F2190" s="38" t="n"/>
      <c r="G2190" s="38" t="n"/>
      <c r="H2190" s="38" t="n"/>
      <c r="I2190" s="38" t="n"/>
      <c r="J2190" s="38" t="n"/>
      <c r="K2190" s="37" t="n"/>
      <c r="L2190" s="39" t="n"/>
      <c r="M2190" s="40" t="n"/>
      <c r="N2190" s="30">
        <f>IF(A2190="","",MONTH(A2190))</f>
        <v/>
      </c>
      <c r="O2190" s="30">
        <f>IF(A2190="","",YEAR(A2190))</f>
        <v/>
      </c>
      <c r="P2190" s="30">
        <f>IF(A2190="","",CHOOSE(WEEKDAY(A2190,2),"Segunda","Terça","Quarta","Quinta","Sexta","Sábado","Domingo"))</f>
        <v/>
      </c>
      <c r="Q2190" s="30">
        <f>IF(B2190="","",IF(B2190&lt;TIME(12,0,0),"Manhã",IF(B2190&lt;TIME(18,0,0),"Tarde","Noite")))</f>
        <v/>
      </c>
      <c r="R2190" s="46">
        <f>IF(AND(H2190="Realizado",L2190&lt;&gt;"",A2190&lt;=Config!$B$9),L2190/60,0)</f>
        <v>0</v>
      </c>
      <c r="S2190" s="45">
        <f>IF(G2190="","",IFERROR(INDEX(Config!$K$5:$K$16,MATCH(G2190,Config!$J$5:$J$16,0)),""))</f>
        <v/>
      </c>
      <c r="T2190" s="31">
        <f>IF(OR(G2190="",F2190=""),"",IFERROR(INDEX(Config!$M$5:$R$16,MATCH(G2190,Config!$J$5:$J$16,0),MATCH(F2190,Config!$H$5:$H$10,0)),""))</f>
        <v/>
      </c>
      <c r="U2190" s="47">
        <f>IF(AND(H2190="Realizado",L2190&lt;&gt;""),L2190/60,0)</f>
        <v>0</v>
      </c>
      <c r="V2190" s="47">
        <f>IF(AND(H2190="Realizado",OR(L2190="",M2190="")),1,0)</f>
        <v>0</v>
      </c>
    </row>
    <row r="2191">
      <c r="A2191" s="43" t="n"/>
      <c r="B2191" s="44" t="n"/>
      <c r="C2191" s="38" t="n"/>
      <c r="D2191" s="38" t="n"/>
      <c r="E2191" s="37" t="n"/>
      <c r="F2191" s="38" t="n"/>
      <c r="G2191" s="38" t="n"/>
      <c r="H2191" s="38" t="n"/>
      <c r="I2191" s="38" t="n"/>
      <c r="J2191" s="38" t="n"/>
      <c r="K2191" s="37" t="n"/>
      <c r="L2191" s="39" t="n"/>
      <c r="M2191" s="40" t="n"/>
      <c r="N2191" s="30">
        <f>IF(A2191="","",MONTH(A2191))</f>
        <v/>
      </c>
      <c r="O2191" s="30">
        <f>IF(A2191="","",YEAR(A2191))</f>
        <v/>
      </c>
      <c r="P2191" s="30">
        <f>IF(A2191="","",CHOOSE(WEEKDAY(A2191,2),"Segunda","Terça","Quarta","Quinta","Sexta","Sábado","Domingo"))</f>
        <v/>
      </c>
      <c r="Q2191" s="30">
        <f>IF(B2191="","",IF(B2191&lt;TIME(12,0,0),"Manhã",IF(B2191&lt;TIME(18,0,0),"Tarde","Noite")))</f>
        <v/>
      </c>
      <c r="R2191" s="46">
        <f>IF(AND(H2191="Realizado",L2191&lt;&gt;"",A2191&lt;=Config!$B$9),L2191/60,0)</f>
        <v>0</v>
      </c>
      <c r="S2191" s="45">
        <f>IF(G2191="","",IFERROR(INDEX(Config!$K$5:$K$16,MATCH(G2191,Config!$J$5:$J$16,0)),""))</f>
        <v/>
      </c>
      <c r="T2191" s="31">
        <f>IF(OR(G2191="",F2191=""),"",IFERROR(INDEX(Config!$M$5:$R$16,MATCH(G2191,Config!$J$5:$J$16,0),MATCH(F2191,Config!$H$5:$H$10,0)),""))</f>
        <v/>
      </c>
      <c r="U2191" s="47">
        <f>IF(AND(H2191="Realizado",L2191&lt;&gt;""),L2191/60,0)</f>
        <v>0</v>
      </c>
      <c r="V2191" s="47">
        <f>IF(AND(H2191="Realizado",OR(L2191="",M2191="")),1,0)</f>
        <v>0</v>
      </c>
    </row>
    <row r="2192">
      <c r="A2192" s="43" t="n"/>
      <c r="B2192" s="44" t="n"/>
      <c r="C2192" s="38" t="n"/>
      <c r="D2192" s="38" t="n"/>
      <c r="E2192" s="37" t="n"/>
      <c r="F2192" s="38" t="n"/>
      <c r="G2192" s="38" t="n"/>
      <c r="H2192" s="38" t="n"/>
      <c r="I2192" s="38" t="n"/>
      <c r="J2192" s="38" t="n"/>
      <c r="K2192" s="37" t="n"/>
      <c r="L2192" s="39" t="n"/>
      <c r="M2192" s="40" t="n"/>
      <c r="N2192" s="30">
        <f>IF(A2192="","",MONTH(A2192))</f>
        <v/>
      </c>
      <c r="O2192" s="30">
        <f>IF(A2192="","",YEAR(A2192))</f>
        <v/>
      </c>
      <c r="P2192" s="30">
        <f>IF(A2192="","",CHOOSE(WEEKDAY(A2192,2),"Segunda","Terça","Quarta","Quinta","Sexta","Sábado","Domingo"))</f>
        <v/>
      </c>
      <c r="Q2192" s="30">
        <f>IF(B2192="","",IF(B2192&lt;TIME(12,0,0),"Manhã",IF(B2192&lt;TIME(18,0,0),"Tarde","Noite")))</f>
        <v/>
      </c>
      <c r="R2192" s="46">
        <f>IF(AND(H2192="Realizado",L2192&lt;&gt;"",A2192&lt;=Config!$B$9),L2192/60,0)</f>
        <v>0</v>
      </c>
      <c r="S2192" s="45">
        <f>IF(G2192="","",IFERROR(INDEX(Config!$K$5:$K$16,MATCH(G2192,Config!$J$5:$J$16,0)),""))</f>
        <v/>
      </c>
      <c r="T2192" s="31">
        <f>IF(OR(G2192="",F2192=""),"",IFERROR(INDEX(Config!$M$5:$R$16,MATCH(G2192,Config!$J$5:$J$16,0),MATCH(F2192,Config!$H$5:$H$10,0)),""))</f>
        <v/>
      </c>
      <c r="U2192" s="47">
        <f>IF(AND(H2192="Realizado",L2192&lt;&gt;""),L2192/60,0)</f>
        <v>0</v>
      </c>
      <c r="V2192" s="47">
        <f>IF(AND(H2192="Realizado",OR(L2192="",M2192="")),1,0)</f>
        <v>0</v>
      </c>
    </row>
    <row r="2193">
      <c r="A2193" s="43" t="n"/>
      <c r="B2193" s="44" t="n"/>
      <c r="C2193" s="38" t="n"/>
      <c r="D2193" s="38" t="n"/>
      <c r="E2193" s="37" t="n"/>
      <c r="F2193" s="38" t="n"/>
      <c r="G2193" s="38" t="n"/>
      <c r="H2193" s="38" t="n"/>
      <c r="I2193" s="38" t="n"/>
      <c r="J2193" s="38" t="n"/>
      <c r="K2193" s="37" t="n"/>
      <c r="L2193" s="39" t="n"/>
      <c r="M2193" s="40" t="n"/>
      <c r="N2193" s="30">
        <f>IF(A2193="","",MONTH(A2193))</f>
        <v/>
      </c>
      <c r="O2193" s="30">
        <f>IF(A2193="","",YEAR(A2193))</f>
        <v/>
      </c>
      <c r="P2193" s="30">
        <f>IF(A2193="","",CHOOSE(WEEKDAY(A2193,2),"Segunda","Terça","Quarta","Quinta","Sexta","Sábado","Domingo"))</f>
        <v/>
      </c>
      <c r="Q2193" s="30">
        <f>IF(B2193="","",IF(B2193&lt;TIME(12,0,0),"Manhã",IF(B2193&lt;TIME(18,0,0),"Tarde","Noite")))</f>
        <v/>
      </c>
      <c r="R2193" s="46">
        <f>IF(AND(H2193="Realizado",L2193&lt;&gt;"",A2193&lt;=Config!$B$9),L2193/60,0)</f>
        <v>0</v>
      </c>
      <c r="S2193" s="45">
        <f>IF(G2193="","",IFERROR(INDEX(Config!$K$5:$K$16,MATCH(G2193,Config!$J$5:$J$16,0)),""))</f>
        <v/>
      </c>
      <c r="T2193" s="31">
        <f>IF(OR(G2193="",F2193=""),"",IFERROR(INDEX(Config!$M$5:$R$16,MATCH(G2193,Config!$J$5:$J$16,0),MATCH(F2193,Config!$H$5:$H$10,0)),""))</f>
        <v/>
      </c>
      <c r="U2193" s="47">
        <f>IF(AND(H2193="Realizado",L2193&lt;&gt;""),L2193/60,0)</f>
        <v>0</v>
      </c>
      <c r="V2193" s="47">
        <f>IF(AND(H2193="Realizado",OR(L2193="",M2193="")),1,0)</f>
        <v>0</v>
      </c>
    </row>
    <row r="2194">
      <c r="A2194" s="43" t="n"/>
      <c r="B2194" s="44" t="n"/>
      <c r="C2194" s="38" t="n"/>
      <c r="D2194" s="38" t="n"/>
      <c r="E2194" s="37" t="n"/>
      <c r="F2194" s="38" t="n"/>
      <c r="G2194" s="38" t="n"/>
      <c r="H2194" s="38" t="n"/>
      <c r="I2194" s="38" t="n"/>
      <c r="J2194" s="38" t="n"/>
      <c r="K2194" s="37" t="n"/>
      <c r="L2194" s="39" t="n"/>
      <c r="M2194" s="40" t="n"/>
      <c r="N2194" s="30">
        <f>IF(A2194="","",MONTH(A2194))</f>
        <v/>
      </c>
      <c r="O2194" s="30">
        <f>IF(A2194="","",YEAR(A2194))</f>
        <v/>
      </c>
      <c r="P2194" s="30">
        <f>IF(A2194="","",CHOOSE(WEEKDAY(A2194,2),"Segunda","Terça","Quarta","Quinta","Sexta","Sábado","Domingo"))</f>
        <v/>
      </c>
      <c r="Q2194" s="30">
        <f>IF(B2194="","",IF(B2194&lt;TIME(12,0,0),"Manhã",IF(B2194&lt;TIME(18,0,0),"Tarde","Noite")))</f>
        <v/>
      </c>
      <c r="R2194" s="46">
        <f>IF(AND(H2194="Realizado",L2194&lt;&gt;"",A2194&lt;=Config!$B$9),L2194/60,0)</f>
        <v>0</v>
      </c>
      <c r="S2194" s="45">
        <f>IF(G2194="","",IFERROR(INDEX(Config!$K$5:$K$16,MATCH(G2194,Config!$J$5:$J$16,0)),""))</f>
        <v/>
      </c>
      <c r="T2194" s="31">
        <f>IF(OR(G2194="",F2194=""),"",IFERROR(INDEX(Config!$M$5:$R$16,MATCH(G2194,Config!$J$5:$J$16,0),MATCH(F2194,Config!$H$5:$H$10,0)),""))</f>
        <v/>
      </c>
      <c r="U2194" s="47">
        <f>IF(AND(H2194="Realizado",L2194&lt;&gt;""),L2194/60,0)</f>
        <v>0</v>
      </c>
      <c r="V2194" s="47">
        <f>IF(AND(H2194="Realizado",OR(L2194="",M2194="")),1,0)</f>
        <v>0</v>
      </c>
    </row>
    <row r="2195">
      <c r="A2195" s="43" t="n"/>
      <c r="B2195" s="44" t="n"/>
      <c r="C2195" s="38" t="n"/>
      <c r="D2195" s="38" t="n"/>
      <c r="E2195" s="37" t="n"/>
      <c r="F2195" s="38" t="n"/>
      <c r="G2195" s="38" t="n"/>
      <c r="H2195" s="38" t="n"/>
      <c r="I2195" s="38" t="n"/>
      <c r="J2195" s="38" t="n"/>
      <c r="K2195" s="37" t="n"/>
      <c r="L2195" s="39" t="n"/>
      <c r="M2195" s="40" t="n"/>
      <c r="N2195" s="30">
        <f>IF(A2195="","",MONTH(A2195))</f>
        <v/>
      </c>
      <c r="O2195" s="30">
        <f>IF(A2195="","",YEAR(A2195))</f>
        <v/>
      </c>
      <c r="P2195" s="30">
        <f>IF(A2195="","",CHOOSE(WEEKDAY(A2195,2),"Segunda","Terça","Quarta","Quinta","Sexta","Sábado","Domingo"))</f>
        <v/>
      </c>
      <c r="Q2195" s="30">
        <f>IF(B2195="","",IF(B2195&lt;TIME(12,0,0),"Manhã",IF(B2195&lt;TIME(18,0,0),"Tarde","Noite")))</f>
        <v/>
      </c>
      <c r="R2195" s="46">
        <f>IF(AND(H2195="Realizado",L2195&lt;&gt;"",A2195&lt;=Config!$B$9),L2195/60,0)</f>
        <v>0</v>
      </c>
      <c r="S2195" s="45">
        <f>IF(G2195="","",IFERROR(INDEX(Config!$K$5:$K$16,MATCH(G2195,Config!$J$5:$J$16,0)),""))</f>
        <v/>
      </c>
      <c r="T2195" s="31">
        <f>IF(OR(G2195="",F2195=""),"",IFERROR(INDEX(Config!$M$5:$R$16,MATCH(G2195,Config!$J$5:$J$16,0),MATCH(F2195,Config!$H$5:$H$10,0)),""))</f>
        <v/>
      </c>
      <c r="U2195" s="47">
        <f>IF(AND(H2195="Realizado",L2195&lt;&gt;""),L2195/60,0)</f>
        <v>0</v>
      </c>
      <c r="V2195" s="47">
        <f>IF(AND(H2195="Realizado",OR(L2195="",M2195="")),1,0)</f>
        <v>0</v>
      </c>
    </row>
    <row r="2196">
      <c r="A2196" s="43" t="n"/>
      <c r="B2196" s="44" t="n"/>
      <c r="C2196" s="38" t="n"/>
      <c r="D2196" s="38" t="n"/>
      <c r="E2196" s="37" t="n"/>
      <c r="F2196" s="38" t="n"/>
      <c r="G2196" s="38" t="n"/>
      <c r="H2196" s="38" t="n"/>
      <c r="I2196" s="38" t="n"/>
      <c r="J2196" s="38" t="n"/>
      <c r="K2196" s="37" t="n"/>
      <c r="L2196" s="39" t="n"/>
      <c r="M2196" s="40" t="n"/>
      <c r="N2196" s="30">
        <f>IF(A2196="","",MONTH(A2196))</f>
        <v/>
      </c>
      <c r="O2196" s="30">
        <f>IF(A2196="","",YEAR(A2196))</f>
        <v/>
      </c>
      <c r="P2196" s="30">
        <f>IF(A2196="","",CHOOSE(WEEKDAY(A2196,2),"Segunda","Terça","Quarta","Quinta","Sexta","Sábado","Domingo"))</f>
        <v/>
      </c>
      <c r="Q2196" s="30">
        <f>IF(B2196="","",IF(B2196&lt;TIME(12,0,0),"Manhã",IF(B2196&lt;TIME(18,0,0),"Tarde","Noite")))</f>
        <v/>
      </c>
      <c r="R2196" s="46">
        <f>IF(AND(H2196="Realizado",L2196&lt;&gt;"",A2196&lt;=Config!$B$9),L2196/60,0)</f>
        <v>0</v>
      </c>
      <c r="S2196" s="45">
        <f>IF(G2196="","",IFERROR(INDEX(Config!$K$5:$K$16,MATCH(G2196,Config!$J$5:$J$16,0)),""))</f>
        <v/>
      </c>
      <c r="T2196" s="31">
        <f>IF(OR(G2196="",F2196=""),"",IFERROR(INDEX(Config!$M$5:$R$16,MATCH(G2196,Config!$J$5:$J$16,0),MATCH(F2196,Config!$H$5:$H$10,0)),""))</f>
        <v/>
      </c>
      <c r="U2196" s="47">
        <f>IF(AND(H2196="Realizado",L2196&lt;&gt;""),L2196/60,0)</f>
        <v>0</v>
      </c>
      <c r="V2196" s="47">
        <f>IF(AND(H2196="Realizado",OR(L2196="",M2196="")),1,0)</f>
        <v>0</v>
      </c>
    </row>
    <row r="2197">
      <c r="A2197" s="43" t="n"/>
      <c r="B2197" s="44" t="n"/>
      <c r="C2197" s="38" t="n"/>
      <c r="D2197" s="38" t="n"/>
      <c r="E2197" s="37" t="n"/>
      <c r="F2197" s="38" t="n"/>
      <c r="G2197" s="38" t="n"/>
      <c r="H2197" s="38" t="n"/>
      <c r="I2197" s="38" t="n"/>
      <c r="J2197" s="38" t="n"/>
      <c r="K2197" s="37" t="n"/>
      <c r="L2197" s="39" t="n"/>
      <c r="M2197" s="40" t="n"/>
      <c r="N2197" s="30">
        <f>IF(A2197="","",MONTH(A2197))</f>
        <v/>
      </c>
      <c r="O2197" s="30">
        <f>IF(A2197="","",YEAR(A2197))</f>
        <v/>
      </c>
      <c r="P2197" s="30">
        <f>IF(A2197="","",CHOOSE(WEEKDAY(A2197,2),"Segunda","Terça","Quarta","Quinta","Sexta","Sábado","Domingo"))</f>
        <v/>
      </c>
      <c r="Q2197" s="30">
        <f>IF(B2197="","",IF(B2197&lt;TIME(12,0,0),"Manhã",IF(B2197&lt;TIME(18,0,0),"Tarde","Noite")))</f>
        <v/>
      </c>
      <c r="R2197" s="46">
        <f>IF(AND(H2197="Realizado",L2197&lt;&gt;"",A2197&lt;=Config!$B$9),L2197/60,0)</f>
        <v>0</v>
      </c>
      <c r="S2197" s="45">
        <f>IF(G2197="","",IFERROR(INDEX(Config!$K$5:$K$16,MATCH(G2197,Config!$J$5:$J$16,0)),""))</f>
        <v/>
      </c>
      <c r="T2197" s="31">
        <f>IF(OR(G2197="",F2197=""),"",IFERROR(INDEX(Config!$M$5:$R$16,MATCH(G2197,Config!$J$5:$J$16,0),MATCH(F2197,Config!$H$5:$H$10,0)),""))</f>
        <v/>
      </c>
      <c r="U2197" s="47">
        <f>IF(AND(H2197="Realizado",L2197&lt;&gt;""),L2197/60,0)</f>
        <v>0</v>
      </c>
      <c r="V2197" s="47">
        <f>IF(AND(H2197="Realizado",OR(L2197="",M2197="")),1,0)</f>
        <v>0</v>
      </c>
    </row>
    <row r="2198">
      <c r="A2198" s="43" t="n"/>
      <c r="B2198" s="44" t="n"/>
      <c r="C2198" s="38" t="n"/>
      <c r="D2198" s="38" t="n"/>
      <c r="E2198" s="37" t="n"/>
      <c r="F2198" s="38" t="n"/>
      <c r="G2198" s="38" t="n"/>
      <c r="H2198" s="38" t="n"/>
      <c r="I2198" s="38" t="n"/>
      <c r="J2198" s="38" t="n"/>
      <c r="K2198" s="37" t="n"/>
      <c r="L2198" s="39" t="n"/>
      <c r="M2198" s="40" t="n"/>
      <c r="N2198" s="30">
        <f>IF(A2198="","",MONTH(A2198))</f>
        <v/>
      </c>
      <c r="O2198" s="30">
        <f>IF(A2198="","",YEAR(A2198))</f>
        <v/>
      </c>
      <c r="P2198" s="30">
        <f>IF(A2198="","",CHOOSE(WEEKDAY(A2198,2),"Segunda","Terça","Quarta","Quinta","Sexta","Sábado","Domingo"))</f>
        <v/>
      </c>
      <c r="Q2198" s="30">
        <f>IF(B2198="","",IF(B2198&lt;TIME(12,0,0),"Manhã",IF(B2198&lt;TIME(18,0,0),"Tarde","Noite")))</f>
        <v/>
      </c>
      <c r="R2198" s="46">
        <f>IF(AND(H2198="Realizado",L2198&lt;&gt;"",A2198&lt;=Config!$B$9),L2198/60,0)</f>
        <v>0</v>
      </c>
      <c r="S2198" s="45">
        <f>IF(G2198="","",IFERROR(INDEX(Config!$K$5:$K$16,MATCH(G2198,Config!$J$5:$J$16,0)),""))</f>
        <v/>
      </c>
      <c r="T2198" s="31">
        <f>IF(OR(G2198="",F2198=""),"",IFERROR(INDEX(Config!$M$5:$R$16,MATCH(G2198,Config!$J$5:$J$16,0),MATCH(F2198,Config!$H$5:$H$10,0)),""))</f>
        <v/>
      </c>
      <c r="U2198" s="47">
        <f>IF(AND(H2198="Realizado",L2198&lt;&gt;""),L2198/60,0)</f>
        <v>0</v>
      </c>
      <c r="V2198" s="47">
        <f>IF(AND(H2198="Realizado",OR(L2198="",M2198="")),1,0)</f>
        <v>0</v>
      </c>
    </row>
    <row r="2199">
      <c r="A2199" s="43" t="n"/>
      <c r="B2199" s="44" t="n"/>
      <c r="C2199" s="38" t="n"/>
      <c r="D2199" s="38" t="n"/>
      <c r="E2199" s="37" t="n"/>
      <c r="F2199" s="38" t="n"/>
      <c r="G2199" s="38" t="n"/>
      <c r="H2199" s="38" t="n"/>
      <c r="I2199" s="38" t="n"/>
      <c r="J2199" s="38" t="n"/>
      <c r="K2199" s="37" t="n"/>
      <c r="L2199" s="39" t="n"/>
      <c r="M2199" s="40" t="n"/>
      <c r="N2199" s="30">
        <f>IF(A2199="","",MONTH(A2199))</f>
        <v/>
      </c>
      <c r="O2199" s="30">
        <f>IF(A2199="","",YEAR(A2199))</f>
        <v/>
      </c>
      <c r="P2199" s="30">
        <f>IF(A2199="","",CHOOSE(WEEKDAY(A2199,2),"Segunda","Terça","Quarta","Quinta","Sexta","Sábado","Domingo"))</f>
        <v/>
      </c>
      <c r="Q2199" s="30">
        <f>IF(B2199="","",IF(B2199&lt;TIME(12,0,0),"Manhã",IF(B2199&lt;TIME(18,0,0),"Tarde","Noite")))</f>
        <v/>
      </c>
      <c r="R2199" s="46">
        <f>IF(AND(H2199="Realizado",L2199&lt;&gt;"",A2199&lt;=Config!$B$9),L2199/60,0)</f>
        <v>0</v>
      </c>
      <c r="S2199" s="45">
        <f>IF(G2199="","",IFERROR(INDEX(Config!$K$5:$K$16,MATCH(G2199,Config!$J$5:$J$16,0)),""))</f>
        <v/>
      </c>
      <c r="T2199" s="31">
        <f>IF(OR(G2199="",F2199=""),"",IFERROR(INDEX(Config!$M$5:$R$16,MATCH(G2199,Config!$J$5:$J$16,0),MATCH(F2199,Config!$H$5:$H$10,0)),""))</f>
        <v/>
      </c>
      <c r="U2199" s="47">
        <f>IF(AND(H2199="Realizado",L2199&lt;&gt;""),L2199/60,0)</f>
        <v>0</v>
      </c>
      <c r="V2199" s="47">
        <f>IF(AND(H2199="Realizado",OR(L2199="",M2199="")),1,0)</f>
        <v>0</v>
      </c>
    </row>
    <row r="2200">
      <c r="A2200" s="43" t="n"/>
      <c r="B2200" s="44" t="n"/>
      <c r="C2200" s="38" t="n"/>
      <c r="D2200" s="38" t="n"/>
      <c r="E2200" s="37" t="n"/>
      <c r="F2200" s="38" t="n"/>
      <c r="G2200" s="38" t="n"/>
      <c r="H2200" s="38" t="n"/>
      <c r="I2200" s="38" t="n"/>
      <c r="J2200" s="38" t="n"/>
      <c r="K2200" s="37" t="n"/>
      <c r="L2200" s="39" t="n"/>
      <c r="M2200" s="40" t="n"/>
      <c r="N2200" s="30">
        <f>IF(A2200="","",MONTH(A2200))</f>
        <v/>
      </c>
      <c r="O2200" s="30">
        <f>IF(A2200="","",YEAR(A2200))</f>
        <v/>
      </c>
      <c r="P2200" s="30">
        <f>IF(A2200="","",CHOOSE(WEEKDAY(A2200,2),"Segunda","Terça","Quarta","Quinta","Sexta","Sábado","Domingo"))</f>
        <v/>
      </c>
      <c r="Q2200" s="30">
        <f>IF(B2200="","",IF(B2200&lt;TIME(12,0,0),"Manhã",IF(B2200&lt;TIME(18,0,0),"Tarde","Noite")))</f>
        <v/>
      </c>
      <c r="R2200" s="46">
        <f>IF(AND(H2200="Realizado",L2200&lt;&gt;"",A2200&lt;=Config!$B$9),L2200/60,0)</f>
        <v>0</v>
      </c>
      <c r="S2200" s="45">
        <f>IF(G2200="","",IFERROR(INDEX(Config!$K$5:$K$16,MATCH(G2200,Config!$J$5:$J$16,0)),""))</f>
        <v/>
      </c>
      <c r="T2200" s="31">
        <f>IF(OR(G2200="",F2200=""),"",IFERROR(INDEX(Config!$M$5:$R$16,MATCH(G2200,Config!$J$5:$J$16,0),MATCH(F2200,Config!$H$5:$H$10,0)),""))</f>
        <v/>
      </c>
      <c r="U2200" s="47">
        <f>IF(AND(H2200="Realizado",L2200&lt;&gt;""),L2200/60,0)</f>
        <v>0</v>
      </c>
      <c r="V2200" s="47">
        <f>IF(AND(H2200="Realizado",OR(L2200="",M2200="")),1,0)</f>
        <v>0</v>
      </c>
    </row>
    <row r="2201">
      <c r="A2201" s="43" t="n"/>
      <c r="B2201" s="44" t="n"/>
      <c r="C2201" s="38" t="n"/>
      <c r="D2201" s="38" t="n"/>
      <c r="E2201" s="37" t="n"/>
      <c r="F2201" s="38" t="n"/>
      <c r="G2201" s="38" t="n"/>
      <c r="H2201" s="38" t="n"/>
      <c r="I2201" s="38" t="n"/>
      <c r="J2201" s="38" t="n"/>
      <c r="K2201" s="37" t="n"/>
      <c r="L2201" s="39" t="n"/>
      <c r="M2201" s="40" t="n"/>
      <c r="N2201" s="30">
        <f>IF(A2201="","",MONTH(A2201))</f>
        <v/>
      </c>
      <c r="O2201" s="30">
        <f>IF(A2201="","",YEAR(A2201))</f>
        <v/>
      </c>
      <c r="P2201" s="30">
        <f>IF(A2201="","",CHOOSE(WEEKDAY(A2201,2),"Segunda","Terça","Quarta","Quinta","Sexta","Sábado","Domingo"))</f>
        <v/>
      </c>
      <c r="Q2201" s="30">
        <f>IF(B2201="","",IF(B2201&lt;TIME(12,0,0),"Manhã",IF(B2201&lt;TIME(18,0,0),"Tarde","Noite")))</f>
        <v/>
      </c>
      <c r="R2201" s="46">
        <f>IF(AND(H2201="Realizado",L2201&lt;&gt;"",A2201&lt;=Config!$B$9),L2201/60,0)</f>
        <v>0</v>
      </c>
      <c r="S2201" s="45">
        <f>IF(G2201="","",IFERROR(INDEX(Config!$K$5:$K$16,MATCH(G2201,Config!$J$5:$J$16,0)),""))</f>
        <v/>
      </c>
      <c r="T2201" s="31">
        <f>IF(OR(G2201="",F2201=""),"",IFERROR(INDEX(Config!$M$5:$R$16,MATCH(G2201,Config!$J$5:$J$16,0),MATCH(F2201,Config!$H$5:$H$10,0)),""))</f>
        <v/>
      </c>
      <c r="U2201" s="47">
        <f>IF(AND(H2201="Realizado",L2201&lt;&gt;""),L2201/60,0)</f>
        <v>0</v>
      </c>
      <c r="V2201" s="47">
        <f>IF(AND(H2201="Realizado",OR(L2201="",M2201="")),1,0)</f>
        <v>0</v>
      </c>
    </row>
    <row r="2202">
      <c r="A2202" s="43" t="n"/>
      <c r="B2202" s="44" t="n"/>
      <c r="C2202" s="38" t="n"/>
      <c r="D2202" s="38" t="n"/>
      <c r="E2202" s="37" t="n"/>
      <c r="F2202" s="38" t="n"/>
      <c r="G2202" s="38" t="n"/>
      <c r="H2202" s="38" t="n"/>
      <c r="I2202" s="38" t="n"/>
      <c r="J2202" s="38" t="n"/>
      <c r="K2202" s="37" t="n"/>
      <c r="L2202" s="39" t="n"/>
      <c r="M2202" s="40" t="n"/>
      <c r="N2202" s="30">
        <f>IF(A2202="","",MONTH(A2202))</f>
        <v/>
      </c>
      <c r="O2202" s="30">
        <f>IF(A2202="","",YEAR(A2202))</f>
        <v/>
      </c>
      <c r="P2202" s="30">
        <f>IF(A2202="","",CHOOSE(WEEKDAY(A2202,2),"Segunda","Terça","Quarta","Quinta","Sexta","Sábado","Domingo"))</f>
        <v/>
      </c>
      <c r="Q2202" s="30">
        <f>IF(B2202="","",IF(B2202&lt;TIME(12,0,0),"Manhã",IF(B2202&lt;TIME(18,0,0),"Tarde","Noite")))</f>
        <v/>
      </c>
      <c r="R2202" s="46">
        <f>IF(AND(H2202="Realizado",L2202&lt;&gt;"",A2202&lt;=Config!$B$9),L2202/60,0)</f>
        <v>0</v>
      </c>
      <c r="S2202" s="45">
        <f>IF(G2202="","",IFERROR(INDEX(Config!$K$5:$K$16,MATCH(G2202,Config!$J$5:$J$16,0)),""))</f>
        <v/>
      </c>
      <c r="T2202" s="31">
        <f>IF(OR(G2202="",F2202=""),"",IFERROR(INDEX(Config!$M$5:$R$16,MATCH(G2202,Config!$J$5:$J$16,0),MATCH(F2202,Config!$H$5:$H$10,0)),""))</f>
        <v/>
      </c>
      <c r="U2202" s="47">
        <f>IF(AND(H2202="Realizado",L2202&lt;&gt;""),L2202/60,0)</f>
        <v>0</v>
      </c>
      <c r="V2202" s="47">
        <f>IF(AND(H2202="Realizado",OR(L2202="",M2202="")),1,0)</f>
        <v>0</v>
      </c>
    </row>
    <row r="2203">
      <c r="A2203" s="43" t="n"/>
      <c r="B2203" s="44" t="n"/>
      <c r="C2203" s="38" t="n"/>
      <c r="D2203" s="38" t="n"/>
      <c r="E2203" s="37" t="n"/>
      <c r="F2203" s="38" t="n"/>
      <c r="G2203" s="38" t="n"/>
      <c r="H2203" s="38" t="n"/>
      <c r="I2203" s="38" t="n"/>
      <c r="J2203" s="38" t="n"/>
      <c r="K2203" s="37" t="n"/>
      <c r="L2203" s="39" t="n"/>
      <c r="M2203" s="40" t="n"/>
      <c r="N2203" s="30">
        <f>IF(A2203="","",MONTH(A2203))</f>
        <v/>
      </c>
      <c r="O2203" s="30">
        <f>IF(A2203="","",YEAR(A2203))</f>
        <v/>
      </c>
      <c r="P2203" s="30">
        <f>IF(A2203="","",CHOOSE(WEEKDAY(A2203,2),"Segunda","Terça","Quarta","Quinta","Sexta","Sábado","Domingo"))</f>
        <v/>
      </c>
      <c r="Q2203" s="30">
        <f>IF(B2203="","",IF(B2203&lt;TIME(12,0,0),"Manhã",IF(B2203&lt;TIME(18,0,0),"Tarde","Noite")))</f>
        <v/>
      </c>
      <c r="R2203" s="46">
        <f>IF(AND(H2203="Realizado",L2203&lt;&gt;"",A2203&lt;=Config!$B$9),L2203/60,0)</f>
        <v>0</v>
      </c>
      <c r="S2203" s="45">
        <f>IF(G2203="","",IFERROR(INDEX(Config!$K$5:$K$16,MATCH(G2203,Config!$J$5:$J$16,0)),""))</f>
        <v/>
      </c>
      <c r="T2203" s="31">
        <f>IF(OR(G2203="",F2203=""),"",IFERROR(INDEX(Config!$M$5:$R$16,MATCH(G2203,Config!$J$5:$J$16,0),MATCH(F2203,Config!$H$5:$H$10,0)),""))</f>
        <v/>
      </c>
      <c r="U2203" s="47">
        <f>IF(AND(H2203="Realizado",L2203&lt;&gt;""),L2203/60,0)</f>
        <v>0</v>
      </c>
      <c r="V2203" s="47">
        <f>IF(AND(H2203="Realizado",OR(L2203="",M2203="")),1,0)</f>
        <v>0</v>
      </c>
    </row>
    <row r="2204">
      <c r="A2204" s="43" t="n"/>
      <c r="B2204" s="44" t="n"/>
      <c r="C2204" s="38" t="n"/>
      <c r="D2204" s="38" t="n"/>
      <c r="E2204" s="37" t="n"/>
      <c r="F2204" s="38" t="n"/>
      <c r="G2204" s="38" t="n"/>
      <c r="H2204" s="38" t="n"/>
      <c r="I2204" s="38" t="n"/>
      <c r="J2204" s="38" t="n"/>
      <c r="K2204" s="37" t="n"/>
      <c r="L2204" s="39" t="n"/>
      <c r="M2204" s="40" t="n"/>
      <c r="N2204" s="30">
        <f>IF(A2204="","",MONTH(A2204))</f>
        <v/>
      </c>
      <c r="O2204" s="30">
        <f>IF(A2204="","",YEAR(A2204))</f>
        <v/>
      </c>
      <c r="P2204" s="30">
        <f>IF(A2204="","",CHOOSE(WEEKDAY(A2204,2),"Segunda","Terça","Quarta","Quinta","Sexta","Sábado","Domingo"))</f>
        <v/>
      </c>
      <c r="Q2204" s="30">
        <f>IF(B2204="","",IF(B2204&lt;TIME(12,0,0),"Manhã",IF(B2204&lt;TIME(18,0,0),"Tarde","Noite")))</f>
        <v/>
      </c>
      <c r="R2204" s="46">
        <f>IF(AND(H2204="Realizado",L2204&lt;&gt;"",A2204&lt;=Config!$B$9),L2204/60,0)</f>
        <v>0</v>
      </c>
      <c r="S2204" s="45">
        <f>IF(G2204="","",IFERROR(INDEX(Config!$K$5:$K$16,MATCH(G2204,Config!$J$5:$J$16,0)),""))</f>
        <v/>
      </c>
      <c r="T2204" s="31">
        <f>IF(OR(G2204="",F2204=""),"",IFERROR(INDEX(Config!$M$5:$R$16,MATCH(G2204,Config!$J$5:$J$16,0),MATCH(F2204,Config!$H$5:$H$10,0)),""))</f>
        <v/>
      </c>
      <c r="U2204" s="47">
        <f>IF(AND(H2204="Realizado",L2204&lt;&gt;""),L2204/60,0)</f>
        <v>0</v>
      </c>
      <c r="V2204" s="47">
        <f>IF(AND(H2204="Realizado",OR(L2204="",M2204="")),1,0)</f>
        <v>0</v>
      </c>
    </row>
    <row r="2205">
      <c r="A2205" s="43" t="n"/>
      <c r="B2205" s="44" t="n"/>
      <c r="C2205" s="38" t="n"/>
      <c r="D2205" s="38" t="n"/>
      <c r="E2205" s="37" t="n"/>
      <c r="F2205" s="38" t="n"/>
      <c r="G2205" s="38" t="n"/>
      <c r="H2205" s="38" t="n"/>
      <c r="I2205" s="38" t="n"/>
      <c r="J2205" s="38" t="n"/>
      <c r="K2205" s="37" t="n"/>
      <c r="L2205" s="39" t="n"/>
      <c r="M2205" s="40" t="n"/>
      <c r="N2205" s="30">
        <f>IF(A2205="","",MONTH(A2205))</f>
        <v/>
      </c>
      <c r="O2205" s="30">
        <f>IF(A2205="","",YEAR(A2205))</f>
        <v/>
      </c>
      <c r="P2205" s="30">
        <f>IF(A2205="","",CHOOSE(WEEKDAY(A2205,2),"Segunda","Terça","Quarta","Quinta","Sexta","Sábado","Domingo"))</f>
        <v/>
      </c>
      <c r="Q2205" s="30">
        <f>IF(B2205="","",IF(B2205&lt;TIME(12,0,0),"Manhã",IF(B2205&lt;TIME(18,0,0),"Tarde","Noite")))</f>
        <v/>
      </c>
      <c r="R2205" s="46">
        <f>IF(AND(H2205="Realizado",L2205&lt;&gt;"",A2205&lt;=Config!$B$9),L2205/60,0)</f>
        <v>0</v>
      </c>
      <c r="S2205" s="45">
        <f>IF(G2205="","",IFERROR(INDEX(Config!$K$5:$K$16,MATCH(G2205,Config!$J$5:$J$16,0)),""))</f>
        <v/>
      </c>
      <c r="T2205" s="31">
        <f>IF(OR(G2205="",F2205=""),"",IFERROR(INDEX(Config!$M$5:$R$16,MATCH(G2205,Config!$J$5:$J$16,0),MATCH(F2205,Config!$H$5:$H$10,0)),""))</f>
        <v/>
      </c>
      <c r="U2205" s="47">
        <f>IF(AND(H2205="Realizado",L2205&lt;&gt;""),L2205/60,0)</f>
        <v>0</v>
      </c>
      <c r="V2205" s="47">
        <f>IF(AND(H2205="Realizado",OR(L2205="",M2205="")),1,0)</f>
        <v>0</v>
      </c>
    </row>
    <row r="2206">
      <c r="A2206" s="43" t="n"/>
      <c r="B2206" s="44" t="n"/>
      <c r="C2206" s="38" t="n"/>
      <c r="D2206" s="38" t="n"/>
      <c r="E2206" s="37" t="n"/>
      <c r="F2206" s="38" t="n"/>
      <c r="G2206" s="38" t="n"/>
      <c r="H2206" s="38" t="n"/>
      <c r="I2206" s="38" t="n"/>
      <c r="J2206" s="38" t="n"/>
      <c r="K2206" s="37" t="n"/>
      <c r="L2206" s="39" t="n"/>
      <c r="M2206" s="40" t="n"/>
      <c r="N2206" s="30">
        <f>IF(A2206="","",MONTH(A2206))</f>
        <v/>
      </c>
      <c r="O2206" s="30">
        <f>IF(A2206="","",YEAR(A2206))</f>
        <v/>
      </c>
      <c r="P2206" s="30">
        <f>IF(A2206="","",CHOOSE(WEEKDAY(A2206,2),"Segunda","Terça","Quarta","Quinta","Sexta","Sábado","Domingo"))</f>
        <v/>
      </c>
      <c r="Q2206" s="30">
        <f>IF(B2206="","",IF(B2206&lt;TIME(12,0,0),"Manhã",IF(B2206&lt;TIME(18,0,0),"Tarde","Noite")))</f>
        <v/>
      </c>
      <c r="R2206" s="46">
        <f>IF(AND(H2206="Realizado",L2206&lt;&gt;"",A2206&lt;=Config!$B$9),L2206/60,0)</f>
        <v>0</v>
      </c>
      <c r="S2206" s="45">
        <f>IF(G2206="","",IFERROR(INDEX(Config!$K$5:$K$16,MATCH(G2206,Config!$J$5:$J$16,0)),""))</f>
        <v/>
      </c>
      <c r="T2206" s="31">
        <f>IF(OR(G2206="",F2206=""),"",IFERROR(INDEX(Config!$M$5:$R$16,MATCH(G2206,Config!$J$5:$J$16,0),MATCH(F2206,Config!$H$5:$H$10,0)),""))</f>
        <v/>
      </c>
      <c r="U2206" s="47">
        <f>IF(AND(H2206="Realizado",L2206&lt;&gt;""),L2206/60,0)</f>
        <v>0</v>
      </c>
      <c r="V2206" s="47">
        <f>IF(AND(H2206="Realizado",OR(L2206="",M2206="")),1,0)</f>
        <v>0</v>
      </c>
    </row>
    <row r="2207">
      <c r="A2207" s="43" t="n"/>
      <c r="B2207" s="44" t="n"/>
      <c r="C2207" s="38" t="n"/>
      <c r="D2207" s="38" t="n"/>
      <c r="E2207" s="37" t="n"/>
      <c r="F2207" s="38" t="n"/>
      <c r="G2207" s="38" t="n"/>
      <c r="H2207" s="38" t="n"/>
      <c r="I2207" s="38" t="n"/>
      <c r="J2207" s="38" t="n"/>
      <c r="K2207" s="37" t="n"/>
      <c r="L2207" s="39" t="n"/>
      <c r="M2207" s="40" t="n"/>
      <c r="N2207" s="30">
        <f>IF(A2207="","",MONTH(A2207))</f>
        <v/>
      </c>
      <c r="O2207" s="30">
        <f>IF(A2207="","",YEAR(A2207))</f>
        <v/>
      </c>
      <c r="P2207" s="30">
        <f>IF(A2207="","",CHOOSE(WEEKDAY(A2207,2),"Segunda","Terça","Quarta","Quinta","Sexta","Sábado","Domingo"))</f>
        <v/>
      </c>
      <c r="Q2207" s="30">
        <f>IF(B2207="","",IF(B2207&lt;TIME(12,0,0),"Manhã",IF(B2207&lt;TIME(18,0,0),"Tarde","Noite")))</f>
        <v/>
      </c>
      <c r="R2207" s="46">
        <f>IF(AND(H2207="Realizado",L2207&lt;&gt;"",A2207&lt;=Config!$B$9),L2207/60,0)</f>
        <v>0</v>
      </c>
      <c r="S2207" s="45">
        <f>IF(G2207="","",IFERROR(INDEX(Config!$K$5:$K$16,MATCH(G2207,Config!$J$5:$J$16,0)),""))</f>
        <v/>
      </c>
      <c r="T2207" s="31">
        <f>IF(OR(G2207="",F2207=""),"",IFERROR(INDEX(Config!$M$5:$R$16,MATCH(G2207,Config!$J$5:$J$16,0),MATCH(F2207,Config!$H$5:$H$10,0)),""))</f>
        <v/>
      </c>
      <c r="U2207" s="47">
        <f>IF(AND(H2207="Realizado",L2207&lt;&gt;""),L2207/60,0)</f>
        <v>0</v>
      </c>
      <c r="V2207" s="47">
        <f>IF(AND(H2207="Realizado",OR(L2207="",M2207="")),1,0)</f>
        <v>0</v>
      </c>
    </row>
    <row r="2208">
      <c r="A2208" s="43" t="n"/>
      <c r="B2208" s="44" t="n"/>
      <c r="C2208" s="38" t="n"/>
      <c r="D2208" s="38" t="n"/>
      <c r="E2208" s="37" t="n"/>
      <c r="F2208" s="38" t="n"/>
      <c r="G2208" s="38" t="n"/>
      <c r="H2208" s="38" t="n"/>
      <c r="I2208" s="38" t="n"/>
      <c r="J2208" s="38" t="n"/>
      <c r="K2208" s="37" t="n"/>
      <c r="L2208" s="39" t="n"/>
      <c r="M2208" s="40" t="n"/>
      <c r="N2208" s="30">
        <f>IF(A2208="","",MONTH(A2208))</f>
        <v/>
      </c>
      <c r="O2208" s="30">
        <f>IF(A2208="","",YEAR(A2208))</f>
        <v/>
      </c>
      <c r="P2208" s="30">
        <f>IF(A2208="","",CHOOSE(WEEKDAY(A2208,2),"Segunda","Terça","Quarta","Quinta","Sexta","Sábado","Domingo"))</f>
        <v/>
      </c>
      <c r="Q2208" s="30">
        <f>IF(B2208="","",IF(B2208&lt;TIME(12,0,0),"Manhã",IF(B2208&lt;TIME(18,0,0),"Tarde","Noite")))</f>
        <v/>
      </c>
      <c r="R2208" s="46">
        <f>IF(AND(H2208="Realizado",L2208&lt;&gt;"",A2208&lt;=Config!$B$9),L2208/60,0)</f>
        <v>0</v>
      </c>
      <c r="S2208" s="45">
        <f>IF(G2208="","",IFERROR(INDEX(Config!$K$5:$K$16,MATCH(G2208,Config!$J$5:$J$16,0)),""))</f>
        <v/>
      </c>
      <c r="T2208" s="31">
        <f>IF(OR(G2208="",F2208=""),"",IFERROR(INDEX(Config!$M$5:$R$16,MATCH(G2208,Config!$J$5:$J$16,0),MATCH(F2208,Config!$H$5:$H$10,0)),""))</f>
        <v/>
      </c>
      <c r="U2208" s="47">
        <f>IF(AND(H2208="Realizado",L2208&lt;&gt;""),L2208/60,0)</f>
        <v>0</v>
      </c>
      <c r="V2208" s="47">
        <f>IF(AND(H2208="Realizado",OR(L2208="",M2208="")),1,0)</f>
        <v>0</v>
      </c>
    </row>
    <row r="2209">
      <c r="A2209" s="43" t="n"/>
      <c r="B2209" s="44" t="n"/>
      <c r="C2209" s="38" t="n"/>
      <c r="D2209" s="38" t="n"/>
      <c r="E2209" s="37" t="n"/>
      <c r="F2209" s="38" t="n"/>
      <c r="G2209" s="38" t="n"/>
      <c r="H2209" s="38" t="n"/>
      <c r="I2209" s="38" t="n"/>
      <c r="J2209" s="38" t="n"/>
      <c r="K2209" s="37" t="n"/>
      <c r="L2209" s="39" t="n"/>
      <c r="M2209" s="40" t="n"/>
      <c r="N2209" s="30">
        <f>IF(A2209="","",MONTH(A2209))</f>
        <v/>
      </c>
      <c r="O2209" s="30">
        <f>IF(A2209="","",YEAR(A2209))</f>
        <v/>
      </c>
      <c r="P2209" s="30">
        <f>IF(A2209="","",CHOOSE(WEEKDAY(A2209,2),"Segunda","Terça","Quarta","Quinta","Sexta","Sábado","Domingo"))</f>
        <v/>
      </c>
      <c r="Q2209" s="30">
        <f>IF(B2209="","",IF(B2209&lt;TIME(12,0,0),"Manhã",IF(B2209&lt;TIME(18,0,0),"Tarde","Noite")))</f>
        <v/>
      </c>
      <c r="R2209" s="46">
        <f>IF(AND(H2209="Realizado",L2209&lt;&gt;"",A2209&lt;=Config!$B$9),L2209/60,0)</f>
        <v>0</v>
      </c>
      <c r="S2209" s="45">
        <f>IF(G2209="","",IFERROR(INDEX(Config!$K$5:$K$16,MATCH(G2209,Config!$J$5:$J$16,0)),""))</f>
        <v/>
      </c>
      <c r="T2209" s="31">
        <f>IF(OR(G2209="",F2209=""),"",IFERROR(INDEX(Config!$M$5:$R$16,MATCH(G2209,Config!$J$5:$J$16,0),MATCH(F2209,Config!$H$5:$H$10,0)),""))</f>
        <v/>
      </c>
      <c r="U2209" s="47">
        <f>IF(AND(H2209="Realizado",L2209&lt;&gt;""),L2209/60,0)</f>
        <v>0</v>
      </c>
      <c r="V2209" s="47">
        <f>IF(AND(H2209="Realizado",OR(L2209="",M2209="")),1,0)</f>
        <v>0</v>
      </c>
    </row>
    <row r="2210">
      <c r="A2210" s="43" t="n"/>
      <c r="B2210" s="44" t="n"/>
      <c r="C2210" s="38" t="n"/>
      <c r="D2210" s="38" t="n"/>
      <c r="E2210" s="37" t="n"/>
      <c r="F2210" s="38" t="n"/>
      <c r="G2210" s="38" t="n"/>
      <c r="H2210" s="38" t="n"/>
      <c r="I2210" s="38" t="n"/>
      <c r="J2210" s="38" t="n"/>
      <c r="K2210" s="37" t="n"/>
      <c r="L2210" s="39" t="n"/>
      <c r="M2210" s="40" t="n"/>
      <c r="N2210" s="30">
        <f>IF(A2210="","",MONTH(A2210))</f>
        <v/>
      </c>
      <c r="O2210" s="30">
        <f>IF(A2210="","",YEAR(A2210))</f>
        <v/>
      </c>
      <c r="P2210" s="30">
        <f>IF(A2210="","",CHOOSE(WEEKDAY(A2210,2),"Segunda","Terça","Quarta","Quinta","Sexta","Sábado","Domingo"))</f>
        <v/>
      </c>
      <c r="Q2210" s="30">
        <f>IF(B2210="","",IF(B2210&lt;TIME(12,0,0),"Manhã",IF(B2210&lt;TIME(18,0,0),"Tarde","Noite")))</f>
        <v/>
      </c>
      <c r="R2210" s="46">
        <f>IF(AND(H2210="Realizado",L2210&lt;&gt;"",A2210&lt;=Config!$B$9),L2210/60,0)</f>
        <v>0</v>
      </c>
      <c r="S2210" s="45">
        <f>IF(G2210="","",IFERROR(INDEX(Config!$K$5:$K$16,MATCH(G2210,Config!$J$5:$J$16,0)),""))</f>
        <v/>
      </c>
      <c r="T2210" s="31">
        <f>IF(OR(G2210="",F2210=""),"",IFERROR(INDEX(Config!$M$5:$R$16,MATCH(G2210,Config!$J$5:$J$16,0),MATCH(F2210,Config!$H$5:$H$10,0)),""))</f>
        <v/>
      </c>
      <c r="U2210" s="47">
        <f>IF(AND(H2210="Realizado",L2210&lt;&gt;""),L2210/60,0)</f>
        <v>0</v>
      </c>
      <c r="V2210" s="47">
        <f>IF(AND(H2210="Realizado",OR(L2210="",M2210="")),1,0)</f>
        <v>0</v>
      </c>
    </row>
    <row r="2211">
      <c r="A2211" s="43" t="n"/>
      <c r="B2211" s="44" t="n"/>
      <c r="C2211" s="38" t="n"/>
      <c r="D2211" s="38" t="n"/>
      <c r="E2211" s="37" t="n"/>
      <c r="F2211" s="38" t="n"/>
      <c r="G2211" s="38" t="n"/>
      <c r="H2211" s="38" t="n"/>
      <c r="I2211" s="38" t="n"/>
      <c r="J2211" s="38" t="n"/>
      <c r="K2211" s="37" t="n"/>
      <c r="L2211" s="39" t="n"/>
      <c r="M2211" s="40" t="n"/>
      <c r="N2211" s="30">
        <f>IF(A2211="","",MONTH(A2211))</f>
        <v/>
      </c>
      <c r="O2211" s="30">
        <f>IF(A2211="","",YEAR(A2211))</f>
        <v/>
      </c>
      <c r="P2211" s="30">
        <f>IF(A2211="","",CHOOSE(WEEKDAY(A2211,2),"Segunda","Terça","Quarta","Quinta","Sexta","Sábado","Domingo"))</f>
        <v/>
      </c>
      <c r="Q2211" s="30">
        <f>IF(B2211="","",IF(B2211&lt;TIME(12,0,0),"Manhã",IF(B2211&lt;TIME(18,0,0),"Tarde","Noite")))</f>
        <v/>
      </c>
      <c r="R2211" s="46">
        <f>IF(AND(H2211="Realizado",L2211&lt;&gt;"",A2211&lt;=Config!$B$9),L2211/60,0)</f>
        <v>0</v>
      </c>
      <c r="S2211" s="45">
        <f>IF(G2211="","",IFERROR(INDEX(Config!$K$5:$K$16,MATCH(G2211,Config!$J$5:$J$16,0)),""))</f>
        <v/>
      </c>
      <c r="T2211" s="31">
        <f>IF(OR(G2211="",F2211=""),"",IFERROR(INDEX(Config!$M$5:$R$16,MATCH(G2211,Config!$J$5:$J$16,0),MATCH(F2211,Config!$H$5:$H$10,0)),""))</f>
        <v/>
      </c>
      <c r="U2211" s="47">
        <f>IF(AND(H2211="Realizado",L2211&lt;&gt;""),L2211/60,0)</f>
        <v>0</v>
      </c>
      <c r="V2211" s="47">
        <f>IF(AND(H2211="Realizado",OR(L2211="",M2211="")),1,0)</f>
        <v>0</v>
      </c>
    </row>
    <row r="2212">
      <c r="A2212" s="43" t="n"/>
      <c r="B2212" s="44" t="n"/>
      <c r="C2212" s="38" t="n"/>
      <c r="D2212" s="38" t="n"/>
      <c r="E2212" s="37" t="n"/>
      <c r="F2212" s="38" t="n"/>
      <c r="G2212" s="38" t="n"/>
      <c r="H2212" s="38" t="n"/>
      <c r="I2212" s="38" t="n"/>
      <c r="J2212" s="38" t="n"/>
      <c r="K2212" s="37" t="n"/>
      <c r="L2212" s="39" t="n"/>
      <c r="M2212" s="40" t="n"/>
      <c r="N2212" s="30">
        <f>IF(A2212="","",MONTH(A2212))</f>
        <v/>
      </c>
      <c r="O2212" s="30">
        <f>IF(A2212="","",YEAR(A2212))</f>
        <v/>
      </c>
      <c r="P2212" s="30">
        <f>IF(A2212="","",CHOOSE(WEEKDAY(A2212,2),"Segunda","Terça","Quarta","Quinta","Sexta","Sábado","Domingo"))</f>
        <v/>
      </c>
      <c r="Q2212" s="30">
        <f>IF(B2212="","",IF(B2212&lt;TIME(12,0,0),"Manhã",IF(B2212&lt;TIME(18,0,0),"Tarde","Noite")))</f>
        <v/>
      </c>
      <c r="R2212" s="46">
        <f>IF(AND(H2212="Realizado",L2212&lt;&gt;"",A2212&lt;=Config!$B$9),L2212/60,0)</f>
        <v>0</v>
      </c>
      <c r="S2212" s="45">
        <f>IF(G2212="","",IFERROR(INDEX(Config!$K$5:$K$16,MATCH(G2212,Config!$J$5:$J$16,0)),""))</f>
        <v/>
      </c>
      <c r="T2212" s="31">
        <f>IF(OR(G2212="",F2212=""),"",IFERROR(INDEX(Config!$M$5:$R$16,MATCH(G2212,Config!$J$5:$J$16,0),MATCH(F2212,Config!$H$5:$H$10,0)),""))</f>
        <v/>
      </c>
      <c r="U2212" s="47">
        <f>IF(AND(H2212="Realizado",L2212&lt;&gt;""),L2212/60,0)</f>
        <v>0</v>
      </c>
      <c r="V2212" s="47">
        <f>IF(AND(H2212="Realizado",OR(L2212="",M2212="")),1,0)</f>
        <v>0</v>
      </c>
    </row>
    <row r="2213">
      <c r="A2213" s="43" t="n"/>
      <c r="B2213" s="44" t="n"/>
      <c r="C2213" s="38" t="n"/>
      <c r="D2213" s="38" t="n"/>
      <c r="E2213" s="37" t="n"/>
      <c r="F2213" s="38" t="n"/>
      <c r="G2213" s="38" t="n"/>
      <c r="H2213" s="38" t="n"/>
      <c r="I2213" s="38" t="n"/>
      <c r="J2213" s="38" t="n"/>
      <c r="K2213" s="37" t="n"/>
      <c r="L2213" s="39" t="n"/>
      <c r="M2213" s="40" t="n"/>
      <c r="N2213" s="30">
        <f>IF(A2213="","",MONTH(A2213))</f>
        <v/>
      </c>
      <c r="O2213" s="30">
        <f>IF(A2213="","",YEAR(A2213))</f>
        <v/>
      </c>
      <c r="P2213" s="30">
        <f>IF(A2213="","",CHOOSE(WEEKDAY(A2213,2),"Segunda","Terça","Quarta","Quinta","Sexta","Sábado","Domingo"))</f>
        <v/>
      </c>
      <c r="Q2213" s="30">
        <f>IF(B2213="","",IF(B2213&lt;TIME(12,0,0),"Manhã",IF(B2213&lt;TIME(18,0,0),"Tarde","Noite")))</f>
        <v/>
      </c>
      <c r="R2213" s="46">
        <f>IF(AND(H2213="Realizado",L2213&lt;&gt;"",A2213&lt;=Config!$B$9),L2213/60,0)</f>
        <v>0</v>
      </c>
      <c r="S2213" s="45">
        <f>IF(G2213="","",IFERROR(INDEX(Config!$K$5:$K$16,MATCH(G2213,Config!$J$5:$J$16,0)),""))</f>
        <v/>
      </c>
      <c r="T2213" s="31">
        <f>IF(OR(G2213="",F2213=""),"",IFERROR(INDEX(Config!$M$5:$R$16,MATCH(G2213,Config!$J$5:$J$16,0),MATCH(F2213,Config!$H$5:$H$10,0)),""))</f>
        <v/>
      </c>
      <c r="U2213" s="47">
        <f>IF(AND(H2213="Realizado",L2213&lt;&gt;""),L2213/60,0)</f>
        <v>0</v>
      </c>
      <c r="V2213" s="47">
        <f>IF(AND(H2213="Realizado",OR(L2213="",M2213="")),1,0)</f>
        <v>0</v>
      </c>
    </row>
    <row r="2214">
      <c r="A2214" s="43" t="n"/>
      <c r="B2214" s="44" t="n"/>
      <c r="C2214" s="38" t="n"/>
      <c r="D2214" s="38" t="n"/>
      <c r="E2214" s="37" t="n"/>
      <c r="F2214" s="38" t="n"/>
      <c r="G2214" s="38" t="n"/>
      <c r="H2214" s="38" t="n"/>
      <c r="I2214" s="38" t="n"/>
      <c r="J2214" s="38" t="n"/>
      <c r="K2214" s="37" t="n"/>
      <c r="L2214" s="39" t="n"/>
      <c r="M2214" s="40" t="n"/>
      <c r="N2214" s="30">
        <f>IF(A2214="","",MONTH(A2214))</f>
        <v/>
      </c>
      <c r="O2214" s="30">
        <f>IF(A2214="","",YEAR(A2214))</f>
        <v/>
      </c>
      <c r="P2214" s="30">
        <f>IF(A2214="","",CHOOSE(WEEKDAY(A2214,2),"Segunda","Terça","Quarta","Quinta","Sexta","Sábado","Domingo"))</f>
        <v/>
      </c>
      <c r="Q2214" s="30">
        <f>IF(B2214="","",IF(B2214&lt;TIME(12,0,0),"Manhã",IF(B2214&lt;TIME(18,0,0),"Tarde","Noite")))</f>
        <v/>
      </c>
      <c r="R2214" s="46">
        <f>IF(AND(H2214="Realizado",L2214&lt;&gt;"",A2214&lt;=Config!$B$9),L2214/60,0)</f>
        <v>0</v>
      </c>
      <c r="S2214" s="45">
        <f>IF(G2214="","",IFERROR(INDEX(Config!$K$5:$K$16,MATCH(G2214,Config!$J$5:$J$16,0)),""))</f>
        <v/>
      </c>
      <c r="T2214" s="31">
        <f>IF(OR(G2214="",F2214=""),"",IFERROR(INDEX(Config!$M$5:$R$16,MATCH(G2214,Config!$J$5:$J$16,0),MATCH(F2214,Config!$H$5:$H$10,0)),""))</f>
        <v/>
      </c>
      <c r="U2214" s="47">
        <f>IF(AND(H2214="Realizado",L2214&lt;&gt;""),L2214/60,0)</f>
        <v>0</v>
      </c>
      <c r="V2214" s="47">
        <f>IF(AND(H2214="Realizado",OR(L2214="",M2214="")),1,0)</f>
        <v>0</v>
      </c>
    </row>
    <row r="2215">
      <c r="A2215" s="43" t="n"/>
      <c r="B2215" s="44" t="n"/>
      <c r="C2215" s="38" t="n"/>
      <c r="D2215" s="38" t="n"/>
      <c r="E2215" s="37" t="n"/>
      <c r="F2215" s="38" t="n"/>
      <c r="G2215" s="38" t="n"/>
      <c r="H2215" s="38" t="n"/>
      <c r="I2215" s="38" t="n"/>
      <c r="J2215" s="38" t="n"/>
      <c r="K2215" s="37" t="n"/>
      <c r="L2215" s="39" t="n"/>
      <c r="M2215" s="40" t="n"/>
      <c r="N2215" s="30">
        <f>IF(A2215="","",MONTH(A2215))</f>
        <v/>
      </c>
      <c r="O2215" s="30">
        <f>IF(A2215="","",YEAR(A2215))</f>
        <v/>
      </c>
      <c r="P2215" s="30">
        <f>IF(A2215="","",CHOOSE(WEEKDAY(A2215,2),"Segunda","Terça","Quarta","Quinta","Sexta","Sábado","Domingo"))</f>
        <v/>
      </c>
      <c r="Q2215" s="30">
        <f>IF(B2215="","",IF(B2215&lt;TIME(12,0,0),"Manhã",IF(B2215&lt;TIME(18,0,0),"Tarde","Noite")))</f>
        <v/>
      </c>
      <c r="R2215" s="46">
        <f>IF(AND(H2215="Realizado",L2215&lt;&gt;"",A2215&lt;=Config!$B$9),L2215/60,0)</f>
        <v>0</v>
      </c>
      <c r="S2215" s="45">
        <f>IF(G2215="","",IFERROR(INDEX(Config!$K$5:$K$16,MATCH(G2215,Config!$J$5:$J$16,0)),""))</f>
        <v/>
      </c>
      <c r="T2215" s="31">
        <f>IF(OR(G2215="",F2215=""),"",IFERROR(INDEX(Config!$M$5:$R$16,MATCH(G2215,Config!$J$5:$J$16,0),MATCH(F2215,Config!$H$5:$H$10,0)),""))</f>
        <v/>
      </c>
      <c r="U2215" s="47">
        <f>IF(AND(H2215="Realizado",L2215&lt;&gt;""),L2215/60,0)</f>
        <v>0</v>
      </c>
      <c r="V2215" s="47">
        <f>IF(AND(H2215="Realizado",OR(L2215="",M2215="")),1,0)</f>
        <v>0</v>
      </c>
    </row>
    <row r="2216">
      <c r="A2216" s="43" t="n"/>
      <c r="B2216" s="44" t="n"/>
      <c r="C2216" s="38" t="n"/>
      <c r="D2216" s="38" t="n"/>
      <c r="E2216" s="37" t="n"/>
      <c r="F2216" s="38" t="n"/>
      <c r="G2216" s="38" t="n"/>
      <c r="H2216" s="38" t="n"/>
      <c r="I2216" s="38" t="n"/>
      <c r="J2216" s="38" t="n"/>
      <c r="K2216" s="37" t="n"/>
      <c r="L2216" s="39" t="n"/>
      <c r="M2216" s="40" t="n"/>
      <c r="N2216" s="30">
        <f>IF(A2216="","",MONTH(A2216))</f>
        <v/>
      </c>
      <c r="O2216" s="30">
        <f>IF(A2216="","",YEAR(A2216))</f>
        <v/>
      </c>
      <c r="P2216" s="30">
        <f>IF(A2216="","",CHOOSE(WEEKDAY(A2216,2),"Segunda","Terça","Quarta","Quinta","Sexta","Sábado","Domingo"))</f>
        <v/>
      </c>
      <c r="Q2216" s="30">
        <f>IF(B2216="","",IF(B2216&lt;TIME(12,0,0),"Manhã",IF(B2216&lt;TIME(18,0,0),"Tarde","Noite")))</f>
        <v/>
      </c>
      <c r="R2216" s="46">
        <f>IF(AND(H2216="Realizado",L2216&lt;&gt;"",A2216&lt;=Config!$B$9),L2216/60,0)</f>
        <v>0</v>
      </c>
      <c r="S2216" s="45">
        <f>IF(G2216="","",IFERROR(INDEX(Config!$K$5:$K$16,MATCH(G2216,Config!$J$5:$J$16,0)),""))</f>
        <v/>
      </c>
      <c r="T2216" s="31">
        <f>IF(OR(G2216="",F2216=""),"",IFERROR(INDEX(Config!$M$5:$R$16,MATCH(G2216,Config!$J$5:$J$16,0),MATCH(F2216,Config!$H$5:$H$10,0)),""))</f>
        <v/>
      </c>
      <c r="U2216" s="47">
        <f>IF(AND(H2216="Realizado",L2216&lt;&gt;""),L2216/60,0)</f>
        <v>0</v>
      </c>
      <c r="V2216" s="47">
        <f>IF(AND(H2216="Realizado",OR(L2216="",M2216="")),1,0)</f>
        <v>0</v>
      </c>
    </row>
    <row r="2217">
      <c r="A2217" s="43" t="n"/>
      <c r="B2217" s="44" t="n"/>
      <c r="C2217" s="38" t="n"/>
      <c r="D2217" s="38" t="n"/>
      <c r="E2217" s="37" t="n"/>
      <c r="F2217" s="38" t="n"/>
      <c r="G2217" s="38" t="n"/>
      <c r="H2217" s="38" t="n"/>
      <c r="I2217" s="38" t="n"/>
      <c r="J2217" s="38" t="n"/>
      <c r="K2217" s="37" t="n"/>
      <c r="L2217" s="39" t="n"/>
      <c r="M2217" s="40" t="n"/>
      <c r="N2217" s="30">
        <f>IF(A2217="","",MONTH(A2217))</f>
        <v/>
      </c>
      <c r="O2217" s="30">
        <f>IF(A2217="","",YEAR(A2217))</f>
        <v/>
      </c>
      <c r="P2217" s="30">
        <f>IF(A2217="","",CHOOSE(WEEKDAY(A2217,2),"Segunda","Terça","Quarta","Quinta","Sexta","Sábado","Domingo"))</f>
        <v/>
      </c>
      <c r="Q2217" s="30">
        <f>IF(B2217="","",IF(B2217&lt;TIME(12,0,0),"Manhã",IF(B2217&lt;TIME(18,0,0),"Tarde","Noite")))</f>
        <v/>
      </c>
      <c r="R2217" s="46">
        <f>IF(AND(H2217="Realizado",L2217&lt;&gt;"",A2217&lt;=Config!$B$9),L2217/60,0)</f>
        <v>0</v>
      </c>
      <c r="S2217" s="45">
        <f>IF(G2217="","",IFERROR(INDEX(Config!$K$5:$K$16,MATCH(G2217,Config!$J$5:$J$16,0)),""))</f>
        <v/>
      </c>
      <c r="T2217" s="31">
        <f>IF(OR(G2217="",F2217=""),"",IFERROR(INDEX(Config!$M$5:$R$16,MATCH(G2217,Config!$J$5:$J$16,0),MATCH(F2217,Config!$H$5:$H$10,0)),""))</f>
        <v/>
      </c>
      <c r="U2217" s="47">
        <f>IF(AND(H2217="Realizado",L2217&lt;&gt;""),L2217/60,0)</f>
        <v>0</v>
      </c>
      <c r="V2217" s="47">
        <f>IF(AND(H2217="Realizado",OR(L2217="",M2217="")),1,0)</f>
        <v>0</v>
      </c>
    </row>
    <row r="2218">
      <c r="A2218" s="43" t="n"/>
      <c r="B2218" s="44" t="n"/>
      <c r="C2218" s="38" t="n"/>
      <c r="D2218" s="38" t="n"/>
      <c r="E2218" s="37" t="n"/>
      <c r="F2218" s="38" t="n"/>
      <c r="G2218" s="38" t="n"/>
      <c r="H2218" s="38" t="n"/>
      <c r="I2218" s="38" t="n"/>
      <c r="J2218" s="38" t="n"/>
      <c r="K2218" s="37" t="n"/>
      <c r="L2218" s="39" t="n"/>
      <c r="M2218" s="40" t="n"/>
      <c r="N2218" s="30">
        <f>IF(A2218="","",MONTH(A2218))</f>
        <v/>
      </c>
      <c r="O2218" s="30">
        <f>IF(A2218="","",YEAR(A2218))</f>
        <v/>
      </c>
      <c r="P2218" s="30">
        <f>IF(A2218="","",CHOOSE(WEEKDAY(A2218,2),"Segunda","Terça","Quarta","Quinta","Sexta","Sábado","Domingo"))</f>
        <v/>
      </c>
      <c r="Q2218" s="30">
        <f>IF(B2218="","",IF(B2218&lt;TIME(12,0,0),"Manhã",IF(B2218&lt;TIME(18,0,0),"Tarde","Noite")))</f>
        <v/>
      </c>
      <c r="R2218" s="46">
        <f>IF(AND(H2218="Realizado",L2218&lt;&gt;"",A2218&lt;=Config!$B$9),L2218/60,0)</f>
        <v>0</v>
      </c>
      <c r="S2218" s="45">
        <f>IF(G2218="","",IFERROR(INDEX(Config!$K$5:$K$16,MATCH(G2218,Config!$J$5:$J$16,0)),""))</f>
        <v/>
      </c>
      <c r="T2218" s="31">
        <f>IF(OR(G2218="",F2218=""),"",IFERROR(INDEX(Config!$M$5:$R$16,MATCH(G2218,Config!$J$5:$J$16,0),MATCH(F2218,Config!$H$5:$H$10,0)),""))</f>
        <v/>
      </c>
      <c r="U2218" s="47">
        <f>IF(AND(H2218="Realizado",L2218&lt;&gt;""),L2218/60,0)</f>
        <v>0</v>
      </c>
      <c r="V2218" s="47">
        <f>IF(AND(H2218="Realizado",OR(L2218="",M2218="")),1,0)</f>
        <v>0</v>
      </c>
    </row>
    <row r="2219">
      <c r="A2219" s="43" t="n"/>
      <c r="B2219" s="44" t="n"/>
      <c r="C2219" s="38" t="n"/>
      <c r="D2219" s="38" t="n"/>
      <c r="E2219" s="37" t="n"/>
      <c r="F2219" s="38" t="n"/>
      <c r="G2219" s="38" t="n"/>
      <c r="H2219" s="38" t="n"/>
      <c r="I2219" s="38" t="n"/>
      <c r="J2219" s="38" t="n"/>
      <c r="K2219" s="37" t="n"/>
      <c r="L2219" s="39" t="n"/>
      <c r="M2219" s="40" t="n"/>
      <c r="N2219" s="30">
        <f>IF(A2219="","",MONTH(A2219))</f>
        <v/>
      </c>
      <c r="O2219" s="30">
        <f>IF(A2219="","",YEAR(A2219))</f>
        <v/>
      </c>
      <c r="P2219" s="30">
        <f>IF(A2219="","",CHOOSE(WEEKDAY(A2219,2),"Segunda","Terça","Quarta","Quinta","Sexta","Sábado","Domingo"))</f>
        <v/>
      </c>
      <c r="Q2219" s="30">
        <f>IF(B2219="","",IF(B2219&lt;TIME(12,0,0),"Manhã",IF(B2219&lt;TIME(18,0,0),"Tarde","Noite")))</f>
        <v/>
      </c>
      <c r="R2219" s="46">
        <f>IF(AND(H2219="Realizado",L2219&lt;&gt;"",A2219&lt;=Config!$B$9),L2219/60,0)</f>
        <v>0</v>
      </c>
      <c r="S2219" s="45">
        <f>IF(G2219="","",IFERROR(INDEX(Config!$K$5:$K$16,MATCH(G2219,Config!$J$5:$J$16,0)),""))</f>
        <v/>
      </c>
      <c r="T2219" s="31">
        <f>IF(OR(G2219="",F2219=""),"",IFERROR(INDEX(Config!$M$5:$R$16,MATCH(G2219,Config!$J$5:$J$16,0),MATCH(F2219,Config!$H$5:$H$10,0)),""))</f>
        <v/>
      </c>
      <c r="U2219" s="47">
        <f>IF(AND(H2219="Realizado",L2219&lt;&gt;""),L2219/60,0)</f>
        <v>0</v>
      </c>
      <c r="V2219" s="47">
        <f>IF(AND(H2219="Realizado",OR(L2219="",M2219="")),1,0)</f>
        <v>0</v>
      </c>
    </row>
    <row r="2220">
      <c r="A2220" s="43" t="n"/>
      <c r="B2220" s="44" t="n"/>
      <c r="C2220" s="38" t="n"/>
      <c r="D2220" s="38" t="n"/>
      <c r="E2220" s="37" t="n"/>
      <c r="F2220" s="38" t="n"/>
      <c r="G2220" s="38" t="n"/>
      <c r="H2220" s="38" t="n"/>
      <c r="I2220" s="38" t="n"/>
      <c r="J2220" s="38" t="n"/>
      <c r="K2220" s="37" t="n"/>
      <c r="L2220" s="39" t="n"/>
      <c r="M2220" s="40" t="n"/>
      <c r="N2220" s="30">
        <f>IF(A2220="","",MONTH(A2220))</f>
        <v/>
      </c>
      <c r="O2220" s="30">
        <f>IF(A2220="","",YEAR(A2220))</f>
        <v/>
      </c>
      <c r="P2220" s="30">
        <f>IF(A2220="","",CHOOSE(WEEKDAY(A2220,2),"Segunda","Terça","Quarta","Quinta","Sexta","Sábado","Domingo"))</f>
        <v/>
      </c>
      <c r="Q2220" s="30">
        <f>IF(B2220="","",IF(B2220&lt;TIME(12,0,0),"Manhã",IF(B2220&lt;TIME(18,0,0),"Tarde","Noite")))</f>
        <v/>
      </c>
      <c r="R2220" s="46">
        <f>IF(AND(H2220="Realizado",L2220&lt;&gt;"",A2220&lt;=Config!$B$9),L2220/60,0)</f>
        <v>0</v>
      </c>
      <c r="S2220" s="45">
        <f>IF(G2220="","",IFERROR(INDEX(Config!$K$5:$K$16,MATCH(G2220,Config!$J$5:$J$16,0)),""))</f>
        <v/>
      </c>
      <c r="T2220" s="31">
        <f>IF(OR(G2220="",F2220=""),"",IFERROR(INDEX(Config!$M$5:$R$16,MATCH(G2220,Config!$J$5:$J$16,0),MATCH(F2220,Config!$H$5:$H$10,0)),""))</f>
        <v/>
      </c>
      <c r="U2220" s="47">
        <f>IF(AND(H2220="Realizado",L2220&lt;&gt;""),L2220/60,0)</f>
        <v>0</v>
      </c>
      <c r="V2220" s="47">
        <f>IF(AND(H2220="Realizado",OR(L2220="",M2220="")),1,0)</f>
        <v>0</v>
      </c>
    </row>
    <row r="2221">
      <c r="A2221" s="43" t="n"/>
      <c r="B2221" s="44" t="n"/>
      <c r="C2221" s="38" t="n"/>
      <c r="D2221" s="38" t="n"/>
      <c r="E2221" s="37" t="n"/>
      <c r="F2221" s="38" t="n"/>
      <c r="G2221" s="38" t="n"/>
      <c r="H2221" s="38" t="n"/>
      <c r="I2221" s="38" t="n"/>
      <c r="J2221" s="38" t="n"/>
      <c r="K2221" s="37" t="n"/>
      <c r="L2221" s="39" t="n"/>
      <c r="M2221" s="40" t="n"/>
      <c r="N2221" s="30">
        <f>IF(A2221="","",MONTH(A2221))</f>
        <v/>
      </c>
      <c r="O2221" s="30">
        <f>IF(A2221="","",YEAR(A2221))</f>
        <v/>
      </c>
      <c r="P2221" s="30">
        <f>IF(A2221="","",CHOOSE(WEEKDAY(A2221,2),"Segunda","Terça","Quarta","Quinta","Sexta","Sábado","Domingo"))</f>
        <v/>
      </c>
      <c r="Q2221" s="30">
        <f>IF(B2221="","",IF(B2221&lt;TIME(12,0,0),"Manhã",IF(B2221&lt;TIME(18,0,0),"Tarde","Noite")))</f>
        <v/>
      </c>
      <c r="R2221" s="46">
        <f>IF(AND(H2221="Realizado",L2221&lt;&gt;"",A2221&lt;=Config!$B$9),L2221/60,0)</f>
        <v>0</v>
      </c>
      <c r="S2221" s="45">
        <f>IF(G2221="","",IFERROR(INDEX(Config!$K$5:$K$16,MATCH(G2221,Config!$J$5:$J$16,0)),""))</f>
        <v/>
      </c>
      <c r="T2221" s="31">
        <f>IF(OR(G2221="",F2221=""),"",IFERROR(INDEX(Config!$M$5:$R$16,MATCH(G2221,Config!$J$5:$J$16,0),MATCH(F2221,Config!$H$5:$H$10,0)),""))</f>
        <v/>
      </c>
      <c r="U2221" s="47">
        <f>IF(AND(H2221="Realizado",L2221&lt;&gt;""),L2221/60,0)</f>
        <v>0</v>
      </c>
      <c r="V2221" s="47">
        <f>IF(AND(H2221="Realizado",OR(L2221="",M2221="")),1,0)</f>
        <v>0</v>
      </c>
    </row>
    <row r="2222">
      <c r="A2222" s="43" t="n"/>
      <c r="B2222" s="44" t="n"/>
      <c r="C2222" s="38" t="n"/>
      <c r="D2222" s="38" t="n"/>
      <c r="E2222" s="37" t="n"/>
      <c r="F2222" s="38" t="n"/>
      <c r="G2222" s="38" t="n"/>
      <c r="H2222" s="38" t="n"/>
      <c r="I2222" s="38" t="n"/>
      <c r="J2222" s="38" t="n"/>
      <c r="K2222" s="37" t="n"/>
      <c r="L2222" s="39" t="n"/>
      <c r="M2222" s="40" t="n"/>
      <c r="N2222" s="30">
        <f>IF(A2222="","",MONTH(A2222))</f>
        <v/>
      </c>
      <c r="O2222" s="30">
        <f>IF(A2222="","",YEAR(A2222))</f>
        <v/>
      </c>
      <c r="P2222" s="30">
        <f>IF(A2222="","",CHOOSE(WEEKDAY(A2222,2),"Segunda","Terça","Quarta","Quinta","Sexta","Sábado","Domingo"))</f>
        <v/>
      </c>
      <c r="Q2222" s="30">
        <f>IF(B2222="","",IF(B2222&lt;TIME(12,0,0),"Manhã",IF(B2222&lt;TIME(18,0,0),"Tarde","Noite")))</f>
        <v/>
      </c>
      <c r="R2222" s="46">
        <f>IF(AND(H2222="Realizado",L2222&lt;&gt;"",A2222&lt;=Config!$B$9),L2222/60,0)</f>
        <v>0</v>
      </c>
      <c r="S2222" s="45">
        <f>IF(G2222="","",IFERROR(INDEX(Config!$K$5:$K$16,MATCH(G2222,Config!$J$5:$J$16,0)),""))</f>
        <v/>
      </c>
      <c r="T2222" s="31">
        <f>IF(OR(G2222="",F2222=""),"",IFERROR(INDEX(Config!$M$5:$R$16,MATCH(G2222,Config!$J$5:$J$16,0),MATCH(F2222,Config!$H$5:$H$10,0)),""))</f>
        <v/>
      </c>
      <c r="U2222" s="47">
        <f>IF(AND(H2222="Realizado",L2222&lt;&gt;""),L2222/60,0)</f>
        <v>0</v>
      </c>
      <c r="V2222" s="47">
        <f>IF(AND(H2222="Realizado",OR(L2222="",M2222="")),1,0)</f>
        <v>0</v>
      </c>
    </row>
    <row r="2223">
      <c r="A2223" s="43" t="n"/>
      <c r="B2223" s="44" t="n"/>
      <c r="C2223" s="38" t="n"/>
      <c r="D2223" s="38" t="n"/>
      <c r="E2223" s="37" t="n"/>
      <c r="F2223" s="38" t="n"/>
      <c r="G2223" s="38" t="n"/>
      <c r="H2223" s="38" t="n"/>
      <c r="I2223" s="38" t="n"/>
      <c r="J2223" s="38" t="n"/>
      <c r="K2223" s="37" t="n"/>
      <c r="L2223" s="39" t="n"/>
      <c r="M2223" s="40" t="n"/>
      <c r="N2223" s="30">
        <f>IF(A2223="","",MONTH(A2223))</f>
        <v/>
      </c>
      <c r="O2223" s="30">
        <f>IF(A2223="","",YEAR(A2223))</f>
        <v/>
      </c>
      <c r="P2223" s="30">
        <f>IF(A2223="","",CHOOSE(WEEKDAY(A2223,2),"Segunda","Terça","Quarta","Quinta","Sexta","Sábado","Domingo"))</f>
        <v/>
      </c>
      <c r="Q2223" s="30">
        <f>IF(B2223="","",IF(B2223&lt;TIME(12,0,0),"Manhã",IF(B2223&lt;TIME(18,0,0),"Tarde","Noite")))</f>
        <v/>
      </c>
      <c r="R2223" s="46">
        <f>IF(AND(H2223="Realizado",L2223&lt;&gt;"",A2223&lt;=Config!$B$9),L2223/60,0)</f>
        <v>0</v>
      </c>
      <c r="S2223" s="45">
        <f>IF(G2223="","",IFERROR(INDEX(Config!$K$5:$K$16,MATCH(G2223,Config!$J$5:$J$16,0)),""))</f>
        <v/>
      </c>
      <c r="T2223" s="31">
        <f>IF(OR(G2223="",F2223=""),"",IFERROR(INDEX(Config!$M$5:$R$16,MATCH(G2223,Config!$J$5:$J$16,0),MATCH(F2223,Config!$H$5:$H$10,0)),""))</f>
        <v/>
      </c>
      <c r="U2223" s="47">
        <f>IF(AND(H2223="Realizado",L2223&lt;&gt;""),L2223/60,0)</f>
        <v>0</v>
      </c>
      <c r="V2223" s="47">
        <f>IF(AND(H2223="Realizado",OR(L2223="",M2223="")),1,0)</f>
        <v>0</v>
      </c>
    </row>
    <row r="2224">
      <c r="A2224" s="43" t="n"/>
      <c r="B2224" s="44" t="n"/>
      <c r="C2224" s="38" t="n"/>
      <c r="D2224" s="38" t="n"/>
      <c r="E2224" s="37" t="n"/>
      <c r="F2224" s="38" t="n"/>
      <c r="G2224" s="38" t="n"/>
      <c r="H2224" s="38" t="n"/>
      <c r="I2224" s="38" t="n"/>
      <c r="J2224" s="38" t="n"/>
      <c r="K2224" s="37" t="n"/>
      <c r="L2224" s="39" t="n"/>
      <c r="M2224" s="40" t="n"/>
      <c r="N2224" s="30">
        <f>IF(A2224="","",MONTH(A2224))</f>
        <v/>
      </c>
      <c r="O2224" s="30">
        <f>IF(A2224="","",YEAR(A2224))</f>
        <v/>
      </c>
      <c r="P2224" s="30">
        <f>IF(A2224="","",CHOOSE(WEEKDAY(A2224,2),"Segunda","Terça","Quarta","Quinta","Sexta","Sábado","Domingo"))</f>
        <v/>
      </c>
      <c r="Q2224" s="30">
        <f>IF(B2224="","",IF(B2224&lt;TIME(12,0,0),"Manhã",IF(B2224&lt;TIME(18,0,0),"Tarde","Noite")))</f>
        <v/>
      </c>
      <c r="R2224" s="46">
        <f>IF(AND(H2224="Realizado",L2224&lt;&gt;"",A2224&lt;=Config!$B$9),L2224/60,0)</f>
        <v>0</v>
      </c>
      <c r="S2224" s="45">
        <f>IF(G2224="","",IFERROR(INDEX(Config!$K$5:$K$16,MATCH(G2224,Config!$J$5:$J$16,0)),""))</f>
        <v/>
      </c>
      <c r="T2224" s="31">
        <f>IF(OR(G2224="",F2224=""),"",IFERROR(INDEX(Config!$M$5:$R$16,MATCH(G2224,Config!$J$5:$J$16,0),MATCH(F2224,Config!$H$5:$H$10,0)),""))</f>
        <v/>
      </c>
      <c r="U2224" s="47">
        <f>IF(AND(H2224="Realizado",L2224&lt;&gt;""),L2224/60,0)</f>
        <v>0</v>
      </c>
      <c r="V2224" s="47">
        <f>IF(AND(H2224="Realizado",OR(L2224="",M2224="")),1,0)</f>
        <v>0</v>
      </c>
    </row>
    <row r="2225">
      <c r="A2225" s="43" t="n"/>
      <c r="B2225" s="44" t="n"/>
      <c r="C2225" s="38" t="n"/>
      <c r="D2225" s="38" t="n"/>
      <c r="E2225" s="37" t="n"/>
      <c r="F2225" s="38" t="n"/>
      <c r="G2225" s="38" t="n"/>
      <c r="H2225" s="38" t="n"/>
      <c r="I2225" s="38" t="n"/>
      <c r="J2225" s="38" t="n"/>
      <c r="K2225" s="37" t="n"/>
      <c r="L2225" s="39" t="n"/>
      <c r="M2225" s="40" t="n"/>
      <c r="N2225" s="30">
        <f>IF(A2225="","",MONTH(A2225))</f>
        <v/>
      </c>
      <c r="O2225" s="30">
        <f>IF(A2225="","",YEAR(A2225))</f>
        <v/>
      </c>
      <c r="P2225" s="30">
        <f>IF(A2225="","",CHOOSE(WEEKDAY(A2225,2),"Segunda","Terça","Quarta","Quinta","Sexta","Sábado","Domingo"))</f>
        <v/>
      </c>
      <c r="Q2225" s="30">
        <f>IF(B2225="","",IF(B2225&lt;TIME(12,0,0),"Manhã",IF(B2225&lt;TIME(18,0,0),"Tarde","Noite")))</f>
        <v/>
      </c>
      <c r="R2225" s="46">
        <f>IF(AND(H2225="Realizado",L2225&lt;&gt;"",A2225&lt;=Config!$B$9),L2225/60,0)</f>
        <v>0</v>
      </c>
      <c r="S2225" s="45">
        <f>IF(G2225="","",IFERROR(INDEX(Config!$K$5:$K$16,MATCH(G2225,Config!$J$5:$J$16,0)),""))</f>
        <v/>
      </c>
      <c r="T2225" s="31">
        <f>IF(OR(G2225="",F2225=""),"",IFERROR(INDEX(Config!$M$5:$R$16,MATCH(G2225,Config!$J$5:$J$16,0),MATCH(F2225,Config!$H$5:$H$10,0)),""))</f>
        <v/>
      </c>
      <c r="U2225" s="47">
        <f>IF(AND(H2225="Realizado",L2225&lt;&gt;""),L2225/60,0)</f>
        <v>0</v>
      </c>
      <c r="V2225" s="47">
        <f>IF(AND(H2225="Realizado",OR(L2225="",M2225="")),1,0)</f>
        <v>0</v>
      </c>
    </row>
    <row r="2226">
      <c r="A2226" s="43" t="n"/>
      <c r="B2226" s="44" t="n"/>
      <c r="C2226" s="38" t="n"/>
      <c r="D2226" s="38" t="n"/>
      <c r="E2226" s="37" t="n"/>
      <c r="F2226" s="38" t="n"/>
      <c r="G2226" s="38" t="n"/>
      <c r="H2226" s="38" t="n"/>
      <c r="I2226" s="38" t="n"/>
      <c r="J2226" s="38" t="n"/>
      <c r="K2226" s="37" t="n"/>
      <c r="L2226" s="39" t="n"/>
      <c r="M2226" s="40" t="n"/>
      <c r="N2226" s="30">
        <f>IF(A2226="","",MONTH(A2226))</f>
        <v/>
      </c>
      <c r="O2226" s="30">
        <f>IF(A2226="","",YEAR(A2226))</f>
        <v/>
      </c>
      <c r="P2226" s="30">
        <f>IF(A2226="","",CHOOSE(WEEKDAY(A2226,2),"Segunda","Terça","Quarta","Quinta","Sexta","Sábado","Domingo"))</f>
        <v/>
      </c>
      <c r="Q2226" s="30">
        <f>IF(B2226="","",IF(B2226&lt;TIME(12,0,0),"Manhã",IF(B2226&lt;TIME(18,0,0),"Tarde","Noite")))</f>
        <v/>
      </c>
      <c r="R2226" s="46">
        <f>IF(AND(H2226="Realizado",L2226&lt;&gt;"",A2226&lt;=Config!$B$9),L2226/60,0)</f>
        <v>0</v>
      </c>
      <c r="S2226" s="45">
        <f>IF(G2226="","",IFERROR(INDEX(Config!$K$5:$K$16,MATCH(G2226,Config!$J$5:$J$16,0)),""))</f>
        <v/>
      </c>
      <c r="T2226" s="31">
        <f>IF(OR(G2226="",F2226=""),"",IFERROR(INDEX(Config!$M$5:$R$16,MATCH(G2226,Config!$J$5:$J$16,0),MATCH(F2226,Config!$H$5:$H$10,0)),""))</f>
        <v/>
      </c>
      <c r="U2226" s="47">
        <f>IF(AND(H2226="Realizado",L2226&lt;&gt;""),L2226/60,0)</f>
        <v>0</v>
      </c>
      <c r="V2226" s="47">
        <f>IF(AND(H2226="Realizado",OR(L2226="",M2226="")),1,0)</f>
        <v>0</v>
      </c>
    </row>
    <row r="2227">
      <c r="A2227" s="43" t="n"/>
      <c r="B2227" s="44" t="n"/>
      <c r="C2227" s="38" t="n"/>
      <c r="D2227" s="38" t="n"/>
      <c r="E2227" s="37" t="n"/>
      <c r="F2227" s="38" t="n"/>
      <c r="G2227" s="38" t="n"/>
      <c r="H2227" s="38" t="n"/>
      <c r="I2227" s="38" t="n"/>
      <c r="J2227" s="38" t="n"/>
      <c r="K2227" s="37" t="n"/>
      <c r="L2227" s="39" t="n"/>
      <c r="M2227" s="40" t="n"/>
      <c r="N2227" s="30">
        <f>IF(A2227="","",MONTH(A2227))</f>
        <v/>
      </c>
      <c r="O2227" s="30">
        <f>IF(A2227="","",YEAR(A2227))</f>
        <v/>
      </c>
      <c r="P2227" s="30">
        <f>IF(A2227="","",CHOOSE(WEEKDAY(A2227,2),"Segunda","Terça","Quarta","Quinta","Sexta","Sábado","Domingo"))</f>
        <v/>
      </c>
      <c r="Q2227" s="30">
        <f>IF(B2227="","",IF(B2227&lt;TIME(12,0,0),"Manhã",IF(B2227&lt;TIME(18,0,0),"Tarde","Noite")))</f>
        <v/>
      </c>
      <c r="R2227" s="46">
        <f>IF(AND(H2227="Realizado",L2227&lt;&gt;"",A2227&lt;=Config!$B$9),L2227/60,0)</f>
        <v>0</v>
      </c>
      <c r="S2227" s="45">
        <f>IF(G2227="","",IFERROR(INDEX(Config!$K$5:$K$16,MATCH(G2227,Config!$J$5:$J$16,0)),""))</f>
        <v/>
      </c>
      <c r="T2227" s="31">
        <f>IF(OR(G2227="",F2227=""),"",IFERROR(INDEX(Config!$M$5:$R$16,MATCH(G2227,Config!$J$5:$J$16,0),MATCH(F2227,Config!$H$5:$H$10,0)),""))</f>
        <v/>
      </c>
      <c r="U2227" s="47">
        <f>IF(AND(H2227="Realizado",L2227&lt;&gt;""),L2227/60,0)</f>
        <v>0</v>
      </c>
      <c r="V2227" s="47">
        <f>IF(AND(H2227="Realizado",OR(L2227="",M2227="")),1,0)</f>
        <v>0</v>
      </c>
    </row>
    <row r="2228">
      <c r="A2228" s="43" t="n"/>
      <c r="B2228" s="44" t="n"/>
      <c r="C2228" s="38" t="n"/>
      <c r="D2228" s="38" t="n"/>
      <c r="E2228" s="37" t="n"/>
      <c r="F2228" s="38" t="n"/>
      <c r="G2228" s="38" t="n"/>
      <c r="H2228" s="38" t="n"/>
      <c r="I2228" s="38" t="n"/>
      <c r="J2228" s="38" t="n"/>
      <c r="K2228" s="37" t="n"/>
      <c r="L2228" s="39" t="n"/>
      <c r="M2228" s="40" t="n"/>
      <c r="N2228" s="30">
        <f>IF(A2228="","",MONTH(A2228))</f>
        <v/>
      </c>
      <c r="O2228" s="30">
        <f>IF(A2228="","",YEAR(A2228))</f>
        <v/>
      </c>
      <c r="P2228" s="30">
        <f>IF(A2228="","",CHOOSE(WEEKDAY(A2228,2),"Segunda","Terça","Quarta","Quinta","Sexta","Sábado","Domingo"))</f>
        <v/>
      </c>
      <c r="Q2228" s="30">
        <f>IF(B2228="","",IF(B2228&lt;TIME(12,0,0),"Manhã",IF(B2228&lt;TIME(18,0,0),"Tarde","Noite")))</f>
        <v/>
      </c>
      <c r="R2228" s="46">
        <f>IF(AND(H2228="Realizado",L2228&lt;&gt;"",A2228&lt;=Config!$B$9),L2228/60,0)</f>
        <v>0</v>
      </c>
      <c r="S2228" s="45">
        <f>IF(G2228="","",IFERROR(INDEX(Config!$K$5:$K$16,MATCH(G2228,Config!$J$5:$J$16,0)),""))</f>
        <v/>
      </c>
      <c r="T2228" s="31">
        <f>IF(OR(G2228="",F2228=""),"",IFERROR(INDEX(Config!$M$5:$R$16,MATCH(G2228,Config!$J$5:$J$16,0),MATCH(F2228,Config!$H$5:$H$10,0)),""))</f>
        <v/>
      </c>
      <c r="U2228" s="47">
        <f>IF(AND(H2228="Realizado",L2228&lt;&gt;""),L2228/60,0)</f>
        <v>0</v>
      </c>
      <c r="V2228" s="47">
        <f>IF(AND(H2228="Realizado",OR(L2228="",M2228="")),1,0)</f>
        <v>0</v>
      </c>
    </row>
    <row r="2229">
      <c r="A2229" s="43" t="n"/>
      <c r="B2229" s="44" t="n"/>
      <c r="C2229" s="38" t="n"/>
      <c r="D2229" s="38" t="n"/>
      <c r="E2229" s="37" t="n"/>
      <c r="F2229" s="38" t="n"/>
      <c r="G2229" s="38" t="n"/>
      <c r="H2229" s="38" t="n"/>
      <c r="I2229" s="38" t="n"/>
      <c r="J2229" s="38" t="n"/>
      <c r="K2229" s="37" t="n"/>
      <c r="L2229" s="39" t="n"/>
      <c r="M2229" s="40" t="n"/>
      <c r="N2229" s="30">
        <f>IF(A2229="","",MONTH(A2229))</f>
        <v/>
      </c>
      <c r="O2229" s="30">
        <f>IF(A2229="","",YEAR(A2229))</f>
        <v/>
      </c>
      <c r="P2229" s="30">
        <f>IF(A2229="","",CHOOSE(WEEKDAY(A2229,2),"Segunda","Terça","Quarta","Quinta","Sexta","Sábado","Domingo"))</f>
        <v/>
      </c>
      <c r="Q2229" s="30">
        <f>IF(B2229="","",IF(B2229&lt;TIME(12,0,0),"Manhã",IF(B2229&lt;TIME(18,0,0),"Tarde","Noite")))</f>
        <v/>
      </c>
      <c r="R2229" s="46">
        <f>IF(AND(H2229="Realizado",L2229&lt;&gt;"",A2229&lt;=Config!$B$9),L2229/60,0)</f>
        <v>0</v>
      </c>
      <c r="S2229" s="45">
        <f>IF(G2229="","",IFERROR(INDEX(Config!$K$5:$K$16,MATCH(G2229,Config!$J$5:$J$16,0)),""))</f>
        <v/>
      </c>
      <c r="T2229" s="31">
        <f>IF(OR(G2229="",F2229=""),"",IFERROR(INDEX(Config!$M$5:$R$16,MATCH(G2229,Config!$J$5:$J$16,0),MATCH(F2229,Config!$H$5:$H$10,0)),""))</f>
        <v/>
      </c>
      <c r="U2229" s="47">
        <f>IF(AND(H2229="Realizado",L2229&lt;&gt;""),L2229/60,0)</f>
        <v>0</v>
      </c>
      <c r="V2229" s="47">
        <f>IF(AND(H2229="Realizado",OR(L2229="",M2229="")),1,0)</f>
        <v>0</v>
      </c>
    </row>
    <row r="2230">
      <c r="A2230" s="43" t="n"/>
      <c r="B2230" s="44" t="n"/>
      <c r="C2230" s="38" t="n"/>
      <c r="D2230" s="38" t="n"/>
      <c r="E2230" s="37" t="n"/>
      <c r="F2230" s="38" t="n"/>
      <c r="G2230" s="38" t="n"/>
      <c r="H2230" s="38" t="n"/>
      <c r="I2230" s="38" t="n"/>
      <c r="J2230" s="38" t="n"/>
      <c r="K2230" s="37" t="n"/>
      <c r="L2230" s="39" t="n"/>
      <c r="M2230" s="40" t="n"/>
      <c r="N2230" s="30">
        <f>IF(A2230="","",MONTH(A2230))</f>
        <v/>
      </c>
      <c r="O2230" s="30">
        <f>IF(A2230="","",YEAR(A2230))</f>
        <v/>
      </c>
      <c r="P2230" s="30">
        <f>IF(A2230="","",CHOOSE(WEEKDAY(A2230,2),"Segunda","Terça","Quarta","Quinta","Sexta","Sábado","Domingo"))</f>
        <v/>
      </c>
      <c r="Q2230" s="30">
        <f>IF(B2230="","",IF(B2230&lt;TIME(12,0,0),"Manhã",IF(B2230&lt;TIME(18,0,0),"Tarde","Noite")))</f>
        <v/>
      </c>
      <c r="R2230" s="46">
        <f>IF(AND(H2230="Realizado",L2230&lt;&gt;"",A2230&lt;=Config!$B$9),L2230/60,0)</f>
        <v>0</v>
      </c>
      <c r="S2230" s="45">
        <f>IF(G2230="","",IFERROR(INDEX(Config!$K$5:$K$16,MATCH(G2230,Config!$J$5:$J$16,0)),""))</f>
        <v/>
      </c>
      <c r="T2230" s="31">
        <f>IF(OR(G2230="",F2230=""),"",IFERROR(INDEX(Config!$M$5:$R$16,MATCH(G2230,Config!$J$5:$J$16,0),MATCH(F2230,Config!$H$5:$H$10,0)),""))</f>
        <v/>
      </c>
      <c r="U2230" s="47">
        <f>IF(AND(H2230="Realizado",L2230&lt;&gt;""),L2230/60,0)</f>
        <v>0</v>
      </c>
      <c r="V2230" s="47">
        <f>IF(AND(H2230="Realizado",OR(L2230="",M2230="")),1,0)</f>
        <v>0</v>
      </c>
    </row>
    <row r="2231">
      <c r="A2231" s="43" t="n"/>
      <c r="B2231" s="44" t="n"/>
      <c r="C2231" s="38" t="n"/>
      <c r="D2231" s="38" t="n"/>
      <c r="E2231" s="37" t="n"/>
      <c r="F2231" s="38" t="n"/>
      <c r="G2231" s="38" t="n"/>
      <c r="H2231" s="38" t="n"/>
      <c r="I2231" s="38" t="n"/>
      <c r="J2231" s="38" t="n"/>
      <c r="K2231" s="37" t="n"/>
      <c r="L2231" s="39" t="n"/>
      <c r="M2231" s="40" t="n"/>
      <c r="N2231" s="30">
        <f>IF(A2231="","",MONTH(A2231))</f>
        <v/>
      </c>
      <c r="O2231" s="30">
        <f>IF(A2231="","",YEAR(A2231))</f>
        <v/>
      </c>
      <c r="P2231" s="30">
        <f>IF(A2231="","",CHOOSE(WEEKDAY(A2231,2),"Segunda","Terça","Quarta","Quinta","Sexta","Sábado","Domingo"))</f>
        <v/>
      </c>
      <c r="Q2231" s="30">
        <f>IF(B2231="","",IF(B2231&lt;TIME(12,0,0),"Manhã",IF(B2231&lt;TIME(18,0,0),"Tarde","Noite")))</f>
        <v/>
      </c>
      <c r="R2231" s="46">
        <f>IF(AND(H2231="Realizado",L2231&lt;&gt;"",A2231&lt;=Config!$B$9),L2231/60,0)</f>
        <v>0</v>
      </c>
      <c r="S2231" s="45">
        <f>IF(G2231="","",IFERROR(INDEX(Config!$K$5:$K$16,MATCH(G2231,Config!$J$5:$J$16,0)),""))</f>
        <v/>
      </c>
      <c r="T2231" s="31">
        <f>IF(OR(G2231="",F2231=""),"",IFERROR(INDEX(Config!$M$5:$R$16,MATCH(G2231,Config!$J$5:$J$16,0),MATCH(F2231,Config!$H$5:$H$10,0)),""))</f>
        <v/>
      </c>
      <c r="U2231" s="47">
        <f>IF(AND(H2231="Realizado",L2231&lt;&gt;""),L2231/60,0)</f>
        <v>0</v>
      </c>
      <c r="V2231" s="47">
        <f>IF(AND(H2231="Realizado",OR(L2231="",M2231="")),1,0)</f>
        <v>0</v>
      </c>
    </row>
    <row r="2232">
      <c r="A2232" s="43" t="n"/>
      <c r="B2232" s="44" t="n"/>
      <c r="C2232" s="38" t="n"/>
      <c r="D2232" s="38" t="n"/>
      <c r="E2232" s="37" t="n"/>
      <c r="F2232" s="38" t="n"/>
      <c r="G2232" s="38" t="n"/>
      <c r="H2232" s="38" t="n"/>
      <c r="I2232" s="38" t="n"/>
      <c r="J2232" s="38" t="n"/>
      <c r="K2232" s="37" t="n"/>
      <c r="L2232" s="39" t="n"/>
      <c r="M2232" s="40" t="n"/>
      <c r="N2232" s="30">
        <f>IF(A2232="","",MONTH(A2232))</f>
        <v/>
      </c>
      <c r="O2232" s="30">
        <f>IF(A2232="","",YEAR(A2232))</f>
        <v/>
      </c>
      <c r="P2232" s="30">
        <f>IF(A2232="","",CHOOSE(WEEKDAY(A2232,2),"Segunda","Terça","Quarta","Quinta","Sexta","Sábado","Domingo"))</f>
        <v/>
      </c>
      <c r="Q2232" s="30">
        <f>IF(B2232="","",IF(B2232&lt;TIME(12,0,0),"Manhã",IF(B2232&lt;TIME(18,0,0),"Tarde","Noite")))</f>
        <v/>
      </c>
      <c r="R2232" s="46">
        <f>IF(AND(H2232="Realizado",L2232&lt;&gt;"",A2232&lt;=Config!$B$9),L2232/60,0)</f>
        <v>0</v>
      </c>
      <c r="S2232" s="45">
        <f>IF(G2232="","",IFERROR(INDEX(Config!$K$5:$K$16,MATCH(G2232,Config!$J$5:$J$16,0)),""))</f>
        <v/>
      </c>
      <c r="T2232" s="31">
        <f>IF(OR(G2232="",F2232=""),"",IFERROR(INDEX(Config!$M$5:$R$16,MATCH(G2232,Config!$J$5:$J$16,0),MATCH(F2232,Config!$H$5:$H$10,0)),""))</f>
        <v/>
      </c>
      <c r="U2232" s="47">
        <f>IF(AND(H2232="Realizado",L2232&lt;&gt;""),L2232/60,0)</f>
        <v>0</v>
      </c>
      <c r="V2232" s="47">
        <f>IF(AND(H2232="Realizado",OR(L2232="",M2232="")),1,0)</f>
        <v>0</v>
      </c>
    </row>
    <row r="2233">
      <c r="A2233" s="43" t="n"/>
      <c r="B2233" s="44" t="n"/>
      <c r="C2233" s="38" t="n"/>
      <c r="D2233" s="38" t="n"/>
      <c r="E2233" s="37" t="n"/>
      <c r="F2233" s="38" t="n"/>
      <c r="G2233" s="38" t="n"/>
      <c r="H2233" s="38" t="n"/>
      <c r="I2233" s="38" t="n"/>
      <c r="J2233" s="38" t="n"/>
      <c r="K2233" s="37" t="n"/>
      <c r="L2233" s="39" t="n"/>
      <c r="M2233" s="40" t="n"/>
      <c r="N2233" s="30">
        <f>IF(A2233="","",MONTH(A2233))</f>
        <v/>
      </c>
      <c r="O2233" s="30">
        <f>IF(A2233="","",YEAR(A2233))</f>
        <v/>
      </c>
      <c r="P2233" s="30">
        <f>IF(A2233="","",CHOOSE(WEEKDAY(A2233,2),"Segunda","Terça","Quarta","Quinta","Sexta","Sábado","Domingo"))</f>
        <v/>
      </c>
      <c r="Q2233" s="30">
        <f>IF(B2233="","",IF(B2233&lt;TIME(12,0,0),"Manhã",IF(B2233&lt;TIME(18,0,0),"Tarde","Noite")))</f>
        <v/>
      </c>
      <c r="R2233" s="46">
        <f>IF(AND(H2233="Realizado",L2233&lt;&gt;"",A2233&lt;=Config!$B$9),L2233/60,0)</f>
        <v>0</v>
      </c>
      <c r="S2233" s="45">
        <f>IF(G2233="","",IFERROR(INDEX(Config!$K$5:$K$16,MATCH(G2233,Config!$J$5:$J$16,0)),""))</f>
        <v/>
      </c>
      <c r="T2233" s="31">
        <f>IF(OR(G2233="",F2233=""),"",IFERROR(INDEX(Config!$M$5:$R$16,MATCH(G2233,Config!$J$5:$J$16,0),MATCH(F2233,Config!$H$5:$H$10,0)),""))</f>
        <v/>
      </c>
      <c r="U2233" s="47">
        <f>IF(AND(H2233="Realizado",L2233&lt;&gt;""),L2233/60,0)</f>
        <v>0</v>
      </c>
      <c r="V2233" s="47">
        <f>IF(AND(H2233="Realizado",OR(L2233="",M2233="")),1,0)</f>
        <v>0</v>
      </c>
    </row>
    <row r="2234">
      <c r="A2234" s="43" t="n"/>
      <c r="B2234" s="44" t="n"/>
      <c r="C2234" s="38" t="n"/>
      <c r="D2234" s="38" t="n"/>
      <c r="E2234" s="37" t="n"/>
      <c r="F2234" s="38" t="n"/>
      <c r="G2234" s="38" t="n"/>
      <c r="H2234" s="38" t="n"/>
      <c r="I2234" s="38" t="n"/>
      <c r="J2234" s="38" t="n"/>
      <c r="K2234" s="37" t="n"/>
      <c r="L2234" s="39" t="n"/>
      <c r="M2234" s="40" t="n"/>
      <c r="N2234" s="30">
        <f>IF(A2234="","",MONTH(A2234))</f>
        <v/>
      </c>
      <c r="O2234" s="30">
        <f>IF(A2234="","",YEAR(A2234))</f>
        <v/>
      </c>
      <c r="P2234" s="30">
        <f>IF(A2234="","",CHOOSE(WEEKDAY(A2234,2),"Segunda","Terça","Quarta","Quinta","Sexta","Sábado","Domingo"))</f>
        <v/>
      </c>
      <c r="Q2234" s="30">
        <f>IF(B2234="","",IF(B2234&lt;TIME(12,0,0),"Manhã",IF(B2234&lt;TIME(18,0,0),"Tarde","Noite")))</f>
        <v/>
      </c>
      <c r="R2234" s="46">
        <f>IF(AND(H2234="Realizado",L2234&lt;&gt;"",A2234&lt;=Config!$B$9),L2234/60,0)</f>
        <v>0</v>
      </c>
      <c r="S2234" s="45">
        <f>IF(G2234="","",IFERROR(INDEX(Config!$K$5:$K$16,MATCH(G2234,Config!$J$5:$J$16,0)),""))</f>
        <v/>
      </c>
      <c r="T2234" s="31">
        <f>IF(OR(G2234="",F2234=""),"",IFERROR(INDEX(Config!$M$5:$R$16,MATCH(G2234,Config!$J$5:$J$16,0),MATCH(F2234,Config!$H$5:$H$10,0)),""))</f>
        <v/>
      </c>
      <c r="U2234" s="47">
        <f>IF(AND(H2234="Realizado",L2234&lt;&gt;""),L2234/60,0)</f>
        <v>0</v>
      </c>
      <c r="V2234" s="47">
        <f>IF(AND(H2234="Realizado",OR(L2234="",M2234="")),1,0)</f>
        <v>0</v>
      </c>
    </row>
    <row r="2235">
      <c r="A2235" s="43" t="n"/>
      <c r="B2235" s="44" t="n"/>
      <c r="C2235" s="38" t="n"/>
      <c r="D2235" s="38" t="n"/>
      <c r="E2235" s="37" t="n"/>
      <c r="F2235" s="38" t="n"/>
      <c r="G2235" s="38" t="n"/>
      <c r="H2235" s="38" t="n"/>
      <c r="I2235" s="38" t="n"/>
      <c r="J2235" s="38" t="n"/>
      <c r="K2235" s="37" t="n"/>
      <c r="L2235" s="39" t="n"/>
      <c r="M2235" s="40" t="n"/>
      <c r="N2235" s="30">
        <f>IF(A2235="","",MONTH(A2235))</f>
        <v/>
      </c>
      <c r="O2235" s="30">
        <f>IF(A2235="","",YEAR(A2235))</f>
        <v/>
      </c>
      <c r="P2235" s="30">
        <f>IF(A2235="","",CHOOSE(WEEKDAY(A2235,2),"Segunda","Terça","Quarta","Quinta","Sexta","Sábado","Domingo"))</f>
        <v/>
      </c>
      <c r="Q2235" s="30">
        <f>IF(B2235="","",IF(B2235&lt;TIME(12,0,0),"Manhã",IF(B2235&lt;TIME(18,0,0),"Tarde","Noite")))</f>
        <v/>
      </c>
      <c r="R2235" s="46">
        <f>IF(AND(H2235="Realizado",L2235&lt;&gt;"",A2235&lt;=Config!$B$9),L2235/60,0)</f>
        <v>0</v>
      </c>
      <c r="S2235" s="45">
        <f>IF(G2235="","",IFERROR(INDEX(Config!$K$5:$K$16,MATCH(G2235,Config!$J$5:$J$16,0)),""))</f>
        <v/>
      </c>
      <c r="T2235" s="31">
        <f>IF(OR(G2235="",F2235=""),"",IFERROR(INDEX(Config!$M$5:$R$16,MATCH(G2235,Config!$J$5:$J$16,0),MATCH(F2235,Config!$H$5:$H$10,0)),""))</f>
        <v/>
      </c>
      <c r="U2235" s="47">
        <f>IF(AND(H2235="Realizado",L2235&lt;&gt;""),L2235/60,0)</f>
        <v>0</v>
      </c>
      <c r="V2235" s="47">
        <f>IF(AND(H2235="Realizado",OR(L2235="",M2235="")),1,0)</f>
        <v>0</v>
      </c>
    </row>
    <row r="2236">
      <c r="A2236" s="43" t="n"/>
      <c r="B2236" s="44" t="n"/>
      <c r="C2236" s="38" t="n"/>
      <c r="D2236" s="38" t="n"/>
      <c r="E2236" s="37" t="n"/>
      <c r="F2236" s="38" t="n"/>
      <c r="G2236" s="38" t="n"/>
      <c r="H2236" s="38" t="n"/>
      <c r="I2236" s="38" t="n"/>
      <c r="J2236" s="38" t="n"/>
      <c r="K2236" s="37" t="n"/>
      <c r="L2236" s="39" t="n"/>
      <c r="M2236" s="40" t="n"/>
      <c r="N2236" s="30">
        <f>IF(A2236="","",MONTH(A2236))</f>
        <v/>
      </c>
      <c r="O2236" s="30">
        <f>IF(A2236="","",YEAR(A2236))</f>
        <v/>
      </c>
      <c r="P2236" s="30">
        <f>IF(A2236="","",CHOOSE(WEEKDAY(A2236,2),"Segunda","Terça","Quarta","Quinta","Sexta","Sábado","Domingo"))</f>
        <v/>
      </c>
      <c r="Q2236" s="30">
        <f>IF(B2236="","",IF(B2236&lt;TIME(12,0,0),"Manhã",IF(B2236&lt;TIME(18,0,0),"Tarde","Noite")))</f>
        <v/>
      </c>
      <c r="R2236" s="46">
        <f>IF(AND(H2236="Realizado",L2236&lt;&gt;"",A2236&lt;=Config!$B$9),L2236/60,0)</f>
        <v>0</v>
      </c>
      <c r="S2236" s="45">
        <f>IF(G2236="","",IFERROR(INDEX(Config!$K$5:$K$16,MATCH(G2236,Config!$J$5:$J$16,0)),""))</f>
        <v/>
      </c>
      <c r="T2236" s="31">
        <f>IF(OR(G2236="",F2236=""),"",IFERROR(INDEX(Config!$M$5:$R$16,MATCH(G2236,Config!$J$5:$J$16,0),MATCH(F2236,Config!$H$5:$H$10,0)),""))</f>
        <v/>
      </c>
      <c r="U2236" s="47">
        <f>IF(AND(H2236="Realizado",L2236&lt;&gt;""),L2236/60,0)</f>
        <v>0</v>
      </c>
      <c r="V2236" s="47">
        <f>IF(AND(H2236="Realizado",OR(L2236="",M2236="")),1,0)</f>
        <v>0</v>
      </c>
    </row>
    <row r="2237">
      <c r="A2237" s="43" t="n"/>
      <c r="B2237" s="44" t="n"/>
      <c r="C2237" s="38" t="n"/>
      <c r="D2237" s="38" t="n"/>
      <c r="E2237" s="37" t="n"/>
      <c r="F2237" s="38" t="n"/>
      <c r="G2237" s="38" t="n"/>
      <c r="H2237" s="38" t="n"/>
      <c r="I2237" s="38" t="n"/>
      <c r="J2237" s="38" t="n"/>
      <c r="K2237" s="37" t="n"/>
      <c r="L2237" s="39" t="n"/>
      <c r="M2237" s="40" t="n"/>
      <c r="N2237" s="30">
        <f>IF(A2237="","",MONTH(A2237))</f>
        <v/>
      </c>
      <c r="O2237" s="30">
        <f>IF(A2237="","",YEAR(A2237))</f>
        <v/>
      </c>
      <c r="P2237" s="30">
        <f>IF(A2237="","",CHOOSE(WEEKDAY(A2237,2),"Segunda","Terça","Quarta","Quinta","Sexta","Sábado","Domingo"))</f>
        <v/>
      </c>
      <c r="Q2237" s="30">
        <f>IF(B2237="","",IF(B2237&lt;TIME(12,0,0),"Manhã",IF(B2237&lt;TIME(18,0,0),"Tarde","Noite")))</f>
        <v/>
      </c>
      <c r="R2237" s="46">
        <f>IF(AND(H2237="Realizado",L2237&lt;&gt;"",A2237&lt;=Config!$B$9),L2237/60,0)</f>
        <v>0</v>
      </c>
      <c r="S2237" s="45">
        <f>IF(G2237="","",IFERROR(INDEX(Config!$K$5:$K$16,MATCH(G2237,Config!$J$5:$J$16,0)),""))</f>
        <v/>
      </c>
      <c r="T2237" s="31">
        <f>IF(OR(G2237="",F2237=""),"",IFERROR(INDEX(Config!$M$5:$R$16,MATCH(G2237,Config!$J$5:$J$16,0),MATCH(F2237,Config!$H$5:$H$10,0)),""))</f>
        <v/>
      </c>
      <c r="U2237" s="47">
        <f>IF(AND(H2237="Realizado",L2237&lt;&gt;""),L2237/60,0)</f>
        <v>0</v>
      </c>
      <c r="V2237" s="47">
        <f>IF(AND(H2237="Realizado",OR(L2237="",M2237="")),1,0)</f>
        <v>0</v>
      </c>
    </row>
    <row r="2238">
      <c r="A2238" s="43" t="n"/>
      <c r="B2238" s="44" t="n"/>
      <c r="C2238" s="38" t="n"/>
      <c r="D2238" s="38" t="n"/>
      <c r="E2238" s="37" t="n"/>
      <c r="F2238" s="38" t="n"/>
      <c r="G2238" s="38" t="n"/>
      <c r="H2238" s="38" t="n"/>
      <c r="I2238" s="38" t="n"/>
      <c r="J2238" s="38" t="n"/>
      <c r="K2238" s="37" t="n"/>
      <c r="L2238" s="39" t="n"/>
      <c r="M2238" s="40" t="n"/>
      <c r="N2238" s="30">
        <f>IF(A2238="","",MONTH(A2238))</f>
        <v/>
      </c>
      <c r="O2238" s="30">
        <f>IF(A2238="","",YEAR(A2238))</f>
        <v/>
      </c>
      <c r="P2238" s="30">
        <f>IF(A2238="","",CHOOSE(WEEKDAY(A2238,2),"Segunda","Terça","Quarta","Quinta","Sexta","Sábado","Domingo"))</f>
        <v/>
      </c>
      <c r="Q2238" s="30">
        <f>IF(B2238="","",IF(B2238&lt;TIME(12,0,0),"Manhã",IF(B2238&lt;TIME(18,0,0),"Tarde","Noite")))</f>
        <v/>
      </c>
      <c r="R2238" s="46">
        <f>IF(AND(H2238="Realizado",L2238&lt;&gt;"",A2238&lt;=Config!$B$9),L2238/60,0)</f>
        <v>0</v>
      </c>
      <c r="S2238" s="45">
        <f>IF(G2238="","",IFERROR(INDEX(Config!$K$5:$K$16,MATCH(G2238,Config!$J$5:$J$16,0)),""))</f>
        <v/>
      </c>
      <c r="T2238" s="31">
        <f>IF(OR(G2238="",F2238=""),"",IFERROR(INDEX(Config!$M$5:$R$16,MATCH(G2238,Config!$J$5:$J$16,0),MATCH(F2238,Config!$H$5:$H$10,0)),""))</f>
        <v/>
      </c>
      <c r="U2238" s="47">
        <f>IF(AND(H2238="Realizado",L2238&lt;&gt;""),L2238/60,0)</f>
        <v>0</v>
      </c>
      <c r="V2238" s="47">
        <f>IF(AND(H2238="Realizado",OR(L2238="",M2238="")),1,0)</f>
        <v>0</v>
      </c>
    </row>
    <row r="2239">
      <c r="A2239" s="43" t="n"/>
      <c r="B2239" s="44" t="n"/>
      <c r="C2239" s="38" t="n"/>
      <c r="D2239" s="38" t="n"/>
      <c r="E2239" s="37" t="n"/>
      <c r="F2239" s="38" t="n"/>
      <c r="G2239" s="38" t="n"/>
      <c r="H2239" s="38" t="n"/>
      <c r="I2239" s="38" t="n"/>
      <c r="J2239" s="38" t="n"/>
      <c r="K2239" s="37" t="n"/>
      <c r="L2239" s="39" t="n"/>
      <c r="M2239" s="40" t="n"/>
      <c r="N2239" s="30">
        <f>IF(A2239="","",MONTH(A2239))</f>
        <v/>
      </c>
      <c r="O2239" s="30">
        <f>IF(A2239="","",YEAR(A2239))</f>
        <v/>
      </c>
      <c r="P2239" s="30">
        <f>IF(A2239="","",CHOOSE(WEEKDAY(A2239,2),"Segunda","Terça","Quarta","Quinta","Sexta","Sábado","Domingo"))</f>
        <v/>
      </c>
      <c r="Q2239" s="30">
        <f>IF(B2239="","",IF(B2239&lt;TIME(12,0,0),"Manhã",IF(B2239&lt;TIME(18,0,0),"Tarde","Noite")))</f>
        <v/>
      </c>
      <c r="R2239" s="46">
        <f>IF(AND(H2239="Realizado",L2239&lt;&gt;"",A2239&lt;=Config!$B$9),L2239/60,0)</f>
        <v>0</v>
      </c>
      <c r="S2239" s="45">
        <f>IF(G2239="","",IFERROR(INDEX(Config!$K$5:$K$16,MATCH(G2239,Config!$J$5:$J$16,0)),""))</f>
        <v/>
      </c>
      <c r="T2239" s="31">
        <f>IF(OR(G2239="",F2239=""),"",IFERROR(INDEX(Config!$M$5:$R$16,MATCH(G2239,Config!$J$5:$J$16,0),MATCH(F2239,Config!$H$5:$H$10,0)),""))</f>
        <v/>
      </c>
      <c r="U2239" s="47">
        <f>IF(AND(H2239="Realizado",L2239&lt;&gt;""),L2239/60,0)</f>
        <v>0</v>
      </c>
      <c r="V2239" s="47">
        <f>IF(AND(H2239="Realizado",OR(L2239="",M2239="")),1,0)</f>
        <v>0</v>
      </c>
    </row>
    <row r="2240">
      <c r="A2240" s="43" t="n"/>
      <c r="B2240" s="44" t="n"/>
      <c r="C2240" s="38" t="n"/>
      <c r="D2240" s="38" t="n"/>
      <c r="E2240" s="37" t="n"/>
      <c r="F2240" s="38" t="n"/>
      <c r="G2240" s="38" t="n"/>
      <c r="H2240" s="38" t="n"/>
      <c r="I2240" s="38" t="n"/>
      <c r="J2240" s="38" t="n"/>
      <c r="K2240" s="37" t="n"/>
      <c r="L2240" s="39" t="n"/>
      <c r="M2240" s="40" t="n"/>
      <c r="N2240" s="30">
        <f>IF(A2240="","",MONTH(A2240))</f>
        <v/>
      </c>
      <c r="O2240" s="30">
        <f>IF(A2240="","",YEAR(A2240))</f>
        <v/>
      </c>
      <c r="P2240" s="30">
        <f>IF(A2240="","",CHOOSE(WEEKDAY(A2240,2),"Segunda","Terça","Quarta","Quinta","Sexta","Sábado","Domingo"))</f>
        <v/>
      </c>
      <c r="Q2240" s="30">
        <f>IF(B2240="","",IF(B2240&lt;TIME(12,0,0),"Manhã",IF(B2240&lt;TIME(18,0,0),"Tarde","Noite")))</f>
        <v/>
      </c>
      <c r="R2240" s="46">
        <f>IF(AND(H2240="Realizado",L2240&lt;&gt;"",A2240&lt;=Config!$B$9),L2240/60,0)</f>
        <v>0</v>
      </c>
      <c r="S2240" s="45">
        <f>IF(G2240="","",IFERROR(INDEX(Config!$K$5:$K$16,MATCH(G2240,Config!$J$5:$J$16,0)),""))</f>
        <v/>
      </c>
      <c r="T2240" s="31">
        <f>IF(OR(G2240="",F2240=""),"",IFERROR(INDEX(Config!$M$5:$R$16,MATCH(G2240,Config!$J$5:$J$16,0),MATCH(F2240,Config!$H$5:$H$10,0)),""))</f>
        <v/>
      </c>
      <c r="U2240" s="47">
        <f>IF(AND(H2240="Realizado",L2240&lt;&gt;""),L2240/60,0)</f>
        <v>0</v>
      </c>
      <c r="V2240" s="47">
        <f>IF(AND(H2240="Realizado",OR(L2240="",M2240="")),1,0)</f>
        <v>0</v>
      </c>
    </row>
    <row r="2241">
      <c r="A2241" s="43" t="n"/>
      <c r="B2241" s="44" t="n"/>
      <c r="C2241" s="38" t="n"/>
      <c r="D2241" s="38" t="n"/>
      <c r="E2241" s="37" t="n"/>
      <c r="F2241" s="38" t="n"/>
      <c r="G2241" s="38" t="n"/>
      <c r="H2241" s="38" t="n"/>
      <c r="I2241" s="38" t="n"/>
      <c r="J2241" s="38" t="n"/>
      <c r="K2241" s="37" t="n"/>
      <c r="L2241" s="39" t="n"/>
      <c r="M2241" s="40" t="n"/>
      <c r="N2241" s="30">
        <f>IF(A2241="","",MONTH(A2241))</f>
        <v/>
      </c>
      <c r="O2241" s="30">
        <f>IF(A2241="","",YEAR(A2241))</f>
        <v/>
      </c>
      <c r="P2241" s="30">
        <f>IF(A2241="","",CHOOSE(WEEKDAY(A2241,2),"Segunda","Terça","Quarta","Quinta","Sexta","Sábado","Domingo"))</f>
        <v/>
      </c>
      <c r="Q2241" s="30">
        <f>IF(B2241="","",IF(B2241&lt;TIME(12,0,0),"Manhã",IF(B2241&lt;TIME(18,0,0),"Tarde","Noite")))</f>
        <v/>
      </c>
      <c r="R2241" s="46">
        <f>IF(AND(H2241="Realizado",L2241&lt;&gt;"",A2241&lt;=Config!$B$9),L2241/60,0)</f>
        <v>0</v>
      </c>
      <c r="S2241" s="45">
        <f>IF(G2241="","",IFERROR(INDEX(Config!$K$5:$K$16,MATCH(G2241,Config!$J$5:$J$16,0)),""))</f>
        <v/>
      </c>
      <c r="T2241" s="31">
        <f>IF(OR(G2241="",F2241=""),"",IFERROR(INDEX(Config!$M$5:$R$16,MATCH(G2241,Config!$J$5:$J$16,0),MATCH(F2241,Config!$H$5:$H$10,0)),""))</f>
        <v/>
      </c>
      <c r="U2241" s="47">
        <f>IF(AND(H2241="Realizado",L2241&lt;&gt;""),L2241/60,0)</f>
        <v>0</v>
      </c>
      <c r="V2241" s="47">
        <f>IF(AND(H2241="Realizado",OR(L2241="",M2241="")),1,0)</f>
        <v>0</v>
      </c>
    </row>
    <row r="2242">
      <c r="A2242" s="43" t="n"/>
      <c r="B2242" s="44" t="n"/>
      <c r="C2242" s="38" t="n"/>
      <c r="D2242" s="38" t="n"/>
      <c r="E2242" s="37" t="n"/>
      <c r="F2242" s="38" t="n"/>
      <c r="G2242" s="38" t="n"/>
      <c r="H2242" s="38" t="n"/>
      <c r="I2242" s="38" t="n"/>
      <c r="J2242" s="38" t="n"/>
      <c r="K2242" s="37" t="n"/>
      <c r="L2242" s="39" t="n"/>
      <c r="M2242" s="40" t="n"/>
      <c r="N2242" s="30">
        <f>IF(A2242="","",MONTH(A2242))</f>
        <v/>
      </c>
      <c r="O2242" s="30">
        <f>IF(A2242="","",YEAR(A2242))</f>
        <v/>
      </c>
      <c r="P2242" s="30">
        <f>IF(A2242="","",CHOOSE(WEEKDAY(A2242,2),"Segunda","Terça","Quarta","Quinta","Sexta","Sábado","Domingo"))</f>
        <v/>
      </c>
      <c r="Q2242" s="30">
        <f>IF(B2242="","",IF(B2242&lt;TIME(12,0,0),"Manhã",IF(B2242&lt;TIME(18,0,0),"Tarde","Noite")))</f>
        <v/>
      </c>
      <c r="R2242" s="46">
        <f>IF(AND(H2242="Realizado",L2242&lt;&gt;"",A2242&lt;=Config!$B$9),L2242/60,0)</f>
        <v>0</v>
      </c>
      <c r="S2242" s="45">
        <f>IF(G2242="","",IFERROR(INDEX(Config!$K$5:$K$16,MATCH(G2242,Config!$J$5:$J$16,0)),""))</f>
        <v/>
      </c>
      <c r="T2242" s="31">
        <f>IF(OR(G2242="",F2242=""),"",IFERROR(INDEX(Config!$M$5:$R$16,MATCH(G2242,Config!$J$5:$J$16,0),MATCH(F2242,Config!$H$5:$H$10,0)),""))</f>
        <v/>
      </c>
      <c r="U2242" s="47">
        <f>IF(AND(H2242="Realizado",L2242&lt;&gt;""),L2242/60,0)</f>
        <v>0</v>
      </c>
      <c r="V2242" s="47">
        <f>IF(AND(H2242="Realizado",OR(L2242="",M2242="")),1,0)</f>
        <v>0</v>
      </c>
    </row>
    <row r="2243">
      <c r="A2243" s="43" t="n"/>
      <c r="B2243" s="44" t="n"/>
      <c r="C2243" s="38" t="n"/>
      <c r="D2243" s="38" t="n"/>
      <c r="E2243" s="37" t="n"/>
      <c r="F2243" s="38" t="n"/>
      <c r="G2243" s="38" t="n"/>
      <c r="H2243" s="38" t="n"/>
      <c r="I2243" s="38" t="n"/>
      <c r="J2243" s="38" t="n"/>
      <c r="K2243" s="37" t="n"/>
      <c r="L2243" s="39" t="n"/>
      <c r="M2243" s="40" t="n"/>
      <c r="N2243" s="30">
        <f>IF(A2243="","",MONTH(A2243))</f>
        <v/>
      </c>
      <c r="O2243" s="30">
        <f>IF(A2243="","",YEAR(A2243))</f>
        <v/>
      </c>
      <c r="P2243" s="30">
        <f>IF(A2243="","",CHOOSE(WEEKDAY(A2243,2),"Segunda","Terça","Quarta","Quinta","Sexta","Sábado","Domingo"))</f>
        <v/>
      </c>
      <c r="Q2243" s="30">
        <f>IF(B2243="","",IF(B2243&lt;TIME(12,0,0),"Manhã",IF(B2243&lt;TIME(18,0,0),"Tarde","Noite")))</f>
        <v/>
      </c>
      <c r="R2243" s="46">
        <f>IF(AND(H2243="Realizado",L2243&lt;&gt;"",A2243&lt;=Config!$B$9),L2243/60,0)</f>
        <v>0</v>
      </c>
      <c r="S2243" s="45">
        <f>IF(G2243="","",IFERROR(INDEX(Config!$K$5:$K$16,MATCH(G2243,Config!$J$5:$J$16,0)),""))</f>
        <v/>
      </c>
      <c r="T2243" s="31">
        <f>IF(OR(G2243="",F2243=""),"",IFERROR(INDEX(Config!$M$5:$R$16,MATCH(G2243,Config!$J$5:$J$16,0),MATCH(F2243,Config!$H$5:$H$10,0)),""))</f>
        <v/>
      </c>
      <c r="U2243" s="47">
        <f>IF(AND(H2243="Realizado",L2243&lt;&gt;""),L2243/60,0)</f>
        <v>0</v>
      </c>
      <c r="V2243" s="47">
        <f>IF(AND(H2243="Realizado",OR(L2243="",M2243="")),1,0)</f>
        <v>0</v>
      </c>
    </row>
    <row r="2244">
      <c r="A2244" s="43" t="n"/>
      <c r="B2244" s="44" t="n"/>
      <c r="C2244" s="38" t="n"/>
      <c r="D2244" s="38" t="n"/>
      <c r="E2244" s="37" t="n"/>
      <c r="F2244" s="38" t="n"/>
      <c r="G2244" s="38" t="n"/>
      <c r="H2244" s="38" t="n"/>
      <c r="I2244" s="38" t="n"/>
      <c r="J2244" s="38" t="n"/>
      <c r="K2244" s="37" t="n"/>
      <c r="L2244" s="39" t="n"/>
      <c r="M2244" s="40" t="n"/>
      <c r="N2244" s="30">
        <f>IF(A2244="","",MONTH(A2244))</f>
        <v/>
      </c>
      <c r="O2244" s="30">
        <f>IF(A2244="","",YEAR(A2244))</f>
        <v/>
      </c>
      <c r="P2244" s="30">
        <f>IF(A2244="","",CHOOSE(WEEKDAY(A2244,2),"Segunda","Terça","Quarta","Quinta","Sexta","Sábado","Domingo"))</f>
        <v/>
      </c>
      <c r="Q2244" s="30">
        <f>IF(B2244="","",IF(B2244&lt;TIME(12,0,0),"Manhã",IF(B2244&lt;TIME(18,0,0),"Tarde","Noite")))</f>
        <v/>
      </c>
      <c r="R2244" s="46">
        <f>IF(AND(H2244="Realizado",L2244&lt;&gt;"",A2244&lt;=Config!$B$9),L2244/60,0)</f>
        <v>0</v>
      </c>
      <c r="S2244" s="45">
        <f>IF(G2244="","",IFERROR(INDEX(Config!$K$5:$K$16,MATCH(G2244,Config!$J$5:$J$16,0)),""))</f>
        <v/>
      </c>
      <c r="T2244" s="31">
        <f>IF(OR(G2244="",F2244=""),"",IFERROR(INDEX(Config!$M$5:$R$16,MATCH(G2244,Config!$J$5:$J$16,0),MATCH(F2244,Config!$H$5:$H$10,0)),""))</f>
        <v/>
      </c>
      <c r="U2244" s="47">
        <f>IF(AND(H2244="Realizado",L2244&lt;&gt;""),L2244/60,0)</f>
        <v>0</v>
      </c>
      <c r="V2244" s="47">
        <f>IF(AND(H2244="Realizado",OR(L2244="",M2244="")),1,0)</f>
        <v>0</v>
      </c>
    </row>
    <row r="2245">
      <c r="A2245" s="43" t="n"/>
      <c r="B2245" s="44" t="n"/>
      <c r="C2245" s="38" t="n"/>
      <c r="D2245" s="38" t="n"/>
      <c r="E2245" s="37" t="n"/>
      <c r="F2245" s="38" t="n"/>
      <c r="G2245" s="38" t="n"/>
      <c r="H2245" s="38" t="n"/>
      <c r="I2245" s="38" t="n"/>
      <c r="J2245" s="38" t="n"/>
      <c r="K2245" s="37" t="n"/>
      <c r="L2245" s="39" t="n"/>
      <c r="M2245" s="40" t="n"/>
      <c r="N2245" s="30">
        <f>IF(A2245="","",MONTH(A2245))</f>
        <v/>
      </c>
      <c r="O2245" s="30">
        <f>IF(A2245="","",YEAR(A2245))</f>
        <v/>
      </c>
      <c r="P2245" s="30">
        <f>IF(A2245="","",CHOOSE(WEEKDAY(A2245,2),"Segunda","Terça","Quarta","Quinta","Sexta","Sábado","Domingo"))</f>
        <v/>
      </c>
      <c r="Q2245" s="30">
        <f>IF(B2245="","",IF(B2245&lt;TIME(12,0,0),"Manhã",IF(B2245&lt;TIME(18,0,0),"Tarde","Noite")))</f>
        <v/>
      </c>
      <c r="R2245" s="46">
        <f>IF(AND(H2245="Realizado",L2245&lt;&gt;"",A2245&lt;=Config!$B$9),L2245/60,0)</f>
        <v>0</v>
      </c>
      <c r="S2245" s="45">
        <f>IF(G2245="","",IFERROR(INDEX(Config!$K$5:$K$16,MATCH(G2245,Config!$J$5:$J$16,0)),""))</f>
        <v/>
      </c>
      <c r="T2245" s="31">
        <f>IF(OR(G2245="",F2245=""),"",IFERROR(INDEX(Config!$M$5:$R$16,MATCH(G2245,Config!$J$5:$J$16,0),MATCH(F2245,Config!$H$5:$H$10,0)),""))</f>
        <v/>
      </c>
      <c r="U2245" s="47">
        <f>IF(AND(H2245="Realizado",L2245&lt;&gt;""),L2245/60,0)</f>
        <v>0</v>
      </c>
      <c r="V2245" s="47">
        <f>IF(AND(H2245="Realizado",OR(L2245="",M2245="")),1,0)</f>
        <v>0</v>
      </c>
    </row>
    <row r="2246">
      <c r="A2246" s="43" t="n"/>
      <c r="B2246" s="44" t="n"/>
      <c r="C2246" s="38" t="n"/>
      <c r="D2246" s="38" t="n"/>
      <c r="E2246" s="37" t="n"/>
      <c r="F2246" s="38" t="n"/>
      <c r="G2246" s="38" t="n"/>
      <c r="H2246" s="38" t="n"/>
      <c r="I2246" s="38" t="n"/>
      <c r="J2246" s="38" t="n"/>
      <c r="K2246" s="37" t="n"/>
      <c r="L2246" s="39" t="n"/>
      <c r="M2246" s="40" t="n"/>
      <c r="N2246" s="30">
        <f>IF(A2246="","",MONTH(A2246))</f>
        <v/>
      </c>
      <c r="O2246" s="30">
        <f>IF(A2246="","",YEAR(A2246))</f>
        <v/>
      </c>
      <c r="P2246" s="30">
        <f>IF(A2246="","",CHOOSE(WEEKDAY(A2246,2),"Segunda","Terça","Quarta","Quinta","Sexta","Sábado","Domingo"))</f>
        <v/>
      </c>
      <c r="Q2246" s="30">
        <f>IF(B2246="","",IF(B2246&lt;TIME(12,0,0),"Manhã",IF(B2246&lt;TIME(18,0,0),"Tarde","Noite")))</f>
        <v/>
      </c>
      <c r="R2246" s="46">
        <f>IF(AND(H2246="Realizado",L2246&lt;&gt;"",A2246&lt;=Config!$B$9),L2246/60,0)</f>
        <v>0</v>
      </c>
      <c r="S2246" s="45">
        <f>IF(G2246="","",IFERROR(INDEX(Config!$K$5:$K$16,MATCH(G2246,Config!$J$5:$J$16,0)),""))</f>
        <v/>
      </c>
      <c r="T2246" s="31">
        <f>IF(OR(G2246="",F2246=""),"",IFERROR(INDEX(Config!$M$5:$R$16,MATCH(G2246,Config!$J$5:$J$16,0),MATCH(F2246,Config!$H$5:$H$10,0)),""))</f>
        <v/>
      </c>
      <c r="U2246" s="47">
        <f>IF(AND(H2246="Realizado",L2246&lt;&gt;""),L2246/60,0)</f>
        <v>0</v>
      </c>
      <c r="V2246" s="47">
        <f>IF(AND(H2246="Realizado",OR(L2246="",M2246="")),1,0)</f>
        <v>0</v>
      </c>
    </row>
    <row r="2247">
      <c r="A2247" s="43" t="n"/>
      <c r="B2247" s="44" t="n"/>
      <c r="C2247" s="38" t="n"/>
      <c r="D2247" s="38" t="n"/>
      <c r="E2247" s="37" t="n"/>
      <c r="F2247" s="38" t="n"/>
      <c r="G2247" s="38" t="n"/>
      <c r="H2247" s="38" t="n"/>
      <c r="I2247" s="38" t="n"/>
      <c r="J2247" s="38" t="n"/>
      <c r="K2247" s="37" t="n"/>
      <c r="L2247" s="39" t="n"/>
      <c r="M2247" s="40" t="n"/>
      <c r="N2247" s="30">
        <f>IF(A2247="","",MONTH(A2247))</f>
        <v/>
      </c>
      <c r="O2247" s="30">
        <f>IF(A2247="","",YEAR(A2247))</f>
        <v/>
      </c>
      <c r="P2247" s="30">
        <f>IF(A2247="","",CHOOSE(WEEKDAY(A2247,2),"Segunda","Terça","Quarta","Quinta","Sexta","Sábado","Domingo"))</f>
        <v/>
      </c>
      <c r="Q2247" s="30">
        <f>IF(B2247="","",IF(B2247&lt;TIME(12,0,0),"Manhã",IF(B2247&lt;TIME(18,0,0),"Tarde","Noite")))</f>
        <v/>
      </c>
      <c r="R2247" s="46">
        <f>IF(AND(H2247="Realizado",L2247&lt;&gt;"",A2247&lt;=Config!$B$9),L2247/60,0)</f>
        <v>0</v>
      </c>
      <c r="S2247" s="45">
        <f>IF(G2247="","",IFERROR(INDEX(Config!$K$5:$K$16,MATCH(G2247,Config!$J$5:$J$16,0)),""))</f>
        <v/>
      </c>
      <c r="T2247" s="31">
        <f>IF(OR(G2247="",F2247=""),"",IFERROR(INDEX(Config!$M$5:$R$16,MATCH(G2247,Config!$J$5:$J$16,0),MATCH(F2247,Config!$H$5:$H$10,0)),""))</f>
        <v/>
      </c>
      <c r="U2247" s="47">
        <f>IF(AND(H2247="Realizado",L2247&lt;&gt;""),L2247/60,0)</f>
        <v>0</v>
      </c>
      <c r="V2247" s="47">
        <f>IF(AND(H2247="Realizado",OR(L2247="",M2247="")),1,0)</f>
        <v>0</v>
      </c>
    </row>
    <row r="2248">
      <c r="A2248" s="43" t="n"/>
      <c r="B2248" s="44" t="n"/>
      <c r="C2248" s="38" t="n"/>
      <c r="D2248" s="38" t="n"/>
      <c r="E2248" s="37" t="n"/>
      <c r="F2248" s="38" t="n"/>
      <c r="G2248" s="38" t="n"/>
      <c r="H2248" s="38" t="n"/>
      <c r="I2248" s="38" t="n"/>
      <c r="J2248" s="38" t="n"/>
      <c r="K2248" s="37" t="n"/>
      <c r="L2248" s="39" t="n"/>
      <c r="M2248" s="40" t="n"/>
      <c r="N2248" s="30">
        <f>IF(A2248="","",MONTH(A2248))</f>
        <v/>
      </c>
      <c r="O2248" s="30">
        <f>IF(A2248="","",YEAR(A2248))</f>
        <v/>
      </c>
      <c r="P2248" s="30">
        <f>IF(A2248="","",CHOOSE(WEEKDAY(A2248,2),"Segunda","Terça","Quarta","Quinta","Sexta","Sábado","Domingo"))</f>
        <v/>
      </c>
      <c r="Q2248" s="30">
        <f>IF(B2248="","",IF(B2248&lt;TIME(12,0,0),"Manhã",IF(B2248&lt;TIME(18,0,0),"Tarde","Noite")))</f>
        <v/>
      </c>
      <c r="R2248" s="46">
        <f>IF(AND(H2248="Realizado",L2248&lt;&gt;"",A2248&lt;=Config!$B$9),L2248/60,0)</f>
        <v>0</v>
      </c>
      <c r="S2248" s="45">
        <f>IF(G2248="","",IFERROR(INDEX(Config!$K$5:$K$16,MATCH(G2248,Config!$J$5:$J$16,0)),""))</f>
        <v/>
      </c>
      <c r="T2248" s="31">
        <f>IF(OR(G2248="",F2248=""),"",IFERROR(INDEX(Config!$M$5:$R$16,MATCH(G2248,Config!$J$5:$J$16,0),MATCH(F2248,Config!$H$5:$H$10,0)),""))</f>
        <v/>
      </c>
      <c r="U2248" s="47">
        <f>IF(AND(H2248="Realizado",L2248&lt;&gt;""),L2248/60,0)</f>
        <v>0</v>
      </c>
      <c r="V2248" s="47">
        <f>IF(AND(H2248="Realizado",OR(L2248="",M2248="")),1,0)</f>
        <v>0</v>
      </c>
    </row>
    <row r="2249">
      <c r="A2249" s="43" t="n"/>
      <c r="B2249" s="44" t="n"/>
      <c r="C2249" s="38" t="n"/>
      <c r="D2249" s="38" t="n"/>
      <c r="E2249" s="37" t="n"/>
      <c r="F2249" s="38" t="n"/>
      <c r="G2249" s="38" t="n"/>
      <c r="H2249" s="38" t="n"/>
      <c r="I2249" s="38" t="n"/>
      <c r="J2249" s="38" t="n"/>
      <c r="K2249" s="37" t="n"/>
      <c r="L2249" s="39" t="n"/>
      <c r="M2249" s="40" t="n"/>
      <c r="N2249" s="30">
        <f>IF(A2249="","",MONTH(A2249))</f>
        <v/>
      </c>
      <c r="O2249" s="30">
        <f>IF(A2249="","",YEAR(A2249))</f>
        <v/>
      </c>
      <c r="P2249" s="30">
        <f>IF(A2249="","",CHOOSE(WEEKDAY(A2249,2),"Segunda","Terça","Quarta","Quinta","Sexta","Sábado","Domingo"))</f>
        <v/>
      </c>
      <c r="Q2249" s="30">
        <f>IF(B2249="","",IF(B2249&lt;TIME(12,0,0),"Manhã",IF(B2249&lt;TIME(18,0,0),"Tarde","Noite")))</f>
        <v/>
      </c>
      <c r="R2249" s="46">
        <f>IF(AND(H2249="Realizado",L2249&lt;&gt;"",A2249&lt;=Config!$B$9),L2249/60,0)</f>
        <v>0</v>
      </c>
      <c r="S2249" s="45">
        <f>IF(G2249="","",IFERROR(INDEX(Config!$K$5:$K$16,MATCH(G2249,Config!$J$5:$J$16,0)),""))</f>
        <v/>
      </c>
      <c r="T2249" s="31">
        <f>IF(OR(G2249="",F2249=""),"",IFERROR(INDEX(Config!$M$5:$R$16,MATCH(G2249,Config!$J$5:$J$16,0),MATCH(F2249,Config!$H$5:$H$10,0)),""))</f>
        <v/>
      </c>
      <c r="U2249" s="47">
        <f>IF(AND(H2249="Realizado",L2249&lt;&gt;""),L2249/60,0)</f>
        <v>0</v>
      </c>
      <c r="V2249" s="47">
        <f>IF(AND(H2249="Realizado",OR(L2249="",M2249="")),1,0)</f>
        <v>0</v>
      </c>
    </row>
    <row r="2250">
      <c r="A2250" s="43" t="n"/>
      <c r="B2250" s="44" t="n"/>
      <c r="C2250" s="38" t="n"/>
      <c r="D2250" s="38" t="n"/>
      <c r="E2250" s="37" t="n"/>
      <c r="F2250" s="38" t="n"/>
      <c r="G2250" s="38" t="n"/>
      <c r="H2250" s="38" t="n"/>
      <c r="I2250" s="38" t="n"/>
      <c r="J2250" s="38" t="n"/>
      <c r="K2250" s="37" t="n"/>
      <c r="L2250" s="39" t="n"/>
      <c r="M2250" s="40" t="n"/>
      <c r="N2250" s="30">
        <f>IF(A2250="","",MONTH(A2250))</f>
        <v/>
      </c>
      <c r="O2250" s="30">
        <f>IF(A2250="","",YEAR(A2250))</f>
        <v/>
      </c>
      <c r="P2250" s="30">
        <f>IF(A2250="","",CHOOSE(WEEKDAY(A2250,2),"Segunda","Terça","Quarta","Quinta","Sexta","Sábado","Domingo"))</f>
        <v/>
      </c>
      <c r="Q2250" s="30">
        <f>IF(B2250="","",IF(B2250&lt;TIME(12,0,0),"Manhã",IF(B2250&lt;TIME(18,0,0),"Tarde","Noite")))</f>
        <v/>
      </c>
      <c r="R2250" s="46">
        <f>IF(AND(H2250="Realizado",L2250&lt;&gt;"",A2250&lt;=Config!$B$9),L2250/60,0)</f>
        <v>0</v>
      </c>
      <c r="S2250" s="45">
        <f>IF(G2250="","",IFERROR(INDEX(Config!$K$5:$K$16,MATCH(G2250,Config!$J$5:$J$16,0)),""))</f>
        <v/>
      </c>
      <c r="T2250" s="31">
        <f>IF(OR(G2250="",F2250=""),"",IFERROR(INDEX(Config!$M$5:$R$16,MATCH(G2250,Config!$J$5:$J$16,0),MATCH(F2250,Config!$H$5:$H$10,0)),""))</f>
        <v/>
      </c>
      <c r="U2250" s="47">
        <f>IF(AND(H2250="Realizado",L2250&lt;&gt;""),L2250/60,0)</f>
        <v>0</v>
      </c>
      <c r="V2250" s="47">
        <f>IF(AND(H2250="Realizado",OR(L2250="",M2250="")),1,0)</f>
        <v>0</v>
      </c>
    </row>
    <row r="2251">
      <c r="A2251" s="43" t="n"/>
      <c r="B2251" s="44" t="n"/>
      <c r="C2251" s="38" t="n"/>
      <c r="D2251" s="38" t="n"/>
      <c r="E2251" s="37" t="n"/>
      <c r="F2251" s="38" t="n"/>
      <c r="G2251" s="38" t="n"/>
      <c r="H2251" s="38" t="n"/>
      <c r="I2251" s="38" t="n"/>
      <c r="J2251" s="38" t="n"/>
      <c r="K2251" s="37" t="n"/>
      <c r="L2251" s="39" t="n"/>
      <c r="M2251" s="40" t="n"/>
      <c r="N2251" s="30">
        <f>IF(A2251="","",MONTH(A2251))</f>
        <v/>
      </c>
      <c r="O2251" s="30">
        <f>IF(A2251="","",YEAR(A2251))</f>
        <v/>
      </c>
      <c r="P2251" s="30">
        <f>IF(A2251="","",CHOOSE(WEEKDAY(A2251,2),"Segunda","Terça","Quarta","Quinta","Sexta","Sábado","Domingo"))</f>
        <v/>
      </c>
      <c r="Q2251" s="30">
        <f>IF(B2251="","",IF(B2251&lt;TIME(12,0,0),"Manhã",IF(B2251&lt;TIME(18,0,0),"Tarde","Noite")))</f>
        <v/>
      </c>
      <c r="R2251" s="46">
        <f>IF(AND(H2251="Realizado",L2251&lt;&gt;"",A2251&lt;=Config!$B$9),L2251/60,0)</f>
        <v>0</v>
      </c>
      <c r="S2251" s="45">
        <f>IF(G2251="","",IFERROR(INDEX(Config!$K$5:$K$16,MATCH(G2251,Config!$J$5:$J$16,0)),""))</f>
        <v/>
      </c>
      <c r="T2251" s="31">
        <f>IF(OR(G2251="",F2251=""),"",IFERROR(INDEX(Config!$M$5:$R$16,MATCH(G2251,Config!$J$5:$J$16,0),MATCH(F2251,Config!$H$5:$H$10,0)),""))</f>
        <v/>
      </c>
      <c r="U2251" s="47">
        <f>IF(AND(H2251="Realizado",L2251&lt;&gt;""),L2251/60,0)</f>
        <v>0</v>
      </c>
      <c r="V2251" s="47">
        <f>IF(AND(H2251="Realizado",OR(L2251="",M2251="")),1,0)</f>
        <v>0</v>
      </c>
    </row>
    <row r="2252">
      <c r="A2252" s="43" t="n"/>
      <c r="B2252" s="44" t="n"/>
      <c r="C2252" s="38" t="n"/>
      <c r="D2252" s="38" t="n"/>
      <c r="E2252" s="37" t="n"/>
      <c r="F2252" s="38" t="n"/>
      <c r="G2252" s="38" t="n"/>
      <c r="H2252" s="38" t="n"/>
      <c r="I2252" s="38" t="n"/>
      <c r="J2252" s="38" t="n"/>
      <c r="K2252" s="37" t="n"/>
      <c r="L2252" s="39" t="n"/>
      <c r="M2252" s="40" t="n"/>
      <c r="N2252" s="30">
        <f>IF(A2252="","",MONTH(A2252))</f>
        <v/>
      </c>
      <c r="O2252" s="30">
        <f>IF(A2252="","",YEAR(A2252))</f>
        <v/>
      </c>
      <c r="P2252" s="30">
        <f>IF(A2252="","",CHOOSE(WEEKDAY(A2252,2),"Segunda","Terça","Quarta","Quinta","Sexta","Sábado","Domingo"))</f>
        <v/>
      </c>
      <c r="Q2252" s="30">
        <f>IF(B2252="","",IF(B2252&lt;TIME(12,0,0),"Manhã",IF(B2252&lt;TIME(18,0,0),"Tarde","Noite")))</f>
        <v/>
      </c>
      <c r="R2252" s="46">
        <f>IF(AND(H2252="Realizado",L2252&lt;&gt;"",A2252&lt;=Config!$B$9),L2252/60,0)</f>
        <v>0</v>
      </c>
      <c r="S2252" s="45">
        <f>IF(G2252="","",IFERROR(INDEX(Config!$K$5:$K$16,MATCH(G2252,Config!$J$5:$J$16,0)),""))</f>
        <v/>
      </c>
      <c r="T2252" s="31">
        <f>IF(OR(G2252="",F2252=""),"",IFERROR(INDEX(Config!$M$5:$R$16,MATCH(G2252,Config!$J$5:$J$16,0),MATCH(F2252,Config!$H$5:$H$10,0)),""))</f>
        <v/>
      </c>
      <c r="U2252" s="47">
        <f>IF(AND(H2252="Realizado",L2252&lt;&gt;""),L2252/60,0)</f>
        <v>0</v>
      </c>
      <c r="V2252" s="47">
        <f>IF(AND(H2252="Realizado",OR(L2252="",M2252="")),1,0)</f>
        <v>0</v>
      </c>
    </row>
    <row r="2253">
      <c r="A2253" s="43" t="n"/>
      <c r="B2253" s="44" t="n"/>
      <c r="C2253" s="38" t="n"/>
      <c r="D2253" s="38" t="n"/>
      <c r="E2253" s="37" t="n"/>
      <c r="F2253" s="38" t="n"/>
      <c r="G2253" s="38" t="n"/>
      <c r="H2253" s="38" t="n"/>
      <c r="I2253" s="38" t="n"/>
      <c r="J2253" s="38" t="n"/>
      <c r="K2253" s="37" t="n"/>
      <c r="L2253" s="39" t="n"/>
      <c r="M2253" s="40" t="n"/>
      <c r="N2253" s="30">
        <f>IF(A2253="","",MONTH(A2253))</f>
        <v/>
      </c>
      <c r="O2253" s="30">
        <f>IF(A2253="","",YEAR(A2253))</f>
        <v/>
      </c>
      <c r="P2253" s="30">
        <f>IF(A2253="","",CHOOSE(WEEKDAY(A2253,2),"Segunda","Terça","Quarta","Quinta","Sexta","Sábado","Domingo"))</f>
        <v/>
      </c>
      <c r="Q2253" s="30">
        <f>IF(B2253="","",IF(B2253&lt;TIME(12,0,0),"Manhã",IF(B2253&lt;TIME(18,0,0),"Tarde","Noite")))</f>
        <v/>
      </c>
      <c r="R2253" s="46">
        <f>IF(AND(H2253="Realizado",L2253&lt;&gt;"",A2253&lt;=Config!$B$9),L2253/60,0)</f>
        <v>0</v>
      </c>
      <c r="S2253" s="45">
        <f>IF(G2253="","",IFERROR(INDEX(Config!$K$5:$K$16,MATCH(G2253,Config!$J$5:$J$16,0)),""))</f>
        <v/>
      </c>
      <c r="T2253" s="31">
        <f>IF(OR(G2253="",F2253=""),"",IFERROR(INDEX(Config!$M$5:$R$16,MATCH(G2253,Config!$J$5:$J$16,0),MATCH(F2253,Config!$H$5:$H$10,0)),""))</f>
        <v/>
      </c>
      <c r="U2253" s="47">
        <f>IF(AND(H2253="Realizado",L2253&lt;&gt;""),L2253/60,0)</f>
        <v>0</v>
      </c>
      <c r="V2253" s="47">
        <f>IF(AND(H2253="Realizado",OR(L2253="",M2253="")),1,0)</f>
        <v>0</v>
      </c>
    </row>
    <row r="2254">
      <c r="A2254" s="43" t="n"/>
      <c r="B2254" s="44" t="n"/>
      <c r="C2254" s="38" t="n"/>
      <c r="D2254" s="38" t="n"/>
      <c r="E2254" s="37" t="n"/>
      <c r="F2254" s="38" t="n"/>
      <c r="G2254" s="38" t="n"/>
      <c r="H2254" s="38" t="n"/>
      <c r="I2254" s="38" t="n"/>
      <c r="J2254" s="38" t="n"/>
      <c r="K2254" s="37" t="n"/>
      <c r="L2254" s="39" t="n"/>
      <c r="M2254" s="40" t="n"/>
      <c r="N2254" s="30">
        <f>IF(A2254="","",MONTH(A2254))</f>
        <v/>
      </c>
      <c r="O2254" s="30">
        <f>IF(A2254="","",YEAR(A2254))</f>
        <v/>
      </c>
      <c r="P2254" s="30">
        <f>IF(A2254="","",CHOOSE(WEEKDAY(A2254,2),"Segunda","Terça","Quarta","Quinta","Sexta","Sábado","Domingo"))</f>
        <v/>
      </c>
      <c r="Q2254" s="30">
        <f>IF(B2254="","",IF(B2254&lt;TIME(12,0,0),"Manhã",IF(B2254&lt;TIME(18,0,0),"Tarde","Noite")))</f>
        <v/>
      </c>
      <c r="R2254" s="46">
        <f>IF(AND(H2254="Realizado",L2254&lt;&gt;"",A2254&lt;=Config!$B$9),L2254/60,0)</f>
        <v>0</v>
      </c>
      <c r="S2254" s="45">
        <f>IF(G2254="","",IFERROR(INDEX(Config!$K$5:$K$16,MATCH(G2254,Config!$J$5:$J$16,0)),""))</f>
        <v/>
      </c>
      <c r="T2254" s="31">
        <f>IF(OR(G2254="",F2254=""),"",IFERROR(INDEX(Config!$M$5:$R$16,MATCH(G2254,Config!$J$5:$J$16,0),MATCH(F2254,Config!$H$5:$H$10,0)),""))</f>
        <v/>
      </c>
      <c r="U2254" s="47">
        <f>IF(AND(H2254="Realizado",L2254&lt;&gt;""),L2254/60,0)</f>
        <v>0</v>
      </c>
      <c r="V2254" s="47">
        <f>IF(AND(H2254="Realizado",OR(L2254="",M2254="")),1,0)</f>
        <v>0</v>
      </c>
    </row>
    <row r="2255">
      <c r="A2255" s="43" t="n"/>
      <c r="B2255" s="44" t="n"/>
      <c r="C2255" s="38" t="n"/>
      <c r="D2255" s="38" t="n"/>
      <c r="E2255" s="37" t="n"/>
      <c r="F2255" s="38" t="n"/>
      <c r="G2255" s="38" t="n"/>
      <c r="H2255" s="38" t="n"/>
      <c r="I2255" s="38" t="n"/>
      <c r="J2255" s="38" t="n"/>
      <c r="K2255" s="37" t="n"/>
      <c r="L2255" s="39" t="n"/>
      <c r="M2255" s="40" t="n"/>
      <c r="N2255" s="30">
        <f>IF(A2255="","",MONTH(A2255))</f>
        <v/>
      </c>
      <c r="O2255" s="30">
        <f>IF(A2255="","",YEAR(A2255))</f>
        <v/>
      </c>
      <c r="P2255" s="30">
        <f>IF(A2255="","",CHOOSE(WEEKDAY(A2255,2),"Segunda","Terça","Quarta","Quinta","Sexta","Sábado","Domingo"))</f>
        <v/>
      </c>
      <c r="Q2255" s="30">
        <f>IF(B2255="","",IF(B2255&lt;TIME(12,0,0),"Manhã",IF(B2255&lt;TIME(18,0,0),"Tarde","Noite")))</f>
        <v/>
      </c>
      <c r="R2255" s="46">
        <f>IF(AND(H2255="Realizado",L2255&lt;&gt;"",A2255&lt;=Config!$B$9),L2255/60,0)</f>
        <v>0</v>
      </c>
      <c r="S2255" s="45">
        <f>IF(G2255="","",IFERROR(INDEX(Config!$K$5:$K$16,MATCH(G2255,Config!$J$5:$J$16,0)),""))</f>
        <v/>
      </c>
      <c r="T2255" s="31">
        <f>IF(OR(G2255="",F2255=""),"",IFERROR(INDEX(Config!$M$5:$R$16,MATCH(G2255,Config!$J$5:$J$16,0),MATCH(F2255,Config!$H$5:$H$10,0)),""))</f>
        <v/>
      </c>
      <c r="U2255" s="47">
        <f>IF(AND(H2255="Realizado",L2255&lt;&gt;""),L2255/60,0)</f>
        <v>0</v>
      </c>
      <c r="V2255" s="47">
        <f>IF(AND(H2255="Realizado",OR(L2255="",M2255="")),1,0)</f>
        <v>0</v>
      </c>
    </row>
    <row r="2256">
      <c r="A2256" s="43" t="n"/>
      <c r="B2256" s="44" t="n"/>
      <c r="C2256" s="38" t="n"/>
      <c r="D2256" s="38" t="n"/>
      <c r="E2256" s="37" t="n"/>
      <c r="F2256" s="38" t="n"/>
      <c r="G2256" s="38" t="n"/>
      <c r="H2256" s="38" t="n"/>
      <c r="I2256" s="38" t="n"/>
      <c r="J2256" s="38" t="n"/>
      <c r="K2256" s="37" t="n"/>
      <c r="L2256" s="39" t="n"/>
      <c r="M2256" s="40" t="n"/>
      <c r="N2256" s="30">
        <f>IF(A2256="","",MONTH(A2256))</f>
        <v/>
      </c>
      <c r="O2256" s="30">
        <f>IF(A2256="","",YEAR(A2256))</f>
        <v/>
      </c>
      <c r="P2256" s="30">
        <f>IF(A2256="","",CHOOSE(WEEKDAY(A2256,2),"Segunda","Terça","Quarta","Quinta","Sexta","Sábado","Domingo"))</f>
        <v/>
      </c>
      <c r="Q2256" s="30">
        <f>IF(B2256="","",IF(B2256&lt;TIME(12,0,0),"Manhã",IF(B2256&lt;TIME(18,0,0),"Tarde","Noite")))</f>
        <v/>
      </c>
      <c r="R2256" s="46">
        <f>IF(AND(H2256="Realizado",L2256&lt;&gt;"",A2256&lt;=Config!$B$9),L2256/60,0)</f>
        <v>0</v>
      </c>
      <c r="S2256" s="45">
        <f>IF(G2256="","",IFERROR(INDEX(Config!$K$5:$K$16,MATCH(G2256,Config!$J$5:$J$16,0)),""))</f>
        <v/>
      </c>
      <c r="T2256" s="31">
        <f>IF(OR(G2256="",F2256=""),"",IFERROR(INDEX(Config!$M$5:$R$16,MATCH(G2256,Config!$J$5:$J$16,0),MATCH(F2256,Config!$H$5:$H$10,0)),""))</f>
        <v/>
      </c>
      <c r="U2256" s="47">
        <f>IF(AND(H2256="Realizado",L2256&lt;&gt;""),L2256/60,0)</f>
        <v>0</v>
      </c>
      <c r="V2256" s="47">
        <f>IF(AND(H2256="Realizado",OR(L2256="",M2256="")),1,0)</f>
        <v>0</v>
      </c>
    </row>
    <row r="2257">
      <c r="A2257" s="43" t="n"/>
      <c r="B2257" s="44" t="n"/>
      <c r="C2257" s="38" t="n"/>
      <c r="D2257" s="38" t="n"/>
      <c r="E2257" s="37" t="n"/>
      <c r="F2257" s="38" t="n"/>
      <c r="G2257" s="38" t="n"/>
      <c r="H2257" s="38" t="n"/>
      <c r="I2257" s="38" t="n"/>
      <c r="J2257" s="38" t="n"/>
      <c r="K2257" s="37" t="n"/>
      <c r="L2257" s="39" t="n"/>
      <c r="M2257" s="40" t="n"/>
      <c r="N2257" s="30">
        <f>IF(A2257="","",MONTH(A2257))</f>
        <v/>
      </c>
      <c r="O2257" s="30">
        <f>IF(A2257="","",YEAR(A2257))</f>
        <v/>
      </c>
      <c r="P2257" s="30">
        <f>IF(A2257="","",CHOOSE(WEEKDAY(A2257,2),"Segunda","Terça","Quarta","Quinta","Sexta","Sábado","Domingo"))</f>
        <v/>
      </c>
      <c r="Q2257" s="30">
        <f>IF(B2257="","",IF(B2257&lt;TIME(12,0,0),"Manhã",IF(B2257&lt;TIME(18,0,0),"Tarde","Noite")))</f>
        <v/>
      </c>
      <c r="R2257" s="46">
        <f>IF(AND(H2257="Realizado",L2257&lt;&gt;"",A2257&lt;=Config!$B$9),L2257/60,0)</f>
        <v>0</v>
      </c>
      <c r="S2257" s="45">
        <f>IF(G2257="","",IFERROR(INDEX(Config!$K$5:$K$16,MATCH(G2257,Config!$J$5:$J$16,0)),""))</f>
        <v/>
      </c>
      <c r="T2257" s="31">
        <f>IF(OR(G2257="",F2257=""),"",IFERROR(INDEX(Config!$M$5:$R$16,MATCH(G2257,Config!$J$5:$J$16,0),MATCH(F2257,Config!$H$5:$H$10,0)),""))</f>
        <v/>
      </c>
      <c r="U2257" s="47">
        <f>IF(AND(H2257="Realizado",L2257&lt;&gt;""),L2257/60,0)</f>
        <v>0</v>
      </c>
      <c r="V2257" s="47">
        <f>IF(AND(H2257="Realizado",OR(L2257="",M2257="")),1,0)</f>
        <v>0</v>
      </c>
    </row>
    <row r="2258">
      <c r="A2258" s="43" t="n"/>
      <c r="B2258" s="44" t="n"/>
      <c r="C2258" s="38" t="n"/>
      <c r="D2258" s="38" t="n"/>
      <c r="E2258" s="37" t="n"/>
      <c r="F2258" s="38" t="n"/>
      <c r="G2258" s="38" t="n"/>
      <c r="H2258" s="38" t="n"/>
      <c r="I2258" s="38" t="n"/>
      <c r="J2258" s="38" t="n"/>
      <c r="K2258" s="37" t="n"/>
      <c r="L2258" s="39" t="n"/>
      <c r="M2258" s="40" t="n"/>
      <c r="N2258" s="30">
        <f>IF(A2258="","",MONTH(A2258))</f>
        <v/>
      </c>
      <c r="O2258" s="30">
        <f>IF(A2258="","",YEAR(A2258))</f>
        <v/>
      </c>
      <c r="P2258" s="30">
        <f>IF(A2258="","",CHOOSE(WEEKDAY(A2258,2),"Segunda","Terça","Quarta","Quinta","Sexta","Sábado","Domingo"))</f>
        <v/>
      </c>
      <c r="Q2258" s="30">
        <f>IF(B2258="","",IF(B2258&lt;TIME(12,0,0),"Manhã",IF(B2258&lt;TIME(18,0,0),"Tarde","Noite")))</f>
        <v/>
      </c>
      <c r="R2258" s="46">
        <f>IF(AND(H2258="Realizado",L2258&lt;&gt;"",A2258&lt;=Config!$B$9),L2258/60,0)</f>
        <v>0</v>
      </c>
      <c r="S2258" s="45">
        <f>IF(G2258="","",IFERROR(INDEX(Config!$K$5:$K$16,MATCH(G2258,Config!$J$5:$J$16,0)),""))</f>
        <v/>
      </c>
      <c r="T2258" s="31">
        <f>IF(OR(G2258="",F2258=""),"",IFERROR(INDEX(Config!$M$5:$R$16,MATCH(G2258,Config!$J$5:$J$16,0),MATCH(F2258,Config!$H$5:$H$10,0)),""))</f>
        <v/>
      </c>
      <c r="U2258" s="47">
        <f>IF(AND(H2258="Realizado",L2258&lt;&gt;""),L2258/60,0)</f>
        <v>0</v>
      </c>
      <c r="V2258" s="47">
        <f>IF(AND(H2258="Realizado",OR(L2258="",M2258="")),1,0)</f>
        <v>0</v>
      </c>
    </row>
    <row r="2259">
      <c r="A2259" s="43" t="n"/>
      <c r="B2259" s="44" t="n"/>
      <c r="C2259" s="38" t="n"/>
      <c r="D2259" s="38" t="n"/>
      <c r="E2259" s="37" t="n"/>
      <c r="F2259" s="38" t="n"/>
      <c r="G2259" s="38" t="n"/>
      <c r="H2259" s="38" t="n"/>
      <c r="I2259" s="38" t="n"/>
      <c r="J2259" s="38" t="n"/>
      <c r="K2259" s="37" t="n"/>
      <c r="L2259" s="39" t="n"/>
      <c r="M2259" s="40" t="n"/>
      <c r="N2259" s="30">
        <f>IF(A2259="","",MONTH(A2259))</f>
        <v/>
      </c>
      <c r="O2259" s="30">
        <f>IF(A2259="","",YEAR(A2259))</f>
        <v/>
      </c>
      <c r="P2259" s="30">
        <f>IF(A2259="","",CHOOSE(WEEKDAY(A2259,2),"Segunda","Terça","Quarta","Quinta","Sexta","Sábado","Domingo"))</f>
        <v/>
      </c>
      <c r="Q2259" s="30">
        <f>IF(B2259="","",IF(B2259&lt;TIME(12,0,0),"Manhã",IF(B2259&lt;TIME(18,0,0),"Tarde","Noite")))</f>
        <v/>
      </c>
      <c r="R2259" s="46">
        <f>IF(AND(H2259="Realizado",L2259&lt;&gt;"",A2259&lt;=Config!$B$9),L2259/60,0)</f>
        <v>0</v>
      </c>
      <c r="S2259" s="45">
        <f>IF(G2259="","",IFERROR(INDEX(Config!$K$5:$K$16,MATCH(G2259,Config!$J$5:$J$16,0)),""))</f>
        <v/>
      </c>
      <c r="T2259" s="31">
        <f>IF(OR(G2259="",F2259=""),"",IFERROR(INDEX(Config!$M$5:$R$16,MATCH(G2259,Config!$J$5:$J$16,0),MATCH(F2259,Config!$H$5:$H$10,0)),""))</f>
        <v/>
      </c>
      <c r="U2259" s="47">
        <f>IF(AND(H2259="Realizado",L2259&lt;&gt;""),L2259/60,0)</f>
        <v>0</v>
      </c>
      <c r="V2259" s="47">
        <f>IF(AND(H2259="Realizado",OR(L2259="",M2259="")),1,0)</f>
        <v>0</v>
      </c>
    </row>
    <row r="2260">
      <c r="A2260" s="43" t="n"/>
      <c r="B2260" s="44" t="n"/>
      <c r="C2260" s="38" t="n"/>
      <c r="D2260" s="38" t="n"/>
      <c r="E2260" s="37" t="n"/>
      <c r="F2260" s="38" t="n"/>
      <c r="G2260" s="38" t="n"/>
      <c r="H2260" s="38" t="n"/>
      <c r="I2260" s="38" t="n"/>
      <c r="J2260" s="38" t="n"/>
      <c r="K2260" s="37" t="n"/>
      <c r="L2260" s="39" t="n"/>
      <c r="M2260" s="40" t="n"/>
      <c r="N2260" s="30">
        <f>IF(A2260="","",MONTH(A2260))</f>
        <v/>
      </c>
      <c r="O2260" s="30">
        <f>IF(A2260="","",YEAR(A2260))</f>
        <v/>
      </c>
      <c r="P2260" s="30">
        <f>IF(A2260="","",CHOOSE(WEEKDAY(A2260,2),"Segunda","Terça","Quarta","Quinta","Sexta","Sábado","Domingo"))</f>
        <v/>
      </c>
      <c r="Q2260" s="30">
        <f>IF(B2260="","",IF(B2260&lt;TIME(12,0,0),"Manhã",IF(B2260&lt;TIME(18,0,0),"Tarde","Noite")))</f>
        <v/>
      </c>
      <c r="R2260" s="46">
        <f>IF(AND(H2260="Realizado",L2260&lt;&gt;"",A2260&lt;=Config!$B$9),L2260/60,0)</f>
        <v>0</v>
      </c>
      <c r="S2260" s="45">
        <f>IF(G2260="","",IFERROR(INDEX(Config!$K$5:$K$16,MATCH(G2260,Config!$J$5:$J$16,0)),""))</f>
        <v/>
      </c>
      <c r="T2260" s="31">
        <f>IF(OR(G2260="",F2260=""),"",IFERROR(INDEX(Config!$M$5:$R$16,MATCH(G2260,Config!$J$5:$J$16,0),MATCH(F2260,Config!$H$5:$H$10,0)),""))</f>
        <v/>
      </c>
      <c r="U2260" s="47">
        <f>IF(AND(H2260="Realizado",L2260&lt;&gt;""),L2260/60,0)</f>
        <v>0</v>
      </c>
      <c r="V2260" s="47">
        <f>IF(AND(H2260="Realizado",OR(L2260="",M2260="")),1,0)</f>
        <v>0</v>
      </c>
    </row>
    <row r="2261">
      <c r="A2261" s="43" t="n"/>
      <c r="B2261" s="44" t="n"/>
      <c r="C2261" s="38" t="n"/>
      <c r="D2261" s="38" t="n"/>
      <c r="E2261" s="37" t="n"/>
      <c r="F2261" s="38" t="n"/>
      <c r="G2261" s="38" t="n"/>
      <c r="H2261" s="38" t="n"/>
      <c r="I2261" s="38" t="n"/>
      <c r="J2261" s="38" t="n"/>
      <c r="K2261" s="37" t="n"/>
      <c r="L2261" s="39" t="n"/>
      <c r="M2261" s="40" t="n"/>
      <c r="N2261" s="30">
        <f>IF(A2261="","",MONTH(A2261))</f>
        <v/>
      </c>
      <c r="O2261" s="30">
        <f>IF(A2261="","",YEAR(A2261))</f>
        <v/>
      </c>
      <c r="P2261" s="30">
        <f>IF(A2261="","",CHOOSE(WEEKDAY(A2261,2),"Segunda","Terça","Quarta","Quinta","Sexta","Sábado","Domingo"))</f>
        <v/>
      </c>
      <c r="Q2261" s="30">
        <f>IF(B2261="","",IF(B2261&lt;TIME(12,0,0),"Manhã",IF(B2261&lt;TIME(18,0,0),"Tarde","Noite")))</f>
        <v/>
      </c>
      <c r="R2261" s="46">
        <f>IF(AND(H2261="Realizado",L2261&lt;&gt;"",A2261&lt;=Config!$B$9),L2261/60,0)</f>
        <v>0</v>
      </c>
      <c r="S2261" s="45">
        <f>IF(G2261="","",IFERROR(INDEX(Config!$K$5:$K$16,MATCH(G2261,Config!$J$5:$J$16,0)),""))</f>
        <v/>
      </c>
      <c r="T2261" s="31">
        <f>IF(OR(G2261="",F2261=""),"",IFERROR(INDEX(Config!$M$5:$R$16,MATCH(G2261,Config!$J$5:$J$16,0),MATCH(F2261,Config!$H$5:$H$10,0)),""))</f>
        <v/>
      </c>
      <c r="U2261" s="47">
        <f>IF(AND(H2261="Realizado",L2261&lt;&gt;""),L2261/60,0)</f>
        <v>0</v>
      </c>
      <c r="V2261" s="47">
        <f>IF(AND(H2261="Realizado",OR(L2261="",M2261="")),1,0)</f>
        <v>0</v>
      </c>
    </row>
    <row r="2262">
      <c r="A2262" s="43" t="n"/>
      <c r="B2262" s="44" t="n"/>
      <c r="C2262" s="38" t="n"/>
      <c r="D2262" s="38" t="n"/>
      <c r="E2262" s="37" t="n"/>
      <c r="F2262" s="38" t="n"/>
      <c r="G2262" s="38" t="n"/>
      <c r="H2262" s="38" t="n"/>
      <c r="I2262" s="38" t="n"/>
      <c r="J2262" s="38" t="n"/>
      <c r="K2262" s="37" t="n"/>
      <c r="L2262" s="39" t="n"/>
      <c r="M2262" s="40" t="n"/>
      <c r="N2262" s="30">
        <f>IF(A2262="","",MONTH(A2262))</f>
        <v/>
      </c>
      <c r="O2262" s="30">
        <f>IF(A2262="","",YEAR(A2262))</f>
        <v/>
      </c>
      <c r="P2262" s="30">
        <f>IF(A2262="","",CHOOSE(WEEKDAY(A2262,2),"Segunda","Terça","Quarta","Quinta","Sexta","Sábado","Domingo"))</f>
        <v/>
      </c>
      <c r="Q2262" s="30">
        <f>IF(B2262="","",IF(B2262&lt;TIME(12,0,0),"Manhã",IF(B2262&lt;TIME(18,0,0),"Tarde","Noite")))</f>
        <v/>
      </c>
      <c r="R2262" s="46">
        <f>IF(AND(H2262="Realizado",L2262&lt;&gt;"",A2262&lt;=Config!$B$9),L2262/60,0)</f>
        <v>0</v>
      </c>
      <c r="S2262" s="45">
        <f>IF(G2262="","",IFERROR(INDEX(Config!$K$5:$K$16,MATCH(G2262,Config!$J$5:$J$16,0)),""))</f>
        <v/>
      </c>
      <c r="T2262" s="31">
        <f>IF(OR(G2262="",F2262=""),"",IFERROR(INDEX(Config!$M$5:$R$16,MATCH(G2262,Config!$J$5:$J$16,0),MATCH(F2262,Config!$H$5:$H$10,0)),""))</f>
        <v/>
      </c>
      <c r="U2262" s="47">
        <f>IF(AND(H2262="Realizado",L2262&lt;&gt;""),L2262/60,0)</f>
        <v>0</v>
      </c>
      <c r="V2262" s="47">
        <f>IF(AND(H2262="Realizado",OR(L2262="",M2262="")),1,0)</f>
        <v>0</v>
      </c>
    </row>
    <row r="2263">
      <c r="A2263" s="43" t="n"/>
      <c r="B2263" s="44" t="n"/>
      <c r="C2263" s="38" t="n"/>
      <c r="D2263" s="38" t="n"/>
      <c r="E2263" s="37" t="n"/>
      <c r="F2263" s="38" t="n"/>
      <c r="G2263" s="38" t="n"/>
      <c r="H2263" s="38" t="n"/>
      <c r="I2263" s="38" t="n"/>
      <c r="J2263" s="38" t="n"/>
      <c r="K2263" s="37" t="n"/>
      <c r="L2263" s="39" t="n"/>
      <c r="M2263" s="40" t="n"/>
      <c r="N2263" s="30">
        <f>IF(A2263="","",MONTH(A2263))</f>
        <v/>
      </c>
      <c r="O2263" s="30">
        <f>IF(A2263="","",YEAR(A2263))</f>
        <v/>
      </c>
      <c r="P2263" s="30">
        <f>IF(A2263="","",CHOOSE(WEEKDAY(A2263,2),"Segunda","Terça","Quarta","Quinta","Sexta","Sábado","Domingo"))</f>
        <v/>
      </c>
      <c r="Q2263" s="30">
        <f>IF(B2263="","",IF(B2263&lt;TIME(12,0,0),"Manhã",IF(B2263&lt;TIME(18,0,0),"Tarde","Noite")))</f>
        <v/>
      </c>
      <c r="R2263" s="46">
        <f>IF(AND(H2263="Realizado",L2263&lt;&gt;"",A2263&lt;=Config!$B$9),L2263/60,0)</f>
        <v>0</v>
      </c>
      <c r="S2263" s="45">
        <f>IF(G2263="","",IFERROR(INDEX(Config!$K$5:$K$16,MATCH(G2263,Config!$J$5:$J$16,0)),""))</f>
        <v/>
      </c>
      <c r="T2263" s="31">
        <f>IF(OR(G2263="",F2263=""),"",IFERROR(INDEX(Config!$M$5:$R$16,MATCH(G2263,Config!$J$5:$J$16,0),MATCH(F2263,Config!$H$5:$H$10,0)),""))</f>
        <v/>
      </c>
      <c r="U2263" s="47">
        <f>IF(AND(H2263="Realizado",L2263&lt;&gt;""),L2263/60,0)</f>
        <v>0</v>
      </c>
      <c r="V2263" s="47">
        <f>IF(AND(H2263="Realizado",OR(L2263="",M2263="")),1,0)</f>
        <v>0</v>
      </c>
    </row>
    <row r="2264">
      <c r="A2264" s="43" t="n"/>
      <c r="B2264" s="44" t="n"/>
      <c r="C2264" s="38" t="n"/>
      <c r="D2264" s="38" t="n"/>
      <c r="E2264" s="37" t="n"/>
      <c r="F2264" s="38" t="n"/>
      <c r="G2264" s="38" t="n"/>
      <c r="H2264" s="38" t="n"/>
      <c r="I2264" s="38" t="n"/>
      <c r="J2264" s="38" t="n"/>
      <c r="K2264" s="37" t="n"/>
      <c r="L2264" s="39" t="n"/>
      <c r="M2264" s="40" t="n"/>
      <c r="N2264" s="30">
        <f>IF(A2264="","",MONTH(A2264))</f>
        <v/>
      </c>
      <c r="O2264" s="30">
        <f>IF(A2264="","",YEAR(A2264))</f>
        <v/>
      </c>
      <c r="P2264" s="30">
        <f>IF(A2264="","",CHOOSE(WEEKDAY(A2264,2),"Segunda","Terça","Quarta","Quinta","Sexta","Sábado","Domingo"))</f>
        <v/>
      </c>
      <c r="Q2264" s="30">
        <f>IF(B2264="","",IF(B2264&lt;TIME(12,0,0),"Manhã",IF(B2264&lt;TIME(18,0,0),"Tarde","Noite")))</f>
        <v/>
      </c>
      <c r="R2264" s="46">
        <f>IF(AND(H2264="Realizado",L2264&lt;&gt;"",A2264&lt;=Config!$B$9),L2264/60,0)</f>
        <v>0</v>
      </c>
      <c r="S2264" s="45">
        <f>IF(G2264="","",IFERROR(INDEX(Config!$K$5:$K$16,MATCH(G2264,Config!$J$5:$J$16,0)),""))</f>
        <v/>
      </c>
      <c r="T2264" s="31">
        <f>IF(OR(G2264="",F2264=""),"",IFERROR(INDEX(Config!$M$5:$R$16,MATCH(G2264,Config!$J$5:$J$16,0),MATCH(F2264,Config!$H$5:$H$10,0)),""))</f>
        <v/>
      </c>
      <c r="U2264" s="47">
        <f>IF(AND(H2264="Realizado",L2264&lt;&gt;""),L2264/60,0)</f>
        <v>0</v>
      </c>
      <c r="V2264" s="47">
        <f>IF(AND(H2264="Realizado",OR(L2264="",M2264="")),1,0)</f>
        <v>0</v>
      </c>
    </row>
    <row r="2265">
      <c r="A2265" s="43" t="n"/>
      <c r="B2265" s="44" t="n"/>
      <c r="C2265" s="38" t="n"/>
      <c r="D2265" s="38" t="n"/>
      <c r="E2265" s="37" t="n"/>
      <c r="F2265" s="38" t="n"/>
      <c r="G2265" s="38" t="n"/>
      <c r="H2265" s="38" t="n"/>
      <c r="I2265" s="38" t="n"/>
      <c r="J2265" s="38" t="n"/>
      <c r="K2265" s="37" t="n"/>
      <c r="L2265" s="39" t="n"/>
      <c r="M2265" s="40" t="n"/>
      <c r="N2265" s="30">
        <f>IF(A2265="","",MONTH(A2265))</f>
        <v/>
      </c>
      <c r="O2265" s="30">
        <f>IF(A2265="","",YEAR(A2265))</f>
        <v/>
      </c>
      <c r="P2265" s="30">
        <f>IF(A2265="","",CHOOSE(WEEKDAY(A2265,2),"Segunda","Terça","Quarta","Quinta","Sexta","Sábado","Domingo"))</f>
        <v/>
      </c>
      <c r="Q2265" s="30">
        <f>IF(B2265="","",IF(B2265&lt;TIME(12,0,0),"Manhã",IF(B2265&lt;TIME(18,0,0),"Tarde","Noite")))</f>
        <v/>
      </c>
      <c r="R2265" s="46">
        <f>IF(AND(H2265="Realizado",L2265&lt;&gt;"",A2265&lt;=Config!$B$9),L2265/60,0)</f>
        <v>0</v>
      </c>
      <c r="S2265" s="45">
        <f>IF(G2265="","",IFERROR(INDEX(Config!$K$5:$K$16,MATCH(G2265,Config!$J$5:$J$16,0)),""))</f>
        <v/>
      </c>
      <c r="T2265" s="31">
        <f>IF(OR(G2265="",F2265=""),"",IFERROR(INDEX(Config!$M$5:$R$16,MATCH(G2265,Config!$J$5:$J$16,0),MATCH(F2265,Config!$H$5:$H$10,0)),""))</f>
        <v/>
      </c>
      <c r="U2265" s="47">
        <f>IF(AND(H2265="Realizado",L2265&lt;&gt;""),L2265/60,0)</f>
        <v>0</v>
      </c>
      <c r="V2265" s="47">
        <f>IF(AND(H2265="Realizado",OR(L2265="",M2265="")),1,0)</f>
        <v>0</v>
      </c>
    </row>
    <row r="2266">
      <c r="A2266" s="43" t="n"/>
      <c r="B2266" s="44" t="n"/>
      <c r="C2266" s="38" t="n"/>
      <c r="D2266" s="38" t="n"/>
      <c r="E2266" s="37" t="n"/>
      <c r="F2266" s="38" t="n"/>
      <c r="G2266" s="38" t="n"/>
      <c r="H2266" s="38" t="n"/>
      <c r="I2266" s="38" t="n"/>
      <c r="J2266" s="38" t="n"/>
      <c r="K2266" s="37" t="n"/>
      <c r="L2266" s="39" t="n"/>
      <c r="M2266" s="40" t="n"/>
      <c r="N2266" s="30">
        <f>IF(A2266="","",MONTH(A2266))</f>
        <v/>
      </c>
      <c r="O2266" s="30">
        <f>IF(A2266="","",YEAR(A2266))</f>
        <v/>
      </c>
      <c r="P2266" s="30">
        <f>IF(A2266="","",CHOOSE(WEEKDAY(A2266,2),"Segunda","Terça","Quarta","Quinta","Sexta","Sábado","Domingo"))</f>
        <v/>
      </c>
      <c r="Q2266" s="30">
        <f>IF(B2266="","",IF(B2266&lt;TIME(12,0,0),"Manhã",IF(B2266&lt;TIME(18,0,0),"Tarde","Noite")))</f>
        <v/>
      </c>
      <c r="R2266" s="46">
        <f>IF(AND(H2266="Realizado",L2266&lt;&gt;"",A2266&lt;=Config!$B$9),L2266/60,0)</f>
        <v>0</v>
      </c>
      <c r="S2266" s="45">
        <f>IF(G2266="","",IFERROR(INDEX(Config!$K$5:$K$16,MATCH(G2266,Config!$J$5:$J$16,0)),""))</f>
        <v/>
      </c>
      <c r="T2266" s="31">
        <f>IF(OR(G2266="",F2266=""),"",IFERROR(INDEX(Config!$M$5:$R$16,MATCH(G2266,Config!$J$5:$J$16,0),MATCH(F2266,Config!$H$5:$H$10,0)),""))</f>
        <v/>
      </c>
      <c r="U2266" s="47">
        <f>IF(AND(H2266="Realizado",L2266&lt;&gt;""),L2266/60,0)</f>
        <v>0</v>
      </c>
      <c r="V2266" s="47">
        <f>IF(AND(H2266="Realizado",OR(L2266="",M2266="")),1,0)</f>
        <v>0</v>
      </c>
    </row>
    <row r="2267">
      <c r="A2267" s="43" t="n"/>
      <c r="B2267" s="44" t="n"/>
      <c r="C2267" s="38" t="n"/>
      <c r="D2267" s="38" t="n"/>
      <c r="E2267" s="37" t="n"/>
      <c r="F2267" s="38" t="n"/>
      <c r="G2267" s="38" t="n"/>
      <c r="H2267" s="38" t="n"/>
      <c r="I2267" s="38" t="n"/>
      <c r="J2267" s="38" t="n"/>
      <c r="K2267" s="37" t="n"/>
      <c r="L2267" s="39" t="n"/>
      <c r="M2267" s="40" t="n"/>
      <c r="N2267" s="30">
        <f>IF(A2267="","",MONTH(A2267))</f>
        <v/>
      </c>
      <c r="O2267" s="30">
        <f>IF(A2267="","",YEAR(A2267))</f>
        <v/>
      </c>
      <c r="P2267" s="30">
        <f>IF(A2267="","",CHOOSE(WEEKDAY(A2267,2),"Segunda","Terça","Quarta","Quinta","Sexta","Sábado","Domingo"))</f>
        <v/>
      </c>
      <c r="Q2267" s="30">
        <f>IF(B2267="","",IF(B2267&lt;TIME(12,0,0),"Manhã",IF(B2267&lt;TIME(18,0,0),"Tarde","Noite")))</f>
        <v/>
      </c>
      <c r="R2267" s="46">
        <f>IF(AND(H2267="Realizado",L2267&lt;&gt;"",A2267&lt;=Config!$B$9),L2267/60,0)</f>
        <v>0</v>
      </c>
      <c r="S2267" s="45">
        <f>IF(G2267="","",IFERROR(INDEX(Config!$K$5:$K$16,MATCH(G2267,Config!$J$5:$J$16,0)),""))</f>
        <v/>
      </c>
      <c r="T2267" s="31">
        <f>IF(OR(G2267="",F2267=""),"",IFERROR(INDEX(Config!$M$5:$R$16,MATCH(G2267,Config!$J$5:$J$16,0),MATCH(F2267,Config!$H$5:$H$10,0)),""))</f>
        <v/>
      </c>
      <c r="U2267" s="47">
        <f>IF(AND(H2267="Realizado",L2267&lt;&gt;""),L2267/60,0)</f>
        <v>0</v>
      </c>
      <c r="V2267" s="47">
        <f>IF(AND(H2267="Realizado",OR(L2267="",M2267="")),1,0)</f>
        <v>0</v>
      </c>
    </row>
    <row r="2268">
      <c r="A2268" s="43" t="n"/>
      <c r="B2268" s="44" t="n"/>
      <c r="C2268" s="38" t="n"/>
      <c r="D2268" s="38" t="n"/>
      <c r="E2268" s="37" t="n"/>
      <c r="F2268" s="38" t="n"/>
      <c r="G2268" s="38" t="n"/>
      <c r="H2268" s="38" t="n"/>
      <c r="I2268" s="38" t="n"/>
      <c r="J2268" s="38" t="n"/>
      <c r="K2268" s="37" t="n"/>
      <c r="L2268" s="39" t="n"/>
      <c r="M2268" s="40" t="n"/>
      <c r="N2268" s="30">
        <f>IF(A2268="","",MONTH(A2268))</f>
        <v/>
      </c>
      <c r="O2268" s="30">
        <f>IF(A2268="","",YEAR(A2268))</f>
        <v/>
      </c>
      <c r="P2268" s="30">
        <f>IF(A2268="","",CHOOSE(WEEKDAY(A2268,2),"Segunda","Terça","Quarta","Quinta","Sexta","Sábado","Domingo"))</f>
        <v/>
      </c>
      <c r="Q2268" s="30">
        <f>IF(B2268="","",IF(B2268&lt;TIME(12,0,0),"Manhã",IF(B2268&lt;TIME(18,0,0),"Tarde","Noite")))</f>
        <v/>
      </c>
      <c r="R2268" s="46">
        <f>IF(AND(H2268="Realizado",L2268&lt;&gt;"",A2268&lt;=Config!$B$9),L2268/60,0)</f>
        <v>0</v>
      </c>
      <c r="S2268" s="45">
        <f>IF(G2268="","",IFERROR(INDEX(Config!$K$5:$K$16,MATCH(G2268,Config!$J$5:$J$16,0)),""))</f>
        <v/>
      </c>
      <c r="T2268" s="31">
        <f>IF(OR(G2268="",F2268=""),"",IFERROR(INDEX(Config!$M$5:$R$16,MATCH(G2268,Config!$J$5:$J$16,0),MATCH(F2268,Config!$H$5:$H$10,0)),""))</f>
        <v/>
      </c>
      <c r="U2268" s="47">
        <f>IF(AND(H2268="Realizado",L2268&lt;&gt;""),L2268/60,0)</f>
        <v>0</v>
      </c>
      <c r="V2268" s="47">
        <f>IF(AND(H2268="Realizado",OR(L2268="",M2268="")),1,0)</f>
        <v>0</v>
      </c>
    </row>
    <row r="2269">
      <c r="A2269" s="43" t="n"/>
      <c r="B2269" s="44" t="n"/>
      <c r="C2269" s="38" t="n"/>
      <c r="D2269" s="38" t="n"/>
      <c r="E2269" s="37" t="n"/>
      <c r="F2269" s="38" t="n"/>
      <c r="G2269" s="38" t="n"/>
      <c r="H2269" s="38" t="n"/>
      <c r="I2269" s="38" t="n"/>
      <c r="J2269" s="38" t="n"/>
      <c r="K2269" s="37" t="n"/>
      <c r="L2269" s="39" t="n"/>
      <c r="M2269" s="40" t="n"/>
      <c r="N2269" s="30">
        <f>IF(A2269="","",MONTH(A2269))</f>
        <v/>
      </c>
      <c r="O2269" s="30">
        <f>IF(A2269="","",YEAR(A2269))</f>
        <v/>
      </c>
      <c r="P2269" s="30">
        <f>IF(A2269="","",CHOOSE(WEEKDAY(A2269,2),"Segunda","Terça","Quarta","Quinta","Sexta","Sábado","Domingo"))</f>
        <v/>
      </c>
      <c r="Q2269" s="30">
        <f>IF(B2269="","",IF(B2269&lt;TIME(12,0,0),"Manhã",IF(B2269&lt;TIME(18,0,0),"Tarde","Noite")))</f>
        <v/>
      </c>
      <c r="R2269" s="46">
        <f>IF(AND(H2269="Realizado",L2269&lt;&gt;"",A2269&lt;=Config!$B$9),L2269/60,0)</f>
        <v>0</v>
      </c>
      <c r="S2269" s="45">
        <f>IF(G2269="","",IFERROR(INDEX(Config!$K$5:$K$16,MATCH(G2269,Config!$J$5:$J$16,0)),""))</f>
        <v/>
      </c>
      <c r="T2269" s="31">
        <f>IF(OR(G2269="",F2269=""),"",IFERROR(INDEX(Config!$M$5:$R$16,MATCH(G2269,Config!$J$5:$J$16,0),MATCH(F2269,Config!$H$5:$H$10,0)),""))</f>
        <v/>
      </c>
      <c r="U2269" s="47">
        <f>IF(AND(H2269="Realizado",L2269&lt;&gt;""),L2269/60,0)</f>
        <v>0</v>
      </c>
      <c r="V2269" s="47">
        <f>IF(AND(H2269="Realizado",OR(L2269="",M2269="")),1,0)</f>
        <v>0</v>
      </c>
    </row>
    <row r="2270">
      <c r="A2270" s="43" t="n"/>
      <c r="B2270" s="44" t="n"/>
      <c r="C2270" s="38" t="n"/>
      <c r="D2270" s="38" t="n"/>
      <c r="E2270" s="37" t="n"/>
      <c r="F2270" s="38" t="n"/>
      <c r="G2270" s="38" t="n"/>
      <c r="H2270" s="38" t="n"/>
      <c r="I2270" s="38" t="n"/>
      <c r="J2270" s="38" t="n"/>
      <c r="K2270" s="37" t="n"/>
      <c r="L2270" s="39" t="n"/>
      <c r="M2270" s="40" t="n"/>
      <c r="N2270" s="30">
        <f>IF(A2270="","",MONTH(A2270))</f>
        <v/>
      </c>
      <c r="O2270" s="30">
        <f>IF(A2270="","",YEAR(A2270))</f>
        <v/>
      </c>
      <c r="P2270" s="30">
        <f>IF(A2270="","",CHOOSE(WEEKDAY(A2270,2),"Segunda","Terça","Quarta","Quinta","Sexta","Sábado","Domingo"))</f>
        <v/>
      </c>
      <c r="Q2270" s="30">
        <f>IF(B2270="","",IF(B2270&lt;TIME(12,0,0),"Manhã",IF(B2270&lt;TIME(18,0,0),"Tarde","Noite")))</f>
        <v/>
      </c>
      <c r="R2270" s="46">
        <f>IF(AND(H2270="Realizado",L2270&lt;&gt;"",A2270&lt;=Config!$B$9),L2270/60,0)</f>
        <v>0</v>
      </c>
      <c r="S2270" s="45">
        <f>IF(G2270="","",IFERROR(INDEX(Config!$K$5:$K$16,MATCH(G2270,Config!$J$5:$J$16,0)),""))</f>
        <v/>
      </c>
      <c r="T2270" s="31">
        <f>IF(OR(G2270="",F2270=""),"",IFERROR(INDEX(Config!$M$5:$R$16,MATCH(G2270,Config!$J$5:$J$16,0),MATCH(F2270,Config!$H$5:$H$10,0)),""))</f>
        <v/>
      </c>
      <c r="U2270" s="47">
        <f>IF(AND(H2270="Realizado",L2270&lt;&gt;""),L2270/60,0)</f>
        <v>0</v>
      </c>
      <c r="V2270" s="47">
        <f>IF(AND(H2270="Realizado",OR(L2270="",M2270="")),1,0)</f>
        <v>0</v>
      </c>
    </row>
    <row r="2271">
      <c r="A2271" s="43" t="n"/>
      <c r="B2271" s="44" t="n"/>
      <c r="C2271" s="38" t="n"/>
      <c r="D2271" s="38" t="n"/>
      <c r="E2271" s="37" t="n"/>
      <c r="F2271" s="38" t="n"/>
      <c r="G2271" s="38" t="n"/>
      <c r="H2271" s="38" t="n"/>
      <c r="I2271" s="38" t="n"/>
      <c r="J2271" s="38" t="n"/>
      <c r="K2271" s="37" t="n"/>
      <c r="L2271" s="39" t="n"/>
      <c r="M2271" s="40" t="n"/>
      <c r="N2271" s="30">
        <f>IF(A2271="","",MONTH(A2271))</f>
        <v/>
      </c>
      <c r="O2271" s="30">
        <f>IF(A2271="","",YEAR(A2271))</f>
        <v/>
      </c>
      <c r="P2271" s="30">
        <f>IF(A2271="","",CHOOSE(WEEKDAY(A2271,2),"Segunda","Terça","Quarta","Quinta","Sexta","Sábado","Domingo"))</f>
        <v/>
      </c>
      <c r="Q2271" s="30">
        <f>IF(B2271="","",IF(B2271&lt;TIME(12,0,0),"Manhã",IF(B2271&lt;TIME(18,0,0),"Tarde","Noite")))</f>
        <v/>
      </c>
      <c r="R2271" s="46">
        <f>IF(AND(H2271="Realizado",L2271&lt;&gt;"",A2271&lt;=Config!$B$9),L2271/60,0)</f>
        <v>0</v>
      </c>
      <c r="S2271" s="45">
        <f>IF(G2271="","",IFERROR(INDEX(Config!$K$5:$K$16,MATCH(G2271,Config!$J$5:$J$16,0)),""))</f>
        <v/>
      </c>
      <c r="T2271" s="31">
        <f>IF(OR(G2271="",F2271=""),"",IFERROR(INDEX(Config!$M$5:$R$16,MATCH(G2271,Config!$J$5:$J$16,0),MATCH(F2271,Config!$H$5:$H$10,0)),""))</f>
        <v/>
      </c>
      <c r="U2271" s="47">
        <f>IF(AND(H2271="Realizado",L2271&lt;&gt;""),L2271/60,0)</f>
        <v>0</v>
      </c>
      <c r="V2271" s="47">
        <f>IF(AND(H2271="Realizado",OR(L2271="",M2271="")),1,0)</f>
        <v>0</v>
      </c>
    </row>
    <row r="2272">
      <c r="A2272" s="43" t="n"/>
      <c r="B2272" s="44" t="n"/>
      <c r="C2272" s="38" t="n"/>
      <c r="D2272" s="38" t="n"/>
      <c r="E2272" s="37" t="n"/>
      <c r="F2272" s="38" t="n"/>
      <c r="G2272" s="38" t="n"/>
      <c r="H2272" s="38" t="n"/>
      <c r="I2272" s="38" t="n"/>
      <c r="J2272" s="38" t="n"/>
      <c r="K2272" s="37" t="n"/>
      <c r="L2272" s="39" t="n"/>
      <c r="M2272" s="40" t="n"/>
      <c r="N2272" s="30">
        <f>IF(A2272="","",MONTH(A2272))</f>
        <v/>
      </c>
      <c r="O2272" s="30">
        <f>IF(A2272="","",YEAR(A2272))</f>
        <v/>
      </c>
      <c r="P2272" s="30">
        <f>IF(A2272="","",CHOOSE(WEEKDAY(A2272,2),"Segunda","Terça","Quarta","Quinta","Sexta","Sábado","Domingo"))</f>
        <v/>
      </c>
      <c r="Q2272" s="30">
        <f>IF(B2272="","",IF(B2272&lt;TIME(12,0,0),"Manhã",IF(B2272&lt;TIME(18,0,0),"Tarde","Noite")))</f>
        <v/>
      </c>
      <c r="R2272" s="46">
        <f>IF(AND(H2272="Realizado",L2272&lt;&gt;"",A2272&lt;=Config!$B$9),L2272/60,0)</f>
        <v>0</v>
      </c>
      <c r="S2272" s="45">
        <f>IF(G2272="","",IFERROR(INDEX(Config!$K$5:$K$16,MATCH(G2272,Config!$J$5:$J$16,0)),""))</f>
        <v/>
      </c>
      <c r="T2272" s="31">
        <f>IF(OR(G2272="",F2272=""),"",IFERROR(INDEX(Config!$M$5:$R$16,MATCH(G2272,Config!$J$5:$J$16,0),MATCH(F2272,Config!$H$5:$H$10,0)),""))</f>
        <v/>
      </c>
      <c r="U2272" s="47">
        <f>IF(AND(H2272="Realizado",L2272&lt;&gt;""),L2272/60,0)</f>
        <v>0</v>
      </c>
      <c r="V2272" s="47">
        <f>IF(AND(H2272="Realizado",OR(L2272="",M2272="")),1,0)</f>
        <v>0</v>
      </c>
    </row>
    <row r="2273">
      <c r="A2273" s="43" t="n"/>
      <c r="B2273" s="44" t="n"/>
      <c r="C2273" s="38" t="n"/>
      <c r="D2273" s="38" t="n"/>
      <c r="E2273" s="37" t="n"/>
      <c r="F2273" s="38" t="n"/>
      <c r="G2273" s="38" t="n"/>
      <c r="H2273" s="38" t="n"/>
      <c r="I2273" s="38" t="n"/>
      <c r="J2273" s="38" t="n"/>
      <c r="K2273" s="37" t="n"/>
      <c r="L2273" s="39" t="n"/>
      <c r="M2273" s="40" t="n"/>
      <c r="N2273" s="30">
        <f>IF(A2273="","",MONTH(A2273))</f>
        <v/>
      </c>
      <c r="O2273" s="30">
        <f>IF(A2273="","",YEAR(A2273))</f>
        <v/>
      </c>
      <c r="P2273" s="30">
        <f>IF(A2273="","",CHOOSE(WEEKDAY(A2273,2),"Segunda","Terça","Quarta","Quinta","Sexta","Sábado","Domingo"))</f>
        <v/>
      </c>
      <c r="Q2273" s="30">
        <f>IF(B2273="","",IF(B2273&lt;TIME(12,0,0),"Manhã",IF(B2273&lt;TIME(18,0,0),"Tarde","Noite")))</f>
        <v/>
      </c>
      <c r="R2273" s="46">
        <f>IF(AND(H2273="Realizado",L2273&lt;&gt;"",A2273&lt;=Config!$B$9),L2273/60,0)</f>
        <v>0</v>
      </c>
      <c r="S2273" s="45">
        <f>IF(G2273="","",IFERROR(INDEX(Config!$K$5:$K$16,MATCH(G2273,Config!$J$5:$J$16,0)),""))</f>
        <v/>
      </c>
      <c r="T2273" s="31">
        <f>IF(OR(G2273="",F2273=""),"",IFERROR(INDEX(Config!$M$5:$R$16,MATCH(G2273,Config!$J$5:$J$16,0),MATCH(F2273,Config!$H$5:$H$10,0)),""))</f>
        <v/>
      </c>
      <c r="U2273" s="47">
        <f>IF(AND(H2273="Realizado",L2273&lt;&gt;""),L2273/60,0)</f>
        <v>0</v>
      </c>
      <c r="V2273" s="47">
        <f>IF(AND(H2273="Realizado",OR(L2273="",M2273="")),1,0)</f>
        <v>0</v>
      </c>
    </row>
    <row r="2274">
      <c r="A2274" s="43" t="n"/>
      <c r="B2274" s="44" t="n"/>
      <c r="C2274" s="38" t="n"/>
      <c r="D2274" s="38" t="n"/>
      <c r="E2274" s="37" t="n"/>
      <c r="F2274" s="38" t="n"/>
      <c r="G2274" s="38" t="n"/>
      <c r="H2274" s="38" t="n"/>
      <c r="I2274" s="38" t="n"/>
      <c r="J2274" s="38" t="n"/>
      <c r="K2274" s="37" t="n"/>
      <c r="L2274" s="39" t="n"/>
      <c r="M2274" s="40" t="n"/>
      <c r="N2274" s="30">
        <f>IF(A2274="","",MONTH(A2274))</f>
        <v/>
      </c>
      <c r="O2274" s="30">
        <f>IF(A2274="","",YEAR(A2274))</f>
        <v/>
      </c>
      <c r="P2274" s="30">
        <f>IF(A2274="","",CHOOSE(WEEKDAY(A2274,2),"Segunda","Terça","Quarta","Quinta","Sexta","Sábado","Domingo"))</f>
        <v/>
      </c>
      <c r="Q2274" s="30">
        <f>IF(B2274="","",IF(B2274&lt;TIME(12,0,0),"Manhã",IF(B2274&lt;TIME(18,0,0),"Tarde","Noite")))</f>
        <v/>
      </c>
      <c r="R2274" s="46">
        <f>IF(AND(H2274="Realizado",L2274&lt;&gt;"",A2274&lt;=Config!$B$9),L2274/60,0)</f>
        <v>0</v>
      </c>
      <c r="S2274" s="45">
        <f>IF(G2274="","",IFERROR(INDEX(Config!$K$5:$K$16,MATCH(G2274,Config!$J$5:$J$16,0)),""))</f>
        <v/>
      </c>
      <c r="T2274" s="31">
        <f>IF(OR(G2274="",F2274=""),"",IFERROR(INDEX(Config!$M$5:$R$16,MATCH(G2274,Config!$J$5:$J$16,0),MATCH(F2274,Config!$H$5:$H$10,0)),""))</f>
        <v/>
      </c>
      <c r="U2274" s="47">
        <f>IF(AND(H2274="Realizado",L2274&lt;&gt;""),L2274/60,0)</f>
        <v>0</v>
      </c>
      <c r="V2274" s="47">
        <f>IF(AND(H2274="Realizado",OR(L2274="",M2274="")),1,0)</f>
        <v>0</v>
      </c>
    </row>
    <row r="2275">
      <c r="A2275" s="43" t="n"/>
      <c r="B2275" s="44" t="n"/>
      <c r="C2275" s="38" t="n"/>
      <c r="D2275" s="38" t="n"/>
      <c r="E2275" s="37" t="n"/>
      <c r="F2275" s="38" t="n"/>
      <c r="G2275" s="38" t="n"/>
      <c r="H2275" s="38" t="n"/>
      <c r="I2275" s="38" t="n"/>
      <c r="J2275" s="38" t="n"/>
      <c r="K2275" s="37" t="n"/>
      <c r="L2275" s="39" t="n"/>
      <c r="M2275" s="40" t="n"/>
      <c r="N2275" s="30">
        <f>IF(A2275="","",MONTH(A2275))</f>
        <v/>
      </c>
      <c r="O2275" s="30">
        <f>IF(A2275="","",YEAR(A2275))</f>
        <v/>
      </c>
      <c r="P2275" s="30">
        <f>IF(A2275="","",CHOOSE(WEEKDAY(A2275,2),"Segunda","Terça","Quarta","Quinta","Sexta","Sábado","Domingo"))</f>
        <v/>
      </c>
      <c r="Q2275" s="30">
        <f>IF(B2275="","",IF(B2275&lt;TIME(12,0,0),"Manhã",IF(B2275&lt;TIME(18,0,0),"Tarde","Noite")))</f>
        <v/>
      </c>
      <c r="R2275" s="46">
        <f>IF(AND(H2275="Realizado",L2275&lt;&gt;"",A2275&lt;=Config!$B$9),L2275/60,0)</f>
        <v>0</v>
      </c>
      <c r="S2275" s="45">
        <f>IF(G2275="","",IFERROR(INDEX(Config!$K$5:$K$16,MATCH(G2275,Config!$J$5:$J$16,0)),""))</f>
        <v/>
      </c>
      <c r="T2275" s="31">
        <f>IF(OR(G2275="",F2275=""),"",IFERROR(INDEX(Config!$M$5:$R$16,MATCH(G2275,Config!$J$5:$J$16,0),MATCH(F2275,Config!$H$5:$H$10,0)),""))</f>
        <v/>
      </c>
      <c r="U2275" s="47">
        <f>IF(AND(H2275="Realizado",L2275&lt;&gt;""),L2275/60,0)</f>
        <v>0</v>
      </c>
      <c r="V2275" s="47">
        <f>IF(AND(H2275="Realizado",OR(L2275="",M2275="")),1,0)</f>
        <v>0</v>
      </c>
    </row>
    <row r="2276">
      <c r="A2276" s="43" t="n"/>
      <c r="B2276" s="44" t="n"/>
      <c r="C2276" s="38" t="n"/>
      <c r="D2276" s="38" t="n"/>
      <c r="E2276" s="37" t="n"/>
      <c r="F2276" s="38" t="n"/>
      <c r="G2276" s="38" t="n"/>
      <c r="H2276" s="38" t="n"/>
      <c r="I2276" s="38" t="n"/>
      <c r="J2276" s="38" t="n"/>
      <c r="K2276" s="37" t="n"/>
      <c r="L2276" s="39" t="n"/>
      <c r="M2276" s="40" t="n"/>
      <c r="N2276" s="30">
        <f>IF(A2276="","",MONTH(A2276))</f>
        <v/>
      </c>
      <c r="O2276" s="30">
        <f>IF(A2276="","",YEAR(A2276))</f>
        <v/>
      </c>
      <c r="P2276" s="30">
        <f>IF(A2276="","",CHOOSE(WEEKDAY(A2276,2),"Segunda","Terça","Quarta","Quinta","Sexta","Sábado","Domingo"))</f>
        <v/>
      </c>
      <c r="Q2276" s="30">
        <f>IF(B2276="","",IF(B2276&lt;TIME(12,0,0),"Manhã",IF(B2276&lt;TIME(18,0,0),"Tarde","Noite")))</f>
        <v/>
      </c>
      <c r="R2276" s="46">
        <f>IF(AND(H2276="Realizado",L2276&lt;&gt;"",A2276&lt;=Config!$B$9),L2276/60,0)</f>
        <v>0</v>
      </c>
      <c r="S2276" s="45">
        <f>IF(G2276="","",IFERROR(INDEX(Config!$K$5:$K$16,MATCH(G2276,Config!$J$5:$J$16,0)),""))</f>
        <v/>
      </c>
      <c r="T2276" s="31">
        <f>IF(OR(G2276="",F2276=""),"",IFERROR(INDEX(Config!$M$5:$R$16,MATCH(G2276,Config!$J$5:$J$16,0),MATCH(F2276,Config!$H$5:$H$10,0)),""))</f>
        <v/>
      </c>
      <c r="U2276" s="47">
        <f>IF(AND(H2276="Realizado",L2276&lt;&gt;""),L2276/60,0)</f>
        <v>0</v>
      </c>
      <c r="V2276" s="47">
        <f>IF(AND(H2276="Realizado",OR(L2276="",M2276="")),1,0)</f>
        <v>0</v>
      </c>
    </row>
    <row r="2277">
      <c r="A2277" s="43" t="n"/>
      <c r="B2277" s="44" t="n"/>
      <c r="C2277" s="38" t="n"/>
      <c r="D2277" s="38" t="n"/>
      <c r="E2277" s="37" t="n"/>
      <c r="F2277" s="38" t="n"/>
      <c r="G2277" s="38" t="n"/>
      <c r="H2277" s="38" t="n"/>
      <c r="I2277" s="38" t="n"/>
      <c r="J2277" s="38" t="n"/>
      <c r="K2277" s="37" t="n"/>
      <c r="L2277" s="39" t="n"/>
      <c r="M2277" s="40" t="n"/>
      <c r="N2277" s="30">
        <f>IF(A2277="","",MONTH(A2277))</f>
        <v/>
      </c>
      <c r="O2277" s="30">
        <f>IF(A2277="","",YEAR(A2277))</f>
        <v/>
      </c>
      <c r="P2277" s="30">
        <f>IF(A2277="","",CHOOSE(WEEKDAY(A2277,2),"Segunda","Terça","Quarta","Quinta","Sexta","Sábado","Domingo"))</f>
        <v/>
      </c>
      <c r="Q2277" s="30">
        <f>IF(B2277="","",IF(B2277&lt;TIME(12,0,0),"Manhã",IF(B2277&lt;TIME(18,0,0),"Tarde","Noite")))</f>
        <v/>
      </c>
      <c r="R2277" s="46">
        <f>IF(AND(H2277="Realizado",L2277&lt;&gt;"",A2277&lt;=Config!$B$9),L2277/60,0)</f>
        <v>0</v>
      </c>
      <c r="S2277" s="45">
        <f>IF(G2277="","",IFERROR(INDEX(Config!$K$5:$K$16,MATCH(G2277,Config!$J$5:$J$16,0)),""))</f>
        <v/>
      </c>
      <c r="T2277" s="31">
        <f>IF(OR(G2277="",F2277=""),"",IFERROR(INDEX(Config!$M$5:$R$16,MATCH(G2277,Config!$J$5:$J$16,0),MATCH(F2277,Config!$H$5:$H$10,0)),""))</f>
        <v/>
      </c>
      <c r="U2277" s="47">
        <f>IF(AND(H2277="Realizado",L2277&lt;&gt;""),L2277/60,0)</f>
        <v>0</v>
      </c>
      <c r="V2277" s="47">
        <f>IF(AND(H2277="Realizado",OR(L2277="",M2277="")),1,0)</f>
        <v>0</v>
      </c>
    </row>
    <row r="2278">
      <c r="A2278" s="43" t="n"/>
      <c r="B2278" s="44" t="n"/>
      <c r="C2278" s="38" t="n"/>
      <c r="D2278" s="38" t="n"/>
      <c r="E2278" s="37" t="n"/>
      <c r="F2278" s="38" t="n"/>
      <c r="G2278" s="38" t="n"/>
      <c r="H2278" s="38" t="n"/>
      <c r="I2278" s="38" t="n"/>
      <c r="J2278" s="38" t="n"/>
      <c r="K2278" s="37" t="n"/>
      <c r="L2278" s="39" t="n"/>
      <c r="M2278" s="40" t="n"/>
      <c r="N2278" s="30">
        <f>IF(A2278="","",MONTH(A2278))</f>
        <v/>
      </c>
      <c r="O2278" s="30">
        <f>IF(A2278="","",YEAR(A2278))</f>
        <v/>
      </c>
      <c r="P2278" s="30">
        <f>IF(A2278="","",CHOOSE(WEEKDAY(A2278,2),"Segunda","Terça","Quarta","Quinta","Sexta","Sábado","Domingo"))</f>
        <v/>
      </c>
      <c r="Q2278" s="30">
        <f>IF(B2278="","",IF(B2278&lt;TIME(12,0,0),"Manhã",IF(B2278&lt;TIME(18,0,0),"Tarde","Noite")))</f>
        <v/>
      </c>
      <c r="R2278" s="46">
        <f>IF(AND(H2278="Realizado",L2278&lt;&gt;"",A2278&lt;=Config!$B$9),L2278/60,0)</f>
        <v>0</v>
      </c>
      <c r="S2278" s="45">
        <f>IF(G2278="","",IFERROR(INDEX(Config!$K$5:$K$16,MATCH(G2278,Config!$J$5:$J$16,0)),""))</f>
        <v/>
      </c>
      <c r="T2278" s="31">
        <f>IF(OR(G2278="",F2278=""),"",IFERROR(INDEX(Config!$M$5:$R$16,MATCH(G2278,Config!$J$5:$J$16,0),MATCH(F2278,Config!$H$5:$H$10,0)),""))</f>
        <v/>
      </c>
      <c r="U2278" s="47">
        <f>IF(AND(H2278="Realizado",L2278&lt;&gt;""),L2278/60,0)</f>
        <v>0</v>
      </c>
      <c r="V2278" s="47">
        <f>IF(AND(H2278="Realizado",OR(L2278="",M2278="")),1,0)</f>
        <v>0</v>
      </c>
    </row>
    <row r="2279">
      <c r="A2279" s="43" t="n"/>
      <c r="B2279" s="44" t="n"/>
      <c r="C2279" s="38" t="n"/>
      <c r="D2279" s="38" t="n"/>
      <c r="E2279" s="37" t="n"/>
      <c r="F2279" s="38" t="n"/>
      <c r="G2279" s="38" t="n"/>
      <c r="H2279" s="38" t="n"/>
      <c r="I2279" s="38" t="n"/>
      <c r="J2279" s="38" t="n"/>
      <c r="K2279" s="37" t="n"/>
      <c r="L2279" s="39" t="n"/>
      <c r="M2279" s="40" t="n"/>
      <c r="N2279" s="30">
        <f>IF(A2279="","",MONTH(A2279))</f>
        <v/>
      </c>
      <c r="O2279" s="30">
        <f>IF(A2279="","",YEAR(A2279))</f>
        <v/>
      </c>
      <c r="P2279" s="30">
        <f>IF(A2279="","",CHOOSE(WEEKDAY(A2279,2),"Segunda","Terça","Quarta","Quinta","Sexta","Sábado","Domingo"))</f>
        <v/>
      </c>
      <c r="Q2279" s="30">
        <f>IF(B2279="","",IF(B2279&lt;TIME(12,0,0),"Manhã",IF(B2279&lt;TIME(18,0,0),"Tarde","Noite")))</f>
        <v/>
      </c>
      <c r="R2279" s="46">
        <f>IF(AND(H2279="Realizado",L2279&lt;&gt;"",A2279&lt;=Config!$B$9),L2279/60,0)</f>
        <v>0</v>
      </c>
      <c r="S2279" s="45">
        <f>IF(G2279="","",IFERROR(INDEX(Config!$K$5:$K$16,MATCH(G2279,Config!$J$5:$J$16,0)),""))</f>
        <v/>
      </c>
      <c r="T2279" s="31">
        <f>IF(OR(G2279="",F2279=""),"",IFERROR(INDEX(Config!$M$5:$R$16,MATCH(G2279,Config!$J$5:$J$16,0),MATCH(F2279,Config!$H$5:$H$10,0)),""))</f>
        <v/>
      </c>
      <c r="U2279" s="47">
        <f>IF(AND(H2279="Realizado",L2279&lt;&gt;""),L2279/60,0)</f>
        <v>0</v>
      </c>
      <c r="V2279" s="47">
        <f>IF(AND(H2279="Realizado",OR(L2279="",M2279="")),1,0)</f>
        <v>0</v>
      </c>
    </row>
    <row r="2280">
      <c r="A2280" s="43" t="n"/>
      <c r="B2280" s="44" t="n"/>
      <c r="C2280" s="38" t="n"/>
      <c r="D2280" s="38" t="n"/>
      <c r="E2280" s="37" t="n"/>
      <c r="F2280" s="38" t="n"/>
      <c r="G2280" s="38" t="n"/>
      <c r="H2280" s="38" t="n"/>
      <c r="I2280" s="38" t="n"/>
      <c r="J2280" s="38" t="n"/>
      <c r="K2280" s="37" t="n"/>
      <c r="L2280" s="39" t="n"/>
      <c r="M2280" s="40" t="n"/>
      <c r="N2280" s="30">
        <f>IF(A2280="","",MONTH(A2280))</f>
        <v/>
      </c>
      <c r="O2280" s="30">
        <f>IF(A2280="","",YEAR(A2280))</f>
        <v/>
      </c>
      <c r="P2280" s="30">
        <f>IF(A2280="","",CHOOSE(WEEKDAY(A2280,2),"Segunda","Terça","Quarta","Quinta","Sexta","Sábado","Domingo"))</f>
        <v/>
      </c>
      <c r="Q2280" s="30">
        <f>IF(B2280="","",IF(B2280&lt;TIME(12,0,0),"Manhã",IF(B2280&lt;TIME(18,0,0),"Tarde","Noite")))</f>
        <v/>
      </c>
      <c r="R2280" s="46">
        <f>IF(AND(H2280="Realizado",L2280&lt;&gt;"",A2280&lt;=Config!$B$9),L2280/60,0)</f>
        <v>0</v>
      </c>
      <c r="S2280" s="45">
        <f>IF(G2280="","",IFERROR(INDEX(Config!$K$5:$K$16,MATCH(G2280,Config!$J$5:$J$16,0)),""))</f>
        <v/>
      </c>
      <c r="T2280" s="31">
        <f>IF(OR(G2280="",F2280=""),"",IFERROR(INDEX(Config!$M$5:$R$16,MATCH(G2280,Config!$J$5:$J$16,0),MATCH(F2280,Config!$H$5:$H$10,0)),""))</f>
        <v/>
      </c>
      <c r="U2280" s="47">
        <f>IF(AND(H2280="Realizado",L2280&lt;&gt;""),L2280/60,0)</f>
        <v>0</v>
      </c>
      <c r="V2280" s="47">
        <f>IF(AND(H2280="Realizado",OR(L2280="",M2280="")),1,0)</f>
        <v>0</v>
      </c>
    </row>
    <row r="2281">
      <c r="A2281" s="43" t="n"/>
      <c r="B2281" s="44" t="n"/>
      <c r="C2281" s="38" t="n"/>
      <c r="D2281" s="38" t="n"/>
      <c r="E2281" s="37" t="n"/>
      <c r="F2281" s="38" t="n"/>
      <c r="G2281" s="38" t="n"/>
      <c r="H2281" s="38" t="n"/>
      <c r="I2281" s="38" t="n"/>
      <c r="J2281" s="38" t="n"/>
      <c r="K2281" s="37" t="n"/>
      <c r="L2281" s="39" t="n"/>
      <c r="M2281" s="40" t="n"/>
      <c r="N2281" s="30">
        <f>IF(A2281="","",MONTH(A2281))</f>
        <v/>
      </c>
      <c r="O2281" s="30">
        <f>IF(A2281="","",YEAR(A2281))</f>
        <v/>
      </c>
      <c r="P2281" s="30">
        <f>IF(A2281="","",CHOOSE(WEEKDAY(A2281,2),"Segunda","Terça","Quarta","Quinta","Sexta","Sábado","Domingo"))</f>
        <v/>
      </c>
      <c r="Q2281" s="30">
        <f>IF(B2281="","",IF(B2281&lt;TIME(12,0,0),"Manhã",IF(B2281&lt;TIME(18,0,0),"Tarde","Noite")))</f>
        <v/>
      </c>
      <c r="R2281" s="46">
        <f>IF(AND(H2281="Realizado",L2281&lt;&gt;"",A2281&lt;=Config!$B$9),L2281/60,0)</f>
        <v>0</v>
      </c>
      <c r="S2281" s="45">
        <f>IF(G2281="","",IFERROR(INDEX(Config!$K$5:$K$16,MATCH(G2281,Config!$J$5:$J$16,0)),""))</f>
        <v/>
      </c>
      <c r="T2281" s="31">
        <f>IF(OR(G2281="",F2281=""),"",IFERROR(INDEX(Config!$M$5:$R$16,MATCH(G2281,Config!$J$5:$J$16,0),MATCH(F2281,Config!$H$5:$H$10,0)),""))</f>
        <v/>
      </c>
      <c r="U2281" s="47">
        <f>IF(AND(H2281="Realizado",L2281&lt;&gt;""),L2281/60,0)</f>
        <v>0</v>
      </c>
      <c r="V2281" s="47">
        <f>IF(AND(H2281="Realizado",OR(L2281="",M2281="")),1,0)</f>
        <v>0</v>
      </c>
    </row>
    <row r="2282">
      <c r="A2282" s="43" t="n"/>
      <c r="B2282" s="44" t="n"/>
      <c r="C2282" s="38" t="n"/>
      <c r="D2282" s="38" t="n"/>
      <c r="E2282" s="37" t="n"/>
      <c r="F2282" s="38" t="n"/>
      <c r="G2282" s="38" t="n"/>
      <c r="H2282" s="38" t="n"/>
      <c r="I2282" s="38" t="n"/>
      <c r="J2282" s="38" t="n"/>
      <c r="K2282" s="37" t="n"/>
      <c r="L2282" s="39" t="n"/>
      <c r="M2282" s="40" t="n"/>
      <c r="N2282" s="30">
        <f>IF(A2282="","",MONTH(A2282))</f>
        <v/>
      </c>
      <c r="O2282" s="30">
        <f>IF(A2282="","",YEAR(A2282))</f>
        <v/>
      </c>
      <c r="P2282" s="30">
        <f>IF(A2282="","",CHOOSE(WEEKDAY(A2282,2),"Segunda","Terça","Quarta","Quinta","Sexta","Sábado","Domingo"))</f>
        <v/>
      </c>
      <c r="Q2282" s="30">
        <f>IF(B2282="","",IF(B2282&lt;TIME(12,0,0),"Manhã",IF(B2282&lt;TIME(18,0,0),"Tarde","Noite")))</f>
        <v/>
      </c>
      <c r="R2282" s="46">
        <f>IF(AND(H2282="Realizado",L2282&lt;&gt;"",A2282&lt;=Config!$B$9),L2282/60,0)</f>
        <v>0</v>
      </c>
      <c r="S2282" s="45">
        <f>IF(G2282="","",IFERROR(INDEX(Config!$K$5:$K$16,MATCH(G2282,Config!$J$5:$J$16,0)),""))</f>
        <v/>
      </c>
      <c r="T2282" s="31">
        <f>IF(OR(G2282="",F2282=""),"",IFERROR(INDEX(Config!$M$5:$R$16,MATCH(G2282,Config!$J$5:$J$16,0),MATCH(F2282,Config!$H$5:$H$10,0)),""))</f>
        <v/>
      </c>
      <c r="U2282" s="47">
        <f>IF(AND(H2282="Realizado",L2282&lt;&gt;""),L2282/60,0)</f>
        <v>0</v>
      </c>
      <c r="V2282" s="47">
        <f>IF(AND(H2282="Realizado",OR(L2282="",M2282="")),1,0)</f>
        <v>0</v>
      </c>
    </row>
    <row r="2283">
      <c r="A2283" s="43" t="n"/>
      <c r="B2283" s="44" t="n"/>
      <c r="C2283" s="38" t="n"/>
      <c r="D2283" s="38" t="n"/>
      <c r="E2283" s="37" t="n"/>
      <c r="F2283" s="38" t="n"/>
      <c r="G2283" s="38" t="n"/>
      <c r="H2283" s="38" t="n"/>
      <c r="I2283" s="38" t="n"/>
      <c r="J2283" s="38" t="n"/>
      <c r="K2283" s="37" t="n"/>
      <c r="L2283" s="39" t="n"/>
      <c r="M2283" s="40" t="n"/>
      <c r="N2283" s="30">
        <f>IF(A2283="","",MONTH(A2283))</f>
        <v/>
      </c>
      <c r="O2283" s="30">
        <f>IF(A2283="","",YEAR(A2283))</f>
        <v/>
      </c>
      <c r="P2283" s="30">
        <f>IF(A2283="","",CHOOSE(WEEKDAY(A2283,2),"Segunda","Terça","Quarta","Quinta","Sexta","Sábado","Domingo"))</f>
        <v/>
      </c>
      <c r="Q2283" s="30">
        <f>IF(B2283="","",IF(B2283&lt;TIME(12,0,0),"Manhã",IF(B2283&lt;TIME(18,0,0),"Tarde","Noite")))</f>
        <v/>
      </c>
      <c r="R2283" s="46">
        <f>IF(AND(H2283="Realizado",L2283&lt;&gt;"",A2283&lt;=Config!$B$9),L2283/60,0)</f>
        <v>0</v>
      </c>
      <c r="S2283" s="45">
        <f>IF(G2283="","",IFERROR(INDEX(Config!$K$5:$K$16,MATCH(G2283,Config!$J$5:$J$16,0)),""))</f>
        <v/>
      </c>
      <c r="T2283" s="31">
        <f>IF(OR(G2283="",F2283=""),"",IFERROR(INDEX(Config!$M$5:$R$16,MATCH(G2283,Config!$J$5:$J$16,0),MATCH(F2283,Config!$H$5:$H$10,0)),""))</f>
        <v/>
      </c>
      <c r="U2283" s="47">
        <f>IF(AND(H2283="Realizado",L2283&lt;&gt;""),L2283/60,0)</f>
        <v>0</v>
      </c>
      <c r="V2283" s="47">
        <f>IF(AND(H2283="Realizado",OR(L2283="",M2283="")),1,0)</f>
        <v>0</v>
      </c>
    </row>
    <row r="2284">
      <c r="A2284" s="43" t="n"/>
      <c r="B2284" s="44" t="n"/>
      <c r="C2284" s="38" t="n"/>
      <c r="D2284" s="38" t="n"/>
      <c r="E2284" s="37" t="n"/>
      <c r="F2284" s="38" t="n"/>
      <c r="G2284" s="38" t="n"/>
      <c r="H2284" s="38" t="n"/>
      <c r="I2284" s="38" t="n"/>
      <c r="J2284" s="38" t="n"/>
      <c r="K2284" s="37" t="n"/>
      <c r="L2284" s="39" t="n"/>
      <c r="M2284" s="40" t="n"/>
      <c r="N2284" s="30">
        <f>IF(A2284="","",MONTH(A2284))</f>
        <v/>
      </c>
      <c r="O2284" s="30">
        <f>IF(A2284="","",YEAR(A2284))</f>
        <v/>
      </c>
      <c r="P2284" s="30">
        <f>IF(A2284="","",CHOOSE(WEEKDAY(A2284,2),"Segunda","Terça","Quarta","Quinta","Sexta","Sábado","Domingo"))</f>
        <v/>
      </c>
      <c r="Q2284" s="30">
        <f>IF(B2284="","",IF(B2284&lt;TIME(12,0,0),"Manhã",IF(B2284&lt;TIME(18,0,0),"Tarde","Noite")))</f>
        <v/>
      </c>
      <c r="R2284" s="46">
        <f>IF(AND(H2284="Realizado",L2284&lt;&gt;"",A2284&lt;=Config!$B$9),L2284/60,0)</f>
        <v>0</v>
      </c>
      <c r="S2284" s="45">
        <f>IF(G2284="","",IFERROR(INDEX(Config!$K$5:$K$16,MATCH(G2284,Config!$J$5:$J$16,0)),""))</f>
        <v/>
      </c>
      <c r="T2284" s="31">
        <f>IF(OR(G2284="",F2284=""),"",IFERROR(INDEX(Config!$M$5:$R$16,MATCH(G2284,Config!$J$5:$J$16,0),MATCH(F2284,Config!$H$5:$H$10,0)),""))</f>
        <v/>
      </c>
      <c r="U2284" s="47">
        <f>IF(AND(H2284="Realizado",L2284&lt;&gt;""),L2284/60,0)</f>
        <v>0</v>
      </c>
      <c r="V2284" s="47">
        <f>IF(AND(H2284="Realizado",OR(L2284="",M2284="")),1,0)</f>
        <v>0</v>
      </c>
    </row>
    <row r="2285">
      <c r="A2285" s="43" t="n"/>
      <c r="B2285" s="44" t="n"/>
      <c r="C2285" s="38" t="n"/>
      <c r="D2285" s="38" t="n"/>
      <c r="E2285" s="37" t="n"/>
      <c r="F2285" s="38" t="n"/>
      <c r="G2285" s="38" t="n"/>
      <c r="H2285" s="38" t="n"/>
      <c r="I2285" s="38" t="n"/>
      <c r="J2285" s="38" t="n"/>
      <c r="K2285" s="37" t="n"/>
      <c r="L2285" s="39" t="n"/>
      <c r="M2285" s="40" t="n"/>
      <c r="N2285" s="30">
        <f>IF(A2285="","",MONTH(A2285))</f>
        <v/>
      </c>
      <c r="O2285" s="30">
        <f>IF(A2285="","",YEAR(A2285))</f>
        <v/>
      </c>
      <c r="P2285" s="30">
        <f>IF(A2285="","",CHOOSE(WEEKDAY(A2285,2),"Segunda","Terça","Quarta","Quinta","Sexta","Sábado","Domingo"))</f>
        <v/>
      </c>
      <c r="Q2285" s="30">
        <f>IF(B2285="","",IF(B2285&lt;TIME(12,0,0),"Manhã",IF(B2285&lt;TIME(18,0,0),"Tarde","Noite")))</f>
        <v/>
      </c>
      <c r="R2285" s="46">
        <f>IF(AND(H2285="Realizado",L2285&lt;&gt;"",A2285&lt;=Config!$B$9),L2285/60,0)</f>
        <v>0</v>
      </c>
      <c r="S2285" s="45">
        <f>IF(G2285="","",IFERROR(INDEX(Config!$K$5:$K$16,MATCH(G2285,Config!$J$5:$J$16,0)),""))</f>
        <v/>
      </c>
      <c r="T2285" s="31">
        <f>IF(OR(G2285="",F2285=""),"",IFERROR(INDEX(Config!$M$5:$R$16,MATCH(G2285,Config!$J$5:$J$16,0),MATCH(F2285,Config!$H$5:$H$10,0)),""))</f>
        <v/>
      </c>
      <c r="U2285" s="47">
        <f>IF(AND(H2285="Realizado",L2285&lt;&gt;""),L2285/60,0)</f>
        <v>0</v>
      </c>
      <c r="V2285" s="47">
        <f>IF(AND(H2285="Realizado",OR(L2285="",M2285="")),1,0)</f>
        <v>0</v>
      </c>
    </row>
    <row r="2286">
      <c r="A2286" s="43" t="n"/>
      <c r="B2286" s="44" t="n"/>
      <c r="C2286" s="38" t="n"/>
      <c r="D2286" s="38" t="n"/>
      <c r="E2286" s="37" t="n"/>
      <c r="F2286" s="38" t="n"/>
      <c r="G2286" s="38" t="n"/>
      <c r="H2286" s="38" t="n"/>
      <c r="I2286" s="38" t="n"/>
      <c r="J2286" s="38" t="n"/>
      <c r="K2286" s="37" t="n"/>
      <c r="L2286" s="39" t="n"/>
      <c r="M2286" s="40" t="n"/>
      <c r="N2286" s="30">
        <f>IF(A2286="","",MONTH(A2286))</f>
        <v/>
      </c>
      <c r="O2286" s="30">
        <f>IF(A2286="","",YEAR(A2286))</f>
        <v/>
      </c>
      <c r="P2286" s="30">
        <f>IF(A2286="","",CHOOSE(WEEKDAY(A2286,2),"Segunda","Terça","Quarta","Quinta","Sexta","Sábado","Domingo"))</f>
        <v/>
      </c>
      <c r="Q2286" s="30">
        <f>IF(B2286="","",IF(B2286&lt;TIME(12,0,0),"Manhã",IF(B2286&lt;TIME(18,0,0),"Tarde","Noite")))</f>
        <v/>
      </c>
      <c r="R2286" s="46">
        <f>IF(AND(H2286="Realizado",L2286&lt;&gt;"",A2286&lt;=Config!$B$9),L2286/60,0)</f>
        <v>0</v>
      </c>
      <c r="S2286" s="45">
        <f>IF(G2286="","",IFERROR(INDEX(Config!$K$5:$K$16,MATCH(G2286,Config!$J$5:$J$16,0)),""))</f>
        <v/>
      </c>
      <c r="T2286" s="31">
        <f>IF(OR(G2286="",F2286=""),"",IFERROR(INDEX(Config!$M$5:$R$16,MATCH(G2286,Config!$J$5:$J$16,0),MATCH(F2286,Config!$H$5:$H$10,0)),""))</f>
        <v/>
      </c>
      <c r="U2286" s="47">
        <f>IF(AND(H2286="Realizado",L2286&lt;&gt;""),L2286/60,0)</f>
        <v>0</v>
      </c>
      <c r="V2286" s="47">
        <f>IF(AND(H2286="Realizado",OR(L2286="",M2286="")),1,0)</f>
        <v>0</v>
      </c>
    </row>
    <row r="2287">
      <c r="A2287" s="43" t="n"/>
      <c r="B2287" s="44" t="n"/>
      <c r="C2287" s="38" t="n"/>
      <c r="D2287" s="38" t="n"/>
      <c r="E2287" s="37" t="n"/>
      <c r="F2287" s="38" t="n"/>
      <c r="G2287" s="38" t="n"/>
      <c r="H2287" s="38" t="n"/>
      <c r="I2287" s="38" t="n"/>
      <c r="J2287" s="38" t="n"/>
      <c r="K2287" s="37" t="n"/>
      <c r="L2287" s="39" t="n"/>
      <c r="M2287" s="40" t="n"/>
      <c r="N2287" s="30">
        <f>IF(A2287="","",MONTH(A2287))</f>
        <v/>
      </c>
      <c r="O2287" s="30">
        <f>IF(A2287="","",YEAR(A2287))</f>
        <v/>
      </c>
      <c r="P2287" s="30">
        <f>IF(A2287="","",CHOOSE(WEEKDAY(A2287,2),"Segunda","Terça","Quarta","Quinta","Sexta","Sábado","Domingo"))</f>
        <v/>
      </c>
      <c r="Q2287" s="30">
        <f>IF(B2287="","",IF(B2287&lt;TIME(12,0,0),"Manhã",IF(B2287&lt;TIME(18,0,0),"Tarde","Noite")))</f>
        <v/>
      </c>
      <c r="R2287" s="46">
        <f>IF(AND(H2287="Realizado",L2287&lt;&gt;"",A2287&lt;=Config!$B$9),L2287/60,0)</f>
        <v>0</v>
      </c>
      <c r="S2287" s="45">
        <f>IF(G2287="","",IFERROR(INDEX(Config!$K$5:$K$16,MATCH(G2287,Config!$J$5:$J$16,0)),""))</f>
        <v/>
      </c>
      <c r="T2287" s="31">
        <f>IF(OR(G2287="",F2287=""),"",IFERROR(INDEX(Config!$M$5:$R$16,MATCH(G2287,Config!$J$5:$J$16,0),MATCH(F2287,Config!$H$5:$H$10,0)),""))</f>
        <v/>
      </c>
      <c r="U2287" s="47">
        <f>IF(AND(H2287="Realizado",L2287&lt;&gt;""),L2287/60,0)</f>
        <v>0</v>
      </c>
      <c r="V2287" s="47">
        <f>IF(AND(H2287="Realizado",OR(L2287="",M2287="")),1,0)</f>
        <v>0</v>
      </c>
    </row>
    <row r="2288">
      <c r="A2288" s="43" t="n"/>
      <c r="B2288" s="44" t="n"/>
      <c r="C2288" s="38" t="n"/>
      <c r="D2288" s="38" t="n"/>
      <c r="E2288" s="37" t="n"/>
      <c r="F2288" s="38" t="n"/>
      <c r="G2288" s="38" t="n"/>
      <c r="H2288" s="38" t="n"/>
      <c r="I2288" s="38" t="n"/>
      <c r="J2288" s="38" t="n"/>
      <c r="K2288" s="37" t="n"/>
      <c r="L2288" s="39" t="n"/>
      <c r="M2288" s="40" t="n"/>
      <c r="N2288" s="30">
        <f>IF(A2288="","",MONTH(A2288))</f>
        <v/>
      </c>
      <c r="O2288" s="30">
        <f>IF(A2288="","",YEAR(A2288))</f>
        <v/>
      </c>
      <c r="P2288" s="30">
        <f>IF(A2288="","",CHOOSE(WEEKDAY(A2288,2),"Segunda","Terça","Quarta","Quinta","Sexta","Sábado","Domingo"))</f>
        <v/>
      </c>
      <c r="Q2288" s="30">
        <f>IF(B2288="","",IF(B2288&lt;TIME(12,0,0),"Manhã",IF(B2288&lt;TIME(18,0,0),"Tarde","Noite")))</f>
        <v/>
      </c>
      <c r="R2288" s="46">
        <f>IF(AND(H2288="Realizado",L2288&lt;&gt;"",A2288&lt;=Config!$B$9),L2288/60,0)</f>
        <v>0</v>
      </c>
      <c r="S2288" s="45">
        <f>IF(G2288="","",IFERROR(INDEX(Config!$K$5:$K$16,MATCH(G2288,Config!$J$5:$J$16,0)),""))</f>
        <v/>
      </c>
      <c r="T2288" s="31">
        <f>IF(OR(G2288="",F2288=""),"",IFERROR(INDEX(Config!$M$5:$R$16,MATCH(G2288,Config!$J$5:$J$16,0),MATCH(F2288,Config!$H$5:$H$10,0)),""))</f>
        <v/>
      </c>
      <c r="U2288" s="47">
        <f>IF(AND(H2288="Realizado",L2288&lt;&gt;""),L2288/60,0)</f>
        <v>0</v>
      </c>
      <c r="V2288" s="47">
        <f>IF(AND(H2288="Realizado",OR(L2288="",M2288="")),1,0)</f>
        <v>0</v>
      </c>
    </row>
    <row r="2289">
      <c r="A2289" s="43" t="n"/>
      <c r="B2289" s="44" t="n"/>
      <c r="C2289" s="38" t="n"/>
      <c r="D2289" s="38" t="n"/>
      <c r="E2289" s="37" t="n"/>
      <c r="F2289" s="38" t="n"/>
      <c r="G2289" s="38" t="n"/>
      <c r="H2289" s="38" t="n"/>
      <c r="I2289" s="38" t="n"/>
      <c r="J2289" s="38" t="n"/>
      <c r="K2289" s="37" t="n"/>
      <c r="L2289" s="39" t="n"/>
      <c r="M2289" s="40" t="n"/>
      <c r="N2289" s="30">
        <f>IF(A2289="","",MONTH(A2289))</f>
        <v/>
      </c>
      <c r="O2289" s="30">
        <f>IF(A2289="","",YEAR(A2289))</f>
        <v/>
      </c>
      <c r="P2289" s="30">
        <f>IF(A2289="","",CHOOSE(WEEKDAY(A2289,2),"Segunda","Terça","Quarta","Quinta","Sexta","Sábado","Domingo"))</f>
        <v/>
      </c>
      <c r="Q2289" s="30">
        <f>IF(B2289="","",IF(B2289&lt;TIME(12,0,0),"Manhã",IF(B2289&lt;TIME(18,0,0),"Tarde","Noite")))</f>
        <v/>
      </c>
      <c r="R2289" s="46">
        <f>IF(AND(H2289="Realizado",L2289&lt;&gt;"",A2289&lt;=Config!$B$9),L2289/60,0)</f>
        <v>0</v>
      </c>
      <c r="S2289" s="45">
        <f>IF(G2289="","",IFERROR(INDEX(Config!$K$5:$K$16,MATCH(G2289,Config!$J$5:$J$16,0)),""))</f>
        <v/>
      </c>
      <c r="T2289" s="31">
        <f>IF(OR(G2289="",F2289=""),"",IFERROR(INDEX(Config!$M$5:$R$16,MATCH(G2289,Config!$J$5:$J$16,0),MATCH(F2289,Config!$H$5:$H$10,0)),""))</f>
        <v/>
      </c>
      <c r="U2289" s="47">
        <f>IF(AND(H2289="Realizado",L2289&lt;&gt;""),L2289/60,0)</f>
        <v>0</v>
      </c>
      <c r="V2289" s="47">
        <f>IF(AND(H2289="Realizado",OR(L2289="",M2289="")),1,0)</f>
        <v>0</v>
      </c>
    </row>
    <row r="2290">
      <c r="A2290" s="43" t="n"/>
      <c r="B2290" s="44" t="n"/>
      <c r="C2290" s="38" t="n"/>
      <c r="D2290" s="38" t="n"/>
      <c r="E2290" s="37" t="n"/>
      <c r="F2290" s="38" t="n"/>
      <c r="G2290" s="38" t="n"/>
      <c r="H2290" s="38" t="n"/>
      <c r="I2290" s="38" t="n"/>
      <c r="J2290" s="38" t="n"/>
      <c r="K2290" s="37" t="n"/>
      <c r="L2290" s="39" t="n"/>
      <c r="M2290" s="40" t="n"/>
      <c r="N2290" s="30">
        <f>IF(A2290="","",MONTH(A2290))</f>
        <v/>
      </c>
      <c r="O2290" s="30">
        <f>IF(A2290="","",YEAR(A2290))</f>
        <v/>
      </c>
      <c r="P2290" s="30">
        <f>IF(A2290="","",CHOOSE(WEEKDAY(A2290,2),"Segunda","Terça","Quarta","Quinta","Sexta","Sábado","Domingo"))</f>
        <v/>
      </c>
      <c r="Q2290" s="30">
        <f>IF(B2290="","",IF(B2290&lt;TIME(12,0,0),"Manhã",IF(B2290&lt;TIME(18,0,0),"Tarde","Noite")))</f>
        <v/>
      </c>
      <c r="R2290" s="46">
        <f>IF(AND(H2290="Realizado",L2290&lt;&gt;"",A2290&lt;=Config!$B$9),L2290/60,0)</f>
        <v>0</v>
      </c>
      <c r="S2290" s="45">
        <f>IF(G2290="","",IFERROR(INDEX(Config!$K$5:$K$16,MATCH(G2290,Config!$J$5:$J$16,0)),""))</f>
        <v/>
      </c>
      <c r="T2290" s="31">
        <f>IF(OR(G2290="",F2290=""),"",IFERROR(INDEX(Config!$M$5:$R$16,MATCH(G2290,Config!$J$5:$J$16,0),MATCH(F2290,Config!$H$5:$H$10,0)),""))</f>
        <v/>
      </c>
      <c r="U2290" s="47">
        <f>IF(AND(H2290="Realizado",L2290&lt;&gt;""),L2290/60,0)</f>
        <v>0</v>
      </c>
      <c r="V2290" s="47">
        <f>IF(AND(H2290="Realizado",OR(L2290="",M2290="")),1,0)</f>
        <v>0</v>
      </c>
    </row>
    <row r="2291">
      <c r="A2291" s="43" t="n"/>
      <c r="B2291" s="44" t="n"/>
      <c r="C2291" s="38" t="n"/>
      <c r="D2291" s="38" t="n"/>
      <c r="E2291" s="37" t="n"/>
      <c r="F2291" s="38" t="n"/>
      <c r="G2291" s="38" t="n"/>
      <c r="H2291" s="38" t="n"/>
      <c r="I2291" s="38" t="n"/>
      <c r="J2291" s="38" t="n"/>
      <c r="K2291" s="37" t="n"/>
      <c r="L2291" s="39" t="n"/>
      <c r="M2291" s="40" t="n"/>
      <c r="N2291" s="30">
        <f>IF(A2291="","",MONTH(A2291))</f>
        <v/>
      </c>
      <c r="O2291" s="30">
        <f>IF(A2291="","",YEAR(A2291))</f>
        <v/>
      </c>
      <c r="P2291" s="30">
        <f>IF(A2291="","",CHOOSE(WEEKDAY(A2291,2),"Segunda","Terça","Quarta","Quinta","Sexta","Sábado","Domingo"))</f>
        <v/>
      </c>
      <c r="Q2291" s="30">
        <f>IF(B2291="","",IF(B2291&lt;TIME(12,0,0),"Manhã",IF(B2291&lt;TIME(18,0,0),"Tarde","Noite")))</f>
        <v/>
      </c>
      <c r="R2291" s="46">
        <f>IF(AND(H2291="Realizado",L2291&lt;&gt;"",A2291&lt;=Config!$B$9),L2291/60,0)</f>
        <v>0</v>
      </c>
      <c r="S2291" s="45">
        <f>IF(G2291="","",IFERROR(INDEX(Config!$K$5:$K$16,MATCH(G2291,Config!$J$5:$J$16,0)),""))</f>
        <v/>
      </c>
      <c r="T2291" s="31">
        <f>IF(OR(G2291="",F2291=""),"",IFERROR(INDEX(Config!$M$5:$R$16,MATCH(G2291,Config!$J$5:$J$16,0),MATCH(F2291,Config!$H$5:$H$10,0)),""))</f>
        <v/>
      </c>
      <c r="U2291" s="47">
        <f>IF(AND(H2291="Realizado",L2291&lt;&gt;""),L2291/60,0)</f>
        <v>0</v>
      </c>
      <c r="V2291" s="47">
        <f>IF(AND(H2291="Realizado",OR(L2291="",M2291="")),1,0)</f>
        <v>0</v>
      </c>
    </row>
    <row r="2292">
      <c r="A2292" s="43" t="n"/>
      <c r="B2292" s="44" t="n"/>
      <c r="C2292" s="38" t="n"/>
      <c r="D2292" s="38" t="n"/>
      <c r="E2292" s="37" t="n"/>
      <c r="F2292" s="38" t="n"/>
      <c r="G2292" s="38" t="n"/>
      <c r="H2292" s="38" t="n"/>
      <c r="I2292" s="38" t="n"/>
      <c r="J2292" s="38" t="n"/>
      <c r="K2292" s="37" t="n"/>
      <c r="L2292" s="39" t="n"/>
      <c r="M2292" s="40" t="n"/>
      <c r="N2292" s="30">
        <f>IF(A2292="","",MONTH(A2292))</f>
        <v/>
      </c>
      <c r="O2292" s="30">
        <f>IF(A2292="","",YEAR(A2292))</f>
        <v/>
      </c>
      <c r="P2292" s="30">
        <f>IF(A2292="","",CHOOSE(WEEKDAY(A2292,2),"Segunda","Terça","Quarta","Quinta","Sexta","Sábado","Domingo"))</f>
        <v/>
      </c>
      <c r="Q2292" s="30">
        <f>IF(B2292="","",IF(B2292&lt;TIME(12,0,0),"Manhã",IF(B2292&lt;TIME(18,0,0),"Tarde","Noite")))</f>
        <v/>
      </c>
      <c r="R2292" s="46">
        <f>IF(AND(H2292="Realizado",L2292&lt;&gt;"",A2292&lt;=Config!$B$9),L2292/60,0)</f>
        <v>0</v>
      </c>
      <c r="S2292" s="45">
        <f>IF(G2292="","",IFERROR(INDEX(Config!$K$5:$K$16,MATCH(G2292,Config!$J$5:$J$16,0)),""))</f>
        <v/>
      </c>
      <c r="T2292" s="31">
        <f>IF(OR(G2292="",F2292=""),"",IFERROR(INDEX(Config!$M$5:$R$16,MATCH(G2292,Config!$J$5:$J$16,0),MATCH(F2292,Config!$H$5:$H$10,0)),""))</f>
        <v/>
      </c>
      <c r="U2292" s="47">
        <f>IF(AND(H2292="Realizado",L2292&lt;&gt;""),L2292/60,0)</f>
        <v>0</v>
      </c>
      <c r="V2292" s="47">
        <f>IF(AND(H2292="Realizado",OR(L2292="",M2292="")),1,0)</f>
        <v>0</v>
      </c>
    </row>
    <row r="2293">
      <c r="A2293" s="43" t="n"/>
      <c r="B2293" s="44" t="n"/>
      <c r="C2293" s="38" t="n"/>
      <c r="D2293" s="38" t="n"/>
      <c r="E2293" s="37" t="n"/>
      <c r="F2293" s="38" t="n"/>
      <c r="G2293" s="38" t="n"/>
      <c r="H2293" s="38" t="n"/>
      <c r="I2293" s="38" t="n"/>
      <c r="J2293" s="38" t="n"/>
      <c r="K2293" s="37" t="n"/>
      <c r="L2293" s="39" t="n"/>
      <c r="M2293" s="40" t="n"/>
      <c r="N2293" s="30">
        <f>IF(A2293="","",MONTH(A2293))</f>
        <v/>
      </c>
      <c r="O2293" s="30">
        <f>IF(A2293="","",YEAR(A2293))</f>
        <v/>
      </c>
      <c r="P2293" s="30">
        <f>IF(A2293="","",CHOOSE(WEEKDAY(A2293,2),"Segunda","Terça","Quarta","Quinta","Sexta","Sábado","Domingo"))</f>
        <v/>
      </c>
      <c r="Q2293" s="30">
        <f>IF(B2293="","",IF(B2293&lt;TIME(12,0,0),"Manhã",IF(B2293&lt;TIME(18,0,0),"Tarde","Noite")))</f>
        <v/>
      </c>
      <c r="R2293" s="46">
        <f>IF(AND(H2293="Realizado",L2293&lt;&gt;"",A2293&lt;=Config!$B$9),L2293/60,0)</f>
        <v>0</v>
      </c>
      <c r="S2293" s="45">
        <f>IF(G2293="","",IFERROR(INDEX(Config!$K$5:$K$16,MATCH(G2293,Config!$J$5:$J$16,0)),""))</f>
        <v/>
      </c>
      <c r="T2293" s="31">
        <f>IF(OR(G2293="",F2293=""),"",IFERROR(INDEX(Config!$M$5:$R$16,MATCH(G2293,Config!$J$5:$J$16,0),MATCH(F2293,Config!$H$5:$H$10,0)),""))</f>
        <v/>
      </c>
      <c r="U2293" s="47">
        <f>IF(AND(H2293="Realizado",L2293&lt;&gt;""),L2293/60,0)</f>
        <v>0</v>
      </c>
      <c r="V2293" s="47">
        <f>IF(AND(H2293="Realizado",OR(L2293="",M2293="")),1,0)</f>
        <v>0</v>
      </c>
    </row>
    <row r="2294">
      <c r="A2294" s="43" t="n"/>
      <c r="B2294" s="44" t="n"/>
      <c r="C2294" s="38" t="n"/>
      <c r="D2294" s="38" t="n"/>
      <c r="E2294" s="37" t="n"/>
      <c r="F2294" s="38" t="n"/>
      <c r="G2294" s="38" t="n"/>
      <c r="H2294" s="38" t="n"/>
      <c r="I2294" s="38" t="n"/>
      <c r="J2294" s="38" t="n"/>
      <c r="K2294" s="37" t="n"/>
      <c r="L2294" s="39" t="n"/>
      <c r="M2294" s="40" t="n"/>
      <c r="N2294" s="30">
        <f>IF(A2294="","",MONTH(A2294))</f>
        <v/>
      </c>
      <c r="O2294" s="30">
        <f>IF(A2294="","",YEAR(A2294))</f>
        <v/>
      </c>
      <c r="P2294" s="30">
        <f>IF(A2294="","",CHOOSE(WEEKDAY(A2294,2),"Segunda","Terça","Quarta","Quinta","Sexta","Sábado","Domingo"))</f>
        <v/>
      </c>
      <c r="Q2294" s="30">
        <f>IF(B2294="","",IF(B2294&lt;TIME(12,0,0),"Manhã",IF(B2294&lt;TIME(18,0,0),"Tarde","Noite")))</f>
        <v/>
      </c>
      <c r="R2294" s="46">
        <f>IF(AND(H2294="Realizado",L2294&lt;&gt;"",A2294&lt;=Config!$B$9),L2294/60,0)</f>
        <v>0</v>
      </c>
      <c r="S2294" s="45">
        <f>IF(G2294="","",IFERROR(INDEX(Config!$K$5:$K$16,MATCH(G2294,Config!$J$5:$J$16,0)),""))</f>
        <v/>
      </c>
      <c r="T2294" s="31">
        <f>IF(OR(G2294="",F2294=""),"",IFERROR(INDEX(Config!$M$5:$R$16,MATCH(G2294,Config!$J$5:$J$16,0),MATCH(F2294,Config!$H$5:$H$10,0)),""))</f>
        <v/>
      </c>
      <c r="U2294" s="47">
        <f>IF(AND(H2294="Realizado",L2294&lt;&gt;""),L2294/60,0)</f>
        <v>0</v>
      </c>
      <c r="V2294" s="47">
        <f>IF(AND(H2294="Realizado",OR(L2294="",M2294="")),1,0)</f>
        <v>0</v>
      </c>
    </row>
    <row r="2295">
      <c r="A2295" s="43" t="n"/>
      <c r="B2295" s="44" t="n"/>
      <c r="C2295" s="38" t="n"/>
      <c r="D2295" s="38" t="n"/>
      <c r="E2295" s="37" t="n"/>
      <c r="F2295" s="38" t="n"/>
      <c r="G2295" s="38" t="n"/>
      <c r="H2295" s="38" t="n"/>
      <c r="I2295" s="38" t="n"/>
      <c r="J2295" s="38" t="n"/>
      <c r="K2295" s="37" t="n"/>
      <c r="L2295" s="39" t="n"/>
      <c r="M2295" s="40" t="n"/>
      <c r="N2295" s="30">
        <f>IF(A2295="","",MONTH(A2295))</f>
        <v/>
      </c>
      <c r="O2295" s="30">
        <f>IF(A2295="","",YEAR(A2295))</f>
        <v/>
      </c>
      <c r="P2295" s="30">
        <f>IF(A2295="","",CHOOSE(WEEKDAY(A2295,2),"Segunda","Terça","Quarta","Quinta","Sexta","Sábado","Domingo"))</f>
        <v/>
      </c>
      <c r="Q2295" s="30">
        <f>IF(B2295="","",IF(B2295&lt;TIME(12,0,0),"Manhã",IF(B2295&lt;TIME(18,0,0),"Tarde","Noite")))</f>
        <v/>
      </c>
      <c r="R2295" s="46">
        <f>IF(AND(H2295="Realizado",L2295&lt;&gt;"",A2295&lt;=Config!$B$9),L2295/60,0)</f>
        <v>0</v>
      </c>
      <c r="S2295" s="45">
        <f>IF(G2295="","",IFERROR(INDEX(Config!$K$5:$K$16,MATCH(G2295,Config!$J$5:$J$16,0)),""))</f>
        <v/>
      </c>
      <c r="T2295" s="31">
        <f>IF(OR(G2295="",F2295=""),"",IFERROR(INDEX(Config!$M$5:$R$16,MATCH(G2295,Config!$J$5:$J$16,0),MATCH(F2295,Config!$H$5:$H$10,0)),""))</f>
        <v/>
      </c>
      <c r="U2295" s="47">
        <f>IF(AND(H2295="Realizado",L2295&lt;&gt;""),L2295/60,0)</f>
        <v>0</v>
      </c>
      <c r="V2295" s="47">
        <f>IF(AND(H2295="Realizado",OR(L2295="",M2295="")),1,0)</f>
        <v>0</v>
      </c>
    </row>
    <row r="2296">
      <c r="A2296" s="43" t="n"/>
      <c r="B2296" s="44" t="n"/>
      <c r="C2296" s="38" t="n"/>
      <c r="D2296" s="38" t="n"/>
      <c r="E2296" s="37" t="n"/>
      <c r="F2296" s="38" t="n"/>
      <c r="G2296" s="38" t="n"/>
      <c r="H2296" s="38" t="n"/>
      <c r="I2296" s="38" t="n"/>
      <c r="J2296" s="38" t="n"/>
      <c r="K2296" s="37" t="n"/>
      <c r="L2296" s="39" t="n"/>
      <c r="M2296" s="40" t="n"/>
      <c r="N2296" s="30">
        <f>IF(A2296="","",MONTH(A2296))</f>
        <v/>
      </c>
      <c r="O2296" s="30">
        <f>IF(A2296="","",YEAR(A2296))</f>
        <v/>
      </c>
      <c r="P2296" s="30">
        <f>IF(A2296="","",CHOOSE(WEEKDAY(A2296,2),"Segunda","Terça","Quarta","Quinta","Sexta","Sábado","Domingo"))</f>
        <v/>
      </c>
      <c r="Q2296" s="30">
        <f>IF(B2296="","",IF(B2296&lt;TIME(12,0,0),"Manhã",IF(B2296&lt;TIME(18,0,0),"Tarde","Noite")))</f>
        <v/>
      </c>
      <c r="R2296" s="46">
        <f>IF(AND(H2296="Realizado",L2296&lt;&gt;"",A2296&lt;=Config!$B$9),L2296/60,0)</f>
        <v>0</v>
      </c>
      <c r="S2296" s="45">
        <f>IF(G2296="","",IFERROR(INDEX(Config!$K$5:$K$16,MATCH(G2296,Config!$J$5:$J$16,0)),""))</f>
        <v/>
      </c>
      <c r="T2296" s="31">
        <f>IF(OR(G2296="",F2296=""),"",IFERROR(INDEX(Config!$M$5:$R$16,MATCH(G2296,Config!$J$5:$J$16,0),MATCH(F2296,Config!$H$5:$H$10,0)),""))</f>
        <v/>
      </c>
      <c r="U2296" s="47">
        <f>IF(AND(H2296="Realizado",L2296&lt;&gt;""),L2296/60,0)</f>
        <v>0</v>
      </c>
      <c r="V2296" s="47">
        <f>IF(AND(H2296="Realizado",OR(L2296="",M2296="")),1,0)</f>
        <v>0</v>
      </c>
    </row>
    <row r="2297">
      <c r="A2297" s="43" t="n"/>
      <c r="B2297" s="44" t="n"/>
      <c r="C2297" s="38" t="n"/>
      <c r="D2297" s="38" t="n"/>
      <c r="E2297" s="37" t="n"/>
      <c r="F2297" s="38" t="n"/>
      <c r="G2297" s="38" t="n"/>
      <c r="H2297" s="38" t="n"/>
      <c r="I2297" s="38" t="n"/>
      <c r="J2297" s="38" t="n"/>
      <c r="K2297" s="37" t="n"/>
      <c r="L2297" s="39" t="n"/>
      <c r="M2297" s="40" t="n"/>
      <c r="N2297" s="30">
        <f>IF(A2297="","",MONTH(A2297))</f>
        <v/>
      </c>
      <c r="O2297" s="30">
        <f>IF(A2297="","",YEAR(A2297))</f>
        <v/>
      </c>
      <c r="P2297" s="30">
        <f>IF(A2297="","",CHOOSE(WEEKDAY(A2297,2),"Segunda","Terça","Quarta","Quinta","Sexta","Sábado","Domingo"))</f>
        <v/>
      </c>
      <c r="Q2297" s="30">
        <f>IF(B2297="","",IF(B2297&lt;TIME(12,0,0),"Manhã",IF(B2297&lt;TIME(18,0,0),"Tarde","Noite")))</f>
        <v/>
      </c>
      <c r="R2297" s="46">
        <f>IF(AND(H2297="Realizado",L2297&lt;&gt;"",A2297&lt;=Config!$B$9),L2297/60,0)</f>
        <v>0</v>
      </c>
      <c r="S2297" s="45">
        <f>IF(G2297="","",IFERROR(INDEX(Config!$K$5:$K$16,MATCH(G2297,Config!$J$5:$J$16,0)),""))</f>
        <v/>
      </c>
      <c r="T2297" s="31">
        <f>IF(OR(G2297="",F2297=""),"",IFERROR(INDEX(Config!$M$5:$R$16,MATCH(G2297,Config!$J$5:$J$16,0),MATCH(F2297,Config!$H$5:$H$10,0)),""))</f>
        <v/>
      </c>
      <c r="U2297" s="47">
        <f>IF(AND(H2297="Realizado",L2297&lt;&gt;""),L2297/60,0)</f>
        <v>0</v>
      </c>
      <c r="V2297" s="47">
        <f>IF(AND(H2297="Realizado",OR(L2297="",M2297="")),1,0)</f>
        <v>0</v>
      </c>
    </row>
    <row r="2298">
      <c r="A2298" s="43" t="n"/>
      <c r="B2298" s="44" t="n"/>
      <c r="C2298" s="38" t="n"/>
      <c r="D2298" s="38" t="n"/>
      <c r="E2298" s="37" t="n"/>
      <c r="F2298" s="38" t="n"/>
      <c r="G2298" s="38" t="n"/>
      <c r="H2298" s="38" t="n"/>
      <c r="I2298" s="38" t="n"/>
      <c r="J2298" s="38" t="n"/>
      <c r="K2298" s="37" t="n"/>
      <c r="L2298" s="39" t="n"/>
      <c r="M2298" s="40" t="n"/>
      <c r="N2298" s="30">
        <f>IF(A2298="","",MONTH(A2298))</f>
        <v/>
      </c>
      <c r="O2298" s="30">
        <f>IF(A2298="","",YEAR(A2298))</f>
        <v/>
      </c>
      <c r="P2298" s="30">
        <f>IF(A2298="","",CHOOSE(WEEKDAY(A2298,2),"Segunda","Terça","Quarta","Quinta","Sexta","Sábado","Domingo"))</f>
        <v/>
      </c>
      <c r="Q2298" s="30">
        <f>IF(B2298="","",IF(B2298&lt;TIME(12,0,0),"Manhã",IF(B2298&lt;TIME(18,0,0),"Tarde","Noite")))</f>
        <v/>
      </c>
      <c r="R2298" s="46">
        <f>IF(AND(H2298="Realizado",L2298&lt;&gt;"",A2298&lt;=Config!$B$9),L2298/60,0)</f>
        <v>0</v>
      </c>
      <c r="S2298" s="45">
        <f>IF(G2298="","",IFERROR(INDEX(Config!$K$5:$K$16,MATCH(G2298,Config!$J$5:$J$16,0)),""))</f>
        <v/>
      </c>
      <c r="T2298" s="31">
        <f>IF(OR(G2298="",F2298=""),"",IFERROR(INDEX(Config!$M$5:$R$16,MATCH(G2298,Config!$J$5:$J$16,0),MATCH(F2298,Config!$H$5:$H$10,0)),""))</f>
        <v/>
      </c>
      <c r="U2298" s="47">
        <f>IF(AND(H2298="Realizado",L2298&lt;&gt;""),L2298/60,0)</f>
        <v>0</v>
      </c>
      <c r="V2298" s="47">
        <f>IF(AND(H2298="Realizado",OR(L2298="",M2298="")),1,0)</f>
        <v>0</v>
      </c>
    </row>
    <row r="2299">
      <c r="A2299" s="43" t="n"/>
      <c r="B2299" s="44" t="n"/>
      <c r="C2299" s="38" t="n"/>
      <c r="D2299" s="38" t="n"/>
      <c r="E2299" s="37" t="n"/>
      <c r="F2299" s="38" t="n"/>
      <c r="G2299" s="38" t="n"/>
      <c r="H2299" s="38" t="n"/>
      <c r="I2299" s="38" t="n"/>
      <c r="J2299" s="38" t="n"/>
      <c r="K2299" s="37" t="n"/>
      <c r="L2299" s="39" t="n"/>
      <c r="M2299" s="40" t="n"/>
      <c r="N2299" s="30">
        <f>IF(A2299="","",MONTH(A2299))</f>
        <v/>
      </c>
      <c r="O2299" s="30">
        <f>IF(A2299="","",YEAR(A2299))</f>
        <v/>
      </c>
      <c r="P2299" s="30">
        <f>IF(A2299="","",CHOOSE(WEEKDAY(A2299,2),"Segunda","Terça","Quarta","Quinta","Sexta","Sábado","Domingo"))</f>
        <v/>
      </c>
      <c r="Q2299" s="30">
        <f>IF(B2299="","",IF(B2299&lt;TIME(12,0,0),"Manhã",IF(B2299&lt;TIME(18,0,0),"Tarde","Noite")))</f>
        <v/>
      </c>
      <c r="R2299" s="46">
        <f>IF(AND(H2299="Realizado",L2299&lt;&gt;"",A2299&lt;=Config!$B$9),L2299/60,0)</f>
        <v>0</v>
      </c>
      <c r="S2299" s="45">
        <f>IF(G2299="","",IFERROR(INDEX(Config!$K$5:$K$16,MATCH(G2299,Config!$J$5:$J$16,0)),""))</f>
        <v/>
      </c>
      <c r="T2299" s="31">
        <f>IF(OR(G2299="",F2299=""),"",IFERROR(INDEX(Config!$M$5:$R$16,MATCH(G2299,Config!$J$5:$J$16,0),MATCH(F2299,Config!$H$5:$H$10,0)),""))</f>
        <v/>
      </c>
      <c r="U2299" s="47">
        <f>IF(AND(H2299="Realizado",L2299&lt;&gt;""),L2299/60,0)</f>
        <v>0</v>
      </c>
      <c r="V2299" s="47">
        <f>IF(AND(H2299="Realizado",OR(L2299="",M2299="")),1,0)</f>
        <v>0</v>
      </c>
    </row>
    <row r="2300">
      <c r="A2300" s="43" t="n"/>
      <c r="B2300" s="44" t="n"/>
      <c r="C2300" s="38" t="n"/>
      <c r="D2300" s="38" t="n"/>
      <c r="E2300" s="37" t="n"/>
      <c r="F2300" s="38" t="n"/>
      <c r="G2300" s="38" t="n"/>
      <c r="H2300" s="38" t="n"/>
      <c r="I2300" s="38" t="n"/>
      <c r="J2300" s="38" t="n"/>
      <c r="K2300" s="37" t="n"/>
      <c r="L2300" s="39" t="n"/>
      <c r="M2300" s="40" t="n"/>
      <c r="N2300" s="30">
        <f>IF(A2300="","",MONTH(A2300))</f>
        <v/>
      </c>
      <c r="O2300" s="30">
        <f>IF(A2300="","",YEAR(A2300))</f>
        <v/>
      </c>
      <c r="P2300" s="30">
        <f>IF(A2300="","",CHOOSE(WEEKDAY(A2300,2),"Segunda","Terça","Quarta","Quinta","Sexta","Sábado","Domingo"))</f>
        <v/>
      </c>
      <c r="Q2300" s="30">
        <f>IF(B2300="","",IF(B2300&lt;TIME(12,0,0),"Manhã",IF(B2300&lt;TIME(18,0,0),"Tarde","Noite")))</f>
        <v/>
      </c>
      <c r="R2300" s="46">
        <f>IF(AND(H2300="Realizado",L2300&lt;&gt;"",A2300&lt;=Config!$B$9),L2300/60,0)</f>
        <v>0</v>
      </c>
      <c r="S2300" s="45">
        <f>IF(G2300="","",IFERROR(INDEX(Config!$K$5:$K$16,MATCH(G2300,Config!$J$5:$J$16,0)),""))</f>
        <v/>
      </c>
      <c r="T2300" s="31">
        <f>IF(OR(G2300="",F2300=""),"",IFERROR(INDEX(Config!$M$5:$R$16,MATCH(G2300,Config!$J$5:$J$16,0),MATCH(F2300,Config!$H$5:$H$10,0)),""))</f>
        <v/>
      </c>
      <c r="U2300" s="47">
        <f>IF(AND(H2300="Realizado",L2300&lt;&gt;""),L2300/60,0)</f>
        <v>0</v>
      </c>
      <c r="V2300" s="47">
        <f>IF(AND(H2300="Realizado",OR(L2300="",M2300="")),1,0)</f>
        <v>0</v>
      </c>
    </row>
    <row r="2301">
      <c r="A2301" s="43" t="n"/>
      <c r="B2301" s="44" t="n"/>
      <c r="C2301" s="38" t="n"/>
      <c r="D2301" s="38" t="n"/>
      <c r="E2301" s="37" t="n"/>
      <c r="F2301" s="38" t="n"/>
      <c r="G2301" s="38" t="n"/>
      <c r="H2301" s="38" t="n"/>
      <c r="I2301" s="38" t="n"/>
      <c r="J2301" s="38" t="n"/>
      <c r="K2301" s="37" t="n"/>
      <c r="L2301" s="39" t="n"/>
      <c r="M2301" s="40" t="n"/>
      <c r="N2301" s="30">
        <f>IF(A2301="","",MONTH(A2301))</f>
        <v/>
      </c>
      <c r="O2301" s="30">
        <f>IF(A2301="","",YEAR(A2301))</f>
        <v/>
      </c>
      <c r="P2301" s="30">
        <f>IF(A2301="","",CHOOSE(WEEKDAY(A2301,2),"Segunda","Terça","Quarta","Quinta","Sexta","Sábado","Domingo"))</f>
        <v/>
      </c>
      <c r="Q2301" s="30">
        <f>IF(B2301="","",IF(B2301&lt;TIME(12,0,0),"Manhã",IF(B2301&lt;TIME(18,0,0),"Tarde","Noite")))</f>
        <v/>
      </c>
      <c r="R2301" s="46">
        <f>IF(AND(H2301="Realizado",L2301&lt;&gt;"",A2301&lt;=Config!$B$9),L2301/60,0)</f>
        <v>0</v>
      </c>
      <c r="S2301" s="45">
        <f>IF(G2301="","",IFERROR(INDEX(Config!$K$5:$K$16,MATCH(G2301,Config!$J$5:$J$16,0)),""))</f>
        <v/>
      </c>
      <c r="T2301" s="31">
        <f>IF(OR(G2301="",F2301=""),"",IFERROR(INDEX(Config!$M$5:$R$16,MATCH(G2301,Config!$J$5:$J$16,0),MATCH(F2301,Config!$H$5:$H$10,0)),""))</f>
        <v/>
      </c>
      <c r="U2301" s="47">
        <f>IF(AND(H2301="Realizado",L2301&lt;&gt;""),L2301/60,0)</f>
        <v>0</v>
      </c>
      <c r="V2301" s="47">
        <f>IF(AND(H2301="Realizado",OR(L2301="",M2301="")),1,0)</f>
        <v>0</v>
      </c>
    </row>
    <row r="2302">
      <c r="A2302" s="43" t="n"/>
      <c r="B2302" s="44" t="n"/>
      <c r="C2302" s="38" t="n"/>
      <c r="D2302" s="38" t="n"/>
      <c r="E2302" s="37" t="n"/>
      <c r="F2302" s="38" t="n"/>
      <c r="G2302" s="38" t="n"/>
      <c r="H2302" s="38" t="n"/>
      <c r="I2302" s="38" t="n"/>
      <c r="J2302" s="38" t="n"/>
      <c r="K2302" s="37" t="n"/>
      <c r="L2302" s="39" t="n"/>
      <c r="M2302" s="40" t="n"/>
      <c r="N2302" s="30">
        <f>IF(A2302="","",MONTH(A2302))</f>
        <v/>
      </c>
      <c r="O2302" s="30">
        <f>IF(A2302="","",YEAR(A2302))</f>
        <v/>
      </c>
      <c r="P2302" s="30">
        <f>IF(A2302="","",CHOOSE(WEEKDAY(A2302,2),"Segunda","Terça","Quarta","Quinta","Sexta","Sábado","Domingo"))</f>
        <v/>
      </c>
      <c r="Q2302" s="30">
        <f>IF(B2302="","",IF(B2302&lt;TIME(12,0,0),"Manhã",IF(B2302&lt;TIME(18,0,0),"Tarde","Noite")))</f>
        <v/>
      </c>
      <c r="R2302" s="46">
        <f>IF(AND(H2302="Realizado",L2302&lt;&gt;"",A2302&lt;=Config!$B$9),L2302/60,0)</f>
        <v>0</v>
      </c>
      <c r="S2302" s="45">
        <f>IF(G2302="","",IFERROR(INDEX(Config!$K$5:$K$16,MATCH(G2302,Config!$J$5:$J$16,0)),""))</f>
        <v/>
      </c>
      <c r="T2302" s="31">
        <f>IF(OR(G2302="",F2302=""),"",IFERROR(INDEX(Config!$M$5:$R$16,MATCH(G2302,Config!$J$5:$J$16,0),MATCH(F2302,Config!$H$5:$H$10,0)),""))</f>
        <v/>
      </c>
      <c r="U2302" s="47">
        <f>IF(AND(H2302="Realizado",L2302&lt;&gt;""),L2302/60,0)</f>
        <v>0</v>
      </c>
      <c r="V2302" s="47">
        <f>IF(AND(H2302="Realizado",OR(L2302="",M2302="")),1,0)</f>
        <v>0</v>
      </c>
    </row>
    <row r="2303">
      <c r="A2303" s="43" t="n"/>
      <c r="B2303" s="44" t="n"/>
      <c r="C2303" s="38" t="n"/>
      <c r="D2303" s="38" t="n"/>
      <c r="E2303" s="37" t="n"/>
      <c r="F2303" s="38" t="n"/>
      <c r="G2303" s="38" t="n"/>
      <c r="H2303" s="38" t="n"/>
      <c r="I2303" s="38" t="n"/>
      <c r="J2303" s="38" t="n"/>
      <c r="K2303" s="37" t="n"/>
      <c r="L2303" s="39" t="n"/>
      <c r="M2303" s="40" t="n"/>
      <c r="N2303" s="30">
        <f>IF(A2303="","",MONTH(A2303))</f>
        <v/>
      </c>
      <c r="O2303" s="30">
        <f>IF(A2303="","",YEAR(A2303))</f>
        <v/>
      </c>
      <c r="P2303" s="30">
        <f>IF(A2303="","",CHOOSE(WEEKDAY(A2303,2),"Segunda","Terça","Quarta","Quinta","Sexta","Sábado","Domingo"))</f>
        <v/>
      </c>
      <c r="Q2303" s="30">
        <f>IF(B2303="","",IF(B2303&lt;TIME(12,0,0),"Manhã",IF(B2303&lt;TIME(18,0,0),"Tarde","Noite")))</f>
        <v/>
      </c>
      <c r="R2303" s="46">
        <f>IF(AND(H2303="Realizado",L2303&lt;&gt;"",A2303&lt;=Config!$B$9),L2303/60,0)</f>
        <v>0</v>
      </c>
      <c r="S2303" s="45">
        <f>IF(G2303="","",IFERROR(INDEX(Config!$K$5:$K$16,MATCH(G2303,Config!$J$5:$J$16,0)),""))</f>
        <v/>
      </c>
      <c r="T2303" s="31">
        <f>IF(OR(G2303="",F2303=""),"",IFERROR(INDEX(Config!$M$5:$R$16,MATCH(G2303,Config!$J$5:$J$16,0),MATCH(F2303,Config!$H$5:$H$10,0)),""))</f>
        <v/>
      </c>
      <c r="U2303" s="47">
        <f>IF(AND(H2303="Realizado",L2303&lt;&gt;""),L2303/60,0)</f>
        <v>0</v>
      </c>
      <c r="V2303" s="47">
        <f>IF(AND(H2303="Realizado",OR(L2303="",M2303="")),1,0)</f>
        <v>0</v>
      </c>
    </row>
    <row r="2304">
      <c r="A2304" s="43" t="n"/>
      <c r="B2304" s="44" t="n"/>
      <c r="C2304" s="38" t="n"/>
      <c r="D2304" s="38" t="n"/>
      <c r="E2304" s="37" t="n"/>
      <c r="F2304" s="38" t="n"/>
      <c r="G2304" s="38" t="n"/>
      <c r="H2304" s="38" t="n"/>
      <c r="I2304" s="38" t="n"/>
      <c r="J2304" s="38" t="n"/>
      <c r="K2304" s="37" t="n"/>
      <c r="L2304" s="39" t="n"/>
      <c r="M2304" s="40" t="n"/>
      <c r="N2304" s="30">
        <f>IF(A2304="","",MONTH(A2304))</f>
        <v/>
      </c>
      <c r="O2304" s="30">
        <f>IF(A2304="","",YEAR(A2304))</f>
        <v/>
      </c>
      <c r="P2304" s="30">
        <f>IF(A2304="","",CHOOSE(WEEKDAY(A2304,2),"Segunda","Terça","Quarta","Quinta","Sexta","Sábado","Domingo"))</f>
        <v/>
      </c>
      <c r="Q2304" s="30">
        <f>IF(B2304="","",IF(B2304&lt;TIME(12,0,0),"Manhã",IF(B2304&lt;TIME(18,0,0),"Tarde","Noite")))</f>
        <v/>
      </c>
      <c r="R2304" s="46">
        <f>IF(AND(H2304="Realizado",L2304&lt;&gt;"",A2304&lt;=Config!$B$9),L2304/60,0)</f>
        <v>0</v>
      </c>
      <c r="S2304" s="45">
        <f>IF(G2304="","",IFERROR(INDEX(Config!$K$5:$K$16,MATCH(G2304,Config!$J$5:$J$16,0)),""))</f>
        <v/>
      </c>
      <c r="T2304" s="31">
        <f>IF(OR(G2304="",F2304=""),"",IFERROR(INDEX(Config!$M$5:$R$16,MATCH(G2304,Config!$J$5:$J$16,0),MATCH(F2304,Config!$H$5:$H$10,0)),""))</f>
        <v/>
      </c>
      <c r="U2304" s="47">
        <f>IF(AND(H2304="Realizado",L2304&lt;&gt;""),L2304/60,0)</f>
        <v>0</v>
      </c>
      <c r="V2304" s="47">
        <f>IF(AND(H2304="Realizado",OR(L2304="",M2304="")),1,0)</f>
        <v>0</v>
      </c>
    </row>
    <row r="2305">
      <c r="A2305" s="43" t="n"/>
      <c r="B2305" s="44" t="n"/>
      <c r="C2305" s="38" t="n"/>
      <c r="D2305" s="38" t="n"/>
      <c r="E2305" s="37" t="n"/>
      <c r="F2305" s="38" t="n"/>
      <c r="G2305" s="38" t="n"/>
      <c r="H2305" s="38" t="n"/>
      <c r="I2305" s="38" t="n"/>
      <c r="J2305" s="38" t="n"/>
      <c r="K2305" s="37" t="n"/>
      <c r="L2305" s="39" t="n"/>
      <c r="M2305" s="40" t="n"/>
      <c r="N2305" s="30">
        <f>IF(A2305="","",MONTH(A2305))</f>
        <v/>
      </c>
      <c r="O2305" s="30">
        <f>IF(A2305="","",YEAR(A2305))</f>
        <v/>
      </c>
      <c r="P2305" s="30">
        <f>IF(A2305="","",CHOOSE(WEEKDAY(A2305,2),"Segunda","Terça","Quarta","Quinta","Sexta","Sábado","Domingo"))</f>
        <v/>
      </c>
      <c r="Q2305" s="30">
        <f>IF(B2305="","",IF(B2305&lt;TIME(12,0,0),"Manhã",IF(B2305&lt;TIME(18,0,0),"Tarde","Noite")))</f>
        <v/>
      </c>
      <c r="R2305" s="46">
        <f>IF(AND(H2305="Realizado",L2305&lt;&gt;"",A2305&lt;=Config!$B$9),L2305/60,0)</f>
        <v>0</v>
      </c>
      <c r="S2305" s="45">
        <f>IF(G2305="","",IFERROR(INDEX(Config!$K$5:$K$16,MATCH(G2305,Config!$J$5:$J$16,0)),""))</f>
        <v/>
      </c>
      <c r="T2305" s="31">
        <f>IF(OR(G2305="",F2305=""),"",IFERROR(INDEX(Config!$M$5:$R$16,MATCH(G2305,Config!$J$5:$J$16,0),MATCH(F2305,Config!$H$5:$H$10,0)),""))</f>
        <v/>
      </c>
      <c r="U2305" s="47">
        <f>IF(AND(H2305="Realizado",L2305&lt;&gt;""),L2305/60,0)</f>
        <v>0</v>
      </c>
      <c r="V2305" s="47">
        <f>IF(AND(H2305="Realizado",OR(L2305="",M2305="")),1,0)</f>
        <v>0</v>
      </c>
    </row>
    <row r="2306">
      <c r="A2306" s="43" t="n"/>
      <c r="B2306" s="44" t="n"/>
      <c r="C2306" s="38" t="n"/>
      <c r="D2306" s="38" t="n"/>
      <c r="E2306" s="37" t="n"/>
      <c r="F2306" s="38" t="n"/>
      <c r="G2306" s="38" t="n"/>
      <c r="H2306" s="38" t="n"/>
      <c r="I2306" s="38" t="n"/>
      <c r="J2306" s="38" t="n"/>
      <c r="K2306" s="37" t="n"/>
      <c r="L2306" s="39" t="n"/>
      <c r="M2306" s="40" t="n"/>
      <c r="N2306" s="30">
        <f>IF(A2306="","",MONTH(A2306))</f>
        <v/>
      </c>
      <c r="O2306" s="30">
        <f>IF(A2306="","",YEAR(A2306))</f>
        <v/>
      </c>
      <c r="P2306" s="30">
        <f>IF(A2306="","",CHOOSE(WEEKDAY(A2306,2),"Segunda","Terça","Quarta","Quinta","Sexta","Sábado","Domingo"))</f>
        <v/>
      </c>
      <c r="Q2306" s="30">
        <f>IF(B2306="","",IF(B2306&lt;TIME(12,0,0),"Manhã",IF(B2306&lt;TIME(18,0,0),"Tarde","Noite")))</f>
        <v/>
      </c>
      <c r="R2306" s="46">
        <f>IF(AND(H2306="Realizado",L2306&lt;&gt;"",A2306&lt;=Config!$B$9),L2306/60,0)</f>
        <v>0</v>
      </c>
      <c r="S2306" s="45">
        <f>IF(G2306="","",IFERROR(INDEX(Config!$K$5:$K$16,MATCH(G2306,Config!$J$5:$J$16,0)),""))</f>
        <v/>
      </c>
      <c r="T2306" s="31">
        <f>IF(OR(G2306="",F2306=""),"",IFERROR(INDEX(Config!$M$5:$R$16,MATCH(G2306,Config!$J$5:$J$16,0),MATCH(F2306,Config!$H$5:$H$10,0)),""))</f>
        <v/>
      </c>
      <c r="U2306" s="47">
        <f>IF(AND(H2306="Realizado",L2306&lt;&gt;""),L2306/60,0)</f>
        <v>0</v>
      </c>
      <c r="V2306" s="47">
        <f>IF(AND(H2306="Realizado",OR(L2306="",M2306="")),1,0)</f>
        <v>0</v>
      </c>
    </row>
    <row r="2307">
      <c r="A2307" s="43" t="n"/>
      <c r="B2307" s="44" t="n"/>
      <c r="C2307" s="38" t="n"/>
      <c r="D2307" s="38" t="n"/>
      <c r="E2307" s="37" t="n"/>
      <c r="F2307" s="38" t="n"/>
      <c r="G2307" s="38" t="n"/>
      <c r="H2307" s="38" t="n"/>
      <c r="I2307" s="38" t="n"/>
      <c r="J2307" s="38" t="n"/>
      <c r="K2307" s="37" t="n"/>
      <c r="L2307" s="39" t="n"/>
      <c r="M2307" s="40" t="n"/>
      <c r="N2307" s="30">
        <f>IF(A2307="","",MONTH(A2307))</f>
        <v/>
      </c>
      <c r="O2307" s="30">
        <f>IF(A2307="","",YEAR(A2307))</f>
        <v/>
      </c>
      <c r="P2307" s="30">
        <f>IF(A2307="","",CHOOSE(WEEKDAY(A2307,2),"Segunda","Terça","Quarta","Quinta","Sexta","Sábado","Domingo"))</f>
        <v/>
      </c>
      <c r="Q2307" s="30">
        <f>IF(B2307="","",IF(B2307&lt;TIME(12,0,0),"Manhã",IF(B2307&lt;TIME(18,0,0),"Tarde","Noite")))</f>
        <v/>
      </c>
      <c r="R2307" s="46">
        <f>IF(AND(H2307="Realizado",L2307&lt;&gt;"",A2307&lt;=Config!$B$9),L2307/60,0)</f>
        <v>0</v>
      </c>
      <c r="S2307" s="45">
        <f>IF(G2307="","",IFERROR(INDEX(Config!$K$5:$K$16,MATCH(G2307,Config!$J$5:$J$16,0)),""))</f>
        <v/>
      </c>
      <c r="T2307" s="31">
        <f>IF(OR(G2307="",F2307=""),"",IFERROR(INDEX(Config!$M$5:$R$16,MATCH(G2307,Config!$J$5:$J$16,0),MATCH(F2307,Config!$H$5:$H$10,0)),""))</f>
        <v/>
      </c>
      <c r="U2307" s="47">
        <f>IF(AND(H2307="Realizado",L2307&lt;&gt;""),L2307/60,0)</f>
        <v>0</v>
      </c>
      <c r="V2307" s="47">
        <f>IF(AND(H2307="Realizado",OR(L2307="",M2307="")),1,0)</f>
        <v>0</v>
      </c>
    </row>
    <row r="2308">
      <c r="A2308" s="43" t="n"/>
      <c r="B2308" s="44" t="n"/>
      <c r="C2308" s="38" t="n"/>
      <c r="D2308" s="38" t="n"/>
      <c r="E2308" s="37" t="n"/>
      <c r="F2308" s="38" t="n"/>
      <c r="G2308" s="38" t="n"/>
      <c r="H2308" s="38" t="n"/>
      <c r="I2308" s="38" t="n"/>
      <c r="J2308" s="38" t="n"/>
      <c r="K2308" s="37" t="n"/>
      <c r="L2308" s="39" t="n"/>
      <c r="M2308" s="40" t="n"/>
      <c r="N2308" s="30">
        <f>IF(A2308="","",MONTH(A2308))</f>
        <v/>
      </c>
      <c r="O2308" s="30">
        <f>IF(A2308="","",YEAR(A2308))</f>
        <v/>
      </c>
      <c r="P2308" s="30">
        <f>IF(A2308="","",CHOOSE(WEEKDAY(A2308,2),"Segunda","Terça","Quarta","Quinta","Sexta","Sábado","Domingo"))</f>
        <v/>
      </c>
      <c r="Q2308" s="30">
        <f>IF(B2308="","",IF(B2308&lt;TIME(12,0,0),"Manhã",IF(B2308&lt;TIME(18,0,0),"Tarde","Noite")))</f>
        <v/>
      </c>
      <c r="R2308" s="46">
        <f>IF(AND(H2308="Realizado",L2308&lt;&gt;"",A2308&lt;=Config!$B$9),L2308/60,0)</f>
        <v>0</v>
      </c>
      <c r="S2308" s="45">
        <f>IF(G2308="","",IFERROR(INDEX(Config!$K$5:$K$16,MATCH(G2308,Config!$J$5:$J$16,0)),""))</f>
        <v/>
      </c>
      <c r="T2308" s="31">
        <f>IF(OR(G2308="",F2308=""),"",IFERROR(INDEX(Config!$M$5:$R$16,MATCH(G2308,Config!$J$5:$J$16,0),MATCH(F2308,Config!$H$5:$H$10,0)),""))</f>
        <v/>
      </c>
      <c r="U2308" s="47">
        <f>IF(AND(H2308="Realizado",L2308&lt;&gt;""),L2308/60,0)</f>
        <v>0</v>
      </c>
      <c r="V2308" s="47">
        <f>IF(AND(H2308="Realizado",OR(L2308="",M2308="")),1,0)</f>
        <v>0</v>
      </c>
    </row>
    <row r="2309">
      <c r="A2309" s="43" t="n"/>
      <c r="B2309" s="44" t="n"/>
      <c r="C2309" s="38" t="n"/>
      <c r="D2309" s="38" t="n"/>
      <c r="E2309" s="37" t="n"/>
      <c r="F2309" s="38" t="n"/>
      <c r="G2309" s="38" t="n"/>
      <c r="H2309" s="38" t="n"/>
      <c r="I2309" s="38" t="n"/>
      <c r="J2309" s="38" t="n"/>
      <c r="K2309" s="37" t="n"/>
      <c r="L2309" s="39" t="n"/>
      <c r="M2309" s="40" t="n"/>
      <c r="N2309" s="30">
        <f>IF(A2309="","",MONTH(A2309))</f>
        <v/>
      </c>
      <c r="O2309" s="30">
        <f>IF(A2309="","",YEAR(A2309))</f>
        <v/>
      </c>
      <c r="P2309" s="30">
        <f>IF(A2309="","",CHOOSE(WEEKDAY(A2309,2),"Segunda","Terça","Quarta","Quinta","Sexta","Sábado","Domingo"))</f>
        <v/>
      </c>
      <c r="Q2309" s="30">
        <f>IF(B2309="","",IF(B2309&lt;TIME(12,0,0),"Manhã",IF(B2309&lt;TIME(18,0,0),"Tarde","Noite")))</f>
        <v/>
      </c>
      <c r="R2309" s="46">
        <f>IF(AND(H2309="Realizado",L2309&lt;&gt;"",A2309&lt;=Config!$B$9),L2309/60,0)</f>
        <v>0</v>
      </c>
      <c r="S2309" s="45">
        <f>IF(G2309="","",IFERROR(INDEX(Config!$K$5:$K$16,MATCH(G2309,Config!$J$5:$J$16,0)),""))</f>
        <v/>
      </c>
      <c r="T2309" s="31">
        <f>IF(OR(G2309="",F2309=""),"",IFERROR(INDEX(Config!$M$5:$R$16,MATCH(G2309,Config!$J$5:$J$16,0),MATCH(F2309,Config!$H$5:$H$10,0)),""))</f>
        <v/>
      </c>
      <c r="U2309" s="47">
        <f>IF(AND(H2309="Realizado",L2309&lt;&gt;""),L2309/60,0)</f>
        <v>0</v>
      </c>
      <c r="V2309" s="47">
        <f>IF(AND(H2309="Realizado",OR(L2309="",M2309="")),1,0)</f>
        <v>0</v>
      </c>
    </row>
    <row r="2310">
      <c r="A2310" s="43" t="n"/>
      <c r="B2310" s="44" t="n"/>
      <c r="C2310" s="38" t="n"/>
      <c r="D2310" s="38" t="n"/>
      <c r="E2310" s="37" t="n"/>
      <c r="F2310" s="38" t="n"/>
      <c r="G2310" s="38" t="n"/>
      <c r="H2310" s="38" t="n"/>
      <c r="I2310" s="38" t="n"/>
      <c r="J2310" s="38" t="n"/>
      <c r="K2310" s="37" t="n"/>
      <c r="L2310" s="39" t="n"/>
      <c r="M2310" s="40" t="n"/>
      <c r="N2310" s="30">
        <f>IF(A2310="","",MONTH(A2310))</f>
        <v/>
      </c>
      <c r="O2310" s="30">
        <f>IF(A2310="","",YEAR(A2310))</f>
        <v/>
      </c>
      <c r="P2310" s="30">
        <f>IF(A2310="","",CHOOSE(WEEKDAY(A2310,2),"Segunda","Terça","Quarta","Quinta","Sexta","Sábado","Domingo"))</f>
        <v/>
      </c>
      <c r="Q2310" s="30">
        <f>IF(B2310="","",IF(B2310&lt;TIME(12,0,0),"Manhã",IF(B2310&lt;TIME(18,0,0),"Tarde","Noite")))</f>
        <v/>
      </c>
      <c r="R2310" s="46">
        <f>IF(AND(H2310="Realizado",L2310&lt;&gt;"",A2310&lt;=Config!$B$9),L2310/60,0)</f>
        <v>0</v>
      </c>
      <c r="S2310" s="45">
        <f>IF(G2310="","",IFERROR(INDEX(Config!$K$5:$K$16,MATCH(G2310,Config!$J$5:$J$16,0)),""))</f>
        <v/>
      </c>
      <c r="T2310" s="31">
        <f>IF(OR(G2310="",F2310=""),"",IFERROR(INDEX(Config!$M$5:$R$16,MATCH(G2310,Config!$J$5:$J$16,0),MATCH(F2310,Config!$H$5:$H$10,0)),""))</f>
        <v/>
      </c>
      <c r="U2310" s="47">
        <f>IF(AND(H2310="Realizado",L2310&lt;&gt;""),L2310/60,0)</f>
        <v>0</v>
      </c>
      <c r="V2310" s="47">
        <f>IF(AND(H2310="Realizado",OR(L2310="",M2310="")),1,0)</f>
        <v>0</v>
      </c>
    </row>
    <row r="2311">
      <c r="A2311" s="43" t="n"/>
      <c r="B2311" s="44" t="n"/>
      <c r="C2311" s="38" t="n"/>
      <c r="D2311" s="38" t="n"/>
      <c r="E2311" s="37" t="n"/>
      <c r="F2311" s="38" t="n"/>
      <c r="G2311" s="38" t="n"/>
      <c r="H2311" s="38" t="n"/>
      <c r="I2311" s="38" t="n"/>
      <c r="J2311" s="38" t="n"/>
      <c r="K2311" s="37" t="n"/>
      <c r="L2311" s="39" t="n"/>
      <c r="M2311" s="40" t="n"/>
      <c r="N2311" s="30">
        <f>IF(A2311="","",MONTH(A2311))</f>
        <v/>
      </c>
      <c r="O2311" s="30">
        <f>IF(A2311="","",YEAR(A2311))</f>
        <v/>
      </c>
      <c r="P2311" s="30">
        <f>IF(A2311="","",CHOOSE(WEEKDAY(A2311,2),"Segunda","Terça","Quarta","Quinta","Sexta","Sábado","Domingo"))</f>
        <v/>
      </c>
      <c r="Q2311" s="30">
        <f>IF(B2311="","",IF(B2311&lt;TIME(12,0,0),"Manhã",IF(B2311&lt;TIME(18,0,0),"Tarde","Noite")))</f>
        <v/>
      </c>
      <c r="R2311" s="46">
        <f>IF(AND(H2311="Realizado",L2311&lt;&gt;"",A2311&lt;=Config!$B$9),L2311/60,0)</f>
        <v>0</v>
      </c>
      <c r="S2311" s="45">
        <f>IF(G2311="","",IFERROR(INDEX(Config!$K$5:$K$16,MATCH(G2311,Config!$J$5:$J$16,0)),""))</f>
        <v/>
      </c>
      <c r="T2311" s="31">
        <f>IF(OR(G2311="",F2311=""),"",IFERROR(INDEX(Config!$M$5:$R$16,MATCH(G2311,Config!$J$5:$J$16,0),MATCH(F2311,Config!$H$5:$H$10,0)),""))</f>
        <v/>
      </c>
      <c r="U2311" s="47">
        <f>IF(AND(H2311="Realizado",L2311&lt;&gt;""),L2311/60,0)</f>
        <v>0</v>
      </c>
      <c r="V2311" s="47">
        <f>IF(AND(H2311="Realizado",OR(L2311="",M2311="")),1,0)</f>
        <v>0</v>
      </c>
    </row>
    <row r="2312">
      <c r="A2312" s="43" t="n"/>
      <c r="B2312" s="44" t="n"/>
      <c r="C2312" s="38" t="n"/>
      <c r="D2312" s="38" t="n"/>
      <c r="E2312" s="37" t="n"/>
      <c r="F2312" s="38" t="n"/>
      <c r="G2312" s="38" t="n"/>
      <c r="H2312" s="38" t="n"/>
      <c r="I2312" s="38" t="n"/>
      <c r="J2312" s="38" t="n"/>
      <c r="K2312" s="37" t="n"/>
      <c r="L2312" s="39" t="n"/>
      <c r="M2312" s="40" t="n"/>
      <c r="N2312" s="30">
        <f>IF(A2312="","",MONTH(A2312))</f>
        <v/>
      </c>
      <c r="O2312" s="30">
        <f>IF(A2312="","",YEAR(A2312))</f>
        <v/>
      </c>
      <c r="P2312" s="30">
        <f>IF(A2312="","",CHOOSE(WEEKDAY(A2312,2),"Segunda","Terça","Quarta","Quinta","Sexta","Sábado","Domingo"))</f>
        <v/>
      </c>
      <c r="Q2312" s="30">
        <f>IF(B2312="","",IF(B2312&lt;TIME(12,0,0),"Manhã",IF(B2312&lt;TIME(18,0,0),"Tarde","Noite")))</f>
        <v/>
      </c>
      <c r="R2312" s="46">
        <f>IF(AND(H2312="Realizado",L2312&lt;&gt;"",A2312&lt;=Config!$B$9),L2312/60,0)</f>
        <v>0</v>
      </c>
      <c r="S2312" s="45">
        <f>IF(G2312="","",IFERROR(INDEX(Config!$K$5:$K$16,MATCH(G2312,Config!$J$5:$J$16,0)),""))</f>
        <v/>
      </c>
      <c r="T2312" s="31">
        <f>IF(OR(G2312="",F2312=""),"",IFERROR(INDEX(Config!$M$5:$R$16,MATCH(G2312,Config!$J$5:$J$16,0),MATCH(F2312,Config!$H$5:$H$10,0)),""))</f>
        <v/>
      </c>
      <c r="U2312" s="47">
        <f>IF(AND(H2312="Realizado",L2312&lt;&gt;""),L2312/60,0)</f>
        <v>0</v>
      </c>
      <c r="V2312" s="47">
        <f>IF(AND(H2312="Realizado",OR(L2312="",M2312="")),1,0)</f>
        <v>0</v>
      </c>
    </row>
    <row r="2313">
      <c r="A2313" s="43" t="n"/>
      <c r="B2313" s="44" t="n"/>
      <c r="C2313" s="38" t="n"/>
      <c r="D2313" s="38" t="n"/>
      <c r="E2313" s="37" t="n"/>
      <c r="F2313" s="38" t="n"/>
      <c r="G2313" s="38" t="n"/>
      <c r="H2313" s="38" t="n"/>
      <c r="I2313" s="38" t="n"/>
      <c r="J2313" s="38" t="n"/>
      <c r="K2313" s="37" t="n"/>
      <c r="L2313" s="39" t="n"/>
      <c r="M2313" s="40" t="n"/>
      <c r="N2313" s="30">
        <f>IF(A2313="","",MONTH(A2313))</f>
        <v/>
      </c>
      <c r="O2313" s="30">
        <f>IF(A2313="","",YEAR(A2313))</f>
        <v/>
      </c>
      <c r="P2313" s="30">
        <f>IF(A2313="","",CHOOSE(WEEKDAY(A2313,2),"Segunda","Terça","Quarta","Quinta","Sexta","Sábado","Domingo"))</f>
        <v/>
      </c>
      <c r="Q2313" s="30">
        <f>IF(B2313="","",IF(B2313&lt;TIME(12,0,0),"Manhã",IF(B2313&lt;TIME(18,0,0),"Tarde","Noite")))</f>
        <v/>
      </c>
      <c r="R2313" s="46">
        <f>IF(AND(H2313="Realizado",L2313&lt;&gt;"",A2313&lt;=Config!$B$9),L2313/60,0)</f>
        <v>0</v>
      </c>
      <c r="S2313" s="45">
        <f>IF(G2313="","",IFERROR(INDEX(Config!$K$5:$K$16,MATCH(G2313,Config!$J$5:$J$16,0)),""))</f>
        <v/>
      </c>
      <c r="T2313" s="31">
        <f>IF(OR(G2313="",F2313=""),"",IFERROR(INDEX(Config!$M$5:$R$16,MATCH(G2313,Config!$J$5:$J$16,0),MATCH(F2313,Config!$H$5:$H$10,0)),""))</f>
        <v/>
      </c>
      <c r="U2313" s="47">
        <f>IF(AND(H2313="Realizado",L2313&lt;&gt;""),L2313/60,0)</f>
        <v>0</v>
      </c>
      <c r="V2313" s="47">
        <f>IF(AND(H2313="Realizado",OR(L2313="",M2313="")),1,0)</f>
        <v>0</v>
      </c>
    </row>
    <row r="2314">
      <c r="A2314" s="43" t="n"/>
      <c r="B2314" s="44" t="n"/>
      <c r="C2314" s="38" t="n"/>
      <c r="D2314" s="38" t="n"/>
      <c r="E2314" s="37" t="n"/>
      <c r="F2314" s="38" t="n"/>
      <c r="G2314" s="38" t="n"/>
      <c r="H2314" s="38" t="n"/>
      <c r="I2314" s="38" t="n"/>
      <c r="J2314" s="38" t="n"/>
      <c r="K2314" s="37" t="n"/>
      <c r="L2314" s="39" t="n"/>
      <c r="M2314" s="40" t="n"/>
      <c r="N2314" s="30">
        <f>IF(A2314="","",MONTH(A2314))</f>
        <v/>
      </c>
      <c r="O2314" s="30">
        <f>IF(A2314="","",YEAR(A2314))</f>
        <v/>
      </c>
      <c r="P2314" s="30">
        <f>IF(A2314="","",CHOOSE(WEEKDAY(A2314,2),"Segunda","Terça","Quarta","Quinta","Sexta","Sábado","Domingo"))</f>
        <v/>
      </c>
      <c r="Q2314" s="30">
        <f>IF(B2314="","",IF(B2314&lt;TIME(12,0,0),"Manhã",IF(B2314&lt;TIME(18,0,0),"Tarde","Noite")))</f>
        <v/>
      </c>
      <c r="R2314" s="46">
        <f>IF(AND(H2314="Realizado",L2314&lt;&gt;"",A2314&lt;=Config!$B$9),L2314/60,0)</f>
        <v>0</v>
      </c>
      <c r="S2314" s="45">
        <f>IF(G2314="","",IFERROR(INDEX(Config!$K$5:$K$16,MATCH(G2314,Config!$J$5:$J$16,0)),""))</f>
        <v/>
      </c>
      <c r="T2314" s="31">
        <f>IF(OR(G2314="",F2314=""),"",IFERROR(INDEX(Config!$M$5:$R$16,MATCH(G2314,Config!$J$5:$J$16,0),MATCH(F2314,Config!$H$5:$H$10,0)),""))</f>
        <v/>
      </c>
      <c r="U2314" s="47">
        <f>IF(AND(H2314="Realizado",L2314&lt;&gt;""),L2314/60,0)</f>
        <v>0</v>
      </c>
      <c r="V2314" s="47">
        <f>IF(AND(H2314="Realizado",OR(L2314="",M2314="")),1,0)</f>
        <v>0</v>
      </c>
    </row>
    <row r="2315">
      <c r="A2315" s="43" t="n"/>
      <c r="B2315" s="44" t="n"/>
      <c r="C2315" s="38" t="n"/>
      <c r="D2315" s="38" t="n"/>
      <c r="E2315" s="37" t="n"/>
      <c r="F2315" s="38" t="n"/>
      <c r="G2315" s="38" t="n"/>
      <c r="H2315" s="38" t="n"/>
      <c r="I2315" s="38" t="n"/>
      <c r="J2315" s="38" t="n"/>
      <c r="K2315" s="37" t="n"/>
      <c r="L2315" s="39" t="n"/>
      <c r="M2315" s="40" t="n"/>
      <c r="N2315" s="30">
        <f>IF(A2315="","",MONTH(A2315))</f>
        <v/>
      </c>
      <c r="O2315" s="30">
        <f>IF(A2315="","",YEAR(A2315))</f>
        <v/>
      </c>
      <c r="P2315" s="30">
        <f>IF(A2315="","",CHOOSE(WEEKDAY(A2315,2),"Segunda","Terça","Quarta","Quinta","Sexta","Sábado","Domingo"))</f>
        <v/>
      </c>
      <c r="Q2315" s="30">
        <f>IF(B2315="","",IF(B2315&lt;TIME(12,0,0),"Manhã",IF(B2315&lt;TIME(18,0,0),"Tarde","Noite")))</f>
        <v/>
      </c>
      <c r="R2315" s="46">
        <f>IF(AND(H2315="Realizado",L2315&lt;&gt;"",A2315&lt;=Config!$B$9),L2315/60,0)</f>
        <v>0</v>
      </c>
      <c r="S2315" s="45">
        <f>IF(G2315="","",IFERROR(INDEX(Config!$K$5:$K$16,MATCH(G2315,Config!$J$5:$J$16,0)),""))</f>
        <v/>
      </c>
      <c r="T2315" s="31">
        <f>IF(OR(G2315="",F2315=""),"",IFERROR(INDEX(Config!$M$5:$R$16,MATCH(G2315,Config!$J$5:$J$16,0),MATCH(F2315,Config!$H$5:$H$10,0)),""))</f>
        <v/>
      </c>
      <c r="U2315" s="47">
        <f>IF(AND(H2315="Realizado",L2315&lt;&gt;""),L2315/60,0)</f>
        <v>0</v>
      </c>
      <c r="V2315" s="47">
        <f>IF(AND(H2315="Realizado",OR(L2315="",M2315="")),1,0)</f>
        <v>0</v>
      </c>
    </row>
    <row r="2316">
      <c r="A2316" s="43" t="n"/>
      <c r="B2316" s="44" t="n"/>
      <c r="C2316" s="38" t="n"/>
      <c r="D2316" s="38" t="n"/>
      <c r="E2316" s="37" t="n"/>
      <c r="F2316" s="38" t="n"/>
      <c r="G2316" s="38" t="n"/>
      <c r="H2316" s="38" t="n"/>
      <c r="I2316" s="38" t="n"/>
      <c r="J2316" s="38" t="n"/>
      <c r="K2316" s="37" t="n"/>
      <c r="L2316" s="39" t="n"/>
      <c r="M2316" s="40" t="n"/>
      <c r="N2316" s="30">
        <f>IF(A2316="","",MONTH(A2316))</f>
        <v/>
      </c>
      <c r="O2316" s="30">
        <f>IF(A2316="","",YEAR(A2316))</f>
        <v/>
      </c>
      <c r="P2316" s="30">
        <f>IF(A2316="","",CHOOSE(WEEKDAY(A2316,2),"Segunda","Terça","Quarta","Quinta","Sexta","Sábado","Domingo"))</f>
        <v/>
      </c>
      <c r="Q2316" s="30">
        <f>IF(B2316="","",IF(B2316&lt;TIME(12,0,0),"Manhã",IF(B2316&lt;TIME(18,0,0),"Tarde","Noite")))</f>
        <v/>
      </c>
      <c r="R2316" s="46">
        <f>IF(AND(H2316="Realizado",L2316&lt;&gt;"",A2316&lt;=Config!$B$9),L2316/60,0)</f>
        <v>0</v>
      </c>
      <c r="S2316" s="45">
        <f>IF(G2316="","",IFERROR(INDEX(Config!$K$5:$K$16,MATCH(G2316,Config!$J$5:$J$16,0)),""))</f>
        <v/>
      </c>
      <c r="T2316" s="31">
        <f>IF(OR(G2316="",F2316=""),"",IFERROR(INDEX(Config!$M$5:$R$16,MATCH(G2316,Config!$J$5:$J$16,0),MATCH(F2316,Config!$H$5:$H$10,0)),""))</f>
        <v/>
      </c>
      <c r="U2316" s="47">
        <f>IF(AND(H2316="Realizado",L2316&lt;&gt;""),L2316/60,0)</f>
        <v>0</v>
      </c>
      <c r="V2316" s="47">
        <f>IF(AND(H2316="Realizado",OR(L2316="",M2316="")),1,0)</f>
        <v>0</v>
      </c>
    </row>
    <row r="2317">
      <c r="A2317" s="43" t="n"/>
      <c r="B2317" s="44" t="n"/>
      <c r="C2317" s="38" t="n"/>
      <c r="D2317" s="38" t="n"/>
      <c r="E2317" s="37" t="n"/>
      <c r="F2317" s="38" t="n"/>
      <c r="G2317" s="38" t="n"/>
      <c r="H2317" s="38" t="n"/>
      <c r="I2317" s="38" t="n"/>
      <c r="J2317" s="38" t="n"/>
      <c r="K2317" s="37" t="n"/>
      <c r="L2317" s="39" t="n"/>
      <c r="M2317" s="40" t="n"/>
      <c r="N2317" s="30">
        <f>IF(A2317="","",MONTH(A2317))</f>
        <v/>
      </c>
      <c r="O2317" s="30">
        <f>IF(A2317="","",YEAR(A2317))</f>
        <v/>
      </c>
      <c r="P2317" s="30">
        <f>IF(A2317="","",CHOOSE(WEEKDAY(A2317,2),"Segunda","Terça","Quarta","Quinta","Sexta","Sábado","Domingo"))</f>
        <v/>
      </c>
      <c r="Q2317" s="30">
        <f>IF(B2317="","",IF(B2317&lt;TIME(12,0,0),"Manhã",IF(B2317&lt;TIME(18,0,0),"Tarde","Noite")))</f>
        <v/>
      </c>
      <c r="R2317" s="46">
        <f>IF(AND(H2317="Realizado",L2317&lt;&gt;"",A2317&lt;=Config!$B$9),L2317/60,0)</f>
        <v>0</v>
      </c>
      <c r="S2317" s="45">
        <f>IF(G2317="","",IFERROR(INDEX(Config!$K$5:$K$16,MATCH(G2317,Config!$J$5:$J$16,0)),""))</f>
        <v/>
      </c>
      <c r="T2317" s="31">
        <f>IF(OR(G2317="",F2317=""),"",IFERROR(INDEX(Config!$M$5:$R$16,MATCH(G2317,Config!$J$5:$J$16,0),MATCH(F2317,Config!$H$5:$H$10,0)),""))</f>
        <v/>
      </c>
      <c r="U2317" s="47">
        <f>IF(AND(H2317="Realizado",L2317&lt;&gt;""),L2317/60,0)</f>
        <v>0</v>
      </c>
      <c r="V2317" s="47">
        <f>IF(AND(H2317="Realizado",OR(L2317="",M2317="")),1,0)</f>
        <v>0</v>
      </c>
    </row>
    <row r="2318">
      <c r="A2318" s="43" t="n"/>
      <c r="B2318" s="44" t="n"/>
      <c r="C2318" s="38" t="n"/>
      <c r="D2318" s="38" t="n"/>
      <c r="E2318" s="37" t="n"/>
      <c r="F2318" s="38" t="n"/>
      <c r="G2318" s="38" t="n"/>
      <c r="H2318" s="38" t="n"/>
      <c r="I2318" s="38" t="n"/>
      <c r="J2318" s="38" t="n"/>
      <c r="K2318" s="37" t="n"/>
      <c r="L2318" s="39" t="n"/>
      <c r="M2318" s="40" t="n"/>
      <c r="N2318" s="30">
        <f>IF(A2318="","",MONTH(A2318))</f>
        <v/>
      </c>
      <c r="O2318" s="30">
        <f>IF(A2318="","",YEAR(A2318))</f>
        <v/>
      </c>
      <c r="P2318" s="30">
        <f>IF(A2318="","",CHOOSE(WEEKDAY(A2318,2),"Segunda","Terça","Quarta","Quinta","Sexta","Sábado","Domingo"))</f>
        <v/>
      </c>
      <c r="Q2318" s="30">
        <f>IF(B2318="","",IF(B2318&lt;TIME(12,0,0),"Manhã",IF(B2318&lt;TIME(18,0,0),"Tarde","Noite")))</f>
        <v/>
      </c>
      <c r="R2318" s="46">
        <f>IF(AND(H2318="Realizado",L2318&lt;&gt;"",A2318&lt;=Config!$B$9),L2318/60,0)</f>
        <v>0</v>
      </c>
      <c r="S2318" s="45">
        <f>IF(G2318="","",IFERROR(INDEX(Config!$K$5:$K$16,MATCH(G2318,Config!$J$5:$J$16,0)),""))</f>
        <v/>
      </c>
      <c r="T2318" s="31">
        <f>IF(OR(G2318="",F2318=""),"",IFERROR(INDEX(Config!$M$5:$R$16,MATCH(G2318,Config!$J$5:$J$16,0),MATCH(F2318,Config!$H$5:$H$10,0)),""))</f>
        <v/>
      </c>
      <c r="U2318" s="47">
        <f>IF(AND(H2318="Realizado",L2318&lt;&gt;""),L2318/60,0)</f>
        <v>0</v>
      </c>
      <c r="V2318" s="47">
        <f>IF(AND(H2318="Realizado",OR(L2318="",M2318="")),1,0)</f>
        <v>0</v>
      </c>
    </row>
    <row r="2319">
      <c r="A2319" s="43" t="n"/>
      <c r="B2319" s="44" t="n"/>
      <c r="C2319" s="38" t="n"/>
      <c r="D2319" s="38" t="n"/>
      <c r="E2319" s="37" t="n"/>
      <c r="F2319" s="38" t="n"/>
      <c r="G2319" s="38" t="n"/>
      <c r="H2319" s="38" t="n"/>
      <c r="I2319" s="38" t="n"/>
      <c r="J2319" s="38" t="n"/>
      <c r="K2319" s="37" t="n"/>
      <c r="L2319" s="39" t="n"/>
      <c r="M2319" s="40" t="n"/>
      <c r="N2319" s="30">
        <f>IF(A2319="","",MONTH(A2319))</f>
        <v/>
      </c>
      <c r="O2319" s="30">
        <f>IF(A2319="","",YEAR(A2319))</f>
        <v/>
      </c>
      <c r="P2319" s="30">
        <f>IF(A2319="","",CHOOSE(WEEKDAY(A2319,2),"Segunda","Terça","Quarta","Quinta","Sexta","Sábado","Domingo"))</f>
        <v/>
      </c>
      <c r="Q2319" s="30">
        <f>IF(B2319="","",IF(B2319&lt;TIME(12,0,0),"Manhã",IF(B2319&lt;TIME(18,0,0),"Tarde","Noite")))</f>
        <v/>
      </c>
      <c r="R2319" s="46">
        <f>IF(AND(H2319="Realizado",L2319&lt;&gt;"",A2319&lt;=Config!$B$9),L2319/60,0)</f>
        <v>0</v>
      </c>
      <c r="S2319" s="45">
        <f>IF(G2319="","",IFERROR(INDEX(Config!$K$5:$K$16,MATCH(G2319,Config!$J$5:$J$16,0)),""))</f>
        <v/>
      </c>
      <c r="T2319" s="31">
        <f>IF(OR(G2319="",F2319=""),"",IFERROR(INDEX(Config!$M$5:$R$16,MATCH(G2319,Config!$J$5:$J$16,0),MATCH(F2319,Config!$H$5:$H$10,0)),""))</f>
        <v/>
      </c>
      <c r="U2319" s="47">
        <f>IF(AND(H2319="Realizado",L2319&lt;&gt;""),L2319/60,0)</f>
        <v>0</v>
      </c>
      <c r="V2319" s="47">
        <f>IF(AND(H2319="Realizado",OR(L2319="",M2319="")),1,0)</f>
        <v>0</v>
      </c>
    </row>
    <row r="2320">
      <c r="A2320" s="43" t="n"/>
      <c r="B2320" s="44" t="n"/>
      <c r="C2320" s="38" t="n"/>
      <c r="D2320" s="38" t="n"/>
      <c r="E2320" s="37" t="n"/>
      <c r="F2320" s="38" t="n"/>
      <c r="G2320" s="38" t="n"/>
      <c r="H2320" s="38" t="n"/>
      <c r="I2320" s="38" t="n"/>
      <c r="J2320" s="38" t="n"/>
      <c r="K2320" s="37" t="n"/>
      <c r="L2320" s="39" t="n"/>
      <c r="M2320" s="40" t="n"/>
      <c r="N2320" s="30">
        <f>IF(A2320="","",MONTH(A2320))</f>
        <v/>
      </c>
      <c r="O2320" s="30">
        <f>IF(A2320="","",YEAR(A2320))</f>
        <v/>
      </c>
      <c r="P2320" s="30">
        <f>IF(A2320="","",CHOOSE(WEEKDAY(A2320,2),"Segunda","Terça","Quarta","Quinta","Sexta","Sábado","Domingo"))</f>
        <v/>
      </c>
      <c r="Q2320" s="30">
        <f>IF(B2320="","",IF(B2320&lt;TIME(12,0,0),"Manhã",IF(B2320&lt;TIME(18,0,0),"Tarde","Noite")))</f>
        <v/>
      </c>
      <c r="R2320" s="46">
        <f>IF(AND(H2320="Realizado",L2320&lt;&gt;"",A2320&lt;=Config!$B$9),L2320/60,0)</f>
        <v>0</v>
      </c>
      <c r="S2320" s="45">
        <f>IF(G2320="","",IFERROR(INDEX(Config!$K$5:$K$16,MATCH(G2320,Config!$J$5:$J$16,0)),""))</f>
        <v/>
      </c>
      <c r="T2320" s="31">
        <f>IF(OR(G2320="",F2320=""),"",IFERROR(INDEX(Config!$M$5:$R$16,MATCH(G2320,Config!$J$5:$J$16,0),MATCH(F2320,Config!$H$5:$H$10,0)),""))</f>
        <v/>
      </c>
      <c r="U2320" s="47">
        <f>IF(AND(H2320="Realizado",L2320&lt;&gt;""),L2320/60,0)</f>
        <v>0</v>
      </c>
      <c r="V2320" s="47">
        <f>IF(AND(H2320="Realizado",OR(L2320="",M2320="")),1,0)</f>
        <v>0</v>
      </c>
    </row>
    <row r="2321">
      <c r="A2321" s="43" t="n"/>
      <c r="B2321" s="44" t="n"/>
      <c r="C2321" s="38" t="n"/>
      <c r="D2321" s="38" t="n"/>
      <c r="E2321" s="37" t="n"/>
      <c r="F2321" s="38" t="n"/>
      <c r="G2321" s="38" t="n"/>
      <c r="H2321" s="38" t="n"/>
      <c r="I2321" s="38" t="n"/>
      <c r="J2321" s="38" t="n"/>
      <c r="K2321" s="37" t="n"/>
      <c r="L2321" s="39" t="n"/>
      <c r="M2321" s="40" t="n"/>
      <c r="N2321" s="30">
        <f>IF(A2321="","",MONTH(A2321))</f>
        <v/>
      </c>
      <c r="O2321" s="30">
        <f>IF(A2321="","",YEAR(A2321))</f>
        <v/>
      </c>
      <c r="P2321" s="30">
        <f>IF(A2321="","",CHOOSE(WEEKDAY(A2321,2),"Segunda","Terça","Quarta","Quinta","Sexta","Sábado","Domingo"))</f>
        <v/>
      </c>
      <c r="Q2321" s="30">
        <f>IF(B2321="","",IF(B2321&lt;TIME(12,0,0),"Manhã",IF(B2321&lt;TIME(18,0,0),"Tarde","Noite")))</f>
        <v/>
      </c>
      <c r="R2321" s="46">
        <f>IF(AND(H2321="Realizado",L2321&lt;&gt;"",A2321&lt;=Config!$B$9),L2321/60,0)</f>
        <v>0</v>
      </c>
      <c r="S2321" s="45">
        <f>IF(G2321="","",IFERROR(INDEX(Config!$K$5:$K$16,MATCH(G2321,Config!$J$5:$J$16,0)),""))</f>
        <v/>
      </c>
      <c r="T2321" s="31">
        <f>IF(OR(G2321="",F2321=""),"",IFERROR(INDEX(Config!$M$5:$R$16,MATCH(G2321,Config!$J$5:$J$16,0),MATCH(F2321,Config!$H$5:$H$10,0)),""))</f>
        <v/>
      </c>
      <c r="U2321" s="47">
        <f>IF(AND(H2321="Realizado",L2321&lt;&gt;""),L2321/60,0)</f>
        <v>0</v>
      </c>
      <c r="V2321" s="47">
        <f>IF(AND(H2321="Realizado",OR(L2321="",M2321="")),1,0)</f>
        <v>0</v>
      </c>
    </row>
    <row r="2322">
      <c r="A2322" s="43" t="n"/>
      <c r="B2322" s="44" t="n"/>
      <c r="C2322" s="38" t="n"/>
      <c r="D2322" s="38" t="n"/>
      <c r="E2322" s="37" t="n"/>
      <c r="F2322" s="38" t="n"/>
      <c r="G2322" s="38" t="n"/>
      <c r="H2322" s="38" t="n"/>
      <c r="I2322" s="38" t="n"/>
      <c r="J2322" s="38" t="n"/>
      <c r="K2322" s="37" t="n"/>
      <c r="L2322" s="39" t="n"/>
      <c r="M2322" s="40" t="n"/>
      <c r="N2322" s="30">
        <f>IF(A2322="","",MONTH(A2322))</f>
        <v/>
      </c>
      <c r="O2322" s="30">
        <f>IF(A2322="","",YEAR(A2322))</f>
        <v/>
      </c>
      <c r="P2322" s="30">
        <f>IF(A2322="","",CHOOSE(WEEKDAY(A2322,2),"Segunda","Terça","Quarta","Quinta","Sexta","Sábado","Domingo"))</f>
        <v/>
      </c>
      <c r="Q2322" s="30">
        <f>IF(B2322="","",IF(B2322&lt;TIME(12,0,0),"Manhã",IF(B2322&lt;TIME(18,0,0),"Tarde","Noite")))</f>
        <v/>
      </c>
      <c r="R2322" s="46">
        <f>IF(AND(H2322="Realizado",L2322&lt;&gt;"",A2322&lt;=Config!$B$9),L2322/60,0)</f>
        <v>0</v>
      </c>
      <c r="S2322" s="45">
        <f>IF(G2322="","",IFERROR(INDEX(Config!$K$5:$K$16,MATCH(G2322,Config!$J$5:$J$16,0)),""))</f>
        <v/>
      </c>
      <c r="T2322" s="31">
        <f>IF(OR(G2322="",F2322=""),"",IFERROR(INDEX(Config!$M$5:$R$16,MATCH(G2322,Config!$J$5:$J$16,0),MATCH(F2322,Config!$H$5:$H$10,0)),""))</f>
        <v/>
      </c>
      <c r="U2322" s="47">
        <f>IF(AND(H2322="Realizado",L2322&lt;&gt;""),L2322/60,0)</f>
        <v>0</v>
      </c>
      <c r="V2322" s="47">
        <f>IF(AND(H2322="Realizado",OR(L2322="",M2322="")),1,0)</f>
        <v>0</v>
      </c>
    </row>
    <row r="2323">
      <c r="A2323" s="43" t="n"/>
      <c r="B2323" s="44" t="n"/>
      <c r="C2323" s="38" t="n"/>
      <c r="D2323" s="38" t="n"/>
      <c r="E2323" s="37" t="n"/>
      <c r="F2323" s="38" t="n"/>
      <c r="G2323" s="38" t="n"/>
      <c r="H2323" s="38" t="n"/>
      <c r="I2323" s="38" t="n"/>
      <c r="J2323" s="38" t="n"/>
      <c r="K2323" s="37" t="n"/>
      <c r="L2323" s="39" t="n"/>
      <c r="M2323" s="40" t="n"/>
      <c r="N2323" s="30">
        <f>IF(A2323="","",MONTH(A2323))</f>
        <v/>
      </c>
      <c r="O2323" s="30">
        <f>IF(A2323="","",YEAR(A2323))</f>
        <v/>
      </c>
      <c r="P2323" s="30">
        <f>IF(A2323="","",CHOOSE(WEEKDAY(A2323,2),"Segunda","Terça","Quarta","Quinta","Sexta","Sábado","Domingo"))</f>
        <v/>
      </c>
      <c r="Q2323" s="30">
        <f>IF(B2323="","",IF(B2323&lt;TIME(12,0,0),"Manhã",IF(B2323&lt;TIME(18,0,0),"Tarde","Noite")))</f>
        <v/>
      </c>
      <c r="R2323" s="46">
        <f>IF(AND(H2323="Realizado",L2323&lt;&gt;"",A2323&lt;=Config!$B$9),L2323/60,0)</f>
        <v>0</v>
      </c>
      <c r="S2323" s="45">
        <f>IF(G2323="","",IFERROR(INDEX(Config!$K$5:$K$16,MATCH(G2323,Config!$J$5:$J$16,0)),""))</f>
        <v/>
      </c>
      <c r="T2323" s="31">
        <f>IF(OR(G2323="",F2323=""),"",IFERROR(INDEX(Config!$M$5:$R$16,MATCH(G2323,Config!$J$5:$J$16,0),MATCH(F2323,Config!$H$5:$H$10,0)),""))</f>
        <v/>
      </c>
      <c r="U2323" s="47">
        <f>IF(AND(H2323="Realizado",L2323&lt;&gt;""),L2323/60,0)</f>
        <v>0</v>
      </c>
      <c r="V2323" s="47">
        <f>IF(AND(H2323="Realizado",OR(L2323="",M2323="")),1,0)</f>
        <v>0</v>
      </c>
    </row>
    <row r="2324">
      <c r="A2324" s="43" t="n"/>
      <c r="B2324" s="44" t="n"/>
      <c r="C2324" s="38" t="n"/>
      <c r="D2324" s="38" t="n"/>
      <c r="E2324" s="37" t="n"/>
      <c r="F2324" s="38" t="n"/>
      <c r="G2324" s="38" t="n"/>
      <c r="H2324" s="38" t="n"/>
      <c r="I2324" s="38" t="n"/>
      <c r="J2324" s="38" t="n"/>
      <c r="K2324" s="37" t="n"/>
      <c r="L2324" s="39" t="n"/>
      <c r="M2324" s="40" t="n"/>
      <c r="N2324" s="30">
        <f>IF(A2324="","",MONTH(A2324))</f>
        <v/>
      </c>
      <c r="O2324" s="30">
        <f>IF(A2324="","",YEAR(A2324))</f>
        <v/>
      </c>
      <c r="P2324" s="30">
        <f>IF(A2324="","",CHOOSE(WEEKDAY(A2324,2),"Segunda","Terça","Quarta","Quinta","Sexta","Sábado","Domingo"))</f>
        <v/>
      </c>
      <c r="Q2324" s="30">
        <f>IF(B2324="","",IF(B2324&lt;TIME(12,0,0),"Manhã",IF(B2324&lt;TIME(18,0,0),"Tarde","Noite")))</f>
        <v/>
      </c>
      <c r="R2324" s="46">
        <f>IF(AND(H2324="Realizado",L2324&lt;&gt;"",A2324&lt;=Config!$B$9),L2324/60,0)</f>
        <v>0</v>
      </c>
      <c r="S2324" s="45">
        <f>IF(G2324="","",IFERROR(INDEX(Config!$K$5:$K$16,MATCH(G2324,Config!$J$5:$J$16,0)),""))</f>
        <v/>
      </c>
      <c r="T2324" s="31">
        <f>IF(OR(G2324="",F2324=""),"",IFERROR(INDEX(Config!$M$5:$R$16,MATCH(G2324,Config!$J$5:$J$16,0),MATCH(F2324,Config!$H$5:$H$10,0)),""))</f>
        <v/>
      </c>
      <c r="U2324" s="47">
        <f>IF(AND(H2324="Realizado",L2324&lt;&gt;""),L2324/60,0)</f>
        <v>0</v>
      </c>
      <c r="V2324" s="47">
        <f>IF(AND(H2324="Realizado",OR(L2324="",M2324="")),1,0)</f>
        <v>0</v>
      </c>
    </row>
    <row r="2325">
      <c r="A2325" s="43" t="n"/>
      <c r="B2325" s="44" t="n"/>
      <c r="C2325" s="38" t="n"/>
      <c r="D2325" s="38" t="n"/>
      <c r="E2325" s="37" t="n"/>
      <c r="F2325" s="38" t="n"/>
      <c r="G2325" s="38" t="n"/>
      <c r="H2325" s="38" t="n"/>
      <c r="I2325" s="38" t="n"/>
      <c r="J2325" s="38" t="n"/>
      <c r="K2325" s="37" t="n"/>
      <c r="L2325" s="39" t="n"/>
      <c r="M2325" s="40" t="n"/>
      <c r="N2325" s="30">
        <f>IF(A2325="","",MONTH(A2325))</f>
        <v/>
      </c>
      <c r="O2325" s="30">
        <f>IF(A2325="","",YEAR(A2325))</f>
        <v/>
      </c>
      <c r="P2325" s="30">
        <f>IF(A2325="","",CHOOSE(WEEKDAY(A2325,2),"Segunda","Terça","Quarta","Quinta","Sexta","Sábado","Domingo"))</f>
        <v/>
      </c>
      <c r="Q2325" s="30">
        <f>IF(B2325="","",IF(B2325&lt;TIME(12,0,0),"Manhã",IF(B2325&lt;TIME(18,0,0),"Tarde","Noite")))</f>
        <v/>
      </c>
      <c r="R2325" s="46">
        <f>IF(AND(H2325="Realizado",L2325&lt;&gt;"",A2325&lt;=Config!$B$9),L2325/60,0)</f>
        <v>0</v>
      </c>
      <c r="S2325" s="45">
        <f>IF(G2325="","",IFERROR(INDEX(Config!$K$5:$K$16,MATCH(G2325,Config!$J$5:$J$16,0)),""))</f>
        <v/>
      </c>
      <c r="T2325" s="31">
        <f>IF(OR(G2325="",F2325=""),"",IFERROR(INDEX(Config!$M$5:$R$16,MATCH(G2325,Config!$J$5:$J$16,0),MATCH(F2325,Config!$H$5:$H$10,0)),""))</f>
        <v/>
      </c>
      <c r="U2325" s="47">
        <f>IF(AND(H2325="Realizado",L2325&lt;&gt;""),L2325/60,0)</f>
        <v>0</v>
      </c>
      <c r="V2325" s="47">
        <f>IF(AND(H2325="Realizado",OR(L2325="",M2325="")),1,0)</f>
        <v>0</v>
      </c>
    </row>
    <row r="2326">
      <c r="A2326" s="43" t="n"/>
      <c r="B2326" s="44" t="n"/>
      <c r="C2326" s="38" t="n"/>
      <c r="D2326" s="38" t="n"/>
      <c r="E2326" s="37" t="n"/>
      <c r="F2326" s="38" t="n"/>
      <c r="G2326" s="38" t="n"/>
      <c r="H2326" s="38" t="n"/>
      <c r="I2326" s="38" t="n"/>
      <c r="J2326" s="38" t="n"/>
      <c r="K2326" s="37" t="n"/>
      <c r="L2326" s="39" t="n"/>
      <c r="M2326" s="40" t="n"/>
      <c r="N2326" s="30">
        <f>IF(A2326="","",MONTH(A2326))</f>
        <v/>
      </c>
      <c r="O2326" s="30">
        <f>IF(A2326="","",YEAR(A2326))</f>
        <v/>
      </c>
      <c r="P2326" s="30">
        <f>IF(A2326="","",CHOOSE(WEEKDAY(A2326,2),"Segunda","Terça","Quarta","Quinta","Sexta","Sábado","Domingo"))</f>
        <v/>
      </c>
      <c r="Q2326" s="30">
        <f>IF(B2326="","",IF(B2326&lt;TIME(12,0,0),"Manhã",IF(B2326&lt;TIME(18,0,0),"Tarde","Noite")))</f>
        <v/>
      </c>
      <c r="R2326" s="46">
        <f>IF(AND(H2326="Realizado",L2326&lt;&gt;"",A2326&lt;=Config!$B$9),L2326/60,0)</f>
        <v>0</v>
      </c>
      <c r="S2326" s="45">
        <f>IF(G2326="","",IFERROR(INDEX(Config!$K$5:$K$16,MATCH(G2326,Config!$J$5:$J$16,0)),""))</f>
        <v/>
      </c>
      <c r="T2326" s="31">
        <f>IF(OR(G2326="",F2326=""),"",IFERROR(INDEX(Config!$M$5:$R$16,MATCH(G2326,Config!$J$5:$J$16,0),MATCH(F2326,Config!$H$5:$H$10,0)),""))</f>
        <v/>
      </c>
      <c r="U2326" s="47">
        <f>IF(AND(H2326="Realizado",L2326&lt;&gt;""),L2326/60,0)</f>
        <v>0</v>
      </c>
      <c r="V2326" s="47">
        <f>IF(AND(H2326="Realizado",OR(L2326="",M2326="")),1,0)</f>
        <v>0</v>
      </c>
    </row>
    <row r="2327">
      <c r="A2327" s="43" t="n"/>
      <c r="B2327" s="44" t="n"/>
      <c r="C2327" s="38" t="n"/>
      <c r="D2327" s="38" t="n"/>
      <c r="E2327" s="37" t="n"/>
      <c r="F2327" s="38" t="n"/>
      <c r="G2327" s="38" t="n"/>
      <c r="H2327" s="38" t="n"/>
      <c r="I2327" s="38" t="n"/>
      <c r="J2327" s="38" t="n"/>
      <c r="K2327" s="37" t="n"/>
      <c r="L2327" s="39" t="n"/>
      <c r="M2327" s="40" t="n"/>
      <c r="N2327" s="30">
        <f>IF(A2327="","",MONTH(A2327))</f>
        <v/>
      </c>
      <c r="O2327" s="30">
        <f>IF(A2327="","",YEAR(A2327))</f>
        <v/>
      </c>
      <c r="P2327" s="30">
        <f>IF(A2327="","",CHOOSE(WEEKDAY(A2327,2),"Segunda","Terça","Quarta","Quinta","Sexta","Sábado","Domingo"))</f>
        <v/>
      </c>
      <c r="Q2327" s="30">
        <f>IF(B2327="","",IF(B2327&lt;TIME(12,0,0),"Manhã",IF(B2327&lt;TIME(18,0,0),"Tarde","Noite")))</f>
        <v/>
      </c>
      <c r="R2327" s="46">
        <f>IF(AND(H2327="Realizado",L2327&lt;&gt;"",A2327&lt;=Config!$B$9),L2327/60,0)</f>
        <v>0</v>
      </c>
      <c r="S2327" s="45">
        <f>IF(G2327="","",IFERROR(INDEX(Config!$K$5:$K$16,MATCH(G2327,Config!$J$5:$J$16,0)),""))</f>
        <v/>
      </c>
      <c r="T2327" s="31">
        <f>IF(OR(G2327="",F2327=""),"",IFERROR(INDEX(Config!$M$5:$R$16,MATCH(G2327,Config!$J$5:$J$16,0),MATCH(F2327,Config!$H$5:$H$10,0)),""))</f>
        <v/>
      </c>
      <c r="U2327" s="47">
        <f>IF(AND(H2327="Realizado",L2327&lt;&gt;""),L2327/60,0)</f>
        <v>0</v>
      </c>
      <c r="V2327" s="47">
        <f>IF(AND(H2327="Realizado",OR(L2327="",M2327="")),1,0)</f>
        <v>0</v>
      </c>
    </row>
    <row r="2328">
      <c r="A2328" s="43" t="n"/>
      <c r="B2328" s="44" t="n"/>
      <c r="C2328" s="38" t="n"/>
      <c r="D2328" s="38" t="n"/>
      <c r="E2328" s="37" t="n"/>
      <c r="F2328" s="38" t="n"/>
      <c r="G2328" s="38" t="n"/>
      <c r="H2328" s="38" t="n"/>
      <c r="I2328" s="38" t="n"/>
      <c r="J2328" s="38" t="n"/>
      <c r="K2328" s="37" t="n"/>
      <c r="L2328" s="39" t="n"/>
      <c r="M2328" s="40" t="n"/>
      <c r="N2328" s="30">
        <f>IF(A2328="","",MONTH(A2328))</f>
        <v/>
      </c>
      <c r="O2328" s="30">
        <f>IF(A2328="","",YEAR(A2328))</f>
        <v/>
      </c>
      <c r="P2328" s="30">
        <f>IF(A2328="","",CHOOSE(WEEKDAY(A2328,2),"Segunda","Terça","Quarta","Quinta","Sexta","Sábado","Domingo"))</f>
        <v/>
      </c>
      <c r="Q2328" s="30">
        <f>IF(B2328="","",IF(B2328&lt;TIME(12,0,0),"Manhã",IF(B2328&lt;TIME(18,0,0),"Tarde","Noite")))</f>
        <v/>
      </c>
      <c r="R2328" s="46">
        <f>IF(AND(H2328="Realizado",L2328&lt;&gt;"",A2328&lt;=Config!$B$9),L2328/60,0)</f>
        <v>0</v>
      </c>
      <c r="S2328" s="45">
        <f>IF(G2328="","",IFERROR(INDEX(Config!$K$5:$K$16,MATCH(G2328,Config!$J$5:$J$16,0)),""))</f>
        <v/>
      </c>
      <c r="T2328" s="31">
        <f>IF(OR(G2328="",F2328=""),"",IFERROR(INDEX(Config!$M$5:$R$16,MATCH(G2328,Config!$J$5:$J$16,0),MATCH(F2328,Config!$H$5:$H$10,0)),""))</f>
        <v/>
      </c>
      <c r="U2328" s="47">
        <f>IF(AND(H2328="Realizado",L2328&lt;&gt;""),L2328/60,0)</f>
        <v>0</v>
      </c>
      <c r="V2328" s="47">
        <f>IF(AND(H2328="Realizado",OR(L2328="",M2328="")),1,0)</f>
        <v>0</v>
      </c>
    </row>
    <row r="2329">
      <c r="A2329" s="43" t="n"/>
      <c r="B2329" s="44" t="n"/>
      <c r="C2329" s="38" t="n"/>
      <c r="D2329" s="38" t="n"/>
      <c r="E2329" s="37" t="n"/>
      <c r="F2329" s="38" t="n"/>
      <c r="G2329" s="38" t="n"/>
      <c r="H2329" s="38" t="n"/>
      <c r="I2329" s="38" t="n"/>
      <c r="J2329" s="38" t="n"/>
      <c r="K2329" s="37" t="n"/>
      <c r="L2329" s="39" t="n"/>
      <c r="M2329" s="40" t="n"/>
      <c r="N2329" s="30">
        <f>IF(A2329="","",MONTH(A2329))</f>
        <v/>
      </c>
      <c r="O2329" s="30">
        <f>IF(A2329="","",YEAR(A2329))</f>
        <v/>
      </c>
      <c r="P2329" s="30">
        <f>IF(A2329="","",CHOOSE(WEEKDAY(A2329,2),"Segunda","Terça","Quarta","Quinta","Sexta","Sábado","Domingo"))</f>
        <v/>
      </c>
      <c r="Q2329" s="30">
        <f>IF(B2329="","",IF(B2329&lt;TIME(12,0,0),"Manhã",IF(B2329&lt;TIME(18,0,0),"Tarde","Noite")))</f>
        <v/>
      </c>
      <c r="R2329" s="46">
        <f>IF(AND(H2329="Realizado",L2329&lt;&gt;"",A2329&lt;=Config!$B$9),L2329/60,0)</f>
        <v>0</v>
      </c>
      <c r="S2329" s="45">
        <f>IF(G2329="","",IFERROR(INDEX(Config!$K$5:$K$16,MATCH(G2329,Config!$J$5:$J$16,0)),""))</f>
        <v/>
      </c>
      <c r="T2329" s="31">
        <f>IF(OR(G2329="",F2329=""),"",IFERROR(INDEX(Config!$M$5:$R$16,MATCH(G2329,Config!$J$5:$J$16,0),MATCH(F2329,Config!$H$5:$H$10,0)),""))</f>
        <v/>
      </c>
      <c r="U2329" s="47">
        <f>IF(AND(H2329="Realizado",L2329&lt;&gt;""),L2329/60,0)</f>
        <v>0</v>
      </c>
      <c r="V2329" s="47">
        <f>IF(AND(H2329="Realizado",OR(L2329="",M2329="")),1,0)</f>
        <v>0</v>
      </c>
    </row>
    <row r="2330">
      <c r="A2330" s="43" t="n"/>
      <c r="B2330" s="44" t="n"/>
      <c r="C2330" s="38" t="n"/>
      <c r="D2330" s="38" t="n"/>
      <c r="E2330" s="37" t="n"/>
      <c r="F2330" s="38" t="n"/>
      <c r="G2330" s="38" t="n"/>
      <c r="H2330" s="38" t="n"/>
      <c r="I2330" s="38" t="n"/>
      <c r="J2330" s="38" t="n"/>
      <c r="K2330" s="37" t="n"/>
      <c r="L2330" s="39" t="n"/>
      <c r="M2330" s="40" t="n"/>
      <c r="N2330" s="30">
        <f>IF(A2330="","",MONTH(A2330))</f>
        <v/>
      </c>
      <c r="O2330" s="30">
        <f>IF(A2330="","",YEAR(A2330))</f>
        <v/>
      </c>
      <c r="P2330" s="30">
        <f>IF(A2330="","",CHOOSE(WEEKDAY(A2330,2),"Segunda","Terça","Quarta","Quinta","Sexta","Sábado","Domingo"))</f>
        <v/>
      </c>
      <c r="Q2330" s="30">
        <f>IF(B2330="","",IF(B2330&lt;TIME(12,0,0),"Manhã",IF(B2330&lt;TIME(18,0,0),"Tarde","Noite")))</f>
        <v/>
      </c>
      <c r="R2330" s="46">
        <f>IF(AND(H2330="Realizado",L2330&lt;&gt;"",A2330&lt;=Config!$B$9),L2330/60,0)</f>
        <v>0</v>
      </c>
      <c r="S2330" s="45">
        <f>IF(G2330="","",IFERROR(INDEX(Config!$K$5:$K$16,MATCH(G2330,Config!$J$5:$J$16,0)),""))</f>
        <v/>
      </c>
      <c r="T2330" s="31">
        <f>IF(OR(G2330="",F2330=""),"",IFERROR(INDEX(Config!$M$5:$R$16,MATCH(G2330,Config!$J$5:$J$16,0),MATCH(F2330,Config!$H$5:$H$10,0)),""))</f>
        <v/>
      </c>
      <c r="U2330" s="47">
        <f>IF(AND(H2330="Realizado",L2330&lt;&gt;""),L2330/60,0)</f>
        <v>0</v>
      </c>
      <c r="V2330" s="47">
        <f>IF(AND(H2330="Realizado",OR(L2330="",M2330="")),1,0)</f>
        <v>0</v>
      </c>
    </row>
    <row r="2331">
      <c r="A2331" s="43" t="n"/>
      <c r="B2331" s="44" t="n"/>
      <c r="C2331" s="38" t="n"/>
      <c r="D2331" s="38" t="n"/>
      <c r="E2331" s="37" t="n"/>
      <c r="F2331" s="38" t="n"/>
      <c r="G2331" s="38" t="n"/>
      <c r="H2331" s="38" t="n"/>
      <c r="I2331" s="38" t="n"/>
      <c r="J2331" s="38" t="n"/>
      <c r="K2331" s="37" t="n"/>
      <c r="L2331" s="39" t="n"/>
      <c r="M2331" s="40" t="n"/>
      <c r="N2331" s="30">
        <f>IF(A2331="","",MONTH(A2331))</f>
        <v/>
      </c>
      <c r="O2331" s="30">
        <f>IF(A2331="","",YEAR(A2331))</f>
        <v/>
      </c>
      <c r="P2331" s="30">
        <f>IF(A2331="","",CHOOSE(WEEKDAY(A2331,2),"Segunda","Terça","Quarta","Quinta","Sexta","Sábado","Domingo"))</f>
        <v/>
      </c>
      <c r="Q2331" s="30">
        <f>IF(B2331="","",IF(B2331&lt;TIME(12,0,0),"Manhã",IF(B2331&lt;TIME(18,0,0),"Tarde","Noite")))</f>
        <v/>
      </c>
      <c r="R2331" s="46">
        <f>IF(AND(H2331="Realizado",L2331&lt;&gt;"",A2331&lt;=Config!$B$9),L2331/60,0)</f>
        <v>0</v>
      </c>
      <c r="S2331" s="45">
        <f>IF(G2331="","",IFERROR(INDEX(Config!$K$5:$K$16,MATCH(G2331,Config!$J$5:$J$16,0)),""))</f>
        <v/>
      </c>
      <c r="T2331" s="31">
        <f>IF(OR(G2331="",F2331=""),"",IFERROR(INDEX(Config!$M$5:$R$16,MATCH(G2331,Config!$J$5:$J$16,0),MATCH(F2331,Config!$H$5:$H$10,0)),""))</f>
        <v/>
      </c>
      <c r="U2331" s="47">
        <f>IF(AND(H2331="Realizado",L2331&lt;&gt;""),L2331/60,0)</f>
        <v>0</v>
      </c>
      <c r="V2331" s="47">
        <f>IF(AND(H2331="Realizado",OR(L2331="",M2331="")),1,0)</f>
        <v>0</v>
      </c>
    </row>
    <row r="2332">
      <c r="A2332" s="43" t="n"/>
      <c r="B2332" s="44" t="n"/>
      <c r="C2332" s="38" t="n"/>
      <c r="D2332" s="38" t="n"/>
      <c r="E2332" s="37" t="n"/>
      <c r="F2332" s="38" t="n"/>
      <c r="G2332" s="38" t="n"/>
      <c r="H2332" s="38" t="n"/>
      <c r="I2332" s="38" t="n"/>
      <c r="J2332" s="38" t="n"/>
      <c r="K2332" s="37" t="n"/>
      <c r="L2332" s="39" t="n"/>
      <c r="M2332" s="40" t="n"/>
      <c r="N2332" s="30">
        <f>IF(A2332="","",MONTH(A2332))</f>
        <v/>
      </c>
      <c r="O2332" s="30">
        <f>IF(A2332="","",YEAR(A2332))</f>
        <v/>
      </c>
      <c r="P2332" s="30">
        <f>IF(A2332="","",CHOOSE(WEEKDAY(A2332,2),"Segunda","Terça","Quarta","Quinta","Sexta","Sábado","Domingo"))</f>
        <v/>
      </c>
      <c r="Q2332" s="30">
        <f>IF(B2332="","",IF(B2332&lt;TIME(12,0,0),"Manhã",IF(B2332&lt;TIME(18,0,0),"Tarde","Noite")))</f>
        <v/>
      </c>
      <c r="R2332" s="46">
        <f>IF(AND(H2332="Realizado",L2332&lt;&gt;"",A2332&lt;=Config!$B$9),L2332/60,0)</f>
        <v>0</v>
      </c>
      <c r="S2332" s="45">
        <f>IF(G2332="","",IFERROR(INDEX(Config!$K$5:$K$16,MATCH(G2332,Config!$J$5:$J$16,0)),""))</f>
        <v/>
      </c>
      <c r="T2332" s="31">
        <f>IF(OR(G2332="",F2332=""),"",IFERROR(INDEX(Config!$M$5:$R$16,MATCH(G2332,Config!$J$5:$J$16,0),MATCH(F2332,Config!$H$5:$H$10,0)),""))</f>
        <v/>
      </c>
      <c r="U2332" s="47">
        <f>IF(AND(H2332="Realizado",L2332&lt;&gt;""),L2332/60,0)</f>
        <v>0</v>
      </c>
      <c r="V2332" s="47">
        <f>IF(AND(H2332="Realizado",OR(L2332="",M2332="")),1,0)</f>
        <v>0</v>
      </c>
    </row>
    <row r="2333">
      <c r="A2333" s="43" t="n"/>
      <c r="B2333" s="44" t="n"/>
      <c r="C2333" s="38" t="n"/>
      <c r="D2333" s="38" t="n"/>
      <c r="E2333" s="37" t="n"/>
      <c r="F2333" s="38" t="n"/>
      <c r="G2333" s="38" t="n"/>
      <c r="H2333" s="38" t="n"/>
      <c r="I2333" s="38" t="n"/>
      <c r="J2333" s="38" t="n"/>
      <c r="K2333" s="37" t="n"/>
      <c r="L2333" s="39" t="n"/>
      <c r="M2333" s="40" t="n"/>
      <c r="N2333" s="30">
        <f>IF(A2333="","",MONTH(A2333))</f>
        <v/>
      </c>
      <c r="O2333" s="30">
        <f>IF(A2333="","",YEAR(A2333))</f>
        <v/>
      </c>
      <c r="P2333" s="30">
        <f>IF(A2333="","",CHOOSE(WEEKDAY(A2333,2),"Segunda","Terça","Quarta","Quinta","Sexta","Sábado","Domingo"))</f>
        <v/>
      </c>
      <c r="Q2333" s="30">
        <f>IF(B2333="","",IF(B2333&lt;TIME(12,0,0),"Manhã",IF(B2333&lt;TIME(18,0,0),"Tarde","Noite")))</f>
        <v/>
      </c>
      <c r="R2333" s="46">
        <f>IF(AND(H2333="Realizado",L2333&lt;&gt;"",A2333&lt;=Config!$B$9),L2333/60,0)</f>
        <v>0</v>
      </c>
      <c r="S2333" s="45">
        <f>IF(G2333="","",IFERROR(INDEX(Config!$K$5:$K$16,MATCH(G2333,Config!$J$5:$J$16,0)),""))</f>
        <v/>
      </c>
      <c r="T2333" s="31">
        <f>IF(OR(G2333="",F2333=""),"",IFERROR(INDEX(Config!$M$5:$R$16,MATCH(G2333,Config!$J$5:$J$16,0),MATCH(F2333,Config!$H$5:$H$10,0)),""))</f>
        <v/>
      </c>
      <c r="U2333" s="47">
        <f>IF(AND(H2333="Realizado",L2333&lt;&gt;""),L2333/60,0)</f>
        <v>0</v>
      </c>
      <c r="V2333" s="47">
        <f>IF(AND(H2333="Realizado",OR(L2333="",M2333="")),1,0)</f>
        <v>0</v>
      </c>
    </row>
    <row r="2334">
      <c r="A2334" s="43" t="n"/>
      <c r="B2334" s="44" t="n"/>
      <c r="C2334" s="38" t="n"/>
      <c r="D2334" s="38" t="n"/>
      <c r="E2334" s="37" t="n"/>
      <c r="F2334" s="38" t="n"/>
      <c r="G2334" s="38" t="n"/>
      <c r="H2334" s="38" t="n"/>
      <c r="I2334" s="38" t="n"/>
      <c r="J2334" s="38" t="n"/>
      <c r="K2334" s="37" t="n"/>
      <c r="L2334" s="39" t="n"/>
      <c r="M2334" s="40" t="n"/>
      <c r="N2334" s="30">
        <f>IF(A2334="","",MONTH(A2334))</f>
        <v/>
      </c>
      <c r="O2334" s="30">
        <f>IF(A2334="","",YEAR(A2334))</f>
        <v/>
      </c>
      <c r="P2334" s="30">
        <f>IF(A2334="","",CHOOSE(WEEKDAY(A2334,2),"Segunda","Terça","Quarta","Quinta","Sexta","Sábado","Domingo"))</f>
        <v/>
      </c>
      <c r="Q2334" s="30">
        <f>IF(B2334="","",IF(B2334&lt;TIME(12,0,0),"Manhã",IF(B2334&lt;TIME(18,0,0),"Tarde","Noite")))</f>
        <v/>
      </c>
      <c r="R2334" s="46">
        <f>IF(AND(H2334="Realizado",L2334&lt;&gt;"",A2334&lt;=Config!$B$9),L2334/60,0)</f>
        <v>0</v>
      </c>
      <c r="S2334" s="45">
        <f>IF(G2334="","",IFERROR(INDEX(Config!$K$5:$K$16,MATCH(G2334,Config!$J$5:$J$16,0)),""))</f>
        <v/>
      </c>
      <c r="T2334" s="31">
        <f>IF(OR(G2334="",F2334=""),"",IFERROR(INDEX(Config!$M$5:$R$16,MATCH(G2334,Config!$J$5:$J$16,0),MATCH(F2334,Config!$H$5:$H$10,0)),""))</f>
        <v/>
      </c>
      <c r="U2334" s="47">
        <f>IF(AND(H2334="Realizado",L2334&lt;&gt;""),L2334/60,0)</f>
        <v>0</v>
      </c>
      <c r="V2334" s="47">
        <f>IF(AND(H2334="Realizado",OR(L2334="",M2334="")),1,0)</f>
        <v>0</v>
      </c>
    </row>
    <row r="2335">
      <c r="A2335" s="43" t="n"/>
      <c r="B2335" s="44" t="n"/>
      <c r="C2335" s="38" t="n"/>
      <c r="D2335" s="38" t="n"/>
      <c r="E2335" s="37" t="n"/>
      <c r="F2335" s="38" t="n"/>
      <c r="G2335" s="38" t="n"/>
      <c r="H2335" s="38" t="n"/>
      <c r="I2335" s="38" t="n"/>
      <c r="J2335" s="38" t="n"/>
      <c r="K2335" s="37" t="n"/>
      <c r="L2335" s="39" t="n"/>
      <c r="M2335" s="40" t="n"/>
      <c r="N2335" s="30">
        <f>IF(A2335="","",MONTH(A2335))</f>
        <v/>
      </c>
      <c r="O2335" s="30">
        <f>IF(A2335="","",YEAR(A2335))</f>
        <v/>
      </c>
      <c r="P2335" s="30">
        <f>IF(A2335="","",CHOOSE(WEEKDAY(A2335,2),"Segunda","Terça","Quarta","Quinta","Sexta","Sábado","Domingo"))</f>
        <v/>
      </c>
      <c r="Q2335" s="30">
        <f>IF(B2335="","",IF(B2335&lt;TIME(12,0,0),"Manhã",IF(B2335&lt;TIME(18,0,0),"Tarde","Noite")))</f>
        <v/>
      </c>
      <c r="R2335" s="46">
        <f>IF(AND(H2335="Realizado",L2335&lt;&gt;"",A2335&lt;=Config!$B$9),L2335/60,0)</f>
        <v>0</v>
      </c>
      <c r="S2335" s="45">
        <f>IF(G2335="","",IFERROR(INDEX(Config!$K$5:$K$16,MATCH(G2335,Config!$J$5:$J$16,0)),""))</f>
        <v/>
      </c>
      <c r="T2335" s="31">
        <f>IF(OR(G2335="",F2335=""),"",IFERROR(INDEX(Config!$M$5:$R$16,MATCH(G2335,Config!$J$5:$J$16,0),MATCH(F2335,Config!$H$5:$H$10,0)),""))</f>
        <v/>
      </c>
      <c r="U2335" s="47">
        <f>IF(AND(H2335="Realizado",L2335&lt;&gt;""),L2335/60,0)</f>
        <v>0</v>
      </c>
      <c r="V2335" s="47">
        <f>IF(AND(H2335="Realizado",OR(L2335="",M2335="")),1,0)</f>
        <v>0</v>
      </c>
    </row>
    <row r="2336">
      <c r="A2336" s="43" t="n"/>
      <c r="B2336" s="44" t="n"/>
      <c r="C2336" s="38" t="n"/>
      <c r="D2336" s="38" t="n"/>
      <c r="E2336" s="37" t="n"/>
      <c r="F2336" s="38" t="n"/>
      <c r="G2336" s="38" t="n"/>
      <c r="H2336" s="38" t="n"/>
      <c r="I2336" s="38" t="n"/>
      <c r="J2336" s="38" t="n"/>
      <c r="K2336" s="37" t="n"/>
      <c r="L2336" s="39" t="n"/>
      <c r="M2336" s="40" t="n"/>
      <c r="N2336" s="30">
        <f>IF(A2336="","",MONTH(A2336))</f>
        <v/>
      </c>
      <c r="O2336" s="30">
        <f>IF(A2336="","",YEAR(A2336))</f>
        <v/>
      </c>
      <c r="P2336" s="30">
        <f>IF(A2336="","",CHOOSE(WEEKDAY(A2336,2),"Segunda","Terça","Quarta","Quinta","Sexta","Sábado","Domingo"))</f>
        <v/>
      </c>
      <c r="Q2336" s="30">
        <f>IF(B2336="","",IF(B2336&lt;TIME(12,0,0),"Manhã",IF(B2336&lt;TIME(18,0,0),"Tarde","Noite")))</f>
        <v/>
      </c>
      <c r="R2336" s="46">
        <f>IF(AND(H2336="Realizado",L2336&lt;&gt;"",A2336&lt;=Config!$B$9),L2336/60,0)</f>
        <v>0</v>
      </c>
      <c r="S2336" s="45">
        <f>IF(G2336="","",IFERROR(INDEX(Config!$K$5:$K$16,MATCH(G2336,Config!$J$5:$J$16,0)),""))</f>
        <v/>
      </c>
      <c r="T2336" s="31">
        <f>IF(OR(G2336="",F2336=""),"",IFERROR(INDEX(Config!$M$5:$R$16,MATCH(G2336,Config!$J$5:$J$16,0),MATCH(F2336,Config!$H$5:$H$10,0)),""))</f>
        <v/>
      </c>
      <c r="U2336" s="47">
        <f>IF(AND(H2336="Realizado",L2336&lt;&gt;""),L2336/60,0)</f>
        <v>0</v>
      </c>
      <c r="V2336" s="47">
        <f>IF(AND(H2336="Realizado",OR(L2336="",M2336="")),1,0)</f>
        <v>0</v>
      </c>
    </row>
    <row r="2337">
      <c r="A2337" s="43" t="n"/>
      <c r="B2337" s="44" t="n"/>
      <c r="C2337" s="38" t="n"/>
      <c r="D2337" s="38" t="n"/>
      <c r="E2337" s="37" t="n"/>
      <c r="F2337" s="38" t="n"/>
      <c r="G2337" s="38" t="n"/>
      <c r="H2337" s="38" t="n"/>
      <c r="I2337" s="38" t="n"/>
      <c r="J2337" s="38" t="n"/>
      <c r="K2337" s="37" t="n"/>
      <c r="L2337" s="39" t="n"/>
      <c r="M2337" s="40" t="n"/>
      <c r="N2337" s="30">
        <f>IF(A2337="","",MONTH(A2337))</f>
        <v/>
      </c>
      <c r="O2337" s="30">
        <f>IF(A2337="","",YEAR(A2337))</f>
        <v/>
      </c>
      <c r="P2337" s="30">
        <f>IF(A2337="","",CHOOSE(WEEKDAY(A2337,2),"Segunda","Terça","Quarta","Quinta","Sexta","Sábado","Domingo"))</f>
        <v/>
      </c>
      <c r="Q2337" s="30">
        <f>IF(B2337="","",IF(B2337&lt;TIME(12,0,0),"Manhã",IF(B2337&lt;TIME(18,0,0),"Tarde","Noite")))</f>
        <v/>
      </c>
      <c r="R2337" s="46">
        <f>IF(AND(H2337="Realizado",L2337&lt;&gt;"",A2337&lt;=Config!$B$9),L2337/60,0)</f>
        <v>0</v>
      </c>
      <c r="S2337" s="45">
        <f>IF(G2337="","",IFERROR(INDEX(Config!$K$5:$K$16,MATCH(G2337,Config!$J$5:$J$16,0)),""))</f>
        <v/>
      </c>
      <c r="T2337" s="31">
        <f>IF(OR(G2337="",F2337=""),"",IFERROR(INDEX(Config!$M$5:$R$16,MATCH(G2337,Config!$J$5:$J$16,0),MATCH(F2337,Config!$H$5:$H$10,0)),""))</f>
        <v/>
      </c>
      <c r="U2337" s="47">
        <f>IF(AND(H2337="Realizado",L2337&lt;&gt;""),L2337/60,0)</f>
        <v>0</v>
      </c>
      <c r="V2337" s="47">
        <f>IF(AND(H2337="Realizado",OR(L2337="",M2337="")),1,0)</f>
        <v>0</v>
      </c>
    </row>
    <row r="2338">
      <c r="A2338" s="43" t="n"/>
      <c r="B2338" s="44" t="n"/>
      <c r="C2338" s="38" t="n"/>
      <c r="D2338" s="38" t="n"/>
      <c r="E2338" s="37" t="n"/>
      <c r="F2338" s="38" t="n"/>
      <c r="G2338" s="38" t="n"/>
      <c r="H2338" s="38" t="n"/>
      <c r="I2338" s="38" t="n"/>
      <c r="J2338" s="38" t="n"/>
      <c r="K2338" s="37" t="n"/>
      <c r="L2338" s="39" t="n"/>
      <c r="M2338" s="40" t="n"/>
      <c r="N2338" s="30">
        <f>IF(A2338="","",MONTH(A2338))</f>
        <v/>
      </c>
      <c r="O2338" s="30">
        <f>IF(A2338="","",YEAR(A2338))</f>
        <v/>
      </c>
      <c r="P2338" s="30">
        <f>IF(A2338="","",CHOOSE(WEEKDAY(A2338,2),"Segunda","Terça","Quarta","Quinta","Sexta","Sábado","Domingo"))</f>
        <v/>
      </c>
      <c r="Q2338" s="30">
        <f>IF(B2338="","",IF(B2338&lt;TIME(12,0,0),"Manhã",IF(B2338&lt;TIME(18,0,0),"Tarde","Noite")))</f>
        <v/>
      </c>
      <c r="R2338" s="46">
        <f>IF(AND(H2338="Realizado",L2338&lt;&gt;"",A2338&lt;=Config!$B$9),L2338/60,0)</f>
        <v>0</v>
      </c>
      <c r="S2338" s="45">
        <f>IF(G2338="","",IFERROR(INDEX(Config!$K$5:$K$16,MATCH(G2338,Config!$J$5:$J$16,0)),""))</f>
        <v/>
      </c>
      <c r="T2338" s="31">
        <f>IF(OR(G2338="",F2338=""),"",IFERROR(INDEX(Config!$M$5:$R$16,MATCH(G2338,Config!$J$5:$J$16,0),MATCH(F2338,Config!$H$5:$H$10,0)),""))</f>
        <v/>
      </c>
      <c r="U2338" s="47">
        <f>IF(AND(H2338="Realizado",L2338&lt;&gt;""),L2338/60,0)</f>
        <v>0</v>
      </c>
      <c r="V2338" s="47">
        <f>IF(AND(H2338="Realizado",OR(L2338="",M2338="")),1,0)</f>
        <v>0</v>
      </c>
    </row>
    <row r="2339">
      <c r="A2339" s="43" t="n"/>
      <c r="B2339" s="44" t="n"/>
      <c r="C2339" s="38" t="n"/>
      <c r="D2339" s="38" t="n"/>
      <c r="E2339" s="37" t="n"/>
      <c r="F2339" s="38" t="n"/>
      <c r="G2339" s="38" t="n"/>
      <c r="H2339" s="38" t="n"/>
      <c r="I2339" s="38" t="n"/>
      <c r="J2339" s="38" t="n"/>
      <c r="K2339" s="37" t="n"/>
      <c r="L2339" s="39" t="n"/>
      <c r="M2339" s="40" t="n"/>
      <c r="N2339" s="30">
        <f>IF(A2339="","",MONTH(A2339))</f>
        <v/>
      </c>
      <c r="O2339" s="30">
        <f>IF(A2339="","",YEAR(A2339))</f>
        <v/>
      </c>
      <c r="P2339" s="30">
        <f>IF(A2339="","",CHOOSE(WEEKDAY(A2339,2),"Segunda","Terça","Quarta","Quinta","Sexta","Sábado","Domingo"))</f>
        <v/>
      </c>
      <c r="Q2339" s="30">
        <f>IF(B2339="","",IF(B2339&lt;TIME(12,0,0),"Manhã",IF(B2339&lt;TIME(18,0,0),"Tarde","Noite")))</f>
        <v/>
      </c>
      <c r="R2339" s="46">
        <f>IF(AND(H2339="Realizado",L2339&lt;&gt;"",A2339&lt;=Config!$B$9),L2339/60,0)</f>
        <v>0</v>
      </c>
      <c r="S2339" s="45">
        <f>IF(G2339="","",IFERROR(INDEX(Config!$K$5:$K$16,MATCH(G2339,Config!$J$5:$J$16,0)),""))</f>
        <v/>
      </c>
      <c r="T2339" s="31">
        <f>IF(OR(G2339="",F2339=""),"",IFERROR(INDEX(Config!$M$5:$R$16,MATCH(G2339,Config!$J$5:$J$16,0),MATCH(F2339,Config!$H$5:$H$10,0)),""))</f>
        <v/>
      </c>
      <c r="U2339" s="47">
        <f>IF(AND(H2339="Realizado",L2339&lt;&gt;""),L2339/60,0)</f>
        <v>0</v>
      </c>
      <c r="V2339" s="47">
        <f>IF(AND(H2339="Realizado",OR(L2339="",M2339="")),1,0)</f>
        <v>0</v>
      </c>
    </row>
    <row r="2340">
      <c r="A2340" s="43" t="n"/>
      <c r="B2340" s="44" t="n"/>
      <c r="C2340" s="38" t="n"/>
      <c r="D2340" s="38" t="n"/>
      <c r="E2340" s="37" t="n"/>
      <c r="F2340" s="38" t="n"/>
      <c r="G2340" s="38" t="n"/>
      <c r="H2340" s="38" t="n"/>
      <c r="I2340" s="38" t="n"/>
      <c r="J2340" s="38" t="n"/>
      <c r="K2340" s="37" t="n"/>
      <c r="L2340" s="39" t="n"/>
      <c r="M2340" s="40" t="n"/>
      <c r="N2340" s="30">
        <f>IF(A2340="","",MONTH(A2340))</f>
        <v/>
      </c>
      <c r="O2340" s="30">
        <f>IF(A2340="","",YEAR(A2340))</f>
        <v/>
      </c>
      <c r="P2340" s="30">
        <f>IF(A2340="","",CHOOSE(WEEKDAY(A2340,2),"Segunda","Terça","Quarta","Quinta","Sexta","Sábado","Domingo"))</f>
        <v/>
      </c>
      <c r="Q2340" s="30">
        <f>IF(B2340="","",IF(B2340&lt;TIME(12,0,0),"Manhã",IF(B2340&lt;TIME(18,0,0),"Tarde","Noite")))</f>
        <v/>
      </c>
      <c r="R2340" s="46">
        <f>IF(AND(H2340="Realizado",L2340&lt;&gt;"",A2340&lt;=Config!$B$9),L2340/60,0)</f>
        <v>0</v>
      </c>
      <c r="S2340" s="45">
        <f>IF(G2340="","",IFERROR(INDEX(Config!$K$5:$K$16,MATCH(G2340,Config!$J$5:$J$16,0)),""))</f>
        <v/>
      </c>
      <c r="T2340" s="31">
        <f>IF(OR(G2340="",F2340=""),"",IFERROR(INDEX(Config!$M$5:$R$16,MATCH(G2340,Config!$J$5:$J$16,0),MATCH(F2340,Config!$H$5:$H$10,0)),""))</f>
        <v/>
      </c>
      <c r="U2340" s="47">
        <f>IF(AND(H2340="Realizado",L2340&lt;&gt;""),L2340/60,0)</f>
        <v>0</v>
      </c>
      <c r="V2340" s="47">
        <f>IF(AND(H2340="Realizado",OR(L2340="",M2340="")),1,0)</f>
        <v>0</v>
      </c>
    </row>
    <row r="2341">
      <c r="A2341" s="43" t="n"/>
      <c r="B2341" s="44" t="n"/>
      <c r="C2341" s="38" t="n"/>
      <c r="D2341" s="38" t="n"/>
      <c r="E2341" s="37" t="n"/>
      <c r="F2341" s="38" t="n"/>
      <c r="G2341" s="38" t="n"/>
      <c r="H2341" s="38" t="n"/>
      <c r="I2341" s="38" t="n"/>
      <c r="J2341" s="38" t="n"/>
      <c r="K2341" s="37" t="n"/>
      <c r="L2341" s="39" t="n"/>
      <c r="M2341" s="40" t="n"/>
      <c r="N2341" s="30">
        <f>IF(A2341="","",MONTH(A2341))</f>
        <v/>
      </c>
      <c r="O2341" s="30">
        <f>IF(A2341="","",YEAR(A2341))</f>
        <v/>
      </c>
      <c r="P2341" s="30">
        <f>IF(A2341="","",CHOOSE(WEEKDAY(A2341,2),"Segunda","Terça","Quarta","Quinta","Sexta","Sábado","Domingo"))</f>
        <v/>
      </c>
      <c r="Q2341" s="30">
        <f>IF(B2341="","",IF(B2341&lt;TIME(12,0,0),"Manhã",IF(B2341&lt;TIME(18,0,0),"Tarde","Noite")))</f>
        <v/>
      </c>
      <c r="R2341" s="46">
        <f>IF(AND(H2341="Realizado",L2341&lt;&gt;"",A2341&lt;=Config!$B$9),L2341/60,0)</f>
        <v>0</v>
      </c>
      <c r="S2341" s="45">
        <f>IF(G2341="","",IFERROR(INDEX(Config!$K$5:$K$16,MATCH(G2341,Config!$J$5:$J$16,0)),""))</f>
        <v/>
      </c>
      <c r="T2341" s="31">
        <f>IF(OR(G2341="",F2341=""),"",IFERROR(INDEX(Config!$M$5:$R$16,MATCH(G2341,Config!$J$5:$J$16,0),MATCH(F2341,Config!$H$5:$H$10,0)),""))</f>
        <v/>
      </c>
      <c r="U2341" s="47">
        <f>IF(AND(H2341="Realizado",L2341&lt;&gt;""),L2341/60,0)</f>
        <v>0</v>
      </c>
      <c r="V2341" s="47">
        <f>IF(AND(H2341="Realizado",OR(L2341="",M2341="")),1,0)</f>
        <v>0</v>
      </c>
    </row>
    <row r="2342">
      <c r="A2342" s="43" t="n"/>
      <c r="B2342" s="44" t="n"/>
      <c r="C2342" s="38" t="n"/>
      <c r="D2342" s="38" t="n"/>
      <c r="E2342" s="37" t="n"/>
      <c r="F2342" s="38" t="n"/>
      <c r="G2342" s="38" t="n"/>
      <c r="H2342" s="38" t="n"/>
      <c r="I2342" s="38" t="n"/>
      <c r="J2342" s="38" t="n"/>
      <c r="K2342" s="37" t="n"/>
      <c r="L2342" s="39" t="n"/>
      <c r="M2342" s="40" t="n"/>
      <c r="N2342" s="30">
        <f>IF(A2342="","",MONTH(A2342))</f>
        <v/>
      </c>
      <c r="O2342" s="30">
        <f>IF(A2342="","",YEAR(A2342))</f>
        <v/>
      </c>
      <c r="P2342" s="30">
        <f>IF(A2342="","",CHOOSE(WEEKDAY(A2342,2),"Segunda","Terça","Quarta","Quinta","Sexta","Sábado","Domingo"))</f>
        <v/>
      </c>
      <c r="Q2342" s="30">
        <f>IF(B2342="","",IF(B2342&lt;TIME(12,0,0),"Manhã",IF(B2342&lt;TIME(18,0,0),"Tarde","Noite")))</f>
        <v/>
      </c>
      <c r="R2342" s="46">
        <f>IF(AND(H2342="Realizado",L2342&lt;&gt;"",A2342&lt;=Config!$B$9),L2342/60,0)</f>
        <v>0</v>
      </c>
      <c r="S2342" s="45">
        <f>IF(G2342="","",IFERROR(INDEX(Config!$K$5:$K$16,MATCH(G2342,Config!$J$5:$J$16,0)),""))</f>
        <v/>
      </c>
      <c r="T2342" s="31">
        <f>IF(OR(G2342="",F2342=""),"",IFERROR(INDEX(Config!$M$5:$R$16,MATCH(G2342,Config!$J$5:$J$16,0),MATCH(F2342,Config!$H$5:$H$10,0)),""))</f>
        <v/>
      </c>
      <c r="U2342" s="47">
        <f>IF(AND(H2342="Realizado",L2342&lt;&gt;""),L2342/60,0)</f>
        <v>0</v>
      </c>
      <c r="V2342" s="47">
        <f>IF(AND(H2342="Realizado",OR(L2342="",M2342="")),1,0)</f>
        <v>0</v>
      </c>
    </row>
    <row r="2343">
      <c r="A2343" s="43" t="n"/>
      <c r="B2343" s="44" t="n"/>
      <c r="C2343" s="38" t="n"/>
      <c r="D2343" s="38" t="n"/>
      <c r="E2343" s="37" t="n"/>
      <c r="F2343" s="38" t="n"/>
      <c r="G2343" s="38" t="n"/>
      <c r="H2343" s="38" t="n"/>
      <c r="I2343" s="38" t="n"/>
      <c r="J2343" s="38" t="n"/>
      <c r="K2343" s="37" t="n"/>
      <c r="L2343" s="39" t="n"/>
      <c r="M2343" s="40" t="n"/>
      <c r="N2343" s="30">
        <f>IF(A2343="","",MONTH(A2343))</f>
        <v/>
      </c>
      <c r="O2343" s="30">
        <f>IF(A2343="","",YEAR(A2343))</f>
        <v/>
      </c>
      <c r="P2343" s="30">
        <f>IF(A2343="","",CHOOSE(WEEKDAY(A2343,2),"Segunda","Terça","Quarta","Quinta","Sexta","Sábado","Domingo"))</f>
        <v/>
      </c>
      <c r="Q2343" s="30">
        <f>IF(B2343="","",IF(B2343&lt;TIME(12,0,0),"Manhã",IF(B2343&lt;TIME(18,0,0),"Tarde","Noite")))</f>
        <v/>
      </c>
      <c r="R2343" s="46">
        <f>IF(AND(H2343="Realizado",L2343&lt;&gt;"",A2343&lt;=Config!$B$9),L2343/60,0)</f>
        <v>0</v>
      </c>
      <c r="S2343" s="45">
        <f>IF(G2343="","",IFERROR(INDEX(Config!$K$5:$K$16,MATCH(G2343,Config!$J$5:$J$16,0)),""))</f>
        <v/>
      </c>
      <c r="T2343" s="31">
        <f>IF(OR(G2343="",F2343=""),"",IFERROR(INDEX(Config!$M$5:$R$16,MATCH(G2343,Config!$J$5:$J$16,0),MATCH(F2343,Config!$H$5:$H$10,0)),""))</f>
        <v/>
      </c>
      <c r="U2343" s="47">
        <f>IF(AND(H2343="Realizado",L2343&lt;&gt;""),L2343/60,0)</f>
        <v>0</v>
      </c>
      <c r="V2343" s="47">
        <f>IF(AND(H2343="Realizado",OR(L2343="",M2343="")),1,0)</f>
        <v>0</v>
      </c>
    </row>
    <row r="2344">
      <c r="A2344" s="43" t="n"/>
      <c r="B2344" s="44" t="n"/>
      <c r="C2344" s="38" t="n"/>
      <c r="D2344" s="38" t="n"/>
      <c r="E2344" s="37" t="n"/>
      <c r="F2344" s="38" t="n"/>
      <c r="G2344" s="38" t="n"/>
      <c r="H2344" s="38" t="n"/>
      <c r="I2344" s="38" t="n"/>
      <c r="J2344" s="38" t="n"/>
      <c r="K2344" s="37" t="n"/>
      <c r="L2344" s="39" t="n"/>
      <c r="M2344" s="40" t="n"/>
      <c r="N2344" s="30">
        <f>IF(A2344="","",MONTH(A2344))</f>
        <v/>
      </c>
      <c r="O2344" s="30">
        <f>IF(A2344="","",YEAR(A2344))</f>
        <v/>
      </c>
      <c r="P2344" s="30">
        <f>IF(A2344="","",CHOOSE(WEEKDAY(A2344,2),"Segunda","Terça","Quarta","Quinta","Sexta","Sábado","Domingo"))</f>
        <v/>
      </c>
      <c r="Q2344" s="30">
        <f>IF(B2344="","",IF(B2344&lt;TIME(12,0,0),"Manhã",IF(B2344&lt;TIME(18,0,0),"Tarde","Noite")))</f>
        <v/>
      </c>
      <c r="R2344" s="46">
        <f>IF(AND(H2344="Realizado",L2344&lt;&gt;"",A2344&lt;=Config!$B$9),L2344/60,0)</f>
        <v>0</v>
      </c>
      <c r="S2344" s="45">
        <f>IF(G2344="","",IFERROR(INDEX(Config!$K$5:$K$16,MATCH(G2344,Config!$J$5:$J$16,0)),""))</f>
        <v/>
      </c>
      <c r="T2344" s="31">
        <f>IF(OR(G2344="",F2344=""),"",IFERROR(INDEX(Config!$M$5:$R$16,MATCH(G2344,Config!$J$5:$J$16,0),MATCH(F2344,Config!$H$5:$H$10,0)),""))</f>
        <v/>
      </c>
      <c r="U2344" s="47">
        <f>IF(AND(H2344="Realizado",L2344&lt;&gt;""),L2344/60,0)</f>
        <v>0</v>
      </c>
      <c r="V2344" s="47">
        <f>IF(AND(H2344="Realizado",OR(L2344="",M2344="")),1,0)</f>
        <v>0</v>
      </c>
    </row>
    <row r="2345">
      <c r="A2345" s="43" t="n"/>
      <c r="B2345" s="44" t="n"/>
      <c r="C2345" s="38" t="n"/>
      <c r="D2345" s="38" t="n"/>
      <c r="E2345" s="37" t="n"/>
      <c r="F2345" s="38" t="n"/>
      <c r="G2345" s="38" t="n"/>
      <c r="H2345" s="38" t="n"/>
      <c r="I2345" s="38" t="n"/>
      <c r="J2345" s="38" t="n"/>
      <c r="K2345" s="37" t="n"/>
      <c r="L2345" s="39" t="n"/>
      <c r="M2345" s="40" t="n"/>
      <c r="N2345" s="30">
        <f>IF(A2345="","",MONTH(A2345))</f>
        <v/>
      </c>
      <c r="O2345" s="30">
        <f>IF(A2345="","",YEAR(A2345))</f>
        <v/>
      </c>
      <c r="P2345" s="30">
        <f>IF(A2345="","",CHOOSE(WEEKDAY(A2345,2),"Segunda","Terça","Quarta","Quinta","Sexta","Sábado","Domingo"))</f>
        <v/>
      </c>
      <c r="Q2345" s="30">
        <f>IF(B2345="","",IF(B2345&lt;TIME(12,0,0),"Manhã",IF(B2345&lt;TIME(18,0,0),"Tarde","Noite")))</f>
        <v/>
      </c>
      <c r="R2345" s="46">
        <f>IF(AND(H2345="Realizado",L2345&lt;&gt;"",A2345&lt;=Config!$B$9),L2345/60,0)</f>
        <v>0</v>
      </c>
      <c r="S2345" s="45">
        <f>IF(G2345="","",IFERROR(INDEX(Config!$K$5:$K$16,MATCH(G2345,Config!$J$5:$J$16,0)),""))</f>
        <v/>
      </c>
      <c r="T2345" s="31">
        <f>IF(OR(G2345="",F2345=""),"",IFERROR(INDEX(Config!$M$5:$R$16,MATCH(G2345,Config!$J$5:$J$16,0),MATCH(F2345,Config!$H$5:$H$10,0)),""))</f>
        <v/>
      </c>
      <c r="U2345" s="47">
        <f>IF(AND(H2345="Realizado",L2345&lt;&gt;""),L2345/60,0)</f>
        <v>0</v>
      </c>
      <c r="V2345" s="47">
        <f>IF(AND(H2345="Realizado",OR(L2345="",M2345="")),1,0)</f>
        <v>0</v>
      </c>
    </row>
    <row r="2346">
      <c r="A2346" s="43" t="n"/>
      <c r="B2346" s="44" t="n"/>
      <c r="C2346" s="38" t="n"/>
      <c r="D2346" s="38" t="n"/>
      <c r="E2346" s="37" t="n"/>
      <c r="F2346" s="38" t="n"/>
      <c r="G2346" s="38" t="n"/>
      <c r="H2346" s="38" t="n"/>
      <c r="I2346" s="38" t="n"/>
      <c r="J2346" s="38" t="n"/>
      <c r="K2346" s="37" t="n"/>
      <c r="L2346" s="39" t="n"/>
      <c r="M2346" s="40" t="n"/>
      <c r="N2346" s="30">
        <f>IF(A2346="","",MONTH(A2346))</f>
        <v/>
      </c>
      <c r="O2346" s="30">
        <f>IF(A2346="","",YEAR(A2346))</f>
        <v/>
      </c>
      <c r="P2346" s="30">
        <f>IF(A2346="","",CHOOSE(WEEKDAY(A2346,2),"Segunda","Terça","Quarta","Quinta","Sexta","Sábado","Domingo"))</f>
        <v/>
      </c>
      <c r="Q2346" s="30">
        <f>IF(B2346="","",IF(B2346&lt;TIME(12,0,0),"Manhã",IF(B2346&lt;TIME(18,0,0),"Tarde","Noite")))</f>
        <v/>
      </c>
      <c r="R2346" s="46">
        <f>IF(AND(H2346="Realizado",L2346&lt;&gt;"",A2346&lt;=Config!$B$9),L2346/60,0)</f>
        <v>0</v>
      </c>
      <c r="S2346" s="45">
        <f>IF(G2346="","",IFERROR(INDEX(Config!$K$5:$K$16,MATCH(G2346,Config!$J$5:$J$16,0)),""))</f>
        <v/>
      </c>
      <c r="T2346" s="31">
        <f>IF(OR(G2346="",F2346=""),"",IFERROR(INDEX(Config!$M$5:$R$16,MATCH(G2346,Config!$J$5:$J$16,0),MATCH(F2346,Config!$H$5:$H$10,0)),""))</f>
        <v/>
      </c>
      <c r="U2346" s="47">
        <f>IF(AND(H2346="Realizado",L2346&lt;&gt;""),L2346/60,0)</f>
        <v>0</v>
      </c>
      <c r="V2346" s="47">
        <f>IF(AND(H2346="Realizado",OR(L2346="",M2346="")),1,0)</f>
        <v>0</v>
      </c>
    </row>
    <row r="2347">
      <c r="A2347" s="43" t="n"/>
      <c r="B2347" s="44" t="n"/>
      <c r="C2347" s="38" t="n"/>
      <c r="D2347" s="38" t="n"/>
      <c r="E2347" s="37" t="n"/>
      <c r="F2347" s="38" t="n"/>
      <c r="G2347" s="38" t="n"/>
      <c r="H2347" s="38" t="n"/>
      <c r="I2347" s="38" t="n"/>
      <c r="J2347" s="38" t="n"/>
      <c r="K2347" s="37" t="n"/>
      <c r="L2347" s="39" t="n"/>
      <c r="M2347" s="40" t="n"/>
      <c r="N2347" s="30">
        <f>IF(A2347="","",MONTH(A2347))</f>
        <v/>
      </c>
      <c r="O2347" s="30">
        <f>IF(A2347="","",YEAR(A2347))</f>
        <v/>
      </c>
      <c r="P2347" s="30">
        <f>IF(A2347="","",CHOOSE(WEEKDAY(A2347,2),"Segunda","Terça","Quarta","Quinta","Sexta","Sábado","Domingo"))</f>
        <v/>
      </c>
      <c r="Q2347" s="30">
        <f>IF(B2347="","",IF(B2347&lt;TIME(12,0,0),"Manhã",IF(B2347&lt;TIME(18,0,0),"Tarde","Noite")))</f>
        <v/>
      </c>
      <c r="R2347" s="46">
        <f>IF(AND(H2347="Realizado",L2347&lt;&gt;"",A2347&lt;=Config!$B$9),L2347/60,0)</f>
        <v>0</v>
      </c>
      <c r="S2347" s="45">
        <f>IF(G2347="","",IFERROR(INDEX(Config!$K$5:$K$16,MATCH(G2347,Config!$J$5:$J$16,0)),""))</f>
        <v/>
      </c>
      <c r="T2347" s="31">
        <f>IF(OR(G2347="",F2347=""),"",IFERROR(INDEX(Config!$M$5:$R$16,MATCH(G2347,Config!$J$5:$J$16,0),MATCH(F2347,Config!$H$5:$H$10,0)),""))</f>
        <v/>
      </c>
      <c r="U2347" s="47">
        <f>IF(AND(H2347="Realizado",L2347&lt;&gt;""),L2347/60,0)</f>
        <v>0</v>
      </c>
      <c r="V2347" s="47">
        <f>IF(AND(H2347="Realizado",OR(L2347="",M2347="")),1,0)</f>
        <v>0</v>
      </c>
    </row>
    <row r="2348">
      <c r="A2348" s="43" t="n"/>
      <c r="B2348" s="44" t="n"/>
      <c r="C2348" s="38" t="n"/>
      <c r="D2348" s="38" t="n"/>
      <c r="E2348" s="37" t="n"/>
      <c r="F2348" s="38" t="n"/>
      <c r="G2348" s="38" t="n"/>
      <c r="H2348" s="38" t="n"/>
      <c r="I2348" s="38" t="n"/>
      <c r="J2348" s="38" t="n"/>
      <c r="K2348" s="37" t="n"/>
      <c r="L2348" s="39" t="n"/>
      <c r="M2348" s="40" t="n"/>
      <c r="N2348" s="30">
        <f>IF(A2348="","",MONTH(A2348))</f>
        <v/>
      </c>
      <c r="O2348" s="30">
        <f>IF(A2348="","",YEAR(A2348))</f>
        <v/>
      </c>
      <c r="P2348" s="30">
        <f>IF(A2348="","",CHOOSE(WEEKDAY(A2348,2),"Segunda","Terça","Quarta","Quinta","Sexta","Sábado","Domingo"))</f>
        <v/>
      </c>
      <c r="Q2348" s="30">
        <f>IF(B2348="","",IF(B2348&lt;TIME(12,0,0),"Manhã",IF(B2348&lt;TIME(18,0,0),"Tarde","Noite")))</f>
        <v/>
      </c>
      <c r="R2348" s="46">
        <f>IF(AND(H2348="Realizado",L2348&lt;&gt;"",A2348&lt;=Config!$B$9),L2348/60,0)</f>
        <v>0</v>
      </c>
      <c r="S2348" s="45">
        <f>IF(G2348="","",IFERROR(INDEX(Config!$K$5:$K$16,MATCH(G2348,Config!$J$5:$J$16,0)),""))</f>
        <v/>
      </c>
      <c r="T2348" s="31">
        <f>IF(OR(G2348="",F2348=""),"",IFERROR(INDEX(Config!$M$5:$R$16,MATCH(G2348,Config!$J$5:$J$16,0),MATCH(F2348,Config!$H$5:$H$10,0)),""))</f>
        <v/>
      </c>
      <c r="U2348" s="47">
        <f>IF(AND(H2348="Realizado",L2348&lt;&gt;""),L2348/60,0)</f>
        <v>0</v>
      </c>
      <c r="V2348" s="47">
        <f>IF(AND(H2348="Realizado",OR(L2348="",M2348="")),1,0)</f>
        <v>0</v>
      </c>
    </row>
    <row r="2349">
      <c r="A2349" s="43" t="n"/>
      <c r="B2349" s="44" t="n"/>
      <c r="C2349" s="38" t="n"/>
      <c r="D2349" s="38" t="n"/>
      <c r="E2349" s="37" t="n"/>
      <c r="F2349" s="38" t="n"/>
      <c r="G2349" s="38" t="n"/>
      <c r="H2349" s="38" t="n"/>
      <c r="I2349" s="38" t="n"/>
      <c r="J2349" s="38" t="n"/>
      <c r="K2349" s="37" t="n"/>
      <c r="L2349" s="39" t="n"/>
      <c r="M2349" s="40" t="n"/>
      <c r="N2349" s="30">
        <f>IF(A2349="","",MONTH(A2349))</f>
        <v/>
      </c>
      <c r="O2349" s="30">
        <f>IF(A2349="","",YEAR(A2349))</f>
        <v/>
      </c>
      <c r="P2349" s="30">
        <f>IF(A2349="","",CHOOSE(WEEKDAY(A2349,2),"Segunda","Terça","Quarta","Quinta","Sexta","Sábado","Domingo"))</f>
        <v/>
      </c>
      <c r="Q2349" s="30">
        <f>IF(B2349="","",IF(B2349&lt;TIME(12,0,0),"Manhã",IF(B2349&lt;TIME(18,0,0),"Tarde","Noite")))</f>
        <v/>
      </c>
      <c r="R2349" s="46">
        <f>IF(AND(H2349="Realizado",L2349&lt;&gt;"",A2349&lt;=Config!$B$9),L2349/60,0)</f>
        <v>0</v>
      </c>
      <c r="S2349" s="45">
        <f>IF(G2349="","",IFERROR(INDEX(Config!$K$5:$K$16,MATCH(G2349,Config!$J$5:$J$16,0)),""))</f>
        <v/>
      </c>
      <c r="T2349" s="31">
        <f>IF(OR(G2349="",F2349=""),"",IFERROR(INDEX(Config!$M$5:$R$16,MATCH(G2349,Config!$J$5:$J$16,0),MATCH(F2349,Config!$H$5:$H$10,0)),""))</f>
        <v/>
      </c>
      <c r="U2349" s="47">
        <f>IF(AND(H2349="Realizado",L2349&lt;&gt;""),L2349/60,0)</f>
        <v>0</v>
      </c>
      <c r="V2349" s="47">
        <f>IF(AND(H2349="Realizado",OR(L2349="",M2349="")),1,0)</f>
        <v>0</v>
      </c>
    </row>
    <row r="2350">
      <c r="A2350" s="43" t="n"/>
      <c r="B2350" s="44" t="n"/>
      <c r="C2350" s="38" t="n"/>
      <c r="D2350" s="38" t="n"/>
      <c r="E2350" s="37" t="n"/>
      <c r="F2350" s="38" t="n"/>
      <c r="G2350" s="38" t="n"/>
      <c r="H2350" s="38" t="n"/>
      <c r="I2350" s="38" t="n"/>
      <c r="J2350" s="38" t="n"/>
      <c r="K2350" s="37" t="n"/>
      <c r="L2350" s="39" t="n"/>
      <c r="M2350" s="40" t="n"/>
      <c r="N2350" s="30">
        <f>IF(A2350="","",MONTH(A2350))</f>
        <v/>
      </c>
      <c r="O2350" s="30">
        <f>IF(A2350="","",YEAR(A2350))</f>
        <v/>
      </c>
      <c r="P2350" s="30">
        <f>IF(A2350="","",CHOOSE(WEEKDAY(A2350,2),"Segunda","Terça","Quarta","Quinta","Sexta","Sábado","Domingo"))</f>
        <v/>
      </c>
      <c r="Q2350" s="30">
        <f>IF(B2350="","",IF(B2350&lt;TIME(12,0,0),"Manhã",IF(B2350&lt;TIME(18,0,0),"Tarde","Noite")))</f>
        <v/>
      </c>
      <c r="R2350" s="46">
        <f>IF(AND(H2350="Realizado",L2350&lt;&gt;"",A2350&lt;=Config!$B$9),L2350/60,0)</f>
        <v>0</v>
      </c>
      <c r="S2350" s="45">
        <f>IF(G2350="","",IFERROR(INDEX(Config!$K$5:$K$16,MATCH(G2350,Config!$J$5:$J$16,0)),""))</f>
        <v/>
      </c>
      <c r="T2350" s="31">
        <f>IF(OR(G2350="",F2350=""),"",IFERROR(INDEX(Config!$M$5:$R$16,MATCH(G2350,Config!$J$5:$J$16,0),MATCH(F2350,Config!$H$5:$H$10,0)),""))</f>
        <v/>
      </c>
      <c r="U2350" s="47">
        <f>IF(AND(H2350="Realizado",L2350&lt;&gt;""),L2350/60,0)</f>
        <v>0</v>
      </c>
      <c r="V2350" s="47">
        <f>IF(AND(H2350="Realizado",OR(L2350="",M2350="")),1,0)</f>
        <v>0</v>
      </c>
    </row>
    <row r="2351">
      <c r="A2351" s="43" t="n"/>
      <c r="B2351" s="44" t="n"/>
      <c r="C2351" s="38" t="n"/>
      <c r="D2351" s="38" t="n"/>
      <c r="E2351" s="37" t="n"/>
      <c r="F2351" s="38" t="n"/>
      <c r="G2351" s="38" t="n"/>
      <c r="H2351" s="38" t="n"/>
      <c r="I2351" s="38" t="n"/>
      <c r="J2351" s="38" t="n"/>
      <c r="K2351" s="37" t="n"/>
      <c r="L2351" s="39" t="n"/>
      <c r="M2351" s="40" t="n"/>
      <c r="N2351" s="30">
        <f>IF(A2351="","",MONTH(A2351))</f>
        <v/>
      </c>
      <c r="O2351" s="30">
        <f>IF(A2351="","",YEAR(A2351))</f>
        <v/>
      </c>
      <c r="P2351" s="30">
        <f>IF(A2351="","",CHOOSE(WEEKDAY(A2351,2),"Segunda","Terça","Quarta","Quinta","Sexta","Sábado","Domingo"))</f>
        <v/>
      </c>
      <c r="Q2351" s="30">
        <f>IF(B2351="","",IF(B2351&lt;TIME(12,0,0),"Manhã",IF(B2351&lt;TIME(18,0,0),"Tarde","Noite")))</f>
        <v/>
      </c>
      <c r="R2351" s="46">
        <f>IF(AND(H2351="Realizado",L2351&lt;&gt;"",A2351&lt;=Config!$B$9),L2351/60,0)</f>
        <v>0</v>
      </c>
      <c r="S2351" s="45">
        <f>IF(G2351="","",IFERROR(INDEX(Config!$K$5:$K$16,MATCH(G2351,Config!$J$5:$J$16,0)),""))</f>
        <v/>
      </c>
      <c r="T2351" s="31">
        <f>IF(OR(G2351="",F2351=""),"",IFERROR(INDEX(Config!$M$5:$R$16,MATCH(G2351,Config!$J$5:$J$16,0),MATCH(F2351,Config!$H$5:$H$10,0)),""))</f>
        <v/>
      </c>
      <c r="U2351" s="47">
        <f>IF(AND(H2351="Realizado",L2351&lt;&gt;""),L2351/60,0)</f>
        <v>0</v>
      </c>
      <c r="V2351" s="47">
        <f>IF(AND(H2351="Realizado",OR(L2351="",M2351="")),1,0)</f>
        <v>0</v>
      </c>
    </row>
    <row r="2352">
      <c r="A2352" s="43" t="n"/>
      <c r="B2352" s="44" t="n"/>
      <c r="C2352" s="38" t="n"/>
      <c r="D2352" s="38" t="n"/>
      <c r="E2352" s="37" t="n"/>
      <c r="F2352" s="38" t="n"/>
      <c r="G2352" s="38" t="n"/>
      <c r="H2352" s="38" t="n"/>
      <c r="I2352" s="38" t="n"/>
      <c r="J2352" s="38" t="n"/>
      <c r="K2352" s="37" t="n"/>
      <c r="L2352" s="39" t="n"/>
      <c r="M2352" s="40" t="n"/>
      <c r="N2352" s="30">
        <f>IF(A2352="","",MONTH(A2352))</f>
        <v/>
      </c>
      <c r="O2352" s="30">
        <f>IF(A2352="","",YEAR(A2352))</f>
        <v/>
      </c>
      <c r="P2352" s="30">
        <f>IF(A2352="","",CHOOSE(WEEKDAY(A2352,2),"Segunda","Terça","Quarta","Quinta","Sexta","Sábado","Domingo"))</f>
        <v/>
      </c>
      <c r="Q2352" s="30">
        <f>IF(B2352="","",IF(B2352&lt;TIME(12,0,0),"Manhã",IF(B2352&lt;TIME(18,0,0),"Tarde","Noite")))</f>
        <v/>
      </c>
      <c r="R2352" s="46">
        <f>IF(AND(H2352="Realizado",L2352&lt;&gt;"",A2352&lt;=Config!$B$9),L2352/60,0)</f>
        <v>0</v>
      </c>
      <c r="S2352" s="45">
        <f>IF(G2352="","",IFERROR(INDEX(Config!$K$5:$K$16,MATCH(G2352,Config!$J$5:$J$16,0)),""))</f>
        <v/>
      </c>
      <c r="T2352" s="31">
        <f>IF(OR(G2352="",F2352=""),"",IFERROR(INDEX(Config!$M$5:$R$16,MATCH(G2352,Config!$J$5:$J$16,0),MATCH(F2352,Config!$H$5:$H$10,0)),""))</f>
        <v/>
      </c>
      <c r="U2352" s="47">
        <f>IF(AND(H2352="Realizado",L2352&lt;&gt;""),L2352/60,0)</f>
        <v>0</v>
      </c>
      <c r="V2352" s="47">
        <f>IF(AND(H2352="Realizado",OR(L2352="",M2352="")),1,0)</f>
        <v>0</v>
      </c>
    </row>
    <row r="2353">
      <c r="A2353" s="43" t="n"/>
      <c r="B2353" s="44" t="n"/>
      <c r="C2353" s="38" t="n"/>
      <c r="D2353" s="38" t="n"/>
      <c r="E2353" s="37" t="n"/>
      <c r="F2353" s="38" t="n"/>
      <c r="G2353" s="38" t="n"/>
      <c r="H2353" s="38" t="n"/>
      <c r="I2353" s="38" t="n"/>
      <c r="J2353" s="38" t="n"/>
      <c r="K2353" s="37" t="n"/>
      <c r="L2353" s="39" t="n"/>
      <c r="M2353" s="40" t="n"/>
      <c r="N2353" s="30">
        <f>IF(A2353="","",MONTH(A2353))</f>
        <v/>
      </c>
      <c r="O2353" s="30">
        <f>IF(A2353="","",YEAR(A2353))</f>
        <v/>
      </c>
      <c r="P2353" s="30">
        <f>IF(A2353="","",CHOOSE(WEEKDAY(A2353,2),"Segunda","Terça","Quarta","Quinta","Sexta","Sábado","Domingo"))</f>
        <v/>
      </c>
      <c r="Q2353" s="30">
        <f>IF(B2353="","",IF(B2353&lt;TIME(12,0,0),"Manhã",IF(B2353&lt;TIME(18,0,0),"Tarde","Noite")))</f>
        <v/>
      </c>
      <c r="R2353" s="46">
        <f>IF(AND(H2353="Realizado",L2353&lt;&gt;"",A2353&lt;=Config!$B$9),L2353/60,0)</f>
        <v>0</v>
      </c>
      <c r="S2353" s="45">
        <f>IF(G2353="","",IFERROR(INDEX(Config!$K$5:$K$16,MATCH(G2353,Config!$J$5:$J$16,0)),""))</f>
        <v/>
      </c>
      <c r="T2353" s="31">
        <f>IF(OR(G2353="",F2353=""),"",IFERROR(INDEX(Config!$M$5:$R$16,MATCH(G2353,Config!$J$5:$J$16,0),MATCH(F2353,Config!$H$5:$H$10,0)),""))</f>
        <v/>
      </c>
      <c r="U2353" s="47">
        <f>IF(AND(H2353="Realizado",L2353&lt;&gt;""),L2353/60,0)</f>
        <v>0</v>
      </c>
      <c r="V2353" s="47">
        <f>IF(AND(H2353="Realizado",OR(L2353="",M2353="")),1,0)</f>
        <v>0</v>
      </c>
    </row>
    <row r="2354">
      <c r="A2354" s="43" t="n"/>
      <c r="B2354" s="44" t="n"/>
      <c r="C2354" s="38" t="n"/>
      <c r="D2354" s="38" t="n"/>
      <c r="E2354" s="37" t="n"/>
      <c r="F2354" s="38" t="n"/>
      <c r="G2354" s="38" t="n"/>
      <c r="H2354" s="38" t="n"/>
      <c r="I2354" s="38" t="n"/>
      <c r="J2354" s="38" t="n"/>
      <c r="K2354" s="37" t="n"/>
      <c r="L2354" s="39" t="n"/>
      <c r="M2354" s="40" t="n"/>
      <c r="N2354" s="30">
        <f>IF(A2354="","",MONTH(A2354))</f>
        <v/>
      </c>
      <c r="O2354" s="30">
        <f>IF(A2354="","",YEAR(A2354))</f>
        <v/>
      </c>
      <c r="P2354" s="30">
        <f>IF(A2354="","",CHOOSE(WEEKDAY(A2354,2),"Segunda","Terça","Quarta","Quinta","Sexta","Sábado","Domingo"))</f>
        <v/>
      </c>
      <c r="Q2354" s="30">
        <f>IF(B2354="","",IF(B2354&lt;TIME(12,0,0),"Manhã",IF(B2354&lt;TIME(18,0,0),"Tarde","Noite")))</f>
        <v/>
      </c>
      <c r="R2354" s="46">
        <f>IF(AND(H2354="Realizado",L2354&lt;&gt;"",A2354&lt;=Config!$B$9),L2354/60,0)</f>
        <v>0</v>
      </c>
      <c r="S2354" s="45">
        <f>IF(G2354="","",IFERROR(INDEX(Config!$K$5:$K$16,MATCH(G2354,Config!$J$5:$J$16,0)),""))</f>
        <v/>
      </c>
      <c r="T2354" s="31">
        <f>IF(OR(G2354="",F2354=""),"",IFERROR(INDEX(Config!$M$5:$R$16,MATCH(G2354,Config!$J$5:$J$16,0),MATCH(F2354,Config!$H$5:$H$10,0)),""))</f>
        <v/>
      </c>
      <c r="U2354" s="47">
        <f>IF(AND(H2354="Realizado",L2354&lt;&gt;""),L2354/60,0)</f>
        <v>0</v>
      </c>
      <c r="V2354" s="47">
        <f>IF(AND(H2354="Realizado",OR(L2354="",M2354="")),1,0)</f>
        <v>0</v>
      </c>
    </row>
    <row r="2355">
      <c r="A2355" s="43" t="n"/>
      <c r="B2355" s="44" t="n"/>
      <c r="C2355" s="38" t="n"/>
      <c r="D2355" s="38" t="n"/>
      <c r="E2355" s="37" t="n"/>
      <c r="F2355" s="38" t="n"/>
      <c r="G2355" s="38" t="n"/>
      <c r="H2355" s="38" t="n"/>
      <c r="I2355" s="38" t="n"/>
      <c r="J2355" s="38" t="n"/>
      <c r="K2355" s="37" t="n"/>
      <c r="L2355" s="39" t="n"/>
      <c r="M2355" s="40" t="n"/>
      <c r="N2355" s="30">
        <f>IF(A2355="","",MONTH(A2355))</f>
        <v/>
      </c>
      <c r="O2355" s="30">
        <f>IF(A2355="","",YEAR(A2355))</f>
        <v/>
      </c>
      <c r="P2355" s="30">
        <f>IF(A2355="","",CHOOSE(WEEKDAY(A2355,2),"Segunda","Terça","Quarta","Quinta","Sexta","Sábado","Domingo"))</f>
        <v/>
      </c>
      <c r="Q2355" s="30">
        <f>IF(B2355="","",IF(B2355&lt;TIME(12,0,0),"Manhã",IF(B2355&lt;TIME(18,0,0),"Tarde","Noite")))</f>
        <v/>
      </c>
      <c r="R2355" s="46">
        <f>IF(AND(H2355="Realizado",L2355&lt;&gt;"",A2355&lt;=Config!$B$9),L2355/60,0)</f>
        <v>0</v>
      </c>
      <c r="S2355" s="45">
        <f>IF(G2355="","",IFERROR(INDEX(Config!$K$5:$K$16,MATCH(G2355,Config!$J$5:$J$16,0)),""))</f>
        <v/>
      </c>
      <c r="T2355" s="31">
        <f>IF(OR(G2355="",F2355=""),"",IFERROR(INDEX(Config!$M$5:$R$16,MATCH(G2355,Config!$J$5:$J$16,0),MATCH(F2355,Config!$H$5:$H$10,0)),""))</f>
        <v/>
      </c>
      <c r="U2355" s="47">
        <f>IF(AND(H2355="Realizado",L2355&lt;&gt;""),L2355/60,0)</f>
        <v>0</v>
      </c>
      <c r="V2355" s="47">
        <f>IF(AND(H2355="Realizado",OR(L2355="",M2355="")),1,0)</f>
        <v>0</v>
      </c>
    </row>
    <row r="2356">
      <c r="A2356" s="43" t="n"/>
      <c r="B2356" s="44" t="n"/>
      <c r="C2356" s="38" t="n"/>
      <c r="D2356" s="38" t="n"/>
      <c r="E2356" s="37" t="n"/>
      <c r="F2356" s="38" t="n"/>
      <c r="G2356" s="38" t="n"/>
      <c r="H2356" s="38" t="n"/>
      <c r="I2356" s="38" t="n"/>
      <c r="J2356" s="38" t="n"/>
      <c r="K2356" s="37" t="n"/>
      <c r="L2356" s="39" t="n"/>
      <c r="M2356" s="40" t="n"/>
      <c r="N2356" s="30">
        <f>IF(A2356="","",MONTH(A2356))</f>
        <v/>
      </c>
      <c r="O2356" s="30">
        <f>IF(A2356="","",YEAR(A2356))</f>
        <v/>
      </c>
      <c r="P2356" s="30">
        <f>IF(A2356="","",CHOOSE(WEEKDAY(A2356,2),"Segunda","Terça","Quarta","Quinta","Sexta","Sábado","Domingo"))</f>
        <v/>
      </c>
      <c r="Q2356" s="30">
        <f>IF(B2356="","",IF(B2356&lt;TIME(12,0,0),"Manhã",IF(B2356&lt;TIME(18,0,0),"Tarde","Noite")))</f>
        <v/>
      </c>
      <c r="R2356" s="46">
        <f>IF(AND(H2356="Realizado",L2356&lt;&gt;"",A2356&lt;=Config!$B$9),L2356/60,0)</f>
        <v>0</v>
      </c>
      <c r="S2356" s="45">
        <f>IF(G2356="","",IFERROR(INDEX(Config!$K$5:$K$16,MATCH(G2356,Config!$J$5:$J$16,0)),""))</f>
        <v/>
      </c>
      <c r="T2356" s="31">
        <f>IF(OR(G2356="",F2356=""),"",IFERROR(INDEX(Config!$M$5:$R$16,MATCH(G2356,Config!$J$5:$J$16,0),MATCH(F2356,Config!$H$5:$H$10,0)),""))</f>
        <v/>
      </c>
      <c r="U2356" s="47">
        <f>IF(AND(H2356="Realizado",L2356&lt;&gt;""),L2356/60,0)</f>
        <v>0</v>
      </c>
      <c r="V2356" s="47">
        <f>IF(AND(H2356="Realizado",OR(L2356="",M2356="")),1,0)</f>
        <v>0</v>
      </c>
    </row>
    <row r="2357">
      <c r="A2357" s="43" t="n"/>
      <c r="B2357" s="44" t="n"/>
      <c r="C2357" s="38" t="n"/>
      <c r="D2357" s="38" t="n"/>
      <c r="E2357" s="37" t="n"/>
      <c r="F2357" s="38" t="n"/>
      <c r="G2357" s="38" t="n"/>
      <c r="H2357" s="38" t="n"/>
      <c r="I2357" s="38" t="n"/>
      <c r="J2357" s="38" t="n"/>
      <c r="K2357" s="37" t="n"/>
      <c r="L2357" s="39" t="n"/>
      <c r="M2357" s="40" t="n"/>
      <c r="N2357" s="30">
        <f>IF(A2357="","",MONTH(A2357))</f>
        <v/>
      </c>
      <c r="O2357" s="30">
        <f>IF(A2357="","",YEAR(A2357))</f>
        <v/>
      </c>
      <c r="P2357" s="30">
        <f>IF(A2357="","",CHOOSE(WEEKDAY(A2357,2),"Segunda","Terça","Quarta","Quinta","Sexta","Sábado","Domingo"))</f>
        <v/>
      </c>
      <c r="Q2357" s="30">
        <f>IF(B2357="","",IF(B2357&lt;TIME(12,0,0),"Manhã",IF(B2357&lt;TIME(18,0,0),"Tarde","Noite")))</f>
        <v/>
      </c>
      <c r="R2357" s="46">
        <f>IF(AND(H2357="Realizado",L2357&lt;&gt;"",A2357&lt;=Config!$B$9),L2357/60,0)</f>
        <v>0</v>
      </c>
      <c r="S2357" s="45">
        <f>IF(G2357="","",IFERROR(INDEX(Config!$K$5:$K$16,MATCH(G2357,Config!$J$5:$J$16,0)),""))</f>
        <v/>
      </c>
      <c r="T2357" s="31">
        <f>IF(OR(G2357="",F2357=""),"",IFERROR(INDEX(Config!$M$5:$R$16,MATCH(G2357,Config!$J$5:$J$16,0),MATCH(F2357,Config!$H$5:$H$10,0)),""))</f>
        <v/>
      </c>
      <c r="U2357" s="47">
        <f>IF(AND(H2357="Realizado",L2357&lt;&gt;""),L2357/60,0)</f>
        <v>0</v>
      </c>
      <c r="V2357" s="47">
        <f>IF(AND(H2357="Realizado",OR(L2357="",M2357="")),1,0)</f>
        <v>0</v>
      </c>
    </row>
    <row r="2358">
      <c r="A2358" s="43" t="n"/>
      <c r="B2358" s="44" t="n"/>
      <c r="C2358" s="38" t="n"/>
      <c r="D2358" s="38" t="n"/>
      <c r="E2358" s="37" t="n"/>
      <c r="F2358" s="38" t="n"/>
      <c r="G2358" s="38" t="n"/>
      <c r="H2358" s="38" t="n"/>
      <c r="I2358" s="38" t="n"/>
      <c r="J2358" s="38" t="n"/>
      <c r="K2358" s="37" t="n"/>
      <c r="L2358" s="39" t="n"/>
      <c r="M2358" s="40" t="n"/>
      <c r="N2358" s="30">
        <f>IF(A2358="","",MONTH(A2358))</f>
        <v/>
      </c>
      <c r="O2358" s="30">
        <f>IF(A2358="","",YEAR(A2358))</f>
        <v/>
      </c>
      <c r="P2358" s="30">
        <f>IF(A2358="","",CHOOSE(WEEKDAY(A2358,2),"Segunda","Terça","Quarta","Quinta","Sexta","Sábado","Domingo"))</f>
        <v/>
      </c>
      <c r="Q2358" s="30">
        <f>IF(B2358="","",IF(B2358&lt;TIME(12,0,0),"Manhã",IF(B2358&lt;TIME(18,0,0),"Tarde","Noite")))</f>
        <v/>
      </c>
      <c r="R2358" s="46">
        <f>IF(AND(H2358="Realizado",L2358&lt;&gt;"",A2358&lt;=Config!$B$9),L2358/60,0)</f>
        <v>0</v>
      </c>
      <c r="S2358" s="45">
        <f>IF(G2358="","",IFERROR(INDEX(Config!$K$5:$K$16,MATCH(G2358,Config!$J$5:$J$16,0)),""))</f>
        <v/>
      </c>
      <c r="T2358" s="31">
        <f>IF(OR(G2358="",F2358=""),"",IFERROR(INDEX(Config!$M$5:$R$16,MATCH(G2358,Config!$J$5:$J$16,0),MATCH(F2358,Config!$H$5:$H$10,0)),""))</f>
        <v/>
      </c>
      <c r="U2358" s="47">
        <f>IF(AND(H2358="Realizado",L2358&lt;&gt;""),L2358/60,0)</f>
        <v>0</v>
      </c>
      <c r="V2358" s="47">
        <f>IF(AND(H2358="Realizado",OR(L2358="",M2358="")),1,0)</f>
        <v>0</v>
      </c>
    </row>
    <row r="2359">
      <c r="A2359" s="43" t="n"/>
      <c r="B2359" s="44" t="n"/>
      <c r="C2359" s="38" t="n"/>
      <c r="D2359" s="38" t="n"/>
      <c r="E2359" s="37" t="n"/>
      <c r="F2359" s="38" t="n"/>
      <c r="G2359" s="38" t="n"/>
      <c r="H2359" s="38" t="n"/>
      <c r="I2359" s="38" t="n"/>
      <c r="J2359" s="38" t="n"/>
      <c r="K2359" s="37" t="n"/>
      <c r="L2359" s="39" t="n"/>
      <c r="M2359" s="40" t="n"/>
      <c r="N2359" s="30">
        <f>IF(A2359="","",MONTH(A2359))</f>
        <v/>
      </c>
      <c r="O2359" s="30">
        <f>IF(A2359="","",YEAR(A2359))</f>
        <v/>
      </c>
      <c r="P2359" s="30">
        <f>IF(A2359="","",CHOOSE(WEEKDAY(A2359,2),"Segunda","Terça","Quarta","Quinta","Sexta","Sábado","Domingo"))</f>
        <v/>
      </c>
      <c r="Q2359" s="30">
        <f>IF(B2359="","",IF(B2359&lt;TIME(12,0,0),"Manhã",IF(B2359&lt;TIME(18,0,0),"Tarde","Noite")))</f>
        <v/>
      </c>
      <c r="R2359" s="46">
        <f>IF(AND(H2359="Realizado",L2359&lt;&gt;"",A2359&lt;=Config!$B$9),L2359/60,0)</f>
        <v>0</v>
      </c>
      <c r="S2359" s="45">
        <f>IF(G2359="","",IFERROR(INDEX(Config!$K$5:$K$16,MATCH(G2359,Config!$J$5:$J$16,0)),""))</f>
        <v/>
      </c>
      <c r="T2359" s="31">
        <f>IF(OR(G2359="",F2359=""),"",IFERROR(INDEX(Config!$M$5:$R$16,MATCH(G2359,Config!$J$5:$J$16,0),MATCH(F2359,Config!$H$5:$H$10,0)),""))</f>
        <v/>
      </c>
      <c r="U2359" s="47">
        <f>IF(AND(H2359="Realizado",L2359&lt;&gt;""),L2359/60,0)</f>
        <v>0</v>
      </c>
      <c r="V2359" s="47">
        <f>IF(AND(H2359="Realizado",OR(L2359="",M2359="")),1,0)</f>
        <v>0</v>
      </c>
    </row>
    <row r="2360">
      <c r="A2360" s="43" t="n"/>
      <c r="B2360" s="44" t="n"/>
      <c r="C2360" s="38" t="n"/>
      <c r="D2360" s="38" t="n"/>
      <c r="E2360" s="37" t="n"/>
      <c r="F2360" s="38" t="n"/>
      <c r="G2360" s="38" t="n"/>
      <c r="H2360" s="38" t="n"/>
      <c r="I2360" s="38" t="n"/>
      <c r="J2360" s="38" t="n"/>
      <c r="K2360" s="37" t="n"/>
      <c r="L2360" s="39" t="n"/>
      <c r="M2360" s="40" t="n"/>
      <c r="N2360" s="30">
        <f>IF(A2360="","",MONTH(A2360))</f>
        <v/>
      </c>
      <c r="O2360" s="30">
        <f>IF(A2360="","",YEAR(A2360))</f>
        <v/>
      </c>
      <c r="P2360" s="30">
        <f>IF(A2360="","",CHOOSE(WEEKDAY(A2360,2),"Segunda","Terça","Quarta","Quinta","Sexta","Sábado","Domingo"))</f>
        <v/>
      </c>
      <c r="Q2360" s="30">
        <f>IF(B2360="","",IF(B2360&lt;TIME(12,0,0),"Manhã",IF(B2360&lt;TIME(18,0,0),"Tarde","Noite")))</f>
        <v/>
      </c>
      <c r="R2360" s="46">
        <f>IF(AND(H2360="Realizado",L2360&lt;&gt;"",A2360&lt;=Config!$B$9),L2360/60,0)</f>
        <v>0</v>
      </c>
      <c r="S2360" s="45">
        <f>IF(G2360="","",IFERROR(INDEX(Config!$K$5:$K$16,MATCH(G2360,Config!$J$5:$J$16,0)),""))</f>
        <v/>
      </c>
      <c r="T2360" s="31">
        <f>IF(OR(G2360="",F2360=""),"",IFERROR(INDEX(Config!$M$5:$R$16,MATCH(G2360,Config!$J$5:$J$16,0),MATCH(F2360,Config!$H$5:$H$10,0)),""))</f>
        <v/>
      </c>
      <c r="U2360" s="47">
        <f>IF(AND(H2360="Realizado",L2360&lt;&gt;""),L2360/60,0)</f>
        <v>0</v>
      </c>
      <c r="V2360" s="47">
        <f>IF(AND(H2360="Realizado",OR(L2360="",M2360="")),1,0)</f>
        <v>0</v>
      </c>
    </row>
    <row r="2361">
      <c r="A2361" s="43" t="n"/>
      <c r="B2361" s="44" t="n"/>
      <c r="C2361" s="38" t="n"/>
      <c r="D2361" s="38" t="n"/>
      <c r="E2361" s="37" t="n"/>
      <c r="F2361" s="38" t="n"/>
      <c r="G2361" s="38" t="n"/>
      <c r="H2361" s="38" t="n"/>
      <c r="I2361" s="38" t="n"/>
      <c r="J2361" s="38" t="n"/>
      <c r="K2361" s="37" t="n"/>
      <c r="L2361" s="39" t="n"/>
      <c r="M2361" s="40" t="n"/>
      <c r="N2361" s="30">
        <f>IF(A2361="","",MONTH(A2361))</f>
        <v/>
      </c>
      <c r="O2361" s="30">
        <f>IF(A2361="","",YEAR(A2361))</f>
        <v/>
      </c>
      <c r="P2361" s="30">
        <f>IF(A2361="","",CHOOSE(WEEKDAY(A2361,2),"Segunda","Terça","Quarta","Quinta","Sexta","Sábado","Domingo"))</f>
        <v/>
      </c>
      <c r="Q2361" s="30">
        <f>IF(B2361="","",IF(B2361&lt;TIME(12,0,0),"Manhã",IF(B2361&lt;TIME(18,0,0),"Tarde","Noite")))</f>
        <v/>
      </c>
      <c r="R2361" s="46">
        <f>IF(AND(H2361="Realizado",L2361&lt;&gt;"",A2361&lt;=Config!$B$9),L2361/60,0)</f>
        <v>0</v>
      </c>
      <c r="S2361" s="45">
        <f>IF(G2361="","",IFERROR(INDEX(Config!$K$5:$K$16,MATCH(G2361,Config!$J$5:$J$16,0)),""))</f>
        <v/>
      </c>
      <c r="T2361" s="31">
        <f>IF(OR(G2361="",F2361=""),"",IFERROR(INDEX(Config!$M$5:$R$16,MATCH(G2361,Config!$J$5:$J$16,0),MATCH(F2361,Config!$H$5:$H$10,0)),""))</f>
        <v/>
      </c>
      <c r="U2361" s="47">
        <f>IF(AND(H2361="Realizado",L2361&lt;&gt;""),L2361/60,0)</f>
        <v>0</v>
      </c>
      <c r="V2361" s="47">
        <f>IF(AND(H2361="Realizado",OR(L2361="",M2361="")),1,0)</f>
        <v>0</v>
      </c>
    </row>
    <row r="2362">
      <c r="A2362" s="43" t="n"/>
      <c r="B2362" s="44" t="n"/>
      <c r="C2362" s="38" t="n"/>
      <c r="D2362" s="38" t="n"/>
      <c r="E2362" s="37" t="n"/>
      <c r="F2362" s="38" t="n"/>
      <c r="G2362" s="38" t="n"/>
      <c r="H2362" s="38" t="n"/>
      <c r="I2362" s="38" t="n"/>
      <c r="J2362" s="38" t="n"/>
      <c r="K2362" s="37" t="n"/>
      <c r="L2362" s="39" t="n"/>
      <c r="M2362" s="40" t="n"/>
      <c r="N2362" s="30">
        <f>IF(A2362="","",MONTH(A2362))</f>
        <v/>
      </c>
      <c r="O2362" s="30">
        <f>IF(A2362="","",YEAR(A2362))</f>
        <v/>
      </c>
      <c r="P2362" s="30">
        <f>IF(A2362="","",CHOOSE(WEEKDAY(A2362,2),"Segunda","Terça","Quarta","Quinta","Sexta","Sábado","Domingo"))</f>
        <v/>
      </c>
      <c r="Q2362" s="30">
        <f>IF(B2362="","",IF(B2362&lt;TIME(12,0,0),"Manhã",IF(B2362&lt;TIME(18,0,0),"Tarde","Noite")))</f>
        <v/>
      </c>
      <c r="R2362" s="46">
        <f>IF(AND(H2362="Realizado",L2362&lt;&gt;"",A2362&lt;=Config!$B$9),L2362/60,0)</f>
        <v>0</v>
      </c>
      <c r="S2362" s="45">
        <f>IF(G2362="","",IFERROR(INDEX(Config!$K$5:$K$16,MATCH(G2362,Config!$J$5:$J$16,0)),""))</f>
        <v/>
      </c>
      <c r="T2362" s="31">
        <f>IF(OR(G2362="",F2362=""),"",IFERROR(INDEX(Config!$M$5:$R$16,MATCH(G2362,Config!$J$5:$J$16,0),MATCH(F2362,Config!$H$5:$H$10,0)),""))</f>
        <v/>
      </c>
      <c r="U2362" s="47">
        <f>IF(AND(H2362="Realizado",L2362&lt;&gt;""),L2362/60,0)</f>
        <v>0</v>
      </c>
      <c r="V2362" s="47">
        <f>IF(AND(H2362="Realizado",OR(L2362="",M2362="")),1,0)</f>
        <v>0</v>
      </c>
    </row>
    <row r="2363">
      <c r="A2363" s="43" t="n"/>
      <c r="B2363" s="44" t="n"/>
      <c r="C2363" s="38" t="n"/>
      <c r="D2363" s="38" t="n"/>
      <c r="E2363" s="37" t="n"/>
      <c r="F2363" s="38" t="n"/>
      <c r="G2363" s="38" t="n"/>
      <c r="H2363" s="38" t="n"/>
      <c r="I2363" s="38" t="n"/>
      <c r="J2363" s="38" t="n"/>
      <c r="K2363" s="37" t="n"/>
      <c r="L2363" s="39" t="n"/>
      <c r="M2363" s="40" t="n"/>
      <c r="N2363" s="30">
        <f>IF(A2363="","",MONTH(A2363))</f>
        <v/>
      </c>
      <c r="O2363" s="30">
        <f>IF(A2363="","",YEAR(A2363))</f>
        <v/>
      </c>
      <c r="P2363" s="30">
        <f>IF(A2363="","",CHOOSE(WEEKDAY(A2363,2),"Segunda","Terça","Quarta","Quinta","Sexta","Sábado","Domingo"))</f>
        <v/>
      </c>
      <c r="Q2363" s="30">
        <f>IF(B2363="","",IF(B2363&lt;TIME(12,0,0),"Manhã",IF(B2363&lt;TIME(18,0,0),"Tarde","Noite")))</f>
        <v/>
      </c>
      <c r="R2363" s="46">
        <f>IF(AND(H2363="Realizado",L2363&lt;&gt;"",A2363&lt;=Config!$B$9),L2363/60,0)</f>
        <v>0</v>
      </c>
      <c r="S2363" s="45">
        <f>IF(G2363="","",IFERROR(INDEX(Config!$K$5:$K$16,MATCH(G2363,Config!$J$5:$J$16,0)),""))</f>
        <v/>
      </c>
      <c r="T2363" s="31">
        <f>IF(OR(G2363="",F2363=""),"",IFERROR(INDEX(Config!$M$5:$R$16,MATCH(G2363,Config!$J$5:$J$16,0),MATCH(F2363,Config!$H$5:$H$10,0)),""))</f>
        <v/>
      </c>
      <c r="U2363" s="47">
        <f>IF(AND(H2363="Realizado",L2363&lt;&gt;""),L2363/60,0)</f>
        <v>0</v>
      </c>
      <c r="V2363" s="47">
        <f>IF(AND(H2363="Realizado",OR(L2363="",M2363="")),1,0)</f>
        <v>0</v>
      </c>
    </row>
    <row r="2364">
      <c r="A2364" s="43" t="n"/>
      <c r="B2364" s="44" t="n"/>
      <c r="C2364" s="38" t="n"/>
      <c r="D2364" s="38" t="n"/>
      <c r="E2364" s="37" t="n"/>
      <c r="F2364" s="38" t="n"/>
      <c r="G2364" s="38" t="n"/>
      <c r="H2364" s="38" t="n"/>
      <c r="I2364" s="38" t="n"/>
      <c r="J2364" s="38" t="n"/>
      <c r="K2364" s="37" t="n"/>
      <c r="L2364" s="39" t="n"/>
      <c r="M2364" s="40" t="n"/>
      <c r="N2364" s="30">
        <f>IF(A2364="","",MONTH(A2364))</f>
        <v/>
      </c>
      <c r="O2364" s="30">
        <f>IF(A2364="","",YEAR(A2364))</f>
        <v/>
      </c>
      <c r="P2364" s="30">
        <f>IF(A2364="","",CHOOSE(WEEKDAY(A2364,2),"Segunda","Terça","Quarta","Quinta","Sexta","Sábado","Domingo"))</f>
        <v/>
      </c>
      <c r="Q2364" s="30">
        <f>IF(B2364="","",IF(B2364&lt;TIME(12,0,0),"Manhã",IF(B2364&lt;TIME(18,0,0),"Tarde","Noite")))</f>
        <v/>
      </c>
      <c r="R2364" s="46">
        <f>IF(AND(H2364="Realizado",L2364&lt;&gt;"",A2364&lt;=Config!$B$9),L2364/60,0)</f>
        <v>0</v>
      </c>
      <c r="S2364" s="45">
        <f>IF(G2364="","",IFERROR(INDEX(Config!$K$5:$K$16,MATCH(G2364,Config!$J$5:$J$16,0)),""))</f>
        <v/>
      </c>
      <c r="T2364" s="31">
        <f>IF(OR(G2364="",F2364=""),"",IFERROR(INDEX(Config!$M$5:$R$16,MATCH(G2364,Config!$J$5:$J$16,0),MATCH(F2364,Config!$H$5:$H$10,0)),""))</f>
        <v/>
      </c>
      <c r="U2364" s="47">
        <f>IF(AND(H2364="Realizado",L2364&lt;&gt;""),L2364/60,0)</f>
        <v>0</v>
      </c>
      <c r="V2364" s="47">
        <f>IF(AND(H2364="Realizado",OR(L2364="",M2364="")),1,0)</f>
        <v>0</v>
      </c>
    </row>
    <row r="2365">
      <c r="A2365" s="43" t="n"/>
      <c r="B2365" s="44" t="n"/>
      <c r="C2365" s="38" t="n"/>
      <c r="D2365" s="38" t="n"/>
      <c r="E2365" s="37" t="n"/>
      <c r="F2365" s="38" t="n"/>
      <c r="G2365" s="38" t="n"/>
      <c r="H2365" s="38" t="n"/>
      <c r="I2365" s="38" t="n"/>
      <c r="J2365" s="38" t="n"/>
      <c r="K2365" s="37" t="n"/>
      <c r="L2365" s="39" t="n"/>
      <c r="M2365" s="40" t="n"/>
      <c r="N2365" s="30">
        <f>IF(A2365="","",MONTH(A2365))</f>
        <v/>
      </c>
      <c r="O2365" s="30">
        <f>IF(A2365="","",YEAR(A2365))</f>
        <v/>
      </c>
      <c r="P2365" s="30">
        <f>IF(A2365="","",CHOOSE(WEEKDAY(A2365,2),"Segunda","Terça","Quarta","Quinta","Sexta","Sábado","Domingo"))</f>
        <v/>
      </c>
      <c r="Q2365" s="30">
        <f>IF(B2365="","",IF(B2365&lt;TIME(12,0,0),"Manhã",IF(B2365&lt;TIME(18,0,0),"Tarde","Noite")))</f>
        <v/>
      </c>
      <c r="R2365" s="46">
        <f>IF(AND(H2365="Realizado",L2365&lt;&gt;"",A2365&lt;=Config!$B$9),L2365/60,0)</f>
        <v>0</v>
      </c>
      <c r="S2365" s="45">
        <f>IF(G2365="","",IFERROR(INDEX(Config!$K$5:$K$16,MATCH(G2365,Config!$J$5:$J$16,0)),""))</f>
        <v/>
      </c>
      <c r="T2365" s="31">
        <f>IF(OR(G2365="",F2365=""),"",IFERROR(INDEX(Config!$M$5:$R$16,MATCH(G2365,Config!$J$5:$J$16,0),MATCH(F2365,Config!$H$5:$H$10,0)),""))</f>
        <v/>
      </c>
      <c r="U2365" s="47">
        <f>IF(AND(H2365="Realizado",L2365&lt;&gt;""),L2365/60,0)</f>
        <v>0</v>
      </c>
      <c r="V2365" s="47">
        <f>IF(AND(H2365="Realizado",OR(L2365="",M2365="")),1,0)</f>
        <v>0</v>
      </c>
    </row>
    <row r="2366">
      <c r="A2366" s="43" t="n"/>
      <c r="B2366" s="44" t="n"/>
      <c r="C2366" s="38" t="n"/>
      <c r="D2366" s="38" t="n"/>
      <c r="E2366" s="37" t="n"/>
      <c r="F2366" s="38" t="n"/>
      <c r="G2366" s="38" t="n"/>
      <c r="H2366" s="38" t="n"/>
      <c r="I2366" s="38" t="n"/>
      <c r="J2366" s="38" t="n"/>
      <c r="K2366" s="37" t="n"/>
      <c r="L2366" s="39" t="n"/>
      <c r="M2366" s="40" t="n"/>
      <c r="N2366" s="30">
        <f>IF(A2366="","",MONTH(A2366))</f>
        <v/>
      </c>
      <c r="O2366" s="30">
        <f>IF(A2366="","",YEAR(A2366))</f>
        <v/>
      </c>
      <c r="P2366" s="30">
        <f>IF(A2366="","",CHOOSE(WEEKDAY(A2366,2),"Segunda","Terça","Quarta","Quinta","Sexta","Sábado","Domingo"))</f>
        <v/>
      </c>
      <c r="Q2366" s="30">
        <f>IF(B2366="","",IF(B2366&lt;TIME(12,0,0),"Manhã",IF(B2366&lt;TIME(18,0,0),"Tarde","Noite")))</f>
        <v/>
      </c>
      <c r="R2366" s="46">
        <f>IF(AND(H2366="Realizado",L2366&lt;&gt;"",A2366&lt;=Config!$B$9),L2366/60,0)</f>
        <v>0</v>
      </c>
      <c r="S2366" s="45">
        <f>IF(G2366="","",IFERROR(INDEX(Config!$K$5:$K$16,MATCH(G2366,Config!$J$5:$J$16,0)),""))</f>
        <v/>
      </c>
      <c r="T2366" s="31">
        <f>IF(OR(G2366="",F2366=""),"",IFERROR(INDEX(Config!$M$5:$R$16,MATCH(G2366,Config!$J$5:$J$16,0),MATCH(F2366,Config!$H$5:$H$10,0)),""))</f>
        <v/>
      </c>
      <c r="U2366" s="47">
        <f>IF(AND(H2366="Realizado",L2366&lt;&gt;""),L2366/60,0)</f>
        <v>0</v>
      </c>
      <c r="V2366" s="47">
        <f>IF(AND(H2366="Realizado",OR(L2366="",M2366="")),1,0)</f>
        <v>0</v>
      </c>
    </row>
    <row r="2367">
      <c r="A2367" s="43" t="n"/>
      <c r="B2367" s="44" t="n"/>
      <c r="C2367" s="38" t="n"/>
      <c r="D2367" s="38" t="n"/>
      <c r="E2367" s="37" t="n"/>
      <c r="F2367" s="38" t="n"/>
      <c r="G2367" s="38" t="n"/>
      <c r="H2367" s="38" t="n"/>
      <c r="I2367" s="38" t="n"/>
      <c r="J2367" s="38" t="n"/>
      <c r="K2367" s="37" t="n"/>
      <c r="L2367" s="39" t="n"/>
      <c r="M2367" s="40" t="n"/>
      <c r="N2367" s="30">
        <f>IF(A2367="","",MONTH(A2367))</f>
        <v/>
      </c>
      <c r="O2367" s="30">
        <f>IF(A2367="","",YEAR(A2367))</f>
        <v/>
      </c>
      <c r="P2367" s="30">
        <f>IF(A2367="","",CHOOSE(WEEKDAY(A2367,2),"Segunda","Terça","Quarta","Quinta","Sexta","Sábado","Domingo"))</f>
        <v/>
      </c>
      <c r="Q2367" s="30">
        <f>IF(B2367="","",IF(B2367&lt;TIME(12,0,0),"Manhã",IF(B2367&lt;TIME(18,0,0),"Tarde","Noite")))</f>
        <v/>
      </c>
      <c r="R2367" s="46">
        <f>IF(AND(H2367="Realizado",L2367&lt;&gt;"",A2367&lt;=Config!$B$9),L2367/60,0)</f>
        <v>0</v>
      </c>
      <c r="S2367" s="45">
        <f>IF(G2367="","",IFERROR(INDEX(Config!$K$5:$K$16,MATCH(G2367,Config!$J$5:$J$16,0)),""))</f>
        <v/>
      </c>
      <c r="T2367" s="31">
        <f>IF(OR(G2367="",F2367=""),"",IFERROR(INDEX(Config!$M$5:$R$16,MATCH(G2367,Config!$J$5:$J$16,0),MATCH(F2367,Config!$H$5:$H$10,0)),""))</f>
        <v/>
      </c>
      <c r="U2367" s="47">
        <f>IF(AND(H2367="Realizado",L2367&lt;&gt;""),L2367/60,0)</f>
        <v>0</v>
      </c>
      <c r="V2367" s="47">
        <f>IF(AND(H2367="Realizado",OR(L2367="",M2367="")),1,0)</f>
        <v>0</v>
      </c>
    </row>
    <row r="2368">
      <c r="A2368" s="43" t="n"/>
      <c r="B2368" s="44" t="n"/>
      <c r="C2368" s="38" t="n"/>
      <c r="D2368" s="38" t="n"/>
      <c r="E2368" s="37" t="n"/>
      <c r="F2368" s="38" t="n"/>
      <c r="G2368" s="38" t="n"/>
      <c r="H2368" s="38" t="n"/>
      <c r="I2368" s="38" t="n"/>
      <c r="J2368" s="38" t="n"/>
      <c r="K2368" s="37" t="n"/>
      <c r="L2368" s="39" t="n"/>
      <c r="M2368" s="40" t="n"/>
      <c r="N2368" s="30">
        <f>IF(A2368="","",MONTH(A2368))</f>
        <v/>
      </c>
      <c r="O2368" s="30">
        <f>IF(A2368="","",YEAR(A2368))</f>
        <v/>
      </c>
      <c r="P2368" s="30">
        <f>IF(A2368="","",CHOOSE(WEEKDAY(A2368,2),"Segunda","Terça","Quarta","Quinta","Sexta","Sábado","Domingo"))</f>
        <v/>
      </c>
      <c r="Q2368" s="30">
        <f>IF(B2368="","",IF(B2368&lt;TIME(12,0,0),"Manhã",IF(B2368&lt;TIME(18,0,0),"Tarde","Noite")))</f>
        <v/>
      </c>
      <c r="R2368" s="46">
        <f>IF(AND(H2368="Realizado",L2368&lt;&gt;"",A2368&lt;=Config!$B$9),L2368/60,0)</f>
        <v>0</v>
      </c>
      <c r="S2368" s="45">
        <f>IF(G2368="","",IFERROR(INDEX(Config!$K$5:$K$16,MATCH(G2368,Config!$J$5:$J$16,0)),""))</f>
        <v/>
      </c>
      <c r="T2368" s="31">
        <f>IF(OR(G2368="",F2368=""),"",IFERROR(INDEX(Config!$M$5:$R$16,MATCH(G2368,Config!$J$5:$J$16,0),MATCH(F2368,Config!$H$5:$H$10,0)),""))</f>
        <v/>
      </c>
      <c r="U2368" s="47">
        <f>IF(AND(H2368="Realizado",L2368&lt;&gt;""),L2368/60,0)</f>
        <v>0</v>
      </c>
      <c r="V2368" s="47">
        <f>IF(AND(H2368="Realizado",OR(L2368="",M2368="")),1,0)</f>
        <v>0</v>
      </c>
    </row>
    <row r="2369">
      <c r="A2369" s="43" t="n"/>
      <c r="B2369" s="44" t="n"/>
      <c r="C2369" s="38" t="n"/>
      <c r="D2369" s="38" t="n"/>
      <c r="E2369" s="37" t="n"/>
      <c r="F2369" s="38" t="n"/>
      <c r="G2369" s="38" t="n"/>
      <c r="H2369" s="38" t="n"/>
      <c r="I2369" s="38" t="n"/>
      <c r="J2369" s="38" t="n"/>
      <c r="K2369" s="37" t="n"/>
      <c r="L2369" s="39" t="n"/>
      <c r="M2369" s="40" t="n"/>
      <c r="N2369" s="30">
        <f>IF(A2369="","",MONTH(A2369))</f>
        <v/>
      </c>
      <c r="O2369" s="30">
        <f>IF(A2369="","",YEAR(A2369))</f>
        <v/>
      </c>
      <c r="P2369" s="30">
        <f>IF(A2369="","",CHOOSE(WEEKDAY(A2369,2),"Segunda","Terça","Quarta","Quinta","Sexta","Sábado","Domingo"))</f>
        <v/>
      </c>
      <c r="Q2369" s="30">
        <f>IF(B2369="","",IF(B2369&lt;TIME(12,0,0),"Manhã",IF(B2369&lt;TIME(18,0,0),"Tarde","Noite")))</f>
        <v/>
      </c>
      <c r="R2369" s="46">
        <f>IF(AND(H2369="Realizado",L2369&lt;&gt;"",A2369&lt;=Config!$B$9),L2369/60,0)</f>
        <v>0</v>
      </c>
      <c r="S2369" s="45">
        <f>IF(G2369="","",IFERROR(INDEX(Config!$K$5:$K$16,MATCH(G2369,Config!$J$5:$J$16,0)),""))</f>
        <v/>
      </c>
      <c r="T2369" s="31">
        <f>IF(OR(G2369="",F2369=""),"",IFERROR(INDEX(Config!$M$5:$R$16,MATCH(G2369,Config!$J$5:$J$16,0),MATCH(F2369,Config!$H$5:$H$10,0)),""))</f>
        <v/>
      </c>
      <c r="U2369" s="47">
        <f>IF(AND(H2369="Realizado",L2369&lt;&gt;""),L2369/60,0)</f>
        <v>0</v>
      </c>
      <c r="V2369" s="47">
        <f>IF(AND(H2369="Realizado",OR(L2369="",M2369="")),1,0)</f>
        <v>0</v>
      </c>
    </row>
    <row r="2370">
      <c r="A2370" s="43" t="n"/>
      <c r="B2370" s="44" t="n"/>
      <c r="C2370" s="38" t="n"/>
      <c r="D2370" s="38" t="n"/>
      <c r="E2370" s="37" t="n"/>
      <c r="F2370" s="38" t="n"/>
      <c r="G2370" s="38" t="n"/>
      <c r="H2370" s="38" t="n"/>
      <c r="I2370" s="38" t="n"/>
      <c r="J2370" s="38" t="n"/>
      <c r="K2370" s="37" t="n"/>
      <c r="L2370" s="39" t="n"/>
      <c r="M2370" s="40" t="n"/>
      <c r="N2370" s="30">
        <f>IF(A2370="","",MONTH(A2370))</f>
        <v/>
      </c>
      <c r="O2370" s="30">
        <f>IF(A2370="","",YEAR(A2370))</f>
        <v/>
      </c>
      <c r="P2370" s="30">
        <f>IF(A2370="","",CHOOSE(WEEKDAY(A2370,2),"Segunda","Terça","Quarta","Quinta","Sexta","Sábado","Domingo"))</f>
        <v/>
      </c>
      <c r="Q2370" s="30">
        <f>IF(B2370="","",IF(B2370&lt;TIME(12,0,0),"Manhã",IF(B2370&lt;TIME(18,0,0),"Tarde","Noite")))</f>
        <v/>
      </c>
      <c r="R2370" s="46">
        <f>IF(AND(H2370="Realizado",L2370&lt;&gt;"",A2370&lt;=Config!$B$9),L2370/60,0)</f>
        <v>0</v>
      </c>
      <c r="S2370" s="45">
        <f>IF(G2370="","",IFERROR(INDEX(Config!$K$5:$K$16,MATCH(G2370,Config!$J$5:$J$16,0)),""))</f>
        <v/>
      </c>
      <c r="T2370" s="31">
        <f>IF(OR(G2370="",F2370=""),"",IFERROR(INDEX(Config!$M$5:$R$16,MATCH(G2370,Config!$J$5:$J$16,0),MATCH(F2370,Config!$H$5:$H$10,0)),""))</f>
        <v/>
      </c>
      <c r="U2370" s="47">
        <f>IF(AND(H2370="Realizado",L2370&lt;&gt;""),L2370/60,0)</f>
        <v>0</v>
      </c>
      <c r="V2370" s="47">
        <f>IF(AND(H2370="Realizado",OR(L2370="",M2370="")),1,0)</f>
        <v>0</v>
      </c>
    </row>
    <row r="2371">
      <c r="A2371" s="43" t="n"/>
      <c r="B2371" s="44" t="n"/>
      <c r="C2371" s="38" t="n"/>
      <c r="D2371" s="38" t="n"/>
      <c r="E2371" s="37" t="n"/>
      <c r="F2371" s="38" t="n"/>
      <c r="G2371" s="38" t="n"/>
      <c r="H2371" s="38" t="n"/>
      <c r="I2371" s="38" t="n"/>
      <c r="J2371" s="38" t="n"/>
      <c r="K2371" s="37" t="n"/>
      <c r="L2371" s="39" t="n"/>
      <c r="M2371" s="40" t="n"/>
      <c r="N2371" s="30">
        <f>IF(A2371="","",MONTH(A2371))</f>
        <v/>
      </c>
      <c r="O2371" s="30">
        <f>IF(A2371="","",YEAR(A2371))</f>
        <v/>
      </c>
      <c r="P2371" s="30">
        <f>IF(A2371="","",CHOOSE(WEEKDAY(A2371,2),"Segunda","Terça","Quarta","Quinta","Sexta","Sábado","Domingo"))</f>
        <v/>
      </c>
      <c r="Q2371" s="30">
        <f>IF(B2371="","",IF(B2371&lt;TIME(12,0,0),"Manhã",IF(B2371&lt;TIME(18,0,0),"Tarde","Noite")))</f>
        <v/>
      </c>
      <c r="R2371" s="46">
        <f>IF(AND(H2371="Realizado",L2371&lt;&gt;"",A2371&lt;=Config!$B$9),L2371/60,0)</f>
        <v>0</v>
      </c>
      <c r="S2371" s="45">
        <f>IF(G2371="","",IFERROR(INDEX(Config!$K$5:$K$16,MATCH(G2371,Config!$J$5:$J$16,0)),""))</f>
        <v/>
      </c>
      <c r="T2371" s="31">
        <f>IF(OR(G2371="",F2371=""),"",IFERROR(INDEX(Config!$M$5:$R$16,MATCH(G2371,Config!$J$5:$J$16,0),MATCH(F2371,Config!$H$5:$H$10,0)),""))</f>
        <v/>
      </c>
      <c r="U2371" s="47">
        <f>IF(AND(H2371="Realizado",L2371&lt;&gt;""),L2371/60,0)</f>
        <v>0</v>
      </c>
      <c r="V2371" s="47">
        <f>IF(AND(H2371="Realizado",OR(L2371="",M2371="")),1,0)</f>
        <v>0</v>
      </c>
    </row>
    <row r="2372">
      <c r="A2372" s="43" t="n"/>
      <c r="B2372" s="44" t="n"/>
      <c r="C2372" s="38" t="n"/>
      <c r="D2372" s="38" t="n"/>
      <c r="E2372" s="37" t="n"/>
      <c r="F2372" s="38" t="n"/>
      <c r="G2372" s="38" t="n"/>
      <c r="H2372" s="38" t="n"/>
      <c r="I2372" s="38" t="n"/>
      <c r="J2372" s="38" t="n"/>
      <c r="K2372" s="37" t="n"/>
      <c r="L2372" s="39" t="n"/>
      <c r="M2372" s="40" t="n"/>
      <c r="N2372" s="30">
        <f>IF(A2372="","",MONTH(A2372))</f>
        <v/>
      </c>
      <c r="O2372" s="30">
        <f>IF(A2372="","",YEAR(A2372))</f>
        <v/>
      </c>
      <c r="P2372" s="30">
        <f>IF(A2372="","",CHOOSE(WEEKDAY(A2372,2),"Segunda","Terça","Quarta","Quinta","Sexta","Sábado","Domingo"))</f>
        <v/>
      </c>
      <c r="Q2372" s="30">
        <f>IF(B2372="","",IF(B2372&lt;TIME(12,0,0),"Manhã",IF(B2372&lt;TIME(18,0,0),"Tarde","Noite")))</f>
        <v/>
      </c>
      <c r="R2372" s="46">
        <f>IF(AND(H2372="Realizado",L2372&lt;&gt;"",A2372&lt;=Config!$B$9),L2372/60,0)</f>
        <v>0</v>
      </c>
      <c r="S2372" s="45">
        <f>IF(G2372="","",IFERROR(INDEX(Config!$K$5:$K$16,MATCH(G2372,Config!$J$5:$J$16,0)),""))</f>
        <v/>
      </c>
      <c r="T2372" s="31">
        <f>IF(OR(G2372="",F2372=""),"",IFERROR(INDEX(Config!$M$5:$R$16,MATCH(G2372,Config!$J$5:$J$16,0),MATCH(F2372,Config!$H$5:$H$10,0)),""))</f>
        <v/>
      </c>
      <c r="U2372" s="47">
        <f>IF(AND(H2372="Realizado",L2372&lt;&gt;""),L2372/60,0)</f>
        <v>0</v>
      </c>
      <c r="V2372" s="47">
        <f>IF(AND(H2372="Realizado",OR(L2372="",M2372="")),1,0)</f>
        <v>0</v>
      </c>
    </row>
    <row r="2373">
      <c r="A2373" s="43" t="n"/>
      <c r="B2373" s="44" t="n"/>
      <c r="C2373" s="38" t="n"/>
      <c r="D2373" s="38" t="n"/>
      <c r="E2373" s="37" t="n"/>
      <c r="F2373" s="38" t="n"/>
      <c r="G2373" s="38" t="n"/>
      <c r="H2373" s="38" t="n"/>
      <c r="I2373" s="38" t="n"/>
      <c r="J2373" s="38" t="n"/>
      <c r="K2373" s="37" t="n"/>
      <c r="L2373" s="39" t="n"/>
      <c r="M2373" s="40" t="n"/>
      <c r="N2373" s="30">
        <f>IF(A2373="","",MONTH(A2373))</f>
        <v/>
      </c>
      <c r="O2373" s="30">
        <f>IF(A2373="","",YEAR(A2373))</f>
        <v/>
      </c>
      <c r="P2373" s="30">
        <f>IF(A2373="","",CHOOSE(WEEKDAY(A2373,2),"Segunda","Terça","Quarta","Quinta","Sexta","Sábado","Domingo"))</f>
        <v/>
      </c>
      <c r="Q2373" s="30">
        <f>IF(B2373="","",IF(B2373&lt;TIME(12,0,0),"Manhã",IF(B2373&lt;TIME(18,0,0),"Tarde","Noite")))</f>
        <v/>
      </c>
      <c r="R2373" s="46">
        <f>IF(AND(H2373="Realizado",L2373&lt;&gt;"",A2373&lt;=Config!$B$9),L2373/60,0)</f>
        <v>0</v>
      </c>
      <c r="S2373" s="45">
        <f>IF(G2373="","",IFERROR(INDEX(Config!$K$5:$K$16,MATCH(G2373,Config!$J$5:$J$16,0)),""))</f>
        <v/>
      </c>
      <c r="T2373" s="31">
        <f>IF(OR(G2373="",F2373=""),"",IFERROR(INDEX(Config!$M$5:$R$16,MATCH(G2373,Config!$J$5:$J$16,0),MATCH(F2373,Config!$H$5:$H$10,0)),""))</f>
        <v/>
      </c>
      <c r="U2373" s="47">
        <f>IF(AND(H2373="Realizado",L2373&lt;&gt;""),L2373/60,0)</f>
        <v>0</v>
      </c>
      <c r="V2373" s="47">
        <f>IF(AND(H2373="Realizado",OR(L2373="",M2373="")),1,0)</f>
        <v>0</v>
      </c>
    </row>
    <row r="2374">
      <c r="A2374" s="43" t="n"/>
      <c r="B2374" s="44" t="n"/>
      <c r="C2374" s="38" t="n"/>
      <c r="D2374" s="38" t="n"/>
      <c r="E2374" s="37" t="n"/>
      <c r="F2374" s="38" t="n"/>
      <c r="G2374" s="38" t="n"/>
      <c r="H2374" s="38" t="n"/>
      <c r="I2374" s="38" t="n"/>
      <c r="J2374" s="38" t="n"/>
      <c r="K2374" s="37" t="n"/>
      <c r="L2374" s="39" t="n"/>
      <c r="M2374" s="40" t="n"/>
      <c r="N2374" s="30">
        <f>IF(A2374="","",MONTH(A2374))</f>
        <v/>
      </c>
      <c r="O2374" s="30">
        <f>IF(A2374="","",YEAR(A2374))</f>
        <v/>
      </c>
      <c r="P2374" s="30">
        <f>IF(A2374="","",CHOOSE(WEEKDAY(A2374,2),"Segunda","Terça","Quarta","Quinta","Sexta","Sábado","Domingo"))</f>
        <v/>
      </c>
      <c r="Q2374" s="30">
        <f>IF(B2374="","",IF(B2374&lt;TIME(12,0,0),"Manhã",IF(B2374&lt;TIME(18,0,0),"Tarde","Noite")))</f>
        <v/>
      </c>
      <c r="R2374" s="46">
        <f>IF(AND(H2374="Realizado",L2374&lt;&gt;"",A2374&lt;=Config!$B$9),L2374/60,0)</f>
        <v>0</v>
      </c>
      <c r="S2374" s="45">
        <f>IF(G2374="","",IFERROR(INDEX(Config!$K$5:$K$16,MATCH(G2374,Config!$J$5:$J$16,0)),""))</f>
        <v/>
      </c>
      <c r="T2374" s="31">
        <f>IF(OR(G2374="",F2374=""),"",IFERROR(INDEX(Config!$M$5:$R$16,MATCH(G2374,Config!$J$5:$J$16,0),MATCH(F2374,Config!$H$5:$H$10,0)),""))</f>
        <v/>
      </c>
      <c r="U2374" s="47">
        <f>IF(AND(H2374="Realizado",L2374&lt;&gt;""),L2374/60,0)</f>
        <v>0</v>
      </c>
      <c r="V2374" s="47">
        <f>IF(AND(H2374="Realizado",OR(L2374="",M2374="")),1,0)</f>
        <v>0</v>
      </c>
    </row>
    <row r="2375">
      <c r="A2375" s="43" t="n"/>
      <c r="B2375" s="44" t="n"/>
      <c r="C2375" s="38" t="n"/>
      <c r="D2375" s="38" t="n"/>
      <c r="E2375" s="37" t="n"/>
      <c r="F2375" s="38" t="n"/>
      <c r="G2375" s="38" t="n"/>
      <c r="H2375" s="38" t="n"/>
      <c r="I2375" s="38" t="n"/>
      <c r="J2375" s="38" t="n"/>
      <c r="K2375" s="37" t="n"/>
      <c r="L2375" s="39" t="n"/>
      <c r="M2375" s="40" t="n"/>
      <c r="N2375" s="30">
        <f>IF(A2375="","",MONTH(A2375))</f>
        <v/>
      </c>
      <c r="O2375" s="30">
        <f>IF(A2375="","",YEAR(A2375))</f>
        <v/>
      </c>
      <c r="P2375" s="30">
        <f>IF(A2375="","",CHOOSE(WEEKDAY(A2375,2),"Segunda","Terça","Quarta","Quinta","Sexta","Sábado","Domingo"))</f>
        <v/>
      </c>
      <c r="Q2375" s="30">
        <f>IF(B2375="","",IF(B2375&lt;TIME(12,0,0),"Manhã",IF(B2375&lt;TIME(18,0,0),"Tarde","Noite")))</f>
        <v/>
      </c>
      <c r="R2375" s="46">
        <f>IF(AND(H2375="Realizado",L2375&lt;&gt;"",A2375&lt;=Config!$B$9),L2375/60,0)</f>
        <v>0</v>
      </c>
      <c r="S2375" s="45">
        <f>IF(G2375="","",IFERROR(INDEX(Config!$K$5:$K$16,MATCH(G2375,Config!$J$5:$J$16,0)),""))</f>
        <v/>
      </c>
      <c r="T2375" s="31">
        <f>IF(OR(G2375="",F2375=""),"",IFERROR(INDEX(Config!$M$5:$R$16,MATCH(G2375,Config!$J$5:$J$16,0),MATCH(F2375,Config!$H$5:$H$10,0)),""))</f>
        <v/>
      </c>
      <c r="U2375" s="47">
        <f>IF(AND(H2375="Realizado",L2375&lt;&gt;""),L2375/60,0)</f>
        <v>0</v>
      </c>
      <c r="V2375" s="47">
        <f>IF(AND(H2375="Realizado",OR(L2375="",M2375="")),1,0)</f>
        <v>0</v>
      </c>
    </row>
    <row r="2376">
      <c r="A2376" s="43" t="n"/>
      <c r="B2376" s="44" t="n"/>
      <c r="C2376" s="38" t="n"/>
      <c r="D2376" s="38" t="n"/>
      <c r="E2376" s="37" t="n"/>
      <c r="F2376" s="38" t="n"/>
      <c r="G2376" s="38" t="n"/>
      <c r="H2376" s="38" t="n"/>
      <c r="I2376" s="38" t="n"/>
      <c r="J2376" s="38" t="n"/>
      <c r="K2376" s="37" t="n"/>
      <c r="L2376" s="39" t="n"/>
      <c r="M2376" s="40" t="n"/>
      <c r="N2376" s="30">
        <f>IF(A2376="","",MONTH(A2376))</f>
        <v/>
      </c>
      <c r="O2376" s="30">
        <f>IF(A2376="","",YEAR(A2376))</f>
        <v/>
      </c>
      <c r="P2376" s="30">
        <f>IF(A2376="","",CHOOSE(WEEKDAY(A2376,2),"Segunda","Terça","Quarta","Quinta","Sexta","Sábado","Domingo"))</f>
        <v/>
      </c>
      <c r="Q2376" s="30">
        <f>IF(B2376="","",IF(B2376&lt;TIME(12,0,0),"Manhã",IF(B2376&lt;TIME(18,0,0),"Tarde","Noite")))</f>
        <v/>
      </c>
      <c r="R2376" s="46">
        <f>IF(AND(H2376="Realizado",L2376&lt;&gt;"",A2376&lt;=Config!$B$9),L2376/60,0)</f>
        <v>0</v>
      </c>
      <c r="S2376" s="45">
        <f>IF(G2376="","",IFERROR(INDEX(Config!$K$5:$K$16,MATCH(G2376,Config!$J$5:$J$16,0)),""))</f>
        <v/>
      </c>
      <c r="T2376" s="31">
        <f>IF(OR(G2376="",F2376=""),"",IFERROR(INDEX(Config!$M$5:$R$16,MATCH(G2376,Config!$J$5:$J$16,0),MATCH(F2376,Config!$H$5:$H$10,0)),""))</f>
        <v/>
      </c>
      <c r="U2376" s="47">
        <f>IF(AND(H2376="Realizado",L2376&lt;&gt;""),L2376/60,0)</f>
        <v>0</v>
      </c>
      <c r="V2376" s="47">
        <f>IF(AND(H2376="Realizado",OR(L2376="",M2376="")),1,0)</f>
        <v>0</v>
      </c>
    </row>
    <row r="2377">
      <c r="A2377" s="43" t="n"/>
      <c r="B2377" s="44" t="n"/>
      <c r="C2377" s="38" t="n"/>
      <c r="D2377" s="38" t="n"/>
      <c r="E2377" s="37" t="n"/>
      <c r="F2377" s="38" t="n"/>
      <c r="G2377" s="38" t="n"/>
      <c r="H2377" s="38" t="n"/>
      <c r="I2377" s="38" t="n"/>
      <c r="J2377" s="38" t="n"/>
      <c r="K2377" s="37" t="n"/>
      <c r="L2377" s="39" t="n"/>
      <c r="M2377" s="40" t="n"/>
      <c r="N2377" s="30">
        <f>IF(A2377="","",MONTH(A2377))</f>
        <v/>
      </c>
      <c r="O2377" s="30">
        <f>IF(A2377="","",YEAR(A2377))</f>
        <v/>
      </c>
      <c r="P2377" s="30">
        <f>IF(A2377="","",CHOOSE(WEEKDAY(A2377,2),"Segunda","Terça","Quarta","Quinta","Sexta","Sábado","Domingo"))</f>
        <v/>
      </c>
      <c r="Q2377" s="30">
        <f>IF(B2377="","",IF(B2377&lt;TIME(12,0,0),"Manhã",IF(B2377&lt;TIME(18,0,0),"Tarde","Noite")))</f>
        <v/>
      </c>
      <c r="R2377" s="46">
        <f>IF(AND(H2377="Realizado",L2377&lt;&gt;"",A2377&lt;=Config!$B$9),L2377/60,0)</f>
        <v>0</v>
      </c>
      <c r="S2377" s="45">
        <f>IF(G2377="","",IFERROR(INDEX(Config!$K$5:$K$16,MATCH(G2377,Config!$J$5:$J$16,0)),""))</f>
        <v/>
      </c>
      <c r="T2377" s="31">
        <f>IF(OR(G2377="",F2377=""),"",IFERROR(INDEX(Config!$M$5:$R$16,MATCH(G2377,Config!$J$5:$J$16,0),MATCH(F2377,Config!$H$5:$H$10,0)),""))</f>
        <v/>
      </c>
      <c r="U2377" s="47">
        <f>IF(AND(H2377="Realizado",L2377&lt;&gt;""),L2377/60,0)</f>
        <v>0</v>
      </c>
      <c r="V2377" s="47">
        <f>IF(AND(H2377="Realizado",OR(L2377="",M2377="")),1,0)</f>
        <v>0</v>
      </c>
    </row>
    <row r="2378">
      <c r="A2378" s="43" t="n"/>
      <c r="B2378" s="44" t="n"/>
      <c r="C2378" s="38" t="n"/>
      <c r="D2378" s="38" t="n"/>
      <c r="E2378" s="37" t="n"/>
      <c r="F2378" s="38" t="n"/>
      <c r="G2378" s="38" t="n"/>
      <c r="H2378" s="38" t="n"/>
      <c r="I2378" s="38" t="n"/>
      <c r="J2378" s="38" t="n"/>
      <c r="K2378" s="37" t="n"/>
      <c r="L2378" s="39" t="n"/>
      <c r="M2378" s="40" t="n"/>
      <c r="N2378" s="30">
        <f>IF(A2378="","",MONTH(A2378))</f>
        <v/>
      </c>
      <c r="O2378" s="30">
        <f>IF(A2378="","",YEAR(A2378))</f>
        <v/>
      </c>
      <c r="P2378" s="30">
        <f>IF(A2378="","",CHOOSE(WEEKDAY(A2378,2),"Segunda","Terça","Quarta","Quinta","Sexta","Sábado","Domingo"))</f>
        <v/>
      </c>
      <c r="Q2378" s="30">
        <f>IF(B2378="","",IF(B2378&lt;TIME(12,0,0),"Manhã",IF(B2378&lt;TIME(18,0,0),"Tarde","Noite")))</f>
        <v/>
      </c>
      <c r="R2378" s="46">
        <f>IF(AND(H2378="Realizado",L2378&lt;&gt;"",A2378&lt;=Config!$B$9),L2378/60,0)</f>
        <v>0</v>
      </c>
      <c r="S2378" s="45">
        <f>IF(G2378="","",IFERROR(INDEX(Config!$K$5:$K$16,MATCH(G2378,Config!$J$5:$J$16,0)),""))</f>
        <v/>
      </c>
      <c r="T2378" s="31">
        <f>IF(OR(G2378="",F2378=""),"",IFERROR(INDEX(Config!$M$5:$R$16,MATCH(G2378,Config!$J$5:$J$16,0),MATCH(F2378,Config!$H$5:$H$10,0)),""))</f>
        <v/>
      </c>
      <c r="U2378" s="47">
        <f>IF(AND(H2378="Realizado",L2378&lt;&gt;""),L2378/60,0)</f>
        <v>0</v>
      </c>
      <c r="V2378" s="47">
        <f>IF(AND(H2378="Realizado",OR(L2378="",M2378="")),1,0)</f>
        <v>0</v>
      </c>
    </row>
    <row r="2379">
      <c r="A2379" s="43" t="n"/>
      <c r="B2379" s="44" t="n"/>
      <c r="C2379" s="38" t="n"/>
      <c r="D2379" s="38" t="n"/>
      <c r="E2379" s="37" t="n"/>
      <c r="F2379" s="38" t="n"/>
      <c r="G2379" s="38" t="n"/>
      <c r="H2379" s="38" t="n"/>
      <c r="I2379" s="38" t="n"/>
      <c r="J2379" s="38" t="n"/>
      <c r="K2379" s="37" t="n"/>
      <c r="L2379" s="39" t="n"/>
      <c r="M2379" s="40" t="n"/>
      <c r="N2379" s="30">
        <f>IF(A2379="","",MONTH(A2379))</f>
        <v/>
      </c>
      <c r="O2379" s="30">
        <f>IF(A2379="","",YEAR(A2379))</f>
        <v/>
      </c>
      <c r="P2379" s="30">
        <f>IF(A2379="","",CHOOSE(WEEKDAY(A2379,2),"Segunda","Terça","Quarta","Quinta","Sexta","Sábado","Domingo"))</f>
        <v/>
      </c>
      <c r="Q2379" s="30">
        <f>IF(B2379="","",IF(B2379&lt;TIME(12,0,0),"Manhã",IF(B2379&lt;TIME(18,0,0),"Tarde","Noite")))</f>
        <v/>
      </c>
      <c r="R2379" s="46">
        <f>IF(AND(H2379="Realizado",L2379&lt;&gt;"",A2379&lt;=Config!$B$9),L2379/60,0)</f>
        <v>0</v>
      </c>
      <c r="S2379" s="45">
        <f>IF(G2379="","",IFERROR(INDEX(Config!$K$5:$K$16,MATCH(G2379,Config!$J$5:$J$16,0)),""))</f>
        <v/>
      </c>
      <c r="T2379" s="31">
        <f>IF(OR(G2379="",F2379=""),"",IFERROR(INDEX(Config!$M$5:$R$16,MATCH(G2379,Config!$J$5:$J$16,0),MATCH(F2379,Config!$H$5:$H$10,0)),""))</f>
        <v/>
      </c>
      <c r="U2379" s="47">
        <f>IF(AND(H2379="Realizado",L2379&lt;&gt;""),L2379/60,0)</f>
        <v>0</v>
      </c>
      <c r="V2379" s="47">
        <f>IF(AND(H2379="Realizado",OR(L2379="",M2379="")),1,0)</f>
        <v>0</v>
      </c>
    </row>
    <row r="2380">
      <c r="A2380" s="43" t="n"/>
      <c r="B2380" s="44" t="n"/>
      <c r="C2380" s="38" t="n"/>
      <c r="D2380" s="38" t="n"/>
      <c r="E2380" s="37" t="n"/>
      <c r="F2380" s="38" t="n"/>
      <c r="G2380" s="38" t="n"/>
      <c r="H2380" s="38" t="n"/>
      <c r="I2380" s="38" t="n"/>
      <c r="J2380" s="38" t="n"/>
      <c r="K2380" s="37" t="n"/>
      <c r="L2380" s="39" t="n"/>
      <c r="M2380" s="40" t="n"/>
      <c r="N2380" s="30">
        <f>IF(A2380="","",MONTH(A2380))</f>
        <v/>
      </c>
      <c r="O2380" s="30">
        <f>IF(A2380="","",YEAR(A2380))</f>
        <v/>
      </c>
      <c r="P2380" s="30">
        <f>IF(A2380="","",CHOOSE(WEEKDAY(A2380,2),"Segunda","Terça","Quarta","Quinta","Sexta","Sábado","Domingo"))</f>
        <v/>
      </c>
      <c r="Q2380" s="30">
        <f>IF(B2380="","",IF(B2380&lt;TIME(12,0,0),"Manhã",IF(B2380&lt;TIME(18,0,0),"Tarde","Noite")))</f>
        <v/>
      </c>
      <c r="R2380" s="46">
        <f>IF(AND(H2380="Realizado",L2380&lt;&gt;"",A2380&lt;=Config!$B$9),L2380/60,0)</f>
        <v>0</v>
      </c>
      <c r="S2380" s="45">
        <f>IF(G2380="","",IFERROR(INDEX(Config!$K$5:$K$16,MATCH(G2380,Config!$J$5:$J$16,0)),""))</f>
        <v/>
      </c>
      <c r="T2380" s="31">
        <f>IF(OR(G2380="",F2380=""),"",IFERROR(INDEX(Config!$M$5:$R$16,MATCH(G2380,Config!$J$5:$J$16,0),MATCH(F2380,Config!$H$5:$H$10,0)),""))</f>
        <v/>
      </c>
      <c r="U2380" s="47">
        <f>IF(AND(H2380="Realizado",L2380&lt;&gt;""),L2380/60,0)</f>
        <v>0</v>
      </c>
      <c r="V2380" s="47">
        <f>IF(AND(H2380="Realizado",OR(L2380="",M2380="")),1,0)</f>
        <v>0</v>
      </c>
    </row>
    <row r="2381">
      <c r="A2381" s="43" t="n"/>
      <c r="B2381" s="44" t="n"/>
      <c r="C2381" s="38" t="n"/>
      <c r="D2381" s="38" t="n"/>
      <c r="E2381" s="37" t="n"/>
      <c r="F2381" s="38" t="n"/>
      <c r="G2381" s="38" t="n"/>
      <c r="H2381" s="38" t="n"/>
      <c r="I2381" s="38" t="n"/>
      <c r="J2381" s="38" t="n"/>
      <c r="K2381" s="37" t="n"/>
      <c r="L2381" s="39" t="n"/>
      <c r="M2381" s="40" t="n"/>
      <c r="N2381" s="30">
        <f>IF(A2381="","",MONTH(A2381))</f>
        <v/>
      </c>
      <c r="O2381" s="30">
        <f>IF(A2381="","",YEAR(A2381))</f>
        <v/>
      </c>
      <c r="P2381" s="30">
        <f>IF(A2381="","",CHOOSE(WEEKDAY(A2381,2),"Segunda","Terça","Quarta","Quinta","Sexta","Sábado","Domingo"))</f>
        <v/>
      </c>
      <c r="Q2381" s="30">
        <f>IF(B2381="","",IF(B2381&lt;TIME(12,0,0),"Manhã",IF(B2381&lt;TIME(18,0,0),"Tarde","Noite")))</f>
        <v/>
      </c>
      <c r="R2381" s="46">
        <f>IF(AND(H2381="Realizado",L2381&lt;&gt;"",A2381&lt;=Config!$B$9),L2381/60,0)</f>
        <v>0</v>
      </c>
      <c r="S2381" s="45">
        <f>IF(G2381="","",IFERROR(INDEX(Config!$K$5:$K$16,MATCH(G2381,Config!$J$5:$J$16,0)),""))</f>
        <v/>
      </c>
      <c r="T2381" s="31">
        <f>IF(OR(G2381="",F2381=""),"",IFERROR(INDEX(Config!$M$5:$R$16,MATCH(G2381,Config!$J$5:$J$16,0),MATCH(F2381,Config!$H$5:$H$10,0)),""))</f>
        <v/>
      </c>
      <c r="U2381" s="47">
        <f>IF(AND(H2381="Realizado",L2381&lt;&gt;""),L2381/60,0)</f>
        <v>0</v>
      </c>
      <c r="V2381" s="47">
        <f>IF(AND(H2381="Realizado",OR(L2381="",M2381="")),1,0)</f>
        <v>0</v>
      </c>
    </row>
    <row r="2382">
      <c r="A2382" s="43" t="n"/>
      <c r="B2382" s="44" t="n"/>
      <c r="C2382" s="38" t="n"/>
      <c r="D2382" s="38" t="n"/>
      <c r="E2382" s="37" t="n"/>
      <c r="F2382" s="38" t="n"/>
      <c r="G2382" s="38" t="n"/>
      <c r="H2382" s="38" t="n"/>
      <c r="I2382" s="38" t="n"/>
      <c r="J2382" s="38" t="n"/>
      <c r="K2382" s="37" t="n"/>
      <c r="L2382" s="39" t="n"/>
      <c r="M2382" s="40" t="n"/>
      <c r="N2382" s="30">
        <f>IF(A2382="","",MONTH(A2382))</f>
        <v/>
      </c>
      <c r="O2382" s="30">
        <f>IF(A2382="","",YEAR(A2382))</f>
        <v/>
      </c>
      <c r="P2382" s="30">
        <f>IF(A2382="","",CHOOSE(WEEKDAY(A2382,2),"Segunda","Terça","Quarta","Quinta","Sexta","Sábado","Domingo"))</f>
        <v/>
      </c>
      <c r="Q2382" s="30">
        <f>IF(B2382="","",IF(B2382&lt;TIME(12,0,0),"Manhã",IF(B2382&lt;TIME(18,0,0),"Tarde","Noite")))</f>
        <v/>
      </c>
      <c r="R2382" s="46">
        <f>IF(AND(H2382="Realizado",L2382&lt;&gt;"",A2382&lt;=Config!$B$9),L2382/60,0)</f>
        <v>0</v>
      </c>
      <c r="S2382" s="45">
        <f>IF(G2382="","",IFERROR(INDEX(Config!$K$5:$K$16,MATCH(G2382,Config!$J$5:$J$16,0)),""))</f>
        <v/>
      </c>
      <c r="T2382" s="31">
        <f>IF(OR(G2382="",F2382=""),"",IFERROR(INDEX(Config!$M$5:$R$16,MATCH(G2382,Config!$J$5:$J$16,0),MATCH(F2382,Config!$H$5:$H$10,0)),""))</f>
        <v/>
      </c>
      <c r="U2382" s="47">
        <f>IF(AND(H2382="Realizado",L2382&lt;&gt;""),L2382/60,0)</f>
        <v>0</v>
      </c>
      <c r="V2382" s="47">
        <f>IF(AND(H2382="Realizado",OR(L2382="",M2382="")),1,0)</f>
        <v>0</v>
      </c>
    </row>
    <row r="2383">
      <c r="A2383" s="43" t="n"/>
      <c r="B2383" s="44" t="n"/>
      <c r="C2383" s="38" t="n"/>
      <c r="D2383" s="38" t="n"/>
      <c r="E2383" s="37" t="n"/>
      <c r="F2383" s="38" t="n"/>
      <c r="G2383" s="38" t="n"/>
      <c r="H2383" s="38" t="n"/>
      <c r="I2383" s="38" t="n"/>
      <c r="J2383" s="38" t="n"/>
      <c r="K2383" s="37" t="n"/>
      <c r="L2383" s="39" t="n"/>
      <c r="M2383" s="40" t="n"/>
      <c r="N2383" s="30">
        <f>IF(A2383="","",MONTH(A2383))</f>
        <v/>
      </c>
      <c r="O2383" s="30">
        <f>IF(A2383="","",YEAR(A2383))</f>
        <v/>
      </c>
      <c r="P2383" s="30">
        <f>IF(A2383="","",CHOOSE(WEEKDAY(A2383,2),"Segunda","Terça","Quarta","Quinta","Sexta","Sábado","Domingo"))</f>
        <v/>
      </c>
      <c r="Q2383" s="30">
        <f>IF(B2383="","",IF(B2383&lt;TIME(12,0,0),"Manhã",IF(B2383&lt;TIME(18,0,0),"Tarde","Noite")))</f>
        <v/>
      </c>
      <c r="R2383" s="46">
        <f>IF(AND(H2383="Realizado",L2383&lt;&gt;"",A2383&lt;=Config!$B$9),L2383/60,0)</f>
        <v>0</v>
      </c>
      <c r="S2383" s="45">
        <f>IF(G2383="","",IFERROR(INDEX(Config!$K$5:$K$16,MATCH(G2383,Config!$J$5:$J$16,0)),""))</f>
        <v/>
      </c>
      <c r="T2383" s="31">
        <f>IF(OR(G2383="",F2383=""),"",IFERROR(INDEX(Config!$M$5:$R$16,MATCH(G2383,Config!$J$5:$J$16,0),MATCH(F2383,Config!$H$5:$H$10,0)),""))</f>
        <v/>
      </c>
      <c r="U2383" s="47">
        <f>IF(AND(H2383="Realizado",L2383&lt;&gt;""),L2383/60,0)</f>
        <v>0</v>
      </c>
      <c r="V2383" s="47">
        <f>IF(AND(H2383="Realizado",OR(L2383="",M2383="")),1,0)</f>
        <v>0</v>
      </c>
    </row>
    <row r="2384">
      <c r="A2384" s="43" t="n"/>
      <c r="B2384" s="44" t="n"/>
      <c r="C2384" s="38" t="n"/>
      <c r="D2384" s="38" t="n"/>
      <c r="E2384" s="37" t="n"/>
      <c r="F2384" s="38" t="n"/>
      <c r="G2384" s="38" t="n"/>
      <c r="H2384" s="38" t="n"/>
      <c r="I2384" s="38" t="n"/>
      <c r="J2384" s="38" t="n"/>
      <c r="K2384" s="37" t="n"/>
      <c r="L2384" s="39" t="n"/>
      <c r="M2384" s="40" t="n"/>
      <c r="N2384" s="30">
        <f>IF(A2384="","",MONTH(A2384))</f>
        <v/>
      </c>
      <c r="O2384" s="30">
        <f>IF(A2384="","",YEAR(A2384))</f>
        <v/>
      </c>
      <c r="P2384" s="30">
        <f>IF(A2384="","",CHOOSE(WEEKDAY(A2384,2),"Segunda","Terça","Quarta","Quinta","Sexta","Sábado","Domingo"))</f>
        <v/>
      </c>
      <c r="Q2384" s="30">
        <f>IF(B2384="","",IF(B2384&lt;TIME(12,0,0),"Manhã",IF(B2384&lt;TIME(18,0,0),"Tarde","Noite")))</f>
        <v/>
      </c>
      <c r="R2384" s="46">
        <f>IF(AND(H2384="Realizado",L2384&lt;&gt;"",A2384&lt;=Config!$B$9),L2384/60,0)</f>
        <v>0</v>
      </c>
      <c r="S2384" s="45">
        <f>IF(G2384="","",IFERROR(INDEX(Config!$K$5:$K$16,MATCH(G2384,Config!$J$5:$J$16,0)),""))</f>
        <v/>
      </c>
      <c r="T2384" s="31">
        <f>IF(OR(G2384="",F2384=""),"",IFERROR(INDEX(Config!$M$5:$R$16,MATCH(G2384,Config!$J$5:$J$16,0),MATCH(F2384,Config!$H$5:$H$10,0)),""))</f>
        <v/>
      </c>
      <c r="U2384" s="47">
        <f>IF(AND(H2384="Realizado",L2384&lt;&gt;""),L2384/60,0)</f>
        <v>0</v>
      </c>
      <c r="V2384" s="47">
        <f>IF(AND(H2384="Realizado",OR(L2384="",M2384="")),1,0)</f>
        <v>0</v>
      </c>
    </row>
    <row r="2385">
      <c r="A2385" s="43" t="n"/>
      <c r="B2385" s="44" t="n"/>
      <c r="C2385" s="38" t="n"/>
      <c r="D2385" s="38" t="n"/>
      <c r="E2385" s="37" t="n"/>
      <c r="F2385" s="38" t="n"/>
      <c r="G2385" s="38" t="n"/>
      <c r="H2385" s="38" t="n"/>
      <c r="I2385" s="38" t="n"/>
      <c r="J2385" s="38" t="n"/>
      <c r="K2385" s="37" t="n"/>
      <c r="L2385" s="39" t="n"/>
      <c r="M2385" s="40" t="n"/>
      <c r="N2385" s="30">
        <f>IF(A2385="","",MONTH(A2385))</f>
        <v/>
      </c>
      <c r="O2385" s="30">
        <f>IF(A2385="","",YEAR(A2385))</f>
        <v/>
      </c>
      <c r="P2385" s="30">
        <f>IF(A2385="","",CHOOSE(WEEKDAY(A2385,2),"Segunda","Terça","Quarta","Quinta","Sexta","Sábado","Domingo"))</f>
        <v/>
      </c>
      <c r="Q2385" s="30">
        <f>IF(B2385="","",IF(B2385&lt;TIME(12,0,0),"Manhã",IF(B2385&lt;TIME(18,0,0),"Tarde","Noite")))</f>
        <v/>
      </c>
      <c r="R2385" s="46">
        <f>IF(AND(H2385="Realizado",L2385&lt;&gt;"",A2385&lt;=Config!$B$9),L2385/60,0)</f>
        <v>0</v>
      </c>
      <c r="S2385" s="45">
        <f>IF(G2385="","",IFERROR(INDEX(Config!$K$5:$K$16,MATCH(G2385,Config!$J$5:$J$16,0)),""))</f>
        <v/>
      </c>
      <c r="T2385" s="31">
        <f>IF(OR(G2385="",F2385=""),"",IFERROR(INDEX(Config!$M$5:$R$16,MATCH(G2385,Config!$J$5:$J$16,0),MATCH(F2385,Config!$H$5:$H$10,0)),""))</f>
        <v/>
      </c>
      <c r="U2385" s="47">
        <f>IF(AND(H2385="Realizado",L2385&lt;&gt;""),L2385/60,0)</f>
        <v>0</v>
      </c>
      <c r="V2385" s="47">
        <f>IF(AND(H2385="Realizado",OR(L2385="",M2385="")),1,0)</f>
        <v>0</v>
      </c>
    </row>
    <row r="2386">
      <c r="A2386" s="43" t="n"/>
      <c r="B2386" s="44" t="n"/>
      <c r="C2386" s="38" t="n"/>
      <c r="D2386" s="38" t="n"/>
      <c r="E2386" s="37" t="n"/>
      <c r="F2386" s="38" t="n"/>
      <c r="G2386" s="38" t="n"/>
      <c r="H2386" s="38" t="n"/>
      <c r="I2386" s="38" t="n"/>
      <c r="J2386" s="38" t="n"/>
      <c r="K2386" s="37" t="n"/>
      <c r="L2386" s="39" t="n"/>
      <c r="M2386" s="40" t="n"/>
      <c r="N2386" s="30">
        <f>IF(A2386="","",MONTH(A2386))</f>
        <v/>
      </c>
      <c r="O2386" s="30">
        <f>IF(A2386="","",YEAR(A2386))</f>
        <v/>
      </c>
      <c r="P2386" s="30">
        <f>IF(A2386="","",CHOOSE(WEEKDAY(A2386,2),"Segunda","Terça","Quarta","Quinta","Sexta","Sábado","Domingo"))</f>
        <v/>
      </c>
      <c r="Q2386" s="30">
        <f>IF(B2386="","",IF(B2386&lt;TIME(12,0,0),"Manhã",IF(B2386&lt;TIME(18,0,0),"Tarde","Noite")))</f>
        <v/>
      </c>
      <c r="R2386" s="46">
        <f>IF(AND(H2386="Realizado",L2386&lt;&gt;"",A2386&lt;=Config!$B$9),L2386/60,0)</f>
        <v>0</v>
      </c>
      <c r="S2386" s="45">
        <f>IF(G2386="","",IFERROR(INDEX(Config!$K$5:$K$16,MATCH(G2386,Config!$J$5:$J$16,0)),""))</f>
        <v/>
      </c>
      <c r="T2386" s="31">
        <f>IF(OR(G2386="",F2386=""),"",IFERROR(INDEX(Config!$M$5:$R$16,MATCH(G2386,Config!$J$5:$J$16,0),MATCH(F2386,Config!$H$5:$H$10,0)),""))</f>
        <v/>
      </c>
      <c r="U2386" s="47">
        <f>IF(AND(H2386="Realizado",L2386&lt;&gt;""),L2386/60,0)</f>
        <v>0</v>
      </c>
      <c r="V2386" s="47">
        <f>IF(AND(H2386="Realizado",OR(L2386="",M2386="")),1,0)</f>
        <v>0</v>
      </c>
    </row>
    <row r="2387">
      <c r="A2387" s="43" t="n"/>
      <c r="B2387" s="44" t="n"/>
      <c r="C2387" s="38" t="n"/>
      <c r="D2387" s="38" t="n"/>
      <c r="E2387" s="37" t="n"/>
      <c r="F2387" s="38" t="n"/>
      <c r="G2387" s="38" t="n"/>
      <c r="H2387" s="38" t="n"/>
      <c r="I2387" s="38" t="n"/>
      <c r="J2387" s="38" t="n"/>
      <c r="K2387" s="37" t="n"/>
      <c r="L2387" s="39" t="n"/>
      <c r="M2387" s="40" t="n"/>
      <c r="N2387" s="30">
        <f>IF(A2387="","",MONTH(A2387))</f>
        <v/>
      </c>
      <c r="O2387" s="30">
        <f>IF(A2387="","",YEAR(A2387))</f>
        <v/>
      </c>
      <c r="P2387" s="30">
        <f>IF(A2387="","",CHOOSE(WEEKDAY(A2387,2),"Segunda","Terça","Quarta","Quinta","Sexta","Sábado","Domingo"))</f>
        <v/>
      </c>
      <c r="Q2387" s="30">
        <f>IF(B2387="","",IF(B2387&lt;TIME(12,0,0),"Manhã",IF(B2387&lt;TIME(18,0,0),"Tarde","Noite")))</f>
        <v/>
      </c>
      <c r="R2387" s="46">
        <f>IF(AND(H2387="Realizado",L2387&lt;&gt;"",A2387&lt;=Config!$B$9),L2387/60,0)</f>
        <v>0</v>
      </c>
      <c r="S2387" s="45">
        <f>IF(G2387="","",IFERROR(INDEX(Config!$K$5:$K$16,MATCH(G2387,Config!$J$5:$J$16,0)),""))</f>
        <v/>
      </c>
      <c r="T2387" s="31">
        <f>IF(OR(G2387="",F2387=""),"",IFERROR(INDEX(Config!$M$5:$R$16,MATCH(G2387,Config!$J$5:$J$16,0),MATCH(F2387,Config!$H$5:$H$10,0)),""))</f>
        <v/>
      </c>
      <c r="U2387" s="47">
        <f>IF(AND(H2387="Realizado",L2387&lt;&gt;""),L2387/60,0)</f>
        <v>0</v>
      </c>
      <c r="V2387" s="47">
        <f>IF(AND(H2387="Realizado",OR(L2387="",M2387="")),1,0)</f>
        <v>0</v>
      </c>
    </row>
    <row r="2388">
      <c r="A2388" s="43" t="n"/>
      <c r="B2388" s="44" t="n"/>
      <c r="C2388" s="38" t="n"/>
      <c r="D2388" s="38" t="n"/>
      <c r="E2388" s="37" t="n"/>
      <c r="F2388" s="38" t="n"/>
      <c r="G2388" s="38" t="n"/>
      <c r="H2388" s="38" t="n"/>
      <c r="I2388" s="38" t="n"/>
      <c r="J2388" s="38" t="n"/>
      <c r="K2388" s="37" t="n"/>
      <c r="L2388" s="39" t="n"/>
      <c r="M2388" s="40" t="n"/>
      <c r="N2388" s="30">
        <f>IF(A2388="","",MONTH(A2388))</f>
        <v/>
      </c>
      <c r="O2388" s="30">
        <f>IF(A2388="","",YEAR(A2388))</f>
        <v/>
      </c>
      <c r="P2388" s="30">
        <f>IF(A2388="","",CHOOSE(WEEKDAY(A2388,2),"Segunda","Terça","Quarta","Quinta","Sexta","Sábado","Domingo"))</f>
        <v/>
      </c>
      <c r="Q2388" s="30">
        <f>IF(B2388="","",IF(B2388&lt;TIME(12,0,0),"Manhã",IF(B2388&lt;TIME(18,0,0),"Tarde","Noite")))</f>
        <v/>
      </c>
      <c r="R2388" s="46">
        <f>IF(AND(H2388="Realizado",L2388&lt;&gt;"",A2388&lt;=Config!$B$9),L2388/60,0)</f>
        <v>0</v>
      </c>
      <c r="S2388" s="45">
        <f>IF(G2388="","",IFERROR(INDEX(Config!$K$5:$K$16,MATCH(G2388,Config!$J$5:$J$16,0)),""))</f>
        <v/>
      </c>
      <c r="T2388" s="31">
        <f>IF(OR(G2388="",F2388=""),"",IFERROR(INDEX(Config!$M$5:$R$16,MATCH(G2388,Config!$J$5:$J$16,0),MATCH(F2388,Config!$H$5:$H$10,0)),""))</f>
        <v/>
      </c>
      <c r="U2388" s="47">
        <f>IF(AND(H2388="Realizado",L2388&lt;&gt;""),L2388/60,0)</f>
        <v>0</v>
      </c>
      <c r="V2388" s="47">
        <f>IF(AND(H2388="Realizado",OR(L2388="",M2388="")),1,0)</f>
        <v>0</v>
      </c>
    </row>
    <row r="2389">
      <c r="A2389" s="43" t="n"/>
      <c r="B2389" s="44" t="n"/>
      <c r="C2389" s="38" t="n"/>
      <c r="D2389" s="38" t="n"/>
      <c r="E2389" s="37" t="n"/>
      <c r="F2389" s="38" t="n"/>
      <c r="G2389" s="38" t="n"/>
      <c r="H2389" s="38" t="n"/>
      <c r="I2389" s="38" t="n"/>
      <c r="J2389" s="38" t="n"/>
      <c r="K2389" s="37" t="n"/>
      <c r="L2389" s="39" t="n"/>
      <c r="M2389" s="40" t="n"/>
      <c r="N2389" s="30">
        <f>IF(A2389="","",MONTH(A2389))</f>
        <v/>
      </c>
      <c r="O2389" s="30">
        <f>IF(A2389="","",YEAR(A2389))</f>
        <v/>
      </c>
      <c r="P2389" s="30">
        <f>IF(A2389="","",CHOOSE(WEEKDAY(A2389,2),"Segunda","Terça","Quarta","Quinta","Sexta","Sábado","Domingo"))</f>
        <v/>
      </c>
      <c r="Q2389" s="30">
        <f>IF(B2389="","",IF(B2389&lt;TIME(12,0,0),"Manhã",IF(B2389&lt;TIME(18,0,0),"Tarde","Noite")))</f>
        <v/>
      </c>
      <c r="R2389" s="46">
        <f>IF(AND(H2389="Realizado",L2389&lt;&gt;"",A2389&lt;=Config!$B$9),L2389/60,0)</f>
        <v>0</v>
      </c>
      <c r="S2389" s="45">
        <f>IF(G2389="","",IFERROR(INDEX(Config!$K$5:$K$16,MATCH(G2389,Config!$J$5:$J$16,0)),""))</f>
        <v/>
      </c>
      <c r="T2389" s="31">
        <f>IF(OR(G2389="",F2389=""),"",IFERROR(INDEX(Config!$M$5:$R$16,MATCH(G2389,Config!$J$5:$J$16,0),MATCH(F2389,Config!$H$5:$H$10,0)),""))</f>
        <v/>
      </c>
      <c r="U2389" s="47">
        <f>IF(AND(H2389="Realizado",L2389&lt;&gt;""),L2389/60,0)</f>
        <v>0</v>
      </c>
      <c r="V2389" s="47">
        <f>IF(AND(H2389="Realizado",OR(L2389="",M2389="")),1,0)</f>
        <v>0</v>
      </c>
    </row>
    <row r="2390">
      <c r="A2390" s="43" t="n"/>
      <c r="B2390" s="44" t="n"/>
      <c r="C2390" s="38" t="n"/>
      <c r="D2390" s="38" t="n"/>
      <c r="E2390" s="37" t="n"/>
      <c r="F2390" s="38" t="n"/>
      <c r="G2390" s="38" t="n"/>
      <c r="H2390" s="38" t="n"/>
      <c r="I2390" s="38" t="n"/>
      <c r="J2390" s="38" t="n"/>
      <c r="K2390" s="37" t="n"/>
      <c r="L2390" s="39" t="n"/>
      <c r="M2390" s="40" t="n"/>
      <c r="N2390" s="30">
        <f>IF(A2390="","",MONTH(A2390))</f>
        <v/>
      </c>
      <c r="O2390" s="30">
        <f>IF(A2390="","",YEAR(A2390))</f>
        <v/>
      </c>
      <c r="P2390" s="30">
        <f>IF(A2390="","",CHOOSE(WEEKDAY(A2390,2),"Segunda","Terça","Quarta","Quinta","Sexta","Sábado","Domingo"))</f>
        <v/>
      </c>
      <c r="Q2390" s="30">
        <f>IF(B2390="","",IF(B2390&lt;TIME(12,0,0),"Manhã",IF(B2390&lt;TIME(18,0,0),"Tarde","Noite")))</f>
        <v/>
      </c>
      <c r="R2390" s="46">
        <f>IF(AND(H2390="Realizado",L2390&lt;&gt;"",A2390&lt;=Config!$B$9),L2390/60,0)</f>
        <v>0</v>
      </c>
      <c r="S2390" s="45">
        <f>IF(G2390="","",IFERROR(INDEX(Config!$K$5:$K$16,MATCH(G2390,Config!$J$5:$J$16,0)),""))</f>
        <v/>
      </c>
      <c r="T2390" s="31">
        <f>IF(OR(G2390="",F2390=""),"",IFERROR(INDEX(Config!$M$5:$R$16,MATCH(G2390,Config!$J$5:$J$16,0),MATCH(F2390,Config!$H$5:$H$10,0)),""))</f>
        <v/>
      </c>
      <c r="U2390" s="47">
        <f>IF(AND(H2390="Realizado",L2390&lt;&gt;""),L2390/60,0)</f>
        <v>0</v>
      </c>
      <c r="V2390" s="47">
        <f>IF(AND(H2390="Realizado",OR(L2390="",M2390="")),1,0)</f>
        <v>0</v>
      </c>
    </row>
    <row r="2391">
      <c r="A2391" s="43" t="n"/>
      <c r="B2391" s="44" t="n"/>
      <c r="C2391" s="38" t="n"/>
      <c r="D2391" s="38" t="n"/>
      <c r="E2391" s="37" t="n"/>
      <c r="F2391" s="38" t="n"/>
      <c r="G2391" s="38" t="n"/>
      <c r="H2391" s="38" t="n"/>
      <c r="I2391" s="38" t="n"/>
      <c r="J2391" s="38" t="n"/>
      <c r="K2391" s="37" t="n"/>
      <c r="L2391" s="39" t="n"/>
      <c r="M2391" s="40" t="n"/>
      <c r="N2391" s="30">
        <f>IF(A2391="","",MONTH(A2391))</f>
        <v/>
      </c>
      <c r="O2391" s="30">
        <f>IF(A2391="","",YEAR(A2391))</f>
        <v/>
      </c>
      <c r="P2391" s="30">
        <f>IF(A2391="","",CHOOSE(WEEKDAY(A2391,2),"Segunda","Terça","Quarta","Quinta","Sexta","Sábado","Domingo"))</f>
        <v/>
      </c>
      <c r="Q2391" s="30">
        <f>IF(B2391="","",IF(B2391&lt;TIME(12,0,0),"Manhã",IF(B2391&lt;TIME(18,0,0),"Tarde","Noite")))</f>
        <v/>
      </c>
      <c r="R2391" s="46">
        <f>IF(AND(H2391="Realizado",L2391&lt;&gt;"",A2391&lt;=Config!$B$9),L2391/60,0)</f>
        <v>0</v>
      </c>
      <c r="S2391" s="45">
        <f>IF(G2391="","",IFERROR(INDEX(Config!$K$5:$K$16,MATCH(G2391,Config!$J$5:$J$16,0)),""))</f>
        <v/>
      </c>
      <c r="T2391" s="31">
        <f>IF(OR(G2391="",F2391=""),"",IFERROR(INDEX(Config!$M$5:$R$16,MATCH(G2391,Config!$J$5:$J$16,0),MATCH(F2391,Config!$H$5:$H$10,0)),""))</f>
        <v/>
      </c>
      <c r="U2391" s="47">
        <f>IF(AND(H2391="Realizado",L2391&lt;&gt;""),L2391/60,0)</f>
        <v>0</v>
      </c>
      <c r="V2391" s="47">
        <f>IF(AND(H2391="Realizado",OR(L2391="",M2391="")),1,0)</f>
        <v>0</v>
      </c>
    </row>
    <row r="2392">
      <c r="A2392" s="43" t="n"/>
      <c r="B2392" s="44" t="n"/>
      <c r="C2392" s="38" t="n"/>
      <c r="D2392" s="38" t="n"/>
      <c r="E2392" s="37" t="n"/>
      <c r="F2392" s="38" t="n"/>
      <c r="G2392" s="38" t="n"/>
      <c r="H2392" s="38" t="n"/>
      <c r="I2392" s="38" t="n"/>
      <c r="J2392" s="38" t="n"/>
      <c r="K2392" s="37" t="n"/>
      <c r="L2392" s="39" t="n"/>
      <c r="M2392" s="40" t="n"/>
      <c r="N2392" s="30">
        <f>IF(A2392="","",MONTH(A2392))</f>
        <v/>
      </c>
      <c r="O2392" s="30">
        <f>IF(A2392="","",YEAR(A2392))</f>
        <v/>
      </c>
      <c r="P2392" s="30">
        <f>IF(A2392="","",CHOOSE(WEEKDAY(A2392,2),"Segunda","Terça","Quarta","Quinta","Sexta","Sábado","Domingo"))</f>
        <v/>
      </c>
      <c r="Q2392" s="30">
        <f>IF(B2392="","",IF(B2392&lt;TIME(12,0,0),"Manhã",IF(B2392&lt;TIME(18,0,0),"Tarde","Noite")))</f>
        <v/>
      </c>
      <c r="R2392" s="46">
        <f>IF(AND(H2392="Realizado",L2392&lt;&gt;"",A2392&lt;=Config!$B$9),L2392/60,0)</f>
        <v>0</v>
      </c>
      <c r="S2392" s="45">
        <f>IF(G2392="","",IFERROR(INDEX(Config!$K$5:$K$16,MATCH(G2392,Config!$J$5:$J$16,0)),""))</f>
        <v/>
      </c>
      <c r="T2392" s="31">
        <f>IF(OR(G2392="",F2392=""),"",IFERROR(INDEX(Config!$M$5:$R$16,MATCH(G2392,Config!$J$5:$J$16,0),MATCH(F2392,Config!$H$5:$H$10,0)),""))</f>
        <v/>
      </c>
      <c r="U2392" s="47">
        <f>IF(AND(H2392="Realizado",L2392&lt;&gt;""),L2392/60,0)</f>
        <v>0</v>
      </c>
      <c r="V2392" s="47">
        <f>IF(AND(H2392="Realizado",OR(L2392="",M2392="")),1,0)</f>
        <v>0</v>
      </c>
    </row>
    <row r="2393">
      <c r="A2393" s="43" t="n"/>
      <c r="B2393" s="44" t="n"/>
      <c r="C2393" s="38" t="n"/>
      <c r="D2393" s="38" t="n"/>
      <c r="E2393" s="37" t="n"/>
      <c r="F2393" s="38" t="n"/>
      <c r="G2393" s="38" t="n"/>
      <c r="H2393" s="38" t="n"/>
      <c r="I2393" s="38" t="n"/>
      <c r="J2393" s="38" t="n"/>
      <c r="K2393" s="37" t="n"/>
      <c r="L2393" s="39" t="n"/>
      <c r="M2393" s="40" t="n"/>
      <c r="N2393" s="30">
        <f>IF(A2393="","",MONTH(A2393))</f>
        <v/>
      </c>
      <c r="O2393" s="30">
        <f>IF(A2393="","",YEAR(A2393))</f>
        <v/>
      </c>
      <c r="P2393" s="30">
        <f>IF(A2393="","",CHOOSE(WEEKDAY(A2393,2),"Segunda","Terça","Quarta","Quinta","Sexta","Sábado","Domingo"))</f>
        <v/>
      </c>
      <c r="Q2393" s="30">
        <f>IF(B2393="","",IF(B2393&lt;TIME(12,0,0),"Manhã",IF(B2393&lt;TIME(18,0,0),"Tarde","Noite")))</f>
        <v/>
      </c>
      <c r="R2393" s="46">
        <f>IF(AND(H2393="Realizado",L2393&lt;&gt;"",A2393&lt;=Config!$B$9),L2393/60,0)</f>
        <v>0</v>
      </c>
      <c r="S2393" s="45">
        <f>IF(G2393="","",IFERROR(INDEX(Config!$K$5:$K$16,MATCH(G2393,Config!$J$5:$J$16,0)),""))</f>
        <v/>
      </c>
      <c r="T2393" s="31">
        <f>IF(OR(G2393="",F2393=""),"",IFERROR(INDEX(Config!$M$5:$R$16,MATCH(G2393,Config!$J$5:$J$16,0),MATCH(F2393,Config!$H$5:$H$10,0)),""))</f>
        <v/>
      </c>
      <c r="U2393" s="47">
        <f>IF(AND(H2393="Realizado",L2393&lt;&gt;""),L2393/60,0)</f>
        <v>0</v>
      </c>
      <c r="V2393" s="47">
        <f>IF(AND(H2393="Realizado",OR(L2393="",M2393="")),1,0)</f>
        <v>0</v>
      </c>
    </row>
    <row r="2394">
      <c r="A2394" s="43" t="n"/>
      <c r="B2394" s="44" t="n"/>
      <c r="C2394" s="38" t="n"/>
      <c r="D2394" s="38" t="n"/>
      <c r="E2394" s="37" t="n"/>
      <c r="F2394" s="38" t="n"/>
      <c r="G2394" s="38" t="n"/>
      <c r="H2394" s="38" t="n"/>
      <c r="I2394" s="38" t="n"/>
      <c r="J2394" s="38" t="n"/>
      <c r="K2394" s="37" t="n"/>
      <c r="L2394" s="39" t="n"/>
      <c r="M2394" s="40" t="n"/>
      <c r="N2394" s="30">
        <f>IF(A2394="","",MONTH(A2394))</f>
        <v/>
      </c>
      <c r="O2394" s="30">
        <f>IF(A2394="","",YEAR(A2394))</f>
        <v/>
      </c>
      <c r="P2394" s="30">
        <f>IF(A2394="","",CHOOSE(WEEKDAY(A2394,2),"Segunda","Terça","Quarta","Quinta","Sexta","Sábado","Domingo"))</f>
        <v/>
      </c>
      <c r="Q2394" s="30">
        <f>IF(B2394="","",IF(B2394&lt;TIME(12,0,0),"Manhã",IF(B2394&lt;TIME(18,0,0),"Tarde","Noite")))</f>
        <v/>
      </c>
      <c r="R2394" s="46">
        <f>IF(AND(H2394="Realizado",L2394&lt;&gt;"",A2394&lt;=Config!$B$9),L2394/60,0)</f>
        <v>0</v>
      </c>
      <c r="S2394" s="45">
        <f>IF(G2394="","",IFERROR(INDEX(Config!$K$5:$K$16,MATCH(G2394,Config!$J$5:$J$16,0)),""))</f>
        <v/>
      </c>
      <c r="T2394" s="31">
        <f>IF(OR(G2394="",F2394=""),"",IFERROR(INDEX(Config!$M$5:$R$16,MATCH(G2394,Config!$J$5:$J$16,0),MATCH(F2394,Config!$H$5:$H$10,0)),""))</f>
        <v/>
      </c>
      <c r="U2394" s="47">
        <f>IF(AND(H2394="Realizado",L2394&lt;&gt;""),L2394/60,0)</f>
        <v>0</v>
      </c>
      <c r="V2394" s="47">
        <f>IF(AND(H2394="Realizado",OR(L2394="",M2394="")),1,0)</f>
        <v>0</v>
      </c>
    </row>
    <row r="2395">
      <c r="A2395" s="43" t="n"/>
      <c r="B2395" s="44" t="n"/>
      <c r="C2395" s="38" t="n"/>
      <c r="D2395" s="38" t="n"/>
      <c r="E2395" s="37" t="n"/>
      <c r="F2395" s="38" t="n"/>
      <c r="G2395" s="38" t="n"/>
      <c r="H2395" s="38" t="n"/>
      <c r="I2395" s="38" t="n"/>
      <c r="J2395" s="38" t="n"/>
      <c r="K2395" s="37" t="n"/>
      <c r="L2395" s="39" t="n"/>
      <c r="M2395" s="40" t="n"/>
      <c r="N2395" s="30">
        <f>IF(A2395="","",MONTH(A2395))</f>
        <v/>
      </c>
      <c r="O2395" s="30">
        <f>IF(A2395="","",YEAR(A2395))</f>
        <v/>
      </c>
      <c r="P2395" s="30">
        <f>IF(A2395="","",CHOOSE(WEEKDAY(A2395,2),"Segunda","Terça","Quarta","Quinta","Sexta","Sábado","Domingo"))</f>
        <v/>
      </c>
      <c r="Q2395" s="30">
        <f>IF(B2395="","",IF(B2395&lt;TIME(12,0,0),"Manhã",IF(B2395&lt;TIME(18,0,0),"Tarde","Noite")))</f>
        <v/>
      </c>
      <c r="R2395" s="46">
        <f>IF(AND(H2395="Realizado",L2395&lt;&gt;"",A2395&lt;=Config!$B$9),L2395/60,0)</f>
        <v>0</v>
      </c>
      <c r="S2395" s="45">
        <f>IF(G2395="","",IFERROR(INDEX(Config!$K$5:$K$16,MATCH(G2395,Config!$J$5:$J$16,0)),""))</f>
        <v/>
      </c>
      <c r="T2395" s="31">
        <f>IF(OR(G2395="",F2395=""),"",IFERROR(INDEX(Config!$M$5:$R$16,MATCH(G2395,Config!$J$5:$J$16,0),MATCH(F2395,Config!$H$5:$H$10,0)),""))</f>
        <v/>
      </c>
      <c r="U2395" s="47">
        <f>IF(AND(H2395="Realizado",L2395&lt;&gt;""),L2395/60,0)</f>
        <v>0</v>
      </c>
      <c r="V2395" s="47">
        <f>IF(AND(H2395="Realizado",OR(L2395="",M2395="")),1,0)</f>
        <v>0</v>
      </c>
    </row>
    <row r="2396">
      <c r="A2396" s="43" t="n"/>
      <c r="B2396" s="44" t="n"/>
      <c r="C2396" s="38" t="n"/>
      <c r="D2396" s="38" t="n"/>
      <c r="E2396" s="37" t="n"/>
      <c r="F2396" s="38" t="n"/>
      <c r="G2396" s="38" t="n"/>
      <c r="H2396" s="38" t="n"/>
      <c r="I2396" s="38" t="n"/>
      <c r="J2396" s="38" t="n"/>
      <c r="K2396" s="37" t="n"/>
      <c r="L2396" s="39" t="n"/>
      <c r="M2396" s="40" t="n"/>
      <c r="N2396" s="30">
        <f>IF(A2396="","",MONTH(A2396))</f>
        <v/>
      </c>
      <c r="O2396" s="30">
        <f>IF(A2396="","",YEAR(A2396))</f>
        <v/>
      </c>
      <c r="P2396" s="30">
        <f>IF(A2396="","",CHOOSE(WEEKDAY(A2396,2),"Segunda","Terça","Quarta","Quinta","Sexta","Sábado","Domingo"))</f>
        <v/>
      </c>
      <c r="Q2396" s="30">
        <f>IF(B2396="","",IF(B2396&lt;TIME(12,0,0),"Manhã",IF(B2396&lt;TIME(18,0,0),"Tarde","Noite")))</f>
        <v/>
      </c>
      <c r="R2396" s="46">
        <f>IF(AND(H2396="Realizado",L2396&lt;&gt;"",A2396&lt;=Config!$B$9),L2396/60,0)</f>
        <v>0</v>
      </c>
      <c r="S2396" s="45">
        <f>IF(G2396="","",IFERROR(INDEX(Config!$K$5:$K$16,MATCH(G2396,Config!$J$5:$J$16,0)),""))</f>
        <v/>
      </c>
      <c r="T2396" s="31">
        <f>IF(OR(G2396="",F2396=""),"",IFERROR(INDEX(Config!$M$5:$R$16,MATCH(G2396,Config!$J$5:$J$16,0),MATCH(F2396,Config!$H$5:$H$10,0)),""))</f>
        <v/>
      </c>
      <c r="U2396" s="47">
        <f>IF(AND(H2396="Realizado",L2396&lt;&gt;""),L2396/60,0)</f>
        <v>0</v>
      </c>
      <c r="V2396" s="47">
        <f>IF(AND(H2396="Realizado",OR(L2396="",M2396="")),1,0)</f>
        <v>0</v>
      </c>
    </row>
    <row r="2397">
      <c r="A2397" s="43" t="n"/>
      <c r="B2397" s="44" t="n"/>
      <c r="C2397" s="38" t="n"/>
      <c r="D2397" s="38" t="n"/>
      <c r="E2397" s="37" t="n"/>
      <c r="F2397" s="38" t="n"/>
      <c r="G2397" s="38" t="n"/>
      <c r="H2397" s="38" t="n"/>
      <c r="I2397" s="38" t="n"/>
      <c r="J2397" s="38" t="n"/>
      <c r="K2397" s="37" t="n"/>
      <c r="L2397" s="39" t="n"/>
      <c r="M2397" s="40" t="n"/>
      <c r="N2397" s="30">
        <f>IF(A2397="","",MONTH(A2397))</f>
        <v/>
      </c>
      <c r="O2397" s="30">
        <f>IF(A2397="","",YEAR(A2397))</f>
        <v/>
      </c>
      <c r="P2397" s="30">
        <f>IF(A2397="","",CHOOSE(WEEKDAY(A2397,2),"Segunda","Terça","Quarta","Quinta","Sexta","Sábado","Domingo"))</f>
        <v/>
      </c>
      <c r="Q2397" s="30">
        <f>IF(B2397="","",IF(B2397&lt;TIME(12,0,0),"Manhã",IF(B2397&lt;TIME(18,0,0),"Tarde","Noite")))</f>
        <v/>
      </c>
      <c r="R2397" s="46">
        <f>IF(AND(H2397="Realizado",L2397&lt;&gt;"",A2397&lt;=Config!$B$9),L2397/60,0)</f>
        <v>0</v>
      </c>
      <c r="S2397" s="45">
        <f>IF(G2397="","",IFERROR(INDEX(Config!$K$5:$K$16,MATCH(G2397,Config!$J$5:$J$16,0)),""))</f>
        <v/>
      </c>
      <c r="T2397" s="31">
        <f>IF(OR(G2397="",F2397=""),"",IFERROR(INDEX(Config!$M$5:$R$16,MATCH(G2397,Config!$J$5:$J$16,0),MATCH(F2397,Config!$H$5:$H$10,0)),""))</f>
        <v/>
      </c>
      <c r="U2397" s="47">
        <f>IF(AND(H2397="Realizado",L2397&lt;&gt;""),L2397/60,0)</f>
        <v>0</v>
      </c>
      <c r="V2397" s="47">
        <f>IF(AND(H2397="Realizado",OR(L2397="",M2397="")),1,0)</f>
        <v>0</v>
      </c>
    </row>
    <row r="2398">
      <c r="A2398" s="43" t="n"/>
      <c r="B2398" s="44" t="n"/>
      <c r="C2398" s="38" t="n"/>
      <c r="D2398" s="38" t="n"/>
      <c r="E2398" s="37" t="n"/>
      <c r="F2398" s="38" t="n"/>
      <c r="G2398" s="38" t="n"/>
      <c r="H2398" s="38" t="n"/>
      <c r="I2398" s="38" t="n"/>
      <c r="J2398" s="38" t="n"/>
      <c r="K2398" s="37" t="n"/>
      <c r="L2398" s="39" t="n"/>
      <c r="M2398" s="40" t="n"/>
      <c r="N2398" s="30">
        <f>IF(A2398="","",MONTH(A2398))</f>
        <v/>
      </c>
      <c r="O2398" s="30">
        <f>IF(A2398="","",YEAR(A2398))</f>
        <v/>
      </c>
      <c r="P2398" s="30">
        <f>IF(A2398="","",CHOOSE(WEEKDAY(A2398,2),"Segunda","Terça","Quarta","Quinta","Sexta","Sábado","Domingo"))</f>
        <v/>
      </c>
      <c r="Q2398" s="30">
        <f>IF(B2398="","",IF(B2398&lt;TIME(12,0,0),"Manhã",IF(B2398&lt;TIME(18,0,0),"Tarde","Noite")))</f>
        <v/>
      </c>
      <c r="R2398" s="46">
        <f>IF(AND(H2398="Realizado",L2398&lt;&gt;"",A2398&lt;=Config!$B$9),L2398/60,0)</f>
        <v>0</v>
      </c>
      <c r="S2398" s="45">
        <f>IF(G2398="","",IFERROR(INDEX(Config!$K$5:$K$16,MATCH(G2398,Config!$J$5:$J$16,0)),""))</f>
        <v/>
      </c>
      <c r="T2398" s="31">
        <f>IF(OR(G2398="",F2398=""),"",IFERROR(INDEX(Config!$M$5:$R$16,MATCH(G2398,Config!$J$5:$J$16,0),MATCH(F2398,Config!$H$5:$H$10,0)),""))</f>
        <v/>
      </c>
      <c r="U2398" s="47">
        <f>IF(AND(H2398="Realizado",L2398&lt;&gt;""),L2398/60,0)</f>
        <v>0</v>
      </c>
      <c r="V2398" s="47">
        <f>IF(AND(H2398="Realizado",OR(L2398="",M2398="")),1,0)</f>
        <v>0</v>
      </c>
    </row>
    <row r="2399">
      <c r="A2399" s="43" t="n"/>
      <c r="B2399" s="44" t="n"/>
      <c r="C2399" s="38" t="n"/>
      <c r="D2399" s="38" t="n"/>
      <c r="E2399" s="37" t="n"/>
      <c r="F2399" s="38" t="n"/>
      <c r="G2399" s="38" t="n"/>
      <c r="H2399" s="38" t="n"/>
      <c r="I2399" s="38" t="n"/>
      <c r="J2399" s="38" t="n"/>
      <c r="K2399" s="37" t="n"/>
      <c r="L2399" s="39" t="n"/>
      <c r="M2399" s="40" t="n"/>
      <c r="N2399" s="30">
        <f>IF(A2399="","",MONTH(A2399))</f>
        <v/>
      </c>
      <c r="O2399" s="30">
        <f>IF(A2399="","",YEAR(A2399))</f>
        <v/>
      </c>
      <c r="P2399" s="30">
        <f>IF(A2399="","",CHOOSE(WEEKDAY(A2399,2),"Segunda","Terça","Quarta","Quinta","Sexta","Sábado","Domingo"))</f>
        <v/>
      </c>
      <c r="Q2399" s="30">
        <f>IF(B2399="","",IF(B2399&lt;TIME(12,0,0),"Manhã",IF(B2399&lt;TIME(18,0,0),"Tarde","Noite")))</f>
        <v/>
      </c>
      <c r="R2399" s="46">
        <f>IF(AND(H2399="Realizado",L2399&lt;&gt;"",A2399&lt;=Config!$B$9),L2399/60,0)</f>
        <v>0</v>
      </c>
      <c r="S2399" s="45">
        <f>IF(G2399="","",IFERROR(INDEX(Config!$K$5:$K$16,MATCH(G2399,Config!$J$5:$J$16,0)),""))</f>
        <v/>
      </c>
      <c r="T2399" s="31">
        <f>IF(OR(G2399="",F2399=""),"",IFERROR(INDEX(Config!$M$5:$R$16,MATCH(G2399,Config!$J$5:$J$16,0),MATCH(F2399,Config!$H$5:$H$10,0)),""))</f>
        <v/>
      </c>
      <c r="U2399" s="47">
        <f>IF(AND(H2399="Realizado",L2399&lt;&gt;""),L2399/60,0)</f>
        <v>0</v>
      </c>
      <c r="V2399" s="47">
        <f>IF(AND(H2399="Realizado",OR(L2399="",M2399="")),1,0)</f>
        <v>0</v>
      </c>
    </row>
    <row r="2400">
      <c r="A2400" s="43" t="n"/>
      <c r="B2400" s="44" t="n"/>
      <c r="C2400" s="38" t="n"/>
      <c r="D2400" s="38" t="n"/>
      <c r="E2400" s="37" t="n"/>
      <c r="F2400" s="38" t="n"/>
      <c r="G2400" s="38" t="n"/>
      <c r="H2400" s="38" t="n"/>
      <c r="I2400" s="38" t="n"/>
      <c r="J2400" s="38" t="n"/>
      <c r="K2400" s="37" t="n"/>
      <c r="L2400" s="39" t="n"/>
      <c r="M2400" s="40" t="n"/>
      <c r="N2400" s="30">
        <f>IF(A2400="","",MONTH(A2400))</f>
        <v/>
      </c>
      <c r="O2400" s="30">
        <f>IF(A2400="","",YEAR(A2400))</f>
        <v/>
      </c>
      <c r="P2400" s="30">
        <f>IF(A2400="","",CHOOSE(WEEKDAY(A2400,2),"Segunda","Terça","Quarta","Quinta","Sexta","Sábado","Domingo"))</f>
        <v/>
      </c>
      <c r="Q2400" s="30">
        <f>IF(B2400="","",IF(B2400&lt;TIME(12,0,0),"Manhã",IF(B2400&lt;TIME(18,0,0),"Tarde","Noite")))</f>
        <v/>
      </c>
      <c r="R2400" s="46">
        <f>IF(AND(H2400="Realizado",L2400&lt;&gt;"",A2400&lt;=Config!$B$9),L2400/60,0)</f>
        <v>0</v>
      </c>
      <c r="S2400" s="45">
        <f>IF(G2400="","",IFERROR(INDEX(Config!$K$5:$K$16,MATCH(G2400,Config!$J$5:$J$16,0)),""))</f>
        <v/>
      </c>
      <c r="T2400" s="31">
        <f>IF(OR(G2400="",F2400=""),"",IFERROR(INDEX(Config!$M$5:$R$16,MATCH(G2400,Config!$J$5:$J$16,0),MATCH(F2400,Config!$H$5:$H$10,0)),""))</f>
        <v/>
      </c>
      <c r="U2400" s="47">
        <f>IF(AND(H2400="Realizado",L2400&lt;&gt;""),L2400/60,0)</f>
        <v>0</v>
      </c>
      <c r="V2400" s="47">
        <f>IF(AND(H2400="Realizado",OR(L2400="",M2400="")),1,0)</f>
        <v>0</v>
      </c>
    </row>
    <row r="2401">
      <c r="A2401" s="43" t="n"/>
      <c r="B2401" s="44" t="n"/>
      <c r="C2401" s="38" t="n"/>
      <c r="D2401" s="38" t="n"/>
      <c r="E2401" s="37" t="n"/>
      <c r="F2401" s="38" t="n"/>
      <c r="G2401" s="38" t="n"/>
      <c r="H2401" s="38" t="n"/>
      <c r="I2401" s="38" t="n"/>
      <c r="J2401" s="38" t="n"/>
      <c r="K2401" s="37" t="n"/>
      <c r="L2401" s="39" t="n"/>
      <c r="M2401" s="40" t="n"/>
      <c r="N2401" s="30">
        <f>IF(A2401="","",MONTH(A2401))</f>
        <v/>
      </c>
      <c r="O2401" s="30">
        <f>IF(A2401="","",YEAR(A2401))</f>
        <v/>
      </c>
      <c r="P2401" s="30">
        <f>IF(A2401="","",CHOOSE(WEEKDAY(A2401,2),"Segunda","Terça","Quarta","Quinta","Sexta","Sábado","Domingo"))</f>
        <v/>
      </c>
      <c r="Q2401" s="30">
        <f>IF(B2401="","",IF(B2401&lt;TIME(12,0,0),"Manhã",IF(B2401&lt;TIME(18,0,0),"Tarde","Noite")))</f>
        <v/>
      </c>
      <c r="R2401" s="46">
        <f>IF(AND(H2401="Realizado",L2401&lt;&gt;"",A2401&lt;=Config!$B$9),L2401/60,0)</f>
        <v>0</v>
      </c>
      <c r="S2401" s="45">
        <f>IF(G2401="","",IFERROR(INDEX(Config!$K$5:$K$16,MATCH(G2401,Config!$J$5:$J$16,0)),""))</f>
        <v/>
      </c>
      <c r="T2401" s="31">
        <f>IF(OR(G2401="",F2401=""),"",IFERROR(INDEX(Config!$M$5:$R$16,MATCH(G2401,Config!$J$5:$J$16,0),MATCH(F2401,Config!$H$5:$H$10,0)),""))</f>
        <v/>
      </c>
      <c r="U2401" s="47">
        <f>IF(AND(H2401="Realizado",L2401&lt;&gt;""),L2401/60,0)</f>
        <v>0</v>
      </c>
      <c r="V2401" s="47">
        <f>IF(AND(H2401="Realizado",OR(L2401="",M2401="")),1,0)</f>
        <v>0</v>
      </c>
    </row>
    <row r="2402">
      <c r="A2402" s="43" t="n"/>
      <c r="B2402" s="44" t="n"/>
      <c r="C2402" s="38" t="n"/>
      <c r="D2402" s="38" t="n"/>
      <c r="E2402" s="37" t="n"/>
      <c r="F2402" s="38" t="n"/>
      <c r="G2402" s="38" t="n"/>
      <c r="H2402" s="38" t="n"/>
      <c r="I2402" s="38" t="n"/>
      <c r="J2402" s="38" t="n"/>
      <c r="K2402" s="37" t="n"/>
      <c r="L2402" s="39" t="n"/>
      <c r="M2402" s="40" t="n"/>
      <c r="N2402" s="30">
        <f>IF(A2402="","",MONTH(A2402))</f>
        <v/>
      </c>
      <c r="O2402" s="30">
        <f>IF(A2402="","",YEAR(A2402))</f>
        <v/>
      </c>
      <c r="P2402" s="30">
        <f>IF(A2402="","",CHOOSE(WEEKDAY(A2402,2),"Segunda","Terça","Quarta","Quinta","Sexta","Sábado","Domingo"))</f>
        <v/>
      </c>
      <c r="Q2402" s="30">
        <f>IF(B2402="","",IF(B2402&lt;TIME(12,0,0),"Manhã",IF(B2402&lt;TIME(18,0,0),"Tarde","Noite")))</f>
        <v/>
      </c>
      <c r="R2402" s="46">
        <f>IF(AND(H2402="Realizado",L2402&lt;&gt;"",A2402&lt;=Config!$B$9),L2402/60,0)</f>
        <v>0</v>
      </c>
      <c r="S2402" s="45">
        <f>IF(G2402="","",IFERROR(INDEX(Config!$K$5:$K$16,MATCH(G2402,Config!$J$5:$J$16,0)),""))</f>
        <v/>
      </c>
      <c r="T2402" s="31">
        <f>IF(OR(G2402="",F2402=""),"",IFERROR(INDEX(Config!$M$5:$R$16,MATCH(G2402,Config!$J$5:$J$16,0),MATCH(F2402,Config!$H$5:$H$10,0)),""))</f>
        <v/>
      </c>
      <c r="U2402" s="47">
        <f>IF(AND(H2402="Realizado",L2402&lt;&gt;""),L2402/60,0)</f>
        <v>0</v>
      </c>
      <c r="V2402" s="47">
        <f>IF(AND(H2402="Realizado",OR(L2402="",M2402="")),1,0)</f>
        <v>0</v>
      </c>
    </row>
    <row r="2403">
      <c r="A2403" s="43" t="n"/>
      <c r="B2403" s="44" t="n"/>
      <c r="C2403" s="38" t="n"/>
      <c r="D2403" s="38" t="n"/>
      <c r="E2403" s="37" t="n"/>
      <c r="F2403" s="38" t="n"/>
      <c r="G2403" s="38" t="n"/>
      <c r="H2403" s="38" t="n"/>
      <c r="I2403" s="38" t="n"/>
      <c r="J2403" s="38" t="n"/>
      <c r="K2403" s="37" t="n"/>
      <c r="L2403" s="39" t="n"/>
      <c r="M2403" s="40" t="n"/>
      <c r="N2403" s="30">
        <f>IF(A2403="","",MONTH(A2403))</f>
        <v/>
      </c>
      <c r="O2403" s="30">
        <f>IF(A2403="","",YEAR(A2403))</f>
        <v/>
      </c>
      <c r="P2403" s="30">
        <f>IF(A2403="","",CHOOSE(WEEKDAY(A2403,2),"Segunda","Terça","Quarta","Quinta","Sexta","Sábado","Domingo"))</f>
        <v/>
      </c>
      <c r="Q2403" s="30">
        <f>IF(B2403="","",IF(B2403&lt;TIME(12,0,0),"Manhã",IF(B2403&lt;TIME(18,0,0),"Tarde","Noite")))</f>
        <v/>
      </c>
      <c r="R2403" s="46">
        <f>IF(AND(H2403="Realizado",L2403&lt;&gt;"",A2403&lt;=Config!$B$9),L2403/60,0)</f>
        <v>0</v>
      </c>
      <c r="S2403" s="45">
        <f>IF(G2403="","",IFERROR(INDEX(Config!$K$5:$K$16,MATCH(G2403,Config!$J$5:$J$16,0)),""))</f>
        <v/>
      </c>
      <c r="T2403" s="31">
        <f>IF(OR(G2403="",F2403=""),"",IFERROR(INDEX(Config!$M$5:$R$16,MATCH(G2403,Config!$J$5:$J$16,0),MATCH(F2403,Config!$H$5:$H$10,0)),""))</f>
        <v/>
      </c>
      <c r="U2403" s="47">
        <f>IF(AND(H2403="Realizado",L2403&lt;&gt;""),L2403/60,0)</f>
        <v>0</v>
      </c>
      <c r="V2403" s="47">
        <f>IF(AND(H2403="Realizado",OR(L2403="",M2403="")),1,0)</f>
        <v>0</v>
      </c>
    </row>
    <row r="2404">
      <c r="A2404" s="43" t="n"/>
      <c r="B2404" s="44" t="n"/>
      <c r="C2404" s="38" t="n"/>
      <c r="D2404" s="38" t="n"/>
      <c r="E2404" s="37" t="n"/>
      <c r="F2404" s="38" t="n"/>
      <c r="G2404" s="38" t="n"/>
      <c r="H2404" s="38" t="n"/>
      <c r="I2404" s="38" t="n"/>
      <c r="J2404" s="38" t="n"/>
      <c r="K2404" s="37" t="n"/>
      <c r="L2404" s="39" t="n"/>
      <c r="M2404" s="40" t="n"/>
      <c r="N2404" s="30">
        <f>IF(A2404="","",MONTH(A2404))</f>
        <v/>
      </c>
      <c r="O2404" s="30">
        <f>IF(A2404="","",YEAR(A2404))</f>
        <v/>
      </c>
      <c r="P2404" s="30">
        <f>IF(A2404="","",CHOOSE(WEEKDAY(A2404,2),"Segunda","Terça","Quarta","Quinta","Sexta","Sábado","Domingo"))</f>
        <v/>
      </c>
      <c r="Q2404" s="30">
        <f>IF(B2404="","",IF(B2404&lt;TIME(12,0,0),"Manhã",IF(B2404&lt;TIME(18,0,0),"Tarde","Noite")))</f>
        <v/>
      </c>
      <c r="R2404" s="46">
        <f>IF(AND(H2404="Realizado",L2404&lt;&gt;"",A2404&lt;=Config!$B$9),L2404/60,0)</f>
        <v>0</v>
      </c>
      <c r="S2404" s="45">
        <f>IF(G2404="","",IFERROR(INDEX(Config!$K$5:$K$16,MATCH(G2404,Config!$J$5:$J$16,0)),""))</f>
        <v/>
      </c>
      <c r="T2404" s="31">
        <f>IF(OR(G2404="",F2404=""),"",IFERROR(INDEX(Config!$M$5:$R$16,MATCH(G2404,Config!$J$5:$J$16,0),MATCH(F2404,Config!$H$5:$H$10,0)),""))</f>
        <v/>
      </c>
      <c r="U2404" s="47">
        <f>IF(AND(H2404="Realizado",L2404&lt;&gt;""),L2404/60,0)</f>
        <v>0</v>
      </c>
      <c r="V2404" s="47">
        <f>IF(AND(H2404="Realizado",OR(L2404="",M2404="")),1,0)</f>
        <v>0</v>
      </c>
    </row>
    <row r="2405">
      <c r="A2405" s="43" t="n"/>
      <c r="B2405" s="44" t="n"/>
      <c r="C2405" s="38" t="n"/>
      <c r="D2405" s="38" t="n"/>
      <c r="E2405" s="37" t="n"/>
      <c r="F2405" s="38" t="n"/>
      <c r="G2405" s="38" t="n"/>
      <c r="H2405" s="38" t="n"/>
      <c r="I2405" s="38" t="n"/>
      <c r="J2405" s="38" t="n"/>
      <c r="K2405" s="37" t="n"/>
      <c r="L2405" s="39" t="n"/>
      <c r="M2405" s="40" t="n"/>
      <c r="N2405" s="30">
        <f>IF(A2405="","",MONTH(A2405))</f>
        <v/>
      </c>
      <c r="O2405" s="30">
        <f>IF(A2405="","",YEAR(A2405))</f>
        <v/>
      </c>
      <c r="P2405" s="30">
        <f>IF(A2405="","",CHOOSE(WEEKDAY(A2405,2),"Segunda","Terça","Quarta","Quinta","Sexta","Sábado","Domingo"))</f>
        <v/>
      </c>
      <c r="Q2405" s="30">
        <f>IF(B2405="","",IF(B2405&lt;TIME(12,0,0),"Manhã",IF(B2405&lt;TIME(18,0,0),"Tarde","Noite")))</f>
        <v/>
      </c>
      <c r="R2405" s="46">
        <f>IF(AND(H2405="Realizado",L2405&lt;&gt;"",A2405&lt;=Config!$B$9),L2405/60,0)</f>
        <v>0</v>
      </c>
      <c r="S2405" s="45">
        <f>IF(G2405="","",IFERROR(INDEX(Config!$K$5:$K$16,MATCH(G2405,Config!$J$5:$J$16,0)),""))</f>
        <v/>
      </c>
      <c r="T2405" s="31">
        <f>IF(OR(G2405="",F2405=""),"",IFERROR(INDEX(Config!$M$5:$R$16,MATCH(G2405,Config!$J$5:$J$16,0),MATCH(F2405,Config!$H$5:$H$10,0)),""))</f>
        <v/>
      </c>
      <c r="U2405" s="47">
        <f>IF(AND(H2405="Realizado",L2405&lt;&gt;""),L2405/60,0)</f>
        <v>0</v>
      </c>
      <c r="V2405" s="47">
        <f>IF(AND(H2405="Realizado",OR(L2405="",M2405="")),1,0)</f>
        <v>0</v>
      </c>
    </row>
    <row r="2406">
      <c r="A2406" s="43" t="n"/>
      <c r="B2406" s="44" t="n"/>
      <c r="C2406" s="38" t="n"/>
      <c r="D2406" s="38" t="n"/>
      <c r="E2406" s="37" t="n"/>
      <c r="F2406" s="38" t="n"/>
      <c r="G2406" s="38" t="n"/>
      <c r="H2406" s="38" t="n"/>
      <c r="I2406" s="38" t="n"/>
      <c r="J2406" s="38" t="n"/>
      <c r="K2406" s="37" t="n"/>
      <c r="L2406" s="39" t="n"/>
      <c r="M2406" s="40" t="n"/>
      <c r="N2406" s="30">
        <f>IF(A2406="","",MONTH(A2406))</f>
        <v/>
      </c>
      <c r="O2406" s="30">
        <f>IF(A2406="","",YEAR(A2406))</f>
        <v/>
      </c>
      <c r="P2406" s="30">
        <f>IF(A2406="","",CHOOSE(WEEKDAY(A2406,2),"Segunda","Terça","Quarta","Quinta","Sexta","Sábado","Domingo"))</f>
        <v/>
      </c>
      <c r="Q2406" s="30">
        <f>IF(B2406="","",IF(B2406&lt;TIME(12,0,0),"Manhã",IF(B2406&lt;TIME(18,0,0),"Tarde","Noite")))</f>
        <v/>
      </c>
      <c r="R2406" s="46">
        <f>IF(AND(H2406="Realizado",L2406&lt;&gt;"",A2406&lt;=Config!$B$9),L2406/60,0)</f>
        <v>0</v>
      </c>
      <c r="S2406" s="45">
        <f>IF(G2406="","",IFERROR(INDEX(Config!$K$5:$K$16,MATCH(G2406,Config!$J$5:$J$16,0)),""))</f>
        <v/>
      </c>
      <c r="T2406" s="31">
        <f>IF(OR(G2406="",F2406=""),"",IFERROR(INDEX(Config!$M$5:$R$16,MATCH(G2406,Config!$J$5:$J$16,0),MATCH(F2406,Config!$H$5:$H$10,0)),""))</f>
        <v/>
      </c>
      <c r="U2406" s="47">
        <f>IF(AND(H2406="Realizado",L2406&lt;&gt;""),L2406/60,0)</f>
        <v>0</v>
      </c>
      <c r="V2406" s="47">
        <f>IF(AND(H2406="Realizado",OR(L2406="",M2406="")),1,0)</f>
        <v>0</v>
      </c>
    </row>
    <row r="2407">
      <c r="A2407" s="43" t="n"/>
      <c r="B2407" s="44" t="n"/>
      <c r="C2407" s="38" t="n"/>
      <c r="D2407" s="38" t="n"/>
      <c r="E2407" s="37" t="n"/>
      <c r="F2407" s="38" t="n"/>
      <c r="G2407" s="38" t="n"/>
      <c r="H2407" s="38" t="n"/>
      <c r="I2407" s="38" t="n"/>
      <c r="J2407" s="38" t="n"/>
      <c r="K2407" s="37" t="n"/>
      <c r="L2407" s="39" t="n"/>
      <c r="M2407" s="40" t="n"/>
      <c r="N2407" s="30">
        <f>IF(A2407="","",MONTH(A2407))</f>
        <v/>
      </c>
      <c r="O2407" s="30">
        <f>IF(A2407="","",YEAR(A2407))</f>
        <v/>
      </c>
      <c r="P2407" s="30">
        <f>IF(A2407="","",CHOOSE(WEEKDAY(A2407,2),"Segunda","Terça","Quarta","Quinta","Sexta","Sábado","Domingo"))</f>
        <v/>
      </c>
      <c r="Q2407" s="30">
        <f>IF(B2407="","",IF(B2407&lt;TIME(12,0,0),"Manhã",IF(B2407&lt;TIME(18,0,0),"Tarde","Noite")))</f>
        <v/>
      </c>
      <c r="R2407" s="46">
        <f>IF(AND(H2407="Realizado",L2407&lt;&gt;"",A2407&lt;=Config!$B$9),L2407/60,0)</f>
        <v>0</v>
      </c>
      <c r="S2407" s="45">
        <f>IF(G2407="","",IFERROR(INDEX(Config!$K$5:$K$16,MATCH(G2407,Config!$J$5:$J$16,0)),""))</f>
        <v/>
      </c>
      <c r="T2407" s="31">
        <f>IF(OR(G2407="",F2407=""),"",IFERROR(INDEX(Config!$M$5:$R$16,MATCH(G2407,Config!$J$5:$J$16,0),MATCH(F2407,Config!$H$5:$H$10,0)),""))</f>
        <v/>
      </c>
      <c r="U2407" s="47">
        <f>IF(AND(H2407="Realizado",L2407&lt;&gt;""),L2407/60,0)</f>
        <v>0</v>
      </c>
      <c r="V2407" s="47">
        <f>IF(AND(H2407="Realizado",OR(L2407="",M2407="")),1,0)</f>
        <v>0</v>
      </c>
    </row>
    <row r="2408">
      <c r="A2408" s="43" t="n"/>
      <c r="B2408" s="44" t="n"/>
      <c r="C2408" s="38" t="n"/>
      <c r="D2408" s="38" t="n"/>
      <c r="E2408" s="37" t="n"/>
      <c r="F2408" s="38" t="n"/>
      <c r="G2408" s="38" t="n"/>
      <c r="H2408" s="38" t="n"/>
      <c r="I2408" s="38" t="n"/>
      <c r="J2408" s="38" t="n"/>
      <c r="K2408" s="37" t="n"/>
      <c r="L2408" s="39" t="n"/>
      <c r="M2408" s="40" t="n"/>
      <c r="N2408" s="30">
        <f>IF(A2408="","",MONTH(A2408))</f>
        <v/>
      </c>
      <c r="O2408" s="30">
        <f>IF(A2408="","",YEAR(A2408))</f>
        <v/>
      </c>
      <c r="P2408" s="30">
        <f>IF(A2408="","",CHOOSE(WEEKDAY(A2408,2),"Segunda","Terça","Quarta","Quinta","Sexta","Sábado","Domingo"))</f>
        <v/>
      </c>
      <c r="Q2408" s="30">
        <f>IF(B2408="","",IF(B2408&lt;TIME(12,0,0),"Manhã",IF(B2408&lt;TIME(18,0,0),"Tarde","Noite")))</f>
        <v/>
      </c>
      <c r="R2408" s="46">
        <f>IF(AND(H2408="Realizado",L2408&lt;&gt;"",A2408&lt;=Config!$B$9),L2408/60,0)</f>
        <v>0</v>
      </c>
      <c r="S2408" s="45">
        <f>IF(G2408="","",IFERROR(INDEX(Config!$K$5:$K$16,MATCH(G2408,Config!$J$5:$J$16,0)),""))</f>
        <v/>
      </c>
      <c r="T2408" s="31">
        <f>IF(OR(G2408="",F2408=""),"",IFERROR(INDEX(Config!$M$5:$R$16,MATCH(G2408,Config!$J$5:$J$16,0),MATCH(F2408,Config!$H$5:$H$10,0)),""))</f>
        <v/>
      </c>
      <c r="U2408" s="47">
        <f>IF(AND(H2408="Realizado",L2408&lt;&gt;""),L2408/60,0)</f>
        <v>0</v>
      </c>
      <c r="V2408" s="47">
        <f>IF(AND(H2408="Realizado",OR(L2408="",M2408="")),1,0)</f>
        <v>0</v>
      </c>
    </row>
    <row r="2409">
      <c r="A2409" s="43" t="n"/>
      <c r="B2409" s="44" t="n"/>
      <c r="C2409" s="38" t="n"/>
      <c r="D2409" s="38" t="n"/>
      <c r="E2409" s="37" t="n"/>
      <c r="F2409" s="38" t="n"/>
      <c r="G2409" s="38" t="n"/>
      <c r="H2409" s="38" t="n"/>
      <c r="I2409" s="38" t="n"/>
      <c r="J2409" s="38" t="n"/>
      <c r="K2409" s="37" t="n"/>
      <c r="L2409" s="39" t="n"/>
      <c r="M2409" s="40" t="n"/>
      <c r="N2409" s="30">
        <f>IF(A2409="","",MONTH(A2409))</f>
        <v/>
      </c>
      <c r="O2409" s="30">
        <f>IF(A2409="","",YEAR(A2409))</f>
        <v/>
      </c>
      <c r="P2409" s="30">
        <f>IF(A2409="","",CHOOSE(WEEKDAY(A2409,2),"Segunda","Terça","Quarta","Quinta","Sexta","Sábado","Domingo"))</f>
        <v/>
      </c>
      <c r="Q2409" s="30">
        <f>IF(B2409="","",IF(B2409&lt;TIME(12,0,0),"Manhã",IF(B2409&lt;TIME(18,0,0),"Tarde","Noite")))</f>
        <v/>
      </c>
      <c r="R2409" s="46">
        <f>IF(AND(H2409="Realizado",L2409&lt;&gt;"",A2409&lt;=Config!$B$9),L2409/60,0)</f>
        <v>0</v>
      </c>
      <c r="S2409" s="45">
        <f>IF(G2409="","",IFERROR(INDEX(Config!$K$5:$K$16,MATCH(G2409,Config!$J$5:$J$16,0)),""))</f>
        <v/>
      </c>
      <c r="T2409" s="31">
        <f>IF(OR(G2409="",F2409=""),"",IFERROR(INDEX(Config!$M$5:$R$16,MATCH(G2409,Config!$J$5:$J$16,0),MATCH(F2409,Config!$H$5:$H$10,0)),""))</f>
        <v/>
      </c>
      <c r="U2409" s="47">
        <f>IF(AND(H2409="Realizado",L2409&lt;&gt;""),L2409/60,0)</f>
        <v>0</v>
      </c>
      <c r="V2409" s="47">
        <f>IF(AND(H2409="Realizado",OR(L2409="",M2409="")),1,0)</f>
        <v>0</v>
      </c>
    </row>
    <row r="2410">
      <c r="A2410" s="43" t="n"/>
      <c r="B2410" s="44" t="n"/>
      <c r="C2410" s="38" t="n"/>
      <c r="D2410" s="38" t="n"/>
      <c r="E2410" s="37" t="n"/>
      <c r="F2410" s="38" t="n"/>
      <c r="G2410" s="38" t="n"/>
      <c r="H2410" s="38" t="n"/>
      <c r="I2410" s="38" t="n"/>
      <c r="J2410" s="38" t="n"/>
      <c r="K2410" s="37" t="n"/>
      <c r="L2410" s="39" t="n"/>
      <c r="M2410" s="40" t="n"/>
      <c r="N2410" s="30">
        <f>IF(A2410="","",MONTH(A2410))</f>
        <v/>
      </c>
      <c r="O2410" s="30">
        <f>IF(A2410="","",YEAR(A2410))</f>
        <v/>
      </c>
      <c r="P2410" s="30">
        <f>IF(A2410="","",CHOOSE(WEEKDAY(A2410,2),"Segunda","Terça","Quarta","Quinta","Sexta","Sábado","Domingo"))</f>
        <v/>
      </c>
      <c r="Q2410" s="30">
        <f>IF(B2410="","",IF(B2410&lt;TIME(12,0,0),"Manhã",IF(B2410&lt;TIME(18,0,0),"Tarde","Noite")))</f>
        <v/>
      </c>
      <c r="R2410" s="46">
        <f>IF(AND(H2410="Realizado",L2410&lt;&gt;"",A2410&lt;=Config!$B$9),L2410/60,0)</f>
        <v>0</v>
      </c>
      <c r="S2410" s="45">
        <f>IF(G2410="","",IFERROR(INDEX(Config!$K$5:$K$16,MATCH(G2410,Config!$J$5:$J$16,0)),""))</f>
        <v/>
      </c>
      <c r="T2410" s="31">
        <f>IF(OR(G2410="",F2410=""),"",IFERROR(INDEX(Config!$M$5:$R$16,MATCH(G2410,Config!$J$5:$J$16,0),MATCH(F2410,Config!$H$5:$H$10,0)),""))</f>
        <v/>
      </c>
      <c r="U2410" s="47">
        <f>IF(AND(H2410="Realizado",L2410&lt;&gt;""),L2410/60,0)</f>
        <v>0</v>
      </c>
      <c r="V2410" s="47">
        <f>IF(AND(H2410="Realizado",OR(L2410="",M2410="")),1,0)</f>
        <v>0</v>
      </c>
    </row>
    <row r="2411">
      <c r="A2411" s="43" t="n"/>
      <c r="B2411" s="44" t="n"/>
      <c r="C2411" s="38" t="n"/>
      <c r="D2411" s="38" t="n"/>
      <c r="E2411" s="37" t="n"/>
      <c r="F2411" s="38" t="n"/>
      <c r="G2411" s="38" t="n"/>
      <c r="H2411" s="38" t="n"/>
      <c r="I2411" s="38" t="n"/>
      <c r="J2411" s="38" t="n"/>
      <c r="K2411" s="37" t="n"/>
      <c r="L2411" s="39" t="n"/>
      <c r="M2411" s="40" t="n"/>
      <c r="N2411" s="30">
        <f>IF(A2411="","",MONTH(A2411))</f>
        <v/>
      </c>
      <c r="O2411" s="30">
        <f>IF(A2411="","",YEAR(A2411))</f>
        <v/>
      </c>
      <c r="P2411" s="30">
        <f>IF(A2411="","",CHOOSE(WEEKDAY(A2411,2),"Segunda","Terça","Quarta","Quinta","Sexta","Sábado","Domingo"))</f>
        <v/>
      </c>
      <c r="Q2411" s="30">
        <f>IF(B2411="","",IF(B2411&lt;TIME(12,0,0),"Manhã",IF(B2411&lt;TIME(18,0,0),"Tarde","Noite")))</f>
        <v/>
      </c>
      <c r="R2411" s="46">
        <f>IF(AND(H2411="Realizado",L2411&lt;&gt;"",A2411&lt;=Config!$B$9),L2411/60,0)</f>
        <v>0</v>
      </c>
      <c r="S2411" s="45">
        <f>IF(G2411="","",IFERROR(INDEX(Config!$K$5:$K$16,MATCH(G2411,Config!$J$5:$J$16,0)),""))</f>
        <v/>
      </c>
      <c r="T2411" s="31">
        <f>IF(OR(G2411="",F2411=""),"",IFERROR(INDEX(Config!$M$5:$R$16,MATCH(G2411,Config!$J$5:$J$16,0),MATCH(F2411,Config!$H$5:$H$10,0)),""))</f>
        <v/>
      </c>
      <c r="U2411" s="47">
        <f>IF(AND(H2411="Realizado",L2411&lt;&gt;""),L2411/60,0)</f>
        <v>0</v>
      </c>
      <c r="V2411" s="47">
        <f>IF(AND(H2411="Realizado",OR(L2411="",M2411="")),1,0)</f>
        <v>0</v>
      </c>
    </row>
    <row r="2412">
      <c r="A2412" s="43" t="n"/>
      <c r="B2412" s="44" t="n"/>
      <c r="C2412" s="38" t="n"/>
      <c r="D2412" s="38" t="n"/>
      <c r="E2412" s="37" t="n"/>
      <c r="F2412" s="38" t="n"/>
      <c r="G2412" s="38" t="n"/>
      <c r="H2412" s="38" t="n"/>
      <c r="I2412" s="38" t="n"/>
      <c r="J2412" s="38" t="n"/>
      <c r="K2412" s="37" t="n"/>
      <c r="L2412" s="39" t="n"/>
      <c r="M2412" s="40" t="n"/>
      <c r="N2412" s="30">
        <f>IF(A2412="","",MONTH(A2412))</f>
        <v/>
      </c>
      <c r="O2412" s="30">
        <f>IF(A2412="","",YEAR(A2412))</f>
        <v/>
      </c>
      <c r="P2412" s="30">
        <f>IF(A2412="","",CHOOSE(WEEKDAY(A2412,2),"Segunda","Terça","Quarta","Quinta","Sexta","Sábado","Domingo"))</f>
        <v/>
      </c>
      <c r="Q2412" s="30">
        <f>IF(B2412="","",IF(B2412&lt;TIME(12,0,0),"Manhã",IF(B2412&lt;TIME(18,0,0),"Tarde","Noite")))</f>
        <v/>
      </c>
      <c r="R2412" s="46">
        <f>IF(AND(H2412="Realizado",L2412&lt;&gt;"",A2412&lt;=Config!$B$9),L2412/60,0)</f>
        <v>0</v>
      </c>
      <c r="S2412" s="45">
        <f>IF(G2412="","",IFERROR(INDEX(Config!$K$5:$K$16,MATCH(G2412,Config!$J$5:$J$16,0)),""))</f>
        <v/>
      </c>
      <c r="T2412" s="31">
        <f>IF(OR(G2412="",F2412=""),"",IFERROR(INDEX(Config!$M$5:$R$16,MATCH(G2412,Config!$J$5:$J$16,0),MATCH(F2412,Config!$H$5:$H$10,0)),""))</f>
        <v/>
      </c>
      <c r="U2412" s="47">
        <f>IF(AND(H2412="Realizado",L2412&lt;&gt;""),L2412/60,0)</f>
        <v>0</v>
      </c>
      <c r="V2412" s="47">
        <f>IF(AND(H2412="Realizado",OR(L2412="",M2412="")),1,0)</f>
        <v>0</v>
      </c>
    </row>
    <row r="2413">
      <c r="A2413" s="43" t="n"/>
      <c r="B2413" s="44" t="n"/>
      <c r="C2413" s="38" t="n"/>
      <c r="D2413" s="38" t="n"/>
      <c r="E2413" s="37" t="n"/>
      <c r="F2413" s="38" t="n"/>
      <c r="G2413" s="38" t="n"/>
      <c r="H2413" s="38" t="n"/>
      <c r="I2413" s="38" t="n"/>
      <c r="J2413" s="38" t="n"/>
      <c r="K2413" s="37" t="n"/>
      <c r="L2413" s="39" t="n"/>
      <c r="M2413" s="40" t="n"/>
      <c r="N2413" s="30">
        <f>IF(A2413="","",MONTH(A2413))</f>
        <v/>
      </c>
      <c r="O2413" s="30">
        <f>IF(A2413="","",YEAR(A2413))</f>
        <v/>
      </c>
      <c r="P2413" s="30">
        <f>IF(A2413="","",CHOOSE(WEEKDAY(A2413,2),"Segunda","Terça","Quarta","Quinta","Sexta","Sábado","Domingo"))</f>
        <v/>
      </c>
      <c r="Q2413" s="30">
        <f>IF(B2413="","",IF(B2413&lt;TIME(12,0,0),"Manhã",IF(B2413&lt;TIME(18,0,0),"Tarde","Noite")))</f>
        <v/>
      </c>
      <c r="R2413" s="46">
        <f>IF(AND(H2413="Realizado",L2413&lt;&gt;"",A2413&lt;=Config!$B$9),L2413/60,0)</f>
        <v>0</v>
      </c>
      <c r="S2413" s="45">
        <f>IF(G2413="","",IFERROR(INDEX(Config!$K$5:$K$16,MATCH(G2413,Config!$J$5:$J$16,0)),""))</f>
        <v/>
      </c>
      <c r="T2413" s="31">
        <f>IF(OR(G2413="",F2413=""),"",IFERROR(INDEX(Config!$M$5:$R$16,MATCH(G2413,Config!$J$5:$J$16,0),MATCH(F2413,Config!$H$5:$H$10,0)),""))</f>
        <v/>
      </c>
      <c r="U2413" s="47">
        <f>IF(AND(H2413="Realizado",L2413&lt;&gt;""),L2413/60,0)</f>
        <v>0</v>
      </c>
      <c r="V2413" s="47">
        <f>IF(AND(H2413="Realizado",OR(L2413="",M2413="")),1,0)</f>
        <v>0</v>
      </c>
    </row>
    <row r="2414">
      <c r="A2414" s="43" t="n"/>
      <c r="B2414" s="44" t="n"/>
      <c r="C2414" s="38" t="n"/>
      <c r="D2414" s="38" t="n"/>
      <c r="E2414" s="37" t="n"/>
      <c r="F2414" s="38" t="n"/>
      <c r="G2414" s="38" t="n"/>
      <c r="H2414" s="38" t="n"/>
      <c r="I2414" s="38" t="n"/>
      <c r="J2414" s="38" t="n"/>
      <c r="K2414" s="37" t="n"/>
      <c r="L2414" s="39" t="n"/>
      <c r="M2414" s="40" t="n"/>
      <c r="N2414" s="30">
        <f>IF(A2414="","",MONTH(A2414))</f>
        <v/>
      </c>
      <c r="O2414" s="30">
        <f>IF(A2414="","",YEAR(A2414))</f>
        <v/>
      </c>
      <c r="P2414" s="30">
        <f>IF(A2414="","",CHOOSE(WEEKDAY(A2414,2),"Segunda","Terça","Quarta","Quinta","Sexta","Sábado","Domingo"))</f>
        <v/>
      </c>
      <c r="Q2414" s="30">
        <f>IF(B2414="","",IF(B2414&lt;TIME(12,0,0),"Manhã",IF(B2414&lt;TIME(18,0,0),"Tarde","Noite")))</f>
        <v/>
      </c>
      <c r="R2414" s="46">
        <f>IF(AND(H2414="Realizado",L2414&lt;&gt;"",A2414&lt;=Config!$B$9),L2414/60,0)</f>
        <v>0</v>
      </c>
      <c r="S2414" s="45">
        <f>IF(G2414="","",IFERROR(INDEX(Config!$K$5:$K$16,MATCH(G2414,Config!$J$5:$J$16,0)),""))</f>
        <v/>
      </c>
      <c r="T2414" s="31">
        <f>IF(OR(G2414="",F2414=""),"",IFERROR(INDEX(Config!$M$5:$R$16,MATCH(G2414,Config!$J$5:$J$16,0),MATCH(F2414,Config!$H$5:$H$10,0)),""))</f>
        <v/>
      </c>
      <c r="U2414" s="47">
        <f>IF(AND(H2414="Realizado",L2414&lt;&gt;""),L2414/60,0)</f>
        <v>0</v>
      </c>
      <c r="V2414" s="47">
        <f>IF(AND(H2414="Realizado",OR(L2414="",M2414="")),1,0)</f>
        <v>0</v>
      </c>
    </row>
    <row r="2415">
      <c r="A2415" s="43" t="n"/>
      <c r="B2415" s="44" t="n"/>
      <c r="C2415" s="38" t="n"/>
      <c r="D2415" s="38" t="n"/>
      <c r="E2415" s="37" t="n"/>
      <c r="F2415" s="38" t="n"/>
      <c r="G2415" s="38" t="n"/>
      <c r="H2415" s="38" t="n"/>
      <c r="I2415" s="38" t="n"/>
      <c r="J2415" s="38" t="n"/>
      <c r="K2415" s="37" t="n"/>
      <c r="L2415" s="39" t="n"/>
      <c r="M2415" s="40" t="n"/>
      <c r="N2415" s="30">
        <f>IF(A2415="","",MONTH(A2415))</f>
        <v/>
      </c>
      <c r="O2415" s="30">
        <f>IF(A2415="","",YEAR(A2415))</f>
        <v/>
      </c>
      <c r="P2415" s="30">
        <f>IF(A2415="","",CHOOSE(WEEKDAY(A2415,2),"Segunda","Terça","Quarta","Quinta","Sexta","Sábado","Domingo"))</f>
        <v/>
      </c>
      <c r="Q2415" s="30">
        <f>IF(B2415="","",IF(B2415&lt;TIME(12,0,0),"Manhã",IF(B2415&lt;TIME(18,0,0),"Tarde","Noite")))</f>
        <v/>
      </c>
      <c r="R2415" s="46">
        <f>IF(AND(H2415="Realizado",L2415&lt;&gt;"",A2415&lt;=Config!$B$9),L2415/60,0)</f>
        <v>0</v>
      </c>
      <c r="S2415" s="45">
        <f>IF(G2415="","",IFERROR(INDEX(Config!$K$5:$K$16,MATCH(G2415,Config!$J$5:$J$16,0)),""))</f>
        <v/>
      </c>
      <c r="T2415" s="31">
        <f>IF(OR(G2415="",F2415=""),"",IFERROR(INDEX(Config!$M$5:$R$16,MATCH(G2415,Config!$J$5:$J$16,0),MATCH(F2415,Config!$H$5:$H$10,0)),""))</f>
        <v/>
      </c>
      <c r="U2415" s="47">
        <f>IF(AND(H2415="Realizado",L2415&lt;&gt;""),L2415/60,0)</f>
        <v>0</v>
      </c>
      <c r="V2415" s="47">
        <f>IF(AND(H2415="Realizado",OR(L2415="",M2415="")),1,0)</f>
        <v>0</v>
      </c>
    </row>
    <row r="2416">
      <c r="A2416" s="43" t="n"/>
      <c r="B2416" s="44" t="n"/>
      <c r="C2416" s="38" t="n"/>
      <c r="D2416" s="38" t="n"/>
      <c r="E2416" s="37" t="n"/>
      <c r="F2416" s="38" t="n"/>
      <c r="G2416" s="38" t="n"/>
      <c r="H2416" s="38" t="n"/>
      <c r="I2416" s="38" t="n"/>
      <c r="J2416" s="38" t="n"/>
      <c r="K2416" s="37" t="n"/>
      <c r="L2416" s="39" t="n"/>
      <c r="M2416" s="40" t="n"/>
      <c r="N2416" s="30">
        <f>IF(A2416="","",MONTH(A2416))</f>
        <v/>
      </c>
      <c r="O2416" s="30">
        <f>IF(A2416="","",YEAR(A2416))</f>
        <v/>
      </c>
      <c r="P2416" s="30">
        <f>IF(A2416="","",CHOOSE(WEEKDAY(A2416,2),"Segunda","Terça","Quarta","Quinta","Sexta","Sábado","Domingo"))</f>
        <v/>
      </c>
      <c r="Q2416" s="30">
        <f>IF(B2416="","",IF(B2416&lt;TIME(12,0,0),"Manhã",IF(B2416&lt;TIME(18,0,0),"Tarde","Noite")))</f>
        <v/>
      </c>
      <c r="R2416" s="46">
        <f>IF(AND(H2416="Realizado",L2416&lt;&gt;"",A2416&lt;=Config!$B$9),L2416/60,0)</f>
        <v>0</v>
      </c>
      <c r="S2416" s="45">
        <f>IF(G2416="","",IFERROR(INDEX(Config!$K$5:$K$16,MATCH(G2416,Config!$J$5:$J$16,0)),""))</f>
        <v/>
      </c>
      <c r="T2416" s="31">
        <f>IF(OR(G2416="",F2416=""),"",IFERROR(INDEX(Config!$M$5:$R$16,MATCH(G2416,Config!$J$5:$J$16,0),MATCH(F2416,Config!$H$5:$H$10,0)),""))</f>
        <v/>
      </c>
      <c r="U2416" s="47">
        <f>IF(AND(H2416="Realizado",L2416&lt;&gt;""),L2416/60,0)</f>
        <v>0</v>
      </c>
      <c r="V2416" s="47">
        <f>IF(AND(H2416="Realizado",OR(L2416="",M2416="")),1,0)</f>
        <v>0</v>
      </c>
    </row>
    <row r="2417">
      <c r="A2417" s="43" t="n"/>
      <c r="B2417" s="44" t="n"/>
      <c r="C2417" s="38" t="n"/>
      <c r="D2417" s="38" t="n"/>
      <c r="E2417" s="37" t="n"/>
      <c r="F2417" s="38" t="n"/>
      <c r="G2417" s="38" t="n"/>
      <c r="H2417" s="38" t="n"/>
      <c r="I2417" s="38" t="n"/>
      <c r="J2417" s="38" t="n"/>
      <c r="K2417" s="37" t="n"/>
      <c r="L2417" s="39" t="n"/>
      <c r="M2417" s="40" t="n"/>
      <c r="N2417" s="30">
        <f>IF(A2417="","",MONTH(A2417))</f>
        <v/>
      </c>
      <c r="O2417" s="30">
        <f>IF(A2417="","",YEAR(A2417))</f>
        <v/>
      </c>
      <c r="P2417" s="30">
        <f>IF(A2417="","",CHOOSE(WEEKDAY(A2417,2),"Segunda","Terça","Quarta","Quinta","Sexta","Sábado","Domingo"))</f>
        <v/>
      </c>
      <c r="Q2417" s="30">
        <f>IF(B2417="","",IF(B2417&lt;TIME(12,0,0),"Manhã",IF(B2417&lt;TIME(18,0,0),"Tarde","Noite")))</f>
        <v/>
      </c>
      <c r="R2417" s="46">
        <f>IF(AND(H2417="Realizado",L2417&lt;&gt;"",A2417&lt;=Config!$B$9),L2417/60,0)</f>
        <v>0</v>
      </c>
      <c r="S2417" s="45">
        <f>IF(G2417="","",IFERROR(INDEX(Config!$K$5:$K$16,MATCH(G2417,Config!$J$5:$J$16,0)),""))</f>
        <v/>
      </c>
      <c r="T2417" s="31">
        <f>IF(OR(G2417="",F2417=""),"",IFERROR(INDEX(Config!$M$5:$R$16,MATCH(G2417,Config!$J$5:$J$16,0),MATCH(F2417,Config!$H$5:$H$10,0)),""))</f>
        <v/>
      </c>
      <c r="U2417" s="47">
        <f>IF(AND(H2417="Realizado",L2417&lt;&gt;""),L2417/60,0)</f>
        <v>0</v>
      </c>
      <c r="V2417" s="47">
        <f>IF(AND(H2417="Realizado",OR(L2417="",M2417="")),1,0)</f>
        <v>0</v>
      </c>
    </row>
    <row r="2418">
      <c r="A2418" s="43" t="n"/>
      <c r="B2418" s="44" t="n"/>
      <c r="C2418" s="38" t="n"/>
      <c r="D2418" s="38" t="n"/>
      <c r="E2418" s="37" t="n"/>
      <c r="F2418" s="38" t="n"/>
      <c r="G2418" s="38" t="n"/>
      <c r="H2418" s="38" t="n"/>
      <c r="I2418" s="38" t="n"/>
      <c r="J2418" s="38" t="n"/>
      <c r="K2418" s="37" t="n"/>
      <c r="L2418" s="39" t="n"/>
      <c r="M2418" s="40" t="n"/>
      <c r="N2418" s="30">
        <f>IF(A2418="","",MONTH(A2418))</f>
        <v/>
      </c>
      <c r="O2418" s="30">
        <f>IF(A2418="","",YEAR(A2418))</f>
        <v/>
      </c>
      <c r="P2418" s="30">
        <f>IF(A2418="","",CHOOSE(WEEKDAY(A2418,2),"Segunda","Terça","Quarta","Quinta","Sexta","Sábado","Domingo"))</f>
        <v/>
      </c>
      <c r="Q2418" s="30">
        <f>IF(B2418="","",IF(B2418&lt;TIME(12,0,0),"Manhã",IF(B2418&lt;TIME(18,0,0),"Tarde","Noite")))</f>
        <v/>
      </c>
      <c r="R2418" s="46">
        <f>IF(AND(H2418="Realizado",L2418&lt;&gt;"",A2418&lt;=Config!$B$9),L2418/60,0)</f>
        <v>0</v>
      </c>
      <c r="S2418" s="45">
        <f>IF(G2418="","",IFERROR(INDEX(Config!$K$5:$K$16,MATCH(G2418,Config!$J$5:$J$16,0)),""))</f>
        <v/>
      </c>
      <c r="T2418" s="31">
        <f>IF(OR(G2418="",F2418=""),"",IFERROR(INDEX(Config!$M$5:$R$16,MATCH(G2418,Config!$J$5:$J$16,0),MATCH(F2418,Config!$H$5:$H$10,0)),""))</f>
        <v/>
      </c>
      <c r="U2418" s="47">
        <f>IF(AND(H2418="Realizado",L2418&lt;&gt;""),L2418/60,0)</f>
        <v>0</v>
      </c>
      <c r="V2418" s="47">
        <f>IF(AND(H2418="Realizado",OR(L2418="",M2418="")),1,0)</f>
        <v>0</v>
      </c>
    </row>
    <row r="2419">
      <c r="A2419" s="43" t="n"/>
      <c r="B2419" s="44" t="n"/>
      <c r="C2419" s="38" t="n"/>
      <c r="D2419" s="38" t="n"/>
      <c r="E2419" s="37" t="n"/>
      <c r="F2419" s="38" t="n"/>
      <c r="G2419" s="38" t="n"/>
      <c r="H2419" s="38" t="n"/>
      <c r="I2419" s="38" t="n"/>
      <c r="J2419" s="38" t="n"/>
      <c r="K2419" s="37" t="n"/>
      <c r="L2419" s="39" t="n"/>
      <c r="M2419" s="40" t="n"/>
      <c r="N2419" s="30">
        <f>IF(A2419="","",MONTH(A2419))</f>
        <v/>
      </c>
      <c r="O2419" s="30">
        <f>IF(A2419="","",YEAR(A2419))</f>
        <v/>
      </c>
      <c r="P2419" s="30">
        <f>IF(A2419="","",CHOOSE(WEEKDAY(A2419,2),"Segunda","Terça","Quarta","Quinta","Sexta","Sábado","Domingo"))</f>
        <v/>
      </c>
      <c r="Q2419" s="30">
        <f>IF(B2419="","",IF(B2419&lt;TIME(12,0,0),"Manhã",IF(B2419&lt;TIME(18,0,0),"Tarde","Noite")))</f>
        <v/>
      </c>
      <c r="R2419" s="46">
        <f>IF(AND(H2419="Realizado",L2419&lt;&gt;"",A2419&lt;=Config!$B$9),L2419/60,0)</f>
        <v>0</v>
      </c>
      <c r="S2419" s="45">
        <f>IF(G2419="","",IFERROR(INDEX(Config!$K$5:$K$16,MATCH(G2419,Config!$J$5:$J$16,0)),""))</f>
        <v/>
      </c>
      <c r="T2419" s="31">
        <f>IF(OR(G2419="",F2419=""),"",IFERROR(INDEX(Config!$M$5:$R$16,MATCH(G2419,Config!$J$5:$J$16,0),MATCH(F2419,Config!$H$5:$H$10,0)),""))</f>
        <v/>
      </c>
      <c r="U2419" s="47">
        <f>IF(AND(H2419="Realizado",L2419&lt;&gt;""),L2419/60,0)</f>
        <v>0</v>
      </c>
      <c r="V2419" s="47">
        <f>IF(AND(H2419="Realizado",OR(L2419="",M2419="")),1,0)</f>
        <v>0</v>
      </c>
    </row>
    <row r="2420">
      <c r="A2420" s="43" t="n"/>
      <c r="B2420" s="44" t="n"/>
      <c r="C2420" s="38" t="n"/>
      <c r="D2420" s="38" t="n"/>
      <c r="E2420" s="37" t="n"/>
      <c r="F2420" s="38" t="n"/>
      <c r="G2420" s="38" t="n"/>
      <c r="H2420" s="38" t="n"/>
      <c r="I2420" s="38" t="n"/>
      <c r="J2420" s="38" t="n"/>
      <c r="K2420" s="37" t="n"/>
      <c r="L2420" s="39" t="n"/>
      <c r="M2420" s="40" t="n"/>
      <c r="N2420" s="30">
        <f>IF(A2420="","",MONTH(A2420))</f>
        <v/>
      </c>
      <c r="O2420" s="30">
        <f>IF(A2420="","",YEAR(A2420))</f>
        <v/>
      </c>
      <c r="P2420" s="30">
        <f>IF(A2420="","",CHOOSE(WEEKDAY(A2420,2),"Segunda","Terça","Quarta","Quinta","Sexta","Sábado","Domingo"))</f>
        <v/>
      </c>
      <c r="Q2420" s="30">
        <f>IF(B2420="","",IF(B2420&lt;TIME(12,0,0),"Manhã",IF(B2420&lt;TIME(18,0,0),"Tarde","Noite")))</f>
        <v/>
      </c>
      <c r="R2420" s="46">
        <f>IF(AND(H2420="Realizado",L2420&lt;&gt;"",A2420&lt;=Config!$B$9),L2420/60,0)</f>
        <v>0</v>
      </c>
      <c r="S2420" s="45">
        <f>IF(G2420="","",IFERROR(INDEX(Config!$K$5:$K$16,MATCH(G2420,Config!$J$5:$J$16,0)),""))</f>
        <v/>
      </c>
      <c r="T2420" s="31">
        <f>IF(OR(G2420="",F2420=""),"",IFERROR(INDEX(Config!$M$5:$R$16,MATCH(G2420,Config!$J$5:$J$16,0),MATCH(F2420,Config!$H$5:$H$10,0)),""))</f>
        <v/>
      </c>
      <c r="U2420" s="47">
        <f>IF(AND(H2420="Realizado",L2420&lt;&gt;""),L2420/60,0)</f>
        <v>0</v>
      </c>
      <c r="V2420" s="47">
        <f>IF(AND(H2420="Realizado",OR(L2420="",M2420="")),1,0)</f>
        <v>0</v>
      </c>
    </row>
    <row r="2421">
      <c r="A2421" s="43" t="n"/>
      <c r="B2421" s="44" t="n"/>
      <c r="C2421" s="38" t="n"/>
      <c r="D2421" s="38" t="n"/>
      <c r="E2421" s="37" t="n"/>
      <c r="F2421" s="38" t="n"/>
      <c r="G2421" s="38" t="n"/>
      <c r="H2421" s="38" t="n"/>
      <c r="I2421" s="38" t="n"/>
      <c r="J2421" s="38" t="n"/>
      <c r="K2421" s="37" t="n"/>
      <c r="L2421" s="39" t="n"/>
      <c r="M2421" s="40" t="n"/>
      <c r="N2421" s="30">
        <f>IF(A2421="","",MONTH(A2421))</f>
        <v/>
      </c>
      <c r="O2421" s="30">
        <f>IF(A2421="","",YEAR(A2421))</f>
        <v/>
      </c>
      <c r="P2421" s="30">
        <f>IF(A2421="","",CHOOSE(WEEKDAY(A2421,2),"Segunda","Terça","Quarta","Quinta","Sexta","Sábado","Domingo"))</f>
        <v/>
      </c>
      <c r="Q2421" s="30">
        <f>IF(B2421="","",IF(B2421&lt;TIME(12,0,0),"Manhã",IF(B2421&lt;TIME(18,0,0),"Tarde","Noite")))</f>
        <v/>
      </c>
      <c r="R2421" s="46">
        <f>IF(AND(H2421="Realizado",L2421&lt;&gt;"",A2421&lt;=Config!$B$9),L2421/60,0)</f>
        <v>0</v>
      </c>
      <c r="S2421" s="45">
        <f>IF(G2421="","",IFERROR(INDEX(Config!$K$5:$K$16,MATCH(G2421,Config!$J$5:$J$16,0)),""))</f>
        <v/>
      </c>
      <c r="T2421" s="31">
        <f>IF(OR(G2421="",F2421=""),"",IFERROR(INDEX(Config!$M$5:$R$16,MATCH(G2421,Config!$J$5:$J$16,0),MATCH(F2421,Config!$H$5:$H$10,0)),""))</f>
        <v/>
      </c>
      <c r="U2421" s="47">
        <f>IF(AND(H2421="Realizado",L2421&lt;&gt;""),L2421/60,0)</f>
        <v>0</v>
      </c>
      <c r="V2421" s="47">
        <f>IF(AND(H2421="Realizado",OR(L2421="",M2421="")),1,0)</f>
        <v>0</v>
      </c>
    </row>
    <row r="2422">
      <c r="A2422" s="43" t="n"/>
      <c r="B2422" s="44" t="n"/>
      <c r="C2422" s="38" t="n"/>
      <c r="D2422" s="38" t="n"/>
      <c r="E2422" s="37" t="n"/>
      <c r="F2422" s="38" t="n"/>
      <c r="G2422" s="38" t="n"/>
      <c r="H2422" s="38" t="n"/>
      <c r="I2422" s="38" t="n"/>
      <c r="J2422" s="38" t="n"/>
      <c r="K2422" s="37" t="n"/>
      <c r="L2422" s="39" t="n"/>
      <c r="M2422" s="40" t="n"/>
      <c r="N2422" s="30">
        <f>IF(A2422="","",MONTH(A2422))</f>
        <v/>
      </c>
      <c r="O2422" s="30">
        <f>IF(A2422="","",YEAR(A2422))</f>
        <v/>
      </c>
      <c r="P2422" s="30">
        <f>IF(A2422="","",CHOOSE(WEEKDAY(A2422,2),"Segunda","Terça","Quarta","Quinta","Sexta","Sábado","Domingo"))</f>
        <v/>
      </c>
      <c r="Q2422" s="30">
        <f>IF(B2422="","",IF(B2422&lt;TIME(12,0,0),"Manhã",IF(B2422&lt;TIME(18,0,0),"Tarde","Noite")))</f>
        <v/>
      </c>
      <c r="R2422" s="46">
        <f>IF(AND(H2422="Realizado",L2422&lt;&gt;"",A2422&lt;=Config!$B$9),L2422/60,0)</f>
        <v>0</v>
      </c>
      <c r="S2422" s="45">
        <f>IF(G2422="","",IFERROR(INDEX(Config!$K$5:$K$16,MATCH(G2422,Config!$J$5:$J$16,0)),""))</f>
        <v/>
      </c>
      <c r="T2422" s="31">
        <f>IF(OR(G2422="",F2422=""),"",IFERROR(INDEX(Config!$M$5:$R$16,MATCH(G2422,Config!$J$5:$J$16,0),MATCH(F2422,Config!$H$5:$H$10,0)),""))</f>
        <v/>
      </c>
      <c r="U2422" s="47">
        <f>IF(AND(H2422="Realizado",L2422&lt;&gt;""),L2422/60,0)</f>
        <v>0</v>
      </c>
      <c r="V2422" s="47">
        <f>IF(AND(H2422="Realizado",OR(L2422="",M2422="")),1,0)</f>
        <v>0</v>
      </c>
    </row>
    <row r="2423">
      <c r="A2423" s="43" t="n"/>
      <c r="B2423" s="44" t="n"/>
      <c r="C2423" s="38" t="n"/>
      <c r="D2423" s="38" t="n"/>
      <c r="E2423" s="37" t="n"/>
      <c r="F2423" s="38" t="n"/>
      <c r="G2423" s="38" t="n"/>
      <c r="H2423" s="38" t="n"/>
      <c r="I2423" s="38" t="n"/>
      <c r="J2423" s="38" t="n"/>
      <c r="K2423" s="37" t="n"/>
      <c r="L2423" s="39" t="n"/>
      <c r="M2423" s="40" t="n"/>
      <c r="N2423" s="30">
        <f>IF(A2423="","",MONTH(A2423))</f>
        <v/>
      </c>
      <c r="O2423" s="30">
        <f>IF(A2423="","",YEAR(A2423))</f>
        <v/>
      </c>
      <c r="P2423" s="30">
        <f>IF(A2423="","",CHOOSE(WEEKDAY(A2423,2),"Segunda","Terça","Quarta","Quinta","Sexta","Sábado","Domingo"))</f>
        <v/>
      </c>
      <c r="Q2423" s="30">
        <f>IF(B2423="","",IF(B2423&lt;TIME(12,0,0),"Manhã",IF(B2423&lt;TIME(18,0,0),"Tarde","Noite")))</f>
        <v/>
      </c>
      <c r="R2423" s="46">
        <f>IF(AND(H2423="Realizado",L2423&lt;&gt;"",A2423&lt;=Config!$B$9),L2423/60,0)</f>
        <v>0</v>
      </c>
      <c r="S2423" s="45">
        <f>IF(G2423="","",IFERROR(INDEX(Config!$K$5:$K$16,MATCH(G2423,Config!$J$5:$J$16,0)),""))</f>
        <v/>
      </c>
      <c r="T2423" s="31">
        <f>IF(OR(G2423="",F2423=""),"",IFERROR(INDEX(Config!$M$5:$R$16,MATCH(G2423,Config!$J$5:$J$16,0),MATCH(F2423,Config!$H$5:$H$10,0)),""))</f>
        <v/>
      </c>
      <c r="U2423" s="47">
        <f>IF(AND(H2423="Realizado",L2423&lt;&gt;""),L2423/60,0)</f>
        <v>0</v>
      </c>
      <c r="V2423" s="47">
        <f>IF(AND(H2423="Realizado",OR(L2423="",M2423="")),1,0)</f>
        <v>0</v>
      </c>
    </row>
    <row r="2424">
      <c r="A2424" s="43" t="n"/>
      <c r="B2424" s="44" t="n"/>
      <c r="C2424" s="38" t="n"/>
      <c r="D2424" s="38" t="n"/>
      <c r="E2424" s="37" t="n"/>
      <c r="F2424" s="38" t="n"/>
      <c r="G2424" s="38" t="n"/>
      <c r="H2424" s="38" t="n"/>
      <c r="I2424" s="38" t="n"/>
      <c r="J2424" s="38" t="n"/>
      <c r="K2424" s="37" t="n"/>
      <c r="L2424" s="39" t="n"/>
      <c r="M2424" s="40" t="n"/>
      <c r="N2424" s="30">
        <f>IF(A2424="","",MONTH(A2424))</f>
        <v/>
      </c>
      <c r="O2424" s="30">
        <f>IF(A2424="","",YEAR(A2424))</f>
        <v/>
      </c>
      <c r="P2424" s="30">
        <f>IF(A2424="","",CHOOSE(WEEKDAY(A2424,2),"Segunda","Terça","Quarta","Quinta","Sexta","Sábado","Domingo"))</f>
        <v/>
      </c>
      <c r="Q2424" s="30">
        <f>IF(B2424="","",IF(B2424&lt;TIME(12,0,0),"Manhã",IF(B2424&lt;TIME(18,0,0),"Tarde","Noite")))</f>
        <v/>
      </c>
      <c r="R2424" s="46">
        <f>IF(AND(H2424="Realizado",L2424&lt;&gt;"",A2424&lt;=Config!$B$9),L2424/60,0)</f>
        <v>0</v>
      </c>
      <c r="S2424" s="45">
        <f>IF(G2424="","",IFERROR(INDEX(Config!$K$5:$K$16,MATCH(G2424,Config!$J$5:$J$16,0)),""))</f>
        <v/>
      </c>
      <c r="T2424" s="31">
        <f>IF(OR(G2424="",F2424=""),"",IFERROR(INDEX(Config!$M$5:$R$16,MATCH(G2424,Config!$J$5:$J$16,0),MATCH(F2424,Config!$H$5:$H$10,0)),""))</f>
        <v/>
      </c>
      <c r="U2424" s="47">
        <f>IF(AND(H2424="Realizado",L2424&lt;&gt;""),L2424/60,0)</f>
        <v>0</v>
      </c>
      <c r="V2424" s="47">
        <f>IF(AND(H2424="Realizado",OR(L2424="",M2424="")),1,0)</f>
        <v>0</v>
      </c>
    </row>
    <row r="2425">
      <c r="A2425" s="43" t="n"/>
      <c r="B2425" s="44" t="n"/>
      <c r="C2425" s="38" t="n"/>
      <c r="D2425" s="38" t="n"/>
      <c r="E2425" s="37" t="n"/>
      <c r="F2425" s="38" t="n"/>
      <c r="G2425" s="38" t="n"/>
      <c r="H2425" s="38" t="n"/>
      <c r="I2425" s="38" t="n"/>
      <c r="J2425" s="38" t="n"/>
      <c r="K2425" s="37" t="n"/>
      <c r="L2425" s="39" t="n"/>
      <c r="M2425" s="40" t="n"/>
      <c r="N2425" s="30">
        <f>IF(A2425="","",MONTH(A2425))</f>
        <v/>
      </c>
      <c r="O2425" s="30">
        <f>IF(A2425="","",YEAR(A2425))</f>
        <v/>
      </c>
      <c r="P2425" s="30">
        <f>IF(A2425="","",CHOOSE(WEEKDAY(A2425,2),"Segunda","Terça","Quarta","Quinta","Sexta","Sábado","Domingo"))</f>
        <v/>
      </c>
      <c r="Q2425" s="30">
        <f>IF(B2425="","",IF(B2425&lt;TIME(12,0,0),"Manhã",IF(B2425&lt;TIME(18,0,0),"Tarde","Noite")))</f>
        <v/>
      </c>
      <c r="R2425" s="46">
        <f>IF(AND(H2425="Realizado",L2425&lt;&gt;"",A2425&lt;=Config!$B$9),L2425/60,0)</f>
        <v>0</v>
      </c>
      <c r="S2425" s="45">
        <f>IF(G2425="","",IFERROR(INDEX(Config!$K$5:$K$16,MATCH(G2425,Config!$J$5:$J$16,0)),""))</f>
        <v/>
      </c>
      <c r="T2425" s="31">
        <f>IF(OR(G2425="",F2425=""),"",IFERROR(INDEX(Config!$M$5:$R$16,MATCH(G2425,Config!$J$5:$J$16,0),MATCH(F2425,Config!$H$5:$H$10,0)),""))</f>
        <v/>
      </c>
      <c r="U2425" s="47">
        <f>IF(AND(H2425="Realizado",L2425&lt;&gt;""),L2425/60,0)</f>
        <v>0</v>
      </c>
      <c r="V2425" s="47">
        <f>IF(AND(H2425="Realizado",OR(L2425="",M2425="")),1,0)</f>
        <v>0</v>
      </c>
    </row>
    <row r="2426">
      <c r="A2426" s="43" t="n"/>
      <c r="B2426" s="44" t="n"/>
      <c r="C2426" s="38" t="n"/>
      <c r="D2426" s="38" t="n"/>
      <c r="E2426" s="37" t="n"/>
      <c r="F2426" s="38" t="n"/>
      <c r="G2426" s="38" t="n"/>
      <c r="H2426" s="38" t="n"/>
      <c r="I2426" s="38" t="n"/>
      <c r="J2426" s="38" t="n"/>
      <c r="K2426" s="37" t="n"/>
      <c r="L2426" s="39" t="n"/>
      <c r="M2426" s="40" t="n"/>
      <c r="N2426" s="30">
        <f>IF(A2426="","",MONTH(A2426))</f>
        <v/>
      </c>
      <c r="O2426" s="30">
        <f>IF(A2426="","",YEAR(A2426))</f>
        <v/>
      </c>
      <c r="P2426" s="30">
        <f>IF(A2426="","",CHOOSE(WEEKDAY(A2426,2),"Segunda","Terça","Quarta","Quinta","Sexta","Sábado","Domingo"))</f>
        <v/>
      </c>
      <c r="Q2426" s="30">
        <f>IF(B2426="","",IF(B2426&lt;TIME(12,0,0),"Manhã",IF(B2426&lt;TIME(18,0,0),"Tarde","Noite")))</f>
        <v/>
      </c>
      <c r="R2426" s="46">
        <f>IF(AND(H2426="Realizado",L2426&lt;&gt;"",A2426&lt;=Config!$B$9),L2426/60,0)</f>
        <v>0</v>
      </c>
      <c r="S2426" s="45">
        <f>IF(G2426="","",IFERROR(INDEX(Config!$K$5:$K$16,MATCH(G2426,Config!$J$5:$J$16,0)),""))</f>
        <v/>
      </c>
      <c r="T2426" s="31">
        <f>IF(OR(G2426="",F2426=""),"",IFERROR(INDEX(Config!$M$5:$R$16,MATCH(G2426,Config!$J$5:$J$16,0),MATCH(F2426,Config!$H$5:$H$10,0)),""))</f>
        <v/>
      </c>
      <c r="U2426" s="47">
        <f>IF(AND(H2426="Realizado",L2426&lt;&gt;""),L2426/60,0)</f>
        <v>0</v>
      </c>
      <c r="V2426" s="47">
        <f>IF(AND(H2426="Realizado",OR(L2426="",M2426="")),1,0)</f>
        <v>0</v>
      </c>
    </row>
    <row r="2427">
      <c r="A2427" s="43" t="n"/>
      <c r="B2427" s="44" t="n"/>
      <c r="C2427" s="38" t="n"/>
      <c r="D2427" s="38" t="n"/>
      <c r="E2427" s="37" t="n"/>
      <c r="F2427" s="38" t="n"/>
      <c r="G2427" s="38" t="n"/>
      <c r="H2427" s="38" t="n"/>
      <c r="I2427" s="38" t="n"/>
      <c r="J2427" s="38" t="n"/>
      <c r="K2427" s="37" t="n"/>
      <c r="L2427" s="39" t="n"/>
      <c r="M2427" s="40" t="n"/>
      <c r="N2427" s="30">
        <f>IF(A2427="","",MONTH(A2427))</f>
        <v/>
      </c>
      <c r="O2427" s="30">
        <f>IF(A2427="","",YEAR(A2427))</f>
        <v/>
      </c>
      <c r="P2427" s="30">
        <f>IF(A2427="","",CHOOSE(WEEKDAY(A2427,2),"Segunda","Terça","Quarta","Quinta","Sexta","Sábado","Domingo"))</f>
        <v/>
      </c>
      <c r="Q2427" s="30">
        <f>IF(B2427="","",IF(B2427&lt;TIME(12,0,0),"Manhã",IF(B2427&lt;TIME(18,0,0),"Tarde","Noite")))</f>
        <v/>
      </c>
      <c r="R2427" s="46">
        <f>IF(AND(H2427="Realizado",L2427&lt;&gt;"",A2427&lt;=Config!$B$9),L2427/60,0)</f>
        <v>0</v>
      </c>
      <c r="S2427" s="45">
        <f>IF(G2427="","",IFERROR(INDEX(Config!$K$5:$K$16,MATCH(G2427,Config!$J$5:$J$16,0)),""))</f>
        <v/>
      </c>
      <c r="T2427" s="31">
        <f>IF(OR(G2427="",F2427=""),"",IFERROR(INDEX(Config!$M$5:$R$16,MATCH(G2427,Config!$J$5:$J$16,0),MATCH(F2427,Config!$H$5:$H$10,0)),""))</f>
        <v/>
      </c>
      <c r="U2427" s="47">
        <f>IF(AND(H2427="Realizado",L2427&lt;&gt;""),L2427/60,0)</f>
        <v>0</v>
      </c>
      <c r="V2427" s="47">
        <f>IF(AND(H2427="Realizado",OR(L2427="",M2427="")),1,0)</f>
        <v>0</v>
      </c>
    </row>
    <row r="2428">
      <c r="A2428" s="43" t="n"/>
      <c r="B2428" s="44" t="n"/>
      <c r="C2428" s="38" t="n"/>
      <c r="D2428" s="38" t="n"/>
      <c r="E2428" s="37" t="n"/>
      <c r="F2428" s="38" t="n"/>
      <c r="G2428" s="38" t="n"/>
      <c r="H2428" s="38" t="n"/>
      <c r="I2428" s="38" t="n"/>
      <c r="J2428" s="38" t="n"/>
      <c r="K2428" s="37" t="n"/>
      <c r="L2428" s="39" t="n"/>
      <c r="M2428" s="40" t="n"/>
      <c r="N2428" s="30">
        <f>IF(A2428="","",MONTH(A2428))</f>
        <v/>
      </c>
      <c r="O2428" s="30">
        <f>IF(A2428="","",YEAR(A2428))</f>
        <v/>
      </c>
      <c r="P2428" s="30">
        <f>IF(A2428="","",CHOOSE(WEEKDAY(A2428,2),"Segunda","Terça","Quarta","Quinta","Sexta","Sábado","Domingo"))</f>
        <v/>
      </c>
      <c r="Q2428" s="30">
        <f>IF(B2428="","",IF(B2428&lt;TIME(12,0,0),"Manhã",IF(B2428&lt;TIME(18,0,0),"Tarde","Noite")))</f>
        <v/>
      </c>
      <c r="R2428" s="46">
        <f>IF(AND(H2428="Realizado",L2428&lt;&gt;"",A2428&lt;=Config!$B$9),L2428/60,0)</f>
        <v>0</v>
      </c>
      <c r="S2428" s="45">
        <f>IF(G2428="","",IFERROR(INDEX(Config!$K$5:$K$16,MATCH(G2428,Config!$J$5:$J$16,0)),""))</f>
        <v/>
      </c>
      <c r="T2428" s="31">
        <f>IF(OR(G2428="",F2428=""),"",IFERROR(INDEX(Config!$M$5:$R$16,MATCH(G2428,Config!$J$5:$J$16,0),MATCH(F2428,Config!$H$5:$H$10,0)),""))</f>
        <v/>
      </c>
      <c r="U2428" s="47">
        <f>IF(AND(H2428="Realizado",L2428&lt;&gt;""),L2428/60,0)</f>
        <v>0</v>
      </c>
      <c r="V2428" s="47">
        <f>IF(AND(H2428="Realizado",OR(L2428="",M2428="")),1,0)</f>
        <v>0</v>
      </c>
    </row>
    <row r="2429">
      <c r="A2429" s="43" t="n"/>
      <c r="B2429" s="44" t="n"/>
      <c r="C2429" s="38" t="n"/>
      <c r="D2429" s="38" t="n"/>
      <c r="E2429" s="37" t="n"/>
      <c r="F2429" s="38" t="n"/>
      <c r="G2429" s="38" t="n"/>
      <c r="H2429" s="38" t="n"/>
      <c r="I2429" s="38" t="n"/>
      <c r="J2429" s="38" t="n"/>
      <c r="K2429" s="37" t="n"/>
      <c r="L2429" s="39" t="n"/>
      <c r="M2429" s="40" t="n"/>
      <c r="N2429" s="30">
        <f>IF(A2429="","",MONTH(A2429))</f>
        <v/>
      </c>
      <c r="O2429" s="30">
        <f>IF(A2429="","",YEAR(A2429))</f>
        <v/>
      </c>
      <c r="P2429" s="30">
        <f>IF(A2429="","",CHOOSE(WEEKDAY(A2429,2),"Segunda","Terça","Quarta","Quinta","Sexta","Sábado","Domingo"))</f>
        <v/>
      </c>
      <c r="Q2429" s="30">
        <f>IF(B2429="","",IF(B2429&lt;TIME(12,0,0),"Manhã",IF(B2429&lt;TIME(18,0,0),"Tarde","Noite")))</f>
        <v/>
      </c>
      <c r="R2429" s="46">
        <f>IF(AND(H2429="Realizado",L2429&lt;&gt;"",A2429&lt;=Config!$B$9),L2429/60,0)</f>
        <v>0</v>
      </c>
      <c r="S2429" s="45">
        <f>IF(G2429="","",IFERROR(INDEX(Config!$K$5:$K$16,MATCH(G2429,Config!$J$5:$J$16,0)),""))</f>
        <v/>
      </c>
      <c r="T2429" s="31">
        <f>IF(OR(G2429="",F2429=""),"",IFERROR(INDEX(Config!$M$5:$R$16,MATCH(G2429,Config!$J$5:$J$16,0),MATCH(F2429,Config!$H$5:$H$10,0)),""))</f>
        <v/>
      </c>
      <c r="U2429" s="47">
        <f>IF(AND(H2429="Realizado",L2429&lt;&gt;""),L2429/60,0)</f>
        <v>0</v>
      </c>
      <c r="V2429" s="47">
        <f>IF(AND(H2429="Realizado",OR(L2429="",M2429="")),1,0)</f>
        <v>0</v>
      </c>
    </row>
    <row r="2430">
      <c r="A2430" s="43" t="n"/>
      <c r="B2430" s="44" t="n"/>
      <c r="C2430" s="38" t="n"/>
      <c r="D2430" s="38" t="n"/>
      <c r="E2430" s="37" t="n"/>
      <c r="F2430" s="38" t="n"/>
      <c r="G2430" s="38" t="n"/>
      <c r="H2430" s="38" t="n"/>
      <c r="I2430" s="38" t="n"/>
      <c r="J2430" s="38" t="n"/>
      <c r="K2430" s="37" t="n"/>
      <c r="L2430" s="39" t="n"/>
      <c r="M2430" s="40" t="n"/>
      <c r="N2430" s="30">
        <f>IF(A2430="","",MONTH(A2430))</f>
        <v/>
      </c>
      <c r="O2430" s="30">
        <f>IF(A2430="","",YEAR(A2430))</f>
        <v/>
      </c>
      <c r="P2430" s="30">
        <f>IF(A2430="","",CHOOSE(WEEKDAY(A2430,2),"Segunda","Terça","Quarta","Quinta","Sexta","Sábado","Domingo"))</f>
        <v/>
      </c>
      <c r="Q2430" s="30">
        <f>IF(B2430="","",IF(B2430&lt;TIME(12,0,0),"Manhã",IF(B2430&lt;TIME(18,0,0),"Tarde","Noite")))</f>
        <v/>
      </c>
      <c r="R2430" s="46">
        <f>IF(AND(H2430="Realizado",L2430&lt;&gt;"",A2430&lt;=Config!$B$9),L2430/60,0)</f>
        <v>0</v>
      </c>
      <c r="S2430" s="45">
        <f>IF(G2430="","",IFERROR(INDEX(Config!$K$5:$K$16,MATCH(G2430,Config!$J$5:$J$16,0)),""))</f>
        <v/>
      </c>
      <c r="T2430" s="31">
        <f>IF(OR(G2430="",F2430=""),"",IFERROR(INDEX(Config!$M$5:$R$16,MATCH(G2430,Config!$J$5:$J$16,0),MATCH(F2430,Config!$H$5:$H$10,0)),""))</f>
        <v/>
      </c>
      <c r="U2430" s="47">
        <f>IF(AND(H2430="Realizado",L2430&lt;&gt;""),L2430/60,0)</f>
        <v>0</v>
      </c>
      <c r="V2430" s="47">
        <f>IF(AND(H2430="Realizado",OR(L2430="",M2430="")),1,0)</f>
        <v>0</v>
      </c>
    </row>
    <row r="2431">
      <c r="A2431" s="43" t="n"/>
      <c r="B2431" s="44" t="n"/>
      <c r="C2431" s="38" t="n"/>
      <c r="D2431" s="38" t="n"/>
      <c r="E2431" s="37" t="n"/>
      <c r="F2431" s="38" t="n"/>
      <c r="G2431" s="38" t="n"/>
      <c r="H2431" s="38" t="n"/>
      <c r="I2431" s="38" t="n"/>
      <c r="J2431" s="38" t="n"/>
      <c r="K2431" s="37" t="n"/>
      <c r="L2431" s="39" t="n"/>
      <c r="M2431" s="40" t="n"/>
      <c r="N2431" s="30">
        <f>IF(A2431="","",MONTH(A2431))</f>
        <v/>
      </c>
      <c r="O2431" s="30">
        <f>IF(A2431="","",YEAR(A2431))</f>
        <v/>
      </c>
      <c r="P2431" s="30">
        <f>IF(A2431="","",CHOOSE(WEEKDAY(A2431,2),"Segunda","Terça","Quarta","Quinta","Sexta","Sábado","Domingo"))</f>
        <v/>
      </c>
      <c r="Q2431" s="30">
        <f>IF(B2431="","",IF(B2431&lt;TIME(12,0,0),"Manhã",IF(B2431&lt;TIME(18,0,0),"Tarde","Noite")))</f>
        <v/>
      </c>
      <c r="R2431" s="46">
        <f>IF(AND(H2431="Realizado",L2431&lt;&gt;"",A2431&lt;=Config!$B$9),L2431/60,0)</f>
        <v>0</v>
      </c>
      <c r="S2431" s="45">
        <f>IF(G2431="","",IFERROR(INDEX(Config!$K$5:$K$16,MATCH(G2431,Config!$J$5:$J$16,0)),""))</f>
        <v/>
      </c>
      <c r="T2431" s="31">
        <f>IF(OR(G2431="",F2431=""),"",IFERROR(INDEX(Config!$M$5:$R$16,MATCH(G2431,Config!$J$5:$J$16,0),MATCH(F2431,Config!$H$5:$H$10,0)),""))</f>
        <v/>
      </c>
      <c r="U2431" s="47">
        <f>IF(AND(H2431="Realizado",L2431&lt;&gt;""),L2431/60,0)</f>
        <v>0</v>
      </c>
      <c r="V2431" s="47">
        <f>IF(AND(H2431="Realizado",OR(L2431="",M2431="")),1,0)</f>
        <v>0</v>
      </c>
    </row>
    <row r="2432">
      <c r="A2432" s="43" t="n"/>
      <c r="B2432" s="44" t="n"/>
      <c r="C2432" s="38" t="n"/>
      <c r="D2432" s="38" t="n"/>
      <c r="E2432" s="37" t="n"/>
      <c r="F2432" s="38" t="n"/>
      <c r="G2432" s="38" t="n"/>
      <c r="H2432" s="38" t="n"/>
      <c r="I2432" s="38" t="n"/>
      <c r="J2432" s="38" t="n"/>
      <c r="K2432" s="37" t="n"/>
      <c r="L2432" s="39" t="n"/>
      <c r="M2432" s="40" t="n"/>
      <c r="N2432" s="30">
        <f>IF(A2432="","",MONTH(A2432))</f>
        <v/>
      </c>
      <c r="O2432" s="30">
        <f>IF(A2432="","",YEAR(A2432))</f>
        <v/>
      </c>
      <c r="P2432" s="30">
        <f>IF(A2432="","",CHOOSE(WEEKDAY(A2432,2),"Segunda","Terça","Quarta","Quinta","Sexta","Sábado","Domingo"))</f>
        <v/>
      </c>
      <c r="Q2432" s="30">
        <f>IF(B2432="","",IF(B2432&lt;TIME(12,0,0),"Manhã",IF(B2432&lt;TIME(18,0,0),"Tarde","Noite")))</f>
        <v/>
      </c>
      <c r="R2432" s="46">
        <f>IF(AND(H2432="Realizado",L2432&lt;&gt;"",A2432&lt;=Config!$B$9),L2432/60,0)</f>
        <v>0</v>
      </c>
      <c r="S2432" s="45">
        <f>IF(G2432="","",IFERROR(INDEX(Config!$K$5:$K$16,MATCH(G2432,Config!$J$5:$J$16,0)),""))</f>
        <v/>
      </c>
      <c r="T2432" s="31">
        <f>IF(OR(G2432="",F2432=""),"",IFERROR(INDEX(Config!$M$5:$R$16,MATCH(G2432,Config!$J$5:$J$16,0),MATCH(F2432,Config!$H$5:$H$10,0)),""))</f>
        <v/>
      </c>
      <c r="U2432" s="47">
        <f>IF(AND(H2432="Realizado",L2432&lt;&gt;""),L2432/60,0)</f>
        <v>0</v>
      </c>
      <c r="V2432" s="47">
        <f>IF(AND(H2432="Realizado",OR(L2432="",M2432="")),1,0)</f>
        <v>0</v>
      </c>
    </row>
    <row r="2433">
      <c r="A2433" s="43" t="n"/>
      <c r="B2433" s="44" t="n"/>
      <c r="C2433" s="38" t="n"/>
      <c r="D2433" s="38" t="n"/>
      <c r="E2433" s="37" t="n"/>
      <c r="F2433" s="38" t="n"/>
      <c r="G2433" s="38" t="n"/>
      <c r="H2433" s="38" t="n"/>
      <c r="I2433" s="38" t="n"/>
      <c r="J2433" s="38" t="n"/>
      <c r="K2433" s="37" t="n"/>
      <c r="L2433" s="39" t="n"/>
      <c r="M2433" s="40" t="n"/>
      <c r="N2433" s="30">
        <f>IF(A2433="","",MONTH(A2433))</f>
        <v/>
      </c>
      <c r="O2433" s="30">
        <f>IF(A2433="","",YEAR(A2433))</f>
        <v/>
      </c>
      <c r="P2433" s="30">
        <f>IF(A2433="","",CHOOSE(WEEKDAY(A2433,2),"Segunda","Terça","Quarta","Quinta","Sexta","Sábado","Domingo"))</f>
        <v/>
      </c>
      <c r="Q2433" s="30">
        <f>IF(B2433="","",IF(B2433&lt;TIME(12,0,0),"Manhã",IF(B2433&lt;TIME(18,0,0),"Tarde","Noite")))</f>
        <v/>
      </c>
      <c r="R2433" s="46">
        <f>IF(AND(H2433="Realizado",L2433&lt;&gt;"",A2433&lt;=Config!$B$9),L2433/60,0)</f>
        <v>0</v>
      </c>
      <c r="S2433" s="45">
        <f>IF(G2433="","",IFERROR(INDEX(Config!$K$5:$K$16,MATCH(G2433,Config!$J$5:$J$16,0)),""))</f>
        <v/>
      </c>
      <c r="T2433" s="31">
        <f>IF(OR(G2433="",F2433=""),"",IFERROR(INDEX(Config!$M$5:$R$16,MATCH(G2433,Config!$J$5:$J$16,0),MATCH(F2433,Config!$H$5:$H$10,0)),""))</f>
        <v/>
      </c>
      <c r="U2433" s="47">
        <f>IF(AND(H2433="Realizado",L2433&lt;&gt;""),L2433/60,0)</f>
        <v>0</v>
      </c>
      <c r="V2433" s="47">
        <f>IF(AND(H2433="Realizado",OR(L2433="",M2433="")),1,0)</f>
        <v>0</v>
      </c>
    </row>
    <row r="2434">
      <c r="A2434" s="43" t="n"/>
      <c r="B2434" s="44" t="n"/>
      <c r="C2434" s="38" t="n"/>
      <c r="D2434" s="38" t="n"/>
      <c r="E2434" s="37" t="n"/>
      <c r="F2434" s="38" t="n"/>
      <c r="G2434" s="38" t="n"/>
      <c r="H2434" s="38" t="n"/>
      <c r="I2434" s="38" t="n"/>
      <c r="J2434" s="38" t="n"/>
      <c r="K2434" s="37" t="n"/>
      <c r="L2434" s="39" t="n"/>
      <c r="M2434" s="40" t="n"/>
      <c r="N2434" s="30">
        <f>IF(A2434="","",MONTH(A2434))</f>
        <v/>
      </c>
      <c r="O2434" s="30">
        <f>IF(A2434="","",YEAR(A2434))</f>
        <v/>
      </c>
      <c r="P2434" s="30">
        <f>IF(A2434="","",CHOOSE(WEEKDAY(A2434,2),"Segunda","Terça","Quarta","Quinta","Sexta","Sábado","Domingo"))</f>
        <v/>
      </c>
      <c r="Q2434" s="30">
        <f>IF(B2434="","",IF(B2434&lt;TIME(12,0,0),"Manhã",IF(B2434&lt;TIME(18,0,0),"Tarde","Noite")))</f>
        <v/>
      </c>
      <c r="R2434" s="46">
        <f>IF(AND(H2434="Realizado",L2434&lt;&gt;"",A2434&lt;=Config!$B$9),L2434/60,0)</f>
        <v>0</v>
      </c>
      <c r="S2434" s="45">
        <f>IF(G2434="","",IFERROR(INDEX(Config!$K$5:$K$16,MATCH(G2434,Config!$J$5:$J$16,0)),""))</f>
        <v/>
      </c>
      <c r="T2434" s="31">
        <f>IF(OR(G2434="",F2434=""),"",IFERROR(INDEX(Config!$M$5:$R$16,MATCH(G2434,Config!$J$5:$J$16,0),MATCH(F2434,Config!$H$5:$H$10,0)),""))</f>
        <v/>
      </c>
      <c r="U2434" s="47">
        <f>IF(AND(H2434="Realizado",L2434&lt;&gt;""),L2434/60,0)</f>
        <v>0</v>
      </c>
      <c r="V2434" s="47">
        <f>IF(AND(H2434="Realizado",OR(L2434="",M2434="")),1,0)</f>
        <v>0</v>
      </c>
    </row>
    <row r="2435">
      <c r="A2435" s="43" t="n"/>
      <c r="B2435" s="44" t="n"/>
      <c r="C2435" s="38" t="n"/>
      <c r="D2435" s="38" t="n"/>
      <c r="E2435" s="37" t="n"/>
      <c r="F2435" s="38" t="n"/>
      <c r="G2435" s="38" t="n"/>
      <c r="H2435" s="38" t="n"/>
      <c r="I2435" s="38" t="n"/>
      <c r="J2435" s="38" t="n"/>
      <c r="K2435" s="37" t="n"/>
      <c r="L2435" s="39" t="n"/>
      <c r="M2435" s="40" t="n"/>
      <c r="N2435" s="30">
        <f>IF(A2435="","",MONTH(A2435))</f>
        <v/>
      </c>
      <c r="O2435" s="30">
        <f>IF(A2435="","",YEAR(A2435))</f>
        <v/>
      </c>
      <c r="P2435" s="30">
        <f>IF(A2435="","",CHOOSE(WEEKDAY(A2435,2),"Segunda","Terça","Quarta","Quinta","Sexta","Sábado","Domingo"))</f>
        <v/>
      </c>
      <c r="Q2435" s="30">
        <f>IF(B2435="","",IF(B2435&lt;TIME(12,0,0),"Manhã",IF(B2435&lt;TIME(18,0,0),"Tarde","Noite")))</f>
        <v/>
      </c>
      <c r="R2435" s="46">
        <f>IF(AND(H2435="Realizado",L2435&lt;&gt;"",A2435&lt;=Config!$B$9),L2435/60,0)</f>
        <v>0</v>
      </c>
      <c r="S2435" s="45">
        <f>IF(G2435="","",IFERROR(INDEX(Config!$K$5:$K$16,MATCH(G2435,Config!$J$5:$J$16,0)),""))</f>
        <v/>
      </c>
      <c r="T2435" s="31">
        <f>IF(OR(G2435="",F2435=""),"",IFERROR(INDEX(Config!$M$5:$R$16,MATCH(G2435,Config!$J$5:$J$16,0),MATCH(F2435,Config!$H$5:$H$10,0)),""))</f>
        <v/>
      </c>
      <c r="U2435" s="47">
        <f>IF(AND(H2435="Realizado",L2435&lt;&gt;""),L2435/60,0)</f>
        <v>0</v>
      </c>
      <c r="V2435" s="47">
        <f>IF(AND(H2435="Realizado",OR(L2435="",M2435="")),1,0)</f>
        <v>0</v>
      </c>
    </row>
    <row r="2436">
      <c r="A2436" s="43" t="n"/>
      <c r="B2436" s="44" t="n"/>
      <c r="C2436" s="38" t="n"/>
      <c r="D2436" s="38" t="n"/>
      <c r="E2436" s="37" t="n"/>
      <c r="F2436" s="38" t="n"/>
      <c r="G2436" s="38" t="n"/>
      <c r="H2436" s="38" t="n"/>
      <c r="I2436" s="38" t="n"/>
      <c r="J2436" s="38" t="n"/>
      <c r="K2436" s="37" t="n"/>
      <c r="L2436" s="39" t="n"/>
      <c r="M2436" s="40" t="n"/>
      <c r="N2436" s="30">
        <f>IF(A2436="","",MONTH(A2436))</f>
        <v/>
      </c>
      <c r="O2436" s="30">
        <f>IF(A2436="","",YEAR(A2436))</f>
        <v/>
      </c>
      <c r="P2436" s="30">
        <f>IF(A2436="","",CHOOSE(WEEKDAY(A2436,2),"Segunda","Terça","Quarta","Quinta","Sexta","Sábado","Domingo"))</f>
        <v/>
      </c>
      <c r="Q2436" s="30">
        <f>IF(B2436="","",IF(B2436&lt;TIME(12,0,0),"Manhã",IF(B2436&lt;TIME(18,0,0),"Tarde","Noite")))</f>
        <v/>
      </c>
      <c r="R2436" s="46">
        <f>IF(AND(H2436="Realizado",L2436&lt;&gt;"",A2436&lt;=Config!$B$9),L2436/60,0)</f>
        <v>0</v>
      </c>
      <c r="S2436" s="45">
        <f>IF(G2436="","",IFERROR(INDEX(Config!$K$5:$K$16,MATCH(G2436,Config!$J$5:$J$16,0)),""))</f>
        <v/>
      </c>
      <c r="T2436" s="31">
        <f>IF(OR(G2436="",F2436=""),"",IFERROR(INDEX(Config!$M$5:$R$16,MATCH(G2436,Config!$J$5:$J$16,0),MATCH(F2436,Config!$H$5:$H$10,0)),""))</f>
        <v/>
      </c>
      <c r="U2436" s="47">
        <f>IF(AND(H2436="Realizado",L2436&lt;&gt;""),L2436/60,0)</f>
        <v>0</v>
      </c>
      <c r="V2436" s="47">
        <f>IF(AND(H2436="Realizado",OR(L2436="",M2436="")),1,0)</f>
        <v>0</v>
      </c>
    </row>
    <row r="2437">
      <c r="A2437" s="43" t="n"/>
      <c r="B2437" s="44" t="n"/>
      <c r="C2437" s="38" t="n"/>
      <c r="D2437" s="38" t="n"/>
      <c r="E2437" s="37" t="n"/>
      <c r="F2437" s="38" t="n"/>
      <c r="G2437" s="38" t="n"/>
      <c r="H2437" s="38" t="n"/>
      <c r="I2437" s="38" t="n"/>
      <c r="J2437" s="38" t="n"/>
      <c r="K2437" s="37" t="n"/>
      <c r="L2437" s="39" t="n"/>
      <c r="M2437" s="40" t="n"/>
      <c r="N2437" s="30">
        <f>IF(A2437="","",MONTH(A2437))</f>
        <v/>
      </c>
      <c r="O2437" s="30">
        <f>IF(A2437="","",YEAR(A2437))</f>
        <v/>
      </c>
      <c r="P2437" s="30">
        <f>IF(A2437="","",CHOOSE(WEEKDAY(A2437,2),"Segunda","Terça","Quarta","Quinta","Sexta","Sábado","Domingo"))</f>
        <v/>
      </c>
      <c r="Q2437" s="30">
        <f>IF(B2437="","",IF(B2437&lt;TIME(12,0,0),"Manhã",IF(B2437&lt;TIME(18,0,0),"Tarde","Noite")))</f>
        <v/>
      </c>
      <c r="R2437" s="46">
        <f>IF(AND(H2437="Realizado",L2437&lt;&gt;"",A2437&lt;=Config!$B$9),L2437/60,0)</f>
        <v>0</v>
      </c>
      <c r="S2437" s="45">
        <f>IF(G2437="","",IFERROR(INDEX(Config!$K$5:$K$16,MATCH(G2437,Config!$J$5:$J$16,0)),""))</f>
        <v/>
      </c>
      <c r="T2437" s="31">
        <f>IF(OR(G2437="",F2437=""),"",IFERROR(INDEX(Config!$M$5:$R$16,MATCH(G2437,Config!$J$5:$J$16,0),MATCH(F2437,Config!$H$5:$H$10,0)),""))</f>
        <v/>
      </c>
      <c r="U2437" s="47">
        <f>IF(AND(H2437="Realizado",L2437&lt;&gt;""),L2437/60,0)</f>
        <v>0</v>
      </c>
      <c r="V2437" s="47">
        <f>IF(AND(H2437="Realizado",OR(L2437="",M2437="")),1,0)</f>
        <v>0</v>
      </c>
    </row>
    <row r="2438">
      <c r="A2438" s="43" t="n"/>
      <c r="B2438" s="44" t="n"/>
      <c r="C2438" s="38" t="n"/>
      <c r="D2438" s="38" t="n"/>
      <c r="E2438" s="37" t="n"/>
      <c r="F2438" s="38" t="n"/>
      <c r="G2438" s="38" t="n"/>
      <c r="H2438" s="38" t="n"/>
      <c r="I2438" s="38" t="n"/>
      <c r="J2438" s="38" t="n"/>
      <c r="K2438" s="37" t="n"/>
      <c r="L2438" s="39" t="n"/>
      <c r="M2438" s="40" t="n"/>
      <c r="N2438" s="30">
        <f>IF(A2438="","",MONTH(A2438))</f>
        <v/>
      </c>
      <c r="O2438" s="30">
        <f>IF(A2438="","",YEAR(A2438))</f>
        <v/>
      </c>
      <c r="P2438" s="30">
        <f>IF(A2438="","",CHOOSE(WEEKDAY(A2438,2),"Segunda","Terça","Quarta","Quinta","Sexta","Sábado","Domingo"))</f>
        <v/>
      </c>
      <c r="Q2438" s="30">
        <f>IF(B2438="","",IF(B2438&lt;TIME(12,0,0),"Manhã",IF(B2438&lt;TIME(18,0,0),"Tarde","Noite")))</f>
        <v/>
      </c>
      <c r="R2438" s="46">
        <f>IF(AND(H2438="Realizado",L2438&lt;&gt;"",A2438&lt;=Config!$B$9),L2438/60,0)</f>
        <v>0</v>
      </c>
      <c r="S2438" s="45">
        <f>IF(G2438="","",IFERROR(INDEX(Config!$K$5:$K$16,MATCH(G2438,Config!$J$5:$J$16,0)),""))</f>
        <v/>
      </c>
      <c r="T2438" s="31">
        <f>IF(OR(G2438="",F2438=""),"",IFERROR(INDEX(Config!$M$5:$R$16,MATCH(G2438,Config!$J$5:$J$16,0),MATCH(F2438,Config!$H$5:$H$10,0)),""))</f>
        <v/>
      </c>
      <c r="U2438" s="47">
        <f>IF(AND(H2438="Realizado",L2438&lt;&gt;""),L2438/60,0)</f>
        <v>0</v>
      </c>
      <c r="V2438" s="47">
        <f>IF(AND(H2438="Realizado",OR(L2438="",M2438="")),1,0)</f>
        <v>0</v>
      </c>
    </row>
    <row r="2439">
      <c r="A2439" s="43" t="n"/>
      <c r="B2439" s="44" t="n"/>
      <c r="C2439" s="38" t="n"/>
      <c r="D2439" s="38" t="n"/>
      <c r="E2439" s="37" t="n"/>
      <c r="F2439" s="38" t="n"/>
      <c r="G2439" s="38" t="n"/>
      <c r="H2439" s="38" t="n"/>
      <c r="I2439" s="38" t="n"/>
      <c r="J2439" s="38" t="n"/>
      <c r="K2439" s="37" t="n"/>
      <c r="L2439" s="39" t="n"/>
      <c r="M2439" s="40" t="n"/>
      <c r="N2439" s="30">
        <f>IF(A2439="","",MONTH(A2439))</f>
        <v/>
      </c>
      <c r="O2439" s="30">
        <f>IF(A2439="","",YEAR(A2439))</f>
        <v/>
      </c>
      <c r="P2439" s="30">
        <f>IF(A2439="","",CHOOSE(WEEKDAY(A2439,2),"Segunda","Terça","Quarta","Quinta","Sexta","Sábado","Domingo"))</f>
        <v/>
      </c>
      <c r="Q2439" s="30">
        <f>IF(B2439="","",IF(B2439&lt;TIME(12,0,0),"Manhã",IF(B2439&lt;TIME(18,0,0),"Tarde","Noite")))</f>
        <v/>
      </c>
      <c r="R2439" s="46">
        <f>IF(AND(H2439="Realizado",L2439&lt;&gt;"",A2439&lt;=Config!$B$9),L2439/60,0)</f>
        <v>0</v>
      </c>
      <c r="S2439" s="45">
        <f>IF(G2439="","",IFERROR(INDEX(Config!$K$5:$K$16,MATCH(G2439,Config!$J$5:$J$16,0)),""))</f>
        <v/>
      </c>
      <c r="T2439" s="31">
        <f>IF(OR(G2439="",F2439=""),"",IFERROR(INDEX(Config!$M$5:$R$16,MATCH(G2439,Config!$J$5:$J$16,0),MATCH(F2439,Config!$H$5:$H$10,0)),""))</f>
        <v/>
      </c>
      <c r="U2439" s="47">
        <f>IF(AND(H2439="Realizado",L2439&lt;&gt;""),L2439/60,0)</f>
        <v>0</v>
      </c>
      <c r="V2439" s="47">
        <f>IF(AND(H2439="Realizado",OR(L2439="",M2439="")),1,0)</f>
        <v>0</v>
      </c>
    </row>
    <row r="2440">
      <c r="A2440" s="43" t="n"/>
      <c r="B2440" s="44" t="n"/>
      <c r="C2440" s="38" t="n"/>
      <c r="D2440" s="38" t="n"/>
      <c r="E2440" s="37" t="n"/>
      <c r="F2440" s="38" t="n"/>
      <c r="G2440" s="38" t="n"/>
      <c r="H2440" s="38" t="n"/>
      <c r="I2440" s="38" t="n"/>
      <c r="J2440" s="38" t="n"/>
      <c r="K2440" s="37" t="n"/>
      <c r="L2440" s="39" t="n"/>
      <c r="M2440" s="40" t="n"/>
      <c r="N2440" s="30">
        <f>IF(A2440="","",MONTH(A2440))</f>
        <v/>
      </c>
      <c r="O2440" s="30">
        <f>IF(A2440="","",YEAR(A2440))</f>
        <v/>
      </c>
      <c r="P2440" s="30">
        <f>IF(A2440="","",CHOOSE(WEEKDAY(A2440,2),"Segunda","Terça","Quarta","Quinta","Sexta","Sábado","Domingo"))</f>
        <v/>
      </c>
      <c r="Q2440" s="30">
        <f>IF(B2440="","",IF(B2440&lt;TIME(12,0,0),"Manhã",IF(B2440&lt;TIME(18,0,0),"Tarde","Noite")))</f>
        <v/>
      </c>
      <c r="R2440" s="46">
        <f>IF(AND(H2440="Realizado",L2440&lt;&gt;"",A2440&lt;=Config!$B$9),L2440/60,0)</f>
        <v>0</v>
      </c>
      <c r="S2440" s="45">
        <f>IF(G2440="","",IFERROR(INDEX(Config!$K$5:$K$16,MATCH(G2440,Config!$J$5:$J$16,0)),""))</f>
        <v/>
      </c>
      <c r="T2440" s="31">
        <f>IF(OR(G2440="",F2440=""),"",IFERROR(INDEX(Config!$M$5:$R$16,MATCH(G2440,Config!$J$5:$J$16,0),MATCH(F2440,Config!$H$5:$H$10,0)),""))</f>
        <v/>
      </c>
      <c r="U2440" s="47">
        <f>IF(AND(H2440="Realizado",L2440&lt;&gt;""),L2440/60,0)</f>
        <v>0</v>
      </c>
      <c r="V2440" s="47">
        <f>IF(AND(H2440="Realizado",OR(L2440="",M2440="")),1,0)</f>
        <v>0</v>
      </c>
    </row>
    <row r="2441">
      <c r="A2441" s="43" t="n"/>
      <c r="B2441" s="44" t="n"/>
      <c r="C2441" s="38" t="n"/>
      <c r="D2441" s="38" t="n"/>
      <c r="E2441" s="37" t="n"/>
      <c r="F2441" s="38" t="n"/>
      <c r="G2441" s="38" t="n"/>
      <c r="H2441" s="38" t="n"/>
      <c r="I2441" s="38" t="n"/>
      <c r="J2441" s="38" t="n"/>
      <c r="K2441" s="37" t="n"/>
      <c r="L2441" s="39" t="n"/>
      <c r="M2441" s="40" t="n"/>
      <c r="N2441" s="30">
        <f>IF(A2441="","",MONTH(A2441))</f>
        <v/>
      </c>
      <c r="O2441" s="30">
        <f>IF(A2441="","",YEAR(A2441))</f>
        <v/>
      </c>
      <c r="P2441" s="30">
        <f>IF(A2441="","",CHOOSE(WEEKDAY(A2441,2),"Segunda","Terça","Quarta","Quinta","Sexta","Sábado","Domingo"))</f>
        <v/>
      </c>
      <c r="Q2441" s="30">
        <f>IF(B2441="","",IF(B2441&lt;TIME(12,0,0),"Manhã",IF(B2441&lt;TIME(18,0,0),"Tarde","Noite")))</f>
        <v/>
      </c>
      <c r="R2441" s="46">
        <f>IF(AND(H2441="Realizado",L2441&lt;&gt;"",A2441&lt;=Config!$B$9),L2441/60,0)</f>
        <v>0</v>
      </c>
      <c r="S2441" s="45">
        <f>IF(G2441="","",IFERROR(INDEX(Config!$K$5:$K$16,MATCH(G2441,Config!$J$5:$J$16,0)),""))</f>
        <v/>
      </c>
      <c r="T2441" s="31">
        <f>IF(OR(G2441="",F2441=""),"",IFERROR(INDEX(Config!$M$5:$R$16,MATCH(G2441,Config!$J$5:$J$16,0),MATCH(F2441,Config!$H$5:$H$10,0)),""))</f>
        <v/>
      </c>
      <c r="U2441" s="47">
        <f>IF(AND(H2441="Realizado",L2441&lt;&gt;""),L2441/60,0)</f>
        <v>0</v>
      </c>
      <c r="V2441" s="47">
        <f>IF(AND(H2441="Realizado",OR(L2441="",M2441="")),1,0)</f>
        <v>0</v>
      </c>
    </row>
    <row r="2442">
      <c r="A2442" s="43" t="n"/>
      <c r="B2442" s="44" t="n"/>
      <c r="C2442" s="38" t="n"/>
      <c r="D2442" s="38" t="n"/>
      <c r="E2442" s="37" t="n"/>
      <c r="F2442" s="38" t="n"/>
      <c r="G2442" s="38" t="n"/>
      <c r="H2442" s="38" t="n"/>
      <c r="I2442" s="38" t="n"/>
      <c r="J2442" s="38" t="n"/>
      <c r="K2442" s="37" t="n"/>
      <c r="L2442" s="39" t="n"/>
      <c r="M2442" s="40" t="n"/>
      <c r="N2442" s="30">
        <f>IF(A2442="","",MONTH(A2442))</f>
        <v/>
      </c>
      <c r="O2442" s="30">
        <f>IF(A2442="","",YEAR(A2442))</f>
        <v/>
      </c>
      <c r="P2442" s="30">
        <f>IF(A2442="","",CHOOSE(WEEKDAY(A2442,2),"Segunda","Terça","Quarta","Quinta","Sexta","Sábado","Domingo"))</f>
        <v/>
      </c>
      <c r="Q2442" s="30">
        <f>IF(B2442="","",IF(B2442&lt;TIME(12,0,0),"Manhã",IF(B2442&lt;TIME(18,0,0),"Tarde","Noite")))</f>
        <v/>
      </c>
      <c r="R2442" s="46">
        <f>IF(AND(H2442="Realizado",L2442&lt;&gt;"",A2442&lt;=Config!$B$9),L2442/60,0)</f>
        <v>0</v>
      </c>
      <c r="S2442" s="45">
        <f>IF(G2442="","",IFERROR(INDEX(Config!$K$5:$K$16,MATCH(G2442,Config!$J$5:$J$16,0)),""))</f>
        <v/>
      </c>
      <c r="T2442" s="31">
        <f>IF(OR(G2442="",F2442=""),"",IFERROR(INDEX(Config!$M$5:$R$16,MATCH(G2442,Config!$J$5:$J$16,0),MATCH(F2442,Config!$H$5:$H$10,0)),""))</f>
        <v/>
      </c>
      <c r="U2442" s="47">
        <f>IF(AND(H2442="Realizado",L2442&lt;&gt;""),L2442/60,0)</f>
        <v>0</v>
      </c>
      <c r="V2442" s="47">
        <f>IF(AND(H2442="Realizado",OR(L2442="",M2442="")),1,0)</f>
        <v>0</v>
      </c>
    </row>
    <row r="2443">
      <c r="A2443" s="43" t="n"/>
      <c r="B2443" s="44" t="n"/>
      <c r="C2443" s="38" t="n"/>
      <c r="D2443" s="38" t="n"/>
      <c r="E2443" s="37" t="n"/>
      <c r="F2443" s="38" t="n"/>
      <c r="G2443" s="38" t="n"/>
      <c r="H2443" s="38" t="n"/>
      <c r="I2443" s="38" t="n"/>
      <c r="J2443" s="38" t="n"/>
      <c r="K2443" s="37" t="n"/>
      <c r="L2443" s="39" t="n"/>
      <c r="M2443" s="40" t="n"/>
      <c r="N2443" s="30">
        <f>IF(A2443="","",MONTH(A2443))</f>
        <v/>
      </c>
      <c r="O2443" s="30">
        <f>IF(A2443="","",YEAR(A2443))</f>
        <v/>
      </c>
      <c r="P2443" s="30">
        <f>IF(A2443="","",CHOOSE(WEEKDAY(A2443,2),"Segunda","Terça","Quarta","Quinta","Sexta","Sábado","Domingo"))</f>
        <v/>
      </c>
      <c r="Q2443" s="30">
        <f>IF(B2443="","",IF(B2443&lt;TIME(12,0,0),"Manhã",IF(B2443&lt;TIME(18,0,0),"Tarde","Noite")))</f>
        <v/>
      </c>
      <c r="R2443" s="46">
        <f>IF(AND(H2443="Realizado",L2443&lt;&gt;"",A2443&lt;=Config!$B$9),L2443/60,0)</f>
        <v>0</v>
      </c>
      <c r="S2443" s="45">
        <f>IF(G2443="","",IFERROR(INDEX(Config!$K$5:$K$16,MATCH(G2443,Config!$J$5:$J$16,0)),""))</f>
        <v/>
      </c>
      <c r="T2443" s="31">
        <f>IF(OR(G2443="",F2443=""),"",IFERROR(INDEX(Config!$M$5:$R$16,MATCH(G2443,Config!$J$5:$J$16,0),MATCH(F2443,Config!$H$5:$H$10,0)),""))</f>
        <v/>
      </c>
      <c r="U2443" s="47">
        <f>IF(AND(H2443="Realizado",L2443&lt;&gt;""),L2443/60,0)</f>
        <v>0</v>
      </c>
      <c r="V2443" s="47">
        <f>IF(AND(H2443="Realizado",OR(L2443="",M2443="")),1,0)</f>
        <v>0</v>
      </c>
    </row>
    <row r="2444">
      <c r="A2444" s="43" t="n"/>
      <c r="B2444" s="44" t="n"/>
      <c r="C2444" s="38" t="n"/>
      <c r="D2444" s="38" t="n"/>
      <c r="E2444" s="37" t="n"/>
      <c r="F2444" s="38" t="n"/>
      <c r="G2444" s="38" t="n"/>
      <c r="H2444" s="38" t="n"/>
      <c r="I2444" s="38" t="n"/>
      <c r="J2444" s="38" t="n"/>
      <c r="K2444" s="37" t="n"/>
      <c r="L2444" s="39" t="n"/>
      <c r="M2444" s="40" t="n"/>
      <c r="N2444" s="30">
        <f>IF(A2444="","",MONTH(A2444))</f>
        <v/>
      </c>
      <c r="O2444" s="30">
        <f>IF(A2444="","",YEAR(A2444))</f>
        <v/>
      </c>
      <c r="P2444" s="30">
        <f>IF(A2444="","",CHOOSE(WEEKDAY(A2444,2),"Segunda","Terça","Quarta","Quinta","Sexta","Sábado","Domingo"))</f>
        <v/>
      </c>
      <c r="Q2444" s="30">
        <f>IF(B2444="","",IF(B2444&lt;TIME(12,0,0),"Manhã",IF(B2444&lt;TIME(18,0,0),"Tarde","Noite")))</f>
        <v/>
      </c>
      <c r="R2444" s="46">
        <f>IF(AND(H2444="Realizado",L2444&lt;&gt;"",A2444&lt;=Config!$B$9),L2444/60,0)</f>
        <v>0</v>
      </c>
      <c r="S2444" s="45">
        <f>IF(G2444="","",IFERROR(INDEX(Config!$K$5:$K$16,MATCH(G2444,Config!$J$5:$J$16,0)),""))</f>
        <v/>
      </c>
      <c r="T2444" s="31">
        <f>IF(OR(G2444="",F2444=""),"",IFERROR(INDEX(Config!$M$5:$R$16,MATCH(G2444,Config!$J$5:$J$16,0),MATCH(F2444,Config!$H$5:$H$10,0)),""))</f>
        <v/>
      </c>
      <c r="U2444" s="47">
        <f>IF(AND(H2444="Realizado",L2444&lt;&gt;""),L2444/60,0)</f>
        <v>0</v>
      </c>
      <c r="V2444" s="47">
        <f>IF(AND(H2444="Realizado",OR(L2444="",M2444="")),1,0)</f>
        <v>0</v>
      </c>
    </row>
    <row r="2445">
      <c r="A2445" s="43" t="n"/>
      <c r="B2445" s="44" t="n"/>
      <c r="C2445" s="38" t="n"/>
      <c r="D2445" s="38" t="n"/>
      <c r="E2445" s="37" t="n"/>
      <c r="F2445" s="38" t="n"/>
      <c r="G2445" s="38" t="n"/>
      <c r="H2445" s="38" t="n"/>
      <c r="I2445" s="38" t="n"/>
      <c r="J2445" s="38" t="n"/>
      <c r="K2445" s="37" t="n"/>
      <c r="L2445" s="39" t="n"/>
      <c r="M2445" s="40" t="n"/>
      <c r="N2445" s="30">
        <f>IF(A2445="","",MONTH(A2445))</f>
        <v/>
      </c>
      <c r="O2445" s="30">
        <f>IF(A2445="","",YEAR(A2445))</f>
        <v/>
      </c>
      <c r="P2445" s="30">
        <f>IF(A2445="","",CHOOSE(WEEKDAY(A2445,2),"Segunda","Terça","Quarta","Quinta","Sexta","Sábado","Domingo"))</f>
        <v/>
      </c>
      <c r="Q2445" s="30">
        <f>IF(B2445="","",IF(B2445&lt;TIME(12,0,0),"Manhã",IF(B2445&lt;TIME(18,0,0),"Tarde","Noite")))</f>
        <v/>
      </c>
      <c r="R2445" s="46">
        <f>IF(AND(H2445="Realizado",L2445&lt;&gt;"",A2445&lt;=Config!$B$9),L2445/60,0)</f>
        <v>0</v>
      </c>
      <c r="S2445" s="45">
        <f>IF(G2445="","",IFERROR(INDEX(Config!$K$5:$K$16,MATCH(G2445,Config!$J$5:$J$16,0)),""))</f>
        <v/>
      </c>
      <c r="T2445" s="31">
        <f>IF(OR(G2445="",F2445=""),"",IFERROR(INDEX(Config!$M$5:$R$16,MATCH(G2445,Config!$J$5:$J$16,0),MATCH(F2445,Config!$H$5:$H$10,0)),""))</f>
        <v/>
      </c>
      <c r="U2445" s="47">
        <f>IF(AND(H2445="Realizado",L2445&lt;&gt;""),L2445/60,0)</f>
        <v>0</v>
      </c>
      <c r="V2445" s="47">
        <f>IF(AND(H2445="Realizado",OR(L2445="",M2445="")),1,0)</f>
        <v>0</v>
      </c>
    </row>
    <row r="2446">
      <c r="A2446" s="43" t="n"/>
      <c r="B2446" s="44" t="n"/>
      <c r="C2446" s="38" t="n"/>
      <c r="D2446" s="38" t="n"/>
      <c r="E2446" s="37" t="n"/>
      <c r="F2446" s="38" t="n"/>
      <c r="G2446" s="38" t="n"/>
      <c r="H2446" s="38" t="n"/>
      <c r="I2446" s="38" t="n"/>
      <c r="J2446" s="38" t="n"/>
      <c r="K2446" s="37" t="n"/>
      <c r="L2446" s="39" t="n"/>
      <c r="M2446" s="40" t="n"/>
      <c r="N2446" s="30">
        <f>IF(A2446="","",MONTH(A2446))</f>
        <v/>
      </c>
      <c r="O2446" s="30">
        <f>IF(A2446="","",YEAR(A2446))</f>
        <v/>
      </c>
      <c r="P2446" s="30">
        <f>IF(A2446="","",CHOOSE(WEEKDAY(A2446,2),"Segunda","Terça","Quarta","Quinta","Sexta","Sábado","Domingo"))</f>
        <v/>
      </c>
      <c r="Q2446" s="30">
        <f>IF(B2446="","",IF(B2446&lt;TIME(12,0,0),"Manhã",IF(B2446&lt;TIME(18,0,0),"Tarde","Noite")))</f>
        <v/>
      </c>
      <c r="R2446" s="46">
        <f>IF(AND(H2446="Realizado",L2446&lt;&gt;"",A2446&lt;=Config!$B$9),L2446/60,0)</f>
        <v>0</v>
      </c>
      <c r="S2446" s="45">
        <f>IF(G2446="","",IFERROR(INDEX(Config!$K$5:$K$16,MATCH(G2446,Config!$J$5:$J$16,0)),""))</f>
        <v/>
      </c>
      <c r="T2446" s="31">
        <f>IF(OR(G2446="",F2446=""),"",IFERROR(INDEX(Config!$M$5:$R$16,MATCH(G2446,Config!$J$5:$J$16,0),MATCH(F2446,Config!$H$5:$H$10,0)),""))</f>
        <v/>
      </c>
      <c r="U2446" s="47">
        <f>IF(AND(H2446="Realizado",L2446&lt;&gt;""),L2446/60,0)</f>
        <v>0</v>
      </c>
      <c r="V2446" s="47">
        <f>IF(AND(H2446="Realizado",OR(L2446="",M2446="")),1,0)</f>
        <v>0</v>
      </c>
    </row>
    <row r="2447">
      <c r="A2447" s="43" t="n"/>
      <c r="B2447" s="44" t="n"/>
      <c r="C2447" s="38" t="n"/>
      <c r="D2447" s="38" t="n"/>
      <c r="E2447" s="37" t="n"/>
      <c r="F2447" s="38" t="n"/>
      <c r="G2447" s="38" t="n"/>
      <c r="H2447" s="38" t="n"/>
      <c r="I2447" s="38" t="n"/>
      <c r="J2447" s="38" t="n"/>
      <c r="K2447" s="37" t="n"/>
      <c r="L2447" s="39" t="n"/>
      <c r="M2447" s="40" t="n"/>
      <c r="N2447" s="30">
        <f>IF(A2447="","",MONTH(A2447))</f>
        <v/>
      </c>
      <c r="O2447" s="30">
        <f>IF(A2447="","",YEAR(A2447))</f>
        <v/>
      </c>
      <c r="P2447" s="30">
        <f>IF(A2447="","",CHOOSE(WEEKDAY(A2447,2),"Segunda","Terça","Quarta","Quinta","Sexta","Sábado","Domingo"))</f>
        <v/>
      </c>
      <c r="Q2447" s="30">
        <f>IF(B2447="","",IF(B2447&lt;TIME(12,0,0),"Manhã",IF(B2447&lt;TIME(18,0,0),"Tarde","Noite")))</f>
        <v/>
      </c>
      <c r="R2447" s="46">
        <f>IF(AND(H2447="Realizado",L2447&lt;&gt;"",A2447&lt;=Config!$B$9),L2447/60,0)</f>
        <v>0</v>
      </c>
      <c r="S2447" s="45">
        <f>IF(G2447="","",IFERROR(INDEX(Config!$K$5:$K$16,MATCH(G2447,Config!$J$5:$J$16,0)),""))</f>
        <v/>
      </c>
      <c r="T2447" s="31">
        <f>IF(OR(G2447="",F2447=""),"",IFERROR(INDEX(Config!$M$5:$R$16,MATCH(G2447,Config!$J$5:$J$16,0),MATCH(F2447,Config!$H$5:$H$10,0)),""))</f>
        <v/>
      </c>
      <c r="U2447" s="47">
        <f>IF(AND(H2447="Realizado",L2447&lt;&gt;""),L2447/60,0)</f>
        <v>0</v>
      </c>
      <c r="V2447" s="47">
        <f>IF(AND(H2447="Realizado",OR(L2447="",M2447="")),1,0)</f>
        <v>0</v>
      </c>
    </row>
    <row r="2448">
      <c r="A2448" s="43" t="n"/>
      <c r="B2448" s="44" t="n"/>
      <c r="C2448" s="38" t="n"/>
      <c r="D2448" s="38" t="n"/>
      <c r="E2448" s="37" t="n"/>
      <c r="F2448" s="38" t="n"/>
      <c r="G2448" s="38" t="n"/>
      <c r="H2448" s="38" t="n"/>
      <c r="I2448" s="38" t="n"/>
      <c r="J2448" s="38" t="n"/>
      <c r="K2448" s="37" t="n"/>
      <c r="L2448" s="39" t="n"/>
      <c r="M2448" s="40" t="n"/>
      <c r="N2448" s="30">
        <f>IF(A2448="","",MONTH(A2448))</f>
        <v/>
      </c>
      <c r="O2448" s="30">
        <f>IF(A2448="","",YEAR(A2448))</f>
        <v/>
      </c>
      <c r="P2448" s="30">
        <f>IF(A2448="","",CHOOSE(WEEKDAY(A2448,2),"Segunda","Terça","Quarta","Quinta","Sexta","Sábado","Domingo"))</f>
        <v/>
      </c>
      <c r="Q2448" s="30">
        <f>IF(B2448="","",IF(B2448&lt;TIME(12,0,0),"Manhã",IF(B2448&lt;TIME(18,0,0),"Tarde","Noite")))</f>
        <v/>
      </c>
      <c r="R2448" s="46">
        <f>IF(AND(H2448="Realizado",L2448&lt;&gt;"",A2448&lt;=Config!$B$9),L2448/60,0)</f>
        <v>0</v>
      </c>
      <c r="S2448" s="45">
        <f>IF(G2448="","",IFERROR(INDEX(Config!$K$5:$K$16,MATCH(G2448,Config!$J$5:$J$16,0)),""))</f>
        <v/>
      </c>
      <c r="T2448" s="31">
        <f>IF(OR(G2448="",F2448=""),"",IFERROR(INDEX(Config!$M$5:$R$16,MATCH(G2448,Config!$J$5:$J$16,0),MATCH(F2448,Config!$H$5:$H$10,0)),""))</f>
        <v/>
      </c>
      <c r="U2448" s="47">
        <f>IF(AND(H2448="Realizado",L2448&lt;&gt;""),L2448/60,0)</f>
        <v>0</v>
      </c>
      <c r="V2448" s="47">
        <f>IF(AND(H2448="Realizado",OR(L2448="",M2448="")),1,0)</f>
        <v>0</v>
      </c>
    </row>
    <row r="2449">
      <c r="A2449" s="43" t="n"/>
      <c r="B2449" s="44" t="n"/>
      <c r="C2449" s="38" t="n"/>
      <c r="D2449" s="38" t="n"/>
      <c r="E2449" s="37" t="n"/>
      <c r="F2449" s="38" t="n"/>
      <c r="G2449" s="38" t="n"/>
      <c r="H2449" s="38" t="n"/>
      <c r="I2449" s="38" t="n"/>
      <c r="J2449" s="38" t="n"/>
      <c r="K2449" s="37" t="n"/>
      <c r="L2449" s="39" t="n"/>
      <c r="M2449" s="40" t="n"/>
      <c r="N2449" s="30">
        <f>IF(A2449="","",MONTH(A2449))</f>
        <v/>
      </c>
      <c r="O2449" s="30">
        <f>IF(A2449="","",YEAR(A2449))</f>
        <v/>
      </c>
      <c r="P2449" s="30">
        <f>IF(A2449="","",CHOOSE(WEEKDAY(A2449,2),"Segunda","Terça","Quarta","Quinta","Sexta","Sábado","Domingo"))</f>
        <v/>
      </c>
      <c r="Q2449" s="30">
        <f>IF(B2449="","",IF(B2449&lt;TIME(12,0,0),"Manhã",IF(B2449&lt;TIME(18,0,0),"Tarde","Noite")))</f>
        <v/>
      </c>
      <c r="R2449" s="46">
        <f>IF(AND(H2449="Realizado",L2449&lt;&gt;"",A2449&lt;=Config!$B$9),L2449/60,0)</f>
        <v>0</v>
      </c>
      <c r="S2449" s="45">
        <f>IF(G2449="","",IFERROR(INDEX(Config!$K$5:$K$16,MATCH(G2449,Config!$J$5:$J$16,0)),""))</f>
        <v/>
      </c>
      <c r="T2449" s="31">
        <f>IF(OR(G2449="",F2449=""),"",IFERROR(INDEX(Config!$M$5:$R$16,MATCH(G2449,Config!$J$5:$J$16,0),MATCH(F2449,Config!$H$5:$H$10,0)),""))</f>
        <v/>
      </c>
      <c r="U2449" s="47">
        <f>IF(AND(H2449="Realizado",L2449&lt;&gt;""),L2449/60,0)</f>
        <v>0</v>
      </c>
      <c r="V2449" s="47">
        <f>IF(AND(H2449="Realizado",OR(L2449="",M2449="")),1,0)</f>
        <v>0</v>
      </c>
    </row>
    <row r="2450">
      <c r="A2450" s="43" t="n"/>
      <c r="B2450" s="44" t="n"/>
      <c r="C2450" s="38" t="n"/>
      <c r="D2450" s="38" t="n"/>
      <c r="E2450" s="37" t="n"/>
      <c r="F2450" s="38" t="n"/>
      <c r="G2450" s="38" t="n"/>
      <c r="H2450" s="38" t="n"/>
      <c r="I2450" s="38" t="n"/>
      <c r="J2450" s="38" t="n"/>
      <c r="K2450" s="37" t="n"/>
      <c r="L2450" s="39" t="n"/>
      <c r="M2450" s="40" t="n"/>
      <c r="N2450" s="30">
        <f>IF(A2450="","",MONTH(A2450))</f>
        <v/>
      </c>
      <c r="O2450" s="30">
        <f>IF(A2450="","",YEAR(A2450))</f>
        <v/>
      </c>
      <c r="P2450" s="30">
        <f>IF(A2450="","",CHOOSE(WEEKDAY(A2450,2),"Segunda","Terça","Quarta","Quinta","Sexta","Sábado","Domingo"))</f>
        <v/>
      </c>
      <c r="Q2450" s="30">
        <f>IF(B2450="","",IF(B2450&lt;TIME(12,0,0),"Manhã",IF(B2450&lt;TIME(18,0,0),"Tarde","Noite")))</f>
        <v/>
      </c>
      <c r="R2450" s="46">
        <f>IF(AND(H2450="Realizado",L2450&lt;&gt;"",A2450&lt;=Config!$B$9),L2450/60,0)</f>
        <v>0</v>
      </c>
      <c r="S2450" s="45">
        <f>IF(G2450="","",IFERROR(INDEX(Config!$K$5:$K$16,MATCH(G2450,Config!$J$5:$J$16,0)),""))</f>
        <v/>
      </c>
      <c r="T2450" s="31">
        <f>IF(OR(G2450="",F2450=""),"",IFERROR(INDEX(Config!$M$5:$R$16,MATCH(G2450,Config!$J$5:$J$16,0),MATCH(F2450,Config!$H$5:$H$10,0)),""))</f>
        <v/>
      </c>
      <c r="U2450" s="47">
        <f>IF(AND(H2450="Realizado",L2450&lt;&gt;""),L2450/60,0)</f>
        <v>0</v>
      </c>
      <c r="V2450" s="47">
        <f>IF(AND(H2450="Realizado",OR(L2450="",M2450="")),1,0)</f>
        <v>0</v>
      </c>
    </row>
    <row r="2451">
      <c r="A2451" s="43" t="n"/>
      <c r="B2451" s="44" t="n"/>
      <c r="C2451" s="38" t="n"/>
      <c r="D2451" s="38" t="n"/>
      <c r="E2451" s="37" t="n"/>
      <c r="F2451" s="38" t="n"/>
      <c r="G2451" s="38" t="n"/>
      <c r="H2451" s="38" t="n"/>
      <c r="I2451" s="38" t="n"/>
      <c r="J2451" s="38" t="n"/>
      <c r="K2451" s="37" t="n"/>
      <c r="L2451" s="39" t="n"/>
      <c r="M2451" s="40" t="n"/>
      <c r="N2451" s="30">
        <f>IF(A2451="","",MONTH(A2451))</f>
        <v/>
      </c>
      <c r="O2451" s="30">
        <f>IF(A2451="","",YEAR(A2451))</f>
        <v/>
      </c>
      <c r="P2451" s="30">
        <f>IF(A2451="","",CHOOSE(WEEKDAY(A2451,2),"Segunda","Terça","Quarta","Quinta","Sexta","Sábado","Domingo"))</f>
        <v/>
      </c>
      <c r="Q2451" s="30">
        <f>IF(B2451="","",IF(B2451&lt;TIME(12,0,0),"Manhã",IF(B2451&lt;TIME(18,0,0),"Tarde","Noite")))</f>
        <v/>
      </c>
      <c r="R2451" s="46">
        <f>IF(AND(H2451="Realizado",L2451&lt;&gt;"",A2451&lt;=Config!$B$9),L2451/60,0)</f>
        <v>0</v>
      </c>
      <c r="S2451" s="45">
        <f>IF(G2451="","",IFERROR(INDEX(Config!$K$5:$K$16,MATCH(G2451,Config!$J$5:$J$16,0)),""))</f>
        <v/>
      </c>
      <c r="T2451" s="31">
        <f>IF(OR(G2451="",F2451=""),"",IFERROR(INDEX(Config!$M$5:$R$16,MATCH(G2451,Config!$J$5:$J$16,0),MATCH(F2451,Config!$H$5:$H$10,0)),""))</f>
        <v/>
      </c>
      <c r="U2451" s="47">
        <f>IF(AND(H2451="Realizado",L2451&lt;&gt;""),L2451/60,0)</f>
        <v>0</v>
      </c>
      <c r="V2451" s="47">
        <f>IF(AND(H2451="Realizado",OR(L2451="",M2451="")),1,0)</f>
        <v>0</v>
      </c>
    </row>
    <row r="2452">
      <c r="A2452" s="43" t="n"/>
      <c r="B2452" s="44" t="n"/>
      <c r="C2452" s="38" t="n"/>
      <c r="D2452" s="38" t="n"/>
      <c r="E2452" s="37" t="n"/>
      <c r="F2452" s="38" t="n"/>
      <c r="G2452" s="38" t="n"/>
      <c r="H2452" s="38" t="n"/>
      <c r="I2452" s="38" t="n"/>
      <c r="J2452" s="38" t="n"/>
      <c r="K2452" s="37" t="n"/>
      <c r="L2452" s="39" t="n"/>
      <c r="M2452" s="40" t="n"/>
      <c r="N2452" s="30">
        <f>IF(A2452="","",MONTH(A2452))</f>
        <v/>
      </c>
      <c r="O2452" s="30">
        <f>IF(A2452="","",YEAR(A2452))</f>
        <v/>
      </c>
      <c r="P2452" s="30">
        <f>IF(A2452="","",CHOOSE(WEEKDAY(A2452,2),"Segunda","Terça","Quarta","Quinta","Sexta","Sábado","Domingo"))</f>
        <v/>
      </c>
      <c r="Q2452" s="30">
        <f>IF(B2452="","",IF(B2452&lt;TIME(12,0,0),"Manhã",IF(B2452&lt;TIME(18,0,0),"Tarde","Noite")))</f>
        <v/>
      </c>
      <c r="R2452" s="46">
        <f>IF(AND(H2452="Realizado",L2452&lt;&gt;"",A2452&lt;=Config!$B$9),L2452/60,0)</f>
        <v>0</v>
      </c>
      <c r="S2452" s="45">
        <f>IF(G2452="","",IFERROR(INDEX(Config!$K$5:$K$16,MATCH(G2452,Config!$J$5:$J$16,0)),""))</f>
        <v/>
      </c>
      <c r="T2452" s="31">
        <f>IF(OR(G2452="",F2452=""),"",IFERROR(INDEX(Config!$M$5:$R$16,MATCH(G2452,Config!$J$5:$J$16,0),MATCH(F2452,Config!$H$5:$H$10,0)),""))</f>
        <v/>
      </c>
      <c r="U2452" s="47">
        <f>IF(AND(H2452="Realizado",L2452&lt;&gt;""),L2452/60,0)</f>
        <v>0</v>
      </c>
      <c r="V2452" s="47">
        <f>IF(AND(H2452="Realizado",OR(L2452="",M2452="")),1,0)</f>
        <v>0</v>
      </c>
    </row>
    <row r="2453">
      <c r="A2453" s="43" t="n"/>
      <c r="B2453" s="44" t="n"/>
      <c r="C2453" s="38" t="n"/>
      <c r="D2453" s="38" t="n"/>
      <c r="E2453" s="37" t="n"/>
      <c r="F2453" s="38" t="n"/>
      <c r="G2453" s="38" t="n"/>
      <c r="H2453" s="38" t="n"/>
      <c r="I2453" s="38" t="n"/>
      <c r="J2453" s="38" t="n"/>
      <c r="K2453" s="37" t="n"/>
      <c r="L2453" s="39" t="n"/>
      <c r="M2453" s="40" t="n"/>
      <c r="N2453" s="30">
        <f>IF(A2453="","",MONTH(A2453))</f>
        <v/>
      </c>
      <c r="O2453" s="30">
        <f>IF(A2453="","",YEAR(A2453))</f>
        <v/>
      </c>
      <c r="P2453" s="30">
        <f>IF(A2453="","",CHOOSE(WEEKDAY(A2453,2),"Segunda","Terça","Quarta","Quinta","Sexta","Sábado","Domingo"))</f>
        <v/>
      </c>
      <c r="Q2453" s="30">
        <f>IF(B2453="","",IF(B2453&lt;TIME(12,0,0),"Manhã",IF(B2453&lt;TIME(18,0,0),"Tarde","Noite")))</f>
        <v/>
      </c>
      <c r="R2453" s="46">
        <f>IF(AND(H2453="Realizado",L2453&lt;&gt;"",A2453&lt;=Config!$B$9),L2453/60,0)</f>
        <v>0</v>
      </c>
      <c r="S2453" s="45">
        <f>IF(G2453="","",IFERROR(INDEX(Config!$K$5:$K$16,MATCH(G2453,Config!$J$5:$J$16,0)),""))</f>
        <v/>
      </c>
      <c r="T2453" s="31">
        <f>IF(OR(G2453="",F2453=""),"",IFERROR(INDEX(Config!$M$5:$R$16,MATCH(G2453,Config!$J$5:$J$16,0),MATCH(F2453,Config!$H$5:$H$10,0)),""))</f>
        <v/>
      </c>
      <c r="U2453" s="47">
        <f>IF(AND(H2453="Realizado",L2453&lt;&gt;""),L2453/60,0)</f>
        <v>0</v>
      </c>
      <c r="V2453" s="47">
        <f>IF(AND(H2453="Realizado",OR(L2453="",M2453="")),1,0)</f>
        <v>0</v>
      </c>
    </row>
    <row r="2454">
      <c r="A2454" s="43" t="n"/>
      <c r="B2454" s="44" t="n"/>
      <c r="C2454" s="38" t="n"/>
      <c r="D2454" s="38" t="n"/>
      <c r="E2454" s="37" t="n"/>
      <c r="F2454" s="38" t="n"/>
      <c r="G2454" s="38" t="n"/>
      <c r="H2454" s="38" t="n"/>
      <c r="I2454" s="38" t="n"/>
      <c r="J2454" s="38" t="n"/>
      <c r="K2454" s="37" t="n"/>
      <c r="L2454" s="39" t="n"/>
      <c r="M2454" s="40" t="n"/>
      <c r="N2454" s="30">
        <f>IF(A2454="","",MONTH(A2454))</f>
        <v/>
      </c>
      <c r="O2454" s="30">
        <f>IF(A2454="","",YEAR(A2454))</f>
        <v/>
      </c>
      <c r="P2454" s="30">
        <f>IF(A2454="","",CHOOSE(WEEKDAY(A2454,2),"Segunda","Terça","Quarta","Quinta","Sexta","Sábado","Domingo"))</f>
        <v/>
      </c>
      <c r="Q2454" s="30">
        <f>IF(B2454="","",IF(B2454&lt;TIME(12,0,0),"Manhã",IF(B2454&lt;TIME(18,0,0),"Tarde","Noite")))</f>
        <v/>
      </c>
      <c r="R2454" s="46">
        <f>IF(AND(H2454="Realizado",L2454&lt;&gt;"",A2454&lt;=Config!$B$9),L2454/60,0)</f>
        <v>0</v>
      </c>
      <c r="S2454" s="45">
        <f>IF(G2454="","",IFERROR(INDEX(Config!$K$5:$K$16,MATCH(G2454,Config!$J$5:$J$16,0)),""))</f>
        <v/>
      </c>
      <c r="T2454" s="31">
        <f>IF(OR(G2454="",F2454=""),"",IFERROR(INDEX(Config!$M$5:$R$16,MATCH(G2454,Config!$J$5:$J$16,0),MATCH(F2454,Config!$H$5:$H$10,0)),""))</f>
        <v/>
      </c>
      <c r="U2454" s="47">
        <f>IF(AND(H2454="Realizado",L2454&lt;&gt;""),L2454/60,0)</f>
        <v>0</v>
      </c>
      <c r="V2454" s="47">
        <f>IF(AND(H2454="Realizado",OR(L2454="",M2454="")),1,0)</f>
        <v>0</v>
      </c>
    </row>
    <row r="2455">
      <c r="A2455" s="43" t="n"/>
      <c r="B2455" s="44" t="n"/>
      <c r="C2455" s="38" t="n"/>
      <c r="D2455" s="38" t="n"/>
      <c r="E2455" s="37" t="n"/>
      <c r="F2455" s="38" t="n"/>
      <c r="G2455" s="38" t="n"/>
      <c r="H2455" s="38" t="n"/>
      <c r="I2455" s="38" t="n"/>
      <c r="J2455" s="38" t="n"/>
      <c r="K2455" s="37" t="n"/>
      <c r="L2455" s="39" t="n"/>
      <c r="M2455" s="40" t="n"/>
      <c r="N2455" s="30">
        <f>IF(A2455="","",MONTH(A2455))</f>
        <v/>
      </c>
      <c r="O2455" s="30">
        <f>IF(A2455="","",YEAR(A2455))</f>
        <v/>
      </c>
      <c r="P2455" s="30">
        <f>IF(A2455="","",CHOOSE(WEEKDAY(A2455,2),"Segunda","Terça","Quarta","Quinta","Sexta","Sábado","Domingo"))</f>
        <v/>
      </c>
      <c r="Q2455" s="30">
        <f>IF(B2455="","",IF(B2455&lt;TIME(12,0,0),"Manhã",IF(B2455&lt;TIME(18,0,0),"Tarde","Noite")))</f>
        <v/>
      </c>
      <c r="R2455" s="46">
        <f>IF(AND(H2455="Realizado",L2455&lt;&gt;"",A2455&lt;=Config!$B$9),L2455/60,0)</f>
        <v>0</v>
      </c>
      <c r="S2455" s="45">
        <f>IF(G2455="","",IFERROR(INDEX(Config!$K$5:$K$16,MATCH(G2455,Config!$J$5:$J$16,0)),""))</f>
        <v/>
      </c>
      <c r="T2455" s="31">
        <f>IF(OR(G2455="",F2455=""),"",IFERROR(INDEX(Config!$M$5:$R$16,MATCH(G2455,Config!$J$5:$J$16,0),MATCH(F2455,Config!$H$5:$H$10,0)),""))</f>
        <v/>
      </c>
      <c r="U2455" s="47">
        <f>IF(AND(H2455="Realizado",L2455&lt;&gt;""),L2455/60,0)</f>
        <v>0</v>
      </c>
      <c r="V2455" s="47">
        <f>IF(AND(H2455="Realizado",OR(L2455="",M2455="")),1,0)</f>
        <v>0</v>
      </c>
    </row>
    <row r="2456">
      <c r="A2456" s="43" t="n"/>
      <c r="B2456" s="44" t="n"/>
      <c r="C2456" s="38" t="n"/>
      <c r="D2456" s="38" t="n"/>
      <c r="E2456" s="37" t="n"/>
      <c r="F2456" s="38" t="n"/>
      <c r="G2456" s="38" t="n"/>
      <c r="H2456" s="38" t="n"/>
      <c r="I2456" s="38" t="n"/>
      <c r="J2456" s="38" t="n"/>
      <c r="K2456" s="37" t="n"/>
      <c r="L2456" s="39" t="n"/>
      <c r="M2456" s="40" t="n"/>
      <c r="N2456" s="30">
        <f>IF(A2456="","",MONTH(A2456))</f>
        <v/>
      </c>
      <c r="O2456" s="30">
        <f>IF(A2456="","",YEAR(A2456))</f>
        <v/>
      </c>
      <c r="P2456" s="30">
        <f>IF(A2456="","",CHOOSE(WEEKDAY(A2456,2),"Segunda","Terça","Quarta","Quinta","Sexta","Sábado","Domingo"))</f>
        <v/>
      </c>
      <c r="Q2456" s="30">
        <f>IF(B2456="","",IF(B2456&lt;TIME(12,0,0),"Manhã",IF(B2456&lt;TIME(18,0,0),"Tarde","Noite")))</f>
        <v/>
      </c>
      <c r="R2456" s="46">
        <f>IF(AND(H2456="Realizado",L2456&lt;&gt;"",A2456&lt;=Config!$B$9),L2456/60,0)</f>
        <v>0</v>
      </c>
      <c r="S2456" s="45">
        <f>IF(G2456="","",IFERROR(INDEX(Config!$K$5:$K$16,MATCH(G2456,Config!$J$5:$J$16,0)),""))</f>
        <v/>
      </c>
      <c r="T2456" s="31">
        <f>IF(OR(G2456="",F2456=""),"",IFERROR(INDEX(Config!$M$5:$R$16,MATCH(G2456,Config!$J$5:$J$16,0),MATCH(F2456,Config!$H$5:$H$10,0)),""))</f>
        <v/>
      </c>
      <c r="U2456" s="47">
        <f>IF(AND(H2456="Realizado",L2456&lt;&gt;""),L2456/60,0)</f>
        <v>0</v>
      </c>
      <c r="V2456" s="47">
        <f>IF(AND(H2456="Realizado",OR(L2456="",M2456="")),1,0)</f>
        <v>0</v>
      </c>
    </row>
    <row r="2457">
      <c r="A2457" s="43" t="n"/>
      <c r="B2457" s="44" t="n"/>
      <c r="C2457" s="38" t="n"/>
      <c r="D2457" s="38" t="n"/>
      <c r="E2457" s="37" t="n"/>
      <c r="F2457" s="38" t="n"/>
      <c r="G2457" s="38" t="n"/>
      <c r="H2457" s="38" t="n"/>
      <c r="I2457" s="38" t="n"/>
      <c r="J2457" s="38" t="n"/>
      <c r="K2457" s="37" t="n"/>
      <c r="L2457" s="39" t="n"/>
      <c r="M2457" s="40" t="n"/>
      <c r="N2457" s="30">
        <f>IF(A2457="","",MONTH(A2457))</f>
        <v/>
      </c>
      <c r="O2457" s="30">
        <f>IF(A2457="","",YEAR(A2457))</f>
        <v/>
      </c>
      <c r="P2457" s="30">
        <f>IF(A2457="","",CHOOSE(WEEKDAY(A2457,2),"Segunda","Terça","Quarta","Quinta","Sexta","Sábado","Domingo"))</f>
        <v/>
      </c>
      <c r="Q2457" s="30">
        <f>IF(B2457="","",IF(B2457&lt;TIME(12,0,0),"Manhã",IF(B2457&lt;TIME(18,0,0),"Tarde","Noite")))</f>
        <v/>
      </c>
      <c r="R2457" s="46">
        <f>IF(AND(H2457="Realizado",L2457&lt;&gt;"",A2457&lt;=Config!$B$9),L2457/60,0)</f>
        <v>0</v>
      </c>
      <c r="S2457" s="45">
        <f>IF(G2457="","",IFERROR(INDEX(Config!$K$5:$K$16,MATCH(G2457,Config!$J$5:$J$16,0)),""))</f>
        <v/>
      </c>
      <c r="T2457" s="31">
        <f>IF(OR(G2457="",F2457=""),"",IFERROR(INDEX(Config!$M$5:$R$16,MATCH(G2457,Config!$J$5:$J$16,0),MATCH(F2457,Config!$H$5:$H$10,0)),""))</f>
        <v/>
      </c>
      <c r="U2457" s="47">
        <f>IF(AND(H2457="Realizado",L2457&lt;&gt;""),L2457/60,0)</f>
        <v>0</v>
      </c>
      <c r="V2457" s="47">
        <f>IF(AND(H2457="Realizado",OR(L2457="",M2457="")),1,0)</f>
        <v>0</v>
      </c>
    </row>
    <row r="2458">
      <c r="A2458" s="43" t="n"/>
      <c r="B2458" s="44" t="n"/>
      <c r="C2458" s="38" t="n"/>
      <c r="D2458" s="38" t="n"/>
      <c r="E2458" s="37" t="n"/>
      <c r="F2458" s="38" t="n"/>
      <c r="G2458" s="38" t="n"/>
      <c r="H2458" s="38" t="n"/>
      <c r="I2458" s="38" t="n"/>
      <c r="J2458" s="38" t="n"/>
      <c r="K2458" s="37" t="n"/>
      <c r="L2458" s="39" t="n"/>
      <c r="M2458" s="40" t="n"/>
      <c r="N2458" s="30">
        <f>IF(A2458="","",MONTH(A2458))</f>
        <v/>
      </c>
      <c r="O2458" s="30">
        <f>IF(A2458="","",YEAR(A2458))</f>
        <v/>
      </c>
      <c r="P2458" s="30">
        <f>IF(A2458="","",CHOOSE(WEEKDAY(A2458,2),"Segunda","Terça","Quarta","Quinta","Sexta","Sábado","Domingo"))</f>
        <v/>
      </c>
      <c r="Q2458" s="30">
        <f>IF(B2458="","",IF(B2458&lt;TIME(12,0,0),"Manhã",IF(B2458&lt;TIME(18,0,0),"Tarde","Noite")))</f>
        <v/>
      </c>
      <c r="R2458" s="46">
        <f>IF(AND(H2458="Realizado",L2458&lt;&gt;"",A2458&lt;=Config!$B$9),L2458/60,0)</f>
        <v>0</v>
      </c>
      <c r="S2458" s="45">
        <f>IF(G2458="","",IFERROR(INDEX(Config!$K$5:$K$16,MATCH(G2458,Config!$J$5:$J$16,0)),""))</f>
        <v/>
      </c>
      <c r="T2458" s="31">
        <f>IF(OR(G2458="",F2458=""),"",IFERROR(INDEX(Config!$M$5:$R$16,MATCH(G2458,Config!$J$5:$J$16,0),MATCH(F2458,Config!$H$5:$H$10,0)),""))</f>
        <v/>
      </c>
      <c r="U2458" s="47">
        <f>IF(AND(H2458="Realizado",L2458&lt;&gt;""),L2458/60,0)</f>
        <v>0</v>
      </c>
      <c r="V2458" s="47">
        <f>IF(AND(H2458="Realizado",OR(L2458="",M2458="")),1,0)</f>
        <v>0</v>
      </c>
    </row>
    <row r="2459">
      <c r="A2459" s="43" t="n"/>
      <c r="B2459" s="44" t="n"/>
      <c r="C2459" s="38" t="n"/>
      <c r="D2459" s="38" t="n"/>
      <c r="E2459" s="37" t="n"/>
      <c r="F2459" s="38" t="n"/>
      <c r="G2459" s="38" t="n"/>
      <c r="H2459" s="38" t="n"/>
      <c r="I2459" s="38" t="n"/>
      <c r="J2459" s="38" t="n"/>
      <c r="K2459" s="37" t="n"/>
      <c r="L2459" s="39" t="n"/>
      <c r="M2459" s="40" t="n"/>
      <c r="N2459" s="30">
        <f>IF(A2459="","",MONTH(A2459))</f>
        <v/>
      </c>
      <c r="O2459" s="30">
        <f>IF(A2459="","",YEAR(A2459))</f>
        <v/>
      </c>
      <c r="P2459" s="30">
        <f>IF(A2459="","",CHOOSE(WEEKDAY(A2459,2),"Segunda","Terça","Quarta","Quinta","Sexta","Sábado","Domingo"))</f>
        <v/>
      </c>
      <c r="Q2459" s="30">
        <f>IF(B2459="","",IF(B2459&lt;TIME(12,0,0),"Manhã",IF(B2459&lt;TIME(18,0,0),"Tarde","Noite")))</f>
        <v/>
      </c>
      <c r="R2459" s="46">
        <f>IF(AND(H2459="Realizado",L2459&lt;&gt;"",A2459&lt;=Config!$B$9),L2459/60,0)</f>
        <v>0</v>
      </c>
      <c r="S2459" s="45">
        <f>IF(G2459="","",IFERROR(INDEX(Config!$K$5:$K$16,MATCH(G2459,Config!$J$5:$J$16,0)),""))</f>
        <v/>
      </c>
      <c r="T2459" s="31">
        <f>IF(OR(G2459="",F2459=""),"",IFERROR(INDEX(Config!$M$5:$R$16,MATCH(G2459,Config!$J$5:$J$16,0),MATCH(F2459,Config!$H$5:$H$10,0)),""))</f>
        <v/>
      </c>
      <c r="U2459" s="47">
        <f>IF(AND(H2459="Realizado",L2459&lt;&gt;""),L2459/60,0)</f>
        <v>0</v>
      </c>
      <c r="V2459" s="47">
        <f>IF(AND(H2459="Realizado",OR(L2459="",M2459="")),1,0)</f>
        <v>0</v>
      </c>
    </row>
    <row r="2460">
      <c r="A2460" s="43" t="n"/>
      <c r="B2460" s="44" t="n"/>
      <c r="C2460" s="38" t="n"/>
      <c r="D2460" s="38" t="n"/>
      <c r="E2460" s="37" t="n"/>
      <c r="F2460" s="38" t="n"/>
      <c r="G2460" s="38" t="n"/>
      <c r="H2460" s="38" t="n"/>
      <c r="I2460" s="38" t="n"/>
      <c r="J2460" s="38" t="n"/>
      <c r="K2460" s="37" t="n"/>
      <c r="L2460" s="39" t="n"/>
      <c r="M2460" s="40" t="n"/>
      <c r="N2460" s="30">
        <f>IF(A2460="","",MONTH(A2460))</f>
        <v/>
      </c>
      <c r="O2460" s="30">
        <f>IF(A2460="","",YEAR(A2460))</f>
        <v/>
      </c>
      <c r="P2460" s="30">
        <f>IF(A2460="","",CHOOSE(WEEKDAY(A2460,2),"Segunda","Terça","Quarta","Quinta","Sexta","Sábado","Domingo"))</f>
        <v/>
      </c>
      <c r="Q2460" s="30">
        <f>IF(B2460="","",IF(B2460&lt;TIME(12,0,0),"Manhã",IF(B2460&lt;TIME(18,0,0),"Tarde","Noite")))</f>
        <v/>
      </c>
      <c r="R2460" s="46">
        <f>IF(AND(H2460="Realizado",L2460&lt;&gt;"",A2460&lt;=Config!$B$9),L2460/60,0)</f>
        <v>0</v>
      </c>
      <c r="S2460" s="45">
        <f>IF(G2460="","",IFERROR(INDEX(Config!$K$5:$K$16,MATCH(G2460,Config!$J$5:$J$16,0)),""))</f>
        <v/>
      </c>
      <c r="T2460" s="31">
        <f>IF(OR(G2460="",F2460=""),"",IFERROR(INDEX(Config!$M$5:$R$16,MATCH(G2460,Config!$J$5:$J$16,0),MATCH(F2460,Config!$H$5:$H$10,0)),""))</f>
        <v/>
      </c>
      <c r="U2460" s="47">
        <f>IF(AND(H2460="Realizado",L2460&lt;&gt;""),L2460/60,0)</f>
        <v>0</v>
      </c>
      <c r="V2460" s="47">
        <f>IF(AND(H2460="Realizado",OR(L2460="",M2460="")),1,0)</f>
        <v>0</v>
      </c>
    </row>
    <row r="2461">
      <c r="A2461" s="43" t="n"/>
      <c r="B2461" s="44" t="n"/>
      <c r="C2461" s="38" t="n"/>
      <c r="D2461" s="38" t="n"/>
      <c r="E2461" s="37" t="n"/>
      <c r="F2461" s="38" t="n"/>
      <c r="G2461" s="38" t="n"/>
      <c r="H2461" s="38" t="n"/>
      <c r="I2461" s="38" t="n"/>
      <c r="J2461" s="38" t="n"/>
      <c r="K2461" s="37" t="n"/>
      <c r="L2461" s="39" t="n"/>
      <c r="M2461" s="40" t="n"/>
      <c r="N2461" s="30">
        <f>IF(A2461="","",MONTH(A2461))</f>
        <v/>
      </c>
      <c r="O2461" s="30">
        <f>IF(A2461="","",YEAR(A2461))</f>
        <v/>
      </c>
      <c r="P2461" s="30">
        <f>IF(A2461="","",CHOOSE(WEEKDAY(A2461,2),"Segunda","Terça","Quarta","Quinta","Sexta","Sábado","Domingo"))</f>
        <v/>
      </c>
      <c r="Q2461" s="30">
        <f>IF(B2461="","",IF(B2461&lt;TIME(12,0,0),"Manhã",IF(B2461&lt;TIME(18,0,0),"Tarde","Noite")))</f>
        <v/>
      </c>
      <c r="R2461" s="46">
        <f>IF(AND(H2461="Realizado",L2461&lt;&gt;"",A2461&lt;=Config!$B$9),L2461/60,0)</f>
        <v>0</v>
      </c>
      <c r="S2461" s="45">
        <f>IF(G2461="","",IFERROR(INDEX(Config!$K$5:$K$16,MATCH(G2461,Config!$J$5:$J$16,0)),""))</f>
        <v/>
      </c>
      <c r="T2461" s="31">
        <f>IF(OR(G2461="",F2461=""),"",IFERROR(INDEX(Config!$M$5:$R$16,MATCH(G2461,Config!$J$5:$J$16,0),MATCH(F2461,Config!$H$5:$H$10,0)),""))</f>
        <v/>
      </c>
      <c r="U2461" s="47">
        <f>IF(AND(H2461="Realizado",L2461&lt;&gt;""),L2461/60,0)</f>
        <v>0</v>
      </c>
      <c r="V2461" s="47">
        <f>IF(AND(H2461="Realizado",OR(L2461="",M2461="")),1,0)</f>
        <v>0</v>
      </c>
    </row>
    <row r="2462">
      <c r="A2462" s="43" t="n"/>
      <c r="B2462" s="44" t="n"/>
      <c r="C2462" s="38" t="n"/>
      <c r="D2462" s="38" t="n"/>
      <c r="E2462" s="37" t="n"/>
      <c r="F2462" s="38" t="n"/>
      <c r="G2462" s="38" t="n"/>
      <c r="H2462" s="38" t="n"/>
      <c r="I2462" s="38" t="n"/>
      <c r="J2462" s="38" t="n"/>
      <c r="K2462" s="37" t="n"/>
      <c r="L2462" s="39" t="n"/>
      <c r="M2462" s="40" t="n"/>
      <c r="N2462" s="30">
        <f>IF(A2462="","",MONTH(A2462))</f>
        <v/>
      </c>
      <c r="O2462" s="30">
        <f>IF(A2462="","",YEAR(A2462))</f>
        <v/>
      </c>
      <c r="P2462" s="30">
        <f>IF(A2462="","",CHOOSE(WEEKDAY(A2462,2),"Segunda","Terça","Quarta","Quinta","Sexta","Sábado","Domingo"))</f>
        <v/>
      </c>
      <c r="Q2462" s="30">
        <f>IF(B2462="","",IF(B2462&lt;TIME(12,0,0),"Manhã",IF(B2462&lt;TIME(18,0,0),"Tarde","Noite")))</f>
        <v/>
      </c>
      <c r="R2462" s="46">
        <f>IF(AND(H2462="Realizado",L2462&lt;&gt;"",A2462&lt;=Config!$B$9),L2462/60,0)</f>
        <v>0</v>
      </c>
      <c r="S2462" s="45">
        <f>IF(G2462="","",IFERROR(INDEX(Config!$K$5:$K$16,MATCH(G2462,Config!$J$5:$J$16,0)),""))</f>
        <v/>
      </c>
      <c r="T2462" s="31">
        <f>IF(OR(G2462="",F2462=""),"",IFERROR(INDEX(Config!$M$5:$R$16,MATCH(G2462,Config!$J$5:$J$16,0),MATCH(F2462,Config!$H$5:$H$10,0)),""))</f>
        <v/>
      </c>
      <c r="U2462" s="47">
        <f>IF(AND(H2462="Realizado",L2462&lt;&gt;""),L2462/60,0)</f>
        <v>0</v>
      </c>
      <c r="V2462" s="47">
        <f>IF(AND(H2462="Realizado",OR(L2462="",M2462="")),1,0)</f>
        <v>0</v>
      </c>
    </row>
    <row r="2463">
      <c r="A2463" s="43" t="n"/>
      <c r="B2463" s="44" t="n"/>
      <c r="C2463" s="38" t="n"/>
      <c r="D2463" s="38" t="n"/>
      <c r="E2463" s="37" t="n"/>
      <c r="F2463" s="38" t="n"/>
      <c r="G2463" s="38" t="n"/>
      <c r="H2463" s="38" t="n"/>
      <c r="I2463" s="38" t="n"/>
      <c r="J2463" s="38" t="n"/>
      <c r="K2463" s="37" t="n"/>
      <c r="L2463" s="39" t="n"/>
      <c r="M2463" s="40" t="n"/>
      <c r="N2463" s="30">
        <f>IF(A2463="","",MONTH(A2463))</f>
        <v/>
      </c>
      <c r="O2463" s="30">
        <f>IF(A2463="","",YEAR(A2463))</f>
        <v/>
      </c>
      <c r="P2463" s="30">
        <f>IF(A2463="","",CHOOSE(WEEKDAY(A2463,2),"Segunda","Terça","Quarta","Quinta","Sexta","Sábado","Domingo"))</f>
        <v/>
      </c>
      <c r="Q2463" s="30">
        <f>IF(B2463="","",IF(B2463&lt;TIME(12,0,0),"Manhã",IF(B2463&lt;TIME(18,0,0),"Tarde","Noite")))</f>
        <v/>
      </c>
      <c r="R2463" s="46">
        <f>IF(AND(H2463="Realizado",L2463&lt;&gt;"",A2463&lt;=Config!$B$9),L2463/60,0)</f>
        <v>0</v>
      </c>
      <c r="S2463" s="45">
        <f>IF(G2463="","",IFERROR(INDEX(Config!$K$5:$K$16,MATCH(G2463,Config!$J$5:$J$16,0)),""))</f>
        <v/>
      </c>
      <c r="T2463" s="31">
        <f>IF(OR(G2463="",F2463=""),"",IFERROR(INDEX(Config!$M$5:$R$16,MATCH(G2463,Config!$J$5:$J$16,0),MATCH(F2463,Config!$H$5:$H$10,0)),""))</f>
        <v/>
      </c>
      <c r="U2463" s="47">
        <f>IF(AND(H2463="Realizado",L2463&lt;&gt;""),L2463/60,0)</f>
        <v>0</v>
      </c>
      <c r="V2463" s="47">
        <f>IF(AND(H2463="Realizado",OR(L2463="",M2463="")),1,0)</f>
        <v>0</v>
      </c>
    </row>
    <row r="2464">
      <c r="A2464" s="43" t="n"/>
      <c r="B2464" s="44" t="n"/>
      <c r="C2464" s="38" t="n"/>
      <c r="D2464" s="38" t="n"/>
      <c r="E2464" s="37" t="n"/>
      <c r="F2464" s="38" t="n"/>
      <c r="G2464" s="38" t="n"/>
      <c r="H2464" s="38" t="n"/>
      <c r="I2464" s="38" t="n"/>
      <c r="J2464" s="38" t="n"/>
      <c r="K2464" s="37" t="n"/>
      <c r="L2464" s="39" t="n"/>
      <c r="M2464" s="40" t="n"/>
      <c r="N2464" s="30">
        <f>IF(A2464="","",MONTH(A2464))</f>
        <v/>
      </c>
      <c r="O2464" s="30">
        <f>IF(A2464="","",YEAR(A2464))</f>
        <v/>
      </c>
      <c r="P2464" s="30">
        <f>IF(A2464="","",CHOOSE(WEEKDAY(A2464,2),"Segunda","Terça","Quarta","Quinta","Sexta","Sábado","Domingo"))</f>
        <v/>
      </c>
      <c r="Q2464" s="30">
        <f>IF(B2464="","",IF(B2464&lt;TIME(12,0,0),"Manhã",IF(B2464&lt;TIME(18,0,0),"Tarde","Noite")))</f>
        <v/>
      </c>
      <c r="R2464" s="46">
        <f>IF(AND(H2464="Realizado",L2464&lt;&gt;"",A2464&lt;=Config!$B$9),L2464/60,0)</f>
        <v>0</v>
      </c>
      <c r="S2464" s="45">
        <f>IF(G2464="","",IFERROR(INDEX(Config!$K$5:$K$16,MATCH(G2464,Config!$J$5:$J$16,0)),""))</f>
        <v/>
      </c>
      <c r="T2464" s="31">
        <f>IF(OR(G2464="",F2464=""),"",IFERROR(INDEX(Config!$M$5:$R$16,MATCH(G2464,Config!$J$5:$J$16,0),MATCH(F2464,Config!$H$5:$H$10,0)),""))</f>
        <v/>
      </c>
      <c r="U2464" s="47">
        <f>IF(AND(H2464="Realizado",L2464&lt;&gt;""),L2464/60,0)</f>
        <v>0</v>
      </c>
      <c r="V2464" s="47">
        <f>IF(AND(H2464="Realizado",OR(L2464="",M2464="")),1,0)</f>
        <v>0</v>
      </c>
    </row>
    <row r="2465">
      <c r="A2465" s="43" t="n"/>
      <c r="B2465" s="44" t="n"/>
      <c r="C2465" s="38" t="n"/>
      <c r="D2465" s="38" t="n"/>
      <c r="E2465" s="37" t="n"/>
      <c r="F2465" s="38" t="n"/>
      <c r="G2465" s="38" t="n"/>
      <c r="H2465" s="38" t="n"/>
      <c r="I2465" s="38" t="n"/>
      <c r="J2465" s="38" t="n"/>
      <c r="K2465" s="37" t="n"/>
      <c r="L2465" s="39" t="n"/>
      <c r="M2465" s="40" t="n"/>
      <c r="N2465" s="30">
        <f>IF(A2465="","",MONTH(A2465))</f>
        <v/>
      </c>
      <c r="O2465" s="30">
        <f>IF(A2465="","",YEAR(A2465))</f>
        <v/>
      </c>
      <c r="P2465" s="30">
        <f>IF(A2465="","",CHOOSE(WEEKDAY(A2465,2),"Segunda","Terça","Quarta","Quinta","Sexta","Sábado","Domingo"))</f>
        <v/>
      </c>
      <c r="Q2465" s="30">
        <f>IF(B2465="","",IF(B2465&lt;TIME(12,0,0),"Manhã",IF(B2465&lt;TIME(18,0,0),"Tarde","Noite")))</f>
        <v/>
      </c>
      <c r="R2465" s="46">
        <f>IF(AND(H2465="Realizado",L2465&lt;&gt;"",A2465&lt;=Config!$B$9),L2465/60,0)</f>
        <v>0</v>
      </c>
      <c r="S2465" s="45">
        <f>IF(G2465="","",IFERROR(INDEX(Config!$K$5:$K$16,MATCH(G2465,Config!$J$5:$J$16,0)),""))</f>
        <v/>
      </c>
      <c r="T2465" s="31">
        <f>IF(OR(G2465="",F2465=""),"",IFERROR(INDEX(Config!$M$5:$R$16,MATCH(G2465,Config!$J$5:$J$16,0),MATCH(F2465,Config!$H$5:$H$10,0)),""))</f>
        <v/>
      </c>
      <c r="U2465" s="47">
        <f>IF(AND(H2465="Realizado",L2465&lt;&gt;""),L2465/60,0)</f>
        <v>0</v>
      </c>
      <c r="V2465" s="47">
        <f>IF(AND(H2465="Realizado",OR(L2465="",M2465="")),1,0)</f>
        <v>0</v>
      </c>
    </row>
    <row r="2466">
      <c r="A2466" s="43" t="n"/>
      <c r="B2466" s="44" t="n"/>
      <c r="C2466" s="38" t="n"/>
      <c r="D2466" s="38" t="n"/>
      <c r="E2466" s="37" t="n"/>
      <c r="F2466" s="38" t="n"/>
      <c r="G2466" s="38" t="n"/>
      <c r="H2466" s="38" t="n"/>
      <c r="I2466" s="38" t="n"/>
      <c r="J2466" s="38" t="n"/>
      <c r="K2466" s="37" t="n"/>
      <c r="L2466" s="39" t="n"/>
      <c r="M2466" s="40" t="n"/>
      <c r="N2466" s="30">
        <f>IF(A2466="","",MONTH(A2466))</f>
        <v/>
      </c>
      <c r="O2466" s="30">
        <f>IF(A2466="","",YEAR(A2466))</f>
        <v/>
      </c>
      <c r="P2466" s="30">
        <f>IF(A2466="","",CHOOSE(WEEKDAY(A2466,2),"Segunda","Terça","Quarta","Quinta","Sexta","Sábado","Domingo"))</f>
        <v/>
      </c>
      <c r="Q2466" s="30">
        <f>IF(B2466="","",IF(B2466&lt;TIME(12,0,0),"Manhã",IF(B2466&lt;TIME(18,0,0),"Tarde","Noite")))</f>
        <v/>
      </c>
      <c r="R2466" s="46">
        <f>IF(AND(H2466="Realizado",L2466&lt;&gt;"",A2466&lt;=Config!$B$9),L2466/60,0)</f>
        <v>0</v>
      </c>
      <c r="S2466" s="45">
        <f>IF(G2466="","",IFERROR(INDEX(Config!$K$5:$K$16,MATCH(G2466,Config!$J$5:$J$16,0)),""))</f>
        <v/>
      </c>
      <c r="T2466" s="31">
        <f>IF(OR(G2466="",F2466=""),"",IFERROR(INDEX(Config!$M$5:$R$16,MATCH(G2466,Config!$J$5:$J$16,0),MATCH(F2466,Config!$H$5:$H$10,0)),""))</f>
        <v/>
      </c>
      <c r="U2466" s="47">
        <f>IF(AND(H2466="Realizado",L2466&lt;&gt;""),L2466/60,0)</f>
        <v>0</v>
      </c>
      <c r="V2466" s="47">
        <f>IF(AND(H2466="Realizado",OR(L2466="",M2466="")),1,0)</f>
        <v>0</v>
      </c>
    </row>
    <row r="2467">
      <c r="A2467" s="43" t="n"/>
      <c r="B2467" s="44" t="n"/>
      <c r="C2467" s="38" t="n"/>
      <c r="D2467" s="38" t="n"/>
      <c r="E2467" s="37" t="n"/>
      <c r="F2467" s="38" t="n"/>
      <c r="G2467" s="38" t="n"/>
      <c r="H2467" s="38" t="n"/>
      <c r="I2467" s="38" t="n"/>
      <c r="J2467" s="38" t="n"/>
      <c r="K2467" s="37" t="n"/>
      <c r="L2467" s="39" t="n"/>
      <c r="M2467" s="40" t="n"/>
      <c r="N2467" s="30">
        <f>IF(A2467="","",MONTH(A2467))</f>
        <v/>
      </c>
      <c r="O2467" s="30">
        <f>IF(A2467="","",YEAR(A2467))</f>
        <v/>
      </c>
      <c r="P2467" s="30">
        <f>IF(A2467="","",CHOOSE(WEEKDAY(A2467,2),"Segunda","Terça","Quarta","Quinta","Sexta","Sábado","Domingo"))</f>
        <v/>
      </c>
      <c r="Q2467" s="30">
        <f>IF(B2467="","",IF(B2467&lt;TIME(12,0,0),"Manhã",IF(B2467&lt;TIME(18,0,0),"Tarde","Noite")))</f>
        <v/>
      </c>
      <c r="R2467" s="46">
        <f>IF(AND(H2467="Realizado",L2467&lt;&gt;"",A2467&lt;=Config!$B$9),L2467/60,0)</f>
        <v>0</v>
      </c>
      <c r="S2467" s="45">
        <f>IF(G2467="","",IFERROR(INDEX(Config!$K$5:$K$16,MATCH(G2467,Config!$J$5:$J$16,0)),""))</f>
        <v/>
      </c>
      <c r="T2467" s="31">
        <f>IF(OR(G2467="",F2467=""),"",IFERROR(INDEX(Config!$M$5:$R$16,MATCH(G2467,Config!$J$5:$J$16,0),MATCH(F2467,Config!$H$5:$H$10,0)),""))</f>
        <v/>
      </c>
      <c r="U2467" s="47">
        <f>IF(AND(H2467="Realizado",L2467&lt;&gt;""),L2467/60,0)</f>
        <v>0</v>
      </c>
      <c r="V2467" s="47">
        <f>IF(AND(H2467="Realizado",OR(L2467="",M2467="")),1,0)</f>
        <v>0</v>
      </c>
    </row>
    <row r="2468">
      <c r="A2468" s="43" t="n"/>
      <c r="B2468" s="44" t="n"/>
      <c r="C2468" s="38" t="n"/>
      <c r="D2468" s="38" t="n"/>
      <c r="E2468" s="37" t="n"/>
      <c r="F2468" s="38" t="n"/>
      <c r="G2468" s="38" t="n"/>
      <c r="H2468" s="38" t="n"/>
      <c r="I2468" s="38" t="n"/>
      <c r="J2468" s="38" t="n"/>
      <c r="K2468" s="37" t="n"/>
      <c r="L2468" s="39" t="n"/>
      <c r="M2468" s="40" t="n"/>
      <c r="N2468" s="30">
        <f>IF(A2468="","",MONTH(A2468))</f>
        <v/>
      </c>
      <c r="O2468" s="30">
        <f>IF(A2468="","",YEAR(A2468))</f>
        <v/>
      </c>
      <c r="P2468" s="30">
        <f>IF(A2468="","",CHOOSE(WEEKDAY(A2468,2),"Segunda","Terça","Quarta","Quinta","Sexta","Sábado","Domingo"))</f>
        <v/>
      </c>
      <c r="Q2468" s="30">
        <f>IF(B2468="","",IF(B2468&lt;TIME(12,0,0),"Manhã",IF(B2468&lt;TIME(18,0,0),"Tarde","Noite")))</f>
        <v/>
      </c>
      <c r="R2468" s="46">
        <f>IF(AND(H2468="Realizado",L2468&lt;&gt;"",A2468&lt;=Config!$B$9),L2468/60,0)</f>
        <v>0</v>
      </c>
      <c r="S2468" s="45">
        <f>IF(G2468="","",IFERROR(INDEX(Config!$K$5:$K$16,MATCH(G2468,Config!$J$5:$J$16,0)),""))</f>
        <v/>
      </c>
      <c r="T2468" s="31">
        <f>IF(OR(G2468="",F2468=""),"",IFERROR(INDEX(Config!$M$5:$R$16,MATCH(G2468,Config!$J$5:$J$16,0),MATCH(F2468,Config!$H$5:$H$10,0)),""))</f>
        <v/>
      </c>
      <c r="U2468" s="47">
        <f>IF(AND(H2468="Realizado",L2468&lt;&gt;""),L2468/60,0)</f>
        <v>0</v>
      </c>
      <c r="V2468" s="47">
        <f>IF(AND(H2468="Realizado",OR(L2468="",M2468="")),1,0)</f>
        <v>0</v>
      </c>
    </row>
    <row r="2469">
      <c r="A2469" s="43" t="n"/>
      <c r="B2469" s="44" t="n"/>
      <c r="C2469" s="38" t="n"/>
      <c r="D2469" s="38" t="n"/>
      <c r="E2469" s="37" t="n"/>
      <c r="F2469" s="38" t="n"/>
      <c r="G2469" s="38" t="n"/>
      <c r="H2469" s="38" t="n"/>
      <c r="I2469" s="38" t="n"/>
      <c r="J2469" s="38" t="n"/>
      <c r="K2469" s="37" t="n"/>
      <c r="L2469" s="39" t="n"/>
      <c r="M2469" s="40" t="n"/>
      <c r="N2469" s="30">
        <f>IF(A2469="","",MONTH(A2469))</f>
        <v/>
      </c>
      <c r="O2469" s="30">
        <f>IF(A2469="","",YEAR(A2469))</f>
        <v/>
      </c>
      <c r="P2469" s="30">
        <f>IF(A2469="","",CHOOSE(WEEKDAY(A2469,2),"Segunda","Terça","Quarta","Quinta","Sexta","Sábado","Domingo"))</f>
        <v/>
      </c>
      <c r="Q2469" s="30">
        <f>IF(B2469="","",IF(B2469&lt;TIME(12,0,0),"Manhã",IF(B2469&lt;TIME(18,0,0),"Tarde","Noite")))</f>
        <v/>
      </c>
      <c r="R2469" s="46">
        <f>IF(AND(H2469="Realizado",L2469&lt;&gt;"",A2469&lt;=Config!$B$9),L2469/60,0)</f>
        <v>0</v>
      </c>
      <c r="S2469" s="45">
        <f>IF(G2469="","",IFERROR(INDEX(Config!$K$5:$K$16,MATCH(G2469,Config!$J$5:$J$16,0)),""))</f>
        <v/>
      </c>
      <c r="T2469" s="31">
        <f>IF(OR(G2469="",F2469=""),"",IFERROR(INDEX(Config!$M$5:$R$16,MATCH(G2469,Config!$J$5:$J$16,0),MATCH(F2469,Config!$H$5:$H$10,0)),""))</f>
        <v/>
      </c>
      <c r="U2469" s="47">
        <f>IF(AND(H2469="Realizado",L2469&lt;&gt;""),L2469/60,0)</f>
        <v>0</v>
      </c>
      <c r="V2469" s="47">
        <f>IF(AND(H2469="Realizado",OR(L2469="",M2469="")),1,0)</f>
        <v>0</v>
      </c>
    </row>
    <row r="2470">
      <c r="A2470" s="43" t="n"/>
      <c r="B2470" s="44" t="n"/>
      <c r="C2470" s="38" t="n"/>
      <c r="D2470" s="38" t="n"/>
      <c r="E2470" s="37" t="n"/>
      <c r="F2470" s="38" t="n"/>
      <c r="G2470" s="38" t="n"/>
      <c r="H2470" s="38" t="n"/>
      <c r="I2470" s="38" t="n"/>
      <c r="J2470" s="38" t="n"/>
      <c r="K2470" s="37" t="n"/>
      <c r="L2470" s="39" t="n"/>
      <c r="M2470" s="40" t="n"/>
      <c r="N2470" s="30">
        <f>IF(A2470="","",MONTH(A2470))</f>
        <v/>
      </c>
      <c r="O2470" s="30">
        <f>IF(A2470="","",YEAR(A2470))</f>
        <v/>
      </c>
      <c r="P2470" s="30">
        <f>IF(A2470="","",CHOOSE(WEEKDAY(A2470,2),"Segunda","Terça","Quarta","Quinta","Sexta","Sábado","Domingo"))</f>
        <v/>
      </c>
      <c r="Q2470" s="30">
        <f>IF(B2470="","",IF(B2470&lt;TIME(12,0,0),"Manhã",IF(B2470&lt;TIME(18,0,0),"Tarde","Noite")))</f>
        <v/>
      </c>
      <c r="R2470" s="46">
        <f>IF(AND(H2470="Realizado",L2470&lt;&gt;"",A2470&lt;=Config!$B$9),L2470/60,0)</f>
        <v>0</v>
      </c>
      <c r="S2470" s="45">
        <f>IF(G2470="","",IFERROR(INDEX(Config!$K$5:$K$16,MATCH(G2470,Config!$J$5:$J$16,0)),""))</f>
        <v/>
      </c>
      <c r="T2470" s="31">
        <f>IF(OR(G2470="",F2470=""),"",IFERROR(INDEX(Config!$M$5:$R$16,MATCH(G2470,Config!$J$5:$J$16,0),MATCH(F2470,Config!$H$5:$H$10,0)),""))</f>
        <v/>
      </c>
      <c r="U2470" s="47">
        <f>IF(AND(H2470="Realizado",L2470&lt;&gt;""),L2470/60,0)</f>
        <v>0</v>
      </c>
      <c r="V2470" s="47">
        <f>IF(AND(H2470="Realizado",OR(L2470="",M2470="")),1,0)</f>
        <v>0</v>
      </c>
    </row>
    <row r="2471">
      <c r="A2471" s="43" t="n"/>
      <c r="B2471" s="44" t="n"/>
      <c r="C2471" s="38" t="n"/>
      <c r="D2471" s="38" t="n"/>
      <c r="E2471" s="37" t="n"/>
      <c r="F2471" s="38" t="n"/>
      <c r="G2471" s="38" t="n"/>
      <c r="H2471" s="38" t="n"/>
      <c r="I2471" s="38" t="n"/>
      <c r="J2471" s="38" t="n"/>
      <c r="K2471" s="37" t="n"/>
      <c r="L2471" s="39" t="n"/>
      <c r="M2471" s="40" t="n"/>
      <c r="N2471" s="30">
        <f>IF(A2471="","",MONTH(A2471))</f>
        <v/>
      </c>
      <c r="O2471" s="30">
        <f>IF(A2471="","",YEAR(A2471))</f>
        <v/>
      </c>
      <c r="P2471" s="30">
        <f>IF(A2471="","",CHOOSE(WEEKDAY(A2471,2),"Segunda","Terça","Quarta","Quinta","Sexta","Sábado","Domingo"))</f>
        <v/>
      </c>
      <c r="Q2471" s="30">
        <f>IF(B2471="","",IF(B2471&lt;TIME(12,0,0),"Manhã",IF(B2471&lt;TIME(18,0,0),"Tarde","Noite")))</f>
        <v/>
      </c>
      <c r="R2471" s="46">
        <f>IF(AND(H2471="Realizado",L2471&lt;&gt;"",A2471&lt;=Config!$B$9),L2471/60,0)</f>
        <v>0</v>
      </c>
      <c r="S2471" s="45">
        <f>IF(G2471="","",IFERROR(INDEX(Config!$K$5:$K$16,MATCH(G2471,Config!$J$5:$J$16,0)),""))</f>
        <v/>
      </c>
      <c r="T2471" s="31">
        <f>IF(OR(G2471="",F2471=""),"",IFERROR(INDEX(Config!$M$5:$R$16,MATCH(G2471,Config!$J$5:$J$16,0),MATCH(F2471,Config!$H$5:$H$10,0)),""))</f>
        <v/>
      </c>
      <c r="U2471" s="47">
        <f>IF(AND(H2471="Realizado",L2471&lt;&gt;""),L2471/60,0)</f>
        <v>0</v>
      </c>
      <c r="V2471" s="47">
        <f>IF(AND(H2471="Realizado",OR(L2471="",M2471="")),1,0)</f>
        <v>0</v>
      </c>
    </row>
    <row r="2472">
      <c r="A2472" s="43" t="n"/>
      <c r="B2472" s="44" t="n"/>
      <c r="C2472" s="38" t="n"/>
      <c r="D2472" s="38" t="n"/>
      <c r="E2472" s="37" t="n"/>
      <c r="F2472" s="38" t="n"/>
      <c r="G2472" s="38" t="n"/>
      <c r="H2472" s="38" t="n"/>
      <c r="I2472" s="38" t="n"/>
      <c r="J2472" s="38" t="n"/>
      <c r="K2472" s="37" t="n"/>
      <c r="L2472" s="39" t="n"/>
      <c r="M2472" s="40" t="n"/>
      <c r="N2472" s="30">
        <f>IF(A2472="","",MONTH(A2472))</f>
        <v/>
      </c>
      <c r="O2472" s="30">
        <f>IF(A2472="","",YEAR(A2472))</f>
        <v/>
      </c>
      <c r="P2472" s="30">
        <f>IF(A2472="","",CHOOSE(WEEKDAY(A2472,2),"Segunda","Terça","Quarta","Quinta","Sexta","Sábado","Domingo"))</f>
        <v/>
      </c>
      <c r="Q2472" s="30">
        <f>IF(B2472="","",IF(B2472&lt;TIME(12,0,0),"Manhã",IF(B2472&lt;TIME(18,0,0),"Tarde","Noite")))</f>
        <v/>
      </c>
      <c r="R2472" s="46">
        <f>IF(AND(H2472="Realizado",L2472&lt;&gt;"",A2472&lt;=Config!$B$9),L2472/60,0)</f>
        <v>0</v>
      </c>
      <c r="S2472" s="45">
        <f>IF(G2472="","",IFERROR(INDEX(Config!$K$5:$K$16,MATCH(G2472,Config!$J$5:$J$16,0)),""))</f>
        <v/>
      </c>
      <c r="T2472" s="31">
        <f>IF(OR(G2472="",F2472=""),"",IFERROR(INDEX(Config!$M$5:$R$16,MATCH(G2472,Config!$J$5:$J$16,0),MATCH(F2472,Config!$H$5:$H$10,0)),""))</f>
        <v/>
      </c>
      <c r="U2472" s="47">
        <f>IF(AND(H2472="Realizado",L2472&lt;&gt;""),L2472/60,0)</f>
        <v>0</v>
      </c>
      <c r="V2472" s="47">
        <f>IF(AND(H2472="Realizado",OR(L2472="",M2472="")),1,0)</f>
        <v>0</v>
      </c>
    </row>
    <row r="2473">
      <c r="A2473" s="43" t="n"/>
      <c r="B2473" s="44" t="n"/>
      <c r="C2473" s="38" t="n"/>
      <c r="D2473" s="38" t="n"/>
      <c r="E2473" s="37" t="n"/>
      <c r="F2473" s="38" t="n"/>
      <c r="G2473" s="38" t="n"/>
      <c r="H2473" s="38" t="n"/>
      <c r="I2473" s="38" t="n"/>
      <c r="J2473" s="38" t="n"/>
      <c r="K2473" s="37" t="n"/>
      <c r="L2473" s="39" t="n"/>
      <c r="M2473" s="40" t="n"/>
      <c r="N2473" s="30">
        <f>IF(A2473="","",MONTH(A2473))</f>
        <v/>
      </c>
      <c r="O2473" s="30">
        <f>IF(A2473="","",YEAR(A2473))</f>
        <v/>
      </c>
      <c r="P2473" s="30">
        <f>IF(A2473="","",CHOOSE(WEEKDAY(A2473,2),"Segunda","Terça","Quarta","Quinta","Sexta","Sábado","Domingo"))</f>
        <v/>
      </c>
      <c r="Q2473" s="30">
        <f>IF(B2473="","",IF(B2473&lt;TIME(12,0,0),"Manhã",IF(B2473&lt;TIME(18,0,0),"Tarde","Noite")))</f>
        <v/>
      </c>
      <c r="R2473" s="46">
        <f>IF(AND(H2473="Realizado",L2473&lt;&gt;"",A2473&lt;=Config!$B$9),L2473/60,0)</f>
        <v>0</v>
      </c>
      <c r="S2473" s="45">
        <f>IF(G2473="","",IFERROR(INDEX(Config!$K$5:$K$16,MATCH(G2473,Config!$J$5:$J$16,0)),""))</f>
        <v/>
      </c>
      <c r="T2473" s="31">
        <f>IF(OR(G2473="",F2473=""),"",IFERROR(INDEX(Config!$M$5:$R$16,MATCH(G2473,Config!$J$5:$J$16,0),MATCH(F2473,Config!$H$5:$H$10,0)),""))</f>
        <v/>
      </c>
      <c r="U2473" s="47">
        <f>IF(AND(H2473="Realizado",L2473&lt;&gt;""),L2473/60,0)</f>
        <v>0</v>
      </c>
      <c r="V2473" s="47">
        <f>IF(AND(H2473="Realizado",OR(L2473="",M2473="")),1,0)</f>
        <v>0</v>
      </c>
    </row>
    <row r="2474">
      <c r="A2474" s="43" t="n"/>
      <c r="B2474" s="44" t="n"/>
      <c r="C2474" s="38" t="n"/>
      <c r="D2474" s="38" t="n"/>
      <c r="E2474" s="37" t="n"/>
      <c r="F2474" s="38" t="n"/>
      <c r="G2474" s="38" t="n"/>
      <c r="H2474" s="38" t="n"/>
      <c r="I2474" s="38" t="n"/>
      <c r="J2474" s="38" t="n"/>
      <c r="K2474" s="37" t="n"/>
      <c r="L2474" s="39" t="n"/>
      <c r="M2474" s="40" t="n"/>
      <c r="N2474" s="30">
        <f>IF(A2474="","",MONTH(A2474))</f>
        <v/>
      </c>
      <c r="O2474" s="30">
        <f>IF(A2474="","",YEAR(A2474))</f>
        <v/>
      </c>
      <c r="P2474" s="30">
        <f>IF(A2474="","",CHOOSE(WEEKDAY(A2474,2),"Segunda","Terça","Quarta","Quinta","Sexta","Sábado","Domingo"))</f>
        <v/>
      </c>
      <c r="Q2474" s="30">
        <f>IF(B2474="","",IF(B2474&lt;TIME(12,0,0),"Manhã",IF(B2474&lt;TIME(18,0,0),"Tarde","Noite")))</f>
        <v/>
      </c>
      <c r="R2474" s="46">
        <f>IF(AND(H2474="Realizado",L2474&lt;&gt;"",A2474&lt;=Config!$B$9),L2474/60,0)</f>
        <v>0</v>
      </c>
      <c r="S2474" s="45">
        <f>IF(G2474="","",IFERROR(INDEX(Config!$K$5:$K$16,MATCH(G2474,Config!$J$5:$J$16,0)),""))</f>
        <v/>
      </c>
      <c r="T2474" s="31">
        <f>IF(OR(G2474="",F2474=""),"",IFERROR(INDEX(Config!$M$5:$R$16,MATCH(G2474,Config!$J$5:$J$16,0),MATCH(F2474,Config!$H$5:$H$10,0)),""))</f>
        <v/>
      </c>
      <c r="U2474" s="47">
        <f>IF(AND(H2474="Realizado",L2474&lt;&gt;""),L2474/60,0)</f>
        <v>0</v>
      </c>
      <c r="V2474" s="47">
        <f>IF(AND(H2474="Realizado",OR(L2474="",M2474="")),1,0)</f>
        <v>0</v>
      </c>
    </row>
    <row r="2475">
      <c r="A2475" s="43" t="n"/>
      <c r="B2475" s="44" t="n"/>
      <c r="C2475" s="38" t="n"/>
      <c r="D2475" s="38" t="n"/>
      <c r="E2475" s="37" t="n"/>
      <c r="F2475" s="38" t="n"/>
      <c r="G2475" s="38" t="n"/>
      <c r="H2475" s="38" t="n"/>
      <c r="I2475" s="38" t="n"/>
      <c r="J2475" s="38" t="n"/>
      <c r="K2475" s="37" t="n"/>
      <c r="L2475" s="39" t="n"/>
      <c r="M2475" s="40" t="n"/>
      <c r="N2475" s="30">
        <f>IF(A2475="","",MONTH(A2475))</f>
        <v/>
      </c>
      <c r="O2475" s="30">
        <f>IF(A2475="","",YEAR(A2475))</f>
        <v/>
      </c>
      <c r="P2475" s="30">
        <f>IF(A2475="","",CHOOSE(WEEKDAY(A2475,2),"Segunda","Terça","Quarta","Quinta","Sexta","Sábado","Domingo"))</f>
        <v/>
      </c>
      <c r="Q2475" s="30">
        <f>IF(B2475="","",IF(B2475&lt;TIME(12,0,0),"Manhã",IF(B2475&lt;TIME(18,0,0),"Tarde","Noite")))</f>
        <v/>
      </c>
      <c r="R2475" s="46">
        <f>IF(AND(H2475="Realizado",L2475&lt;&gt;"",A2475&lt;=Config!$B$9),L2475/60,0)</f>
        <v>0</v>
      </c>
      <c r="S2475" s="45">
        <f>IF(G2475="","",IFERROR(INDEX(Config!$K$5:$K$16,MATCH(G2475,Config!$J$5:$J$16,0)),""))</f>
        <v/>
      </c>
      <c r="T2475" s="31">
        <f>IF(OR(G2475="",F2475=""),"",IFERROR(INDEX(Config!$M$5:$R$16,MATCH(G2475,Config!$J$5:$J$16,0),MATCH(F2475,Config!$H$5:$H$10,0)),""))</f>
        <v/>
      </c>
      <c r="U2475" s="47">
        <f>IF(AND(H2475="Realizado",L2475&lt;&gt;""),L2475/60,0)</f>
        <v>0</v>
      </c>
      <c r="V2475" s="47">
        <f>IF(AND(H2475="Realizado",OR(L2475="",M2475="")),1,0)</f>
        <v>0</v>
      </c>
    </row>
    <row r="2476">
      <c r="A2476" s="43" t="n"/>
      <c r="B2476" s="44" t="n"/>
      <c r="C2476" s="38" t="n"/>
      <c r="D2476" s="38" t="n"/>
      <c r="E2476" s="37" t="n"/>
      <c r="F2476" s="38" t="n"/>
      <c r="G2476" s="38" t="n"/>
      <c r="H2476" s="38" t="n"/>
      <c r="I2476" s="38" t="n"/>
      <c r="J2476" s="38" t="n"/>
      <c r="K2476" s="37" t="n"/>
      <c r="L2476" s="39" t="n"/>
      <c r="M2476" s="40" t="n"/>
      <c r="N2476" s="30">
        <f>IF(A2476="","",MONTH(A2476))</f>
        <v/>
      </c>
      <c r="O2476" s="30">
        <f>IF(A2476="","",YEAR(A2476))</f>
        <v/>
      </c>
      <c r="P2476" s="30">
        <f>IF(A2476="","",CHOOSE(WEEKDAY(A2476,2),"Segunda","Terça","Quarta","Quinta","Sexta","Sábado","Domingo"))</f>
        <v/>
      </c>
      <c r="Q2476" s="30">
        <f>IF(B2476="","",IF(B2476&lt;TIME(12,0,0),"Manhã",IF(B2476&lt;TIME(18,0,0),"Tarde","Noite")))</f>
        <v/>
      </c>
      <c r="R2476" s="46">
        <f>IF(AND(H2476="Realizado",L2476&lt;&gt;"",A2476&lt;=Config!$B$9),L2476/60,0)</f>
        <v>0</v>
      </c>
      <c r="S2476" s="45">
        <f>IF(G2476="","",IFERROR(INDEX(Config!$K$5:$K$16,MATCH(G2476,Config!$J$5:$J$16,0)),""))</f>
        <v/>
      </c>
      <c r="T2476" s="31">
        <f>IF(OR(G2476="",F2476=""),"",IFERROR(INDEX(Config!$M$5:$R$16,MATCH(G2476,Config!$J$5:$J$16,0),MATCH(F2476,Config!$H$5:$H$10,0)),""))</f>
        <v/>
      </c>
      <c r="U2476" s="47">
        <f>IF(AND(H2476="Realizado",L2476&lt;&gt;""),L2476/60,0)</f>
        <v>0</v>
      </c>
      <c r="V2476" s="47">
        <f>IF(AND(H2476="Realizado",OR(L2476="",M2476="")),1,0)</f>
        <v>0</v>
      </c>
    </row>
    <row r="2477">
      <c r="A2477" s="43" t="n"/>
      <c r="B2477" s="44" t="n"/>
      <c r="C2477" s="38" t="n"/>
      <c r="D2477" s="38" t="n"/>
      <c r="E2477" s="37" t="n"/>
      <c r="F2477" s="38" t="n"/>
      <c r="G2477" s="38" t="n"/>
      <c r="H2477" s="38" t="n"/>
      <c r="I2477" s="38" t="n"/>
      <c r="J2477" s="38" t="n"/>
      <c r="K2477" s="37" t="n"/>
      <c r="L2477" s="39" t="n"/>
      <c r="M2477" s="40" t="n"/>
      <c r="N2477" s="30">
        <f>IF(A2477="","",MONTH(A2477))</f>
        <v/>
      </c>
      <c r="O2477" s="30">
        <f>IF(A2477="","",YEAR(A2477))</f>
        <v/>
      </c>
      <c r="P2477" s="30">
        <f>IF(A2477="","",CHOOSE(WEEKDAY(A2477,2),"Segunda","Terça","Quarta","Quinta","Sexta","Sábado","Domingo"))</f>
        <v/>
      </c>
      <c r="Q2477" s="30">
        <f>IF(B2477="","",IF(B2477&lt;TIME(12,0,0),"Manhã",IF(B2477&lt;TIME(18,0,0),"Tarde","Noite")))</f>
        <v/>
      </c>
      <c r="R2477" s="46">
        <f>IF(AND(H2477="Realizado",L2477&lt;&gt;"",A2477&lt;=Config!$B$9),L2477/60,0)</f>
        <v>0</v>
      </c>
      <c r="S2477" s="45">
        <f>IF(G2477="","",IFERROR(INDEX(Config!$K$5:$K$16,MATCH(G2477,Config!$J$5:$J$16,0)),""))</f>
        <v/>
      </c>
      <c r="T2477" s="31">
        <f>IF(OR(G2477="",F2477=""),"",IFERROR(INDEX(Config!$M$5:$R$16,MATCH(G2477,Config!$J$5:$J$16,0),MATCH(F2477,Config!$H$5:$H$10,0)),""))</f>
        <v/>
      </c>
      <c r="U2477" s="47">
        <f>IF(AND(H2477="Realizado",L2477&lt;&gt;""),L2477/60,0)</f>
        <v>0</v>
      </c>
      <c r="V2477" s="47">
        <f>IF(AND(H2477="Realizado",OR(L2477="",M2477="")),1,0)</f>
        <v>0</v>
      </c>
    </row>
    <row r="2478">
      <c r="A2478" s="43" t="n"/>
      <c r="B2478" s="44" t="n"/>
      <c r="C2478" s="38" t="n"/>
      <c r="D2478" s="38" t="n"/>
      <c r="E2478" s="37" t="n"/>
      <c r="F2478" s="38" t="n"/>
      <c r="G2478" s="38" t="n"/>
      <c r="H2478" s="38" t="n"/>
      <c r="I2478" s="38" t="n"/>
      <c r="J2478" s="38" t="n"/>
      <c r="K2478" s="37" t="n"/>
      <c r="L2478" s="39" t="n"/>
      <c r="M2478" s="40" t="n"/>
      <c r="N2478" s="30">
        <f>IF(A2478="","",MONTH(A2478))</f>
        <v/>
      </c>
      <c r="O2478" s="30">
        <f>IF(A2478="","",YEAR(A2478))</f>
        <v/>
      </c>
      <c r="P2478" s="30">
        <f>IF(A2478="","",CHOOSE(WEEKDAY(A2478,2),"Segunda","Terça","Quarta","Quinta","Sexta","Sábado","Domingo"))</f>
        <v/>
      </c>
      <c r="Q2478" s="30">
        <f>IF(B2478="","",IF(B2478&lt;TIME(12,0,0),"Manhã",IF(B2478&lt;TIME(18,0,0),"Tarde","Noite")))</f>
        <v/>
      </c>
      <c r="R2478" s="46">
        <f>IF(AND(H2478="Realizado",L2478&lt;&gt;"",A2478&lt;=Config!$B$9),L2478/60,0)</f>
        <v>0</v>
      </c>
      <c r="S2478" s="45">
        <f>IF(G2478="","",IFERROR(INDEX(Config!$K$5:$K$16,MATCH(G2478,Config!$J$5:$J$16,0)),""))</f>
        <v/>
      </c>
      <c r="T2478" s="31">
        <f>IF(OR(G2478="",F2478=""),"",IFERROR(INDEX(Config!$M$5:$R$16,MATCH(G2478,Config!$J$5:$J$16,0),MATCH(F2478,Config!$H$5:$H$10,0)),""))</f>
        <v/>
      </c>
      <c r="U2478" s="47">
        <f>IF(AND(H2478="Realizado",L2478&lt;&gt;""),L2478/60,0)</f>
        <v>0</v>
      </c>
      <c r="V2478" s="47">
        <f>IF(AND(H2478="Realizado",OR(L2478="",M2478="")),1,0)</f>
        <v>0</v>
      </c>
    </row>
    <row r="2479">
      <c r="A2479" s="43" t="n"/>
      <c r="B2479" s="44" t="n"/>
      <c r="C2479" s="38" t="n"/>
      <c r="D2479" s="38" t="n"/>
      <c r="E2479" s="37" t="n"/>
      <c r="F2479" s="38" t="n"/>
      <c r="G2479" s="38" t="n"/>
      <c r="H2479" s="38" t="n"/>
      <c r="I2479" s="38" t="n"/>
      <c r="J2479" s="38" t="n"/>
      <c r="K2479" s="37" t="n"/>
      <c r="L2479" s="39" t="n"/>
      <c r="M2479" s="40" t="n"/>
      <c r="N2479" s="30">
        <f>IF(A2479="","",MONTH(A2479))</f>
        <v/>
      </c>
      <c r="O2479" s="30">
        <f>IF(A2479="","",YEAR(A2479))</f>
        <v/>
      </c>
      <c r="P2479" s="30">
        <f>IF(A2479="","",CHOOSE(WEEKDAY(A2479,2),"Segunda","Terça","Quarta","Quinta","Sexta","Sábado","Domingo"))</f>
        <v/>
      </c>
      <c r="Q2479" s="30">
        <f>IF(B2479="","",IF(B2479&lt;TIME(12,0,0),"Manhã",IF(B2479&lt;TIME(18,0,0),"Tarde","Noite")))</f>
        <v/>
      </c>
      <c r="R2479" s="46">
        <f>IF(AND(H2479="Realizado",L2479&lt;&gt;"",A2479&lt;=Config!$B$9),L2479/60,0)</f>
        <v>0</v>
      </c>
      <c r="S2479" s="45">
        <f>IF(G2479="","",IFERROR(INDEX(Config!$K$5:$K$16,MATCH(G2479,Config!$J$5:$J$16,0)),""))</f>
        <v/>
      </c>
      <c r="T2479" s="31">
        <f>IF(OR(G2479="",F2479=""),"",IFERROR(INDEX(Config!$M$5:$R$16,MATCH(G2479,Config!$J$5:$J$16,0),MATCH(F2479,Config!$H$5:$H$10,0)),""))</f>
        <v/>
      </c>
      <c r="U2479" s="47">
        <f>IF(AND(H2479="Realizado",L2479&lt;&gt;""),L2479/60,0)</f>
        <v>0</v>
      </c>
      <c r="V2479" s="47">
        <f>IF(AND(H2479="Realizado",OR(L2479="",M2479="")),1,0)</f>
        <v>0</v>
      </c>
    </row>
    <row r="2480">
      <c r="A2480" s="43" t="n"/>
      <c r="B2480" s="44" t="n"/>
      <c r="C2480" s="38" t="n"/>
      <c r="D2480" s="38" t="n"/>
      <c r="E2480" s="37" t="n"/>
      <c r="F2480" s="38" t="n"/>
      <c r="G2480" s="38" t="n"/>
      <c r="H2480" s="38" t="n"/>
      <c r="I2480" s="38" t="n"/>
      <c r="J2480" s="38" t="n"/>
      <c r="K2480" s="37" t="n"/>
      <c r="L2480" s="39" t="n"/>
      <c r="M2480" s="40" t="n"/>
      <c r="N2480" s="30">
        <f>IF(A2480="","",MONTH(A2480))</f>
        <v/>
      </c>
      <c r="O2480" s="30">
        <f>IF(A2480="","",YEAR(A2480))</f>
        <v/>
      </c>
      <c r="P2480" s="30">
        <f>IF(A2480="","",CHOOSE(WEEKDAY(A2480,2),"Segunda","Terça","Quarta","Quinta","Sexta","Sábado","Domingo"))</f>
        <v/>
      </c>
      <c r="Q2480" s="30">
        <f>IF(B2480="","",IF(B2480&lt;TIME(12,0,0),"Manhã",IF(B2480&lt;TIME(18,0,0),"Tarde","Noite")))</f>
        <v/>
      </c>
      <c r="R2480" s="46">
        <f>IF(AND(H2480="Realizado",L2480&lt;&gt;"",A2480&lt;=Config!$B$9),L2480/60,0)</f>
        <v>0</v>
      </c>
      <c r="S2480" s="45">
        <f>IF(G2480="","",IFERROR(INDEX(Config!$K$5:$K$16,MATCH(G2480,Config!$J$5:$J$16,0)),""))</f>
        <v/>
      </c>
      <c r="T2480" s="31">
        <f>IF(OR(G2480="",F2480=""),"",IFERROR(INDEX(Config!$M$5:$R$16,MATCH(G2480,Config!$J$5:$J$16,0),MATCH(F2480,Config!$H$5:$H$10,0)),""))</f>
        <v/>
      </c>
      <c r="U2480" s="47">
        <f>IF(AND(H2480="Realizado",L2480&lt;&gt;""),L2480/60,0)</f>
        <v>0</v>
      </c>
      <c r="V2480" s="47">
        <f>IF(AND(H2480="Realizado",OR(L2480="",M2480="")),1,0)</f>
        <v>0</v>
      </c>
    </row>
    <row r="2481">
      <c r="A2481" s="43" t="n"/>
      <c r="B2481" s="44" t="n"/>
      <c r="C2481" s="38" t="n"/>
      <c r="D2481" s="38" t="n"/>
      <c r="E2481" s="37" t="n"/>
      <c r="F2481" s="38" t="n"/>
      <c r="G2481" s="38" t="n"/>
      <c r="H2481" s="38" t="n"/>
      <c r="I2481" s="38" t="n"/>
      <c r="J2481" s="38" t="n"/>
      <c r="K2481" s="37" t="n"/>
      <c r="L2481" s="39" t="n"/>
      <c r="M2481" s="40" t="n"/>
      <c r="N2481" s="30">
        <f>IF(A2481="","",MONTH(A2481))</f>
        <v/>
      </c>
      <c r="O2481" s="30">
        <f>IF(A2481="","",YEAR(A2481))</f>
        <v/>
      </c>
      <c r="P2481" s="30">
        <f>IF(A2481="","",CHOOSE(WEEKDAY(A2481,2),"Segunda","Terça","Quarta","Quinta","Sexta","Sábado","Domingo"))</f>
        <v/>
      </c>
      <c r="Q2481" s="30">
        <f>IF(B2481="","",IF(B2481&lt;TIME(12,0,0),"Manhã",IF(B2481&lt;TIME(18,0,0),"Tarde","Noite")))</f>
        <v/>
      </c>
      <c r="R2481" s="46">
        <f>IF(AND(H2481="Realizado",L2481&lt;&gt;"",A2481&lt;=Config!$B$9),L2481/60,0)</f>
        <v>0</v>
      </c>
      <c r="S2481" s="45">
        <f>IF(G2481="","",IFERROR(INDEX(Config!$K$5:$K$16,MATCH(G2481,Config!$J$5:$J$16,0)),""))</f>
        <v/>
      </c>
      <c r="T2481" s="31">
        <f>IF(OR(G2481="",F2481=""),"",IFERROR(INDEX(Config!$M$5:$R$16,MATCH(G2481,Config!$J$5:$J$16,0),MATCH(F2481,Config!$H$5:$H$10,0)),""))</f>
        <v/>
      </c>
      <c r="U2481" s="47">
        <f>IF(AND(H2481="Realizado",L2481&lt;&gt;""),L2481/60,0)</f>
        <v>0</v>
      </c>
      <c r="V2481" s="47">
        <f>IF(AND(H2481="Realizado",OR(L2481="",M2481="")),1,0)</f>
        <v>0</v>
      </c>
    </row>
    <row r="2482">
      <c r="A2482" s="43" t="n"/>
      <c r="B2482" s="44" t="n"/>
      <c r="C2482" s="38" t="n"/>
      <c r="D2482" s="38" t="n"/>
      <c r="E2482" s="37" t="n"/>
      <c r="F2482" s="38" t="n"/>
      <c r="G2482" s="38" t="n"/>
      <c r="H2482" s="38" t="n"/>
      <c r="I2482" s="38" t="n"/>
      <c r="J2482" s="38" t="n"/>
      <c r="K2482" s="37" t="n"/>
      <c r="L2482" s="39" t="n"/>
      <c r="M2482" s="40" t="n"/>
      <c r="N2482" s="30">
        <f>IF(A2482="","",MONTH(A2482))</f>
        <v/>
      </c>
      <c r="O2482" s="30">
        <f>IF(A2482="","",YEAR(A2482))</f>
        <v/>
      </c>
      <c r="P2482" s="30">
        <f>IF(A2482="","",CHOOSE(WEEKDAY(A2482,2),"Segunda","Terça","Quarta","Quinta","Sexta","Sábado","Domingo"))</f>
        <v/>
      </c>
      <c r="Q2482" s="30">
        <f>IF(B2482="","",IF(B2482&lt;TIME(12,0,0),"Manhã",IF(B2482&lt;TIME(18,0,0),"Tarde","Noite")))</f>
        <v/>
      </c>
      <c r="R2482" s="46">
        <f>IF(AND(H2482="Realizado",L2482&lt;&gt;"",A2482&lt;=Config!$B$9),L2482/60,0)</f>
        <v>0</v>
      </c>
      <c r="S2482" s="45">
        <f>IF(G2482="","",IFERROR(INDEX(Config!$K$5:$K$16,MATCH(G2482,Config!$J$5:$J$16,0)),""))</f>
        <v/>
      </c>
      <c r="T2482" s="31">
        <f>IF(OR(G2482="",F2482=""),"",IFERROR(INDEX(Config!$M$5:$R$16,MATCH(G2482,Config!$J$5:$J$16,0),MATCH(F2482,Config!$H$5:$H$10,0)),""))</f>
        <v/>
      </c>
      <c r="U2482" s="47">
        <f>IF(AND(H2482="Realizado",L2482&lt;&gt;""),L2482/60,0)</f>
        <v>0</v>
      </c>
      <c r="V2482" s="47">
        <f>IF(AND(H2482="Realizado",OR(L2482="",M2482="")),1,0)</f>
        <v>0</v>
      </c>
    </row>
    <row r="2483">
      <c r="A2483" s="43" t="n"/>
      <c r="B2483" s="44" t="n"/>
      <c r="C2483" s="38" t="n"/>
      <c r="D2483" s="38" t="n"/>
      <c r="E2483" s="37" t="n"/>
      <c r="F2483" s="38" t="n"/>
      <c r="G2483" s="38" t="n"/>
      <c r="H2483" s="38" t="n"/>
      <c r="I2483" s="38" t="n"/>
      <c r="J2483" s="38" t="n"/>
      <c r="K2483" s="37" t="n"/>
      <c r="L2483" s="39" t="n"/>
      <c r="M2483" s="40" t="n"/>
      <c r="N2483" s="30">
        <f>IF(A2483="","",MONTH(A2483))</f>
        <v/>
      </c>
      <c r="O2483" s="30">
        <f>IF(A2483="","",YEAR(A2483))</f>
        <v/>
      </c>
      <c r="P2483" s="30">
        <f>IF(A2483="","",CHOOSE(WEEKDAY(A2483,2),"Segunda","Terça","Quarta","Quinta","Sexta","Sábado","Domingo"))</f>
        <v/>
      </c>
      <c r="Q2483" s="30">
        <f>IF(B2483="","",IF(B2483&lt;TIME(12,0,0),"Manhã",IF(B2483&lt;TIME(18,0,0),"Tarde","Noite")))</f>
        <v/>
      </c>
      <c r="R2483" s="46">
        <f>IF(AND(H2483="Realizado",L2483&lt;&gt;"",A2483&lt;=Config!$B$9),L2483/60,0)</f>
        <v>0</v>
      </c>
      <c r="S2483" s="45">
        <f>IF(G2483="","",IFERROR(INDEX(Config!$K$5:$K$16,MATCH(G2483,Config!$J$5:$J$16,0)),""))</f>
        <v/>
      </c>
      <c r="T2483" s="31">
        <f>IF(OR(G2483="",F2483=""),"",IFERROR(INDEX(Config!$M$5:$R$16,MATCH(G2483,Config!$J$5:$J$16,0),MATCH(F2483,Config!$H$5:$H$10,0)),""))</f>
        <v/>
      </c>
      <c r="U2483" s="47">
        <f>IF(AND(H2483="Realizado",L2483&lt;&gt;""),L2483/60,0)</f>
        <v>0</v>
      </c>
      <c r="V2483" s="47">
        <f>IF(AND(H2483="Realizado",OR(L2483="",M2483="")),1,0)</f>
        <v>0</v>
      </c>
    </row>
    <row r="2484">
      <c r="A2484" s="43" t="n"/>
      <c r="B2484" s="44" t="n"/>
      <c r="C2484" s="38" t="n"/>
      <c r="D2484" s="38" t="n"/>
      <c r="E2484" s="37" t="n"/>
      <c r="F2484" s="38" t="n"/>
      <c r="G2484" s="38" t="n"/>
      <c r="H2484" s="38" t="n"/>
      <c r="I2484" s="38" t="n"/>
      <c r="J2484" s="38" t="n"/>
      <c r="K2484" s="37" t="n"/>
      <c r="L2484" s="39" t="n"/>
      <c r="M2484" s="40" t="n"/>
      <c r="N2484" s="30">
        <f>IF(A2484="","",MONTH(A2484))</f>
        <v/>
      </c>
      <c r="O2484" s="30">
        <f>IF(A2484="","",YEAR(A2484))</f>
        <v/>
      </c>
      <c r="P2484" s="30">
        <f>IF(A2484="","",CHOOSE(WEEKDAY(A2484,2),"Segunda","Terça","Quarta","Quinta","Sexta","Sábado","Domingo"))</f>
        <v/>
      </c>
      <c r="Q2484" s="30">
        <f>IF(B2484="","",IF(B2484&lt;TIME(12,0,0),"Manhã",IF(B2484&lt;TIME(18,0,0),"Tarde","Noite")))</f>
        <v/>
      </c>
      <c r="R2484" s="46">
        <f>IF(AND(H2484="Realizado",L2484&lt;&gt;"",A2484&lt;=Config!$B$9),L2484/60,0)</f>
        <v>0</v>
      </c>
      <c r="S2484" s="45">
        <f>IF(G2484="","",IFERROR(INDEX(Config!$K$5:$K$16,MATCH(G2484,Config!$J$5:$J$16,0)),""))</f>
        <v/>
      </c>
      <c r="T2484" s="31">
        <f>IF(OR(G2484="",F2484=""),"",IFERROR(INDEX(Config!$M$5:$R$16,MATCH(G2484,Config!$J$5:$J$16,0),MATCH(F2484,Config!$H$5:$H$10,0)),""))</f>
        <v/>
      </c>
      <c r="U2484" s="47">
        <f>IF(AND(H2484="Realizado",L2484&lt;&gt;""),L2484/60,0)</f>
        <v>0</v>
      </c>
      <c r="V2484" s="47">
        <f>IF(AND(H2484="Realizado",OR(L2484="",M2484="")),1,0)</f>
        <v>0</v>
      </c>
    </row>
    <row r="2485">
      <c r="A2485" s="43" t="n"/>
      <c r="B2485" s="44" t="n"/>
      <c r="C2485" s="38" t="n"/>
      <c r="D2485" s="38" t="n"/>
      <c r="E2485" s="37" t="n"/>
      <c r="F2485" s="38" t="n"/>
      <c r="G2485" s="38" t="n"/>
      <c r="H2485" s="38" t="n"/>
      <c r="I2485" s="38" t="n"/>
      <c r="J2485" s="38" t="n"/>
      <c r="K2485" s="37" t="n"/>
      <c r="L2485" s="39" t="n"/>
      <c r="M2485" s="40" t="n"/>
      <c r="N2485" s="30">
        <f>IF(A2485="","",MONTH(A2485))</f>
        <v/>
      </c>
      <c r="O2485" s="30">
        <f>IF(A2485="","",YEAR(A2485))</f>
        <v/>
      </c>
      <c r="P2485" s="30">
        <f>IF(A2485="","",CHOOSE(WEEKDAY(A2485,2),"Segunda","Terça","Quarta","Quinta","Sexta","Sábado","Domingo"))</f>
        <v/>
      </c>
      <c r="Q2485" s="30">
        <f>IF(B2485="","",IF(B2485&lt;TIME(12,0,0),"Manhã",IF(B2485&lt;TIME(18,0,0),"Tarde","Noite")))</f>
        <v/>
      </c>
      <c r="R2485" s="46">
        <f>IF(AND(H2485="Realizado",L2485&lt;&gt;"",A2485&lt;=Config!$B$9),L2485/60,0)</f>
        <v>0</v>
      </c>
      <c r="S2485" s="45">
        <f>IF(G2485="","",IFERROR(INDEX(Config!$K$5:$K$16,MATCH(G2485,Config!$J$5:$J$16,0)),""))</f>
        <v/>
      </c>
      <c r="T2485" s="31">
        <f>IF(OR(G2485="",F2485=""),"",IFERROR(INDEX(Config!$M$5:$R$16,MATCH(G2485,Config!$J$5:$J$16,0),MATCH(F2485,Config!$H$5:$H$10,0)),""))</f>
        <v/>
      </c>
      <c r="U2485" s="47">
        <f>IF(AND(H2485="Realizado",L2485&lt;&gt;""),L2485/60,0)</f>
        <v>0</v>
      </c>
      <c r="V2485" s="47">
        <f>IF(AND(H2485="Realizado",OR(L2485="",M2485="")),1,0)</f>
        <v>0</v>
      </c>
    </row>
    <row r="2486">
      <c r="A2486" s="43" t="n"/>
      <c r="B2486" s="44" t="n"/>
      <c r="C2486" s="38" t="n"/>
      <c r="D2486" s="38" t="n"/>
      <c r="E2486" s="37" t="n"/>
      <c r="F2486" s="38" t="n"/>
      <c r="G2486" s="38" t="n"/>
      <c r="H2486" s="38" t="n"/>
      <c r="I2486" s="38" t="n"/>
      <c r="J2486" s="38" t="n"/>
      <c r="K2486" s="37" t="n"/>
      <c r="L2486" s="39" t="n"/>
      <c r="M2486" s="40" t="n"/>
      <c r="N2486" s="30">
        <f>IF(A2486="","",MONTH(A2486))</f>
        <v/>
      </c>
      <c r="O2486" s="30">
        <f>IF(A2486="","",YEAR(A2486))</f>
        <v/>
      </c>
      <c r="P2486" s="30">
        <f>IF(A2486="","",CHOOSE(WEEKDAY(A2486,2),"Segunda","Terça","Quarta","Quinta","Sexta","Sábado","Domingo"))</f>
        <v/>
      </c>
      <c r="Q2486" s="30">
        <f>IF(B2486="","",IF(B2486&lt;TIME(12,0,0),"Manhã",IF(B2486&lt;TIME(18,0,0),"Tarde","Noite")))</f>
        <v/>
      </c>
      <c r="R2486" s="46">
        <f>IF(AND(H2486="Realizado",L2486&lt;&gt;"",A2486&lt;=Config!$B$9),L2486/60,0)</f>
        <v>0</v>
      </c>
      <c r="S2486" s="45">
        <f>IF(G2486="","",IFERROR(INDEX(Config!$K$5:$K$16,MATCH(G2486,Config!$J$5:$J$16,0)),""))</f>
        <v/>
      </c>
      <c r="T2486" s="31">
        <f>IF(OR(G2486="",F2486=""),"",IFERROR(INDEX(Config!$M$5:$R$16,MATCH(G2486,Config!$J$5:$J$16,0),MATCH(F2486,Config!$H$5:$H$10,0)),""))</f>
        <v/>
      </c>
      <c r="U2486" s="47">
        <f>IF(AND(H2486="Realizado",L2486&lt;&gt;""),L2486/60,0)</f>
        <v>0</v>
      </c>
      <c r="V2486" s="47">
        <f>IF(AND(H2486="Realizado",OR(L2486="",M2486="")),1,0)</f>
        <v>0</v>
      </c>
    </row>
    <row r="2487">
      <c r="A2487" s="43" t="n"/>
      <c r="B2487" s="44" t="n"/>
      <c r="C2487" s="38" t="n"/>
      <c r="D2487" s="38" t="n"/>
      <c r="E2487" s="37" t="n"/>
      <c r="F2487" s="38" t="n"/>
      <c r="G2487" s="38" t="n"/>
      <c r="H2487" s="38" t="n"/>
      <c r="I2487" s="38" t="n"/>
      <c r="J2487" s="38" t="n"/>
      <c r="K2487" s="37" t="n"/>
      <c r="L2487" s="39" t="n"/>
      <c r="M2487" s="40" t="n"/>
      <c r="N2487" s="30">
        <f>IF(A2487="","",MONTH(A2487))</f>
        <v/>
      </c>
      <c r="O2487" s="30">
        <f>IF(A2487="","",YEAR(A2487))</f>
        <v/>
      </c>
      <c r="P2487" s="30">
        <f>IF(A2487="","",CHOOSE(WEEKDAY(A2487,2),"Segunda","Terça","Quarta","Quinta","Sexta","Sábado","Domingo"))</f>
        <v/>
      </c>
      <c r="Q2487" s="30">
        <f>IF(B2487="","",IF(B2487&lt;TIME(12,0,0),"Manhã",IF(B2487&lt;TIME(18,0,0),"Tarde","Noite")))</f>
        <v/>
      </c>
      <c r="R2487" s="46">
        <f>IF(AND(H2487="Realizado",L2487&lt;&gt;"",A2487&lt;=Config!$B$9),L2487/60,0)</f>
        <v>0</v>
      </c>
      <c r="S2487" s="45">
        <f>IF(G2487="","",IFERROR(INDEX(Config!$K$5:$K$16,MATCH(G2487,Config!$J$5:$J$16,0)),""))</f>
        <v/>
      </c>
      <c r="T2487" s="31">
        <f>IF(OR(G2487="",F2487=""),"",IFERROR(INDEX(Config!$M$5:$R$16,MATCH(G2487,Config!$J$5:$J$16,0),MATCH(F2487,Config!$H$5:$H$10,0)),""))</f>
        <v/>
      </c>
      <c r="U2487" s="47">
        <f>IF(AND(H2487="Realizado",L2487&lt;&gt;""),L2487/60,0)</f>
        <v>0</v>
      </c>
      <c r="V2487" s="47">
        <f>IF(AND(H2487="Realizado",OR(L2487="",M2487="")),1,0)</f>
        <v>0</v>
      </c>
    </row>
    <row r="2488">
      <c r="A2488" s="43" t="n"/>
      <c r="B2488" s="44" t="n"/>
      <c r="C2488" s="38" t="n"/>
      <c r="D2488" s="38" t="n"/>
      <c r="E2488" s="37" t="n"/>
      <c r="F2488" s="38" t="n"/>
      <c r="G2488" s="38" t="n"/>
      <c r="H2488" s="38" t="n"/>
      <c r="I2488" s="38" t="n"/>
      <c r="J2488" s="38" t="n"/>
      <c r="K2488" s="37" t="n"/>
      <c r="L2488" s="39" t="n"/>
      <c r="M2488" s="40" t="n"/>
      <c r="N2488" s="30">
        <f>IF(A2488="","",MONTH(A2488))</f>
        <v/>
      </c>
      <c r="O2488" s="30">
        <f>IF(A2488="","",YEAR(A2488))</f>
        <v/>
      </c>
      <c r="P2488" s="30">
        <f>IF(A2488="","",CHOOSE(WEEKDAY(A2488,2),"Segunda","Terça","Quarta","Quinta","Sexta","Sábado","Domingo"))</f>
        <v/>
      </c>
      <c r="Q2488" s="30">
        <f>IF(B2488="","",IF(B2488&lt;TIME(12,0,0),"Manhã",IF(B2488&lt;TIME(18,0,0),"Tarde","Noite")))</f>
        <v/>
      </c>
      <c r="R2488" s="46">
        <f>IF(AND(H2488="Realizado",L2488&lt;&gt;"",A2488&lt;=Config!$B$9),L2488/60,0)</f>
        <v>0</v>
      </c>
      <c r="S2488" s="45">
        <f>IF(G2488="","",IFERROR(INDEX(Config!$K$5:$K$16,MATCH(G2488,Config!$J$5:$J$16,0)),""))</f>
        <v/>
      </c>
      <c r="T2488" s="31">
        <f>IF(OR(G2488="",F2488=""),"",IFERROR(INDEX(Config!$M$5:$R$16,MATCH(G2488,Config!$J$5:$J$16,0),MATCH(F2488,Config!$H$5:$H$10,0)),""))</f>
        <v/>
      </c>
      <c r="U2488" s="47">
        <f>IF(AND(H2488="Realizado",L2488&lt;&gt;""),L2488/60,0)</f>
        <v>0</v>
      </c>
      <c r="V2488" s="47">
        <f>IF(AND(H2488="Realizado",OR(L2488="",M2488="")),1,0)</f>
        <v>0</v>
      </c>
    </row>
    <row r="2489">
      <c r="A2489" s="43" t="n"/>
      <c r="B2489" s="44" t="n"/>
      <c r="C2489" s="38" t="n"/>
      <c r="D2489" s="38" t="n"/>
      <c r="E2489" s="37" t="n"/>
      <c r="F2489" s="38" t="n"/>
      <c r="G2489" s="38" t="n"/>
      <c r="H2489" s="38" t="n"/>
      <c r="I2489" s="38" t="n"/>
      <c r="J2489" s="38" t="n"/>
      <c r="K2489" s="37" t="n"/>
      <c r="L2489" s="39" t="n"/>
      <c r="M2489" s="40" t="n"/>
      <c r="N2489" s="30">
        <f>IF(A2489="","",MONTH(A2489))</f>
        <v/>
      </c>
      <c r="O2489" s="30">
        <f>IF(A2489="","",YEAR(A2489))</f>
        <v/>
      </c>
      <c r="P2489" s="30">
        <f>IF(A2489="","",CHOOSE(WEEKDAY(A2489,2),"Segunda","Terça","Quarta","Quinta","Sexta","Sábado","Domingo"))</f>
        <v/>
      </c>
      <c r="Q2489" s="30">
        <f>IF(B2489="","",IF(B2489&lt;TIME(12,0,0),"Manhã",IF(B2489&lt;TIME(18,0,0),"Tarde","Noite")))</f>
        <v/>
      </c>
      <c r="R2489" s="46">
        <f>IF(AND(H2489="Realizado",L2489&lt;&gt;"",A2489&lt;=Config!$B$9),L2489/60,0)</f>
        <v>0</v>
      </c>
      <c r="S2489" s="45">
        <f>IF(G2489="","",IFERROR(INDEX(Config!$K$5:$K$16,MATCH(G2489,Config!$J$5:$J$16,0)),""))</f>
        <v/>
      </c>
      <c r="T2489" s="31">
        <f>IF(OR(G2489="",F2489=""),"",IFERROR(INDEX(Config!$M$5:$R$16,MATCH(G2489,Config!$J$5:$J$16,0),MATCH(F2489,Config!$H$5:$H$10,0)),""))</f>
        <v/>
      </c>
      <c r="U2489" s="47">
        <f>IF(AND(H2489="Realizado",L2489&lt;&gt;""),L2489/60,0)</f>
        <v>0</v>
      </c>
      <c r="V2489" s="47">
        <f>IF(AND(H2489="Realizado",OR(L2489="",M2489="")),1,0)</f>
        <v>0</v>
      </c>
    </row>
    <row r="2490">
      <c r="A2490" s="43" t="n"/>
      <c r="B2490" s="44" t="n"/>
      <c r="C2490" s="38" t="n"/>
      <c r="D2490" s="38" t="n"/>
      <c r="E2490" s="37" t="n"/>
      <c r="F2490" s="38" t="n"/>
      <c r="G2490" s="38" t="n"/>
      <c r="H2490" s="38" t="n"/>
      <c r="I2490" s="38" t="n"/>
      <c r="J2490" s="38" t="n"/>
      <c r="K2490" s="37" t="n"/>
      <c r="L2490" s="39" t="n"/>
      <c r="M2490" s="40" t="n"/>
      <c r="N2490" s="30">
        <f>IF(A2490="","",MONTH(A2490))</f>
        <v/>
      </c>
      <c r="O2490" s="30">
        <f>IF(A2490="","",YEAR(A2490))</f>
        <v/>
      </c>
      <c r="P2490" s="30">
        <f>IF(A2490="","",CHOOSE(WEEKDAY(A2490,2),"Segunda","Terça","Quarta","Quinta","Sexta","Sábado","Domingo"))</f>
        <v/>
      </c>
      <c r="Q2490" s="30">
        <f>IF(B2490="","",IF(B2490&lt;TIME(12,0,0),"Manhã",IF(B2490&lt;TIME(18,0,0),"Tarde","Noite")))</f>
        <v/>
      </c>
      <c r="R2490" s="46">
        <f>IF(AND(H2490="Realizado",L2490&lt;&gt;"",A2490&lt;=Config!$B$9),L2490/60,0)</f>
        <v>0</v>
      </c>
      <c r="S2490" s="45">
        <f>IF(G2490="","",IFERROR(INDEX(Config!$K$5:$K$16,MATCH(G2490,Config!$J$5:$J$16,0)),""))</f>
        <v/>
      </c>
      <c r="T2490" s="31">
        <f>IF(OR(G2490="",F2490=""),"",IFERROR(INDEX(Config!$M$5:$R$16,MATCH(G2490,Config!$J$5:$J$16,0),MATCH(F2490,Config!$H$5:$H$10,0)),""))</f>
        <v/>
      </c>
      <c r="U2490" s="47">
        <f>IF(AND(H2490="Realizado",L2490&lt;&gt;""),L2490/60,0)</f>
        <v>0</v>
      </c>
      <c r="V2490" s="47">
        <f>IF(AND(H2490="Realizado",OR(L2490="",M2490="")),1,0)</f>
        <v>0</v>
      </c>
    </row>
    <row r="2491">
      <c r="A2491" s="43" t="n"/>
      <c r="B2491" s="44" t="n"/>
      <c r="C2491" s="38" t="n"/>
      <c r="D2491" s="38" t="n"/>
      <c r="E2491" s="37" t="n"/>
      <c r="F2491" s="38" t="n"/>
      <c r="G2491" s="38" t="n"/>
      <c r="H2491" s="38" t="n"/>
      <c r="I2491" s="38" t="n"/>
      <c r="J2491" s="38" t="n"/>
      <c r="K2491" s="37" t="n"/>
      <c r="L2491" s="39" t="n"/>
      <c r="M2491" s="40" t="n"/>
      <c r="N2491" s="30">
        <f>IF(A2491="","",MONTH(A2491))</f>
        <v/>
      </c>
      <c r="O2491" s="30">
        <f>IF(A2491="","",YEAR(A2491))</f>
        <v/>
      </c>
      <c r="P2491" s="30">
        <f>IF(A2491="","",CHOOSE(WEEKDAY(A2491,2),"Segunda","Terça","Quarta","Quinta","Sexta","Sábado","Domingo"))</f>
        <v/>
      </c>
      <c r="Q2491" s="30">
        <f>IF(B2491="","",IF(B2491&lt;TIME(12,0,0),"Manhã",IF(B2491&lt;TIME(18,0,0),"Tarde","Noite")))</f>
        <v/>
      </c>
      <c r="R2491" s="46">
        <f>IF(AND(H2491="Realizado",L2491&lt;&gt;"",A2491&lt;=Config!$B$9),L2491/60,0)</f>
        <v>0</v>
      </c>
      <c r="S2491" s="45">
        <f>IF(G2491="","",IFERROR(INDEX(Config!$K$5:$K$16,MATCH(G2491,Config!$J$5:$J$16,0)),""))</f>
        <v/>
      </c>
      <c r="T2491" s="31">
        <f>IF(OR(G2491="",F2491=""),"",IFERROR(INDEX(Config!$M$5:$R$16,MATCH(G2491,Config!$J$5:$J$16,0),MATCH(F2491,Config!$H$5:$H$10,0)),""))</f>
        <v/>
      </c>
      <c r="U2491" s="47">
        <f>IF(AND(H2491="Realizado",L2491&lt;&gt;""),L2491/60,0)</f>
        <v>0</v>
      </c>
      <c r="V2491" s="47">
        <f>IF(AND(H2491="Realizado",OR(L2491="",M2491="")),1,0)</f>
        <v>0</v>
      </c>
    </row>
    <row r="2492">
      <c r="A2492" s="43" t="n"/>
      <c r="B2492" s="44" t="n"/>
      <c r="C2492" s="38" t="n"/>
      <c r="D2492" s="38" t="n"/>
      <c r="E2492" s="37" t="n"/>
      <c r="F2492" s="38" t="n"/>
      <c r="G2492" s="38" t="n"/>
      <c r="H2492" s="38" t="n"/>
      <c r="I2492" s="38" t="n"/>
      <c r="J2492" s="38" t="n"/>
      <c r="K2492" s="37" t="n"/>
      <c r="L2492" s="39" t="n"/>
      <c r="M2492" s="40" t="n"/>
      <c r="N2492" s="30">
        <f>IF(A2492="","",MONTH(A2492))</f>
        <v/>
      </c>
      <c r="O2492" s="30">
        <f>IF(A2492="","",YEAR(A2492))</f>
        <v/>
      </c>
      <c r="P2492" s="30">
        <f>IF(A2492="","",CHOOSE(WEEKDAY(A2492,2),"Segunda","Terça","Quarta","Quinta","Sexta","Sábado","Domingo"))</f>
        <v/>
      </c>
      <c r="Q2492" s="30">
        <f>IF(B2492="","",IF(B2492&lt;TIME(12,0,0),"Manhã",IF(B2492&lt;TIME(18,0,0),"Tarde","Noite")))</f>
        <v/>
      </c>
      <c r="R2492" s="46">
        <f>IF(AND(H2492="Realizado",L2492&lt;&gt;"",A2492&lt;=Config!$B$9),L2492/60,0)</f>
        <v>0</v>
      </c>
      <c r="S2492" s="45">
        <f>IF(G2492="","",IFERROR(INDEX(Config!$K$5:$K$16,MATCH(G2492,Config!$J$5:$J$16,0)),""))</f>
        <v/>
      </c>
      <c r="T2492" s="31">
        <f>IF(OR(G2492="",F2492=""),"",IFERROR(INDEX(Config!$M$5:$R$16,MATCH(G2492,Config!$J$5:$J$16,0),MATCH(F2492,Config!$H$5:$H$10,0)),""))</f>
        <v/>
      </c>
      <c r="U2492" s="47">
        <f>IF(AND(H2492="Realizado",L2492&lt;&gt;""),L2492/60,0)</f>
        <v>0</v>
      </c>
      <c r="V2492" s="47">
        <f>IF(AND(H2492="Realizado",OR(L2492="",M2492="")),1,0)</f>
        <v>0</v>
      </c>
    </row>
    <row r="2493">
      <c r="A2493" s="43" t="n"/>
      <c r="B2493" s="44" t="n"/>
      <c r="C2493" s="38" t="n"/>
      <c r="D2493" s="38" t="n"/>
      <c r="E2493" s="37" t="n"/>
      <c r="F2493" s="38" t="n"/>
      <c r="G2493" s="38" t="n"/>
      <c r="H2493" s="38" t="n"/>
      <c r="I2493" s="38" t="n"/>
      <c r="J2493" s="38" t="n"/>
      <c r="K2493" s="37" t="n"/>
      <c r="L2493" s="39" t="n"/>
      <c r="M2493" s="40" t="n"/>
      <c r="N2493" s="30">
        <f>IF(A2493="","",MONTH(A2493))</f>
        <v/>
      </c>
      <c r="O2493" s="30">
        <f>IF(A2493="","",YEAR(A2493))</f>
        <v/>
      </c>
      <c r="P2493" s="30">
        <f>IF(A2493="","",CHOOSE(WEEKDAY(A2493,2),"Segunda","Terça","Quarta","Quinta","Sexta","Sábado","Domingo"))</f>
        <v/>
      </c>
      <c r="Q2493" s="30">
        <f>IF(B2493="","",IF(B2493&lt;TIME(12,0,0),"Manhã",IF(B2493&lt;TIME(18,0,0),"Tarde","Noite")))</f>
        <v/>
      </c>
      <c r="R2493" s="46">
        <f>IF(AND(H2493="Realizado",L2493&lt;&gt;"",A2493&lt;=Config!$B$9),L2493/60,0)</f>
        <v>0</v>
      </c>
      <c r="S2493" s="45">
        <f>IF(G2493="","",IFERROR(INDEX(Config!$K$5:$K$16,MATCH(G2493,Config!$J$5:$J$16,0)),""))</f>
        <v/>
      </c>
      <c r="T2493" s="31">
        <f>IF(OR(G2493="",F2493=""),"",IFERROR(INDEX(Config!$M$5:$R$16,MATCH(G2493,Config!$J$5:$J$16,0),MATCH(F2493,Config!$H$5:$H$10,0)),""))</f>
        <v/>
      </c>
      <c r="U2493" s="47">
        <f>IF(AND(H2493="Realizado",L2493&lt;&gt;""),L2493/60,0)</f>
        <v>0</v>
      </c>
      <c r="V2493" s="47">
        <f>IF(AND(H2493="Realizado",OR(L2493="",M2493="")),1,0)</f>
        <v>0</v>
      </c>
    </row>
    <row r="2494">
      <c r="A2494" s="43" t="n"/>
      <c r="B2494" s="44" t="n"/>
      <c r="C2494" s="38" t="n"/>
      <c r="D2494" s="38" t="n"/>
      <c r="E2494" s="37" t="n"/>
      <c r="F2494" s="38" t="n"/>
      <c r="G2494" s="38" t="n"/>
      <c r="H2494" s="38" t="n"/>
      <c r="I2494" s="38" t="n"/>
      <c r="J2494" s="38" t="n"/>
      <c r="K2494" s="37" t="n"/>
      <c r="L2494" s="39" t="n"/>
      <c r="M2494" s="40" t="n"/>
      <c r="N2494" s="30">
        <f>IF(A2494="","",MONTH(A2494))</f>
        <v/>
      </c>
      <c r="O2494" s="30">
        <f>IF(A2494="","",YEAR(A2494))</f>
        <v/>
      </c>
      <c r="P2494" s="30">
        <f>IF(A2494="","",CHOOSE(WEEKDAY(A2494,2),"Segunda","Terça","Quarta","Quinta","Sexta","Sábado","Domingo"))</f>
        <v/>
      </c>
      <c r="Q2494" s="30">
        <f>IF(B2494="","",IF(B2494&lt;TIME(12,0,0),"Manhã",IF(B2494&lt;TIME(18,0,0),"Tarde","Noite")))</f>
        <v/>
      </c>
      <c r="R2494" s="46">
        <f>IF(AND(H2494="Realizado",L2494&lt;&gt;"",A2494&lt;=Config!$B$9),L2494/60,0)</f>
        <v>0</v>
      </c>
      <c r="S2494" s="45">
        <f>IF(G2494="","",IFERROR(INDEX(Config!$K$5:$K$16,MATCH(G2494,Config!$J$5:$J$16,0)),""))</f>
        <v/>
      </c>
      <c r="T2494" s="31">
        <f>IF(OR(G2494="",F2494=""),"",IFERROR(INDEX(Config!$M$5:$R$16,MATCH(G2494,Config!$J$5:$J$16,0),MATCH(F2494,Config!$H$5:$H$10,0)),""))</f>
        <v/>
      </c>
      <c r="U2494" s="47">
        <f>IF(AND(H2494="Realizado",L2494&lt;&gt;""),L2494/60,0)</f>
        <v>0</v>
      </c>
      <c r="V2494" s="47">
        <f>IF(AND(H2494="Realizado",OR(L2494="",M2494="")),1,0)</f>
        <v>0</v>
      </c>
    </row>
    <row r="2495">
      <c r="A2495" s="43" t="n"/>
      <c r="B2495" s="44" t="n"/>
      <c r="C2495" s="38" t="n"/>
      <c r="D2495" s="38" t="n"/>
      <c r="E2495" s="37" t="n"/>
      <c r="F2495" s="38" t="n"/>
      <c r="G2495" s="38" t="n"/>
      <c r="H2495" s="38" t="n"/>
      <c r="I2495" s="38" t="n"/>
      <c r="J2495" s="38" t="n"/>
      <c r="K2495" s="37" t="n"/>
      <c r="L2495" s="39" t="n"/>
      <c r="M2495" s="40" t="n"/>
      <c r="N2495" s="30">
        <f>IF(A2495="","",MONTH(A2495))</f>
        <v/>
      </c>
      <c r="O2495" s="30">
        <f>IF(A2495="","",YEAR(A2495))</f>
        <v/>
      </c>
      <c r="P2495" s="30">
        <f>IF(A2495="","",CHOOSE(WEEKDAY(A2495,2),"Segunda","Terça","Quarta","Quinta","Sexta","Sábado","Domingo"))</f>
        <v/>
      </c>
      <c r="Q2495" s="30">
        <f>IF(B2495="","",IF(B2495&lt;TIME(12,0,0),"Manhã",IF(B2495&lt;TIME(18,0,0),"Tarde","Noite")))</f>
        <v/>
      </c>
      <c r="R2495" s="46">
        <f>IF(AND(H2495="Realizado",L2495&lt;&gt;"",A2495&lt;=Config!$B$9),L2495/60,0)</f>
        <v>0</v>
      </c>
      <c r="S2495" s="45">
        <f>IF(G2495="","",IFERROR(INDEX(Config!$K$5:$K$16,MATCH(G2495,Config!$J$5:$J$16,0)),""))</f>
        <v/>
      </c>
      <c r="T2495" s="31">
        <f>IF(OR(G2495="",F2495=""),"",IFERROR(INDEX(Config!$M$5:$R$16,MATCH(G2495,Config!$J$5:$J$16,0),MATCH(F2495,Config!$H$5:$H$10,0)),""))</f>
        <v/>
      </c>
      <c r="U2495" s="47">
        <f>IF(AND(H2495="Realizado",L2495&lt;&gt;""),L2495/60,0)</f>
        <v>0</v>
      </c>
      <c r="V2495" s="47">
        <f>IF(AND(H2495="Realizado",OR(L2495="",M2495="")),1,0)</f>
        <v>0</v>
      </c>
    </row>
    <row r="2496">
      <c r="A2496" s="43" t="n"/>
      <c r="B2496" s="44" t="n"/>
      <c r="C2496" s="38" t="n"/>
      <c r="D2496" s="38" t="n"/>
      <c r="E2496" s="37" t="n"/>
      <c r="F2496" s="38" t="n"/>
      <c r="G2496" s="38" t="n"/>
      <c r="H2496" s="38" t="n"/>
      <c r="I2496" s="38" t="n"/>
      <c r="J2496" s="38" t="n"/>
      <c r="K2496" s="37" t="n"/>
      <c r="L2496" s="39" t="n"/>
      <c r="M2496" s="40" t="n"/>
      <c r="N2496" s="30">
        <f>IF(A2496="","",MONTH(A2496))</f>
        <v/>
      </c>
      <c r="O2496" s="30">
        <f>IF(A2496="","",YEAR(A2496))</f>
        <v/>
      </c>
      <c r="P2496" s="30">
        <f>IF(A2496="","",CHOOSE(WEEKDAY(A2496,2),"Segunda","Terça","Quarta","Quinta","Sexta","Sábado","Domingo"))</f>
        <v/>
      </c>
      <c r="Q2496" s="30">
        <f>IF(B2496="","",IF(B2496&lt;TIME(12,0,0),"Manhã",IF(B2496&lt;TIME(18,0,0),"Tarde","Noite")))</f>
        <v/>
      </c>
      <c r="R2496" s="46">
        <f>IF(AND(H2496="Realizado",L2496&lt;&gt;"",A2496&lt;=Config!$B$9),L2496/60,0)</f>
        <v>0</v>
      </c>
      <c r="S2496" s="45">
        <f>IF(G2496="","",IFERROR(INDEX(Config!$K$5:$K$16,MATCH(G2496,Config!$J$5:$J$16,0)),""))</f>
        <v/>
      </c>
      <c r="T2496" s="31">
        <f>IF(OR(G2496="",F2496=""),"",IFERROR(INDEX(Config!$M$5:$R$16,MATCH(G2496,Config!$J$5:$J$16,0),MATCH(F2496,Config!$H$5:$H$10,0)),""))</f>
        <v/>
      </c>
      <c r="U2496" s="47">
        <f>IF(AND(H2496="Realizado",L2496&lt;&gt;""),L2496/60,0)</f>
        <v>0</v>
      </c>
      <c r="V2496" s="47">
        <f>IF(AND(H2496="Realizado",OR(L2496="",M2496="")),1,0)</f>
        <v>0</v>
      </c>
    </row>
    <row r="2497">
      <c r="A2497" s="43" t="n"/>
      <c r="B2497" s="44" t="n"/>
      <c r="C2497" s="38" t="n"/>
      <c r="D2497" s="38" t="n"/>
      <c r="E2497" s="37" t="n"/>
      <c r="F2497" s="38" t="n"/>
      <c r="G2497" s="38" t="n"/>
      <c r="H2497" s="38" t="n"/>
      <c r="I2497" s="38" t="n"/>
      <c r="J2497" s="38" t="n"/>
      <c r="K2497" s="37" t="n"/>
      <c r="L2497" s="39" t="n"/>
      <c r="M2497" s="40" t="n"/>
      <c r="N2497" s="30">
        <f>IF(A2497="","",MONTH(A2497))</f>
        <v/>
      </c>
      <c r="O2497" s="30">
        <f>IF(A2497="","",YEAR(A2497))</f>
        <v/>
      </c>
      <c r="P2497" s="30">
        <f>IF(A2497="","",CHOOSE(WEEKDAY(A2497,2),"Segunda","Terça","Quarta","Quinta","Sexta","Sábado","Domingo"))</f>
        <v/>
      </c>
      <c r="Q2497" s="30">
        <f>IF(B2497="","",IF(B2497&lt;TIME(12,0,0),"Manhã",IF(B2497&lt;TIME(18,0,0),"Tarde","Noite")))</f>
        <v/>
      </c>
      <c r="R2497" s="46">
        <f>IF(AND(H2497="Realizado",L2497&lt;&gt;"",A2497&lt;=Config!$B$9),L2497/60,0)</f>
        <v>0</v>
      </c>
      <c r="S2497" s="45">
        <f>IF(G2497="","",IFERROR(INDEX(Config!$K$5:$K$16,MATCH(G2497,Config!$J$5:$J$16,0)),""))</f>
        <v/>
      </c>
      <c r="T2497" s="31">
        <f>IF(OR(G2497="",F2497=""),"",IFERROR(INDEX(Config!$M$5:$R$16,MATCH(G2497,Config!$J$5:$J$16,0),MATCH(F2497,Config!$H$5:$H$10,0)),""))</f>
        <v/>
      </c>
      <c r="U2497" s="47">
        <f>IF(AND(H2497="Realizado",L2497&lt;&gt;""),L2497/60,0)</f>
        <v>0</v>
      </c>
      <c r="V2497" s="47">
        <f>IF(AND(H2497="Realizado",OR(L2497="",M2497="")),1,0)</f>
        <v>0</v>
      </c>
    </row>
    <row r="2498">
      <c r="A2498" s="43" t="n"/>
      <c r="B2498" s="44" t="n"/>
      <c r="C2498" s="38" t="n"/>
      <c r="D2498" s="38" t="n"/>
      <c r="E2498" s="37" t="n"/>
      <c r="F2498" s="38" t="n"/>
      <c r="G2498" s="38" t="n"/>
      <c r="H2498" s="38" t="n"/>
      <c r="I2498" s="38" t="n"/>
      <c r="J2498" s="38" t="n"/>
      <c r="K2498" s="37" t="n"/>
      <c r="L2498" s="39" t="n"/>
      <c r="M2498" s="40" t="n"/>
      <c r="N2498" s="30">
        <f>IF(A2498="","",MONTH(A2498))</f>
        <v/>
      </c>
      <c r="O2498" s="30">
        <f>IF(A2498="","",YEAR(A2498))</f>
        <v/>
      </c>
      <c r="P2498" s="30">
        <f>IF(A2498="","",CHOOSE(WEEKDAY(A2498,2),"Segunda","Terça","Quarta","Quinta","Sexta","Sábado","Domingo"))</f>
        <v/>
      </c>
      <c r="Q2498" s="30">
        <f>IF(B2498="","",IF(B2498&lt;TIME(12,0,0),"Manhã",IF(B2498&lt;TIME(18,0,0),"Tarde","Noite")))</f>
        <v/>
      </c>
      <c r="R2498" s="46">
        <f>IF(AND(H2498="Realizado",L2498&lt;&gt;"",A2498&lt;=Config!$B$9),L2498/60,0)</f>
        <v>0</v>
      </c>
      <c r="S2498" s="45">
        <f>IF(G2498="","",IFERROR(INDEX(Config!$K$5:$K$16,MATCH(G2498,Config!$J$5:$J$16,0)),""))</f>
        <v/>
      </c>
      <c r="T2498" s="31">
        <f>IF(OR(G2498="",F2498=""),"",IFERROR(INDEX(Config!$M$5:$R$16,MATCH(G2498,Config!$J$5:$J$16,0),MATCH(F2498,Config!$H$5:$H$10,0)),""))</f>
        <v/>
      </c>
      <c r="U2498" s="47">
        <f>IF(AND(H2498="Realizado",L2498&lt;&gt;""),L2498/60,0)</f>
        <v>0</v>
      </c>
      <c r="V2498" s="47">
        <f>IF(AND(H2498="Realizado",OR(L2498="",M2498="")),1,0)</f>
        <v>0</v>
      </c>
    </row>
    <row r="2499">
      <c r="A2499" s="43" t="n"/>
      <c r="B2499" s="44" t="n"/>
      <c r="C2499" s="38" t="n"/>
      <c r="D2499" s="38" t="n"/>
      <c r="E2499" s="37" t="n"/>
      <c r="F2499" s="38" t="n"/>
      <c r="G2499" s="38" t="n"/>
      <c r="H2499" s="38" t="n"/>
      <c r="I2499" s="38" t="n"/>
      <c r="J2499" s="38" t="n"/>
      <c r="K2499" s="37" t="n"/>
      <c r="L2499" s="39" t="n"/>
      <c r="M2499" s="40" t="n"/>
      <c r="N2499" s="30">
        <f>IF(A2499="","",MONTH(A2499))</f>
        <v/>
      </c>
      <c r="O2499" s="30">
        <f>IF(A2499="","",YEAR(A2499))</f>
        <v/>
      </c>
      <c r="P2499" s="30">
        <f>IF(A2499="","",CHOOSE(WEEKDAY(A2499,2),"Segunda","Terça","Quarta","Quinta","Sexta","Sábado","Domingo"))</f>
        <v/>
      </c>
      <c r="Q2499" s="30">
        <f>IF(B2499="","",IF(B2499&lt;TIME(12,0,0),"Manhã",IF(B2499&lt;TIME(18,0,0),"Tarde","Noite")))</f>
        <v/>
      </c>
      <c r="R2499" s="46">
        <f>IF(AND(H2499="Realizado",L2499&lt;&gt;"",A2499&lt;=Config!$B$9),L2499/60,0)</f>
        <v>0</v>
      </c>
      <c r="S2499" s="45">
        <f>IF(G2499="","",IFERROR(INDEX(Config!$K$5:$K$16,MATCH(G2499,Config!$J$5:$J$16,0)),""))</f>
        <v/>
      </c>
      <c r="T2499" s="31">
        <f>IF(OR(G2499="",F2499=""),"",IFERROR(INDEX(Config!$M$5:$R$16,MATCH(G2499,Config!$J$5:$J$16,0),MATCH(F2499,Config!$H$5:$H$10,0)),""))</f>
        <v/>
      </c>
      <c r="U2499" s="47">
        <f>IF(AND(H2499="Realizado",L2499&lt;&gt;""),L2499/60,0)</f>
        <v>0</v>
      </c>
      <c r="V2499" s="47">
        <f>IF(AND(H2499="Realizado",OR(L2499="",M2499="")),1,0)</f>
        <v>0</v>
      </c>
    </row>
    <row r="2500">
      <c r="A2500" s="43" t="n"/>
      <c r="B2500" s="44" t="n"/>
      <c r="C2500" s="38" t="n"/>
      <c r="D2500" s="38" t="n"/>
      <c r="E2500" s="37" t="n"/>
      <c r="F2500" s="38" t="n"/>
      <c r="G2500" s="38" t="n"/>
      <c r="H2500" s="38" t="n"/>
      <c r="I2500" s="38" t="n"/>
      <c r="J2500" s="38" t="n"/>
      <c r="K2500" s="37" t="n"/>
      <c r="L2500" s="39" t="n"/>
      <c r="M2500" s="40" t="n"/>
      <c r="N2500" s="30">
        <f>IF(A2500="","",MONTH(A2500))</f>
        <v/>
      </c>
      <c r="O2500" s="30">
        <f>IF(A2500="","",YEAR(A2500))</f>
        <v/>
      </c>
      <c r="P2500" s="30">
        <f>IF(A2500="","",CHOOSE(WEEKDAY(A2500,2),"Segunda","Terça","Quarta","Quinta","Sexta","Sábado","Domingo"))</f>
        <v/>
      </c>
      <c r="Q2500" s="30">
        <f>IF(B2500="","",IF(B2500&lt;TIME(12,0,0),"Manhã",IF(B2500&lt;TIME(18,0,0),"Tarde","Noite")))</f>
        <v/>
      </c>
      <c r="R2500" s="46">
        <f>IF(AND(H2500="Realizado",L2500&lt;&gt;"",A2500&lt;=Config!$B$9),L2500/60,0)</f>
        <v>0</v>
      </c>
      <c r="S2500" s="45">
        <f>IF(G2500="","",IFERROR(INDEX(Config!$K$5:$K$16,MATCH(G2500,Config!$J$5:$J$16,0)),""))</f>
        <v/>
      </c>
      <c r="T2500" s="31">
        <f>IF(OR(G2500="",F2500=""),"",IFERROR(INDEX(Config!$M$5:$R$16,MATCH(G2500,Config!$J$5:$J$16,0),MATCH(F2500,Config!$H$5:$H$10,0)),""))</f>
        <v/>
      </c>
      <c r="U2500" s="47">
        <f>IF(AND(H2500="Realizado",L2500&lt;&gt;""),L2500/60,0)</f>
        <v>0</v>
      </c>
      <c r="V2500" s="47">
        <f>IF(AND(H2500="Realizado",OR(L2500="",M2500="")),1,0)</f>
        <v>0</v>
      </c>
    </row>
    <row r="2501">
      <c r="A2501" s="43" t="n"/>
      <c r="B2501" s="44" t="n"/>
      <c r="C2501" s="38" t="n"/>
      <c r="D2501" s="38" t="n"/>
      <c r="E2501" s="37" t="n"/>
      <c r="F2501" s="38" t="n"/>
      <c r="G2501" s="38" t="n"/>
      <c r="H2501" s="38" t="n"/>
      <c r="I2501" s="38" t="n"/>
      <c r="J2501" s="38" t="n"/>
      <c r="K2501" s="37" t="n"/>
      <c r="L2501" s="39" t="n"/>
      <c r="M2501" s="40" t="n"/>
      <c r="N2501" s="30">
        <f>IF(A2501="","",MONTH(A2501))</f>
        <v/>
      </c>
      <c r="O2501" s="30">
        <f>IF(A2501="","",YEAR(A2501))</f>
        <v/>
      </c>
      <c r="P2501" s="30">
        <f>IF(A2501="","",CHOOSE(WEEKDAY(A2501,2),"Segunda","Terça","Quarta","Quinta","Sexta","Sábado","Domingo"))</f>
        <v/>
      </c>
      <c r="Q2501" s="30">
        <f>IF(B2501="","",IF(B2501&lt;TIME(12,0,0),"Manhã",IF(B2501&lt;TIME(18,0,0),"Tarde","Noite")))</f>
        <v/>
      </c>
      <c r="R2501" s="46">
        <f>IF(AND(H2501="Realizado",L2501&lt;&gt;"",A2501&lt;=Config!$B$9),L2501/60,0)</f>
        <v>0</v>
      </c>
      <c r="S2501" s="45">
        <f>IF(G2501="","",IFERROR(INDEX(Config!$K$5:$K$16,MATCH(G2501,Config!$J$5:$J$16,0)),""))</f>
        <v/>
      </c>
      <c r="T2501" s="31">
        <f>IF(OR(G2501="",F2501=""),"",IFERROR(INDEX(Config!$M$5:$R$16,MATCH(G2501,Config!$J$5:$J$16,0),MATCH(F2501,Config!$H$5:$H$10,0)),""))</f>
        <v/>
      </c>
      <c r="U2501" s="47">
        <f>IF(AND(H2501="Realizado",L2501&lt;&gt;""),L2501/60,0)</f>
        <v>0</v>
      </c>
      <c r="V2501" s="47">
        <f>IF(AND(H2501="Realizado",OR(L2501="",M2501="")),1,0)</f>
        <v>0</v>
      </c>
    </row>
    <row r="2502">
      <c r="A2502" s="43" t="n"/>
      <c r="B2502" s="44" t="n"/>
      <c r="C2502" s="38" t="n"/>
      <c r="D2502" s="38" t="n"/>
      <c r="E2502" s="37" t="n"/>
      <c r="F2502" s="38" t="n"/>
      <c r="G2502" s="38" t="n"/>
      <c r="H2502" s="38" t="n"/>
      <c r="I2502" s="38" t="n"/>
      <c r="J2502" s="38" t="n"/>
      <c r="K2502" s="37" t="n"/>
      <c r="L2502" s="39" t="n"/>
      <c r="M2502" s="40" t="n"/>
      <c r="N2502" s="30">
        <f>IF(A2502="","",MONTH(A2502))</f>
        <v/>
      </c>
      <c r="O2502" s="30">
        <f>IF(A2502="","",YEAR(A2502))</f>
        <v/>
      </c>
      <c r="P2502" s="30">
        <f>IF(A2502="","",CHOOSE(WEEKDAY(A2502,2),"Segunda","Terça","Quarta","Quinta","Sexta","Sábado","Domingo"))</f>
        <v/>
      </c>
      <c r="Q2502" s="30">
        <f>IF(B2502="","",IF(B2502&lt;TIME(12,0,0),"Manhã",IF(B2502&lt;TIME(18,0,0),"Tarde","Noite")))</f>
        <v/>
      </c>
      <c r="R2502" s="46">
        <f>IF(AND(H2502="Realizado",L2502&lt;&gt;"",A2502&lt;=Config!$B$9),L2502/60,0)</f>
        <v>0</v>
      </c>
      <c r="S2502" s="45">
        <f>IF(G2502="","",IFERROR(INDEX(Config!$K$5:$K$16,MATCH(G2502,Config!$J$5:$J$16,0)),""))</f>
        <v/>
      </c>
      <c r="T2502" s="31">
        <f>IF(OR(G2502="",F2502=""),"",IFERROR(INDEX(Config!$M$5:$R$16,MATCH(G2502,Config!$J$5:$J$16,0),MATCH(F2502,Config!$H$5:$H$10,0)),""))</f>
        <v/>
      </c>
      <c r="U2502" s="47">
        <f>IF(AND(H2502="Realizado",L2502&lt;&gt;""),L2502/60,0)</f>
        <v>0</v>
      </c>
      <c r="V2502" s="47">
        <f>IF(AND(H2502="Realizado",OR(L2502="",M2502="")),1,0)</f>
        <v>0</v>
      </c>
    </row>
    <row r="2503">
      <c r="A2503" s="43" t="n"/>
      <c r="B2503" s="44" t="n"/>
      <c r="C2503" s="38" t="n"/>
      <c r="D2503" s="38" t="n"/>
      <c r="E2503" s="37" t="n"/>
      <c r="F2503" s="38" t="n"/>
      <c r="G2503" s="38" t="n"/>
      <c r="H2503" s="38" t="n"/>
      <c r="I2503" s="38" t="n"/>
      <c r="J2503" s="38" t="n"/>
      <c r="K2503" s="37" t="n"/>
      <c r="L2503" s="39" t="n"/>
      <c r="M2503" s="40" t="n"/>
      <c r="N2503" s="30">
        <f>IF(A2503="","",MONTH(A2503))</f>
        <v/>
      </c>
      <c r="O2503" s="30">
        <f>IF(A2503="","",YEAR(A2503))</f>
        <v/>
      </c>
      <c r="P2503" s="30">
        <f>IF(A2503="","",CHOOSE(WEEKDAY(A2503,2),"Segunda","Terça","Quarta","Quinta","Sexta","Sábado","Domingo"))</f>
        <v/>
      </c>
      <c r="Q2503" s="30">
        <f>IF(B2503="","",IF(B2503&lt;TIME(12,0,0),"Manhã",IF(B2503&lt;TIME(18,0,0),"Tarde","Noite")))</f>
        <v/>
      </c>
      <c r="R2503" s="46">
        <f>IF(AND(H2503="Realizado",L2503&lt;&gt;"",A2503&lt;=Config!$B$9),L2503/60,0)</f>
        <v>0</v>
      </c>
      <c r="S2503" s="45">
        <f>IF(G2503="","",IFERROR(INDEX(Config!$K$5:$K$16,MATCH(G2503,Config!$J$5:$J$16,0)),""))</f>
        <v/>
      </c>
      <c r="T2503" s="31">
        <f>IF(OR(G2503="",F2503=""),"",IFERROR(INDEX(Config!$M$5:$R$16,MATCH(G2503,Config!$J$5:$J$16,0),MATCH(F2503,Config!$H$5:$H$10,0)),""))</f>
        <v/>
      </c>
      <c r="U2503" s="47">
        <f>IF(AND(H2503="Realizado",L2503&lt;&gt;""),L2503/60,0)</f>
        <v>0</v>
      </c>
      <c r="V2503" s="47">
        <f>IF(AND(H2503="Realizado",OR(L2503="",M2503="")),1,0)</f>
        <v>0</v>
      </c>
    </row>
    <row r="2504">
      <c r="A2504" s="43" t="n"/>
      <c r="B2504" s="44" t="n"/>
      <c r="C2504" s="38" t="n"/>
      <c r="D2504" s="38" t="n"/>
      <c r="E2504" s="37" t="n"/>
      <c r="F2504" s="38" t="n"/>
      <c r="G2504" s="38" t="n"/>
      <c r="H2504" s="38" t="n"/>
      <c r="I2504" s="38" t="n"/>
      <c r="J2504" s="38" t="n"/>
      <c r="K2504" s="37" t="n"/>
      <c r="L2504" s="39" t="n"/>
      <c r="M2504" s="40" t="n"/>
      <c r="N2504" s="30">
        <f>IF(A2504="","",MONTH(A2504))</f>
        <v/>
      </c>
      <c r="O2504" s="30">
        <f>IF(A2504="","",YEAR(A2504))</f>
        <v/>
      </c>
      <c r="P2504" s="30">
        <f>IF(A2504="","",CHOOSE(WEEKDAY(A2504,2),"Segunda","Terça","Quarta","Quinta","Sexta","Sábado","Domingo"))</f>
        <v/>
      </c>
      <c r="Q2504" s="30">
        <f>IF(B2504="","",IF(B2504&lt;TIME(12,0,0),"Manhã",IF(B2504&lt;TIME(18,0,0),"Tarde","Noite")))</f>
        <v/>
      </c>
      <c r="R2504" s="46">
        <f>IF(AND(H2504="Realizado",L2504&lt;&gt;"",A2504&lt;=Config!$B$9),L2504/60,0)</f>
        <v>0</v>
      </c>
      <c r="S2504" s="45">
        <f>IF(G2504="","",IFERROR(INDEX(Config!$K$5:$K$16,MATCH(G2504,Config!$J$5:$J$16,0)),""))</f>
        <v/>
      </c>
      <c r="T2504" s="31">
        <f>IF(OR(G2504="",F2504=""),"",IFERROR(INDEX(Config!$M$5:$R$16,MATCH(G2504,Config!$J$5:$J$16,0),MATCH(F2504,Config!$H$5:$H$10,0)),""))</f>
        <v/>
      </c>
      <c r="U2504" s="47">
        <f>IF(AND(H2504="Realizado",L2504&lt;&gt;""),L2504/60,0)</f>
        <v>0</v>
      </c>
      <c r="V2504" s="47">
        <f>IF(AND(H2504="Realizado",OR(L2504="",M2504="")),1,0)</f>
        <v>0</v>
      </c>
    </row>
    <row r="2505">
      <c r="A2505" s="43" t="n"/>
      <c r="B2505" s="44" t="n"/>
      <c r="C2505" s="38" t="n"/>
      <c r="D2505" s="38" t="n"/>
      <c r="E2505" s="37" t="n"/>
      <c r="F2505" s="38" t="n"/>
      <c r="G2505" s="38" t="n"/>
      <c r="H2505" s="38" t="n"/>
      <c r="I2505" s="38" t="n"/>
      <c r="J2505" s="38" t="n"/>
      <c r="K2505" s="37" t="n"/>
      <c r="L2505" s="39" t="n"/>
      <c r="M2505" s="40" t="n"/>
      <c r="N2505" s="30">
        <f>IF(A2505="","",MONTH(A2505))</f>
        <v/>
      </c>
      <c r="O2505" s="30">
        <f>IF(A2505="","",YEAR(A2505))</f>
        <v/>
      </c>
      <c r="P2505" s="30">
        <f>IF(A2505="","",CHOOSE(WEEKDAY(A2505,2),"Segunda","Terça","Quarta","Quinta","Sexta","Sábado","Domingo"))</f>
        <v/>
      </c>
      <c r="Q2505" s="30">
        <f>IF(B2505="","",IF(B2505&lt;TIME(12,0,0),"Manhã",IF(B2505&lt;TIME(18,0,0),"Tarde","Noite")))</f>
        <v/>
      </c>
      <c r="R2505" s="46">
        <f>IF(AND(H2505="Realizado",L2505&lt;&gt;"",A2505&lt;=Config!$B$9),L2505/60,0)</f>
        <v>0</v>
      </c>
      <c r="S2505" s="45">
        <f>IF(G2505="","",IFERROR(INDEX(Config!$K$5:$K$16,MATCH(G2505,Config!$J$5:$J$16,0)),""))</f>
        <v/>
      </c>
      <c r="T2505" s="31">
        <f>IF(OR(G2505="",F2505=""),"",IFERROR(INDEX(Config!$M$5:$R$16,MATCH(G2505,Config!$J$5:$J$16,0),MATCH(F2505,Config!$H$5:$H$10,0)),""))</f>
        <v/>
      </c>
      <c r="U2505" s="47">
        <f>IF(AND(H2505="Realizado",L2505&lt;&gt;""),L2505/60,0)</f>
        <v>0</v>
      </c>
      <c r="V2505" s="47">
        <f>IF(AND(H2505="Realizado",OR(L2505="",M2505="")),1,0)</f>
        <v>0</v>
      </c>
    </row>
    <row r="2506">
      <c r="A2506" s="43" t="n"/>
      <c r="B2506" s="44" t="n"/>
      <c r="C2506" s="38" t="n"/>
      <c r="D2506" s="38" t="n"/>
      <c r="E2506" s="37" t="n"/>
      <c r="F2506" s="38" t="n"/>
      <c r="G2506" s="38" t="n"/>
      <c r="H2506" s="38" t="n"/>
      <c r="I2506" s="38" t="n"/>
      <c r="J2506" s="38" t="n"/>
      <c r="K2506" s="37" t="n"/>
      <c r="L2506" s="39" t="n"/>
      <c r="M2506" s="40" t="n"/>
      <c r="N2506" s="30">
        <f>IF(A2506="","",MONTH(A2506))</f>
        <v/>
      </c>
      <c r="O2506" s="30">
        <f>IF(A2506="","",YEAR(A2506))</f>
        <v/>
      </c>
      <c r="P2506" s="30">
        <f>IF(A2506="","",CHOOSE(WEEKDAY(A2506,2),"Segunda","Terça","Quarta","Quinta","Sexta","Sábado","Domingo"))</f>
        <v/>
      </c>
      <c r="Q2506" s="30">
        <f>IF(B2506="","",IF(B2506&lt;TIME(12,0,0),"Manhã",IF(B2506&lt;TIME(18,0,0),"Tarde","Noite")))</f>
        <v/>
      </c>
      <c r="R2506" s="46">
        <f>IF(AND(H2506="Realizado",L2506&lt;&gt;"",A2506&lt;=Config!$B$9),L2506/60,0)</f>
        <v>0</v>
      </c>
      <c r="S2506" s="45">
        <f>IF(G2506="","",IFERROR(INDEX(Config!$K$5:$K$16,MATCH(G2506,Config!$J$5:$J$16,0)),""))</f>
        <v/>
      </c>
      <c r="T2506" s="31">
        <f>IF(OR(G2506="",F2506=""),"",IFERROR(INDEX(Config!$M$5:$R$16,MATCH(G2506,Config!$J$5:$J$16,0),MATCH(F2506,Config!$H$5:$H$10,0)),""))</f>
        <v/>
      </c>
      <c r="U2506" s="47">
        <f>IF(AND(H2506="Realizado",L2506&lt;&gt;""),L2506/60,0)</f>
        <v>0</v>
      </c>
      <c r="V2506" s="47">
        <f>IF(AND(H2506="Realizado",OR(L2506="",M2506="")),1,0)</f>
        <v>0</v>
      </c>
    </row>
    <row r="2507">
      <c r="A2507" s="43" t="n"/>
      <c r="B2507" s="44" t="n"/>
      <c r="C2507" s="38" t="n"/>
      <c r="D2507" s="38" t="n"/>
      <c r="E2507" s="37" t="n"/>
      <c r="F2507" s="38" t="n"/>
      <c r="G2507" s="38" t="n"/>
      <c r="H2507" s="38" t="n"/>
      <c r="I2507" s="38" t="n"/>
      <c r="J2507" s="38" t="n"/>
      <c r="K2507" s="37" t="n"/>
      <c r="L2507" s="39" t="n"/>
      <c r="M2507" s="40" t="n"/>
      <c r="N2507" s="30">
        <f>IF(A2507="","",MONTH(A2507))</f>
        <v/>
      </c>
      <c r="O2507" s="30">
        <f>IF(A2507="","",YEAR(A2507))</f>
        <v/>
      </c>
      <c r="P2507" s="30">
        <f>IF(A2507="","",CHOOSE(WEEKDAY(A2507,2),"Segunda","Terça","Quarta","Quinta","Sexta","Sábado","Domingo"))</f>
        <v/>
      </c>
      <c r="Q2507" s="30">
        <f>IF(B2507="","",IF(B2507&lt;TIME(12,0,0),"Manhã",IF(B2507&lt;TIME(18,0,0),"Tarde","Noite")))</f>
        <v/>
      </c>
      <c r="R2507" s="46">
        <f>IF(AND(H2507="Realizado",L2507&lt;&gt;"",A2507&lt;=Config!$B$9),L2507/60,0)</f>
        <v>0</v>
      </c>
      <c r="S2507" s="45">
        <f>IF(G2507="","",IFERROR(INDEX(Config!$K$5:$K$16,MATCH(G2507,Config!$J$5:$J$16,0)),""))</f>
        <v/>
      </c>
      <c r="T2507" s="31">
        <f>IF(OR(G2507="",F2507=""),"",IFERROR(INDEX(Config!$M$5:$R$16,MATCH(G2507,Config!$J$5:$J$16,0),MATCH(F2507,Config!$H$5:$H$10,0)),""))</f>
        <v/>
      </c>
      <c r="U2507" s="47">
        <f>IF(AND(H2507="Realizado",L2507&lt;&gt;""),L2507/60,0)</f>
        <v>0</v>
      </c>
      <c r="V2507" s="47">
        <f>IF(AND(H2507="Realizado",OR(L2507="",M2507="")),1,0)</f>
        <v>0</v>
      </c>
    </row>
    <row r="2508">
      <c r="A2508" s="43" t="n"/>
      <c r="B2508" s="44" t="n"/>
      <c r="C2508" s="38" t="n"/>
      <c r="D2508" s="38" t="n"/>
      <c r="E2508" s="37" t="n"/>
      <c r="F2508" s="38" t="n"/>
      <c r="G2508" s="38" t="n"/>
      <c r="H2508" s="38" t="n"/>
      <c r="I2508" s="38" t="n"/>
      <c r="J2508" s="38" t="n"/>
      <c r="K2508" s="37" t="n"/>
      <c r="L2508" s="39" t="n"/>
      <c r="M2508" s="40" t="n"/>
      <c r="N2508" s="30">
        <f>IF(A2508="","",MONTH(A2508))</f>
        <v/>
      </c>
      <c r="O2508" s="30">
        <f>IF(A2508="","",YEAR(A2508))</f>
        <v/>
      </c>
      <c r="P2508" s="30">
        <f>IF(A2508="","",CHOOSE(WEEKDAY(A2508,2),"Segunda","Terça","Quarta","Quinta","Sexta","Sábado","Domingo"))</f>
        <v/>
      </c>
      <c r="Q2508" s="30">
        <f>IF(B2508="","",IF(B2508&lt;TIME(12,0,0),"Manhã",IF(B2508&lt;TIME(18,0,0),"Tarde","Noite")))</f>
        <v/>
      </c>
      <c r="R2508" s="46">
        <f>IF(AND(H2508="Realizado",L2508&lt;&gt;"",A2508&lt;=Config!$B$9),L2508/60,0)</f>
        <v>0</v>
      </c>
      <c r="S2508" s="45">
        <f>IF(G2508="","",IFERROR(INDEX(Config!$K$5:$K$16,MATCH(G2508,Config!$J$5:$J$16,0)),""))</f>
        <v/>
      </c>
      <c r="T2508" s="31">
        <f>IF(OR(G2508="",F2508=""),"",IFERROR(INDEX(Config!$M$5:$R$16,MATCH(G2508,Config!$J$5:$J$16,0),MATCH(F2508,Config!$H$5:$H$10,0)),""))</f>
        <v/>
      </c>
      <c r="U2508" s="47">
        <f>IF(AND(H2508="Realizado",L2508&lt;&gt;""),L2508/60,0)</f>
        <v>0</v>
      </c>
      <c r="V2508" s="47">
        <f>IF(AND(H2508="Realizado",OR(L2508="",M2508="")),1,0)</f>
        <v>0</v>
      </c>
    </row>
    <row r="2509">
      <c r="A2509" s="43" t="n"/>
      <c r="B2509" s="44" t="n"/>
      <c r="C2509" s="38" t="n"/>
      <c r="D2509" s="38" t="n"/>
      <c r="E2509" s="37" t="n"/>
      <c r="F2509" s="38" t="n"/>
      <c r="G2509" s="38" t="n"/>
      <c r="H2509" s="38" t="n"/>
      <c r="I2509" s="38" t="n"/>
      <c r="J2509" s="38" t="n"/>
      <c r="K2509" s="37" t="n"/>
      <c r="L2509" s="39" t="n"/>
      <c r="M2509" s="40" t="n"/>
      <c r="N2509" s="30">
        <f>IF(A2509="","",MONTH(A2509))</f>
        <v/>
      </c>
      <c r="O2509" s="30">
        <f>IF(A2509="","",YEAR(A2509))</f>
        <v/>
      </c>
      <c r="P2509" s="30">
        <f>IF(A2509="","",CHOOSE(WEEKDAY(A2509,2),"Segunda","Terça","Quarta","Quinta","Sexta","Sábado","Domingo"))</f>
        <v/>
      </c>
      <c r="Q2509" s="30">
        <f>IF(B2509="","",IF(B2509&lt;TIME(12,0,0),"Manhã",IF(B2509&lt;TIME(18,0,0),"Tarde","Noite")))</f>
        <v/>
      </c>
      <c r="R2509" s="46">
        <f>IF(AND(H2509="Realizado",L2509&lt;&gt;"",A2509&lt;=Config!$B$9),L2509/60,0)</f>
        <v>0</v>
      </c>
      <c r="S2509" s="45">
        <f>IF(G2509="","",IFERROR(INDEX(Config!$K$5:$K$16,MATCH(G2509,Config!$J$5:$J$16,0)),""))</f>
        <v/>
      </c>
      <c r="T2509" s="31">
        <f>IF(OR(G2509="",F2509=""),"",IFERROR(INDEX(Config!$M$5:$R$16,MATCH(G2509,Config!$J$5:$J$16,0),MATCH(F2509,Config!$H$5:$H$10,0)),""))</f>
        <v/>
      </c>
      <c r="U2509" s="47">
        <f>IF(AND(H2509="Realizado",L2509&lt;&gt;""),L2509/60,0)</f>
        <v>0</v>
      </c>
      <c r="V2509" s="47">
        <f>IF(AND(H2509="Realizado",OR(L2509="",M2509="")),1,0)</f>
        <v>0</v>
      </c>
    </row>
    <row r="2510">
      <c r="A2510" s="43" t="n"/>
      <c r="B2510" s="44" t="n"/>
      <c r="C2510" s="38" t="n"/>
      <c r="D2510" s="38" t="n"/>
      <c r="E2510" s="37" t="n"/>
      <c r="F2510" s="38" t="n"/>
      <c r="G2510" s="38" t="n"/>
      <c r="H2510" s="38" t="n"/>
      <c r="I2510" s="38" t="n"/>
      <c r="J2510" s="38" t="n"/>
      <c r="K2510" s="37" t="n"/>
      <c r="L2510" s="39" t="n"/>
      <c r="M2510" s="40" t="n"/>
      <c r="N2510" s="30">
        <f>IF(A2510="","",MONTH(A2510))</f>
        <v/>
      </c>
      <c r="O2510" s="30">
        <f>IF(A2510="","",YEAR(A2510))</f>
        <v/>
      </c>
      <c r="P2510" s="30">
        <f>IF(A2510="","",CHOOSE(WEEKDAY(A2510,2),"Segunda","Terça","Quarta","Quinta","Sexta","Sábado","Domingo"))</f>
        <v/>
      </c>
      <c r="Q2510" s="30">
        <f>IF(B2510="","",IF(B2510&lt;TIME(12,0,0),"Manhã",IF(B2510&lt;TIME(18,0,0),"Tarde","Noite")))</f>
        <v/>
      </c>
      <c r="R2510" s="46">
        <f>IF(AND(H2510="Realizado",L2510&lt;&gt;"",A2510&lt;=Config!$B$9),L2510/60,0)</f>
        <v>0</v>
      </c>
      <c r="S2510" s="45">
        <f>IF(G2510="","",IFERROR(INDEX(Config!$K$5:$K$16,MATCH(G2510,Config!$J$5:$J$16,0)),""))</f>
        <v/>
      </c>
      <c r="T2510" s="31">
        <f>IF(OR(G2510="",F2510=""),"",IFERROR(INDEX(Config!$M$5:$R$16,MATCH(G2510,Config!$J$5:$J$16,0),MATCH(F2510,Config!$H$5:$H$10,0)),""))</f>
        <v/>
      </c>
      <c r="U2510" s="47">
        <f>IF(AND(H2510="Realizado",L2510&lt;&gt;""),L2510/60,0)</f>
        <v>0</v>
      </c>
      <c r="V2510" s="47">
        <f>IF(AND(H2510="Realizado",OR(L2510="",M2510="")),1,0)</f>
        <v>0</v>
      </c>
    </row>
    <row r="2511">
      <c r="A2511" s="43" t="n"/>
      <c r="B2511" s="44" t="n"/>
      <c r="C2511" s="38" t="n"/>
      <c r="D2511" s="38" t="n"/>
      <c r="E2511" s="37" t="n"/>
      <c r="F2511" s="38" t="n"/>
      <c r="G2511" s="38" t="n"/>
      <c r="H2511" s="38" t="n"/>
      <c r="I2511" s="38" t="n"/>
      <c r="J2511" s="38" t="n"/>
      <c r="K2511" s="37" t="n"/>
      <c r="L2511" s="39" t="n"/>
      <c r="M2511" s="40" t="n"/>
      <c r="N2511" s="30">
        <f>IF(A2511="","",MONTH(A2511))</f>
        <v/>
      </c>
      <c r="O2511" s="30">
        <f>IF(A2511="","",YEAR(A2511))</f>
        <v/>
      </c>
      <c r="P2511" s="30">
        <f>IF(A2511="","",CHOOSE(WEEKDAY(A2511,2),"Segunda","Terça","Quarta","Quinta","Sexta","Sábado","Domingo"))</f>
        <v/>
      </c>
      <c r="Q2511" s="30">
        <f>IF(B2511="","",IF(B2511&lt;TIME(12,0,0),"Manhã",IF(B2511&lt;TIME(18,0,0),"Tarde","Noite")))</f>
        <v/>
      </c>
      <c r="R2511" s="46">
        <f>IF(AND(H2511="Realizado",L2511&lt;&gt;"",A2511&lt;=Config!$B$9),L2511/60,0)</f>
        <v>0</v>
      </c>
      <c r="S2511" s="45">
        <f>IF(G2511="","",IFERROR(INDEX(Config!$K$5:$K$16,MATCH(G2511,Config!$J$5:$J$16,0)),""))</f>
        <v/>
      </c>
      <c r="T2511" s="31">
        <f>IF(OR(G2511="",F2511=""),"",IFERROR(INDEX(Config!$M$5:$R$16,MATCH(G2511,Config!$J$5:$J$16,0),MATCH(F2511,Config!$H$5:$H$10,0)),""))</f>
        <v/>
      </c>
      <c r="U2511" s="47">
        <f>IF(AND(H2511="Realizado",L2511&lt;&gt;""),L2511/60,0)</f>
        <v>0</v>
      </c>
      <c r="V2511" s="47">
        <f>IF(AND(H2511="Realizado",OR(L2511="",M2511="")),1,0)</f>
        <v>0</v>
      </c>
    </row>
    <row r="2512">
      <c r="A2512" s="43" t="n"/>
      <c r="B2512" s="44" t="n"/>
      <c r="C2512" s="38" t="n"/>
      <c r="D2512" s="38" t="n"/>
      <c r="E2512" s="37" t="n"/>
      <c r="F2512" s="38" t="n"/>
      <c r="G2512" s="38" t="n"/>
      <c r="H2512" s="38" t="n"/>
      <c r="I2512" s="38" t="n"/>
      <c r="J2512" s="38" t="n"/>
      <c r="K2512" s="37" t="n"/>
      <c r="L2512" s="39" t="n"/>
      <c r="M2512" s="40" t="n"/>
      <c r="N2512" s="30">
        <f>IF(A2512="","",MONTH(A2512))</f>
        <v/>
      </c>
      <c r="O2512" s="30">
        <f>IF(A2512="","",YEAR(A2512))</f>
        <v/>
      </c>
      <c r="P2512" s="30">
        <f>IF(A2512="","",CHOOSE(WEEKDAY(A2512,2),"Segunda","Terça","Quarta","Quinta","Sexta","Sábado","Domingo"))</f>
        <v/>
      </c>
      <c r="Q2512" s="30">
        <f>IF(B2512="","",IF(B2512&lt;TIME(12,0,0),"Manhã",IF(B2512&lt;TIME(18,0,0),"Tarde","Noite")))</f>
        <v/>
      </c>
      <c r="R2512" s="46">
        <f>IF(AND(H2512="Realizado",L2512&lt;&gt;"",A2512&lt;=Config!$B$9),L2512/60,0)</f>
        <v>0</v>
      </c>
      <c r="S2512" s="45">
        <f>IF(G2512="","",IFERROR(INDEX(Config!$K$5:$K$16,MATCH(G2512,Config!$J$5:$J$16,0)),""))</f>
        <v/>
      </c>
      <c r="T2512" s="31">
        <f>IF(OR(G2512="",F2512=""),"",IFERROR(INDEX(Config!$M$5:$R$16,MATCH(G2512,Config!$J$5:$J$16,0),MATCH(F2512,Config!$H$5:$H$10,0)),""))</f>
        <v/>
      </c>
      <c r="U2512" s="47">
        <f>IF(AND(H2512="Realizado",L2512&lt;&gt;""),L2512/60,0)</f>
        <v>0</v>
      </c>
      <c r="V2512" s="47">
        <f>IF(AND(H2512="Realizado",OR(L2512="",M2512="")),1,0)</f>
        <v>0</v>
      </c>
    </row>
    <row r="2513">
      <c r="A2513" s="43" t="n"/>
      <c r="B2513" s="44" t="n"/>
      <c r="C2513" s="38" t="n"/>
      <c r="D2513" s="38" t="n"/>
      <c r="E2513" s="37" t="n"/>
      <c r="F2513" s="38" t="n"/>
      <c r="G2513" s="38" t="n"/>
      <c r="H2513" s="38" t="n"/>
      <c r="I2513" s="38" t="n"/>
      <c r="J2513" s="38" t="n"/>
      <c r="K2513" s="37" t="n"/>
      <c r="L2513" s="39" t="n"/>
      <c r="M2513" s="40" t="n"/>
      <c r="N2513" s="30">
        <f>IF(A2513="","",MONTH(A2513))</f>
        <v/>
      </c>
      <c r="O2513" s="30">
        <f>IF(A2513="","",YEAR(A2513))</f>
        <v/>
      </c>
      <c r="P2513" s="30">
        <f>IF(A2513="","",CHOOSE(WEEKDAY(A2513,2),"Segunda","Terça","Quarta","Quinta","Sexta","Sábado","Domingo"))</f>
        <v/>
      </c>
      <c r="Q2513" s="30">
        <f>IF(B2513="","",IF(B2513&lt;TIME(12,0,0),"Manhã",IF(B2513&lt;TIME(18,0,0),"Tarde","Noite")))</f>
        <v/>
      </c>
      <c r="R2513" s="46">
        <f>IF(AND(H2513="Realizado",L2513&lt;&gt;"",A2513&lt;=Config!$B$9),L2513/60,0)</f>
        <v>0</v>
      </c>
      <c r="S2513" s="45">
        <f>IF(G2513="","",IFERROR(INDEX(Config!$K$5:$K$16,MATCH(G2513,Config!$J$5:$J$16,0)),""))</f>
        <v/>
      </c>
      <c r="T2513" s="31">
        <f>IF(OR(G2513="",F2513=""),"",IFERROR(INDEX(Config!$M$5:$R$16,MATCH(G2513,Config!$J$5:$J$16,0),MATCH(F2513,Config!$H$5:$H$10,0)),""))</f>
        <v/>
      </c>
      <c r="U2513" s="47">
        <f>IF(AND(H2513="Realizado",L2513&lt;&gt;""),L2513/60,0)</f>
        <v>0</v>
      </c>
      <c r="V2513" s="47">
        <f>IF(AND(H2513="Realizado",OR(L2513="",M2513="")),1,0)</f>
        <v>0</v>
      </c>
    </row>
    <row r="2514">
      <c r="A2514" s="43" t="n"/>
      <c r="B2514" s="44" t="n"/>
      <c r="C2514" s="38" t="n"/>
      <c r="D2514" s="38" t="n"/>
      <c r="E2514" s="37" t="n"/>
      <c r="F2514" s="38" t="n"/>
      <c r="G2514" s="38" t="n"/>
      <c r="H2514" s="38" t="n"/>
      <c r="I2514" s="38" t="n"/>
      <c r="J2514" s="38" t="n"/>
      <c r="K2514" s="37" t="n"/>
      <c r="L2514" s="39" t="n"/>
      <c r="M2514" s="40" t="n"/>
      <c r="N2514" s="30">
        <f>IF(A2514="","",MONTH(A2514))</f>
        <v/>
      </c>
      <c r="O2514" s="30">
        <f>IF(A2514="","",YEAR(A2514))</f>
        <v/>
      </c>
      <c r="P2514" s="30">
        <f>IF(A2514="","",CHOOSE(WEEKDAY(A2514,2),"Segunda","Terça","Quarta","Quinta","Sexta","Sábado","Domingo"))</f>
        <v/>
      </c>
      <c r="Q2514" s="30">
        <f>IF(B2514="","",IF(B2514&lt;TIME(12,0,0),"Manhã",IF(B2514&lt;TIME(18,0,0),"Tarde","Noite")))</f>
        <v/>
      </c>
      <c r="R2514" s="46">
        <f>IF(AND(H2514="Realizado",L2514&lt;&gt;"",A2514&lt;=Config!$B$9),L2514/60,0)</f>
        <v>0</v>
      </c>
      <c r="S2514" s="45">
        <f>IF(G2514="","",IFERROR(INDEX(Config!$K$5:$K$16,MATCH(G2514,Config!$J$5:$J$16,0)),""))</f>
        <v/>
      </c>
      <c r="T2514" s="31">
        <f>IF(OR(G2514="",F2514=""),"",IFERROR(INDEX(Config!$M$5:$R$16,MATCH(G2514,Config!$J$5:$J$16,0),MATCH(F2514,Config!$H$5:$H$10,0)),""))</f>
        <v/>
      </c>
      <c r="U2514" s="47">
        <f>IF(AND(H2514="Realizado",L2514&lt;&gt;""),L2514/60,0)</f>
        <v>0</v>
      </c>
      <c r="V2514" s="47">
        <f>IF(AND(H2514="Realizado",OR(L2514="",M2514="")),1,0)</f>
        <v>0</v>
      </c>
    </row>
    <row r="2515">
      <c r="A2515" s="43" t="n"/>
      <c r="B2515" s="44" t="n"/>
      <c r="C2515" s="38" t="n"/>
      <c r="D2515" s="38" t="n"/>
      <c r="E2515" s="37" t="n"/>
      <c r="F2515" s="38" t="n"/>
      <c r="G2515" s="38" t="n"/>
      <c r="H2515" s="38" t="n"/>
      <c r="I2515" s="38" t="n"/>
      <c r="J2515" s="38" t="n"/>
      <c r="K2515" s="37" t="n"/>
      <c r="L2515" s="39" t="n"/>
      <c r="M2515" s="40" t="n"/>
      <c r="N2515" s="30">
        <f>IF(A2515="","",MONTH(A2515))</f>
        <v/>
      </c>
      <c r="O2515" s="30">
        <f>IF(A2515="","",YEAR(A2515))</f>
        <v/>
      </c>
      <c r="P2515" s="30">
        <f>IF(A2515="","",CHOOSE(WEEKDAY(A2515,2),"Segunda","Terça","Quarta","Quinta","Sexta","Sábado","Domingo"))</f>
        <v/>
      </c>
      <c r="Q2515" s="30">
        <f>IF(B2515="","",IF(B2515&lt;TIME(12,0,0),"Manhã",IF(B2515&lt;TIME(18,0,0),"Tarde","Noite")))</f>
        <v/>
      </c>
      <c r="R2515" s="46">
        <f>IF(AND(H2515="Realizado",L2515&lt;&gt;"",A2515&lt;=Config!$B$9),L2515/60,0)</f>
        <v>0</v>
      </c>
      <c r="S2515" s="45">
        <f>IF(G2515="","",IFERROR(INDEX(Config!$K$5:$K$16,MATCH(G2515,Config!$J$5:$J$16,0)),""))</f>
        <v/>
      </c>
      <c r="T2515" s="31">
        <f>IF(OR(G2515="",F2515=""),"",IFERROR(INDEX(Config!$M$5:$R$16,MATCH(G2515,Config!$J$5:$J$16,0),MATCH(F2515,Config!$H$5:$H$10,0)),""))</f>
        <v/>
      </c>
      <c r="U2515" s="47">
        <f>IF(AND(H2515="Realizado",L2515&lt;&gt;""),L2515/60,0)</f>
        <v>0</v>
      </c>
      <c r="V2515" s="47">
        <f>IF(AND(H2515="Realizado",OR(L2515="",M2515="")),1,0)</f>
        <v>0</v>
      </c>
    </row>
    <row r="2516">
      <c r="A2516" s="43" t="n"/>
      <c r="B2516" s="44" t="n"/>
      <c r="C2516" s="38" t="n"/>
      <c r="D2516" s="38" t="n"/>
      <c r="E2516" s="37" t="n"/>
      <c r="F2516" s="38" t="n"/>
      <c r="G2516" s="38" t="n"/>
      <c r="H2516" s="38" t="n"/>
      <c r="I2516" s="38" t="n"/>
      <c r="J2516" s="38" t="n"/>
      <c r="K2516" s="37" t="n"/>
      <c r="L2516" s="39" t="n"/>
      <c r="M2516" s="40" t="n"/>
      <c r="N2516" s="30">
        <f>IF(A2516="","",MONTH(A2516))</f>
        <v/>
      </c>
      <c r="O2516" s="30">
        <f>IF(A2516="","",YEAR(A2516))</f>
        <v/>
      </c>
      <c r="P2516" s="30">
        <f>IF(A2516="","",CHOOSE(WEEKDAY(A2516,2),"Segunda","Terça","Quarta","Quinta","Sexta","Sábado","Domingo"))</f>
        <v/>
      </c>
      <c r="Q2516" s="30">
        <f>IF(B2516="","",IF(B2516&lt;TIME(12,0,0),"Manhã",IF(B2516&lt;TIME(18,0,0),"Tarde","Noite")))</f>
        <v/>
      </c>
      <c r="R2516" s="46">
        <f>IF(AND(H2516="Realizado",L2516&lt;&gt;"",A2516&lt;=Config!$B$9),L2516/60,0)</f>
        <v>0</v>
      </c>
      <c r="S2516" s="45">
        <f>IF(G2516="","",IFERROR(INDEX(Config!$K$5:$K$16,MATCH(G2516,Config!$J$5:$J$16,0)),""))</f>
        <v/>
      </c>
      <c r="T2516" s="31">
        <f>IF(OR(G2516="",F2516=""),"",IFERROR(INDEX(Config!$M$5:$R$16,MATCH(G2516,Config!$J$5:$J$16,0),MATCH(F2516,Config!$H$5:$H$10,0)),""))</f>
        <v/>
      </c>
      <c r="U2516" s="47">
        <f>IF(AND(H2516="Realizado",L2516&lt;&gt;""),L2516/60,0)</f>
        <v>0</v>
      </c>
      <c r="V2516" s="47">
        <f>IF(AND(H2516="Realizado",OR(L2516="",M2516="")),1,0)</f>
        <v>0</v>
      </c>
    </row>
    <row r="2517">
      <c r="A2517" s="43" t="n"/>
      <c r="B2517" s="44" t="n"/>
      <c r="C2517" s="38" t="n"/>
      <c r="D2517" s="38" t="n"/>
      <c r="E2517" s="37" t="n"/>
      <c r="F2517" s="38" t="n"/>
      <c r="G2517" s="38" t="n"/>
      <c r="H2517" s="38" t="n"/>
      <c r="I2517" s="38" t="n"/>
      <c r="J2517" s="38" t="n"/>
      <c r="K2517" s="37" t="n"/>
      <c r="L2517" s="39" t="n"/>
      <c r="M2517" s="40" t="n"/>
      <c r="N2517" s="30">
        <f>IF(A2517="","",MONTH(A2517))</f>
        <v/>
      </c>
      <c r="O2517" s="30">
        <f>IF(A2517="","",YEAR(A2517))</f>
        <v/>
      </c>
      <c r="P2517" s="30">
        <f>IF(A2517="","",CHOOSE(WEEKDAY(A2517,2),"Segunda","Terça","Quarta","Quinta","Sexta","Sábado","Domingo"))</f>
        <v/>
      </c>
      <c r="Q2517" s="30">
        <f>IF(B2517="","",IF(B2517&lt;TIME(12,0,0),"Manhã",IF(B2517&lt;TIME(18,0,0),"Tarde","Noite")))</f>
        <v/>
      </c>
      <c r="R2517" s="46">
        <f>IF(AND(H2517="Realizado",L2517&lt;&gt;"",A2517&lt;=Config!$B$9),L2517/60,0)</f>
        <v>0</v>
      </c>
      <c r="S2517" s="45">
        <f>IF(G2517="","",IFERROR(INDEX(Config!$K$5:$K$16,MATCH(G2517,Config!$J$5:$J$16,0)),""))</f>
        <v/>
      </c>
      <c r="T2517" s="31">
        <f>IF(OR(G2517="",F2517=""),"",IFERROR(INDEX(Config!$M$5:$R$16,MATCH(G2517,Config!$J$5:$J$16,0),MATCH(F2517,Config!$H$5:$H$10,0)),""))</f>
        <v/>
      </c>
      <c r="U2517" s="47">
        <f>IF(AND(H2517="Realizado",L2517&lt;&gt;""),L2517/60,0)</f>
        <v>0</v>
      </c>
      <c r="V2517" s="47">
        <f>IF(AND(H2517="Realizado",OR(L2517="",M2517="")),1,0)</f>
        <v>0</v>
      </c>
    </row>
    <row r="2518">
      <c r="A2518" s="43" t="n"/>
      <c r="B2518" s="44" t="n"/>
      <c r="C2518" s="38" t="n"/>
      <c r="D2518" s="38" t="n"/>
      <c r="E2518" s="37" t="n"/>
      <c r="F2518" s="38" t="n"/>
      <c r="G2518" s="38" t="n"/>
      <c r="H2518" s="38" t="n"/>
      <c r="I2518" s="38" t="n"/>
      <c r="J2518" s="38" t="n"/>
      <c r="K2518" s="37" t="n"/>
      <c r="L2518" s="39" t="n"/>
      <c r="M2518" s="40" t="n"/>
      <c r="N2518" s="30">
        <f>IF(A2518="","",MONTH(A2518))</f>
        <v/>
      </c>
      <c r="O2518" s="30">
        <f>IF(A2518="","",YEAR(A2518))</f>
        <v/>
      </c>
      <c r="P2518" s="30">
        <f>IF(A2518="","",CHOOSE(WEEKDAY(A2518,2),"Segunda","Terça","Quarta","Quinta","Sexta","Sábado","Domingo"))</f>
        <v/>
      </c>
      <c r="Q2518" s="30">
        <f>IF(B2518="","",IF(B2518&lt;TIME(12,0,0),"Manhã",IF(B2518&lt;TIME(18,0,0),"Tarde","Noite")))</f>
        <v/>
      </c>
      <c r="R2518" s="46">
        <f>IF(AND(H2518="Realizado",L2518&lt;&gt;"",A2518&lt;=Config!$B$9),L2518/60,0)</f>
        <v>0</v>
      </c>
      <c r="S2518" s="45">
        <f>IF(G2518="","",IFERROR(INDEX(Config!$K$5:$K$16,MATCH(G2518,Config!$J$5:$J$16,0)),""))</f>
        <v/>
      </c>
      <c r="T2518" s="31">
        <f>IF(OR(G2518="",F2518=""),"",IFERROR(INDEX(Config!$M$5:$R$16,MATCH(G2518,Config!$J$5:$J$16,0),MATCH(F2518,Config!$H$5:$H$10,0)),""))</f>
        <v/>
      </c>
      <c r="U2518" s="47">
        <f>IF(AND(H2518="Realizado",L2518&lt;&gt;""),L2518/60,0)</f>
        <v>0</v>
      </c>
      <c r="V2518" s="47">
        <f>IF(AND(H2518="Realizado",OR(L2518="",M2518="")),1,0)</f>
        <v>0</v>
      </c>
    </row>
    <row r="2519">
      <c r="A2519" s="43" t="n"/>
      <c r="B2519" s="44" t="n"/>
      <c r="C2519" s="38" t="n"/>
      <c r="D2519" s="38" t="n"/>
      <c r="E2519" s="37" t="n"/>
      <c r="F2519" s="38" t="n"/>
      <c r="G2519" s="38" t="n"/>
      <c r="H2519" s="38" t="n"/>
      <c r="I2519" s="38" t="n"/>
      <c r="J2519" s="38" t="n"/>
      <c r="K2519" s="37" t="n"/>
      <c r="L2519" s="39" t="n"/>
      <c r="M2519" s="40" t="n"/>
      <c r="N2519" s="30">
        <f>IF(A2519="","",MONTH(A2519))</f>
        <v/>
      </c>
      <c r="O2519" s="30">
        <f>IF(A2519="","",YEAR(A2519))</f>
        <v/>
      </c>
      <c r="P2519" s="30">
        <f>IF(A2519="","",CHOOSE(WEEKDAY(A2519,2),"Segunda","Terça","Quarta","Quinta","Sexta","Sábado","Domingo"))</f>
        <v/>
      </c>
      <c r="Q2519" s="30">
        <f>IF(B2519="","",IF(B2519&lt;TIME(12,0,0),"Manhã",IF(B2519&lt;TIME(18,0,0),"Tarde","Noite")))</f>
        <v/>
      </c>
      <c r="R2519" s="46">
        <f>IF(AND(H2519="Realizado",L2519&lt;&gt;"",A2519&lt;=Config!$B$9),L2519/60,0)</f>
        <v>0</v>
      </c>
      <c r="S2519" s="45">
        <f>IF(G2519="","",IFERROR(INDEX(Config!$K$5:$K$16,MATCH(G2519,Config!$J$5:$J$16,0)),""))</f>
        <v/>
      </c>
      <c r="T2519" s="31">
        <f>IF(OR(G2519="",F2519=""),"",IFERROR(INDEX(Config!$M$5:$R$16,MATCH(G2519,Config!$J$5:$J$16,0),MATCH(F2519,Config!$H$5:$H$10,0)),""))</f>
        <v/>
      </c>
      <c r="U2519" s="47">
        <f>IF(AND(H2519="Realizado",L2519&lt;&gt;""),L2519/60,0)</f>
        <v>0</v>
      </c>
      <c r="V2519" s="47">
        <f>IF(AND(H2519="Realizado",OR(L2519="",M2519="")),1,0)</f>
        <v>0</v>
      </c>
    </row>
    <row r="2520">
      <c r="A2520" s="43" t="n"/>
      <c r="B2520" s="44" t="n"/>
      <c r="C2520" s="38" t="n"/>
      <c r="D2520" s="38" t="n"/>
      <c r="E2520" s="37" t="n"/>
      <c r="F2520" s="38" t="n"/>
      <c r="G2520" s="38" t="n"/>
      <c r="H2520" s="38" t="n"/>
      <c r="I2520" s="38" t="n"/>
      <c r="J2520" s="38" t="n"/>
      <c r="K2520" s="37" t="n"/>
      <c r="L2520" s="39" t="n"/>
      <c r="M2520" s="40" t="n"/>
      <c r="N2520" s="30">
        <f>IF(A2520="","",MONTH(A2520))</f>
        <v/>
      </c>
      <c r="O2520" s="30">
        <f>IF(A2520="","",YEAR(A2520))</f>
        <v/>
      </c>
      <c r="P2520" s="30">
        <f>IF(A2520="","",CHOOSE(WEEKDAY(A2520,2),"Segunda","Terça","Quarta","Quinta","Sexta","Sábado","Domingo"))</f>
        <v/>
      </c>
      <c r="Q2520" s="30">
        <f>IF(B2520="","",IF(B2520&lt;TIME(12,0,0),"Manhã",IF(B2520&lt;TIME(18,0,0),"Tarde","Noite")))</f>
        <v/>
      </c>
      <c r="R2520" s="46">
        <f>IF(AND(H2520="Realizado",L2520&lt;&gt;"",A2520&lt;=Config!$B$9),L2520/60,0)</f>
        <v>0</v>
      </c>
      <c r="S2520" s="45">
        <f>IF(G2520="","",IFERROR(INDEX(Config!$K$5:$K$16,MATCH(G2520,Config!$J$5:$J$16,0)),""))</f>
        <v/>
      </c>
      <c r="T2520" s="31">
        <f>IF(OR(G2520="",F2520=""),"",IFERROR(INDEX(Config!$M$5:$R$16,MATCH(G2520,Config!$J$5:$J$16,0),MATCH(F2520,Config!$H$5:$H$10,0)),""))</f>
        <v/>
      </c>
      <c r="U2520" s="47">
        <f>IF(AND(H2520="Realizado",L2520&lt;&gt;""),L2520/60,0)</f>
        <v>0</v>
      </c>
      <c r="V2520" s="47">
        <f>IF(AND(H2520="Realizado",OR(L2520="",M2520="")),1,0)</f>
        <v>0</v>
      </c>
    </row>
    <row r="2521">
      <c r="A2521" s="43" t="n"/>
      <c r="B2521" s="44" t="n"/>
      <c r="C2521" s="38" t="n"/>
      <c r="D2521" s="38" t="n"/>
      <c r="E2521" s="37" t="n"/>
      <c r="F2521" s="38" t="n"/>
      <c r="G2521" s="38" t="n"/>
      <c r="H2521" s="38" t="n"/>
      <c r="I2521" s="38" t="n"/>
      <c r="J2521" s="38" t="n"/>
      <c r="K2521" s="37" t="n"/>
      <c r="L2521" s="39" t="n"/>
      <c r="M2521" s="40" t="n"/>
      <c r="N2521" s="30">
        <f>IF(A2521="","",MONTH(A2521))</f>
        <v/>
      </c>
      <c r="O2521" s="30">
        <f>IF(A2521="","",YEAR(A2521))</f>
        <v/>
      </c>
      <c r="P2521" s="30">
        <f>IF(A2521="","",CHOOSE(WEEKDAY(A2521,2),"Segunda","Terça","Quarta","Quinta","Sexta","Sábado","Domingo"))</f>
        <v/>
      </c>
      <c r="Q2521" s="30">
        <f>IF(B2521="","",IF(B2521&lt;TIME(12,0,0),"Manhã",IF(B2521&lt;TIME(18,0,0),"Tarde","Noite")))</f>
        <v/>
      </c>
      <c r="R2521" s="46">
        <f>IF(AND(H2521="Realizado",L2521&lt;&gt;"",A2521&lt;=Config!$B$9),L2521/60,0)</f>
        <v>0</v>
      </c>
      <c r="S2521" s="45">
        <f>IF(G2521="","",IFERROR(INDEX(Config!$K$5:$K$16,MATCH(G2521,Config!$J$5:$J$16,0)),""))</f>
        <v/>
      </c>
      <c r="T2521" s="31">
        <f>IF(OR(G2521="",F2521=""),"",IFERROR(INDEX(Config!$M$5:$R$16,MATCH(G2521,Config!$J$5:$J$16,0),MATCH(F2521,Config!$H$5:$H$10,0)),""))</f>
        <v/>
      </c>
      <c r="U2521" s="47">
        <f>IF(AND(H2521="Realizado",L2521&lt;&gt;""),L2521/60,0)</f>
        <v>0</v>
      </c>
      <c r="V2521" s="47">
        <f>IF(AND(H2521="Realizado",OR(L2521="",M2521="")),1,0)</f>
        <v>0</v>
      </c>
    </row>
    <row r="2522">
      <c r="A2522" s="43" t="n"/>
      <c r="B2522" s="44" t="n"/>
      <c r="C2522" s="38" t="n"/>
      <c r="D2522" s="38" t="n"/>
      <c r="E2522" s="37" t="n"/>
      <c r="F2522" s="38" t="n"/>
      <c r="G2522" s="38" t="n"/>
      <c r="H2522" s="38" t="n"/>
      <c r="I2522" s="38" t="n"/>
      <c r="J2522" s="38" t="n"/>
      <c r="K2522" s="37" t="n"/>
      <c r="L2522" s="39" t="n"/>
      <c r="M2522" s="40" t="n"/>
      <c r="N2522" s="30">
        <f>IF(A2522="","",MONTH(A2522))</f>
        <v/>
      </c>
      <c r="O2522" s="30">
        <f>IF(A2522="","",YEAR(A2522))</f>
        <v/>
      </c>
      <c r="P2522" s="30">
        <f>IF(A2522="","",CHOOSE(WEEKDAY(A2522,2),"Segunda","Terça","Quarta","Quinta","Sexta","Sábado","Domingo"))</f>
        <v/>
      </c>
      <c r="Q2522" s="30">
        <f>IF(B2522="","",IF(B2522&lt;TIME(12,0,0),"Manhã",IF(B2522&lt;TIME(18,0,0),"Tarde","Noite")))</f>
        <v/>
      </c>
      <c r="R2522" s="46">
        <f>IF(AND(H2522="Realizado",L2522&lt;&gt;"",A2522&lt;=Config!$B$9),L2522/60,0)</f>
        <v>0</v>
      </c>
      <c r="S2522" s="45">
        <f>IF(G2522="","",IFERROR(INDEX(Config!$K$5:$K$16,MATCH(G2522,Config!$J$5:$J$16,0)),""))</f>
        <v/>
      </c>
      <c r="T2522" s="31">
        <f>IF(OR(G2522="",F2522=""),"",IFERROR(INDEX(Config!$M$5:$R$16,MATCH(G2522,Config!$J$5:$J$16,0),MATCH(F2522,Config!$H$5:$H$10,0)),""))</f>
        <v/>
      </c>
      <c r="U2522" s="47">
        <f>IF(AND(H2522="Realizado",L2522&lt;&gt;""),L2522/60,0)</f>
        <v>0</v>
      </c>
      <c r="V2522" s="47">
        <f>IF(AND(H2522="Realizado",OR(L2522="",M2522="")),1,0)</f>
        <v>0</v>
      </c>
    </row>
    <row r="2523">
      <c r="A2523" s="43" t="n"/>
      <c r="B2523" s="44" t="n"/>
      <c r="C2523" s="38" t="n"/>
      <c r="D2523" s="38" t="n"/>
      <c r="E2523" s="37" t="n"/>
      <c r="F2523" s="38" t="n"/>
      <c r="G2523" s="38" t="n"/>
      <c r="H2523" s="38" t="n"/>
      <c r="I2523" s="38" t="n"/>
      <c r="J2523" s="38" t="n"/>
      <c r="K2523" s="37" t="n"/>
      <c r="L2523" s="39" t="n"/>
      <c r="M2523" s="40" t="n"/>
      <c r="N2523" s="30">
        <f>IF(A2523="","",MONTH(A2523))</f>
        <v/>
      </c>
      <c r="O2523" s="30">
        <f>IF(A2523="","",YEAR(A2523))</f>
        <v/>
      </c>
      <c r="P2523" s="30">
        <f>IF(A2523="","",CHOOSE(WEEKDAY(A2523,2),"Segunda","Terça","Quarta","Quinta","Sexta","Sábado","Domingo"))</f>
        <v/>
      </c>
      <c r="Q2523" s="30">
        <f>IF(B2523="","",IF(B2523&lt;TIME(12,0,0),"Manhã",IF(B2523&lt;TIME(18,0,0),"Tarde","Noite")))</f>
        <v/>
      </c>
      <c r="R2523" s="46">
        <f>IF(AND(H2523="Realizado",L2523&lt;&gt;"",A2523&lt;=Config!$B$9),L2523/60,0)</f>
        <v>0</v>
      </c>
      <c r="S2523" s="45">
        <f>IF(G2523="","",IFERROR(INDEX(Config!$K$5:$K$16,MATCH(G2523,Config!$J$5:$J$16,0)),""))</f>
        <v/>
      </c>
      <c r="T2523" s="31">
        <f>IF(OR(G2523="",F2523=""),"",IFERROR(INDEX(Config!$M$5:$R$16,MATCH(G2523,Config!$J$5:$J$16,0),MATCH(F2523,Config!$H$5:$H$10,0)),""))</f>
        <v/>
      </c>
      <c r="U2523" s="47">
        <f>IF(AND(H2523="Realizado",L2523&lt;&gt;""),L2523/60,0)</f>
        <v>0</v>
      </c>
      <c r="V2523" s="47">
        <f>IF(AND(H2523="Realizado",OR(L2523="",M2523="")),1,0)</f>
        <v>0</v>
      </c>
    </row>
    <row r="2524">
      <c r="A2524" s="43" t="n"/>
      <c r="B2524" s="44" t="n"/>
      <c r="C2524" s="38" t="n"/>
      <c r="D2524" s="38" t="n"/>
      <c r="E2524" s="37" t="n"/>
      <c r="F2524" s="38" t="n"/>
      <c r="G2524" s="38" t="n"/>
      <c r="H2524" s="38" t="n"/>
      <c r="I2524" s="38" t="n"/>
      <c r="J2524" s="38" t="n"/>
      <c r="K2524" s="37" t="n"/>
      <c r="L2524" s="39" t="n"/>
      <c r="M2524" s="40" t="n"/>
      <c r="N2524" s="30">
        <f>IF(A2524="","",MONTH(A2524))</f>
        <v/>
      </c>
      <c r="O2524" s="30">
        <f>IF(A2524="","",YEAR(A2524))</f>
        <v/>
      </c>
      <c r="P2524" s="30">
        <f>IF(A2524="","",CHOOSE(WEEKDAY(A2524,2),"Segunda","Terça","Quarta","Quinta","Sexta","Sábado","Domingo"))</f>
        <v/>
      </c>
      <c r="Q2524" s="30">
        <f>IF(B2524="","",IF(B2524&lt;TIME(12,0,0),"Manhã",IF(B2524&lt;TIME(18,0,0),"Tarde","Noite")))</f>
        <v/>
      </c>
      <c r="R2524" s="46">
        <f>IF(AND(H2524="Realizado",L2524&lt;&gt;"",A2524&lt;=Config!$B$9),L2524/60,0)</f>
        <v>0</v>
      </c>
      <c r="S2524" s="45">
        <f>IF(G2524="","",IFERROR(INDEX(Config!$K$5:$K$16,MATCH(G2524,Config!$J$5:$J$16,0)),""))</f>
        <v/>
      </c>
      <c r="T2524" s="31">
        <f>IF(OR(G2524="",F2524=""),"",IFERROR(INDEX(Config!$M$5:$R$16,MATCH(G2524,Config!$J$5:$J$16,0),MATCH(F2524,Config!$H$5:$H$10,0)),""))</f>
        <v/>
      </c>
      <c r="U2524" s="47">
        <f>IF(AND(H2524="Realizado",L2524&lt;&gt;""),L2524/60,0)</f>
        <v>0</v>
      </c>
      <c r="V2524" s="47">
        <f>IF(AND(H2524="Realizado",OR(L2524="",M2524="")),1,0)</f>
        <v>0</v>
      </c>
    </row>
    <row r="2525">
      <c r="A2525" s="43" t="n"/>
      <c r="B2525" s="44" t="n"/>
      <c r="C2525" s="38" t="n"/>
      <c r="D2525" s="38" t="n"/>
      <c r="E2525" s="37" t="n"/>
      <c r="F2525" s="38" t="n"/>
      <c r="G2525" s="38" t="n"/>
      <c r="H2525" s="38" t="n"/>
      <c r="I2525" s="38" t="n"/>
      <c r="J2525" s="38" t="n"/>
      <c r="K2525" s="37" t="n"/>
      <c r="L2525" s="39" t="n"/>
      <c r="M2525" s="40" t="n"/>
      <c r="N2525" s="30">
        <f>IF(A2525="","",MONTH(A2525))</f>
        <v/>
      </c>
      <c r="O2525" s="30">
        <f>IF(A2525="","",YEAR(A2525))</f>
        <v/>
      </c>
      <c r="P2525" s="30">
        <f>IF(A2525="","",CHOOSE(WEEKDAY(A2525,2),"Segunda","Terça","Quarta","Quinta","Sexta","Sábado","Domingo"))</f>
        <v/>
      </c>
      <c r="Q2525" s="30">
        <f>IF(B2525="","",IF(B2525&lt;TIME(12,0,0),"Manhã",IF(B2525&lt;TIME(18,0,0),"Tarde","Noite")))</f>
        <v/>
      </c>
      <c r="R2525" s="46">
        <f>IF(AND(H2525="Realizado",L2525&lt;&gt;"",A2525&lt;=Config!$B$9),L2525/60,0)</f>
        <v>0</v>
      </c>
      <c r="S2525" s="45">
        <f>IF(G2525="","",IFERROR(INDEX(Config!$K$5:$K$16,MATCH(G2525,Config!$J$5:$J$16,0)),""))</f>
        <v/>
      </c>
      <c r="T2525" s="31">
        <f>IF(OR(G2525="",F2525=""),"",IFERROR(INDEX(Config!$M$5:$R$16,MATCH(G2525,Config!$J$5:$J$16,0),MATCH(F2525,Config!$H$5:$H$10,0)),""))</f>
        <v/>
      </c>
      <c r="U2525" s="47">
        <f>IF(AND(H2525="Realizado",L2525&lt;&gt;""),L2525/60,0)</f>
        <v>0</v>
      </c>
      <c r="V2525" s="47">
        <f>IF(AND(H2525="Realizado",OR(L2525="",M2525="")),1,0)</f>
        <v>0</v>
      </c>
    </row>
    <row r="2526">
      <c r="A2526" s="43" t="n"/>
      <c r="B2526" s="44" t="n"/>
      <c r="C2526" s="38" t="n"/>
      <c r="D2526" s="38" t="n"/>
      <c r="E2526" s="37" t="n"/>
      <c r="F2526" s="38" t="n"/>
      <c r="G2526" s="38" t="n"/>
      <c r="H2526" s="38" t="n"/>
      <c r="I2526" s="38" t="n"/>
      <c r="J2526" s="38" t="n"/>
      <c r="K2526" s="37" t="n"/>
      <c r="L2526" s="39" t="n"/>
      <c r="M2526" s="40" t="n"/>
      <c r="N2526" s="30">
        <f>IF(A2526="","",MONTH(A2526))</f>
        <v/>
      </c>
      <c r="O2526" s="30">
        <f>IF(A2526="","",YEAR(A2526))</f>
        <v/>
      </c>
      <c r="P2526" s="30">
        <f>IF(A2526="","",CHOOSE(WEEKDAY(A2526,2),"Segunda","Terça","Quarta","Quinta","Sexta","Sábado","Domingo"))</f>
        <v/>
      </c>
      <c r="Q2526" s="30">
        <f>IF(B2526="","",IF(B2526&lt;TIME(12,0,0),"Manhã",IF(B2526&lt;TIME(18,0,0),"Tarde","Noite")))</f>
        <v/>
      </c>
      <c r="R2526" s="46">
        <f>IF(AND(H2526="Realizado",L2526&lt;&gt;"",A2526&lt;=Config!$B$9),L2526/60,0)</f>
        <v>0</v>
      </c>
      <c r="S2526" s="45">
        <f>IF(G2526="","",IFERROR(INDEX(Config!$K$5:$K$16,MATCH(G2526,Config!$J$5:$J$16,0)),""))</f>
        <v/>
      </c>
      <c r="T2526" s="31">
        <f>IF(OR(G2526="",F2526=""),"",IFERROR(INDEX(Config!$M$5:$R$16,MATCH(G2526,Config!$J$5:$J$16,0),MATCH(F2526,Config!$H$5:$H$10,0)),""))</f>
        <v/>
      </c>
      <c r="U2526" s="47">
        <f>IF(AND(H2526="Realizado",L2526&lt;&gt;""),L2526/60,0)</f>
        <v>0</v>
      </c>
      <c r="V2526" s="47">
        <f>IF(AND(H2526="Realizado",OR(L2526="",M2526="")),1,0)</f>
        <v>0</v>
      </c>
    </row>
    <row r="2527">
      <c r="A2527" s="43" t="n"/>
      <c r="B2527" s="44" t="n"/>
      <c r="C2527" s="38" t="n"/>
      <c r="D2527" s="38" t="n"/>
      <c r="E2527" s="37" t="n"/>
      <c r="F2527" s="38" t="n"/>
      <c r="G2527" s="38" t="n"/>
      <c r="H2527" s="38" t="n"/>
      <c r="I2527" s="38" t="n"/>
      <c r="J2527" s="38" t="n"/>
      <c r="K2527" s="37" t="n"/>
      <c r="L2527" s="39" t="n"/>
      <c r="M2527" s="40" t="n"/>
      <c r="N2527" s="30">
        <f>IF(A2527="","",MONTH(A2527))</f>
        <v/>
      </c>
      <c r="O2527" s="30">
        <f>IF(A2527="","",YEAR(A2527))</f>
        <v/>
      </c>
      <c r="P2527" s="30">
        <f>IF(A2527="","",CHOOSE(WEEKDAY(A2527,2),"Segunda","Terça","Quarta","Quinta","Sexta","Sábado","Domingo"))</f>
        <v/>
      </c>
      <c r="Q2527" s="30">
        <f>IF(B2527="","",IF(B2527&lt;TIME(12,0,0),"Manhã",IF(B2527&lt;TIME(18,0,0),"Tarde","Noite")))</f>
        <v/>
      </c>
      <c r="R2527" s="46">
        <f>IF(AND(H2527="Realizado",L2527&lt;&gt;"",A2527&lt;=Config!$B$9),L2527/60,0)</f>
        <v>0</v>
      </c>
      <c r="S2527" s="45">
        <f>IF(G2527="","",IFERROR(INDEX(Config!$K$5:$K$16,MATCH(G2527,Config!$J$5:$J$16,0)),""))</f>
        <v/>
      </c>
      <c r="T2527" s="31">
        <f>IF(OR(G2527="",F2527=""),"",IFERROR(INDEX(Config!$M$5:$R$16,MATCH(G2527,Config!$J$5:$J$16,0),MATCH(F2527,Config!$H$5:$H$10,0)),""))</f>
        <v/>
      </c>
      <c r="U2527" s="47">
        <f>IF(AND(H2527="Realizado",L2527&lt;&gt;""),L2527/60,0)</f>
        <v>0</v>
      </c>
      <c r="V2527" s="47">
        <f>IF(AND(H2527="Realizado",OR(L2527="",M2527="")),1,0)</f>
        <v>0</v>
      </c>
    </row>
    <row r="2528">
      <c r="A2528" s="43" t="n"/>
      <c r="B2528" s="44" t="n"/>
      <c r="C2528" s="38" t="n"/>
      <c r="D2528" s="38" t="n"/>
      <c r="E2528" s="37" t="n"/>
      <c r="F2528" s="38" t="n"/>
      <c r="G2528" s="38" t="n"/>
      <c r="H2528" s="38" t="n"/>
      <c r="I2528" s="38" t="n"/>
      <c r="J2528" s="38" t="n"/>
      <c r="K2528" s="37" t="n"/>
      <c r="L2528" s="39" t="n"/>
      <c r="M2528" s="40" t="n"/>
      <c r="N2528" s="30">
        <f>IF(A2528="","",MONTH(A2528))</f>
        <v/>
      </c>
      <c r="O2528" s="30">
        <f>IF(A2528="","",YEAR(A2528))</f>
        <v/>
      </c>
      <c r="P2528" s="30">
        <f>IF(A2528="","",CHOOSE(WEEKDAY(A2528,2),"Segunda","Terça","Quarta","Quinta","Sexta","Sábado","Domingo"))</f>
        <v/>
      </c>
      <c r="Q2528" s="30">
        <f>IF(B2528="","",IF(B2528&lt;TIME(12,0,0),"Manhã",IF(B2528&lt;TIME(18,0,0),"Tarde","Noite")))</f>
        <v/>
      </c>
      <c r="R2528" s="46">
        <f>IF(AND(H2528="Realizado",L2528&lt;&gt;"",A2528&lt;=Config!$B$9),L2528/60,0)</f>
        <v>0</v>
      </c>
      <c r="S2528" s="45">
        <f>IF(G2528="","",IFERROR(INDEX(Config!$K$5:$K$16,MATCH(G2528,Config!$J$5:$J$16,0)),""))</f>
        <v/>
      </c>
      <c r="T2528" s="31">
        <f>IF(OR(G2528="",F2528=""),"",IFERROR(INDEX(Config!$M$5:$R$16,MATCH(G2528,Config!$J$5:$J$16,0),MATCH(F2528,Config!$H$5:$H$10,0)),""))</f>
        <v/>
      </c>
      <c r="U2528" s="47">
        <f>IF(AND(H2528="Realizado",L2528&lt;&gt;""),L2528/60,0)</f>
        <v>0</v>
      </c>
      <c r="V2528" s="47">
        <f>IF(AND(H2528="Realizado",OR(L2528="",M2528="")),1,0)</f>
        <v>0</v>
      </c>
    </row>
    <row r="2529">
      <c r="A2529" s="43" t="n"/>
      <c r="B2529" s="44" t="n"/>
      <c r="C2529" s="38" t="n"/>
      <c r="D2529" s="38" t="n"/>
      <c r="E2529" s="37" t="n"/>
      <c r="F2529" s="38" t="n"/>
      <c r="G2529" s="38" t="n"/>
      <c r="H2529" s="38" t="n"/>
      <c r="I2529" s="38" t="n"/>
      <c r="J2529" s="38" t="n"/>
      <c r="K2529" s="37" t="n"/>
      <c r="L2529" s="39" t="n"/>
      <c r="M2529" s="40" t="n"/>
      <c r="N2529" s="30">
        <f>IF(A2529="","",MONTH(A2529))</f>
        <v/>
      </c>
      <c r="O2529" s="30">
        <f>IF(A2529="","",YEAR(A2529))</f>
        <v/>
      </c>
      <c r="P2529" s="30">
        <f>IF(A2529="","",CHOOSE(WEEKDAY(A2529,2),"Segunda","Terça","Quarta","Quinta","Sexta","Sábado","Domingo"))</f>
        <v/>
      </c>
      <c r="Q2529" s="30">
        <f>IF(B2529="","",IF(B2529&lt;TIME(12,0,0),"Manhã",IF(B2529&lt;TIME(18,0,0),"Tarde","Noite")))</f>
        <v/>
      </c>
      <c r="R2529" s="46">
        <f>IF(AND(H2529="Realizado",L2529&lt;&gt;"",A2529&lt;=Config!$B$9),L2529/60,0)</f>
        <v>0</v>
      </c>
      <c r="S2529" s="45">
        <f>IF(G2529="","",IFERROR(INDEX(Config!$K$5:$K$16,MATCH(G2529,Config!$J$5:$J$16,0)),""))</f>
        <v/>
      </c>
      <c r="T2529" s="31">
        <f>IF(OR(G2529="",F2529=""),"",IFERROR(INDEX(Config!$M$5:$R$16,MATCH(G2529,Config!$J$5:$J$16,0),MATCH(F2529,Config!$H$5:$H$10,0)),""))</f>
        <v/>
      </c>
      <c r="U2529" s="47">
        <f>IF(AND(H2529="Realizado",L2529&lt;&gt;""),L2529/60,0)</f>
        <v>0</v>
      </c>
      <c r="V2529" s="47">
        <f>IF(AND(H2529="Realizado",OR(L2529="",M2529="")),1,0)</f>
        <v>0</v>
      </c>
    </row>
    <row r="2530">
      <c r="A2530" s="43" t="n"/>
      <c r="B2530" s="44" t="n"/>
      <c r="C2530" s="38" t="n"/>
      <c r="D2530" s="38" t="n"/>
      <c r="E2530" s="37" t="n"/>
      <c r="F2530" s="38" t="n"/>
      <c r="G2530" s="38" t="n"/>
      <c r="H2530" s="38" t="n"/>
      <c r="I2530" s="38" t="n"/>
      <c r="J2530" s="38" t="n"/>
      <c r="K2530" s="37" t="n"/>
      <c r="L2530" s="39" t="n"/>
      <c r="M2530" s="40" t="n"/>
      <c r="N2530" s="30">
        <f>IF(A2530="","",MONTH(A2530))</f>
        <v/>
      </c>
      <c r="O2530" s="30">
        <f>IF(A2530="","",YEAR(A2530))</f>
        <v/>
      </c>
      <c r="P2530" s="30">
        <f>IF(A2530="","",CHOOSE(WEEKDAY(A2530,2),"Segunda","Terça","Quarta","Quinta","Sexta","Sábado","Domingo"))</f>
        <v/>
      </c>
      <c r="Q2530" s="30">
        <f>IF(B2530="","",IF(B2530&lt;TIME(12,0,0),"Manhã",IF(B2530&lt;TIME(18,0,0),"Tarde","Noite")))</f>
        <v/>
      </c>
      <c r="R2530" s="46">
        <f>IF(AND(H2530="Realizado",L2530&lt;&gt;"",A2530&lt;=Config!$B$9),L2530/60,0)</f>
        <v>0</v>
      </c>
      <c r="S2530" s="45">
        <f>IF(G2530="","",IFERROR(INDEX(Config!$K$5:$K$16,MATCH(G2530,Config!$J$5:$J$16,0)),""))</f>
        <v/>
      </c>
      <c r="T2530" s="31">
        <f>IF(OR(G2530="",F2530=""),"",IFERROR(INDEX(Config!$M$5:$R$16,MATCH(G2530,Config!$J$5:$J$16,0),MATCH(F2530,Config!$H$5:$H$10,0)),""))</f>
        <v/>
      </c>
      <c r="U2530" s="47">
        <f>IF(AND(H2530="Realizado",L2530&lt;&gt;""),L2530/60,0)</f>
        <v>0</v>
      </c>
      <c r="V2530" s="47">
        <f>IF(AND(H2530="Realizado",OR(L2530="",M2530="")),1,0)</f>
        <v>0</v>
      </c>
    </row>
    <row r="2531">
      <c r="A2531" s="43" t="n"/>
      <c r="B2531" s="44" t="n"/>
      <c r="C2531" s="38" t="n"/>
      <c r="D2531" s="38" t="n"/>
      <c r="E2531" s="37" t="n"/>
      <c r="F2531" s="38" t="n"/>
      <c r="G2531" s="38" t="n"/>
      <c r="H2531" s="38" t="n"/>
      <c r="I2531" s="38" t="n"/>
      <c r="J2531" s="38" t="n"/>
      <c r="K2531" s="37" t="n"/>
      <c r="L2531" s="39" t="n"/>
      <c r="M2531" s="40" t="n"/>
      <c r="N2531" s="30">
        <f>IF(A2531="","",MONTH(A2531))</f>
        <v/>
      </c>
      <c r="O2531" s="30">
        <f>IF(A2531="","",YEAR(A2531))</f>
        <v/>
      </c>
      <c r="P2531" s="30">
        <f>IF(A2531="","",CHOOSE(WEEKDAY(A2531,2),"Segunda","Terça","Quarta","Quinta","Sexta","Sábado","Domingo"))</f>
        <v/>
      </c>
      <c r="Q2531" s="30">
        <f>IF(B2531="","",IF(B2531&lt;TIME(12,0,0),"Manhã",IF(B2531&lt;TIME(18,0,0),"Tarde","Noite")))</f>
        <v/>
      </c>
      <c r="R2531" s="46">
        <f>IF(AND(H2531="Realizado",L2531&lt;&gt;"",A2531&lt;=Config!$B$9),L2531/60,0)</f>
        <v>0</v>
      </c>
      <c r="S2531" s="45">
        <f>IF(G2531="","",IFERROR(INDEX(Config!$K$5:$K$16,MATCH(G2531,Config!$J$5:$J$16,0)),""))</f>
        <v/>
      </c>
      <c r="T2531" s="31">
        <f>IF(OR(G2531="",F2531=""),"",IFERROR(INDEX(Config!$M$5:$R$16,MATCH(G2531,Config!$J$5:$J$16,0),MATCH(F2531,Config!$H$5:$H$10,0)),""))</f>
        <v/>
      </c>
      <c r="U2531" s="47">
        <f>IF(AND(H2531="Realizado",L2531&lt;&gt;""),L2531/60,0)</f>
        <v>0</v>
      </c>
      <c r="V2531" s="47">
        <f>IF(AND(H2531="Realizado",OR(L2531="",M2531="")),1,0)</f>
        <v>0</v>
      </c>
    </row>
    <row r="2532">
      <c r="A2532" s="43" t="n"/>
      <c r="B2532" s="44" t="n"/>
      <c r="C2532" s="38" t="n"/>
      <c r="D2532" s="38" t="n"/>
      <c r="E2532" s="37" t="n"/>
      <c r="F2532" s="38" t="n"/>
      <c r="G2532" s="38" t="n"/>
      <c r="H2532" s="38" t="n"/>
      <c r="I2532" s="38" t="n"/>
      <c r="J2532" s="38" t="n"/>
      <c r="K2532" s="37" t="n"/>
      <c r="L2532" s="39" t="n"/>
      <c r="M2532" s="40" t="n"/>
      <c r="N2532" s="30">
        <f>IF(A2532="","",MONTH(A2532))</f>
        <v/>
      </c>
      <c r="O2532" s="30">
        <f>IF(A2532="","",YEAR(A2532))</f>
        <v/>
      </c>
      <c r="P2532" s="30">
        <f>IF(A2532="","",CHOOSE(WEEKDAY(A2532,2),"Segunda","Terça","Quarta","Quinta","Sexta","Sábado","Domingo"))</f>
        <v/>
      </c>
      <c r="Q2532" s="30">
        <f>IF(B2532="","",IF(B2532&lt;TIME(12,0,0),"Manhã",IF(B2532&lt;TIME(18,0,0),"Tarde","Noite")))</f>
        <v/>
      </c>
      <c r="R2532" s="46">
        <f>IF(AND(H2532="Realizado",L2532&lt;&gt;"",A2532&lt;=Config!$B$9),L2532/60,0)</f>
        <v>0</v>
      </c>
      <c r="S2532" s="45">
        <f>IF(G2532="","",IFERROR(INDEX(Config!$K$5:$K$16,MATCH(G2532,Config!$J$5:$J$16,0)),""))</f>
        <v/>
      </c>
      <c r="T2532" s="31">
        <f>IF(OR(G2532="",F2532=""),"",IFERROR(INDEX(Config!$M$5:$R$16,MATCH(G2532,Config!$J$5:$J$16,0),MATCH(F2532,Config!$H$5:$H$10,0)),""))</f>
        <v/>
      </c>
      <c r="U2532" s="47">
        <f>IF(AND(H2532="Realizado",L2532&lt;&gt;""),L2532/60,0)</f>
        <v>0</v>
      </c>
      <c r="V2532" s="47">
        <f>IF(AND(H2532="Realizado",OR(L2532="",M2532="")),1,0)</f>
        <v>0</v>
      </c>
    </row>
    <row r="2533">
      <c r="A2533" s="43" t="n"/>
      <c r="B2533" s="44" t="n"/>
      <c r="C2533" s="38" t="n"/>
      <c r="D2533" s="38" t="n"/>
      <c r="E2533" s="37" t="n"/>
      <c r="F2533" s="38" t="n"/>
      <c r="G2533" s="38" t="n"/>
      <c r="H2533" s="38" t="n"/>
      <c r="I2533" s="38" t="n"/>
      <c r="J2533" s="38" t="n"/>
      <c r="K2533" s="37" t="n"/>
      <c r="L2533" s="39" t="n"/>
      <c r="M2533" s="40" t="n"/>
      <c r="N2533" s="30">
        <f>IF(A2533="","",MONTH(A2533))</f>
        <v/>
      </c>
      <c r="O2533" s="30">
        <f>IF(A2533="","",YEAR(A2533))</f>
        <v/>
      </c>
      <c r="P2533" s="30">
        <f>IF(A2533="","",CHOOSE(WEEKDAY(A2533,2),"Segunda","Terça","Quarta","Quinta","Sexta","Sábado","Domingo"))</f>
        <v/>
      </c>
      <c r="Q2533" s="30">
        <f>IF(B2533="","",IF(B2533&lt;TIME(12,0,0),"Manhã",IF(B2533&lt;TIME(18,0,0),"Tarde","Noite")))</f>
        <v/>
      </c>
      <c r="R2533" s="46">
        <f>IF(AND(H2533="Realizado",L2533&lt;&gt;"",A2533&lt;=Config!$B$9),L2533/60,0)</f>
        <v>0</v>
      </c>
      <c r="S2533" s="45">
        <f>IF(G2533="","",IFERROR(INDEX(Config!$K$5:$K$16,MATCH(G2533,Config!$J$5:$J$16,0)),""))</f>
        <v/>
      </c>
      <c r="T2533" s="31">
        <f>IF(OR(G2533="",F2533=""),"",IFERROR(INDEX(Config!$M$5:$R$16,MATCH(G2533,Config!$J$5:$J$16,0),MATCH(F2533,Config!$H$5:$H$10,0)),""))</f>
        <v/>
      </c>
      <c r="U2533" s="47">
        <f>IF(AND(H2533="Realizado",L2533&lt;&gt;""),L2533/60,0)</f>
        <v>0</v>
      </c>
      <c r="V2533" s="47">
        <f>IF(AND(H2533="Realizado",OR(L2533="",M2533="")),1,0)</f>
        <v>0</v>
      </c>
    </row>
    <row r="2534">
      <c r="A2534" s="43" t="n"/>
      <c r="B2534" s="44" t="n"/>
      <c r="C2534" s="38" t="n"/>
      <c r="D2534" s="38" t="n"/>
      <c r="E2534" s="37" t="n"/>
      <c r="F2534" s="38" t="n"/>
      <c r="G2534" s="38" t="n"/>
      <c r="H2534" s="38" t="n"/>
      <c r="I2534" s="38" t="n"/>
      <c r="J2534" s="38" t="n"/>
      <c r="K2534" s="37" t="n"/>
      <c r="L2534" s="39" t="n"/>
      <c r="M2534" s="40" t="n"/>
      <c r="N2534" s="30">
        <f>IF(A2534="","",MONTH(A2534))</f>
        <v/>
      </c>
      <c r="O2534" s="30">
        <f>IF(A2534="","",YEAR(A2534))</f>
        <v/>
      </c>
      <c r="P2534" s="30">
        <f>IF(A2534="","",CHOOSE(WEEKDAY(A2534,2),"Segunda","Terça","Quarta","Quinta","Sexta","Sábado","Domingo"))</f>
        <v/>
      </c>
      <c r="Q2534" s="30">
        <f>IF(B2534="","",IF(B2534&lt;TIME(12,0,0),"Manhã",IF(B2534&lt;TIME(18,0,0),"Tarde","Noite")))</f>
        <v/>
      </c>
      <c r="R2534" s="46">
        <f>IF(AND(H2534="Realizado",L2534&lt;&gt;"",A2534&lt;=Config!$B$9),L2534/60,0)</f>
        <v>0</v>
      </c>
      <c r="S2534" s="45">
        <f>IF(G2534="","",IFERROR(INDEX(Config!$K$5:$K$16,MATCH(G2534,Config!$J$5:$J$16,0)),""))</f>
        <v/>
      </c>
      <c r="T2534" s="31">
        <f>IF(OR(G2534="",F2534=""),"",IFERROR(INDEX(Config!$M$5:$R$16,MATCH(G2534,Config!$J$5:$J$16,0),MATCH(F2534,Config!$H$5:$H$10,0)),""))</f>
        <v/>
      </c>
      <c r="U2534" s="47">
        <f>IF(AND(H2534="Realizado",L2534&lt;&gt;""),L2534/60,0)</f>
        <v>0</v>
      </c>
      <c r="V2534" s="47">
        <f>IF(AND(H2534="Realizado",OR(L2534="",M2534="")),1,0)</f>
        <v>0</v>
      </c>
    </row>
    <row r="2535">
      <c r="A2535" s="43" t="n"/>
      <c r="B2535" s="44" t="n"/>
      <c r="C2535" s="38" t="n"/>
      <c r="D2535" s="38" t="n"/>
      <c r="E2535" s="37" t="n"/>
      <c r="F2535" s="38" t="n"/>
      <c r="G2535" s="38" t="n"/>
      <c r="H2535" s="38" t="n"/>
      <c r="I2535" s="38" t="n"/>
      <c r="J2535" s="38" t="n"/>
      <c r="K2535" s="37" t="n"/>
      <c r="L2535" s="39" t="n"/>
      <c r="M2535" s="40" t="n"/>
      <c r="N2535" s="30">
        <f>IF(A2535="","",MONTH(A2535))</f>
        <v/>
      </c>
      <c r="O2535" s="30">
        <f>IF(A2535="","",YEAR(A2535))</f>
        <v/>
      </c>
      <c r="P2535" s="30">
        <f>IF(A2535="","",CHOOSE(WEEKDAY(A2535,2),"Segunda","Terça","Quarta","Quinta","Sexta","Sábado","Domingo"))</f>
        <v/>
      </c>
      <c r="Q2535" s="30">
        <f>IF(B2535="","",IF(B2535&lt;TIME(12,0,0),"Manhã",IF(B2535&lt;TIME(18,0,0),"Tarde","Noite")))</f>
        <v/>
      </c>
      <c r="R2535" s="46">
        <f>IF(AND(H2535="Realizado",L2535&lt;&gt;"",A2535&lt;=Config!$B$9),L2535/60,0)</f>
        <v>0</v>
      </c>
      <c r="S2535" s="45">
        <f>IF(G2535="","",IFERROR(INDEX(Config!$K$5:$K$16,MATCH(G2535,Config!$J$5:$J$16,0)),""))</f>
        <v/>
      </c>
      <c r="T2535" s="31">
        <f>IF(OR(G2535="",F2535=""),"",IFERROR(INDEX(Config!$M$5:$R$16,MATCH(G2535,Config!$J$5:$J$16,0),MATCH(F2535,Config!$H$5:$H$10,0)),""))</f>
        <v/>
      </c>
      <c r="U2535" s="47">
        <f>IF(AND(H2535="Realizado",L2535&lt;&gt;""),L2535/60,0)</f>
        <v>0</v>
      </c>
      <c r="V2535" s="47">
        <f>IF(AND(H2535="Realizado",OR(L2535="",M2535="")),1,0)</f>
        <v>0</v>
      </c>
    </row>
    <row r="2536">
      <c r="A2536" s="43" t="n"/>
      <c r="B2536" s="44" t="n"/>
      <c r="C2536" s="38" t="n"/>
      <c r="D2536" s="38" t="n"/>
      <c r="E2536" s="37" t="n"/>
      <c r="F2536" s="38" t="n"/>
      <c r="G2536" s="38" t="n"/>
      <c r="H2536" s="38" t="n"/>
      <c r="I2536" s="38" t="n"/>
      <c r="J2536" s="38" t="n"/>
      <c r="K2536" s="37" t="n"/>
      <c r="L2536" s="39" t="n"/>
      <c r="M2536" s="40" t="n"/>
      <c r="N2536" s="30">
        <f>IF(A2536="","",MONTH(A2536))</f>
        <v/>
      </c>
      <c r="O2536" s="30">
        <f>IF(A2536="","",YEAR(A2536))</f>
        <v/>
      </c>
      <c r="P2536" s="30">
        <f>IF(A2536="","",CHOOSE(WEEKDAY(A2536,2),"Segunda","Terça","Quarta","Quinta","Sexta","Sábado","Domingo"))</f>
        <v/>
      </c>
      <c r="Q2536" s="30">
        <f>IF(B2536="","",IF(B2536&lt;TIME(12,0,0),"Manhã",IF(B2536&lt;TIME(18,0,0),"Tarde","Noite")))</f>
        <v/>
      </c>
      <c r="R2536" s="46">
        <f>IF(AND(H2536="Realizado",L2536&lt;&gt;"",A2536&lt;=Config!$B$9),L2536/60,0)</f>
        <v>0</v>
      </c>
      <c r="S2536" s="45">
        <f>IF(G2536="","",IFERROR(INDEX(Config!$K$5:$K$16,MATCH(G2536,Config!$J$5:$J$16,0)),""))</f>
        <v/>
      </c>
      <c r="T2536" s="31">
        <f>IF(OR(G2536="",F2536=""),"",IFERROR(INDEX(Config!$M$5:$R$16,MATCH(G2536,Config!$J$5:$J$16,0),MATCH(F2536,Config!$H$5:$H$10,0)),""))</f>
        <v/>
      </c>
      <c r="U2536" s="47">
        <f>IF(AND(H2536="Realizado",L2536&lt;&gt;""),L2536/60,0)</f>
        <v>0</v>
      </c>
      <c r="V2536" s="47">
        <f>IF(AND(H2536="Realizado",OR(L2536="",M2536="")),1,0)</f>
        <v>0</v>
      </c>
    </row>
    <row r="2537">
      <c r="A2537" s="43" t="n"/>
      <c r="B2537" s="44" t="n"/>
      <c r="C2537" s="38" t="n"/>
      <c r="D2537" s="38" t="n"/>
      <c r="E2537" s="37" t="n"/>
      <c r="F2537" s="38" t="n"/>
      <c r="G2537" s="38" t="n"/>
      <c r="H2537" s="38" t="n"/>
      <c r="I2537" s="38" t="n"/>
      <c r="J2537" s="38" t="n"/>
      <c r="K2537" s="37" t="n"/>
      <c r="L2537" s="39" t="n"/>
      <c r="M2537" s="40" t="n"/>
      <c r="N2537" s="30">
        <f>IF(A2537="","",MONTH(A2537))</f>
        <v/>
      </c>
      <c r="O2537" s="30">
        <f>IF(A2537="","",YEAR(A2537))</f>
        <v/>
      </c>
      <c r="P2537" s="30">
        <f>IF(A2537="","",CHOOSE(WEEKDAY(A2537,2),"Segunda","Terça","Quarta","Quinta","Sexta","Sábado","Domingo"))</f>
        <v/>
      </c>
      <c r="Q2537" s="30">
        <f>IF(B2537="","",IF(B2537&lt;TIME(12,0,0),"Manhã",IF(B2537&lt;TIME(18,0,0),"Tarde","Noite")))</f>
        <v/>
      </c>
      <c r="R2537" s="46">
        <f>IF(AND(H2537="Realizado",L2537&lt;&gt;"",A2537&lt;=Config!$B$9),L2537/60,0)</f>
        <v>0</v>
      </c>
      <c r="S2537" s="45">
        <f>IF(G2537="","",IFERROR(INDEX(Config!$K$5:$K$16,MATCH(G2537,Config!$J$5:$J$16,0)),""))</f>
        <v/>
      </c>
      <c r="T2537" s="31">
        <f>IF(OR(G2537="",F2537=""),"",IFERROR(INDEX(Config!$M$5:$R$16,MATCH(G2537,Config!$J$5:$J$16,0),MATCH(F2537,Config!$H$5:$H$10,0)),""))</f>
        <v/>
      </c>
      <c r="U2537" s="47">
        <f>IF(AND(H2537="Realizado",L2537&lt;&gt;""),L2537/60,0)</f>
        <v>0</v>
      </c>
      <c r="V2537" s="47">
        <f>IF(AND(H2537="Realizado",OR(L2537="",M2537="")),1,0)</f>
        <v>0</v>
      </c>
    </row>
    <row r="2538">
      <c r="A2538" s="43" t="n"/>
      <c r="B2538" s="44" t="n"/>
      <c r="C2538" s="38" t="n"/>
      <c r="D2538" s="38" t="n"/>
      <c r="E2538" s="37" t="n"/>
      <c r="F2538" s="38" t="n"/>
      <c r="G2538" s="38" t="n"/>
      <c r="H2538" s="38" t="n"/>
      <c r="I2538" s="38" t="n"/>
      <c r="J2538" s="38" t="n"/>
      <c r="K2538" s="37" t="n"/>
      <c r="L2538" s="39" t="n"/>
      <c r="M2538" s="40" t="n"/>
      <c r="N2538" s="30">
        <f>IF(A2538="","",MONTH(A2538))</f>
        <v/>
      </c>
      <c r="O2538" s="30">
        <f>IF(A2538="","",YEAR(A2538))</f>
        <v/>
      </c>
      <c r="P2538" s="30">
        <f>IF(A2538="","",CHOOSE(WEEKDAY(A2538,2),"Segunda","Terça","Quarta","Quinta","Sexta","Sábado","Domingo"))</f>
        <v/>
      </c>
      <c r="Q2538" s="30">
        <f>IF(B2538="","",IF(B2538&lt;TIME(12,0,0),"Manhã",IF(B2538&lt;TIME(18,0,0),"Tarde","Noite")))</f>
        <v/>
      </c>
      <c r="R2538" s="46">
        <f>IF(AND(H2538="Realizado",L2538&lt;&gt;"",A2538&lt;=Config!$B$9),L2538/60,0)</f>
        <v>0</v>
      </c>
      <c r="S2538" s="45">
        <f>IF(G2538="","",IFERROR(INDEX(Config!$K$5:$K$16,MATCH(G2538,Config!$J$5:$J$16,0)),""))</f>
        <v/>
      </c>
      <c r="T2538" s="31">
        <f>IF(OR(G2538="",F2538=""),"",IFERROR(INDEX(Config!$M$5:$R$16,MATCH(G2538,Config!$J$5:$J$16,0),MATCH(F2538,Config!$H$5:$H$10,0)),""))</f>
        <v/>
      </c>
      <c r="U2538" s="47">
        <f>IF(AND(H2538="Realizado",L2538&lt;&gt;""),L2538/60,0)</f>
        <v>0</v>
      </c>
      <c r="V2538" s="47">
        <f>IF(AND(H2538="Realizado",OR(L2538="",M2538="")),1,0)</f>
        <v>0</v>
      </c>
    </row>
    <row r="2539">
      <c r="A2539" s="43" t="n"/>
      <c r="B2539" s="44" t="n"/>
      <c r="C2539" s="38" t="n"/>
      <c r="D2539" s="38" t="n"/>
      <c r="E2539" s="37" t="n"/>
      <c r="F2539" s="38" t="n"/>
      <c r="G2539" s="38" t="n"/>
      <c r="H2539" s="38" t="n"/>
      <c r="I2539" s="38" t="n"/>
      <c r="J2539" s="38" t="n"/>
      <c r="K2539" s="37" t="n"/>
      <c r="L2539" s="39" t="n"/>
      <c r="M2539" s="40" t="n"/>
      <c r="N2539" s="30">
        <f>IF(A2539="","",MONTH(A2539))</f>
        <v/>
      </c>
      <c r="O2539" s="30">
        <f>IF(A2539="","",YEAR(A2539))</f>
        <v/>
      </c>
      <c r="P2539" s="30">
        <f>IF(A2539="","",CHOOSE(WEEKDAY(A2539,2),"Segunda","Terça","Quarta","Quinta","Sexta","Sábado","Domingo"))</f>
        <v/>
      </c>
      <c r="Q2539" s="30">
        <f>IF(B2539="","",IF(B2539&lt;TIME(12,0,0),"Manhã",IF(B2539&lt;TIME(18,0,0),"Tarde","Noite")))</f>
        <v/>
      </c>
      <c r="R2539" s="46">
        <f>IF(AND(H2539="Realizado",L2539&lt;&gt;"",A2539&lt;=Config!$B$9),L2539/60,0)</f>
        <v>0</v>
      </c>
      <c r="S2539" s="45">
        <f>IF(G2539="","",IFERROR(INDEX(Config!$K$5:$K$16,MATCH(G2539,Config!$J$5:$J$16,0)),""))</f>
        <v/>
      </c>
      <c r="T2539" s="31">
        <f>IF(OR(G2539="",F2539=""),"",IFERROR(INDEX(Config!$M$5:$R$16,MATCH(G2539,Config!$J$5:$J$16,0),MATCH(F2539,Config!$H$5:$H$10,0)),""))</f>
        <v/>
      </c>
      <c r="U2539" s="47">
        <f>IF(AND(H2539="Realizado",L2539&lt;&gt;""),L2539/60,0)</f>
        <v>0</v>
      </c>
      <c r="V2539" s="47">
        <f>IF(AND(H2539="Realizado",OR(L2539="",M2539="")),1,0)</f>
        <v>0</v>
      </c>
    </row>
    <row r="2540">
      <c r="A2540" s="43" t="n"/>
      <c r="B2540" s="44" t="n"/>
      <c r="C2540" s="38" t="n"/>
      <c r="D2540" s="38" t="n"/>
      <c r="E2540" s="37" t="n"/>
      <c r="F2540" s="38" t="n"/>
      <c r="G2540" s="38" t="n"/>
      <c r="H2540" s="38" t="n"/>
      <c r="I2540" s="38" t="n"/>
      <c r="J2540" s="38" t="n"/>
      <c r="K2540" s="37" t="n"/>
      <c r="L2540" s="39" t="n"/>
      <c r="M2540" s="40" t="n"/>
      <c r="N2540" s="30">
        <f>IF(A2540="","",MONTH(A2540))</f>
        <v/>
      </c>
      <c r="O2540" s="30">
        <f>IF(A2540="","",YEAR(A2540))</f>
        <v/>
      </c>
      <c r="P2540" s="30">
        <f>IF(A2540="","",CHOOSE(WEEKDAY(A2540,2),"Segunda","Terça","Quarta","Quinta","Sexta","Sábado","Domingo"))</f>
        <v/>
      </c>
      <c r="Q2540" s="30">
        <f>IF(B2540="","",IF(B2540&lt;TIME(12,0,0),"Manhã",IF(B2540&lt;TIME(18,0,0),"Tarde","Noite")))</f>
        <v/>
      </c>
      <c r="R2540" s="46">
        <f>IF(AND(H2540="Realizado",L2540&lt;&gt;"",A2540&lt;=Config!$B$9),L2540/60,0)</f>
        <v>0</v>
      </c>
      <c r="S2540" s="45">
        <f>IF(G2540="","",IFERROR(INDEX(Config!$K$5:$K$16,MATCH(G2540,Config!$J$5:$J$16,0)),""))</f>
        <v/>
      </c>
      <c r="T2540" s="31">
        <f>IF(OR(G2540="",F2540=""),"",IFERROR(INDEX(Config!$M$5:$R$16,MATCH(G2540,Config!$J$5:$J$16,0),MATCH(F2540,Config!$H$5:$H$10,0)),""))</f>
        <v/>
      </c>
      <c r="U2540" s="47">
        <f>IF(AND(H2540="Realizado",L2540&lt;&gt;""),L2540/60,0)</f>
        <v>0</v>
      </c>
      <c r="V2540" s="47">
        <f>IF(AND(H2540="Realizado",OR(L2540="",M2540="")),1,0)</f>
        <v>0</v>
      </c>
    </row>
    <row r="2541">
      <c r="A2541" s="43" t="n"/>
      <c r="B2541" s="44" t="n"/>
      <c r="C2541" s="38" t="n"/>
      <c r="D2541" s="38" t="n"/>
      <c r="E2541" s="37" t="n"/>
      <c r="F2541" s="38" t="n"/>
      <c r="G2541" s="38" t="n"/>
      <c r="H2541" s="38" t="n"/>
      <c r="I2541" s="38" t="n"/>
      <c r="J2541" s="38" t="n"/>
      <c r="K2541" s="37" t="n"/>
      <c r="L2541" s="39" t="n"/>
      <c r="M2541" s="40" t="n"/>
      <c r="N2541" s="30">
        <f>IF(A2541="","",MONTH(A2541))</f>
        <v/>
      </c>
      <c r="O2541" s="30">
        <f>IF(A2541="","",YEAR(A2541))</f>
        <v/>
      </c>
      <c r="P2541" s="30">
        <f>IF(A2541="","",CHOOSE(WEEKDAY(A2541,2),"Segunda","Terça","Quarta","Quinta","Sexta","Sábado","Domingo"))</f>
        <v/>
      </c>
      <c r="Q2541" s="30">
        <f>IF(B2541="","",IF(B2541&lt;TIME(12,0,0),"Manhã",IF(B2541&lt;TIME(18,0,0),"Tarde","Noite")))</f>
        <v/>
      </c>
      <c r="R2541" s="46">
        <f>IF(AND(H2541="Realizado",L2541&lt;&gt;"",A2541&lt;=Config!$B$9),L2541/60,0)</f>
        <v>0</v>
      </c>
      <c r="S2541" s="45">
        <f>IF(G2541="","",IFERROR(INDEX(Config!$K$5:$K$16,MATCH(G2541,Config!$J$5:$J$16,0)),""))</f>
        <v/>
      </c>
      <c r="T2541" s="31">
        <f>IF(OR(G2541="",F2541=""),"",IFERROR(INDEX(Config!$M$5:$R$16,MATCH(G2541,Config!$J$5:$J$16,0),MATCH(F2541,Config!$H$5:$H$10,0)),""))</f>
        <v/>
      </c>
      <c r="U2541" s="47">
        <f>IF(AND(H2541="Realizado",L2541&lt;&gt;""),L2541/60,0)</f>
        <v>0</v>
      </c>
      <c r="V2541" s="47">
        <f>IF(AND(H2541="Realizado",OR(L2541="",M2541="")),1,0)</f>
        <v>0</v>
      </c>
    </row>
    <row r="2542">
      <c r="A2542" s="43" t="n"/>
      <c r="B2542" s="44" t="n"/>
      <c r="C2542" s="38" t="n"/>
      <c r="D2542" s="38" t="n"/>
      <c r="E2542" s="37" t="n"/>
      <c r="F2542" s="38" t="n"/>
      <c r="G2542" s="38" t="n"/>
      <c r="H2542" s="38" t="n"/>
      <c r="I2542" s="38" t="n"/>
      <c r="J2542" s="38" t="n"/>
      <c r="K2542" s="37" t="n"/>
      <c r="L2542" s="39" t="n"/>
      <c r="M2542" s="40" t="n"/>
      <c r="N2542" s="30">
        <f>IF(A2542="","",MONTH(A2542))</f>
        <v/>
      </c>
      <c r="O2542" s="30">
        <f>IF(A2542="","",YEAR(A2542))</f>
        <v/>
      </c>
      <c r="P2542" s="30">
        <f>IF(A2542="","",CHOOSE(WEEKDAY(A2542,2),"Segunda","Terça","Quarta","Quinta","Sexta","Sábado","Domingo"))</f>
        <v/>
      </c>
      <c r="Q2542" s="30">
        <f>IF(B2542="","",IF(B2542&lt;TIME(12,0,0),"Manhã",IF(B2542&lt;TIME(18,0,0),"Tarde","Noite")))</f>
        <v/>
      </c>
      <c r="R2542" s="46">
        <f>IF(AND(H2542="Realizado",L2542&lt;&gt;"",A2542&lt;=Config!$B$9),L2542/60,0)</f>
        <v>0</v>
      </c>
      <c r="S2542" s="45">
        <f>IF(G2542="","",IFERROR(INDEX(Config!$K$5:$K$16,MATCH(G2542,Config!$J$5:$J$16,0)),""))</f>
        <v/>
      </c>
      <c r="T2542" s="31">
        <f>IF(OR(G2542="",F2542=""),"",IFERROR(INDEX(Config!$M$5:$R$16,MATCH(G2542,Config!$J$5:$J$16,0),MATCH(F2542,Config!$H$5:$H$10,0)),""))</f>
        <v/>
      </c>
      <c r="U2542" s="47">
        <f>IF(AND(H2542="Realizado",L2542&lt;&gt;""),L2542/60,0)</f>
        <v>0</v>
      </c>
      <c r="V2542" s="47">
        <f>IF(AND(H2542="Realizado",OR(L2542="",M2542="")),1,0)</f>
        <v>0</v>
      </c>
    </row>
    <row r="2543">
      <c r="A2543" s="43" t="n"/>
      <c r="B2543" s="44" t="n"/>
      <c r="C2543" s="38" t="n"/>
      <c r="D2543" s="38" t="n"/>
      <c r="E2543" s="37" t="n"/>
      <c r="F2543" s="38" t="n"/>
      <c r="G2543" s="38" t="n"/>
      <c r="H2543" s="38" t="n"/>
      <c r="I2543" s="38" t="n"/>
      <c r="J2543" s="38" t="n"/>
      <c r="K2543" s="37" t="n"/>
      <c r="L2543" s="39" t="n"/>
      <c r="M2543" s="40" t="n"/>
      <c r="N2543" s="30">
        <f>IF(A2543="","",MONTH(A2543))</f>
        <v/>
      </c>
      <c r="O2543" s="30">
        <f>IF(A2543="","",YEAR(A2543))</f>
        <v/>
      </c>
      <c r="P2543" s="30">
        <f>IF(A2543="","",CHOOSE(WEEKDAY(A2543,2),"Segunda","Terça","Quarta","Quinta","Sexta","Sábado","Domingo"))</f>
        <v/>
      </c>
      <c r="Q2543" s="30">
        <f>IF(B2543="","",IF(B2543&lt;TIME(12,0,0),"Manhã",IF(B2543&lt;TIME(18,0,0),"Tarde","Noite")))</f>
        <v/>
      </c>
      <c r="R2543" s="46">
        <f>IF(AND(H2543="Realizado",L2543&lt;&gt;"",A2543&lt;=Config!$B$9),L2543/60,0)</f>
        <v>0</v>
      </c>
      <c r="S2543" s="45">
        <f>IF(G2543="","",IFERROR(INDEX(Config!$K$5:$K$16,MATCH(G2543,Config!$J$5:$J$16,0)),""))</f>
        <v/>
      </c>
      <c r="T2543" s="31">
        <f>IF(OR(G2543="",F2543=""),"",IFERROR(INDEX(Config!$M$5:$R$16,MATCH(G2543,Config!$J$5:$J$16,0),MATCH(F2543,Config!$H$5:$H$10,0)),""))</f>
        <v/>
      </c>
      <c r="U2543" s="47">
        <f>IF(AND(H2543="Realizado",L2543&lt;&gt;""),L2543/60,0)</f>
        <v>0</v>
      </c>
      <c r="V2543" s="47">
        <f>IF(AND(H2543="Realizado",OR(L2543="",M2543="")),1,0)</f>
        <v>0</v>
      </c>
    </row>
    <row r="2544">
      <c r="A2544" s="43" t="n"/>
      <c r="B2544" s="44" t="n"/>
      <c r="C2544" s="38" t="n"/>
      <c r="D2544" s="38" t="n"/>
      <c r="E2544" s="37" t="n"/>
      <c r="F2544" s="38" t="n"/>
      <c r="G2544" s="38" t="n"/>
      <c r="H2544" s="38" t="n"/>
      <c r="I2544" s="38" t="n"/>
      <c r="J2544" s="38" t="n"/>
      <c r="K2544" s="37" t="n"/>
      <c r="L2544" s="39" t="n"/>
      <c r="M2544" s="40" t="n"/>
      <c r="N2544" s="30">
        <f>IF(A2544="","",MONTH(A2544))</f>
        <v/>
      </c>
      <c r="O2544" s="30">
        <f>IF(A2544="","",YEAR(A2544))</f>
        <v/>
      </c>
      <c r="P2544" s="30">
        <f>IF(A2544="","",CHOOSE(WEEKDAY(A2544,2),"Segunda","Terça","Quarta","Quinta","Sexta","Sábado","Domingo"))</f>
        <v/>
      </c>
      <c r="Q2544" s="30">
        <f>IF(B2544="","",IF(B2544&lt;TIME(12,0,0),"Manhã",IF(B2544&lt;TIME(18,0,0),"Tarde","Noite")))</f>
        <v/>
      </c>
      <c r="R2544" s="46">
        <f>IF(AND(H2544="Realizado",L2544&lt;&gt;"",A2544&lt;=Config!$B$9),L2544/60,0)</f>
        <v>0</v>
      </c>
      <c r="S2544" s="45">
        <f>IF(G2544="","",IFERROR(INDEX(Config!$K$5:$K$16,MATCH(G2544,Config!$J$5:$J$16,0)),""))</f>
        <v/>
      </c>
      <c r="T2544" s="31">
        <f>IF(OR(G2544="",F2544=""),"",IFERROR(INDEX(Config!$M$5:$R$16,MATCH(G2544,Config!$J$5:$J$16,0),MATCH(F2544,Config!$H$5:$H$10,0)),""))</f>
        <v/>
      </c>
      <c r="U2544" s="47">
        <f>IF(AND(H2544="Realizado",L2544&lt;&gt;""),L2544/60,0)</f>
        <v>0</v>
      </c>
      <c r="V2544" s="47">
        <f>IF(AND(H2544="Realizado",OR(L2544="",M2544="")),1,0)</f>
        <v>0</v>
      </c>
    </row>
    <row r="2545">
      <c r="A2545" s="43" t="n"/>
      <c r="B2545" s="44" t="n"/>
      <c r="C2545" s="38" t="n"/>
      <c r="D2545" s="38" t="n"/>
      <c r="E2545" s="37" t="n"/>
      <c r="F2545" s="38" t="n"/>
      <c r="G2545" s="38" t="n"/>
      <c r="H2545" s="38" t="n"/>
      <c r="I2545" s="38" t="n"/>
      <c r="J2545" s="38" t="n"/>
      <c r="K2545" s="37" t="n"/>
      <c r="L2545" s="39" t="n"/>
      <c r="M2545" s="40" t="n"/>
      <c r="N2545" s="30">
        <f>IF(A2545="","",MONTH(A2545))</f>
        <v/>
      </c>
      <c r="O2545" s="30">
        <f>IF(A2545="","",YEAR(A2545))</f>
        <v/>
      </c>
      <c r="P2545" s="30">
        <f>IF(A2545="","",CHOOSE(WEEKDAY(A2545,2),"Segunda","Terça","Quarta","Quinta","Sexta","Sábado","Domingo"))</f>
        <v/>
      </c>
      <c r="Q2545" s="30">
        <f>IF(B2545="","",IF(B2545&lt;TIME(12,0,0),"Manhã",IF(B2545&lt;TIME(18,0,0),"Tarde","Noite")))</f>
        <v/>
      </c>
      <c r="R2545" s="46">
        <f>IF(AND(H2545="Realizado",L2545&lt;&gt;"",A2545&lt;=Config!$B$9),L2545/60,0)</f>
        <v>0</v>
      </c>
      <c r="S2545" s="45">
        <f>IF(G2545="","",IFERROR(INDEX(Config!$K$5:$K$16,MATCH(G2545,Config!$J$5:$J$16,0)),""))</f>
        <v/>
      </c>
      <c r="T2545" s="31">
        <f>IF(OR(G2545="",F2545=""),"",IFERROR(INDEX(Config!$M$5:$R$16,MATCH(G2545,Config!$J$5:$J$16,0),MATCH(F2545,Config!$H$5:$H$10,0)),""))</f>
        <v/>
      </c>
      <c r="U2545" s="47">
        <f>IF(AND(H2545="Realizado",L2545&lt;&gt;""),L2545/60,0)</f>
        <v>0</v>
      </c>
      <c r="V2545" s="47">
        <f>IF(AND(H2545="Realizado",OR(L2545="",M2545="")),1,0)</f>
        <v>0</v>
      </c>
    </row>
    <row r="2546">
      <c r="A2546" s="43" t="n"/>
      <c r="B2546" s="44" t="n"/>
      <c r="C2546" s="38" t="n"/>
      <c r="D2546" s="38" t="n"/>
      <c r="E2546" s="37" t="n"/>
      <c r="F2546" s="38" t="n"/>
      <c r="G2546" s="38" t="n"/>
      <c r="H2546" s="38" t="n"/>
      <c r="I2546" s="38" t="n"/>
      <c r="J2546" s="38" t="n"/>
      <c r="K2546" s="37" t="n"/>
      <c r="L2546" s="39" t="n"/>
      <c r="M2546" s="40" t="n"/>
      <c r="N2546" s="30">
        <f>IF(A2546="","",MONTH(A2546))</f>
        <v/>
      </c>
      <c r="O2546" s="30">
        <f>IF(A2546="","",YEAR(A2546))</f>
        <v/>
      </c>
      <c r="P2546" s="30">
        <f>IF(A2546="","",CHOOSE(WEEKDAY(A2546,2),"Segunda","Terça","Quarta","Quinta","Sexta","Sábado","Domingo"))</f>
        <v/>
      </c>
      <c r="Q2546" s="30">
        <f>IF(B2546="","",IF(B2546&lt;TIME(12,0,0),"Manhã",IF(B2546&lt;TIME(18,0,0),"Tarde","Noite")))</f>
        <v/>
      </c>
      <c r="R2546" s="46">
        <f>IF(AND(H2546="Realizado",L2546&lt;&gt;"",A2546&lt;=Config!$B$9),L2546/60,0)</f>
        <v>0</v>
      </c>
      <c r="S2546" s="45">
        <f>IF(G2546="","",IFERROR(INDEX(Config!$K$5:$K$16,MATCH(G2546,Config!$J$5:$J$16,0)),""))</f>
        <v/>
      </c>
      <c r="T2546" s="31">
        <f>IF(OR(G2546="",F2546=""),"",IFERROR(INDEX(Config!$M$5:$R$16,MATCH(G2546,Config!$J$5:$J$16,0),MATCH(F2546,Config!$H$5:$H$10,0)),""))</f>
        <v/>
      </c>
      <c r="U2546" s="47">
        <f>IF(AND(H2546="Realizado",L2546&lt;&gt;""),L2546/60,0)</f>
        <v>0</v>
      </c>
      <c r="V2546" s="47">
        <f>IF(AND(H2546="Realizado",OR(L2546="",M2546="")),1,0)</f>
        <v>0</v>
      </c>
    </row>
    <row r="2547">
      <c r="A2547" s="43" t="n"/>
      <c r="B2547" s="44" t="n"/>
      <c r="C2547" s="38" t="n"/>
      <c r="D2547" s="38" t="n"/>
      <c r="E2547" s="37" t="n"/>
      <c r="F2547" s="38" t="n"/>
      <c r="G2547" s="38" t="n"/>
      <c r="H2547" s="38" t="n"/>
      <c r="I2547" s="38" t="n"/>
      <c r="J2547" s="38" t="n"/>
      <c r="K2547" s="37" t="n"/>
      <c r="L2547" s="39" t="n"/>
      <c r="M2547" s="40" t="n"/>
      <c r="N2547" s="30">
        <f>IF(A2547="","",MONTH(A2547))</f>
        <v/>
      </c>
      <c r="O2547" s="30">
        <f>IF(A2547="","",YEAR(A2547))</f>
        <v/>
      </c>
      <c r="P2547" s="30">
        <f>IF(A2547="","",CHOOSE(WEEKDAY(A2547,2),"Segunda","Terça","Quarta","Quinta","Sexta","Sábado","Domingo"))</f>
        <v/>
      </c>
      <c r="Q2547" s="30">
        <f>IF(B2547="","",IF(B2547&lt;TIME(12,0,0),"Manhã",IF(B2547&lt;TIME(18,0,0),"Tarde","Noite")))</f>
        <v/>
      </c>
      <c r="R2547" s="46">
        <f>IF(AND(H2547="Realizado",L2547&lt;&gt;"",A2547&lt;=Config!$B$9),L2547/60,0)</f>
        <v>0</v>
      </c>
      <c r="S2547" s="45">
        <f>IF(G2547="","",IFERROR(INDEX(Config!$K$5:$K$16,MATCH(G2547,Config!$J$5:$J$16,0)),""))</f>
        <v/>
      </c>
      <c r="T2547" s="31">
        <f>IF(OR(G2547="",F2547=""),"",IFERROR(INDEX(Config!$M$5:$R$16,MATCH(G2547,Config!$J$5:$J$16,0),MATCH(F2547,Config!$H$5:$H$10,0)),""))</f>
        <v/>
      </c>
      <c r="U2547" s="47">
        <f>IF(AND(H2547="Realizado",L2547&lt;&gt;""),L2547/60,0)</f>
        <v>0</v>
      </c>
      <c r="V2547" s="47">
        <f>IF(AND(H2547="Realizado",OR(L2547="",M2547="")),1,0)</f>
        <v>0</v>
      </c>
    </row>
    <row r="2548">
      <c r="A2548" s="43" t="n"/>
      <c r="B2548" s="44" t="n"/>
      <c r="C2548" s="38" t="n"/>
      <c r="D2548" s="38" t="n"/>
      <c r="E2548" s="37" t="n"/>
      <c r="F2548" s="38" t="n"/>
      <c r="G2548" s="38" t="n"/>
      <c r="H2548" s="38" t="n"/>
      <c r="I2548" s="38" t="n"/>
      <c r="J2548" s="38" t="n"/>
      <c r="K2548" s="37" t="n"/>
      <c r="L2548" s="39" t="n"/>
      <c r="M2548" s="40" t="n"/>
      <c r="N2548" s="30">
        <f>IF(A2548="","",MONTH(A2548))</f>
        <v/>
      </c>
      <c r="O2548" s="30">
        <f>IF(A2548="","",YEAR(A2548))</f>
        <v/>
      </c>
      <c r="P2548" s="30">
        <f>IF(A2548="","",CHOOSE(WEEKDAY(A2548,2),"Segunda","Terça","Quarta","Quinta","Sexta","Sábado","Domingo"))</f>
        <v/>
      </c>
      <c r="Q2548" s="30">
        <f>IF(B2548="","",IF(B2548&lt;TIME(12,0,0),"Manhã",IF(B2548&lt;TIME(18,0,0),"Tarde","Noite")))</f>
        <v/>
      </c>
      <c r="R2548" s="46">
        <f>IF(AND(H2548="Realizado",L2548&lt;&gt;"",A2548&lt;=Config!$B$9),L2548/60,0)</f>
        <v>0</v>
      </c>
      <c r="S2548" s="45">
        <f>IF(G2548="","",IFERROR(INDEX(Config!$K$5:$K$16,MATCH(G2548,Config!$J$5:$J$16,0)),""))</f>
        <v/>
      </c>
      <c r="T2548" s="31">
        <f>IF(OR(G2548="",F2548=""),"",IFERROR(INDEX(Config!$M$5:$R$16,MATCH(G2548,Config!$J$5:$J$16,0),MATCH(F2548,Config!$H$5:$H$10,0)),""))</f>
        <v/>
      </c>
      <c r="U2548" s="47">
        <f>IF(AND(H2548="Realizado",L2548&lt;&gt;""),L2548/60,0)</f>
        <v>0</v>
      </c>
      <c r="V2548" s="47">
        <f>IF(AND(H2548="Realizado",OR(L2548="",M2548="")),1,0)</f>
        <v>0</v>
      </c>
    </row>
    <row r="2549">
      <c r="A2549" s="43" t="n"/>
      <c r="B2549" s="44" t="n"/>
      <c r="C2549" s="38" t="n"/>
      <c r="D2549" s="38" t="n"/>
      <c r="E2549" s="37" t="n"/>
      <c r="F2549" s="38" t="n"/>
      <c r="G2549" s="38" t="n"/>
      <c r="H2549" s="38" t="n"/>
      <c r="I2549" s="38" t="n"/>
      <c r="J2549" s="38" t="n"/>
      <c r="K2549" s="37" t="n"/>
      <c r="L2549" s="39" t="n"/>
      <c r="M2549" s="40" t="n"/>
      <c r="N2549" s="30">
        <f>IF(A2549="","",MONTH(A2549))</f>
        <v/>
      </c>
      <c r="O2549" s="30">
        <f>IF(A2549="","",YEAR(A2549))</f>
        <v/>
      </c>
      <c r="P2549" s="30">
        <f>IF(A2549="","",CHOOSE(WEEKDAY(A2549,2),"Segunda","Terça","Quarta","Quinta","Sexta","Sábado","Domingo"))</f>
        <v/>
      </c>
      <c r="Q2549" s="30">
        <f>IF(B2549="","",IF(B2549&lt;TIME(12,0,0),"Manhã",IF(B2549&lt;TIME(18,0,0),"Tarde","Noite")))</f>
        <v/>
      </c>
      <c r="R2549" s="46">
        <f>IF(AND(H2549="Realizado",L2549&lt;&gt;"",A2549&lt;=Config!$B$9),L2549/60,0)</f>
        <v>0</v>
      </c>
      <c r="S2549" s="45">
        <f>IF(G2549="","",IFERROR(INDEX(Config!$K$5:$K$16,MATCH(G2549,Config!$J$5:$J$16,0)),""))</f>
        <v/>
      </c>
      <c r="T2549" s="31">
        <f>IF(OR(G2549="",F2549=""),"",IFERROR(INDEX(Config!$M$5:$R$16,MATCH(G2549,Config!$J$5:$J$16,0),MATCH(F2549,Config!$H$5:$H$10,0)),""))</f>
        <v/>
      </c>
      <c r="U2549" s="47">
        <f>IF(AND(H2549="Realizado",L2549&lt;&gt;""),L2549/60,0)</f>
        <v>0</v>
      </c>
      <c r="V2549" s="47">
        <f>IF(AND(H2549="Realizado",OR(L2549="",M2549="")),1,0)</f>
        <v>0</v>
      </c>
    </row>
    <row r="2550">
      <c r="A2550" s="43" t="n"/>
      <c r="B2550" s="44" t="n"/>
      <c r="C2550" s="38" t="n"/>
      <c r="D2550" s="38" t="n"/>
      <c r="E2550" s="37" t="n"/>
      <c r="F2550" s="38" t="n"/>
      <c r="G2550" s="38" t="n"/>
      <c r="H2550" s="38" t="n"/>
      <c r="I2550" s="38" t="n"/>
      <c r="J2550" s="38" t="n"/>
      <c r="K2550" s="37" t="n"/>
      <c r="L2550" s="39" t="n"/>
      <c r="M2550" s="40" t="n"/>
      <c r="N2550" s="30">
        <f>IF(A2550="","",MONTH(A2550))</f>
        <v/>
      </c>
      <c r="O2550" s="30">
        <f>IF(A2550="","",YEAR(A2550))</f>
        <v/>
      </c>
      <c r="P2550" s="30">
        <f>IF(A2550="","",CHOOSE(WEEKDAY(A2550,2),"Segunda","Terça","Quarta","Quinta","Sexta","Sábado","Domingo"))</f>
        <v/>
      </c>
      <c r="Q2550" s="30">
        <f>IF(B2550="","",IF(B2550&lt;TIME(12,0,0),"Manhã",IF(B2550&lt;TIME(18,0,0),"Tarde","Noite")))</f>
        <v/>
      </c>
      <c r="R2550" s="46">
        <f>IF(AND(H2550="Realizado",L2550&lt;&gt;"",A2550&lt;=Config!$B$9),L2550/60,0)</f>
        <v>0</v>
      </c>
      <c r="S2550" s="45">
        <f>IF(G2550="","",IFERROR(INDEX(Config!$K$5:$K$16,MATCH(G2550,Config!$J$5:$J$16,0)),""))</f>
        <v/>
      </c>
      <c r="T2550" s="31">
        <f>IF(OR(G2550="",F2550=""),"",IFERROR(INDEX(Config!$M$5:$R$16,MATCH(G2550,Config!$J$5:$J$16,0),MATCH(F2550,Config!$H$5:$H$10,0)),""))</f>
        <v/>
      </c>
      <c r="U2550" s="47">
        <f>IF(AND(H2550="Realizado",L2550&lt;&gt;""),L2550/60,0)</f>
        <v>0</v>
      </c>
      <c r="V2550" s="47">
        <f>IF(AND(H2550="Realizado",OR(L2550="",M2550="")),1,0)</f>
        <v>0</v>
      </c>
    </row>
    <row r="2551">
      <c r="A2551" s="43" t="n"/>
      <c r="B2551" s="44" t="n"/>
      <c r="C2551" s="38" t="n"/>
      <c r="D2551" s="38" t="n"/>
      <c r="E2551" s="37" t="n"/>
      <c r="F2551" s="38" t="n"/>
      <c r="G2551" s="38" t="n"/>
      <c r="H2551" s="38" t="n"/>
      <c r="I2551" s="38" t="n"/>
      <c r="J2551" s="38" t="n"/>
      <c r="K2551" s="37" t="n"/>
      <c r="L2551" s="39" t="n"/>
      <c r="M2551" s="40" t="n"/>
      <c r="N2551" s="30">
        <f>IF(A2551="","",MONTH(A2551))</f>
        <v/>
      </c>
      <c r="O2551" s="30">
        <f>IF(A2551="","",YEAR(A2551))</f>
        <v/>
      </c>
      <c r="P2551" s="30">
        <f>IF(A2551="","",CHOOSE(WEEKDAY(A2551,2),"Segunda","Terça","Quarta","Quinta","Sexta","Sábado","Domingo"))</f>
        <v/>
      </c>
      <c r="Q2551" s="30">
        <f>IF(B2551="","",IF(B2551&lt;TIME(12,0,0),"Manhã",IF(B2551&lt;TIME(18,0,0),"Tarde","Noite")))</f>
        <v/>
      </c>
      <c r="R2551" s="46">
        <f>IF(AND(H2551="Realizado",L2551&lt;&gt;"",A2551&lt;=Config!$B$9),L2551/60,0)</f>
        <v>0</v>
      </c>
      <c r="S2551" s="45">
        <f>IF(G2551="","",IFERROR(INDEX(Config!$K$5:$K$16,MATCH(G2551,Config!$J$5:$J$16,0)),""))</f>
        <v/>
      </c>
      <c r="T2551" s="31">
        <f>IF(OR(G2551="",F2551=""),"",IFERROR(INDEX(Config!$M$5:$R$16,MATCH(G2551,Config!$J$5:$J$16,0),MATCH(F2551,Config!$H$5:$H$10,0)),""))</f>
        <v/>
      </c>
      <c r="U2551" s="47">
        <f>IF(AND(H2551="Realizado",L2551&lt;&gt;""),L2551/60,0)</f>
        <v>0</v>
      </c>
      <c r="V2551" s="47">
        <f>IF(AND(H2551="Realizado",OR(L2551="",M2551="")),1,0)</f>
        <v>0</v>
      </c>
    </row>
    <row r="2552">
      <c r="A2552" s="43" t="n"/>
      <c r="B2552" s="44" t="n"/>
      <c r="C2552" s="38" t="n"/>
      <c r="D2552" s="38" t="n"/>
      <c r="E2552" s="37" t="n"/>
      <c r="F2552" s="38" t="n"/>
      <c r="G2552" s="38" t="n"/>
      <c r="H2552" s="38" t="n"/>
      <c r="I2552" s="38" t="n"/>
      <c r="J2552" s="38" t="n"/>
      <c r="K2552" s="37" t="n"/>
      <c r="L2552" s="39" t="n"/>
      <c r="M2552" s="40" t="n"/>
      <c r="N2552" s="30">
        <f>IF(A2552="","",MONTH(A2552))</f>
        <v/>
      </c>
      <c r="O2552" s="30">
        <f>IF(A2552="","",YEAR(A2552))</f>
        <v/>
      </c>
      <c r="P2552" s="30">
        <f>IF(A2552="","",CHOOSE(WEEKDAY(A2552,2),"Segunda","Terça","Quarta","Quinta","Sexta","Sábado","Domingo"))</f>
        <v/>
      </c>
      <c r="Q2552" s="30">
        <f>IF(B2552="","",IF(B2552&lt;TIME(12,0,0),"Manhã",IF(B2552&lt;TIME(18,0,0),"Tarde","Noite")))</f>
        <v/>
      </c>
      <c r="R2552" s="46">
        <f>IF(AND(H2552="Realizado",L2552&lt;&gt;"",A2552&lt;=Config!$B$9),L2552/60,0)</f>
        <v>0</v>
      </c>
      <c r="S2552" s="45">
        <f>IF(G2552="","",IFERROR(INDEX(Config!$K$5:$K$16,MATCH(G2552,Config!$J$5:$J$16,0)),""))</f>
        <v/>
      </c>
      <c r="T2552" s="31">
        <f>IF(OR(G2552="",F2552=""),"",IFERROR(INDEX(Config!$M$5:$R$16,MATCH(G2552,Config!$J$5:$J$16,0),MATCH(F2552,Config!$H$5:$H$10,0)),""))</f>
        <v/>
      </c>
      <c r="U2552" s="47">
        <f>IF(AND(H2552="Realizado",L2552&lt;&gt;""),L2552/60,0)</f>
        <v>0</v>
      </c>
      <c r="V2552" s="47">
        <f>IF(AND(H2552="Realizado",OR(L2552="",M2552="")),1,0)</f>
        <v>0</v>
      </c>
    </row>
    <row r="2553">
      <c r="A2553" s="43" t="n"/>
      <c r="B2553" s="44" t="n"/>
      <c r="C2553" s="38" t="n"/>
      <c r="D2553" s="38" t="n"/>
      <c r="E2553" s="37" t="n"/>
      <c r="F2553" s="38" t="n"/>
      <c r="G2553" s="38" t="n"/>
      <c r="H2553" s="38" t="n"/>
      <c r="I2553" s="38" t="n"/>
      <c r="J2553" s="38" t="n"/>
      <c r="K2553" s="37" t="n"/>
      <c r="L2553" s="39" t="n"/>
      <c r="M2553" s="40" t="n"/>
      <c r="N2553" s="30">
        <f>IF(A2553="","",MONTH(A2553))</f>
        <v/>
      </c>
      <c r="O2553" s="30">
        <f>IF(A2553="","",YEAR(A2553))</f>
        <v/>
      </c>
      <c r="P2553" s="30">
        <f>IF(A2553="","",CHOOSE(WEEKDAY(A2553,2),"Segunda","Terça","Quarta","Quinta","Sexta","Sábado","Domingo"))</f>
        <v/>
      </c>
      <c r="Q2553" s="30">
        <f>IF(B2553="","",IF(B2553&lt;TIME(12,0,0),"Manhã",IF(B2553&lt;TIME(18,0,0),"Tarde","Noite")))</f>
        <v/>
      </c>
      <c r="R2553" s="46">
        <f>IF(AND(H2553="Realizado",L2553&lt;&gt;"",A2553&lt;=Config!$B$9),L2553/60,0)</f>
        <v>0</v>
      </c>
      <c r="S2553" s="45">
        <f>IF(G2553="","",IFERROR(INDEX(Config!$K$5:$K$16,MATCH(G2553,Config!$J$5:$J$16,0)),""))</f>
        <v/>
      </c>
      <c r="T2553" s="31">
        <f>IF(OR(G2553="",F2553=""),"",IFERROR(INDEX(Config!$M$5:$R$16,MATCH(G2553,Config!$J$5:$J$16,0),MATCH(F2553,Config!$H$5:$H$10,0)),""))</f>
        <v/>
      </c>
      <c r="U2553" s="47">
        <f>IF(AND(H2553="Realizado",L2553&lt;&gt;""),L2553/60,0)</f>
        <v>0</v>
      </c>
      <c r="V2553" s="47">
        <f>IF(AND(H2553="Realizado",OR(L2553="",M2553="")),1,0)</f>
        <v>0</v>
      </c>
    </row>
    <row r="2554">
      <c r="A2554" s="43" t="n"/>
      <c r="B2554" s="44" t="n"/>
      <c r="C2554" s="38" t="n"/>
      <c r="D2554" s="38" t="n"/>
      <c r="E2554" s="37" t="n"/>
      <c r="F2554" s="38" t="n"/>
      <c r="G2554" s="38" t="n"/>
      <c r="H2554" s="38" t="n"/>
      <c r="I2554" s="38" t="n"/>
      <c r="J2554" s="38" t="n"/>
      <c r="K2554" s="37" t="n"/>
      <c r="L2554" s="39" t="n"/>
      <c r="M2554" s="40" t="n"/>
      <c r="N2554" s="30">
        <f>IF(A2554="","",MONTH(A2554))</f>
        <v/>
      </c>
      <c r="O2554" s="30">
        <f>IF(A2554="","",YEAR(A2554))</f>
        <v/>
      </c>
      <c r="P2554" s="30">
        <f>IF(A2554="","",CHOOSE(WEEKDAY(A2554,2),"Segunda","Terça","Quarta","Quinta","Sexta","Sábado","Domingo"))</f>
        <v/>
      </c>
      <c r="Q2554" s="30">
        <f>IF(B2554="","",IF(B2554&lt;TIME(12,0,0),"Manhã",IF(B2554&lt;TIME(18,0,0),"Tarde","Noite")))</f>
        <v/>
      </c>
      <c r="R2554" s="46">
        <f>IF(AND(H2554="Realizado",L2554&lt;&gt;"",A2554&lt;=Config!$B$9),L2554/60,0)</f>
        <v>0</v>
      </c>
      <c r="S2554" s="45">
        <f>IF(G2554="","",IFERROR(INDEX(Config!$K$5:$K$16,MATCH(G2554,Config!$J$5:$J$16,0)),""))</f>
        <v/>
      </c>
      <c r="T2554" s="31">
        <f>IF(OR(G2554="",F2554=""),"",IFERROR(INDEX(Config!$M$5:$R$16,MATCH(G2554,Config!$J$5:$J$16,0),MATCH(F2554,Config!$H$5:$H$10,0)),""))</f>
        <v/>
      </c>
      <c r="U2554" s="47">
        <f>IF(AND(H2554="Realizado",L2554&lt;&gt;""),L2554/60,0)</f>
        <v>0</v>
      </c>
      <c r="V2554" s="47">
        <f>IF(AND(H2554="Realizado",OR(L2554="",M2554="")),1,0)</f>
        <v>0</v>
      </c>
    </row>
    <row r="2555">
      <c r="A2555" s="43" t="n"/>
      <c r="B2555" s="44" t="n"/>
      <c r="C2555" s="38" t="n"/>
      <c r="D2555" s="38" t="n"/>
      <c r="E2555" s="37" t="n"/>
      <c r="F2555" s="38" t="n"/>
      <c r="G2555" s="38" t="n"/>
      <c r="H2555" s="38" t="n"/>
      <c r="I2555" s="38" t="n"/>
      <c r="J2555" s="38" t="n"/>
      <c r="K2555" s="37" t="n"/>
      <c r="L2555" s="39" t="n"/>
      <c r="M2555" s="40" t="n"/>
      <c r="N2555" s="30">
        <f>IF(A2555="","",MONTH(A2555))</f>
        <v/>
      </c>
      <c r="O2555" s="30">
        <f>IF(A2555="","",YEAR(A2555))</f>
        <v/>
      </c>
      <c r="P2555" s="30">
        <f>IF(A2555="","",CHOOSE(WEEKDAY(A2555,2),"Segunda","Terça","Quarta","Quinta","Sexta","Sábado","Domingo"))</f>
        <v/>
      </c>
      <c r="Q2555" s="30">
        <f>IF(B2555="","",IF(B2555&lt;TIME(12,0,0),"Manhã",IF(B2555&lt;TIME(18,0,0),"Tarde","Noite")))</f>
        <v/>
      </c>
      <c r="R2555" s="46">
        <f>IF(AND(H2555="Realizado",L2555&lt;&gt;"",A2555&lt;=Config!$B$9),L2555/60,0)</f>
        <v>0</v>
      </c>
      <c r="S2555" s="45">
        <f>IF(G2555="","",IFERROR(INDEX(Config!$K$5:$K$16,MATCH(G2555,Config!$J$5:$J$16,0)),""))</f>
        <v/>
      </c>
      <c r="T2555" s="31">
        <f>IF(OR(G2555="",F2555=""),"",IFERROR(INDEX(Config!$M$5:$R$16,MATCH(G2555,Config!$J$5:$J$16,0),MATCH(F2555,Config!$H$5:$H$10,0)),""))</f>
        <v/>
      </c>
      <c r="U2555" s="47">
        <f>IF(AND(H2555="Realizado",L2555&lt;&gt;""),L2555/60,0)</f>
        <v>0</v>
      </c>
      <c r="V2555" s="47">
        <f>IF(AND(H2555="Realizado",OR(L2555="",M2555="")),1,0)</f>
        <v>0</v>
      </c>
    </row>
    <row r="2556">
      <c r="A2556" s="43" t="n"/>
      <c r="B2556" s="44" t="n"/>
      <c r="C2556" s="38" t="n"/>
      <c r="D2556" s="38" t="n"/>
      <c r="E2556" s="37" t="n"/>
      <c r="F2556" s="38" t="n"/>
      <c r="G2556" s="38" t="n"/>
      <c r="H2556" s="38" t="n"/>
      <c r="I2556" s="38" t="n"/>
      <c r="J2556" s="38" t="n"/>
      <c r="K2556" s="37" t="n"/>
      <c r="L2556" s="39" t="n"/>
      <c r="M2556" s="40" t="n"/>
      <c r="N2556" s="30">
        <f>IF(A2556="","",MONTH(A2556))</f>
        <v/>
      </c>
      <c r="O2556" s="30">
        <f>IF(A2556="","",YEAR(A2556))</f>
        <v/>
      </c>
      <c r="P2556" s="30">
        <f>IF(A2556="","",CHOOSE(WEEKDAY(A2556,2),"Segunda","Terça","Quarta","Quinta","Sexta","Sábado","Domingo"))</f>
        <v/>
      </c>
      <c r="Q2556" s="30">
        <f>IF(B2556="","",IF(B2556&lt;TIME(12,0,0),"Manhã",IF(B2556&lt;TIME(18,0,0),"Tarde","Noite")))</f>
        <v/>
      </c>
      <c r="R2556" s="46">
        <f>IF(AND(H2556="Realizado",L2556&lt;&gt;"",A2556&lt;=Config!$B$9),L2556/60,0)</f>
        <v>0</v>
      </c>
      <c r="S2556" s="45">
        <f>IF(G2556="","",IFERROR(INDEX(Config!$K$5:$K$16,MATCH(G2556,Config!$J$5:$J$16,0)),""))</f>
        <v/>
      </c>
      <c r="T2556" s="31">
        <f>IF(OR(G2556="",F2556=""),"",IFERROR(INDEX(Config!$M$5:$R$16,MATCH(G2556,Config!$J$5:$J$16,0),MATCH(F2556,Config!$H$5:$H$10,0)),""))</f>
        <v/>
      </c>
      <c r="U2556" s="47">
        <f>IF(AND(H2556="Realizado",L2556&lt;&gt;""),L2556/60,0)</f>
        <v>0</v>
      </c>
      <c r="V2556" s="47">
        <f>IF(AND(H2556="Realizado",OR(L2556="",M2556="")),1,0)</f>
        <v>0</v>
      </c>
    </row>
    <row r="2557">
      <c r="A2557" s="43" t="n"/>
      <c r="B2557" s="44" t="n"/>
      <c r="C2557" s="38" t="n"/>
      <c r="D2557" s="38" t="n"/>
      <c r="E2557" s="37" t="n"/>
      <c r="F2557" s="38" t="n"/>
      <c r="G2557" s="38" t="n"/>
      <c r="H2557" s="38" t="n"/>
      <c r="I2557" s="38" t="n"/>
      <c r="J2557" s="38" t="n"/>
      <c r="K2557" s="37" t="n"/>
      <c r="L2557" s="39" t="n"/>
      <c r="M2557" s="40" t="n"/>
      <c r="N2557" s="30">
        <f>IF(A2557="","",MONTH(A2557))</f>
        <v/>
      </c>
      <c r="O2557" s="30">
        <f>IF(A2557="","",YEAR(A2557))</f>
        <v/>
      </c>
      <c r="P2557" s="30">
        <f>IF(A2557="","",CHOOSE(WEEKDAY(A2557,2),"Segunda","Terça","Quarta","Quinta","Sexta","Sábado","Domingo"))</f>
        <v/>
      </c>
      <c r="Q2557" s="30">
        <f>IF(B2557="","",IF(B2557&lt;TIME(12,0,0),"Manhã",IF(B2557&lt;TIME(18,0,0),"Tarde","Noite")))</f>
        <v/>
      </c>
      <c r="R2557" s="46">
        <f>IF(AND(H2557="Realizado",L2557&lt;&gt;"",A2557&lt;=Config!$B$9),L2557/60,0)</f>
        <v>0</v>
      </c>
      <c r="S2557" s="45">
        <f>IF(G2557="","",IFERROR(INDEX(Config!$K$5:$K$16,MATCH(G2557,Config!$J$5:$J$16,0)),""))</f>
        <v/>
      </c>
      <c r="T2557" s="31">
        <f>IF(OR(G2557="",F2557=""),"",IFERROR(INDEX(Config!$M$5:$R$16,MATCH(G2557,Config!$J$5:$J$16,0),MATCH(F2557,Config!$H$5:$H$10,0)),""))</f>
        <v/>
      </c>
      <c r="U2557" s="47">
        <f>IF(AND(H2557="Realizado",L2557&lt;&gt;""),L2557/60,0)</f>
        <v>0</v>
      </c>
      <c r="V2557" s="47">
        <f>IF(AND(H2557="Realizado",OR(L2557="",M2557="")),1,0)</f>
        <v>0</v>
      </c>
    </row>
    <row r="2558">
      <c r="A2558" s="43" t="n"/>
      <c r="B2558" s="44" t="n"/>
      <c r="C2558" s="38" t="n"/>
      <c r="D2558" s="38" t="n"/>
      <c r="E2558" s="37" t="n"/>
      <c r="F2558" s="38" t="n"/>
      <c r="G2558" s="38" t="n"/>
      <c r="H2558" s="38" t="n"/>
      <c r="I2558" s="38" t="n"/>
      <c r="J2558" s="38" t="n"/>
      <c r="K2558" s="37" t="n"/>
      <c r="L2558" s="39" t="n"/>
      <c r="M2558" s="40" t="n"/>
      <c r="N2558" s="30">
        <f>IF(A2558="","",MONTH(A2558))</f>
        <v/>
      </c>
      <c r="O2558" s="30">
        <f>IF(A2558="","",YEAR(A2558))</f>
        <v/>
      </c>
      <c r="P2558" s="30">
        <f>IF(A2558="","",CHOOSE(WEEKDAY(A2558,2),"Segunda","Terça","Quarta","Quinta","Sexta","Sábado","Domingo"))</f>
        <v/>
      </c>
      <c r="Q2558" s="30">
        <f>IF(B2558="","",IF(B2558&lt;TIME(12,0,0),"Manhã",IF(B2558&lt;TIME(18,0,0),"Tarde","Noite")))</f>
        <v/>
      </c>
      <c r="R2558" s="46">
        <f>IF(AND(H2558="Realizado",L2558&lt;&gt;"",A2558&lt;=Config!$B$9),L2558/60,0)</f>
        <v>0</v>
      </c>
      <c r="S2558" s="45">
        <f>IF(G2558="","",IFERROR(INDEX(Config!$K$5:$K$16,MATCH(G2558,Config!$J$5:$J$16,0)),""))</f>
        <v/>
      </c>
      <c r="T2558" s="31">
        <f>IF(OR(G2558="",F2558=""),"",IFERROR(INDEX(Config!$M$5:$R$16,MATCH(G2558,Config!$J$5:$J$16,0),MATCH(F2558,Config!$H$5:$H$10,0)),""))</f>
        <v/>
      </c>
      <c r="U2558" s="47">
        <f>IF(AND(H2558="Realizado",L2558&lt;&gt;""),L2558/60,0)</f>
        <v>0</v>
      </c>
      <c r="V2558" s="47">
        <f>IF(AND(H2558="Realizado",OR(L2558="",M2558="")),1,0)</f>
        <v>0</v>
      </c>
    </row>
    <row r="2559">
      <c r="A2559" s="43" t="n"/>
      <c r="B2559" s="44" t="n"/>
      <c r="C2559" s="38" t="n"/>
      <c r="D2559" s="38" t="n"/>
      <c r="E2559" s="37" t="n"/>
      <c r="F2559" s="38" t="n"/>
      <c r="G2559" s="38" t="n"/>
      <c r="H2559" s="38" t="n"/>
      <c r="I2559" s="38" t="n"/>
      <c r="J2559" s="38" t="n"/>
      <c r="K2559" s="37" t="n"/>
      <c r="L2559" s="39" t="n"/>
      <c r="M2559" s="40" t="n"/>
      <c r="N2559" s="30">
        <f>IF(A2559="","",MONTH(A2559))</f>
        <v/>
      </c>
      <c r="O2559" s="30">
        <f>IF(A2559="","",YEAR(A2559))</f>
        <v/>
      </c>
      <c r="P2559" s="30">
        <f>IF(A2559="","",CHOOSE(WEEKDAY(A2559,2),"Segunda","Terça","Quarta","Quinta","Sexta","Sábado","Domingo"))</f>
        <v/>
      </c>
      <c r="Q2559" s="30">
        <f>IF(B2559="","",IF(B2559&lt;TIME(12,0,0),"Manhã",IF(B2559&lt;TIME(18,0,0),"Tarde","Noite")))</f>
        <v/>
      </c>
      <c r="R2559" s="46">
        <f>IF(AND(H2559="Realizado",L2559&lt;&gt;"",A2559&lt;=Config!$B$9),L2559/60,0)</f>
        <v>0</v>
      </c>
      <c r="S2559" s="45">
        <f>IF(G2559="","",IFERROR(INDEX(Config!$K$5:$K$16,MATCH(G2559,Config!$J$5:$J$16,0)),""))</f>
        <v/>
      </c>
      <c r="T2559" s="31">
        <f>IF(OR(G2559="",F2559=""),"",IFERROR(INDEX(Config!$M$5:$R$16,MATCH(G2559,Config!$J$5:$J$16,0),MATCH(F2559,Config!$H$5:$H$10,0)),""))</f>
        <v/>
      </c>
      <c r="U2559" s="47">
        <f>IF(AND(H2559="Realizado",L2559&lt;&gt;""),L2559/60,0)</f>
        <v>0</v>
      </c>
      <c r="V2559" s="47">
        <f>IF(AND(H2559="Realizado",OR(L2559="",M2559="")),1,0)</f>
        <v>0</v>
      </c>
    </row>
    <row r="2560">
      <c r="A2560" s="43" t="n"/>
      <c r="B2560" s="44" t="n"/>
      <c r="C2560" s="38" t="n"/>
      <c r="D2560" s="38" t="n"/>
      <c r="E2560" s="37" t="n"/>
      <c r="F2560" s="38" t="n"/>
      <c r="G2560" s="38" t="n"/>
      <c r="H2560" s="38" t="n"/>
      <c r="I2560" s="38" t="n"/>
      <c r="J2560" s="38" t="n"/>
      <c r="K2560" s="37" t="n"/>
      <c r="L2560" s="39" t="n"/>
      <c r="M2560" s="40" t="n"/>
      <c r="N2560" s="30">
        <f>IF(A2560="","",MONTH(A2560))</f>
        <v/>
      </c>
      <c r="O2560" s="30">
        <f>IF(A2560="","",YEAR(A2560))</f>
        <v/>
      </c>
      <c r="P2560" s="30">
        <f>IF(A2560="","",CHOOSE(WEEKDAY(A2560,2),"Segunda","Terça","Quarta","Quinta","Sexta","Sábado","Domingo"))</f>
        <v/>
      </c>
      <c r="Q2560" s="30">
        <f>IF(B2560="","",IF(B2560&lt;TIME(12,0,0),"Manhã",IF(B2560&lt;TIME(18,0,0),"Tarde","Noite")))</f>
        <v/>
      </c>
      <c r="R2560" s="46">
        <f>IF(AND(H2560="Realizado",L2560&lt;&gt;"",A2560&lt;=Config!$B$9),L2560/60,0)</f>
        <v>0</v>
      </c>
      <c r="S2560" s="45">
        <f>IF(G2560="","",IFERROR(INDEX(Config!$K$5:$K$16,MATCH(G2560,Config!$J$5:$J$16,0)),""))</f>
        <v/>
      </c>
      <c r="T2560" s="31">
        <f>IF(OR(G2560="",F2560=""),"",IFERROR(INDEX(Config!$M$5:$R$16,MATCH(G2560,Config!$J$5:$J$16,0),MATCH(F2560,Config!$H$5:$H$10,0)),""))</f>
        <v/>
      </c>
      <c r="U2560" s="47">
        <f>IF(AND(H2560="Realizado",L2560&lt;&gt;""),L2560/60,0)</f>
        <v>0</v>
      </c>
      <c r="V2560" s="47">
        <f>IF(AND(H2560="Realizado",OR(L2560="",M2560="")),1,0)</f>
        <v>0</v>
      </c>
    </row>
    <row r="2561">
      <c r="A2561" s="43" t="n"/>
      <c r="B2561" s="44" t="n"/>
      <c r="C2561" s="38" t="n"/>
      <c r="D2561" s="38" t="n"/>
      <c r="E2561" s="37" t="n"/>
      <c r="F2561" s="38" t="n"/>
      <c r="G2561" s="38" t="n"/>
      <c r="H2561" s="38" t="n"/>
      <c r="I2561" s="38" t="n"/>
      <c r="J2561" s="38" t="n"/>
      <c r="K2561" s="37" t="n"/>
      <c r="L2561" s="39" t="n"/>
      <c r="M2561" s="40" t="n"/>
      <c r="N2561" s="30">
        <f>IF(A2561="","",MONTH(A2561))</f>
        <v/>
      </c>
      <c r="O2561" s="30">
        <f>IF(A2561="","",YEAR(A2561))</f>
        <v/>
      </c>
      <c r="P2561" s="30">
        <f>IF(A2561="","",CHOOSE(WEEKDAY(A2561,2),"Segunda","Terça","Quarta","Quinta","Sexta","Sábado","Domingo"))</f>
        <v/>
      </c>
      <c r="Q2561" s="30">
        <f>IF(B2561="","",IF(B2561&lt;TIME(12,0,0),"Manhã",IF(B2561&lt;TIME(18,0,0),"Tarde","Noite")))</f>
        <v/>
      </c>
      <c r="R2561" s="46">
        <f>IF(AND(H2561="Realizado",L2561&lt;&gt;"",A2561&lt;=Config!$B$9),L2561/60,0)</f>
        <v>0</v>
      </c>
      <c r="S2561" s="45">
        <f>IF(G2561="","",IFERROR(INDEX(Config!$K$5:$K$16,MATCH(G2561,Config!$J$5:$J$16,0)),""))</f>
        <v/>
      </c>
      <c r="T2561" s="31">
        <f>IF(OR(G2561="",F2561=""),"",IFERROR(INDEX(Config!$M$5:$R$16,MATCH(G2561,Config!$J$5:$J$16,0),MATCH(F2561,Config!$H$5:$H$10,0)),""))</f>
        <v/>
      </c>
      <c r="U2561" s="47">
        <f>IF(AND(H2561="Realizado",L2561&lt;&gt;""),L2561/60,0)</f>
        <v>0</v>
      </c>
      <c r="V2561" s="47">
        <f>IF(AND(H2561="Realizado",OR(L2561="",M2561="")),1,0)</f>
        <v>0</v>
      </c>
    </row>
    <row r="2562">
      <c r="A2562" s="43" t="n"/>
      <c r="B2562" s="44" t="n"/>
      <c r="C2562" s="38" t="n"/>
      <c r="D2562" s="38" t="n"/>
      <c r="E2562" s="37" t="n"/>
      <c r="F2562" s="38" t="n"/>
      <c r="G2562" s="38" t="n"/>
      <c r="H2562" s="38" t="n"/>
      <c r="I2562" s="38" t="n"/>
      <c r="J2562" s="38" t="n"/>
      <c r="K2562" s="37" t="n"/>
      <c r="L2562" s="39" t="n"/>
      <c r="M2562" s="40" t="n"/>
      <c r="N2562" s="30">
        <f>IF(A2562="","",MONTH(A2562))</f>
        <v/>
      </c>
      <c r="O2562" s="30">
        <f>IF(A2562="","",YEAR(A2562))</f>
        <v/>
      </c>
      <c r="P2562" s="30">
        <f>IF(A2562="","",CHOOSE(WEEKDAY(A2562,2),"Segunda","Terça","Quarta","Quinta","Sexta","Sábado","Domingo"))</f>
        <v/>
      </c>
      <c r="Q2562" s="30">
        <f>IF(B2562="","",IF(B2562&lt;TIME(12,0,0),"Manhã",IF(B2562&lt;TIME(18,0,0),"Tarde","Noite")))</f>
        <v/>
      </c>
      <c r="R2562" s="46">
        <f>IF(AND(H2562="Realizado",L2562&lt;&gt;"",A2562&lt;=Config!$B$9),L2562/60,0)</f>
        <v>0</v>
      </c>
      <c r="S2562" s="45">
        <f>IF(G2562="","",IFERROR(INDEX(Config!$K$5:$K$16,MATCH(G2562,Config!$J$5:$J$16,0)),""))</f>
        <v/>
      </c>
      <c r="T2562" s="31">
        <f>IF(OR(G2562="",F2562=""),"",IFERROR(INDEX(Config!$M$5:$R$16,MATCH(G2562,Config!$J$5:$J$16,0),MATCH(F2562,Config!$H$5:$H$10,0)),""))</f>
        <v/>
      </c>
      <c r="U2562" s="47">
        <f>IF(AND(H2562="Realizado",L2562&lt;&gt;""),L2562/60,0)</f>
        <v>0</v>
      </c>
      <c r="V2562" s="47">
        <f>IF(AND(H2562="Realizado",OR(L2562="",M2562="")),1,0)</f>
        <v>0</v>
      </c>
    </row>
    <row r="2563">
      <c r="A2563" s="43" t="n"/>
      <c r="B2563" s="44" t="n"/>
      <c r="C2563" s="38" t="n"/>
      <c r="D2563" s="38" t="n"/>
      <c r="E2563" s="37" t="n"/>
      <c r="F2563" s="38" t="n"/>
      <c r="G2563" s="38" t="n"/>
      <c r="H2563" s="38" t="n"/>
      <c r="I2563" s="38" t="n"/>
      <c r="J2563" s="38" t="n"/>
      <c r="K2563" s="37" t="n"/>
      <c r="L2563" s="39" t="n"/>
      <c r="M2563" s="40" t="n"/>
      <c r="N2563" s="30">
        <f>IF(A2563="","",MONTH(A2563))</f>
        <v/>
      </c>
      <c r="O2563" s="30">
        <f>IF(A2563="","",YEAR(A2563))</f>
        <v/>
      </c>
      <c r="P2563" s="30">
        <f>IF(A2563="","",CHOOSE(WEEKDAY(A2563,2),"Segunda","Terça","Quarta","Quinta","Sexta","Sábado","Domingo"))</f>
        <v/>
      </c>
      <c r="Q2563" s="30">
        <f>IF(B2563="","",IF(B2563&lt;TIME(12,0,0),"Manhã",IF(B2563&lt;TIME(18,0,0),"Tarde","Noite")))</f>
        <v/>
      </c>
      <c r="R2563" s="46">
        <f>IF(AND(H2563="Realizado",L2563&lt;&gt;"",A2563&lt;=Config!$B$9),L2563/60,0)</f>
        <v>0</v>
      </c>
      <c r="S2563" s="45">
        <f>IF(G2563="","",IFERROR(INDEX(Config!$K$5:$K$16,MATCH(G2563,Config!$J$5:$J$16,0)),""))</f>
        <v/>
      </c>
      <c r="T2563" s="31">
        <f>IF(OR(G2563="",F2563=""),"",IFERROR(INDEX(Config!$M$5:$R$16,MATCH(G2563,Config!$J$5:$J$16,0),MATCH(F2563,Config!$H$5:$H$10,0)),""))</f>
        <v/>
      </c>
      <c r="U2563" s="47">
        <f>IF(AND(H2563="Realizado",L2563&lt;&gt;""),L2563/60,0)</f>
        <v>0</v>
      </c>
      <c r="V2563" s="47">
        <f>IF(AND(H2563="Realizado",OR(L2563="",M2563="")),1,0)</f>
        <v>0</v>
      </c>
    </row>
    <row r="2564">
      <c r="A2564" s="43" t="n"/>
      <c r="B2564" s="44" t="n"/>
      <c r="C2564" s="38" t="n"/>
      <c r="D2564" s="38" t="n"/>
      <c r="E2564" s="37" t="n"/>
      <c r="F2564" s="38" t="n"/>
      <c r="G2564" s="38" t="n"/>
      <c r="H2564" s="38" t="n"/>
      <c r="I2564" s="38" t="n"/>
      <c r="J2564" s="38" t="n"/>
      <c r="K2564" s="37" t="n"/>
      <c r="L2564" s="39" t="n"/>
      <c r="M2564" s="40" t="n"/>
      <c r="N2564" s="30">
        <f>IF(A2564="","",MONTH(A2564))</f>
        <v/>
      </c>
      <c r="O2564" s="30">
        <f>IF(A2564="","",YEAR(A2564))</f>
        <v/>
      </c>
      <c r="P2564" s="30">
        <f>IF(A2564="","",CHOOSE(WEEKDAY(A2564,2),"Segunda","Terça","Quarta","Quinta","Sexta","Sábado","Domingo"))</f>
        <v/>
      </c>
      <c r="Q2564" s="30">
        <f>IF(B2564="","",IF(B2564&lt;TIME(12,0,0),"Manhã",IF(B2564&lt;TIME(18,0,0),"Tarde","Noite")))</f>
        <v/>
      </c>
      <c r="R2564" s="46">
        <f>IF(AND(H2564="Realizado",L2564&lt;&gt;"",A2564&lt;=Config!$B$9),L2564/60,0)</f>
        <v>0</v>
      </c>
      <c r="S2564" s="45">
        <f>IF(G2564="","",IFERROR(INDEX(Config!$K$5:$K$16,MATCH(G2564,Config!$J$5:$J$16,0)),""))</f>
        <v/>
      </c>
      <c r="T2564" s="31">
        <f>IF(OR(G2564="",F2564=""),"",IFERROR(INDEX(Config!$M$5:$R$16,MATCH(G2564,Config!$J$5:$J$16,0),MATCH(F2564,Config!$H$5:$H$10,0)),""))</f>
        <v/>
      </c>
      <c r="U2564" s="47">
        <f>IF(AND(H2564="Realizado",L2564&lt;&gt;""),L2564/60,0)</f>
        <v>0</v>
      </c>
      <c r="V2564" s="47">
        <f>IF(AND(H2564="Realizado",OR(L2564="",M2564="")),1,0)</f>
        <v>0</v>
      </c>
    </row>
    <row r="2565">
      <c r="A2565" s="43" t="n"/>
      <c r="B2565" s="44" t="n"/>
      <c r="C2565" s="38" t="n"/>
      <c r="D2565" s="38" t="n"/>
      <c r="E2565" s="37" t="n"/>
      <c r="F2565" s="38" t="n"/>
      <c r="G2565" s="38" t="n"/>
      <c r="H2565" s="38" t="n"/>
      <c r="I2565" s="38" t="n"/>
      <c r="J2565" s="38" t="n"/>
      <c r="K2565" s="37" t="n"/>
      <c r="L2565" s="39" t="n"/>
      <c r="M2565" s="40" t="n"/>
      <c r="N2565" s="30">
        <f>IF(A2565="","",MONTH(A2565))</f>
        <v/>
      </c>
      <c r="O2565" s="30">
        <f>IF(A2565="","",YEAR(A2565))</f>
        <v/>
      </c>
      <c r="P2565" s="30">
        <f>IF(A2565="","",CHOOSE(WEEKDAY(A2565,2),"Segunda","Terça","Quarta","Quinta","Sexta","Sábado","Domingo"))</f>
        <v/>
      </c>
      <c r="Q2565" s="30">
        <f>IF(B2565="","",IF(B2565&lt;TIME(12,0,0),"Manhã",IF(B2565&lt;TIME(18,0,0),"Tarde","Noite")))</f>
        <v/>
      </c>
      <c r="R2565" s="46">
        <f>IF(AND(H2565="Realizado",L2565&lt;&gt;"",A2565&lt;=Config!$B$9),L2565/60,0)</f>
        <v>0</v>
      </c>
      <c r="S2565" s="45">
        <f>IF(G2565="","",IFERROR(INDEX(Config!$K$5:$K$16,MATCH(G2565,Config!$J$5:$J$16,0)),""))</f>
        <v/>
      </c>
      <c r="T2565" s="31">
        <f>IF(OR(G2565="",F2565=""),"",IFERROR(INDEX(Config!$M$5:$R$16,MATCH(G2565,Config!$J$5:$J$16,0),MATCH(F2565,Config!$H$5:$H$10,0)),""))</f>
        <v/>
      </c>
      <c r="U2565" s="47">
        <f>IF(AND(H2565="Realizado",L2565&lt;&gt;""),L2565/60,0)</f>
        <v>0</v>
      </c>
      <c r="V2565" s="47">
        <f>IF(AND(H2565="Realizado",OR(L2565="",M2565="")),1,0)</f>
        <v>0</v>
      </c>
    </row>
    <row r="2566">
      <c r="A2566" s="43" t="n"/>
      <c r="B2566" s="44" t="n"/>
      <c r="C2566" s="38" t="n"/>
      <c r="D2566" s="38" t="n"/>
      <c r="E2566" s="37" t="n"/>
      <c r="F2566" s="38" t="n"/>
      <c r="G2566" s="38" t="n"/>
      <c r="H2566" s="38" t="n"/>
      <c r="I2566" s="38" t="n"/>
      <c r="J2566" s="38" t="n"/>
      <c r="K2566" s="37" t="n"/>
      <c r="L2566" s="39" t="n"/>
      <c r="M2566" s="40" t="n"/>
      <c r="N2566" s="30">
        <f>IF(A2566="","",MONTH(A2566))</f>
        <v/>
      </c>
      <c r="O2566" s="30">
        <f>IF(A2566="","",YEAR(A2566))</f>
        <v/>
      </c>
      <c r="P2566" s="30">
        <f>IF(A2566="","",CHOOSE(WEEKDAY(A2566,2),"Segunda","Terça","Quarta","Quinta","Sexta","Sábado","Domingo"))</f>
        <v/>
      </c>
      <c r="Q2566" s="30">
        <f>IF(B2566="","",IF(B2566&lt;TIME(12,0,0),"Manhã",IF(B2566&lt;TIME(18,0,0),"Tarde","Noite")))</f>
        <v/>
      </c>
      <c r="R2566" s="46">
        <f>IF(AND(H2566="Realizado",L2566&lt;&gt;"",A2566&lt;=Config!$B$9),L2566/60,0)</f>
        <v>0</v>
      </c>
      <c r="S2566" s="45">
        <f>IF(G2566="","",IFERROR(INDEX(Config!$K$5:$K$16,MATCH(G2566,Config!$J$5:$J$16,0)),""))</f>
        <v/>
      </c>
      <c r="T2566" s="31">
        <f>IF(OR(G2566="",F2566=""),"",IFERROR(INDEX(Config!$M$5:$R$16,MATCH(G2566,Config!$J$5:$J$16,0),MATCH(F2566,Config!$H$5:$H$10,0)),""))</f>
        <v/>
      </c>
      <c r="U2566" s="47">
        <f>IF(AND(H2566="Realizado",L2566&lt;&gt;""),L2566/60,0)</f>
        <v>0</v>
      </c>
      <c r="V2566" s="47">
        <f>IF(AND(H2566="Realizado",OR(L2566="",M2566="")),1,0)</f>
        <v>0</v>
      </c>
    </row>
    <row r="2567">
      <c r="A2567" s="43" t="n"/>
      <c r="B2567" s="44" t="n"/>
      <c r="C2567" s="38" t="n"/>
      <c r="D2567" s="38" t="n"/>
      <c r="E2567" s="37" t="n"/>
      <c r="F2567" s="38" t="n"/>
      <c r="G2567" s="38" t="n"/>
      <c r="H2567" s="38" t="n"/>
      <c r="I2567" s="38" t="n"/>
      <c r="J2567" s="38" t="n"/>
      <c r="K2567" s="37" t="n"/>
      <c r="L2567" s="39" t="n"/>
      <c r="M2567" s="40" t="n"/>
      <c r="N2567" s="30">
        <f>IF(A2567="","",MONTH(A2567))</f>
        <v/>
      </c>
      <c r="O2567" s="30">
        <f>IF(A2567="","",YEAR(A2567))</f>
        <v/>
      </c>
      <c r="P2567" s="30">
        <f>IF(A2567="","",CHOOSE(WEEKDAY(A2567,2),"Segunda","Terça","Quarta","Quinta","Sexta","Sábado","Domingo"))</f>
        <v/>
      </c>
      <c r="Q2567" s="30">
        <f>IF(B2567="","",IF(B2567&lt;TIME(12,0,0),"Manhã",IF(B2567&lt;TIME(18,0,0),"Tarde","Noite")))</f>
        <v/>
      </c>
      <c r="R2567" s="46">
        <f>IF(AND(H2567="Realizado",L2567&lt;&gt;"",A2567&lt;=Config!$B$9),L2567/60,0)</f>
        <v>0</v>
      </c>
      <c r="S2567" s="45">
        <f>IF(G2567="","",IFERROR(INDEX(Config!$K$5:$K$16,MATCH(G2567,Config!$J$5:$J$16,0)),""))</f>
        <v/>
      </c>
      <c r="T2567" s="31">
        <f>IF(OR(G2567="",F2567=""),"",IFERROR(INDEX(Config!$M$5:$R$16,MATCH(G2567,Config!$J$5:$J$16,0),MATCH(F2567,Config!$H$5:$H$10,0)),""))</f>
        <v/>
      </c>
      <c r="U2567" s="47">
        <f>IF(AND(H2567="Realizado",L2567&lt;&gt;""),L2567/60,0)</f>
        <v>0</v>
      </c>
      <c r="V2567" s="47">
        <f>IF(AND(H2567="Realizado",OR(L2567="",M2567="")),1,0)</f>
        <v>0</v>
      </c>
    </row>
    <row r="2568">
      <c r="A2568" s="43" t="n"/>
      <c r="B2568" s="44" t="n"/>
      <c r="C2568" s="38" t="n"/>
      <c r="D2568" s="38" t="n"/>
      <c r="E2568" s="37" t="n"/>
      <c r="F2568" s="38" t="n"/>
      <c r="G2568" s="38" t="n"/>
      <c r="H2568" s="38" t="n"/>
      <c r="I2568" s="38" t="n"/>
      <c r="J2568" s="38" t="n"/>
      <c r="K2568" s="37" t="n"/>
      <c r="L2568" s="39" t="n"/>
      <c r="M2568" s="40" t="n"/>
      <c r="N2568" s="30">
        <f>IF(A2568="","",MONTH(A2568))</f>
        <v/>
      </c>
      <c r="O2568" s="30">
        <f>IF(A2568="","",YEAR(A2568))</f>
        <v/>
      </c>
      <c r="P2568" s="30">
        <f>IF(A2568="","",CHOOSE(WEEKDAY(A2568,2),"Segunda","Terça","Quarta","Quinta","Sexta","Sábado","Domingo"))</f>
        <v/>
      </c>
      <c r="Q2568" s="30">
        <f>IF(B2568="","",IF(B2568&lt;TIME(12,0,0),"Manhã",IF(B2568&lt;TIME(18,0,0),"Tarde","Noite")))</f>
        <v/>
      </c>
      <c r="R2568" s="46">
        <f>IF(AND(H2568="Realizado",L2568&lt;&gt;"",A2568&lt;=Config!$B$9),L2568/60,0)</f>
        <v>0</v>
      </c>
      <c r="S2568" s="45">
        <f>IF(G2568="","",IFERROR(INDEX(Config!$K$5:$K$16,MATCH(G2568,Config!$J$5:$J$16,0)),""))</f>
        <v/>
      </c>
      <c r="T2568" s="31">
        <f>IF(OR(G2568="",F2568=""),"",IFERROR(INDEX(Config!$M$5:$R$16,MATCH(G2568,Config!$J$5:$J$16,0),MATCH(F2568,Config!$H$5:$H$10,0)),""))</f>
        <v/>
      </c>
      <c r="U2568" s="47">
        <f>IF(AND(H2568="Realizado",L2568&lt;&gt;""),L2568/60,0)</f>
        <v>0</v>
      </c>
      <c r="V2568" s="47">
        <f>IF(AND(H2568="Realizado",OR(L2568="",M2568="")),1,0)</f>
        <v>0</v>
      </c>
    </row>
    <row r="2569">
      <c r="A2569" s="43" t="n"/>
      <c r="B2569" s="44" t="n"/>
      <c r="C2569" s="38" t="n"/>
      <c r="D2569" s="38" t="n"/>
      <c r="E2569" s="37" t="n"/>
      <c r="F2569" s="38" t="n"/>
      <c r="G2569" s="38" t="n"/>
      <c r="H2569" s="38" t="n"/>
      <c r="I2569" s="38" t="n"/>
      <c r="J2569" s="38" t="n"/>
      <c r="K2569" s="37" t="n"/>
      <c r="L2569" s="39" t="n"/>
      <c r="M2569" s="40" t="n"/>
      <c r="N2569" s="30">
        <f>IF(A2569="","",MONTH(A2569))</f>
        <v/>
      </c>
      <c r="O2569" s="30">
        <f>IF(A2569="","",YEAR(A2569))</f>
        <v/>
      </c>
      <c r="P2569" s="30">
        <f>IF(A2569="","",CHOOSE(WEEKDAY(A2569,2),"Segunda","Terça","Quarta","Quinta","Sexta","Sábado","Domingo"))</f>
        <v/>
      </c>
      <c r="Q2569" s="30">
        <f>IF(B2569="","",IF(B2569&lt;TIME(12,0,0),"Manhã",IF(B2569&lt;TIME(18,0,0),"Tarde","Noite")))</f>
        <v/>
      </c>
      <c r="R2569" s="46">
        <f>IF(AND(H2569="Realizado",L2569&lt;&gt;"",A2569&lt;=Config!$B$9),L2569/60,0)</f>
        <v>0</v>
      </c>
      <c r="S2569" s="45">
        <f>IF(G2569="","",IFERROR(INDEX(Config!$K$5:$K$16,MATCH(G2569,Config!$J$5:$J$16,0)),""))</f>
        <v/>
      </c>
      <c r="T2569" s="31">
        <f>IF(OR(G2569="",F2569=""),"",IFERROR(INDEX(Config!$M$5:$R$16,MATCH(G2569,Config!$J$5:$J$16,0),MATCH(F2569,Config!$H$5:$H$10,0)),""))</f>
        <v/>
      </c>
      <c r="U2569" s="47">
        <f>IF(AND(H2569="Realizado",L2569&lt;&gt;""),L2569/60,0)</f>
        <v>0</v>
      </c>
      <c r="V2569" s="47">
        <f>IF(AND(H2569="Realizado",OR(L2569="",M2569="")),1,0)</f>
        <v>0</v>
      </c>
    </row>
    <row r="2570">
      <c r="A2570" s="43" t="n"/>
      <c r="B2570" s="44" t="n"/>
      <c r="C2570" s="38" t="n"/>
      <c r="D2570" s="38" t="n"/>
      <c r="E2570" s="37" t="n"/>
      <c r="F2570" s="38" t="n"/>
      <c r="G2570" s="38" t="n"/>
      <c r="H2570" s="38" t="n"/>
      <c r="I2570" s="38" t="n"/>
      <c r="J2570" s="38" t="n"/>
      <c r="K2570" s="37" t="n"/>
      <c r="L2570" s="39" t="n"/>
      <c r="M2570" s="40" t="n"/>
      <c r="N2570" s="30">
        <f>IF(A2570="","",MONTH(A2570))</f>
        <v/>
      </c>
      <c r="O2570" s="30">
        <f>IF(A2570="","",YEAR(A2570))</f>
        <v/>
      </c>
      <c r="P2570" s="30">
        <f>IF(A2570="","",CHOOSE(WEEKDAY(A2570,2),"Segunda","Terça","Quarta","Quinta","Sexta","Sábado","Domingo"))</f>
        <v/>
      </c>
      <c r="Q2570" s="30">
        <f>IF(B2570="","",IF(B2570&lt;TIME(12,0,0),"Manhã",IF(B2570&lt;TIME(18,0,0),"Tarde","Noite")))</f>
        <v/>
      </c>
      <c r="R2570" s="46">
        <f>IF(AND(H2570="Realizado",L2570&lt;&gt;"",A2570&lt;=Config!$B$9),L2570/60,0)</f>
        <v>0</v>
      </c>
      <c r="S2570" s="45">
        <f>IF(G2570="","",IFERROR(INDEX(Config!$K$5:$K$16,MATCH(G2570,Config!$J$5:$J$16,0)),""))</f>
        <v/>
      </c>
      <c r="T2570" s="31">
        <f>IF(OR(G2570="",F2570=""),"",IFERROR(INDEX(Config!$M$5:$R$16,MATCH(G2570,Config!$J$5:$J$16,0),MATCH(F2570,Config!$H$5:$H$10,0)),""))</f>
        <v/>
      </c>
      <c r="U2570" s="47">
        <f>IF(AND(H2570="Realizado",L2570&lt;&gt;""),L2570/60,0)</f>
        <v>0</v>
      </c>
      <c r="V2570" s="47">
        <f>IF(AND(H2570="Realizado",OR(L2570="",M2570="")),1,0)</f>
        <v>0</v>
      </c>
    </row>
    <row r="2571">
      <c r="A2571" s="43" t="n"/>
      <c r="B2571" s="44" t="n"/>
      <c r="C2571" s="38" t="n"/>
      <c r="D2571" s="38" t="n"/>
      <c r="E2571" s="37" t="n"/>
      <c r="F2571" s="38" t="n"/>
      <c r="G2571" s="38" t="n"/>
      <c r="H2571" s="38" t="n"/>
      <c r="I2571" s="38" t="n"/>
      <c r="J2571" s="38" t="n"/>
      <c r="K2571" s="37" t="n"/>
      <c r="L2571" s="39" t="n"/>
      <c r="M2571" s="40" t="n"/>
      <c r="N2571" s="30">
        <f>IF(A2571="","",MONTH(A2571))</f>
        <v/>
      </c>
      <c r="O2571" s="30">
        <f>IF(A2571="","",YEAR(A2571))</f>
        <v/>
      </c>
      <c r="P2571" s="30">
        <f>IF(A2571="","",CHOOSE(WEEKDAY(A2571,2),"Segunda","Terça","Quarta","Quinta","Sexta","Sábado","Domingo"))</f>
        <v/>
      </c>
      <c r="Q2571" s="30">
        <f>IF(B2571="","",IF(B2571&lt;TIME(12,0,0),"Manhã",IF(B2571&lt;TIME(18,0,0),"Tarde","Noite")))</f>
        <v/>
      </c>
      <c r="R2571" s="46">
        <f>IF(AND(H2571="Realizado",L2571&lt;&gt;"",A2571&lt;=Config!$B$9),L2571/60,0)</f>
        <v>0</v>
      </c>
      <c r="S2571" s="45">
        <f>IF(G2571="","",IFERROR(INDEX(Config!$K$5:$K$16,MATCH(G2571,Config!$J$5:$J$16,0)),""))</f>
        <v/>
      </c>
      <c r="T2571" s="31">
        <f>IF(OR(G2571="",F2571=""),"",IFERROR(INDEX(Config!$M$5:$R$16,MATCH(G2571,Config!$J$5:$J$16,0),MATCH(F2571,Config!$H$5:$H$10,0)),""))</f>
        <v/>
      </c>
      <c r="U2571" s="47">
        <f>IF(AND(H2571="Realizado",L2571&lt;&gt;""),L2571/60,0)</f>
        <v>0</v>
      </c>
      <c r="V2571" s="47">
        <f>IF(AND(H2571="Realizado",OR(L2571="",M2571="")),1,0)</f>
        <v>0</v>
      </c>
    </row>
    <row r="2572">
      <c r="A2572" s="43" t="n"/>
      <c r="B2572" s="44" t="n"/>
      <c r="C2572" s="38" t="n"/>
      <c r="D2572" s="38" t="n"/>
      <c r="E2572" s="37" t="n"/>
      <c r="F2572" s="38" t="n"/>
      <c r="G2572" s="38" t="n"/>
      <c r="H2572" s="38" t="n"/>
      <c r="I2572" s="38" t="n"/>
      <c r="J2572" s="38" t="n"/>
      <c r="K2572" s="37" t="n"/>
      <c r="L2572" s="39" t="n"/>
      <c r="M2572" s="40" t="n"/>
      <c r="N2572" s="30">
        <f>IF(A2572="","",MONTH(A2572))</f>
        <v/>
      </c>
      <c r="O2572" s="30">
        <f>IF(A2572="","",YEAR(A2572))</f>
        <v/>
      </c>
      <c r="P2572" s="30">
        <f>IF(A2572="","",CHOOSE(WEEKDAY(A2572,2),"Segunda","Terça","Quarta","Quinta","Sexta","Sábado","Domingo"))</f>
        <v/>
      </c>
      <c r="Q2572" s="30">
        <f>IF(B2572="","",IF(B2572&lt;TIME(12,0,0),"Manhã",IF(B2572&lt;TIME(18,0,0),"Tarde","Noite")))</f>
        <v/>
      </c>
      <c r="R2572" s="46">
        <f>IF(AND(H2572="Realizado",L2572&lt;&gt;"",A2572&lt;=Config!$B$9),L2572/60,0)</f>
        <v>0</v>
      </c>
      <c r="S2572" s="45">
        <f>IF(G2572="","",IFERROR(INDEX(Config!$K$5:$K$16,MATCH(G2572,Config!$J$5:$J$16,0)),""))</f>
        <v/>
      </c>
      <c r="T2572" s="31">
        <f>IF(OR(G2572="",F2572=""),"",IFERROR(INDEX(Config!$M$5:$R$16,MATCH(G2572,Config!$J$5:$J$16,0),MATCH(F2572,Config!$H$5:$H$10,0)),""))</f>
        <v/>
      </c>
      <c r="U2572" s="47">
        <f>IF(AND(H2572="Realizado",L2572&lt;&gt;""),L2572/60,0)</f>
        <v>0</v>
      </c>
      <c r="V2572" s="47">
        <f>IF(AND(H2572="Realizado",OR(L2572="",M2572="")),1,0)</f>
        <v>0</v>
      </c>
    </row>
    <row r="2573">
      <c r="A2573" s="43" t="n"/>
      <c r="B2573" s="44" t="n"/>
      <c r="C2573" s="38" t="n"/>
      <c r="D2573" s="38" t="n"/>
      <c r="E2573" s="37" t="n"/>
      <c r="F2573" s="38" t="n"/>
      <c r="G2573" s="38" t="n"/>
      <c r="H2573" s="38" t="n"/>
      <c r="I2573" s="38" t="n"/>
      <c r="J2573" s="38" t="n"/>
      <c r="K2573" s="37" t="n"/>
      <c r="L2573" s="39" t="n"/>
      <c r="M2573" s="40" t="n"/>
      <c r="N2573" s="30">
        <f>IF(A2573="","",MONTH(A2573))</f>
        <v/>
      </c>
      <c r="O2573" s="30">
        <f>IF(A2573="","",YEAR(A2573))</f>
        <v/>
      </c>
      <c r="P2573" s="30">
        <f>IF(A2573="","",CHOOSE(WEEKDAY(A2573,2),"Segunda","Terça","Quarta","Quinta","Sexta","Sábado","Domingo"))</f>
        <v/>
      </c>
      <c r="Q2573" s="30">
        <f>IF(B2573="","",IF(B2573&lt;TIME(12,0,0),"Manhã",IF(B2573&lt;TIME(18,0,0),"Tarde","Noite")))</f>
        <v/>
      </c>
      <c r="R2573" s="46">
        <f>IF(AND(H2573="Realizado",L2573&lt;&gt;"",A2573&lt;=Config!$B$9),L2573/60,0)</f>
        <v>0</v>
      </c>
      <c r="S2573" s="45">
        <f>IF(G2573="","",IFERROR(INDEX(Config!$K$5:$K$16,MATCH(G2573,Config!$J$5:$J$16,0)),""))</f>
        <v/>
      </c>
      <c r="T2573" s="31">
        <f>IF(OR(G2573="",F2573=""),"",IFERROR(INDEX(Config!$M$5:$R$16,MATCH(G2573,Config!$J$5:$J$16,0),MATCH(F2573,Config!$H$5:$H$10,0)),""))</f>
        <v/>
      </c>
      <c r="U2573" s="47">
        <f>IF(AND(H2573="Realizado",L2573&lt;&gt;""),L2573/60,0)</f>
        <v>0</v>
      </c>
      <c r="V2573" s="47">
        <f>IF(AND(H2573="Realizado",OR(L2573="",M2573="")),1,0)</f>
        <v>0</v>
      </c>
    </row>
    <row r="2574">
      <c r="A2574" s="43" t="n"/>
      <c r="B2574" s="44" t="n"/>
      <c r="C2574" s="38" t="n"/>
      <c r="D2574" s="38" t="n"/>
      <c r="E2574" s="37" t="n"/>
      <c r="F2574" s="38" t="n"/>
      <c r="G2574" s="38" t="n"/>
      <c r="H2574" s="38" t="n"/>
      <c r="I2574" s="38" t="n"/>
      <c r="J2574" s="38" t="n"/>
      <c r="K2574" s="37" t="n"/>
      <c r="L2574" s="39" t="n"/>
      <c r="M2574" s="40" t="n"/>
      <c r="N2574" s="30">
        <f>IF(A2574="","",MONTH(A2574))</f>
        <v/>
      </c>
      <c r="O2574" s="30">
        <f>IF(A2574="","",YEAR(A2574))</f>
        <v/>
      </c>
      <c r="P2574" s="30">
        <f>IF(A2574="","",CHOOSE(WEEKDAY(A2574,2),"Segunda","Terça","Quarta","Quinta","Sexta","Sábado","Domingo"))</f>
        <v/>
      </c>
      <c r="Q2574" s="30">
        <f>IF(B2574="","",IF(B2574&lt;TIME(12,0,0),"Manhã",IF(B2574&lt;TIME(18,0,0),"Tarde","Noite")))</f>
        <v/>
      </c>
      <c r="R2574" s="46">
        <f>IF(AND(H2574="Realizado",L2574&lt;&gt;"",A2574&lt;=Config!$B$9),L2574/60,0)</f>
        <v>0</v>
      </c>
      <c r="S2574" s="45">
        <f>IF(G2574="","",IFERROR(INDEX(Config!$K$5:$K$16,MATCH(G2574,Config!$J$5:$J$16,0)),""))</f>
        <v/>
      </c>
      <c r="T2574" s="31">
        <f>IF(OR(G2574="",F2574=""),"",IFERROR(INDEX(Config!$M$5:$R$16,MATCH(G2574,Config!$J$5:$J$16,0),MATCH(F2574,Config!$H$5:$H$10,0)),""))</f>
        <v/>
      </c>
      <c r="U2574" s="47">
        <f>IF(AND(H2574="Realizado",L2574&lt;&gt;""),L2574/60,0)</f>
        <v>0</v>
      </c>
      <c r="V2574" s="47">
        <f>IF(AND(H2574="Realizado",OR(L2574="",M2574="")),1,0)</f>
        <v>0</v>
      </c>
    </row>
    <row r="2575">
      <c r="A2575" s="43" t="n"/>
      <c r="B2575" s="44" t="n"/>
      <c r="C2575" s="38" t="n"/>
      <c r="D2575" s="38" t="n"/>
      <c r="E2575" s="37" t="n"/>
      <c r="F2575" s="38" t="n"/>
      <c r="G2575" s="38" t="n"/>
      <c r="H2575" s="38" t="n"/>
      <c r="I2575" s="38" t="n"/>
      <c r="J2575" s="38" t="n"/>
      <c r="K2575" s="37" t="n"/>
      <c r="L2575" s="39" t="n"/>
      <c r="M2575" s="40" t="n"/>
      <c r="N2575" s="30">
        <f>IF(A2575="","",MONTH(A2575))</f>
        <v/>
      </c>
      <c r="O2575" s="30">
        <f>IF(A2575="","",YEAR(A2575))</f>
        <v/>
      </c>
      <c r="P2575" s="30">
        <f>IF(A2575="","",CHOOSE(WEEKDAY(A2575,2),"Segunda","Terça","Quarta","Quinta","Sexta","Sábado","Domingo"))</f>
        <v/>
      </c>
      <c r="Q2575" s="30">
        <f>IF(B2575="","",IF(B2575&lt;TIME(12,0,0),"Manhã",IF(B2575&lt;TIME(18,0,0),"Tarde","Noite")))</f>
        <v/>
      </c>
      <c r="R2575" s="46">
        <f>IF(AND(H2575="Realizado",L2575&lt;&gt;"",A2575&lt;=Config!$B$9),L2575/60,0)</f>
        <v>0</v>
      </c>
      <c r="S2575" s="45">
        <f>IF(G2575="","",IFERROR(INDEX(Config!$K$5:$K$16,MATCH(G2575,Config!$J$5:$J$16,0)),""))</f>
        <v/>
      </c>
      <c r="T2575" s="31">
        <f>IF(OR(G2575="",F2575=""),"",IFERROR(INDEX(Config!$M$5:$R$16,MATCH(G2575,Config!$J$5:$J$16,0),MATCH(F2575,Config!$H$5:$H$10,0)),""))</f>
        <v/>
      </c>
      <c r="U2575" s="47">
        <f>IF(AND(H2575="Realizado",L2575&lt;&gt;""),L2575/60,0)</f>
        <v>0</v>
      </c>
      <c r="V2575" s="47">
        <f>IF(AND(H2575="Realizado",OR(L2575="",M2575="")),1,0)</f>
        <v>0</v>
      </c>
    </row>
    <row r="2576">
      <c r="A2576" s="43" t="n"/>
      <c r="B2576" s="44" t="n"/>
      <c r="C2576" s="38" t="n"/>
      <c r="D2576" s="38" t="n"/>
      <c r="E2576" s="37" t="n"/>
      <c r="F2576" s="38" t="n"/>
      <c r="G2576" s="38" t="n"/>
      <c r="H2576" s="38" t="n"/>
      <c r="I2576" s="38" t="n"/>
      <c r="J2576" s="38" t="n"/>
      <c r="K2576" s="37" t="n"/>
      <c r="L2576" s="39" t="n"/>
      <c r="M2576" s="40" t="n"/>
      <c r="N2576" s="30">
        <f>IF(A2576="","",MONTH(A2576))</f>
        <v/>
      </c>
      <c r="O2576" s="30">
        <f>IF(A2576="","",YEAR(A2576))</f>
        <v/>
      </c>
      <c r="P2576" s="30">
        <f>IF(A2576="","",CHOOSE(WEEKDAY(A2576,2),"Segunda","Terça","Quarta","Quinta","Sexta","Sábado","Domingo"))</f>
        <v/>
      </c>
      <c r="Q2576" s="30">
        <f>IF(B2576="","",IF(B2576&lt;TIME(12,0,0),"Manhã",IF(B2576&lt;TIME(18,0,0),"Tarde","Noite")))</f>
        <v/>
      </c>
      <c r="R2576" s="46">
        <f>IF(AND(H2576="Realizado",L2576&lt;&gt;"",A2576&lt;=Config!$B$9),L2576/60,0)</f>
        <v>0</v>
      </c>
      <c r="S2576" s="45">
        <f>IF(G2576="","",IFERROR(INDEX(Config!$K$5:$K$16,MATCH(G2576,Config!$J$5:$J$16,0)),""))</f>
        <v/>
      </c>
      <c r="T2576" s="31">
        <f>IF(OR(G2576="",F2576=""),"",IFERROR(INDEX(Config!$M$5:$R$16,MATCH(G2576,Config!$J$5:$J$16,0),MATCH(F2576,Config!$H$5:$H$10,0)),""))</f>
        <v/>
      </c>
      <c r="U2576" s="47">
        <f>IF(AND(H2576="Realizado",L2576&lt;&gt;""),L2576/60,0)</f>
        <v>0</v>
      </c>
      <c r="V2576" s="47">
        <f>IF(AND(H2576="Realizado",OR(L2576="",M2576="")),1,0)</f>
        <v>0</v>
      </c>
    </row>
    <row r="2577">
      <c r="A2577" s="43" t="n"/>
      <c r="B2577" s="44" t="n"/>
      <c r="C2577" s="38" t="n"/>
      <c r="D2577" s="38" t="n"/>
      <c r="E2577" s="37" t="n"/>
      <c r="F2577" s="38" t="n"/>
      <c r="G2577" s="38" t="n"/>
      <c r="H2577" s="38" t="n"/>
      <c r="I2577" s="38" t="n"/>
      <c r="J2577" s="38" t="n"/>
      <c r="K2577" s="37" t="n"/>
      <c r="L2577" s="39" t="n"/>
      <c r="M2577" s="40" t="n"/>
      <c r="N2577" s="30">
        <f>IF(A2577="","",MONTH(A2577))</f>
        <v/>
      </c>
      <c r="O2577" s="30">
        <f>IF(A2577="","",YEAR(A2577))</f>
        <v/>
      </c>
      <c r="P2577" s="30">
        <f>IF(A2577="","",CHOOSE(WEEKDAY(A2577,2),"Segunda","Terça","Quarta","Quinta","Sexta","Sábado","Domingo"))</f>
        <v/>
      </c>
      <c r="Q2577" s="30">
        <f>IF(B2577="","",IF(B2577&lt;TIME(12,0,0),"Manhã",IF(B2577&lt;TIME(18,0,0),"Tarde","Noite")))</f>
        <v/>
      </c>
      <c r="R2577" s="46">
        <f>IF(AND(H2577="Realizado",L2577&lt;&gt;"",A2577&lt;=Config!$B$9),L2577/60,0)</f>
        <v>0</v>
      </c>
      <c r="S2577" s="45">
        <f>IF(G2577="","",IFERROR(INDEX(Config!$K$5:$K$16,MATCH(G2577,Config!$J$5:$J$16,0)),""))</f>
        <v/>
      </c>
      <c r="T2577" s="31">
        <f>IF(OR(G2577="",F2577=""),"",IFERROR(INDEX(Config!$M$5:$R$16,MATCH(G2577,Config!$J$5:$J$16,0),MATCH(F2577,Config!$H$5:$H$10,0)),""))</f>
        <v/>
      </c>
      <c r="U2577" s="47">
        <f>IF(AND(H2577="Realizado",L2577&lt;&gt;""),L2577/60,0)</f>
        <v>0</v>
      </c>
      <c r="V2577" s="47">
        <f>IF(AND(H2577="Realizado",OR(L2577="",M2577="")),1,0)</f>
        <v>0</v>
      </c>
    </row>
    <row r="2578">
      <c r="A2578" s="43" t="n"/>
      <c r="B2578" s="44" t="n"/>
      <c r="C2578" s="38" t="n"/>
      <c r="D2578" s="38" t="n"/>
      <c r="E2578" s="37" t="n"/>
      <c r="F2578" s="38" t="n"/>
      <c r="G2578" s="38" t="n"/>
      <c r="H2578" s="38" t="n"/>
      <c r="I2578" s="38" t="n"/>
      <c r="J2578" s="38" t="n"/>
      <c r="K2578" s="37" t="n"/>
      <c r="L2578" s="39" t="n"/>
      <c r="M2578" s="40" t="n"/>
      <c r="N2578" s="30">
        <f>IF(A2578="","",MONTH(A2578))</f>
        <v/>
      </c>
      <c r="O2578" s="30">
        <f>IF(A2578="","",YEAR(A2578))</f>
        <v/>
      </c>
      <c r="P2578" s="30">
        <f>IF(A2578="","",CHOOSE(WEEKDAY(A2578,2),"Segunda","Terça","Quarta","Quinta","Sexta","Sábado","Domingo"))</f>
        <v/>
      </c>
      <c r="Q2578" s="30">
        <f>IF(B2578="","",IF(B2578&lt;TIME(12,0,0),"Manhã",IF(B2578&lt;TIME(18,0,0),"Tarde","Noite")))</f>
        <v/>
      </c>
      <c r="R2578" s="46">
        <f>IF(AND(H2578="Realizado",L2578&lt;&gt;"",A2578&lt;=Config!$B$9),L2578/60,0)</f>
        <v>0</v>
      </c>
      <c r="S2578" s="45">
        <f>IF(G2578="","",IFERROR(INDEX(Config!$K$5:$K$16,MATCH(G2578,Config!$J$5:$J$16,0)),""))</f>
        <v/>
      </c>
      <c r="T2578" s="31">
        <f>IF(OR(G2578="",F2578=""),"",IFERROR(INDEX(Config!$M$5:$R$16,MATCH(G2578,Config!$J$5:$J$16,0),MATCH(F2578,Config!$H$5:$H$10,0)),""))</f>
        <v/>
      </c>
      <c r="U2578" s="47">
        <f>IF(AND(H2578="Realizado",L2578&lt;&gt;""),L2578/60,0)</f>
        <v>0</v>
      </c>
      <c r="V2578" s="47">
        <f>IF(AND(H2578="Realizado",OR(L2578="",M2578="")),1,0)</f>
        <v>0</v>
      </c>
    </row>
    <row r="2579">
      <c r="A2579" s="43" t="n"/>
      <c r="B2579" s="44" t="n"/>
      <c r="C2579" s="38" t="n"/>
      <c r="D2579" s="38" t="n"/>
      <c r="E2579" s="37" t="n"/>
      <c r="F2579" s="38" t="n"/>
      <c r="G2579" s="38" t="n"/>
      <c r="H2579" s="38" t="n"/>
      <c r="I2579" s="38" t="n"/>
      <c r="J2579" s="38" t="n"/>
      <c r="K2579" s="37" t="n"/>
      <c r="L2579" s="39" t="n"/>
      <c r="M2579" s="40" t="n"/>
      <c r="N2579" s="30">
        <f>IF(A2579="","",MONTH(A2579))</f>
        <v/>
      </c>
      <c r="O2579" s="30">
        <f>IF(A2579="","",YEAR(A2579))</f>
        <v/>
      </c>
      <c r="P2579" s="30">
        <f>IF(A2579="","",CHOOSE(WEEKDAY(A2579,2),"Segunda","Terça","Quarta","Quinta","Sexta","Sábado","Domingo"))</f>
        <v/>
      </c>
      <c r="Q2579" s="30">
        <f>IF(B2579="","",IF(B2579&lt;TIME(12,0,0),"Manhã",IF(B2579&lt;TIME(18,0,0),"Tarde","Noite")))</f>
        <v/>
      </c>
      <c r="R2579" s="46">
        <f>IF(AND(H2579="Realizado",L2579&lt;&gt;"",A2579&lt;=Config!$B$9),L2579/60,0)</f>
        <v>0</v>
      </c>
      <c r="S2579" s="45">
        <f>IF(G2579="","",IFERROR(INDEX(Config!$K$5:$K$16,MATCH(G2579,Config!$J$5:$J$16,0)),""))</f>
        <v/>
      </c>
      <c r="T2579" s="31">
        <f>IF(OR(G2579="",F2579=""),"",IFERROR(INDEX(Config!$M$5:$R$16,MATCH(G2579,Config!$J$5:$J$16,0),MATCH(F2579,Config!$H$5:$H$10,0)),""))</f>
        <v/>
      </c>
      <c r="U2579" s="47">
        <f>IF(AND(H2579="Realizado",L2579&lt;&gt;""),L2579/60,0)</f>
        <v>0</v>
      </c>
      <c r="V2579" s="47">
        <f>IF(AND(H2579="Realizado",OR(L2579="",M2579="")),1,0)</f>
        <v>0</v>
      </c>
    </row>
    <row r="2580">
      <c r="A2580" s="43" t="n"/>
      <c r="B2580" s="44" t="n"/>
      <c r="C2580" s="38" t="n"/>
      <c r="D2580" s="38" t="n"/>
      <c r="E2580" s="37" t="n"/>
      <c r="F2580" s="38" t="n"/>
      <c r="G2580" s="38" t="n"/>
      <c r="H2580" s="38" t="n"/>
      <c r="I2580" s="38" t="n"/>
      <c r="J2580" s="38" t="n"/>
      <c r="K2580" s="37" t="n"/>
      <c r="L2580" s="39" t="n"/>
      <c r="M2580" s="40" t="n"/>
      <c r="N2580" s="30">
        <f>IF(A2580="","",MONTH(A2580))</f>
        <v/>
      </c>
      <c r="O2580" s="30">
        <f>IF(A2580="","",YEAR(A2580))</f>
        <v/>
      </c>
      <c r="P2580" s="30">
        <f>IF(A2580="","",CHOOSE(WEEKDAY(A2580,2),"Segunda","Terça","Quarta","Quinta","Sexta","Sábado","Domingo"))</f>
        <v/>
      </c>
      <c r="Q2580" s="30">
        <f>IF(B2580="","",IF(B2580&lt;TIME(12,0,0),"Manhã",IF(B2580&lt;TIME(18,0,0),"Tarde","Noite")))</f>
        <v/>
      </c>
      <c r="R2580" s="46">
        <f>IF(AND(H2580="Realizado",L2580&lt;&gt;"",A2580&lt;=Config!$B$9),L2580/60,0)</f>
        <v>0</v>
      </c>
      <c r="S2580" s="45">
        <f>IF(G2580="","",IFERROR(INDEX(Config!$K$5:$K$16,MATCH(G2580,Config!$J$5:$J$16,0)),""))</f>
        <v/>
      </c>
      <c r="T2580" s="31">
        <f>IF(OR(G2580="",F2580=""),"",IFERROR(INDEX(Config!$M$5:$R$16,MATCH(G2580,Config!$J$5:$J$16,0),MATCH(F2580,Config!$H$5:$H$10,0)),""))</f>
        <v/>
      </c>
      <c r="U2580" s="47">
        <f>IF(AND(H2580="Realizado",L2580&lt;&gt;""),L2580/60,0)</f>
        <v>0</v>
      </c>
      <c r="V2580" s="47">
        <f>IF(AND(H2580="Realizado",OR(L2580="",M2580="")),1,0)</f>
        <v>0</v>
      </c>
    </row>
    <row r="2581">
      <c r="A2581" s="43" t="n"/>
      <c r="B2581" s="44" t="n"/>
      <c r="C2581" s="38" t="n"/>
      <c r="D2581" s="38" t="n"/>
      <c r="E2581" s="37" t="n"/>
      <c r="F2581" s="38" t="n"/>
      <c r="G2581" s="38" t="n"/>
      <c r="H2581" s="38" t="n"/>
      <c r="I2581" s="38" t="n"/>
      <c r="J2581" s="38" t="n"/>
      <c r="K2581" s="37" t="n"/>
      <c r="L2581" s="39" t="n"/>
      <c r="M2581" s="40" t="n"/>
      <c r="N2581" s="30">
        <f>IF(A2581="","",MONTH(A2581))</f>
        <v/>
      </c>
      <c r="O2581" s="30">
        <f>IF(A2581="","",YEAR(A2581))</f>
        <v/>
      </c>
      <c r="P2581" s="30">
        <f>IF(A2581="","",CHOOSE(WEEKDAY(A2581,2),"Segunda","Terça","Quarta","Quinta","Sexta","Sábado","Domingo"))</f>
        <v/>
      </c>
      <c r="Q2581" s="30">
        <f>IF(B2581="","",IF(B2581&lt;TIME(12,0,0),"Manhã",IF(B2581&lt;TIME(18,0,0),"Tarde","Noite")))</f>
        <v/>
      </c>
      <c r="R2581" s="46">
        <f>IF(AND(H2581="Realizado",L2581&lt;&gt;"",A2581&lt;=Config!$B$9),L2581/60,0)</f>
        <v>0</v>
      </c>
      <c r="S2581" s="45">
        <f>IF(G2581="","",IFERROR(INDEX(Config!$K$5:$K$16,MATCH(G2581,Config!$J$5:$J$16,0)),""))</f>
        <v/>
      </c>
      <c r="T2581" s="31">
        <f>IF(OR(G2581="",F2581=""),"",IFERROR(INDEX(Config!$M$5:$R$16,MATCH(G2581,Config!$J$5:$J$16,0),MATCH(F2581,Config!$H$5:$H$10,0)),""))</f>
        <v/>
      </c>
      <c r="U2581" s="47">
        <f>IF(AND(H2581="Realizado",L2581&lt;&gt;""),L2581/60,0)</f>
        <v>0</v>
      </c>
      <c r="V2581" s="47">
        <f>IF(AND(H2581="Realizado",OR(L2581="",M2581="")),1,0)</f>
        <v>0</v>
      </c>
    </row>
    <row r="2582">
      <c r="A2582" s="43" t="n"/>
      <c r="B2582" s="44" t="n"/>
      <c r="C2582" s="38" t="n"/>
      <c r="D2582" s="38" t="n"/>
      <c r="E2582" s="37" t="n"/>
      <c r="F2582" s="38" t="n"/>
      <c r="G2582" s="38" t="n"/>
      <c r="H2582" s="38" t="n"/>
      <c r="I2582" s="38" t="n"/>
      <c r="J2582" s="38" t="n"/>
      <c r="K2582" s="37" t="n"/>
      <c r="L2582" s="39" t="n"/>
      <c r="M2582" s="40" t="n"/>
      <c r="N2582" s="30">
        <f>IF(A2582="","",MONTH(A2582))</f>
        <v/>
      </c>
      <c r="O2582" s="30">
        <f>IF(A2582="","",YEAR(A2582))</f>
        <v/>
      </c>
      <c r="P2582" s="30">
        <f>IF(A2582="","",CHOOSE(WEEKDAY(A2582,2),"Segunda","Terça","Quarta","Quinta","Sexta","Sábado","Domingo"))</f>
        <v/>
      </c>
      <c r="Q2582" s="30">
        <f>IF(B2582="","",IF(B2582&lt;TIME(12,0,0),"Manhã",IF(B2582&lt;TIME(18,0,0),"Tarde","Noite")))</f>
        <v/>
      </c>
      <c r="R2582" s="46">
        <f>IF(AND(H2582="Realizado",L2582&lt;&gt;"",A2582&lt;=Config!$B$9),L2582/60,0)</f>
        <v>0</v>
      </c>
      <c r="S2582" s="45">
        <f>IF(G2582="","",IFERROR(INDEX(Config!$K$5:$K$16,MATCH(G2582,Config!$J$5:$J$16,0)),""))</f>
        <v/>
      </c>
      <c r="T2582" s="31">
        <f>IF(OR(G2582="",F2582=""),"",IFERROR(INDEX(Config!$M$5:$R$16,MATCH(G2582,Config!$J$5:$J$16,0),MATCH(F2582,Config!$H$5:$H$10,0)),""))</f>
        <v/>
      </c>
      <c r="U2582" s="47">
        <f>IF(AND(H2582="Realizado",L2582&lt;&gt;""),L2582/60,0)</f>
        <v>0</v>
      </c>
      <c r="V2582" s="47">
        <f>IF(AND(H2582="Realizado",OR(L2582="",M2582="")),1,0)</f>
        <v>0</v>
      </c>
    </row>
    <row r="2583">
      <c r="A2583" s="43" t="n"/>
      <c r="B2583" s="44" t="n"/>
      <c r="C2583" s="38" t="n"/>
      <c r="D2583" s="38" t="n"/>
      <c r="E2583" s="37" t="n"/>
      <c r="F2583" s="38" t="n"/>
      <c r="G2583" s="38" t="n"/>
      <c r="H2583" s="38" t="n"/>
      <c r="I2583" s="38" t="n"/>
      <c r="J2583" s="38" t="n"/>
      <c r="K2583" s="37" t="n"/>
      <c r="L2583" s="39" t="n"/>
      <c r="M2583" s="40" t="n"/>
      <c r="N2583" s="30">
        <f>IF(A2583="","",MONTH(A2583))</f>
        <v/>
      </c>
      <c r="O2583" s="30">
        <f>IF(A2583="","",YEAR(A2583))</f>
        <v/>
      </c>
      <c r="P2583" s="30">
        <f>IF(A2583="","",CHOOSE(WEEKDAY(A2583,2),"Segunda","Terça","Quarta","Quinta","Sexta","Sábado","Domingo"))</f>
        <v/>
      </c>
      <c r="Q2583" s="30">
        <f>IF(B2583="","",IF(B2583&lt;TIME(12,0,0),"Manhã",IF(B2583&lt;TIME(18,0,0),"Tarde","Noite")))</f>
        <v/>
      </c>
      <c r="R2583" s="46">
        <f>IF(AND(H2583="Realizado",L2583&lt;&gt;"",A2583&lt;=Config!$B$9),L2583/60,0)</f>
        <v>0</v>
      </c>
      <c r="S2583" s="45">
        <f>IF(G2583="","",IFERROR(INDEX(Config!$K$5:$K$16,MATCH(G2583,Config!$J$5:$J$16,0)),""))</f>
        <v/>
      </c>
      <c r="T2583" s="31">
        <f>IF(OR(G2583="",F2583=""),"",IFERROR(INDEX(Config!$M$5:$R$16,MATCH(G2583,Config!$J$5:$J$16,0),MATCH(F2583,Config!$H$5:$H$10,0)),""))</f>
        <v/>
      </c>
      <c r="U2583" s="47">
        <f>IF(AND(H2583="Realizado",L2583&lt;&gt;""),L2583/60,0)</f>
        <v>0</v>
      </c>
      <c r="V2583" s="47">
        <f>IF(AND(H2583="Realizado",OR(L2583="",M2583="")),1,0)</f>
        <v>0</v>
      </c>
    </row>
    <row r="2584">
      <c r="A2584" s="43" t="n"/>
      <c r="B2584" s="44" t="n"/>
      <c r="C2584" s="38" t="n"/>
      <c r="D2584" s="38" t="n"/>
      <c r="E2584" s="37" t="n"/>
      <c r="F2584" s="38" t="n"/>
      <c r="G2584" s="38" t="n"/>
      <c r="H2584" s="38" t="n"/>
      <c r="I2584" s="38" t="n"/>
      <c r="J2584" s="38" t="n"/>
      <c r="K2584" s="37" t="n"/>
      <c r="L2584" s="39" t="n"/>
      <c r="M2584" s="40" t="n"/>
      <c r="N2584" s="30">
        <f>IF(A2584="","",MONTH(A2584))</f>
        <v/>
      </c>
      <c r="O2584" s="30">
        <f>IF(A2584="","",YEAR(A2584))</f>
        <v/>
      </c>
      <c r="P2584" s="30">
        <f>IF(A2584="","",CHOOSE(WEEKDAY(A2584,2),"Segunda","Terça","Quarta","Quinta","Sexta","Sábado","Domingo"))</f>
        <v/>
      </c>
      <c r="Q2584" s="30">
        <f>IF(B2584="","",IF(B2584&lt;TIME(12,0,0),"Manhã",IF(B2584&lt;TIME(18,0,0),"Tarde","Noite")))</f>
        <v/>
      </c>
      <c r="R2584" s="46">
        <f>IF(AND(H2584="Realizado",L2584&lt;&gt;"",A2584&lt;=Config!$B$9),L2584/60,0)</f>
        <v>0</v>
      </c>
      <c r="S2584" s="45">
        <f>IF(G2584="","",IFERROR(INDEX(Config!$K$5:$K$16,MATCH(G2584,Config!$J$5:$J$16,0)),""))</f>
        <v/>
      </c>
      <c r="T2584" s="31">
        <f>IF(OR(G2584="",F2584=""),"",IFERROR(INDEX(Config!$M$5:$R$16,MATCH(G2584,Config!$J$5:$J$16,0),MATCH(F2584,Config!$H$5:$H$10,0)),""))</f>
        <v/>
      </c>
      <c r="U2584" s="47">
        <f>IF(AND(H2584="Realizado",L2584&lt;&gt;""),L2584/60,0)</f>
        <v>0</v>
      </c>
      <c r="V2584" s="47">
        <f>IF(AND(H2584="Realizado",OR(L2584="",M2584="")),1,0)</f>
        <v>0</v>
      </c>
    </row>
    <row r="2585">
      <c r="A2585" s="43" t="n"/>
      <c r="B2585" s="44" t="n"/>
      <c r="C2585" s="38" t="n"/>
      <c r="D2585" s="38" t="n"/>
      <c r="E2585" s="37" t="n"/>
      <c r="F2585" s="38" t="n"/>
      <c r="G2585" s="38" t="n"/>
      <c r="H2585" s="38" t="n"/>
      <c r="I2585" s="38" t="n"/>
      <c r="J2585" s="38" t="n"/>
      <c r="K2585" s="37" t="n"/>
      <c r="L2585" s="39" t="n"/>
      <c r="M2585" s="40" t="n"/>
      <c r="N2585" s="30">
        <f>IF(A2585="","",MONTH(A2585))</f>
        <v/>
      </c>
      <c r="O2585" s="30">
        <f>IF(A2585="","",YEAR(A2585))</f>
        <v/>
      </c>
      <c r="P2585" s="30">
        <f>IF(A2585="","",CHOOSE(WEEKDAY(A2585,2),"Segunda","Terça","Quarta","Quinta","Sexta","Sábado","Domingo"))</f>
        <v/>
      </c>
      <c r="Q2585" s="30">
        <f>IF(B2585="","",IF(B2585&lt;TIME(12,0,0),"Manhã",IF(B2585&lt;TIME(18,0,0),"Tarde","Noite")))</f>
        <v/>
      </c>
      <c r="R2585" s="46">
        <f>IF(AND(H2585="Realizado",L2585&lt;&gt;"",A2585&lt;=Config!$B$9),L2585/60,0)</f>
        <v>0</v>
      </c>
      <c r="S2585" s="45">
        <f>IF(G2585="","",IFERROR(INDEX(Config!$K$5:$K$16,MATCH(G2585,Config!$J$5:$J$16,0)),""))</f>
        <v/>
      </c>
      <c r="T2585" s="31">
        <f>IF(OR(G2585="",F2585=""),"",IFERROR(INDEX(Config!$M$5:$R$16,MATCH(G2585,Config!$J$5:$J$16,0),MATCH(F2585,Config!$H$5:$H$10,0)),""))</f>
        <v/>
      </c>
      <c r="U2585" s="47">
        <f>IF(AND(H2585="Realizado",L2585&lt;&gt;""),L2585/60,0)</f>
        <v>0</v>
      </c>
      <c r="V2585" s="47">
        <f>IF(AND(H2585="Realizado",OR(L2585="",M2585="")),1,0)</f>
        <v>0</v>
      </c>
    </row>
    <row r="2586">
      <c r="A2586" s="43" t="n"/>
      <c r="B2586" s="44" t="n"/>
      <c r="C2586" s="38" t="n"/>
      <c r="D2586" s="38" t="n"/>
      <c r="E2586" s="37" t="n"/>
      <c r="F2586" s="38" t="n"/>
      <c r="G2586" s="38" t="n"/>
      <c r="H2586" s="38" t="n"/>
      <c r="I2586" s="38" t="n"/>
      <c r="J2586" s="38" t="n"/>
      <c r="K2586" s="37" t="n"/>
      <c r="L2586" s="39" t="n"/>
      <c r="M2586" s="40" t="n"/>
      <c r="N2586" s="30">
        <f>IF(A2586="","",MONTH(A2586))</f>
        <v/>
      </c>
      <c r="O2586" s="30">
        <f>IF(A2586="","",YEAR(A2586))</f>
        <v/>
      </c>
      <c r="P2586" s="30">
        <f>IF(A2586="","",CHOOSE(WEEKDAY(A2586,2),"Segunda","Terça","Quarta","Quinta","Sexta","Sábado","Domingo"))</f>
        <v/>
      </c>
      <c r="Q2586" s="30">
        <f>IF(B2586="","",IF(B2586&lt;TIME(12,0,0),"Manhã",IF(B2586&lt;TIME(18,0,0),"Tarde","Noite")))</f>
        <v/>
      </c>
      <c r="R2586" s="46">
        <f>IF(AND(H2586="Realizado",L2586&lt;&gt;"",A2586&lt;=Config!$B$9),L2586/60,0)</f>
        <v>0</v>
      </c>
      <c r="S2586" s="45">
        <f>IF(G2586="","",IFERROR(INDEX(Config!$K$5:$K$16,MATCH(G2586,Config!$J$5:$J$16,0)),""))</f>
        <v/>
      </c>
      <c r="T2586" s="31">
        <f>IF(OR(G2586="",F2586=""),"",IFERROR(INDEX(Config!$M$5:$R$16,MATCH(G2586,Config!$J$5:$J$16,0),MATCH(F2586,Config!$H$5:$H$10,0)),""))</f>
        <v/>
      </c>
      <c r="U2586" s="47">
        <f>IF(AND(H2586="Realizado",L2586&lt;&gt;""),L2586/60,0)</f>
        <v>0</v>
      </c>
      <c r="V2586" s="47">
        <f>IF(AND(H2586="Realizado",OR(L2586="",M2586="")),1,0)</f>
        <v>0</v>
      </c>
    </row>
    <row r="2587">
      <c r="A2587" s="43" t="n"/>
      <c r="B2587" s="44" t="n"/>
      <c r="C2587" s="38" t="n"/>
      <c r="D2587" s="38" t="n"/>
      <c r="E2587" s="37" t="n"/>
      <c r="F2587" s="38" t="n"/>
      <c r="G2587" s="38" t="n"/>
      <c r="H2587" s="38" t="n"/>
      <c r="I2587" s="38" t="n"/>
      <c r="J2587" s="38" t="n"/>
      <c r="K2587" s="37" t="n"/>
      <c r="L2587" s="39" t="n"/>
      <c r="M2587" s="40" t="n"/>
      <c r="N2587" s="30">
        <f>IF(A2587="","",MONTH(A2587))</f>
        <v/>
      </c>
      <c r="O2587" s="30">
        <f>IF(A2587="","",YEAR(A2587))</f>
        <v/>
      </c>
      <c r="P2587" s="30">
        <f>IF(A2587="","",CHOOSE(WEEKDAY(A2587,2),"Segunda","Terça","Quarta","Quinta","Sexta","Sábado","Domingo"))</f>
        <v/>
      </c>
      <c r="Q2587" s="30">
        <f>IF(B2587="","",IF(B2587&lt;TIME(12,0,0),"Manhã",IF(B2587&lt;TIME(18,0,0),"Tarde","Noite")))</f>
        <v/>
      </c>
      <c r="R2587" s="46">
        <f>IF(AND(H2587="Realizado",L2587&lt;&gt;"",A2587&lt;=Config!$B$9),L2587/60,0)</f>
        <v>0</v>
      </c>
      <c r="S2587" s="45">
        <f>IF(G2587="","",IFERROR(INDEX(Config!$K$5:$K$16,MATCH(G2587,Config!$J$5:$J$16,0)),""))</f>
        <v/>
      </c>
      <c r="T2587" s="31">
        <f>IF(OR(G2587="",F2587=""),"",IFERROR(INDEX(Config!$M$5:$R$16,MATCH(G2587,Config!$J$5:$J$16,0),MATCH(F2587,Config!$H$5:$H$10,0)),""))</f>
        <v/>
      </c>
      <c r="U2587" s="47">
        <f>IF(AND(H2587="Realizado",L2587&lt;&gt;""),L2587/60,0)</f>
        <v>0</v>
      </c>
      <c r="V2587" s="47">
        <f>IF(AND(H2587="Realizado",OR(L2587="",M2587="")),1,0)</f>
        <v>0</v>
      </c>
    </row>
    <row r="2588">
      <c r="A2588" s="43" t="n"/>
      <c r="B2588" s="44" t="n"/>
      <c r="C2588" s="38" t="n"/>
      <c r="D2588" s="38" t="n"/>
      <c r="E2588" s="37" t="n"/>
      <c r="F2588" s="38" t="n"/>
      <c r="G2588" s="38" t="n"/>
      <c r="H2588" s="38" t="n"/>
      <c r="I2588" s="38" t="n"/>
      <c r="J2588" s="38" t="n"/>
      <c r="K2588" s="37" t="n"/>
      <c r="L2588" s="39" t="n"/>
      <c r="M2588" s="40" t="n"/>
      <c r="N2588" s="30">
        <f>IF(A2588="","",MONTH(A2588))</f>
        <v/>
      </c>
      <c r="O2588" s="30">
        <f>IF(A2588="","",YEAR(A2588))</f>
        <v/>
      </c>
      <c r="P2588" s="30">
        <f>IF(A2588="","",CHOOSE(WEEKDAY(A2588,2),"Segunda","Terça","Quarta","Quinta","Sexta","Sábado","Domingo"))</f>
        <v/>
      </c>
      <c r="Q2588" s="30">
        <f>IF(B2588="","",IF(B2588&lt;TIME(12,0,0),"Manhã",IF(B2588&lt;TIME(18,0,0),"Tarde","Noite")))</f>
        <v/>
      </c>
      <c r="R2588" s="46">
        <f>IF(AND(H2588="Realizado",L2588&lt;&gt;"",A2588&lt;=Config!$B$9),L2588/60,0)</f>
        <v>0</v>
      </c>
      <c r="S2588" s="45">
        <f>IF(G2588="","",IFERROR(INDEX(Config!$K$5:$K$16,MATCH(G2588,Config!$J$5:$J$16,0)),""))</f>
        <v/>
      </c>
      <c r="T2588" s="31">
        <f>IF(OR(G2588="",F2588=""),"",IFERROR(INDEX(Config!$M$5:$R$16,MATCH(G2588,Config!$J$5:$J$16,0),MATCH(F2588,Config!$H$5:$H$10,0)),""))</f>
        <v/>
      </c>
      <c r="U2588" s="47">
        <f>IF(AND(H2588="Realizado",L2588&lt;&gt;""),L2588/60,0)</f>
        <v>0</v>
      </c>
      <c r="V2588" s="47">
        <f>IF(AND(H2588="Realizado",OR(L2588="",M2588="")),1,0)</f>
        <v>0</v>
      </c>
    </row>
    <row r="2589">
      <c r="A2589" s="43" t="n"/>
      <c r="B2589" s="44" t="n"/>
      <c r="C2589" s="38" t="n"/>
      <c r="D2589" s="38" t="n"/>
      <c r="E2589" s="37" t="n"/>
      <c r="F2589" s="38" t="n"/>
      <c r="G2589" s="38" t="n"/>
      <c r="H2589" s="38" t="n"/>
      <c r="I2589" s="38" t="n"/>
      <c r="J2589" s="38" t="n"/>
      <c r="K2589" s="37" t="n"/>
      <c r="L2589" s="39" t="n"/>
      <c r="M2589" s="40" t="n"/>
      <c r="N2589" s="30">
        <f>IF(A2589="","",MONTH(A2589))</f>
        <v/>
      </c>
      <c r="O2589" s="30">
        <f>IF(A2589="","",YEAR(A2589))</f>
        <v/>
      </c>
      <c r="P2589" s="30">
        <f>IF(A2589="","",CHOOSE(WEEKDAY(A2589,2),"Segunda","Terça","Quarta","Quinta","Sexta","Sábado","Domingo"))</f>
        <v/>
      </c>
      <c r="Q2589" s="30">
        <f>IF(B2589="","",IF(B2589&lt;TIME(12,0,0),"Manhã",IF(B2589&lt;TIME(18,0,0),"Tarde","Noite")))</f>
        <v/>
      </c>
      <c r="R2589" s="46">
        <f>IF(AND(H2589="Realizado",L2589&lt;&gt;"",A2589&lt;=Config!$B$9),L2589/60,0)</f>
        <v>0</v>
      </c>
      <c r="S2589" s="45">
        <f>IF(G2589="","",IFERROR(INDEX(Config!$K$5:$K$16,MATCH(G2589,Config!$J$5:$J$16,0)),""))</f>
        <v/>
      </c>
      <c r="T2589" s="31">
        <f>IF(OR(G2589="",F2589=""),"",IFERROR(INDEX(Config!$M$5:$R$16,MATCH(G2589,Config!$J$5:$J$16,0),MATCH(F2589,Config!$H$5:$H$10,0)),""))</f>
        <v/>
      </c>
      <c r="U2589" s="47">
        <f>IF(AND(H2589="Realizado",L2589&lt;&gt;""),L2589/60,0)</f>
        <v>0</v>
      </c>
      <c r="V2589" s="47">
        <f>IF(AND(H2589="Realizado",OR(L2589="",M2589="")),1,0)</f>
        <v>0</v>
      </c>
    </row>
    <row r="2590">
      <c r="A2590" s="43" t="n"/>
      <c r="B2590" s="44" t="n"/>
      <c r="C2590" s="38" t="n"/>
      <c r="D2590" s="38" t="n"/>
      <c r="E2590" s="37" t="n"/>
      <c r="F2590" s="38" t="n"/>
      <c r="G2590" s="38" t="n"/>
      <c r="H2590" s="38" t="n"/>
      <c r="I2590" s="38" t="n"/>
      <c r="J2590" s="38" t="n"/>
      <c r="K2590" s="37" t="n"/>
      <c r="L2590" s="39" t="n"/>
      <c r="M2590" s="40" t="n"/>
      <c r="N2590" s="30">
        <f>IF(A2590="","",MONTH(A2590))</f>
        <v/>
      </c>
      <c r="O2590" s="30">
        <f>IF(A2590="","",YEAR(A2590))</f>
        <v/>
      </c>
      <c r="P2590" s="30">
        <f>IF(A2590="","",CHOOSE(WEEKDAY(A2590,2),"Segunda","Terça","Quarta","Quinta","Sexta","Sábado","Domingo"))</f>
        <v/>
      </c>
      <c r="Q2590" s="30">
        <f>IF(B2590="","",IF(B2590&lt;TIME(12,0,0),"Manhã",IF(B2590&lt;TIME(18,0,0),"Tarde","Noite")))</f>
        <v/>
      </c>
      <c r="R2590" s="46">
        <f>IF(AND(H2590="Realizado",L2590&lt;&gt;"",A2590&lt;=Config!$B$9),L2590/60,0)</f>
        <v>0</v>
      </c>
      <c r="S2590" s="45">
        <f>IF(G2590="","",IFERROR(INDEX(Config!$K$5:$K$16,MATCH(G2590,Config!$J$5:$J$16,0)),""))</f>
        <v/>
      </c>
      <c r="T2590" s="31">
        <f>IF(OR(G2590="",F2590=""),"",IFERROR(INDEX(Config!$M$5:$R$16,MATCH(G2590,Config!$J$5:$J$16,0),MATCH(F2590,Config!$H$5:$H$10,0)),""))</f>
        <v/>
      </c>
      <c r="U2590" s="47">
        <f>IF(AND(H2590="Realizado",L2590&lt;&gt;""),L2590/60,0)</f>
        <v>0</v>
      </c>
      <c r="V2590" s="47">
        <f>IF(AND(H2590="Realizado",OR(L2590="",M2590="")),1,0)</f>
        <v>0</v>
      </c>
    </row>
    <row r="2591">
      <c r="A2591" s="43" t="n"/>
      <c r="B2591" s="44" t="n"/>
      <c r="C2591" s="38" t="n"/>
      <c r="D2591" s="38" t="n"/>
      <c r="E2591" s="37" t="n"/>
      <c r="F2591" s="38" t="n"/>
      <c r="G2591" s="38" t="n"/>
      <c r="H2591" s="38" t="n"/>
      <c r="I2591" s="38" t="n"/>
      <c r="J2591" s="38" t="n"/>
      <c r="K2591" s="37" t="n"/>
      <c r="L2591" s="39" t="n"/>
      <c r="M2591" s="40" t="n"/>
      <c r="N2591" s="30">
        <f>IF(A2591="","",MONTH(A2591))</f>
        <v/>
      </c>
      <c r="O2591" s="30">
        <f>IF(A2591="","",YEAR(A2591))</f>
        <v/>
      </c>
      <c r="P2591" s="30">
        <f>IF(A2591="","",CHOOSE(WEEKDAY(A2591,2),"Segunda","Terça","Quarta","Quinta","Sexta","Sábado","Domingo"))</f>
        <v/>
      </c>
      <c r="Q2591" s="30">
        <f>IF(B2591="","",IF(B2591&lt;TIME(12,0,0),"Manhã",IF(B2591&lt;TIME(18,0,0),"Tarde","Noite")))</f>
        <v/>
      </c>
      <c r="R2591" s="46">
        <f>IF(AND(H2591="Realizado",L2591&lt;&gt;"",A2591&lt;=Config!$B$9),L2591/60,0)</f>
        <v>0</v>
      </c>
      <c r="S2591" s="45">
        <f>IF(G2591="","",IFERROR(INDEX(Config!$K$5:$K$16,MATCH(G2591,Config!$J$5:$J$16,0)),""))</f>
        <v/>
      </c>
      <c r="T2591" s="31">
        <f>IF(OR(G2591="",F2591=""),"",IFERROR(INDEX(Config!$M$5:$R$16,MATCH(G2591,Config!$J$5:$J$16,0),MATCH(F2591,Config!$H$5:$H$10,0)),""))</f>
        <v/>
      </c>
      <c r="U2591" s="47">
        <f>IF(AND(H2591="Realizado",L2591&lt;&gt;""),L2591/60,0)</f>
        <v>0</v>
      </c>
      <c r="V2591" s="47">
        <f>IF(AND(H2591="Realizado",OR(L2591="",M2591="")),1,0)</f>
        <v>0</v>
      </c>
    </row>
    <row r="2592">
      <c r="A2592" s="43" t="n"/>
      <c r="B2592" s="44" t="n"/>
      <c r="C2592" s="38" t="n"/>
      <c r="D2592" s="38" t="n"/>
      <c r="E2592" s="37" t="n"/>
      <c r="F2592" s="38" t="n"/>
      <c r="G2592" s="38" t="n"/>
      <c r="H2592" s="38" t="n"/>
      <c r="I2592" s="38" t="n"/>
      <c r="J2592" s="38" t="n"/>
      <c r="K2592" s="37" t="n"/>
      <c r="L2592" s="39" t="n"/>
      <c r="M2592" s="40" t="n"/>
      <c r="N2592" s="30">
        <f>IF(A2592="","",MONTH(A2592))</f>
        <v/>
      </c>
      <c r="O2592" s="30">
        <f>IF(A2592="","",YEAR(A2592))</f>
        <v/>
      </c>
      <c r="P2592" s="30">
        <f>IF(A2592="","",CHOOSE(WEEKDAY(A2592,2),"Segunda","Terça","Quarta","Quinta","Sexta","Sábado","Domingo"))</f>
        <v/>
      </c>
      <c r="Q2592" s="30">
        <f>IF(B2592="","",IF(B2592&lt;TIME(12,0,0),"Manhã",IF(B2592&lt;TIME(18,0,0),"Tarde","Noite")))</f>
        <v/>
      </c>
      <c r="R2592" s="46">
        <f>IF(AND(H2592="Realizado",L2592&lt;&gt;"",A2592&lt;=Config!$B$9),L2592/60,0)</f>
        <v>0</v>
      </c>
      <c r="S2592" s="45">
        <f>IF(G2592="","",IFERROR(INDEX(Config!$K$5:$K$16,MATCH(G2592,Config!$J$5:$J$16,0)),""))</f>
        <v/>
      </c>
      <c r="T2592" s="31">
        <f>IF(OR(G2592="",F2592=""),"",IFERROR(INDEX(Config!$M$5:$R$16,MATCH(G2592,Config!$J$5:$J$16,0),MATCH(F2592,Config!$H$5:$H$10,0)),""))</f>
        <v/>
      </c>
      <c r="U2592" s="47">
        <f>IF(AND(H2592="Realizado",L2592&lt;&gt;""),L2592/60,0)</f>
        <v>0</v>
      </c>
      <c r="V2592" s="47">
        <f>IF(AND(H2592="Realizado",OR(L2592="",M2592="")),1,0)</f>
        <v>0</v>
      </c>
    </row>
    <row r="2593">
      <c r="A2593" s="43" t="n"/>
      <c r="B2593" s="44" t="n"/>
      <c r="C2593" s="38" t="n"/>
      <c r="D2593" s="38" t="n"/>
      <c r="E2593" s="37" t="n"/>
      <c r="F2593" s="38" t="n"/>
      <c r="G2593" s="38" t="n"/>
      <c r="H2593" s="38" t="n"/>
      <c r="I2593" s="38" t="n"/>
      <c r="J2593" s="38" t="n"/>
      <c r="K2593" s="37" t="n"/>
      <c r="L2593" s="39" t="n"/>
      <c r="M2593" s="40" t="n"/>
      <c r="N2593" s="30">
        <f>IF(A2593="","",MONTH(A2593))</f>
        <v/>
      </c>
      <c r="O2593" s="30">
        <f>IF(A2593="","",YEAR(A2593))</f>
        <v/>
      </c>
      <c r="P2593" s="30">
        <f>IF(A2593="","",CHOOSE(WEEKDAY(A2593,2),"Segunda","Terça","Quarta","Quinta","Sexta","Sábado","Domingo"))</f>
        <v/>
      </c>
      <c r="Q2593" s="30">
        <f>IF(B2593="","",IF(B2593&lt;TIME(12,0,0),"Manhã",IF(B2593&lt;TIME(18,0,0),"Tarde","Noite")))</f>
        <v/>
      </c>
      <c r="R2593" s="46">
        <f>IF(AND(H2593="Realizado",L2593&lt;&gt;"",A2593&lt;=Config!$B$9),L2593/60,0)</f>
        <v>0</v>
      </c>
      <c r="S2593" s="45">
        <f>IF(G2593="","",IFERROR(INDEX(Config!$K$5:$K$16,MATCH(G2593,Config!$J$5:$J$16,0)),""))</f>
        <v/>
      </c>
      <c r="T2593" s="31">
        <f>IF(OR(G2593="",F2593=""),"",IFERROR(INDEX(Config!$M$5:$R$16,MATCH(G2593,Config!$J$5:$J$16,0),MATCH(F2593,Config!$H$5:$H$10,0)),""))</f>
        <v/>
      </c>
      <c r="U2593" s="47">
        <f>IF(AND(H2593="Realizado",L2593&lt;&gt;""),L2593/60,0)</f>
        <v>0</v>
      </c>
      <c r="V2593" s="47">
        <f>IF(AND(H2593="Realizado",OR(L2593="",M2593="")),1,0)</f>
        <v>0</v>
      </c>
    </row>
    <row r="2594">
      <c r="A2594" s="43" t="n"/>
      <c r="B2594" s="44" t="n"/>
      <c r="C2594" s="38" t="n"/>
      <c r="D2594" s="38" t="n"/>
      <c r="E2594" s="37" t="n"/>
      <c r="F2594" s="38" t="n"/>
      <c r="G2594" s="38" t="n"/>
      <c r="H2594" s="38" t="n"/>
      <c r="I2594" s="38" t="n"/>
      <c r="J2594" s="38" t="n"/>
      <c r="K2594" s="37" t="n"/>
      <c r="L2594" s="39" t="n"/>
      <c r="M2594" s="40" t="n"/>
      <c r="N2594" s="30">
        <f>IF(A2594="","",MONTH(A2594))</f>
        <v/>
      </c>
      <c r="O2594" s="30">
        <f>IF(A2594="","",YEAR(A2594))</f>
        <v/>
      </c>
      <c r="P2594" s="30">
        <f>IF(A2594="","",CHOOSE(WEEKDAY(A2594,2),"Segunda","Terça","Quarta","Quinta","Sexta","Sábado","Domingo"))</f>
        <v/>
      </c>
      <c r="Q2594" s="30">
        <f>IF(B2594="","",IF(B2594&lt;TIME(12,0,0),"Manhã",IF(B2594&lt;TIME(18,0,0),"Tarde","Noite")))</f>
        <v/>
      </c>
      <c r="R2594" s="46">
        <f>IF(AND(H2594="Realizado",L2594&lt;&gt;"",A2594&lt;=Config!$B$9),L2594/60,0)</f>
        <v>0</v>
      </c>
      <c r="S2594" s="45">
        <f>IF(G2594="","",IFERROR(INDEX(Config!$K$5:$K$16,MATCH(G2594,Config!$J$5:$J$16,0)),""))</f>
        <v/>
      </c>
      <c r="T2594" s="31">
        <f>IF(OR(G2594="",F2594=""),"",IFERROR(INDEX(Config!$M$5:$R$16,MATCH(G2594,Config!$J$5:$J$16,0),MATCH(F2594,Config!$H$5:$H$10,0)),""))</f>
        <v/>
      </c>
      <c r="U2594" s="47">
        <f>IF(AND(H2594="Realizado",L2594&lt;&gt;""),L2594/60,0)</f>
        <v>0</v>
      </c>
      <c r="V2594" s="47">
        <f>IF(AND(H2594="Realizado",OR(L2594="",M2594="")),1,0)</f>
        <v>0</v>
      </c>
    </row>
    <row r="2595">
      <c r="A2595" s="43" t="n"/>
      <c r="B2595" s="44" t="n"/>
      <c r="C2595" s="38" t="n"/>
      <c r="D2595" s="38" t="n"/>
      <c r="E2595" s="37" t="n"/>
      <c r="F2595" s="38" t="n"/>
      <c r="G2595" s="38" t="n"/>
      <c r="H2595" s="38" t="n"/>
      <c r="I2595" s="38" t="n"/>
      <c r="J2595" s="38" t="n"/>
      <c r="K2595" s="37" t="n"/>
      <c r="L2595" s="39" t="n"/>
      <c r="M2595" s="40" t="n"/>
      <c r="N2595" s="30">
        <f>IF(A2595="","",MONTH(A2595))</f>
        <v/>
      </c>
      <c r="O2595" s="30">
        <f>IF(A2595="","",YEAR(A2595))</f>
        <v/>
      </c>
      <c r="P2595" s="30">
        <f>IF(A2595="","",CHOOSE(WEEKDAY(A2595,2),"Segunda","Terça","Quarta","Quinta","Sexta","Sábado","Domingo"))</f>
        <v/>
      </c>
      <c r="Q2595" s="30">
        <f>IF(B2595="","",IF(B2595&lt;TIME(12,0,0),"Manhã",IF(B2595&lt;TIME(18,0,0),"Tarde","Noite")))</f>
        <v/>
      </c>
      <c r="R2595" s="46">
        <f>IF(AND(H2595="Realizado",L2595&lt;&gt;"",A2595&lt;=Config!$B$9),L2595/60,0)</f>
        <v>0</v>
      </c>
      <c r="S2595" s="45">
        <f>IF(G2595="","",IFERROR(INDEX(Config!$K$5:$K$16,MATCH(G2595,Config!$J$5:$J$16,0)),""))</f>
        <v/>
      </c>
      <c r="T2595" s="31">
        <f>IF(OR(G2595="",F2595=""),"",IFERROR(INDEX(Config!$M$5:$R$16,MATCH(G2595,Config!$J$5:$J$16,0),MATCH(F2595,Config!$H$5:$H$10,0)),""))</f>
        <v/>
      </c>
      <c r="U2595" s="47">
        <f>IF(AND(H2595="Realizado",L2595&lt;&gt;""),L2595/60,0)</f>
        <v>0</v>
      </c>
      <c r="V2595" s="47">
        <f>IF(AND(H2595="Realizado",OR(L2595="",M2595="")),1,0)</f>
        <v>0</v>
      </c>
    </row>
    <row r="2596">
      <c r="A2596" s="43" t="n"/>
      <c r="B2596" s="44" t="n"/>
      <c r="C2596" s="38" t="n"/>
      <c r="D2596" s="38" t="n"/>
      <c r="E2596" s="37" t="n"/>
      <c r="F2596" s="38" t="n"/>
      <c r="G2596" s="38" t="n"/>
      <c r="H2596" s="38" t="n"/>
      <c r="I2596" s="38" t="n"/>
      <c r="J2596" s="38" t="n"/>
      <c r="K2596" s="37" t="n"/>
      <c r="L2596" s="39" t="n"/>
      <c r="M2596" s="40" t="n"/>
      <c r="N2596" s="30">
        <f>IF(A2596="","",MONTH(A2596))</f>
        <v/>
      </c>
      <c r="O2596" s="30">
        <f>IF(A2596="","",YEAR(A2596))</f>
        <v/>
      </c>
      <c r="P2596" s="30">
        <f>IF(A2596="","",CHOOSE(WEEKDAY(A2596,2),"Segunda","Terça","Quarta","Quinta","Sexta","Sábado","Domingo"))</f>
        <v/>
      </c>
      <c r="Q2596" s="30">
        <f>IF(B2596="","",IF(B2596&lt;TIME(12,0,0),"Manhã",IF(B2596&lt;TIME(18,0,0),"Tarde","Noite")))</f>
        <v/>
      </c>
      <c r="R2596" s="46">
        <f>IF(AND(H2596="Realizado",L2596&lt;&gt;"",A2596&lt;=Config!$B$9),L2596/60,0)</f>
        <v>0</v>
      </c>
      <c r="S2596" s="45">
        <f>IF(G2596="","",IFERROR(INDEX(Config!$K$5:$K$16,MATCH(G2596,Config!$J$5:$J$16,0)),""))</f>
        <v/>
      </c>
      <c r="T2596" s="31">
        <f>IF(OR(G2596="",F2596=""),"",IFERROR(INDEX(Config!$M$5:$R$16,MATCH(G2596,Config!$J$5:$J$16,0),MATCH(F2596,Config!$H$5:$H$10,0)),""))</f>
        <v/>
      </c>
      <c r="U2596" s="47">
        <f>IF(AND(H2596="Realizado",L2596&lt;&gt;""),L2596/60,0)</f>
        <v>0</v>
      </c>
      <c r="V2596" s="47">
        <f>IF(AND(H2596="Realizado",OR(L2596="",M2596="")),1,0)</f>
        <v>0</v>
      </c>
    </row>
    <row r="2597">
      <c r="A2597" s="43" t="n"/>
      <c r="B2597" s="44" t="n"/>
      <c r="C2597" s="38" t="n"/>
      <c r="D2597" s="38" t="n"/>
      <c r="E2597" s="37" t="n"/>
      <c r="F2597" s="38" t="n"/>
      <c r="G2597" s="38" t="n"/>
      <c r="H2597" s="38" t="n"/>
      <c r="I2597" s="38" t="n"/>
      <c r="J2597" s="38" t="n"/>
      <c r="K2597" s="37" t="n"/>
      <c r="L2597" s="39" t="n"/>
      <c r="M2597" s="40" t="n"/>
      <c r="N2597" s="30">
        <f>IF(A2597="","",MONTH(A2597))</f>
        <v/>
      </c>
      <c r="O2597" s="30">
        <f>IF(A2597="","",YEAR(A2597))</f>
        <v/>
      </c>
      <c r="P2597" s="30">
        <f>IF(A2597="","",CHOOSE(WEEKDAY(A2597,2),"Segunda","Terça","Quarta","Quinta","Sexta","Sábado","Domingo"))</f>
        <v/>
      </c>
      <c r="Q2597" s="30">
        <f>IF(B2597="","",IF(B2597&lt;TIME(12,0,0),"Manhã",IF(B2597&lt;TIME(18,0,0),"Tarde","Noite")))</f>
        <v/>
      </c>
      <c r="R2597" s="46">
        <f>IF(AND(H2597="Realizado",L2597&lt;&gt;"",A2597&lt;=Config!$B$9),L2597/60,0)</f>
        <v>0</v>
      </c>
      <c r="S2597" s="45">
        <f>IF(G2597="","",IFERROR(INDEX(Config!$K$5:$K$16,MATCH(G2597,Config!$J$5:$J$16,0)),""))</f>
        <v/>
      </c>
      <c r="T2597" s="31">
        <f>IF(OR(G2597="",F2597=""),"",IFERROR(INDEX(Config!$M$5:$R$16,MATCH(G2597,Config!$J$5:$J$16,0),MATCH(F2597,Config!$H$5:$H$10,0)),""))</f>
        <v/>
      </c>
      <c r="U2597" s="47">
        <f>IF(AND(H2597="Realizado",L2597&lt;&gt;""),L2597/60,0)</f>
        <v>0</v>
      </c>
      <c r="V2597" s="47">
        <f>IF(AND(H2597="Realizado",OR(L2597="",M2597="")),1,0)</f>
        <v>0</v>
      </c>
    </row>
    <row r="2598">
      <c r="A2598" s="43" t="n"/>
      <c r="B2598" s="44" t="n"/>
      <c r="C2598" s="38" t="n"/>
      <c r="D2598" s="38" t="n"/>
      <c r="E2598" s="37" t="n"/>
      <c r="F2598" s="38" t="n"/>
      <c r="G2598" s="38" t="n"/>
      <c r="H2598" s="38" t="n"/>
      <c r="I2598" s="38" t="n"/>
      <c r="J2598" s="38" t="n"/>
      <c r="K2598" s="37" t="n"/>
      <c r="L2598" s="39" t="n"/>
      <c r="M2598" s="40" t="n"/>
      <c r="N2598" s="30">
        <f>IF(A2598="","",MONTH(A2598))</f>
        <v/>
      </c>
      <c r="O2598" s="30">
        <f>IF(A2598="","",YEAR(A2598))</f>
        <v/>
      </c>
      <c r="P2598" s="30">
        <f>IF(A2598="","",CHOOSE(WEEKDAY(A2598,2),"Segunda","Terça","Quarta","Quinta","Sexta","Sábado","Domingo"))</f>
        <v/>
      </c>
      <c r="Q2598" s="30">
        <f>IF(B2598="","",IF(B2598&lt;TIME(12,0,0),"Manhã",IF(B2598&lt;TIME(18,0,0),"Tarde","Noite")))</f>
        <v/>
      </c>
      <c r="R2598" s="46">
        <f>IF(AND(H2598="Realizado",L2598&lt;&gt;"",A2598&lt;=Config!$B$9),L2598/60,0)</f>
        <v>0</v>
      </c>
      <c r="S2598" s="45">
        <f>IF(G2598="","",IFERROR(INDEX(Config!$K$5:$K$16,MATCH(G2598,Config!$J$5:$J$16,0)),""))</f>
        <v/>
      </c>
      <c r="T2598" s="31">
        <f>IF(OR(G2598="",F2598=""),"",IFERROR(INDEX(Config!$M$5:$R$16,MATCH(G2598,Config!$J$5:$J$16,0),MATCH(F2598,Config!$H$5:$H$10,0)),""))</f>
        <v/>
      </c>
      <c r="U2598" s="47">
        <f>IF(AND(H2598="Realizado",L2598&lt;&gt;""),L2598/60,0)</f>
        <v>0</v>
      </c>
      <c r="V2598" s="47">
        <f>IF(AND(H2598="Realizado",OR(L2598="",M2598="")),1,0)</f>
        <v>0</v>
      </c>
    </row>
    <row r="2599">
      <c r="A2599" s="43" t="n"/>
      <c r="B2599" s="44" t="n"/>
      <c r="C2599" s="38" t="n"/>
      <c r="D2599" s="38" t="n"/>
      <c r="E2599" s="37" t="n"/>
      <c r="F2599" s="38" t="n"/>
      <c r="G2599" s="38" t="n"/>
      <c r="H2599" s="38" t="n"/>
      <c r="I2599" s="38" t="n"/>
      <c r="J2599" s="38" t="n"/>
      <c r="K2599" s="37" t="n"/>
      <c r="L2599" s="39" t="n"/>
      <c r="M2599" s="40" t="n"/>
      <c r="N2599" s="30">
        <f>IF(A2599="","",MONTH(A2599))</f>
        <v/>
      </c>
      <c r="O2599" s="30">
        <f>IF(A2599="","",YEAR(A2599))</f>
        <v/>
      </c>
      <c r="P2599" s="30">
        <f>IF(A2599="","",CHOOSE(WEEKDAY(A2599,2),"Segunda","Terça","Quarta","Quinta","Sexta","Sábado","Domingo"))</f>
        <v/>
      </c>
      <c r="Q2599" s="30">
        <f>IF(B2599="","",IF(B2599&lt;TIME(12,0,0),"Manhã",IF(B2599&lt;TIME(18,0,0),"Tarde","Noite")))</f>
        <v/>
      </c>
      <c r="R2599" s="46">
        <f>IF(AND(H2599="Realizado",L2599&lt;&gt;"",A2599&lt;=Config!$B$9),L2599/60,0)</f>
        <v>0</v>
      </c>
      <c r="S2599" s="45">
        <f>IF(G2599="","",IFERROR(INDEX(Config!$K$5:$K$16,MATCH(G2599,Config!$J$5:$J$16,0)),""))</f>
        <v/>
      </c>
      <c r="T2599" s="31">
        <f>IF(OR(G2599="",F2599=""),"",IFERROR(INDEX(Config!$M$5:$R$16,MATCH(G2599,Config!$J$5:$J$16,0),MATCH(F2599,Config!$H$5:$H$10,0)),""))</f>
        <v/>
      </c>
      <c r="U2599" s="47">
        <f>IF(AND(H2599="Realizado",L2599&lt;&gt;""),L2599/60,0)</f>
        <v>0</v>
      </c>
      <c r="V2599" s="47">
        <f>IF(AND(H2599="Realizado",OR(L2599="",M2599="")),1,0)</f>
        <v>0</v>
      </c>
    </row>
    <row r="2600">
      <c r="A2600" s="43" t="n"/>
      <c r="B2600" s="44" t="n"/>
      <c r="C2600" s="38" t="n"/>
      <c r="D2600" s="38" t="n"/>
      <c r="E2600" s="37" t="n"/>
      <c r="F2600" s="38" t="n"/>
      <c r="G2600" s="38" t="n"/>
      <c r="H2600" s="38" t="n"/>
      <c r="I2600" s="38" t="n"/>
      <c r="J2600" s="38" t="n"/>
      <c r="K2600" s="37" t="n"/>
      <c r="L2600" s="39" t="n"/>
      <c r="M2600" s="40" t="n"/>
      <c r="N2600" s="30">
        <f>IF(A2600="","",MONTH(A2600))</f>
        <v/>
      </c>
      <c r="O2600" s="30">
        <f>IF(A2600="","",YEAR(A2600))</f>
        <v/>
      </c>
      <c r="P2600" s="30">
        <f>IF(A2600="","",CHOOSE(WEEKDAY(A2600,2),"Segunda","Terça","Quarta","Quinta","Sexta","Sábado","Domingo"))</f>
        <v/>
      </c>
      <c r="Q2600" s="30">
        <f>IF(B2600="","",IF(B2600&lt;TIME(12,0,0),"Manhã",IF(B2600&lt;TIME(18,0,0),"Tarde","Noite")))</f>
        <v/>
      </c>
      <c r="R2600" s="46">
        <f>IF(AND(H2600="Realizado",L2600&lt;&gt;"",A2600&lt;=Config!$B$9),L2600/60,0)</f>
        <v>0</v>
      </c>
      <c r="S2600" s="45">
        <f>IF(G2600="","",IFERROR(INDEX(Config!$K$5:$K$16,MATCH(G2600,Config!$J$5:$J$16,0)),""))</f>
        <v/>
      </c>
      <c r="T2600" s="31">
        <f>IF(OR(G2600="",F2600=""),"",IFERROR(INDEX(Config!$M$5:$R$16,MATCH(G2600,Config!$J$5:$J$16,0),MATCH(F2600,Config!$H$5:$H$10,0)),""))</f>
        <v/>
      </c>
      <c r="U2600" s="47">
        <f>IF(AND(H2600="Realizado",L2600&lt;&gt;""),L2600/60,0)</f>
        <v>0</v>
      </c>
      <c r="V2600" s="47">
        <f>IF(AND(H2600="Realizado",OR(L2600="",M2600="")),1,0)</f>
        <v>0</v>
      </c>
    </row>
    <row r="2601">
      <c r="A2601" s="43" t="n"/>
      <c r="B2601" s="44" t="n"/>
      <c r="C2601" s="38" t="n"/>
      <c r="D2601" s="38" t="n"/>
      <c r="E2601" s="37" t="n"/>
      <c r="F2601" s="38" t="n"/>
      <c r="G2601" s="38" t="n"/>
      <c r="H2601" s="38" t="n"/>
      <c r="I2601" s="38" t="n"/>
      <c r="J2601" s="38" t="n"/>
      <c r="K2601" s="37" t="n"/>
      <c r="L2601" s="39" t="n"/>
      <c r="M2601" s="40" t="n"/>
      <c r="N2601" s="30">
        <f>IF(A2601="","",MONTH(A2601))</f>
        <v/>
      </c>
      <c r="O2601" s="30">
        <f>IF(A2601="","",YEAR(A2601))</f>
        <v/>
      </c>
      <c r="P2601" s="30">
        <f>IF(A2601="","",CHOOSE(WEEKDAY(A2601,2),"Segunda","Terça","Quarta","Quinta","Sexta","Sábado","Domingo"))</f>
        <v/>
      </c>
      <c r="Q2601" s="30">
        <f>IF(B2601="","",IF(B2601&lt;TIME(12,0,0),"Manhã",IF(B2601&lt;TIME(18,0,0),"Tarde","Noite")))</f>
        <v/>
      </c>
      <c r="R2601" s="46">
        <f>IF(AND(H2601="Realizado",L2601&lt;&gt;"",A2601&lt;=Config!$B$9),L2601/60,0)</f>
        <v>0</v>
      </c>
      <c r="S2601" s="45">
        <f>IF(G2601="","",IFERROR(INDEX(Config!$K$5:$K$16,MATCH(G2601,Config!$J$5:$J$16,0)),""))</f>
        <v/>
      </c>
      <c r="T2601" s="31">
        <f>IF(OR(G2601="",F2601=""),"",IFERROR(INDEX(Config!$M$5:$R$16,MATCH(G2601,Config!$J$5:$J$16,0),MATCH(F2601,Config!$H$5:$H$10,0)),""))</f>
        <v/>
      </c>
      <c r="U2601" s="47">
        <f>IF(AND(H2601="Realizado",L2601&lt;&gt;""),L2601/60,0)</f>
        <v>0</v>
      </c>
      <c r="V2601" s="47">
        <f>IF(AND(H2601="Realizado",OR(L2601="",M2601="")),1,0)</f>
        <v>0</v>
      </c>
    </row>
    <row r="2602">
      <c r="A2602" s="43" t="n"/>
      <c r="B2602" s="44" t="n"/>
      <c r="C2602" s="38" t="n"/>
      <c r="D2602" s="38" t="n"/>
      <c r="E2602" s="37" t="n"/>
      <c r="F2602" s="38" t="n"/>
      <c r="G2602" s="38" t="n"/>
      <c r="H2602" s="38" t="n"/>
      <c r="I2602" s="38" t="n"/>
      <c r="J2602" s="38" t="n"/>
      <c r="K2602" s="37" t="n"/>
      <c r="L2602" s="39" t="n"/>
      <c r="M2602" s="40" t="n"/>
      <c r="N2602" s="30">
        <f>IF(A2602="","",MONTH(A2602))</f>
        <v/>
      </c>
      <c r="O2602" s="30">
        <f>IF(A2602="","",YEAR(A2602))</f>
        <v/>
      </c>
      <c r="P2602" s="30">
        <f>IF(A2602="","",CHOOSE(WEEKDAY(A2602,2),"Segunda","Terça","Quarta","Quinta","Sexta","Sábado","Domingo"))</f>
        <v/>
      </c>
      <c r="Q2602" s="30">
        <f>IF(B2602="","",IF(B2602&lt;TIME(12,0,0),"Manhã",IF(B2602&lt;TIME(18,0,0),"Tarde","Noite")))</f>
        <v/>
      </c>
      <c r="R2602" s="46">
        <f>IF(AND(H2602="Realizado",L2602&lt;&gt;"",A2602&lt;=Config!$B$9),L2602/60,0)</f>
        <v>0</v>
      </c>
      <c r="S2602" s="45">
        <f>IF(G2602="","",IFERROR(INDEX(Config!$K$5:$K$16,MATCH(G2602,Config!$J$5:$J$16,0)),""))</f>
        <v/>
      </c>
      <c r="T2602" s="31">
        <f>IF(OR(G2602="",F2602=""),"",IFERROR(INDEX(Config!$M$5:$R$16,MATCH(G2602,Config!$J$5:$J$16,0),MATCH(F2602,Config!$H$5:$H$10,0)),""))</f>
        <v/>
      </c>
      <c r="U2602" s="47">
        <f>IF(AND(H2602="Realizado",L2602&lt;&gt;""),L2602/60,0)</f>
        <v>0</v>
      </c>
      <c r="V2602" s="47">
        <f>IF(AND(H2602="Realizado",OR(L2602="",M2602="")),1,0)</f>
        <v>0</v>
      </c>
    </row>
    <row r="2603">
      <c r="A2603" s="43" t="n"/>
      <c r="B2603" s="44" t="n"/>
      <c r="C2603" s="38" t="n"/>
      <c r="D2603" s="38" t="n"/>
      <c r="E2603" s="37" t="n"/>
      <c r="F2603" s="38" t="n"/>
      <c r="G2603" s="38" t="n"/>
      <c r="H2603" s="38" t="n"/>
      <c r="I2603" s="38" t="n"/>
      <c r="J2603" s="38" t="n"/>
      <c r="K2603" s="37" t="n"/>
      <c r="L2603" s="39" t="n"/>
      <c r="M2603" s="40" t="n"/>
      <c r="N2603" s="30">
        <f>IF(A2603="","",MONTH(A2603))</f>
        <v/>
      </c>
      <c r="O2603" s="30">
        <f>IF(A2603="","",YEAR(A2603))</f>
        <v/>
      </c>
      <c r="P2603" s="30">
        <f>IF(A2603="","",CHOOSE(WEEKDAY(A2603,2),"Segunda","Terça","Quarta","Quinta","Sexta","Sábado","Domingo"))</f>
        <v/>
      </c>
      <c r="Q2603" s="30">
        <f>IF(B2603="","",IF(B2603&lt;TIME(12,0,0),"Manhã",IF(B2603&lt;TIME(18,0,0),"Tarde","Noite")))</f>
        <v/>
      </c>
      <c r="R2603" s="46">
        <f>IF(AND(H2603="Realizado",L2603&lt;&gt;"",A2603&lt;=Config!$B$9),L2603/60,0)</f>
        <v>0</v>
      </c>
      <c r="S2603" s="45">
        <f>IF(G2603="","",IFERROR(INDEX(Config!$K$5:$K$16,MATCH(G2603,Config!$J$5:$J$16,0)),""))</f>
        <v/>
      </c>
      <c r="T2603" s="31">
        <f>IF(OR(G2603="",F2603=""),"",IFERROR(INDEX(Config!$M$5:$R$16,MATCH(G2603,Config!$J$5:$J$16,0),MATCH(F2603,Config!$H$5:$H$10,0)),""))</f>
        <v/>
      </c>
      <c r="U2603" s="47">
        <f>IF(AND(H2603="Realizado",L2603&lt;&gt;""),L2603/60,0)</f>
        <v>0</v>
      </c>
      <c r="V2603" s="47">
        <f>IF(AND(H2603="Realizado",OR(L2603="",M2603="")),1,0)</f>
        <v>0</v>
      </c>
    </row>
    <row r="2604">
      <c r="A2604" s="43" t="n"/>
      <c r="B2604" s="44" t="n"/>
      <c r="C2604" s="38" t="n"/>
      <c r="D2604" s="38" t="n"/>
      <c r="E2604" s="37" t="n"/>
      <c r="F2604" s="38" t="n"/>
      <c r="G2604" s="38" t="n"/>
      <c r="H2604" s="38" t="n"/>
      <c r="I2604" s="38" t="n"/>
      <c r="J2604" s="38" t="n"/>
      <c r="K2604" s="37" t="n"/>
      <c r="L2604" s="39" t="n"/>
      <c r="M2604" s="40" t="n"/>
      <c r="N2604" s="30">
        <f>IF(A2604="","",MONTH(A2604))</f>
        <v/>
      </c>
      <c r="O2604" s="30">
        <f>IF(A2604="","",YEAR(A2604))</f>
        <v/>
      </c>
      <c r="P2604" s="30">
        <f>IF(A2604="","",CHOOSE(WEEKDAY(A2604,2),"Segunda","Terça","Quarta","Quinta","Sexta","Sábado","Domingo"))</f>
        <v/>
      </c>
      <c r="Q2604" s="30">
        <f>IF(B2604="","",IF(B2604&lt;TIME(12,0,0),"Manhã",IF(B2604&lt;TIME(18,0,0),"Tarde","Noite")))</f>
        <v/>
      </c>
      <c r="R2604" s="46">
        <f>IF(AND(H2604="Realizado",L2604&lt;&gt;"",A2604&lt;=Config!$B$9),L2604/60,0)</f>
        <v>0</v>
      </c>
      <c r="S2604" s="45">
        <f>IF(G2604="","",IFERROR(INDEX(Config!$K$5:$K$16,MATCH(G2604,Config!$J$5:$J$16,0)),""))</f>
        <v/>
      </c>
      <c r="T2604" s="31">
        <f>IF(OR(G2604="",F2604=""),"",IFERROR(INDEX(Config!$M$5:$R$16,MATCH(G2604,Config!$J$5:$J$16,0),MATCH(F2604,Config!$H$5:$H$10,0)),""))</f>
        <v/>
      </c>
      <c r="U2604" s="47">
        <f>IF(AND(H2604="Realizado",L2604&lt;&gt;""),L2604/60,0)</f>
        <v>0</v>
      </c>
      <c r="V2604" s="47">
        <f>IF(AND(H2604="Realizado",OR(L2604="",M2604="")),1,0)</f>
        <v>0</v>
      </c>
    </row>
    <row r="2605">
      <c r="A2605" s="43" t="n"/>
      <c r="B2605" s="44" t="n"/>
      <c r="C2605" s="38" t="n"/>
      <c r="D2605" s="38" t="n"/>
      <c r="E2605" s="37" t="n"/>
      <c r="F2605" s="38" t="n"/>
      <c r="G2605" s="38" t="n"/>
      <c r="H2605" s="38" t="n"/>
      <c r="I2605" s="38" t="n"/>
      <c r="J2605" s="38" t="n"/>
      <c r="K2605" s="37" t="n"/>
      <c r="L2605" s="39" t="n"/>
      <c r="M2605" s="40" t="n"/>
      <c r="N2605" s="30">
        <f>IF(A2605="","",MONTH(A2605))</f>
        <v/>
      </c>
      <c r="O2605" s="30">
        <f>IF(A2605="","",YEAR(A2605))</f>
        <v/>
      </c>
      <c r="P2605" s="30">
        <f>IF(A2605="","",CHOOSE(WEEKDAY(A2605,2),"Segunda","Terça","Quarta","Quinta","Sexta","Sábado","Domingo"))</f>
        <v/>
      </c>
      <c r="Q2605" s="30">
        <f>IF(B2605="","",IF(B2605&lt;TIME(12,0,0),"Manhã",IF(B2605&lt;TIME(18,0,0),"Tarde","Noite")))</f>
        <v/>
      </c>
      <c r="R2605" s="46">
        <f>IF(AND(H2605="Realizado",L2605&lt;&gt;"",A2605&lt;=Config!$B$9),L2605/60,0)</f>
        <v>0</v>
      </c>
      <c r="S2605" s="45">
        <f>IF(G2605="","",IFERROR(INDEX(Config!$K$5:$K$16,MATCH(G2605,Config!$J$5:$J$16,0)),""))</f>
        <v/>
      </c>
      <c r="T2605" s="31">
        <f>IF(OR(G2605="",F2605=""),"",IFERROR(INDEX(Config!$M$5:$R$16,MATCH(G2605,Config!$J$5:$J$16,0),MATCH(F2605,Config!$H$5:$H$10,0)),""))</f>
        <v/>
      </c>
      <c r="U2605" s="47">
        <f>IF(AND(H2605="Realizado",L2605&lt;&gt;""),L2605/60,0)</f>
        <v>0</v>
      </c>
      <c r="V2605" s="47">
        <f>IF(AND(H2605="Realizado",OR(L2605="",M2605="")),1,0)</f>
        <v>0</v>
      </c>
    </row>
    <row r="2606">
      <c r="A2606" s="43" t="n"/>
      <c r="B2606" s="44" t="n"/>
      <c r="C2606" s="38" t="n"/>
      <c r="D2606" s="38" t="n"/>
      <c r="E2606" s="37" t="n"/>
      <c r="F2606" s="38" t="n"/>
      <c r="G2606" s="38" t="n"/>
      <c r="H2606" s="38" t="n"/>
      <c r="I2606" s="38" t="n"/>
      <c r="J2606" s="38" t="n"/>
      <c r="K2606" s="37" t="n"/>
      <c r="L2606" s="39" t="n"/>
      <c r="M2606" s="40" t="n"/>
      <c r="N2606" s="30">
        <f>IF(A2606="","",MONTH(A2606))</f>
        <v/>
      </c>
      <c r="O2606" s="30">
        <f>IF(A2606="","",YEAR(A2606))</f>
        <v/>
      </c>
      <c r="P2606" s="30">
        <f>IF(A2606="","",CHOOSE(WEEKDAY(A2606,2),"Segunda","Terça","Quarta","Quinta","Sexta","Sábado","Domingo"))</f>
        <v/>
      </c>
      <c r="Q2606" s="30">
        <f>IF(B2606="","",IF(B2606&lt;TIME(12,0,0),"Manhã",IF(B2606&lt;TIME(18,0,0),"Tarde","Noite")))</f>
        <v/>
      </c>
      <c r="R2606" s="46">
        <f>IF(AND(H2606="Realizado",L2606&lt;&gt;"",A2606&lt;=Config!$B$9),L2606/60,0)</f>
        <v>0</v>
      </c>
      <c r="S2606" s="45">
        <f>IF(G2606="","",IFERROR(INDEX(Config!$K$5:$K$16,MATCH(G2606,Config!$J$5:$J$16,0)),""))</f>
        <v/>
      </c>
      <c r="T2606" s="31">
        <f>IF(OR(G2606="",F2606=""),"",IFERROR(INDEX(Config!$M$5:$R$16,MATCH(G2606,Config!$J$5:$J$16,0),MATCH(F2606,Config!$H$5:$H$10,0)),""))</f>
        <v/>
      </c>
      <c r="U2606" s="47">
        <f>IF(AND(H2606="Realizado",L2606&lt;&gt;""),L2606/60,0)</f>
        <v>0</v>
      </c>
      <c r="V2606" s="47">
        <f>IF(AND(H2606="Realizado",OR(L2606="",M2606="")),1,0)</f>
        <v>0</v>
      </c>
    </row>
    <row r="2607">
      <c r="A2607" s="43" t="n"/>
      <c r="B2607" s="44" t="n"/>
      <c r="C2607" s="38" t="n"/>
      <c r="D2607" s="38" t="n"/>
      <c r="E2607" s="37" t="n"/>
      <c r="F2607" s="38" t="n"/>
      <c r="G2607" s="38" t="n"/>
      <c r="H2607" s="38" t="n"/>
      <c r="I2607" s="38" t="n"/>
      <c r="J2607" s="38" t="n"/>
      <c r="K2607" s="37" t="n"/>
      <c r="L2607" s="39" t="n"/>
      <c r="M2607" s="40" t="n"/>
      <c r="N2607" s="30">
        <f>IF(A2607="","",MONTH(A2607))</f>
        <v/>
      </c>
      <c r="O2607" s="30">
        <f>IF(A2607="","",YEAR(A2607))</f>
        <v/>
      </c>
      <c r="P2607" s="30">
        <f>IF(A2607="","",CHOOSE(WEEKDAY(A2607,2),"Segunda","Terça","Quarta","Quinta","Sexta","Sábado","Domingo"))</f>
        <v/>
      </c>
      <c r="Q2607" s="30">
        <f>IF(B2607="","",IF(B2607&lt;TIME(12,0,0),"Manhã",IF(B2607&lt;TIME(18,0,0),"Tarde","Noite")))</f>
        <v/>
      </c>
      <c r="R2607" s="46">
        <f>IF(AND(H2607="Realizado",L2607&lt;&gt;"",A2607&lt;=Config!$B$9),L2607/60,0)</f>
        <v>0</v>
      </c>
      <c r="S2607" s="45">
        <f>IF(G2607="","",IFERROR(INDEX(Config!$K$5:$K$16,MATCH(G2607,Config!$J$5:$J$16,0)),""))</f>
        <v/>
      </c>
      <c r="T2607" s="31">
        <f>IF(OR(G2607="",F2607=""),"",IFERROR(INDEX(Config!$M$5:$R$16,MATCH(G2607,Config!$J$5:$J$16,0),MATCH(F2607,Config!$H$5:$H$10,0)),""))</f>
        <v/>
      </c>
      <c r="U2607" s="47">
        <f>IF(AND(H2607="Realizado",L2607&lt;&gt;""),L2607/60,0)</f>
        <v>0</v>
      </c>
      <c r="V2607" s="47">
        <f>IF(AND(H2607="Realizado",OR(L2607="",M2607="")),1,0)</f>
        <v>0</v>
      </c>
    </row>
    <row r="2608">
      <c r="A2608" s="43" t="n"/>
      <c r="B2608" s="44" t="n"/>
      <c r="C2608" s="38" t="n"/>
      <c r="D2608" s="38" t="n"/>
      <c r="E2608" s="37" t="n"/>
      <c r="F2608" s="38" t="n"/>
      <c r="G2608" s="38" t="n"/>
      <c r="H2608" s="38" t="n"/>
      <c r="I2608" s="38" t="n"/>
      <c r="J2608" s="38" t="n"/>
      <c r="K2608" s="37" t="n"/>
      <c r="L2608" s="39" t="n"/>
      <c r="M2608" s="40" t="n"/>
      <c r="N2608" s="30">
        <f>IF(A2608="","",MONTH(A2608))</f>
        <v/>
      </c>
      <c r="O2608" s="30">
        <f>IF(A2608="","",YEAR(A2608))</f>
        <v/>
      </c>
      <c r="P2608" s="30">
        <f>IF(A2608="","",CHOOSE(WEEKDAY(A2608,2),"Segunda","Terça","Quarta","Quinta","Sexta","Sábado","Domingo"))</f>
        <v/>
      </c>
      <c r="Q2608" s="30">
        <f>IF(B2608="","",IF(B2608&lt;TIME(12,0,0),"Manhã",IF(B2608&lt;TIME(18,0,0),"Tarde","Noite")))</f>
        <v/>
      </c>
      <c r="R2608" s="46">
        <f>IF(AND(H2608="Realizado",L2608&lt;&gt;"",A2608&lt;=Config!$B$9),L2608/60,0)</f>
        <v>0</v>
      </c>
      <c r="S2608" s="45">
        <f>IF(G2608="","",IFERROR(INDEX(Config!$K$5:$K$16,MATCH(G2608,Config!$J$5:$J$16,0)),""))</f>
        <v/>
      </c>
      <c r="T2608" s="31">
        <f>IF(OR(G2608="",F2608=""),"",IFERROR(INDEX(Config!$M$5:$R$16,MATCH(G2608,Config!$J$5:$J$16,0),MATCH(F2608,Config!$H$5:$H$10,0)),""))</f>
        <v/>
      </c>
      <c r="U2608" s="47">
        <f>IF(AND(H2608="Realizado",L2608&lt;&gt;""),L2608/60,0)</f>
        <v>0</v>
      </c>
      <c r="V2608" s="47">
        <f>IF(AND(H2608="Realizado",OR(L2608="",M2608="")),1,0)</f>
        <v>0</v>
      </c>
    </row>
    <row r="2609">
      <c r="A2609" s="43" t="n"/>
      <c r="B2609" s="44" t="n"/>
      <c r="C2609" s="38" t="n"/>
      <c r="D2609" s="38" t="n"/>
      <c r="E2609" s="37" t="n"/>
      <c r="F2609" s="38" t="n"/>
      <c r="G2609" s="38" t="n"/>
      <c r="H2609" s="38" t="n"/>
      <c r="I2609" s="38" t="n"/>
      <c r="J2609" s="38" t="n"/>
      <c r="K2609" s="37" t="n"/>
      <c r="L2609" s="39" t="n"/>
      <c r="M2609" s="40" t="n"/>
      <c r="N2609" s="30">
        <f>IF(A2609="","",MONTH(A2609))</f>
        <v/>
      </c>
      <c r="O2609" s="30">
        <f>IF(A2609="","",YEAR(A2609))</f>
        <v/>
      </c>
      <c r="P2609" s="30">
        <f>IF(A2609="","",CHOOSE(WEEKDAY(A2609,2),"Segunda","Terça","Quarta","Quinta","Sexta","Sábado","Domingo"))</f>
        <v/>
      </c>
      <c r="Q2609" s="30">
        <f>IF(B2609="","",IF(B2609&lt;TIME(12,0,0),"Manhã",IF(B2609&lt;TIME(18,0,0),"Tarde","Noite")))</f>
        <v/>
      </c>
      <c r="R2609" s="46">
        <f>IF(AND(H2609="Realizado",L2609&lt;&gt;"",A2609&lt;=Config!$B$9),L2609/60,0)</f>
        <v>0</v>
      </c>
      <c r="S2609" s="45">
        <f>IF(G2609="","",IFERROR(INDEX(Config!$K$5:$K$16,MATCH(G2609,Config!$J$5:$J$16,0)),""))</f>
        <v/>
      </c>
      <c r="T2609" s="31">
        <f>IF(OR(G2609="",F2609=""),"",IFERROR(INDEX(Config!$M$5:$R$16,MATCH(G2609,Config!$J$5:$J$16,0),MATCH(F2609,Config!$H$5:$H$10,0)),""))</f>
        <v/>
      </c>
      <c r="U2609" s="47">
        <f>IF(AND(H2609="Realizado",L2609&lt;&gt;""),L2609/60,0)</f>
        <v>0</v>
      </c>
      <c r="V2609" s="47">
        <f>IF(AND(H2609="Realizado",OR(L2609="",M2609="")),1,0)</f>
        <v>0</v>
      </c>
    </row>
    <row r="2610">
      <c r="A2610" s="43" t="n"/>
      <c r="B2610" s="44" t="n"/>
      <c r="C2610" s="38" t="n"/>
      <c r="D2610" s="38" t="n"/>
      <c r="E2610" s="37" t="n"/>
      <c r="F2610" s="38" t="n"/>
      <c r="G2610" s="38" t="n"/>
      <c r="H2610" s="38" t="n"/>
      <c r="I2610" s="38" t="n"/>
      <c r="J2610" s="38" t="n"/>
      <c r="K2610" s="37" t="n"/>
      <c r="L2610" s="39" t="n"/>
      <c r="M2610" s="40" t="n"/>
      <c r="N2610" s="30">
        <f>IF(A2610="","",MONTH(A2610))</f>
        <v/>
      </c>
      <c r="O2610" s="30">
        <f>IF(A2610="","",YEAR(A2610))</f>
        <v/>
      </c>
      <c r="P2610" s="30">
        <f>IF(A2610="","",CHOOSE(WEEKDAY(A2610,2),"Segunda","Terça","Quarta","Quinta","Sexta","Sábado","Domingo"))</f>
        <v/>
      </c>
      <c r="Q2610" s="30">
        <f>IF(B2610="","",IF(B2610&lt;TIME(12,0,0),"Manhã",IF(B2610&lt;TIME(18,0,0),"Tarde","Noite")))</f>
        <v/>
      </c>
      <c r="R2610" s="46">
        <f>IF(AND(H2610="Realizado",L2610&lt;&gt;"",A2610&lt;=Config!$B$9),L2610/60,0)</f>
        <v>0</v>
      </c>
      <c r="S2610" s="45">
        <f>IF(G2610="","",IFERROR(INDEX(Config!$K$5:$K$16,MATCH(G2610,Config!$J$5:$J$16,0)),""))</f>
        <v/>
      </c>
      <c r="T2610" s="31">
        <f>IF(OR(G2610="",F2610=""),"",IFERROR(INDEX(Config!$M$5:$R$16,MATCH(G2610,Config!$J$5:$J$16,0),MATCH(F2610,Config!$H$5:$H$10,0)),""))</f>
        <v/>
      </c>
      <c r="U2610" s="47">
        <f>IF(AND(H2610="Realizado",L2610&lt;&gt;""),L2610/60,0)</f>
        <v>0</v>
      </c>
      <c r="V2610" s="47">
        <f>IF(AND(H2610="Realizado",OR(L2610="",M2610="")),1,0)</f>
        <v>0</v>
      </c>
    </row>
    <row r="2611">
      <c r="A2611" s="43" t="n"/>
      <c r="B2611" s="44" t="n"/>
      <c r="C2611" s="38" t="n"/>
      <c r="D2611" s="38" t="n"/>
      <c r="E2611" s="37" t="n"/>
      <c r="F2611" s="38" t="n"/>
      <c r="G2611" s="38" t="n"/>
      <c r="H2611" s="38" t="n"/>
      <c r="I2611" s="38" t="n"/>
      <c r="J2611" s="38" t="n"/>
      <c r="K2611" s="37" t="n"/>
      <c r="L2611" s="39" t="n"/>
      <c r="M2611" s="40" t="n"/>
      <c r="N2611" s="30">
        <f>IF(A2611="","",MONTH(A2611))</f>
        <v/>
      </c>
      <c r="O2611" s="30">
        <f>IF(A2611="","",YEAR(A2611))</f>
        <v/>
      </c>
      <c r="P2611" s="30">
        <f>IF(A2611="","",CHOOSE(WEEKDAY(A2611,2),"Segunda","Terça","Quarta","Quinta","Sexta","Sábado","Domingo"))</f>
        <v/>
      </c>
      <c r="Q2611" s="30">
        <f>IF(B2611="","",IF(B2611&lt;TIME(12,0,0),"Manhã",IF(B2611&lt;TIME(18,0,0),"Tarde","Noite")))</f>
        <v/>
      </c>
      <c r="R2611" s="46">
        <f>IF(AND(H2611="Realizado",L2611&lt;&gt;"",A2611&lt;=Config!$B$9),L2611/60,0)</f>
        <v>0</v>
      </c>
      <c r="S2611" s="45">
        <f>IF(G2611="","",IFERROR(INDEX(Config!$K$5:$K$16,MATCH(G2611,Config!$J$5:$J$16,0)),""))</f>
        <v/>
      </c>
      <c r="T2611" s="31">
        <f>IF(OR(G2611="",F2611=""),"",IFERROR(INDEX(Config!$M$5:$R$16,MATCH(G2611,Config!$J$5:$J$16,0),MATCH(F2611,Config!$H$5:$H$10,0)),""))</f>
        <v/>
      </c>
      <c r="U2611" s="47">
        <f>IF(AND(H2611="Realizado",L2611&lt;&gt;""),L2611/60,0)</f>
        <v>0</v>
      </c>
      <c r="V2611" s="47">
        <f>IF(AND(H2611="Realizado",OR(L2611="",M2611="")),1,0)</f>
        <v>0</v>
      </c>
    </row>
    <row r="2612">
      <c r="A2612" s="43" t="n"/>
      <c r="B2612" s="44" t="n"/>
      <c r="C2612" s="38" t="n"/>
      <c r="D2612" s="38" t="n"/>
      <c r="E2612" s="37" t="n"/>
      <c r="F2612" s="38" t="n"/>
      <c r="G2612" s="38" t="n"/>
      <c r="H2612" s="38" t="n"/>
      <c r="I2612" s="38" t="n"/>
      <c r="J2612" s="38" t="n"/>
      <c r="K2612" s="37" t="n"/>
      <c r="L2612" s="39" t="n"/>
      <c r="M2612" s="40" t="n"/>
      <c r="N2612" s="30">
        <f>IF(A2612="","",MONTH(A2612))</f>
        <v/>
      </c>
      <c r="O2612" s="30">
        <f>IF(A2612="","",YEAR(A2612))</f>
        <v/>
      </c>
      <c r="P2612" s="30">
        <f>IF(A2612="","",CHOOSE(WEEKDAY(A2612,2),"Segunda","Terça","Quarta","Quinta","Sexta","Sábado","Domingo"))</f>
        <v/>
      </c>
      <c r="Q2612" s="30">
        <f>IF(B2612="","",IF(B2612&lt;TIME(12,0,0),"Manhã",IF(B2612&lt;TIME(18,0,0),"Tarde","Noite")))</f>
        <v/>
      </c>
      <c r="R2612" s="46">
        <f>IF(AND(H2612="Realizado",L2612&lt;&gt;"",A2612&lt;=Config!$B$9),L2612/60,0)</f>
        <v>0</v>
      </c>
      <c r="S2612" s="45">
        <f>IF(G2612="","",IFERROR(INDEX(Config!$K$5:$K$16,MATCH(G2612,Config!$J$5:$J$16,0)),""))</f>
        <v/>
      </c>
      <c r="T2612" s="31">
        <f>IF(OR(G2612="",F2612=""),"",IFERROR(INDEX(Config!$M$5:$R$16,MATCH(G2612,Config!$J$5:$J$16,0),MATCH(F2612,Config!$H$5:$H$10,0)),""))</f>
        <v/>
      </c>
      <c r="U2612" s="47">
        <f>IF(AND(H2612="Realizado",L2612&lt;&gt;""),L2612/60,0)</f>
        <v>0</v>
      </c>
      <c r="V2612" s="47">
        <f>IF(AND(H2612="Realizado",OR(L2612="",M2612="")),1,0)</f>
        <v>0</v>
      </c>
    </row>
    <row r="2613">
      <c r="A2613" s="43" t="n"/>
      <c r="B2613" s="44" t="n"/>
      <c r="C2613" s="38" t="n"/>
      <c r="D2613" s="38" t="n"/>
      <c r="E2613" s="37" t="n"/>
      <c r="F2613" s="38" t="n"/>
      <c r="G2613" s="38" t="n"/>
      <c r="H2613" s="38" t="n"/>
      <c r="I2613" s="38" t="n"/>
      <c r="J2613" s="38" t="n"/>
      <c r="K2613" s="37" t="n"/>
      <c r="L2613" s="39" t="n"/>
      <c r="M2613" s="40" t="n"/>
      <c r="N2613" s="30">
        <f>IF(A2613="","",MONTH(A2613))</f>
        <v/>
      </c>
      <c r="O2613" s="30">
        <f>IF(A2613="","",YEAR(A2613))</f>
        <v/>
      </c>
      <c r="P2613" s="30">
        <f>IF(A2613="","",CHOOSE(WEEKDAY(A2613,2),"Segunda","Terça","Quarta","Quinta","Sexta","Sábado","Domingo"))</f>
        <v/>
      </c>
      <c r="Q2613" s="30">
        <f>IF(B2613="","",IF(B2613&lt;TIME(12,0,0),"Manhã",IF(B2613&lt;TIME(18,0,0),"Tarde","Noite")))</f>
        <v/>
      </c>
      <c r="R2613" s="46">
        <f>IF(AND(H2613="Realizado",L2613&lt;&gt;"",A2613&lt;=Config!$B$9),L2613/60,0)</f>
        <v>0</v>
      </c>
      <c r="S2613" s="45">
        <f>IF(G2613="","",IFERROR(INDEX(Config!$K$5:$K$16,MATCH(G2613,Config!$J$5:$J$16,0)),""))</f>
        <v/>
      </c>
      <c r="T2613" s="31">
        <f>IF(OR(G2613="",F2613=""),"",IFERROR(INDEX(Config!$M$5:$R$16,MATCH(G2613,Config!$J$5:$J$16,0),MATCH(F2613,Config!$H$5:$H$10,0)),""))</f>
        <v/>
      </c>
      <c r="U2613" s="47">
        <f>IF(AND(H2613="Realizado",L2613&lt;&gt;""),L2613/60,0)</f>
        <v>0</v>
      </c>
      <c r="V2613" s="47">
        <f>IF(AND(H2613="Realizado",OR(L2613="",M2613="")),1,0)</f>
        <v>0</v>
      </c>
    </row>
    <row r="2614">
      <c r="A2614" s="43" t="n"/>
      <c r="B2614" s="44" t="n"/>
      <c r="C2614" s="38" t="n"/>
      <c r="D2614" s="38" t="n"/>
      <c r="E2614" s="37" t="n"/>
      <c r="F2614" s="38" t="n"/>
      <c r="G2614" s="38" t="n"/>
      <c r="H2614" s="38" t="n"/>
      <c r="I2614" s="38" t="n"/>
      <c r="J2614" s="38" t="n"/>
      <c r="K2614" s="37" t="n"/>
      <c r="L2614" s="39" t="n"/>
      <c r="M2614" s="40" t="n"/>
      <c r="N2614" s="30">
        <f>IF(A2614="","",MONTH(A2614))</f>
        <v/>
      </c>
      <c r="O2614" s="30">
        <f>IF(A2614="","",YEAR(A2614))</f>
        <v/>
      </c>
      <c r="P2614" s="30">
        <f>IF(A2614="","",CHOOSE(WEEKDAY(A2614,2),"Segunda","Terça","Quarta","Quinta","Sexta","Sábado","Domingo"))</f>
        <v/>
      </c>
      <c r="Q2614" s="30">
        <f>IF(B2614="","",IF(B2614&lt;TIME(12,0,0),"Manhã",IF(B2614&lt;TIME(18,0,0),"Tarde","Noite")))</f>
        <v/>
      </c>
      <c r="R2614" s="46">
        <f>IF(AND(H2614="Realizado",L2614&lt;&gt;"",A2614&lt;=Config!$B$9),L2614/60,0)</f>
        <v>0</v>
      </c>
      <c r="S2614" s="45">
        <f>IF(G2614="","",IFERROR(INDEX(Config!$K$5:$K$16,MATCH(G2614,Config!$J$5:$J$16,0)),""))</f>
        <v/>
      </c>
      <c r="T2614" s="31">
        <f>IF(OR(G2614="",F2614=""),"",IFERROR(INDEX(Config!$M$5:$R$16,MATCH(G2614,Config!$J$5:$J$16,0),MATCH(F2614,Config!$H$5:$H$10,0)),""))</f>
        <v/>
      </c>
      <c r="U2614" s="47">
        <f>IF(AND(H2614="Realizado",L2614&lt;&gt;""),L2614/60,0)</f>
        <v>0</v>
      </c>
      <c r="V2614" s="47">
        <f>IF(AND(H2614="Realizado",OR(L2614="",M2614="")),1,0)</f>
        <v>0</v>
      </c>
    </row>
    <row r="2615">
      <c r="A2615" s="43" t="n"/>
      <c r="B2615" s="44" t="n"/>
      <c r="C2615" s="38" t="n"/>
      <c r="D2615" s="38" t="n"/>
      <c r="E2615" s="37" t="n"/>
      <c r="F2615" s="38" t="n"/>
      <c r="G2615" s="38" t="n"/>
      <c r="H2615" s="38" t="n"/>
      <c r="I2615" s="38" t="n"/>
      <c r="J2615" s="38" t="n"/>
      <c r="K2615" s="37" t="n"/>
      <c r="L2615" s="39" t="n"/>
      <c r="M2615" s="40" t="n"/>
      <c r="N2615" s="30">
        <f>IF(A2615="","",MONTH(A2615))</f>
        <v/>
      </c>
      <c r="O2615" s="30">
        <f>IF(A2615="","",YEAR(A2615))</f>
        <v/>
      </c>
      <c r="P2615" s="30">
        <f>IF(A2615="","",CHOOSE(WEEKDAY(A2615,2),"Segunda","Terça","Quarta","Quinta","Sexta","Sábado","Domingo"))</f>
        <v/>
      </c>
      <c r="Q2615" s="30">
        <f>IF(B2615="","",IF(B2615&lt;TIME(12,0,0),"Manhã",IF(B2615&lt;TIME(18,0,0),"Tarde","Noite")))</f>
        <v/>
      </c>
      <c r="R2615" s="46">
        <f>IF(AND(H2615="Realizado",L2615&lt;&gt;"",A2615&lt;=Config!$B$9),L2615/60,0)</f>
        <v>0</v>
      </c>
      <c r="S2615" s="45">
        <f>IF(G2615="","",IFERROR(INDEX(Config!$K$5:$K$16,MATCH(G2615,Config!$J$5:$J$16,0)),""))</f>
        <v/>
      </c>
      <c r="T2615" s="31">
        <f>IF(OR(G2615="",F2615=""),"",IFERROR(INDEX(Config!$M$5:$R$16,MATCH(G2615,Config!$J$5:$J$16,0),MATCH(F2615,Config!$H$5:$H$10,0)),""))</f>
        <v/>
      </c>
      <c r="U2615" s="47">
        <f>IF(AND(H2615="Realizado",L2615&lt;&gt;""),L2615/60,0)</f>
        <v>0</v>
      </c>
      <c r="V2615" s="47">
        <f>IF(AND(H2615="Realizado",OR(L2615="",M2615="")),1,0)</f>
        <v>0</v>
      </c>
    </row>
    <row r="2616">
      <c r="A2616" s="43" t="n"/>
      <c r="B2616" s="44" t="n"/>
      <c r="C2616" s="38" t="n"/>
      <c r="D2616" s="38" t="n"/>
      <c r="E2616" s="37" t="n"/>
      <c r="F2616" s="38" t="n"/>
      <c r="G2616" s="38" t="n"/>
      <c r="H2616" s="38" t="n"/>
      <c r="I2616" s="38" t="n"/>
      <c r="J2616" s="38" t="n"/>
      <c r="K2616" s="37" t="n"/>
      <c r="L2616" s="39" t="n"/>
      <c r="M2616" s="40" t="n"/>
      <c r="N2616" s="30">
        <f>IF(A2616="","",MONTH(A2616))</f>
        <v/>
      </c>
      <c r="O2616" s="30">
        <f>IF(A2616="","",YEAR(A2616))</f>
        <v/>
      </c>
      <c r="P2616" s="30">
        <f>IF(A2616="","",CHOOSE(WEEKDAY(A2616,2),"Segunda","Terça","Quarta","Quinta","Sexta","Sábado","Domingo"))</f>
        <v/>
      </c>
      <c r="Q2616" s="30">
        <f>IF(B2616="","",IF(B2616&lt;TIME(12,0,0),"Manhã",IF(B2616&lt;TIME(18,0,0),"Tarde","Noite")))</f>
        <v/>
      </c>
      <c r="R2616" s="46">
        <f>IF(AND(H2616="Realizado",L2616&lt;&gt;"",A2616&lt;=Config!$B$9),L2616/60,0)</f>
        <v>0</v>
      </c>
      <c r="S2616" s="45">
        <f>IF(G2616="","",IFERROR(INDEX(Config!$K$5:$K$16,MATCH(G2616,Config!$J$5:$J$16,0)),""))</f>
        <v/>
      </c>
      <c r="T2616" s="31">
        <f>IF(OR(G2616="",F2616=""),"",IFERROR(INDEX(Config!$M$5:$R$16,MATCH(G2616,Config!$J$5:$J$16,0),MATCH(F2616,Config!$H$5:$H$10,0)),""))</f>
        <v/>
      </c>
      <c r="U2616" s="47">
        <f>IF(AND(H2616="Realizado",L2616&lt;&gt;""),L2616/60,0)</f>
        <v>0</v>
      </c>
      <c r="V2616" s="47">
        <f>IF(AND(H2616="Realizado",OR(L2616="",M2616="")),1,0)</f>
        <v>0</v>
      </c>
    </row>
    <row r="2617">
      <c r="A2617" s="43" t="n"/>
      <c r="B2617" s="44" t="n"/>
      <c r="C2617" s="38" t="n"/>
      <c r="D2617" s="38" t="n"/>
      <c r="E2617" s="37" t="n"/>
      <c r="F2617" s="38" t="n"/>
      <c r="G2617" s="38" t="n"/>
      <c r="H2617" s="38" t="n"/>
      <c r="I2617" s="38" t="n"/>
      <c r="J2617" s="38" t="n"/>
      <c r="K2617" s="37" t="n"/>
      <c r="L2617" s="39" t="n"/>
      <c r="M2617" s="40" t="n"/>
      <c r="N2617" s="30">
        <f>IF(A2617="","",MONTH(A2617))</f>
        <v/>
      </c>
      <c r="O2617" s="30">
        <f>IF(A2617="","",YEAR(A2617))</f>
        <v/>
      </c>
      <c r="P2617" s="30">
        <f>IF(A2617="","",CHOOSE(WEEKDAY(A2617,2),"Segunda","Terça","Quarta","Quinta","Sexta","Sábado","Domingo"))</f>
        <v/>
      </c>
      <c r="Q2617" s="30">
        <f>IF(B2617="","",IF(B2617&lt;TIME(12,0,0),"Manhã",IF(B2617&lt;TIME(18,0,0),"Tarde","Noite")))</f>
        <v/>
      </c>
      <c r="R2617" s="46">
        <f>IF(AND(H2617="Realizado",L2617&lt;&gt;"",A2617&lt;=Config!$B$9),L2617/60,0)</f>
        <v>0</v>
      </c>
      <c r="S2617" s="45">
        <f>IF(G2617="","",IFERROR(INDEX(Config!$K$5:$K$16,MATCH(G2617,Config!$J$5:$J$16,0)),""))</f>
        <v/>
      </c>
      <c r="T2617" s="31">
        <f>IF(OR(G2617="",F2617=""),"",IFERROR(INDEX(Config!$M$5:$R$16,MATCH(G2617,Config!$J$5:$J$16,0),MATCH(F2617,Config!$H$5:$H$10,0)),""))</f>
        <v/>
      </c>
      <c r="U2617" s="47">
        <f>IF(AND(H2617="Realizado",L2617&lt;&gt;""),L2617/60,0)</f>
        <v>0</v>
      </c>
      <c r="V2617" s="47">
        <f>IF(AND(H2617="Realizado",OR(L2617="",M2617="")),1,0)</f>
        <v>0</v>
      </c>
    </row>
    <row r="2618">
      <c r="A2618" s="43" t="n"/>
      <c r="B2618" s="44" t="n"/>
      <c r="C2618" s="38" t="n"/>
      <c r="D2618" s="38" t="n"/>
      <c r="E2618" s="37" t="n"/>
      <c r="F2618" s="38" t="n"/>
      <c r="G2618" s="38" t="n"/>
      <c r="H2618" s="38" t="n"/>
      <c r="I2618" s="38" t="n"/>
      <c r="J2618" s="38" t="n"/>
      <c r="K2618" s="37" t="n"/>
      <c r="L2618" s="39" t="n"/>
      <c r="M2618" s="40" t="n"/>
      <c r="N2618" s="30">
        <f>IF(A2618="","",MONTH(A2618))</f>
        <v/>
      </c>
      <c r="O2618" s="30">
        <f>IF(A2618="","",YEAR(A2618))</f>
        <v/>
      </c>
      <c r="P2618" s="30">
        <f>IF(A2618="","",CHOOSE(WEEKDAY(A2618,2),"Segunda","Terça","Quarta","Quinta","Sexta","Sábado","Domingo"))</f>
        <v/>
      </c>
      <c r="Q2618" s="30">
        <f>IF(B2618="","",IF(B2618&lt;TIME(12,0,0),"Manhã",IF(B2618&lt;TIME(18,0,0),"Tarde","Noite")))</f>
        <v/>
      </c>
      <c r="R2618" s="46">
        <f>IF(AND(H2618="Realizado",L2618&lt;&gt;"",A2618&lt;=Config!$B$9),L2618/60,0)</f>
        <v>0</v>
      </c>
      <c r="S2618" s="45">
        <f>IF(G2618="","",IFERROR(INDEX(Config!$K$5:$K$16,MATCH(G2618,Config!$J$5:$J$16,0)),""))</f>
        <v/>
      </c>
      <c r="T2618" s="31">
        <f>IF(OR(G2618="",F2618=""),"",IFERROR(INDEX(Config!$M$5:$R$16,MATCH(G2618,Config!$J$5:$J$16,0),MATCH(F2618,Config!$H$5:$H$10,0)),""))</f>
        <v/>
      </c>
      <c r="U2618" s="47">
        <f>IF(AND(H2618="Realizado",L2618&lt;&gt;""),L2618/60,0)</f>
        <v>0</v>
      </c>
      <c r="V2618" s="47">
        <f>IF(AND(H2618="Realizado",OR(L2618="",M2618="")),1,0)</f>
        <v>0</v>
      </c>
    </row>
    <row r="2619">
      <c r="A2619" s="43" t="n"/>
      <c r="B2619" s="44" t="n"/>
      <c r="C2619" s="38" t="n"/>
      <c r="D2619" s="38" t="n"/>
      <c r="E2619" s="37" t="n"/>
      <c r="F2619" s="38" t="n"/>
      <c r="G2619" s="38" t="n"/>
      <c r="H2619" s="38" t="n"/>
      <c r="I2619" s="38" t="n"/>
      <c r="J2619" s="38" t="n"/>
      <c r="K2619" s="37" t="n"/>
      <c r="L2619" s="39" t="n"/>
      <c r="M2619" s="40" t="n"/>
      <c r="N2619" s="30">
        <f>IF(A2619="","",MONTH(A2619))</f>
        <v/>
      </c>
      <c r="O2619" s="30">
        <f>IF(A2619="","",YEAR(A2619))</f>
        <v/>
      </c>
      <c r="P2619" s="30">
        <f>IF(A2619="","",CHOOSE(WEEKDAY(A2619,2),"Segunda","Terça","Quarta","Quinta","Sexta","Sábado","Domingo"))</f>
        <v/>
      </c>
      <c r="Q2619" s="30">
        <f>IF(B2619="","",IF(B2619&lt;TIME(12,0,0),"Manhã",IF(B2619&lt;TIME(18,0,0),"Tarde","Noite")))</f>
        <v/>
      </c>
      <c r="R2619" s="46">
        <f>IF(AND(H2619="Realizado",L2619&lt;&gt;"",A2619&lt;=Config!$B$9),L2619/60,0)</f>
        <v>0</v>
      </c>
      <c r="S2619" s="45">
        <f>IF(G2619="","",IFERROR(INDEX(Config!$K$5:$K$16,MATCH(G2619,Config!$J$5:$J$16,0)),""))</f>
        <v/>
      </c>
      <c r="T2619" s="31">
        <f>IF(OR(G2619="",F2619=""),"",IFERROR(INDEX(Config!$M$5:$R$16,MATCH(G2619,Config!$J$5:$J$16,0),MATCH(F2619,Config!$H$5:$H$10,0)),""))</f>
        <v/>
      </c>
      <c r="U2619" s="47">
        <f>IF(AND(H2619="Realizado",L2619&lt;&gt;""),L2619/60,0)</f>
        <v>0</v>
      </c>
      <c r="V2619" s="47">
        <f>IF(AND(H2619="Realizado",OR(L2619="",M2619="")),1,0)</f>
        <v>0</v>
      </c>
    </row>
    <row r="2620">
      <c r="A2620" s="43" t="n"/>
      <c r="B2620" s="44" t="n"/>
      <c r="C2620" s="38" t="n"/>
      <c r="D2620" s="38" t="n"/>
      <c r="E2620" s="37" t="n"/>
      <c r="F2620" s="38" t="n"/>
      <c r="G2620" s="38" t="n"/>
      <c r="H2620" s="38" t="n"/>
      <c r="I2620" s="38" t="n"/>
      <c r="J2620" s="38" t="n"/>
      <c r="K2620" s="37" t="n"/>
      <c r="L2620" s="39" t="n"/>
      <c r="M2620" s="40" t="n"/>
      <c r="N2620" s="30">
        <f>IF(A2620="","",MONTH(A2620))</f>
        <v/>
      </c>
      <c r="O2620" s="30">
        <f>IF(A2620="","",YEAR(A2620))</f>
        <v/>
      </c>
      <c r="P2620" s="30">
        <f>IF(A2620="","",CHOOSE(WEEKDAY(A2620,2),"Segunda","Terça","Quarta","Quinta","Sexta","Sábado","Domingo"))</f>
        <v/>
      </c>
      <c r="Q2620" s="30">
        <f>IF(B2620="","",IF(B2620&lt;TIME(12,0,0),"Manhã",IF(B2620&lt;TIME(18,0,0),"Tarde","Noite")))</f>
        <v/>
      </c>
      <c r="R2620" s="46">
        <f>IF(AND(H2620="Realizado",L2620&lt;&gt;"",A2620&lt;=Config!$B$9),L2620/60,0)</f>
        <v>0</v>
      </c>
      <c r="S2620" s="45">
        <f>IF(G2620="","",IFERROR(INDEX(Config!$K$5:$K$16,MATCH(G2620,Config!$J$5:$J$16,0)),""))</f>
        <v/>
      </c>
      <c r="T2620" s="31">
        <f>IF(OR(G2620="",F2620=""),"",IFERROR(INDEX(Config!$M$5:$R$16,MATCH(G2620,Config!$J$5:$J$16,0),MATCH(F2620,Config!$H$5:$H$10,0)),""))</f>
        <v/>
      </c>
      <c r="U2620" s="47">
        <f>IF(AND(H2620="Realizado",L2620&lt;&gt;""),L2620/60,0)</f>
        <v>0</v>
      </c>
      <c r="V2620" s="47">
        <f>IF(AND(H2620="Realizado",OR(L2620="",M2620="")),1,0)</f>
        <v>0</v>
      </c>
    </row>
    <row r="2621">
      <c r="A2621" s="43" t="n"/>
      <c r="B2621" s="44" t="n"/>
      <c r="C2621" s="38" t="n"/>
      <c r="D2621" s="38" t="n"/>
      <c r="E2621" s="37" t="n"/>
      <c r="F2621" s="38" t="n"/>
      <c r="G2621" s="38" t="n"/>
      <c r="H2621" s="38" t="n"/>
      <c r="I2621" s="38" t="n"/>
      <c r="J2621" s="38" t="n"/>
      <c r="K2621" s="37" t="n"/>
      <c r="L2621" s="39" t="n"/>
      <c r="M2621" s="40" t="n"/>
      <c r="N2621" s="30">
        <f>IF(A2621="","",MONTH(A2621))</f>
        <v/>
      </c>
      <c r="O2621" s="30">
        <f>IF(A2621="","",YEAR(A2621))</f>
        <v/>
      </c>
      <c r="P2621" s="30">
        <f>IF(A2621="","",CHOOSE(WEEKDAY(A2621,2),"Segunda","Terça","Quarta","Quinta","Sexta","Sábado","Domingo"))</f>
        <v/>
      </c>
      <c r="Q2621" s="30">
        <f>IF(B2621="","",IF(B2621&lt;TIME(12,0,0),"Manhã",IF(B2621&lt;TIME(18,0,0),"Tarde","Noite")))</f>
        <v/>
      </c>
      <c r="R2621" s="46">
        <f>IF(AND(H2621="Realizado",L2621&lt;&gt;"",A2621&lt;=Config!$B$9),L2621/60,0)</f>
        <v>0</v>
      </c>
      <c r="S2621" s="45">
        <f>IF(G2621="","",IFERROR(INDEX(Config!$K$5:$K$16,MATCH(G2621,Config!$J$5:$J$16,0)),""))</f>
        <v/>
      </c>
      <c r="T2621" s="31">
        <f>IF(OR(G2621="",F2621=""),"",IFERROR(INDEX(Config!$M$5:$R$16,MATCH(G2621,Config!$J$5:$J$16,0),MATCH(F2621,Config!$H$5:$H$10,0)),""))</f>
        <v/>
      </c>
      <c r="U2621" s="47">
        <f>IF(AND(H2621="Realizado",L2621&lt;&gt;""),L2621/60,0)</f>
        <v>0</v>
      </c>
      <c r="V2621" s="47">
        <f>IF(AND(H2621="Realizado",OR(L2621="",M2621="")),1,0)</f>
        <v>0</v>
      </c>
    </row>
    <row r="2622">
      <c r="A2622" s="43" t="n"/>
      <c r="B2622" s="44" t="n"/>
      <c r="C2622" s="38" t="n"/>
      <c r="D2622" s="38" t="n"/>
      <c r="E2622" s="37" t="n"/>
      <c r="F2622" s="38" t="n"/>
      <c r="G2622" s="38" t="n"/>
      <c r="H2622" s="38" t="n"/>
      <c r="I2622" s="38" t="n"/>
      <c r="J2622" s="38" t="n"/>
      <c r="K2622" s="37" t="n"/>
      <c r="L2622" s="39" t="n"/>
      <c r="M2622" s="40" t="n"/>
      <c r="N2622" s="30">
        <f>IF(A2622="","",MONTH(A2622))</f>
        <v/>
      </c>
      <c r="O2622" s="30">
        <f>IF(A2622="","",YEAR(A2622))</f>
        <v/>
      </c>
      <c r="P2622" s="30">
        <f>IF(A2622="","",CHOOSE(WEEKDAY(A2622,2),"Segunda","Terça","Quarta","Quinta","Sexta","Sábado","Domingo"))</f>
        <v/>
      </c>
      <c r="Q2622" s="30">
        <f>IF(B2622="","",IF(B2622&lt;TIME(12,0,0),"Manhã",IF(B2622&lt;TIME(18,0,0),"Tarde","Noite")))</f>
        <v/>
      </c>
      <c r="R2622" s="46">
        <f>IF(AND(H2622="Realizado",L2622&lt;&gt;"",A2622&lt;=Config!$B$9),L2622/60,0)</f>
        <v>0</v>
      </c>
      <c r="S2622" s="45">
        <f>IF(G2622="","",IFERROR(INDEX(Config!$K$5:$K$16,MATCH(G2622,Config!$J$5:$J$16,0)),""))</f>
        <v/>
      </c>
      <c r="T2622" s="31">
        <f>IF(OR(G2622="",F2622=""),"",IFERROR(INDEX(Config!$M$5:$R$16,MATCH(G2622,Config!$J$5:$J$16,0),MATCH(F2622,Config!$H$5:$H$10,0)),""))</f>
        <v/>
      </c>
      <c r="U2622" s="47">
        <f>IF(AND(H2622="Realizado",L2622&lt;&gt;""),L2622/60,0)</f>
        <v>0</v>
      </c>
      <c r="V2622" s="47">
        <f>IF(AND(H2622="Realizado",OR(L2622="",M2622="")),1,0)</f>
        <v>0</v>
      </c>
    </row>
    <row r="2623">
      <c r="A2623" s="43" t="n"/>
      <c r="B2623" s="44" t="n"/>
      <c r="C2623" s="38" t="n"/>
      <c r="D2623" s="38" t="n"/>
      <c r="E2623" s="37" t="n"/>
      <c r="F2623" s="38" t="n"/>
      <c r="G2623" s="38" t="n"/>
      <c r="H2623" s="38" t="n"/>
      <c r="I2623" s="38" t="n"/>
      <c r="J2623" s="38" t="n"/>
      <c r="K2623" s="37" t="n"/>
      <c r="L2623" s="39" t="n"/>
      <c r="M2623" s="40" t="n"/>
      <c r="N2623" s="30">
        <f>IF(A2623="","",MONTH(A2623))</f>
        <v/>
      </c>
      <c r="O2623" s="30">
        <f>IF(A2623="","",YEAR(A2623))</f>
        <v/>
      </c>
      <c r="P2623" s="30">
        <f>IF(A2623="","",CHOOSE(WEEKDAY(A2623,2),"Segunda","Terça","Quarta","Quinta","Sexta","Sábado","Domingo"))</f>
        <v/>
      </c>
      <c r="Q2623" s="30">
        <f>IF(B2623="","",IF(B2623&lt;TIME(12,0,0),"Manhã",IF(B2623&lt;TIME(18,0,0),"Tarde","Noite")))</f>
        <v/>
      </c>
      <c r="R2623" s="46">
        <f>IF(AND(H2623="Realizado",L2623&lt;&gt;"",A2623&lt;=Config!$B$9),L2623/60,0)</f>
        <v>0</v>
      </c>
      <c r="S2623" s="45">
        <f>IF(G2623="","",IFERROR(INDEX(Config!$K$5:$K$16,MATCH(G2623,Config!$J$5:$J$16,0)),""))</f>
        <v/>
      </c>
      <c r="T2623" s="31">
        <f>IF(OR(G2623="",F2623=""),"",IFERROR(INDEX(Config!$M$5:$R$16,MATCH(G2623,Config!$J$5:$J$16,0),MATCH(F2623,Config!$H$5:$H$10,0)),""))</f>
        <v/>
      </c>
      <c r="U2623" s="47">
        <f>IF(AND(H2623="Realizado",L2623&lt;&gt;""),L2623/60,0)</f>
        <v>0</v>
      </c>
      <c r="V2623" s="47">
        <f>IF(AND(H2623="Realizado",OR(L2623="",M2623="")),1,0)</f>
        <v>0</v>
      </c>
    </row>
    <row r="2624">
      <c r="A2624" s="43" t="n"/>
      <c r="B2624" s="44" t="n"/>
      <c r="C2624" s="38" t="n"/>
      <c r="D2624" s="38" t="n"/>
      <c r="E2624" s="37" t="n"/>
      <c r="F2624" s="38" t="n"/>
      <c r="G2624" s="38" t="n"/>
      <c r="H2624" s="38" t="n"/>
      <c r="I2624" s="38" t="n"/>
      <c r="J2624" s="38" t="n"/>
      <c r="K2624" s="37" t="n"/>
      <c r="L2624" s="39" t="n"/>
      <c r="M2624" s="40" t="n"/>
      <c r="N2624" s="30">
        <f>IF(A2624="","",MONTH(A2624))</f>
        <v/>
      </c>
      <c r="O2624" s="30">
        <f>IF(A2624="","",YEAR(A2624))</f>
        <v/>
      </c>
      <c r="P2624" s="30">
        <f>IF(A2624="","",CHOOSE(WEEKDAY(A2624,2),"Segunda","Terça","Quarta","Quinta","Sexta","Sábado","Domingo"))</f>
        <v/>
      </c>
      <c r="Q2624" s="30">
        <f>IF(B2624="","",IF(B2624&lt;TIME(12,0,0),"Manhã",IF(B2624&lt;TIME(18,0,0),"Tarde","Noite")))</f>
        <v/>
      </c>
      <c r="R2624" s="46">
        <f>IF(AND(H2624="Realizado",L2624&lt;&gt;"",A2624&lt;=Config!$B$9),L2624/60,0)</f>
        <v>0</v>
      </c>
      <c r="S2624" s="45">
        <f>IF(G2624="","",IFERROR(INDEX(Config!$K$5:$K$16,MATCH(G2624,Config!$J$5:$J$16,0)),""))</f>
        <v/>
      </c>
      <c r="T2624" s="31">
        <f>IF(OR(G2624="",F2624=""),"",IFERROR(INDEX(Config!$M$5:$R$16,MATCH(G2624,Config!$J$5:$J$16,0),MATCH(F2624,Config!$H$5:$H$10,0)),""))</f>
        <v/>
      </c>
      <c r="U2624" s="47">
        <f>IF(AND(H2624="Realizado",L2624&lt;&gt;""),L2624/60,0)</f>
        <v>0</v>
      </c>
      <c r="V2624" s="47">
        <f>IF(AND(H2624="Realizado",OR(L2624="",M2624="")),1,0)</f>
        <v>0</v>
      </c>
    </row>
    <row r="2625">
      <c r="A2625" s="43" t="n"/>
      <c r="B2625" s="44" t="n"/>
      <c r="C2625" s="38" t="n"/>
      <c r="D2625" s="38" t="n"/>
      <c r="E2625" s="37" t="n"/>
      <c r="F2625" s="38" t="n"/>
      <c r="G2625" s="38" t="n"/>
      <c r="H2625" s="38" t="n"/>
      <c r="I2625" s="38" t="n"/>
      <c r="J2625" s="38" t="n"/>
      <c r="K2625" s="37" t="n"/>
      <c r="L2625" s="39" t="n"/>
      <c r="M2625" s="40" t="n"/>
      <c r="N2625" s="30">
        <f>IF(A2625="","",MONTH(A2625))</f>
        <v/>
      </c>
      <c r="O2625" s="30">
        <f>IF(A2625="","",YEAR(A2625))</f>
        <v/>
      </c>
      <c r="P2625" s="30">
        <f>IF(A2625="","",CHOOSE(WEEKDAY(A2625,2),"Segunda","Terça","Quarta","Quinta","Sexta","Sábado","Domingo"))</f>
        <v/>
      </c>
      <c r="Q2625" s="30">
        <f>IF(B2625="","",IF(B2625&lt;TIME(12,0,0),"Manhã",IF(B2625&lt;TIME(18,0,0),"Tarde","Noite")))</f>
        <v/>
      </c>
      <c r="R2625" s="46">
        <f>IF(AND(H2625="Realizado",L2625&lt;&gt;"",A2625&lt;=Config!$B$9),L2625/60,0)</f>
        <v>0</v>
      </c>
      <c r="S2625" s="45">
        <f>IF(G2625="","",IFERROR(INDEX(Config!$K$5:$K$16,MATCH(G2625,Config!$J$5:$J$16,0)),""))</f>
        <v/>
      </c>
      <c r="T2625" s="31">
        <f>IF(OR(G2625="",F2625=""),"",IFERROR(INDEX(Config!$M$5:$R$16,MATCH(G2625,Config!$J$5:$J$16,0),MATCH(F2625,Config!$H$5:$H$10,0)),""))</f>
        <v/>
      </c>
      <c r="U2625" s="47">
        <f>IF(AND(H2625="Realizado",L2625&lt;&gt;""),L2625/60,0)</f>
        <v>0</v>
      </c>
      <c r="V2625" s="47">
        <f>IF(AND(H2625="Realizado",OR(L2625="",M2625="")),1,0)</f>
        <v>0</v>
      </c>
    </row>
    <row r="2626">
      <c r="A2626" s="43" t="n"/>
      <c r="B2626" s="44" t="n"/>
      <c r="C2626" s="38" t="n"/>
      <c r="D2626" s="38" t="n"/>
      <c r="E2626" s="37" t="n"/>
      <c r="F2626" s="38" t="n"/>
      <c r="G2626" s="38" t="n"/>
      <c r="H2626" s="38" t="n"/>
      <c r="I2626" s="38" t="n"/>
      <c r="J2626" s="38" t="n"/>
      <c r="K2626" s="37" t="n"/>
      <c r="L2626" s="39" t="n"/>
      <c r="M2626" s="40" t="n"/>
      <c r="N2626" s="30">
        <f>IF(A2626="","",MONTH(A2626))</f>
        <v/>
      </c>
      <c r="O2626" s="30">
        <f>IF(A2626="","",YEAR(A2626))</f>
        <v/>
      </c>
      <c r="P2626" s="30">
        <f>IF(A2626="","",CHOOSE(WEEKDAY(A2626,2),"Segunda","Terça","Quarta","Quinta","Sexta","Sábado","Domingo"))</f>
        <v/>
      </c>
      <c r="Q2626" s="30">
        <f>IF(B2626="","",IF(B2626&lt;TIME(12,0,0),"Manhã",IF(B2626&lt;TIME(18,0,0),"Tarde","Noite")))</f>
        <v/>
      </c>
      <c r="R2626" s="46">
        <f>IF(AND(H2626="Realizado",L2626&lt;&gt;"",A2626&lt;=Config!$B$9),L2626/60,0)</f>
        <v>0</v>
      </c>
      <c r="S2626" s="45">
        <f>IF(G2626="","",IFERROR(INDEX(Config!$K$5:$K$16,MATCH(G2626,Config!$J$5:$J$16,0)),""))</f>
        <v/>
      </c>
      <c r="T2626" s="31">
        <f>IF(OR(G2626="",F2626=""),"",IFERROR(INDEX(Config!$M$5:$R$16,MATCH(G2626,Config!$J$5:$J$16,0),MATCH(F2626,Config!$H$5:$H$10,0)),""))</f>
        <v/>
      </c>
      <c r="U2626" s="47">
        <f>IF(AND(H2626="Realizado",L2626&lt;&gt;""),L2626/60,0)</f>
        <v>0</v>
      </c>
      <c r="V2626" s="47">
        <f>IF(AND(H2626="Realizado",OR(L2626="",M2626="")),1,0)</f>
        <v>0</v>
      </c>
    </row>
    <row r="2627">
      <c r="A2627" s="43" t="n"/>
      <c r="B2627" s="44" t="n"/>
      <c r="C2627" s="38" t="n"/>
      <c r="D2627" s="38" t="n"/>
      <c r="E2627" s="37" t="n"/>
      <c r="F2627" s="38" t="n"/>
      <c r="G2627" s="38" t="n"/>
      <c r="H2627" s="38" t="n"/>
      <c r="I2627" s="38" t="n"/>
      <c r="J2627" s="38" t="n"/>
      <c r="K2627" s="37" t="n"/>
      <c r="L2627" s="39" t="n"/>
      <c r="M2627" s="40" t="n"/>
      <c r="N2627" s="30">
        <f>IF(A2627="","",MONTH(A2627))</f>
        <v/>
      </c>
      <c r="O2627" s="30">
        <f>IF(A2627="","",YEAR(A2627))</f>
        <v/>
      </c>
      <c r="P2627" s="30">
        <f>IF(A2627="","",CHOOSE(WEEKDAY(A2627,2),"Segunda","Terça","Quarta","Quinta","Sexta","Sábado","Domingo"))</f>
        <v/>
      </c>
      <c r="Q2627" s="30">
        <f>IF(B2627="","",IF(B2627&lt;TIME(12,0,0),"Manhã",IF(B2627&lt;TIME(18,0,0),"Tarde","Noite")))</f>
        <v/>
      </c>
      <c r="R2627" s="46">
        <f>IF(AND(H2627="Realizado",L2627&lt;&gt;"",A2627&lt;=Config!$B$9),L2627/60,0)</f>
        <v>0</v>
      </c>
      <c r="S2627" s="45">
        <f>IF(G2627="","",IFERROR(INDEX(Config!$K$5:$K$16,MATCH(G2627,Config!$J$5:$J$16,0)),""))</f>
        <v/>
      </c>
      <c r="T2627" s="31">
        <f>IF(OR(G2627="",F2627=""),"",IFERROR(INDEX(Config!$M$5:$R$16,MATCH(G2627,Config!$J$5:$J$16,0),MATCH(F2627,Config!$H$5:$H$10,0)),""))</f>
        <v/>
      </c>
      <c r="U2627" s="47">
        <f>IF(AND(H2627="Realizado",L2627&lt;&gt;""),L2627/60,0)</f>
        <v>0</v>
      </c>
      <c r="V2627" s="47">
        <f>IF(AND(H2627="Realizado",OR(L2627="",M2627="")),1,0)</f>
        <v>0</v>
      </c>
    </row>
    <row r="2628">
      <c r="A2628" s="43" t="n"/>
      <c r="B2628" s="44" t="n"/>
      <c r="C2628" s="38" t="n"/>
      <c r="D2628" s="38" t="n"/>
      <c r="E2628" s="37" t="n"/>
      <c r="F2628" s="38" t="n"/>
      <c r="G2628" s="38" t="n"/>
      <c r="H2628" s="38" t="n"/>
      <c r="I2628" s="38" t="n"/>
      <c r="J2628" s="38" t="n"/>
      <c r="K2628" s="37" t="n"/>
      <c r="L2628" s="39" t="n"/>
      <c r="M2628" s="40" t="n"/>
      <c r="N2628" s="30">
        <f>IF(A2628="","",MONTH(A2628))</f>
        <v/>
      </c>
      <c r="O2628" s="30">
        <f>IF(A2628="","",YEAR(A2628))</f>
        <v/>
      </c>
      <c r="P2628" s="30">
        <f>IF(A2628="","",CHOOSE(WEEKDAY(A2628,2),"Segunda","Terça","Quarta","Quinta","Sexta","Sábado","Domingo"))</f>
        <v/>
      </c>
      <c r="Q2628" s="30">
        <f>IF(B2628="","",IF(B2628&lt;TIME(12,0,0),"Manhã",IF(B2628&lt;TIME(18,0,0),"Tarde","Noite")))</f>
        <v/>
      </c>
      <c r="R2628" s="46">
        <f>IF(AND(H2628="Realizado",L2628&lt;&gt;"",A2628&lt;=Config!$B$9),L2628/60,0)</f>
        <v>0</v>
      </c>
      <c r="S2628" s="45">
        <f>IF(G2628="","",IFERROR(INDEX(Config!$K$5:$K$16,MATCH(G2628,Config!$J$5:$J$16,0)),""))</f>
        <v/>
      </c>
      <c r="T2628" s="31">
        <f>IF(OR(G2628="",F2628=""),"",IFERROR(INDEX(Config!$M$5:$R$16,MATCH(G2628,Config!$J$5:$J$16,0),MATCH(F2628,Config!$H$5:$H$10,0)),""))</f>
        <v/>
      </c>
      <c r="U2628" s="47">
        <f>IF(AND(H2628="Realizado",L2628&lt;&gt;""),L2628/60,0)</f>
        <v>0</v>
      </c>
      <c r="V2628" s="47">
        <f>IF(AND(H2628="Realizado",OR(L2628="",M2628="")),1,0)</f>
        <v>0</v>
      </c>
    </row>
    <row r="2629">
      <c r="A2629" s="43" t="n"/>
      <c r="B2629" s="44" t="n"/>
      <c r="C2629" s="38" t="n"/>
      <c r="D2629" s="38" t="n"/>
      <c r="E2629" s="37" t="n"/>
      <c r="F2629" s="38" t="n"/>
      <c r="G2629" s="38" t="n"/>
      <c r="H2629" s="38" t="n"/>
      <c r="I2629" s="38" t="n"/>
      <c r="J2629" s="38" t="n"/>
      <c r="K2629" s="37" t="n"/>
      <c r="L2629" s="39" t="n"/>
      <c r="M2629" s="40" t="n"/>
      <c r="N2629" s="30">
        <f>IF(A2629="","",MONTH(A2629))</f>
        <v/>
      </c>
      <c r="O2629" s="30">
        <f>IF(A2629="","",YEAR(A2629))</f>
        <v/>
      </c>
      <c r="P2629" s="30">
        <f>IF(A2629="","",CHOOSE(WEEKDAY(A2629,2),"Segunda","Terça","Quarta","Quinta","Sexta","Sábado","Domingo"))</f>
        <v/>
      </c>
      <c r="Q2629" s="30">
        <f>IF(B2629="","",IF(B2629&lt;TIME(12,0,0),"Manhã",IF(B2629&lt;TIME(18,0,0),"Tarde","Noite")))</f>
        <v/>
      </c>
      <c r="R2629" s="46">
        <f>IF(AND(H2629="Realizado",L2629&lt;&gt;"",A2629&lt;=Config!$B$9),L2629/60,0)</f>
        <v>0</v>
      </c>
      <c r="S2629" s="45">
        <f>IF(G2629="","",IFERROR(INDEX(Config!$K$5:$K$16,MATCH(G2629,Config!$J$5:$J$16,0)),""))</f>
        <v/>
      </c>
      <c r="T2629" s="31">
        <f>IF(OR(G2629="",F2629=""),"",IFERROR(INDEX(Config!$M$5:$R$16,MATCH(G2629,Config!$J$5:$J$16,0),MATCH(F2629,Config!$H$5:$H$10,0)),""))</f>
        <v/>
      </c>
      <c r="U2629" s="47">
        <f>IF(AND(H2629="Realizado",L2629&lt;&gt;""),L2629/60,0)</f>
        <v>0</v>
      </c>
      <c r="V2629" s="47">
        <f>IF(AND(H2629="Realizado",OR(L2629="",M2629="")),1,0)</f>
        <v>0</v>
      </c>
    </row>
    <row r="2630">
      <c r="A2630" s="43" t="n"/>
      <c r="B2630" s="44" t="n"/>
      <c r="C2630" s="38" t="n"/>
      <c r="D2630" s="38" t="n"/>
      <c r="E2630" s="37" t="n"/>
      <c r="F2630" s="38" t="n"/>
      <c r="G2630" s="38" t="n"/>
      <c r="H2630" s="38" t="n"/>
      <c r="I2630" s="38" t="n"/>
      <c r="J2630" s="38" t="n"/>
      <c r="K2630" s="37" t="n"/>
      <c r="L2630" s="39" t="n"/>
      <c r="M2630" s="40" t="n"/>
      <c r="N2630" s="30">
        <f>IF(A2630="","",MONTH(A2630))</f>
        <v/>
      </c>
      <c r="O2630" s="30">
        <f>IF(A2630="","",YEAR(A2630))</f>
        <v/>
      </c>
      <c r="P2630" s="30">
        <f>IF(A2630="","",CHOOSE(WEEKDAY(A2630,2),"Segunda","Terça","Quarta","Quinta","Sexta","Sábado","Domingo"))</f>
        <v/>
      </c>
      <c r="Q2630" s="30">
        <f>IF(B2630="","",IF(B2630&lt;TIME(12,0,0),"Manhã",IF(B2630&lt;TIME(18,0,0),"Tarde","Noite")))</f>
        <v/>
      </c>
      <c r="R2630" s="46">
        <f>IF(AND(H2630="Realizado",L2630&lt;&gt;"",A2630&lt;=Config!$B$9),L2630/60,0)</f>
        <v>0</v>
      </c>
      <c r="S2630" s="45">
        <f>IF(G2630="","",IFERROR(INDEX(Config!$K$5:$K$16,MATCH(G2630,Config!$J$5:$J$16,0)),""))</f>
        <v/>
      </c>
      <c r="T2630" s="31">
        <f>IF(OR(G2630="",F2630=""),"",IFERROR(INDEX(Config!$M$5:$R$16,MATCH(G2630,Config!$J$5:$J$16,0),MATCH(F2630,Config!$H$5:$H$10,0)),""))</f>
        <v/>
      </c>
      <c r="U2630" s="47">
        <f>IF(AND(H2630="Realizado",L2630&lt;&gt;""),L2630/60,0)</f>
        <v>0</v>
      </c>
      <c r="V2630" s="47">
        <f>IF(AND(H2630="Realizado",OR(L2630="",M2630="")),1,0)</f>
        <v>0</v>
      </c>
    </row>
    <row r="2631">
      <c r="A2631" s="43" t="n"/>
      <c r="B2631" s="44" t="n"/>
      <c r="C2631" s="38" t="n"/>
      <c r="D2631" s="38" t="n"/>
      <c r="E2631" s="37" t="n"/>
      <c r="F2631" s="38" t="n"/>
      <c r="G2631" s="38" t="n"/>
      <c r="H2631" s="38" t="n"/>
      <c r="I2631" s="38" t="n"/>
      <c r="J2631" s="38" t="n"/>
      <c r="K2631" s="37" t="n"/>
      <c r="L2631" s="39" t="n"/>
      <c r="M2631" s="40" t="n"/>
      <c r="N2631" s="30">
        <f>IF(A2631="","",MONTH(A2631))</f>
        <v/>
      </c>
      <c r="O2631" s="30">
        <f>IF(A2631="","",YEAR(A2631))</f>
        <v/>
      </c>
      <c r="P2631" s="30">
        <f>IF(A2631="","",CHOOSE(WEEKDAY(A2631,2),"Segunda","Terça","Quarta","Quinta","Sexta","Sábado","Domingo"))</f>
        <v/>
      </c>
      <c r="Q2631" s="30">
        <f>IF(B2631="","",IF(B2631&lt;TIME(12,0,0),"Manhã",IF(B2631&lt;TIME(18,0,0),"Tarde","Noite")))</f>
        <v/>
      </c>
      <c r="R2631" s="46">
        <f>IF(AND(H2631="Realizado",L2631&lt;&gt;"",A2631&lt;=Config!$B$9),L2631/60,0)</f>
        <v>0</v>
      </c>
      <c r="S2631" s="45">
        <f>IF(G2631="","",IFERROR(INDEX(Config!$K$5:$K$16,MATCH(G2631,Config!$J$5:$J$16,0)),""))</f>
        <v/>
      </c>
      <c r="T2631" s="31">
        <f>IF(OR(G2631="",F2631=""),"",IFERROR(INDEX(Config!$M$5:$R$16,MATCH(G2631,Config!$J$5:$J$16,0),MATCH(F2631,Config!$H$5:$H$10,0)),""))</f>
        <v/>
      </c>
      <c r="U2631" s="47">
        <f>IF(AND(H2631="Realizado",L2631&lt;&gt;""),L2631/60,0)</f>
        <v>0</v>
      </c>
      <c r="V2631" s="47">
        <f>IF(AND(H2631="Realizado",OR(L2631="",M2631="")),1,0)</f>
        <v>0</v>
      </c>
    </row>
    <row r="2632">
      <c r="A2632" s="43" t="n"/>
      <c r="B2632" s="44" t="n"/>
      <c r="C2632" s="38" t="n"/>
      <c r="D2632" s="38" t="n"/>
      <c r="E2632" s="37" t="n"/>
      <c r="F2632" s="38" t="n"/>
      <c r="G2632" s="38" t="n"/>
      <c r="H2632" s="38" t="n"/>
      <c r="I2632" s="38" t="n"/>
      <c r="J2632" s="38" t="n"/>
      <c r="K2632" s="37" t="n"/>
      <c r="L2632" s="39" t="n"/>
      <c r="M2632" s="40" t="n"/>
      <c r="N2632" s="30">
        <f>IF(A2632="","",MONTH(A2632))</f>
        <v/>
      </c>
      <c r="O2632" s="30">
        <f>IF(A2632="","",YEAR(A2632))</f>
        <v/>
      </c>
      <c r="P2632" s="30">
        <f>IF(A2632="","",CHOOSE(WEEKDAY(A2632,2),"Segunda","Terça","Quarta","Quinta","Sexta","Sábado","Domingo"))</f>
        <v/>
      </c>
      <c r="Q2632" s="30">
        <f>IF(B2632="","",IF(B2632&lt;TIME(12,0,0),"Manhã",IF(B2632&lt;TIME(18,0,0),"Tarde","Noite")))</f>
        <v/>
      </c>
      <c r="R2632" s="46">
        <f>IF(AND(H2632="Realizado",L2632&lt;&gt;"",A2632&lt;=Config!$B$9),L2632/60,0)</f>
        <v>0</v>
      </c>
      <c r="S2632" s="45">
        <f>IF(G2632="","",IFERROR(INDEX(Config!$K$5:$K$16,MATCH(G2632,Config!$J$5:$J$16,0)),""))</f>
        <v/>
      </c>
      <c r="T2632" s="31">
        <f>IF(OR(G2632="",F2632=""),"",IFERROR(INDEX(Config!$M$5:$R$16,MATCH(G2632,Config!$J$5:$J$16,0),MATCH(F2632,Config!$H$5:$H$10,0)),""))</f>
        <v/>
      </c>
      <c r="U2632" s="47">
        <f>IF(AND(H2632="Realizado",L2632&lt;&gt;""),L2632/60,0)</f>
        <v>0</v>
      </c>
      <c r="V2632" s="47">
        <f>IF(AND(H2632="Realizado",OR(L2632="",M2632="")),1,0)</f>
        <v>0</v>
      </c>
    </row>
    <row r="2633">
      <c r="A2633" s="43" t="n"/>
      <c r="B2633" s="44" t="n"/>
      <c r="C2633" s="38" t="n"/>
      <c r="D2633" s="38" t="n"/>
      <c r="E2633" s="37" t="n"/>
      <c r="F2633" s="38" t="n"/>
      <c r="G2633" s="38" t="n"/>
      <c r="H2633" s="38" t="n"/>
      <c r="I2633" s="38" t="n"/>
      <c r="J2633" s="38" t="n"/>
      <c r="K2633" s="37" t="n"/>
      <c r="L2633" s="39" t="n"/>
      <c r="M2633" s="40" t="n"/>
      <c r="N2633" s="30">
        <f>IF(A2633="","",MONTH(A2633))</f>
        <v/>
      </c>
      <c r="O2633" s="30">
        <f>IF(A2633="","",YEAR(A2633))</f>
        <v/>
      </c>
      <c r="P2633" s="30">
        <f>IF(A2633="","",CHOOSE(WEEKDAY(A2633,2),"Segunda","Terça","Quarta","Quinta","Sexta","Sábado","Domingo"))</f>
        <v/>
      </c>
      <c r="Q2633" s="30">
        <f>IF(B2633="","",IF(B2633&lt;TIME(12,0,0),"Manhã",IF(B2633&lt;TIME(18,0,0),"Tarde","Noite")))</f>
        <v/>
      </c>
      <c r="R2633" s="46">
        <f>IF(AND(H2633="Realizado",L2633&lt;&gt;"",A2633&lt;=Config!$B$9),L2633/60,0)</f>
        <v>0</v>
      </c>
      <c r="S2633" s="45">
        <f>IF(G2633="","",IFERROR(INDEX(Config!$K$5:$K$16,MATCH(G2633,Config!$J$5:$J$16,0)),""))</f>
        <v/>
      </c>
      <c r="T2633" s="31">
        <f>IF(OR(G2633="",F2633=""),"",IFERROR(INDEX(Config!$M$5:$R$16,MATCH(G2633,Config!$J$5:$J$16,0),MATCH(F2633,Config!$H$5:$H$10,0)),""))</f>
        <v/>
      </c>
      <c r="U2633" s="47">
        <f>IF(AND(H2633="Realizado",L2633&lt;&gt;""),L2633/60,0)</f>
        <v>0</v>
      </c>
      <c r="V2633" s="47">
        <f>IF(AND(H2633="Realizado",OR(L2633="",M2633="")),1,0)</f>
        <v>0</v>
      </c>
    </row>
    <row r="2634">
      <c r="A2634" s="43" t="n"/>
      <c r="B2634" s="44" t="n"/>
      <c r="C2634" s="38" t="n"/>
      <c r="D2634" s="38" t="n"/>
      <c r="E2634" s="37" t="n"/>
      <c r="F2634" s="38" t="n"/>
      <c r="G2634" s="38" t="n"/>
      <c r="H2634" s="38" t="n"/>
      <c r="I2634" s="38" t="n"/>
      <c r="J2634" s="38" t="n"/>
      <c r="K2634" s="37" t="n"/>
      <c r="L2634" s="39" t="n"/>
      <c r="M2634" s="40" t="n"/>
      <c r="N2634" s="30">
        <f>IF(A2634="","",MONTH(A2634))</f>
        <v/>
      </c>
      <c r="O2634" s="30">
        <f>IF(A2634="","",YEAR(A2634))</f>
        <v/>
      </c>
      <c r="P2634" s="30">
        <f>IF(A2634="","",CHOOSE(WEEKDAY(A2634,2),"Segunda","Terça","Quarta","Quinta","Sexta","Sábado","Domingo"))</f>
        <v/>
      </c>
      <c r="Q2634" s="30">
        <f>IF(B2634="","",IF(B2634&lt;TIME(12,0,0),"Manhã",IF(B2634&lt;TIME(18,0,0),"Tarde","Noite")))</f>
        <v/>
      </c>
      <c r="R2634" s="46">
        <f>IF(AND(H2634="Realizado",L2634&lt;&gt;"",A2634&lt;=Config!$B$9),L2634/60,0)</f>
        <v>0</v>
      </c>
      <c r="S2634" s="45">
        <f>IF(G2634="","",IFERROR(INDEX(Config!$K$5:$K$16,MATCH(G2634,Config!$J$5:$J$16,0)),""))</f>
        <v/>
      </c>
      <c r="T2634" s="31">
        <f>IF(OR(G2634="",F2634=""),"",IFERROR(INDEX(Config!$M$5:$R$16,MATCH(G2634,Config!$J$5:$J$16,0),MATCH(F2634,Config!$H$5:$H$10,0)),""))</f>
        <v/>
      </c>
      <c r="U2634" s="47">
        <f>IF(AND(H2634="Realizado",L2634&lt;&gt;""),L2634/60,0)</f>
        <v>0</v>
      </c>
      <c r="V2634" s="47">
        <f>IF(AND(H2634="Realizado",OR(L2634="",M2634="")),1,0)</f>
        <v>0</v>
      </c>
    </row>
    <row r="2635">
      <c r="A2635" s="43" t="n"/>
      <c r="B2635" s="44" t="n"/>
      <c r="C2635" s="38" t="n"/>
      <c r="D2635" s="38" t="n"/>
      <c r="E2635" s="37" t="n"/>
      <c r="F2635" s="38" t="n"/>
      <c r="G2635" s="38" t="n"/>
      <c r="H2635" s="38" t="n"/>
      <c r="I2635" s="38" t="n"/>
      <c r="J2635" s="38" t="n"/>
      <c r="K2635" s="37" t="n"/>
      <c r="L2635" s="39" t="n"/>
      <c r="M2635" s="40" t="n"/>
      <c r="N2635" s="30">
        <f>IF(A2635="","",MONTH(A2635))</f>
        <v/>
      </c>
      <c r="O2635" s="30">
        <f>IF(A2635="","",YEAR(A2635))</f>
        <v/>
      </c>
      <c r="P2635" s="30">
        <f>IF(A2635="","",CHOOSE(WEEKDAY(A2635,2),"Segunda","Terça","Quarta","Quinta","Sexta","Sábado","Domingo"))</f>
        <v/>
      </c>
      <c r="Q2635" s="30">
        <f>IF(B2635="","",IF(B2635&lt;TIME(12,0,0),"Manhã",IF(B2635&lt;TIME(18,0,0),"Tarde","Noite")))</f>
        <v/>
      </c>
      <c r="R2635" s="46">
        <f>IF(AND(H2635="Realizado",L2635&lt;&gt;"",A2635&lt;=Config!$B$9),L2635/60,0)</f>
        <v>0</v>
      </c>
      <c r="S2635" s="45">
        <f>IF(G2635="","",IFERROR(INDEX(Config!$K$5:$K$16,MATCH(G2635,Config!$J$5:$J$16,0)),""))</f>
        <v/>
      </c>
      <c r="T2635" s="31">
        <f>IF(OR(G2635="",F2635=""),"",IFERROR(INDEX(Config!$M$5:$R$16,MATCH(G2635,Config!$J$5:$J$16,0),MATCH(F2635,Config!$H$5:$H$10,0)),""))</f>
        <v/>
      </c>
      <c r="U2635" s="47">
        <f>IF(AND(H2635="Realizado",L2635&lt;&gt;""),L2635/60,0)</f>
        <v>0</v>
      </c>
      <c r="V2635" s="47">
        <f>IF(AND(H2635="Realizado",OR(L2635="",M2635="")),1,0)</f>
        <v>0</v>
      </c>
    </row>
    <row r="2636">
      <c r="A2636" s="43" t="n"/>
      <c r="B2636" s="44" t="n"/>
      <c r="C2636" s="38" t="n"/>
      <c r="D2636" s="38" t="n"/>
      <c r="E2636" s="37" t="n"/>
      <c r="F2636" s="38" t="n"/>
      <c r="G2636" s="38" t="n"/>
      <c r="H2636" s="38" t="n"/>
      <c r="I2636" s="38" t="n"/>
      <c r="J2636" s="38" t="n"/>
      <c r="K2636" s="37" t="n"/>
      <c r="L2636" s="39" t="n"/>
      <c r="M2636" s="40" t="n"/>
      <c r="N2636" s="30">
        <f>IF(A2636="","",MONTH(A2636))</f>
        <v/>
      </c>
      <c r="O2636" s="30">
        <f>IF(A2636="","",YEAR(A2636))</f>
        <v/>
      </c>
      <c r="P2636" s="30">
        <f>IF(A2636="","",CHOOSE(WEEKDAY(A2636,2),"Segunda","Terça","Quarta","Quinta","Sexta","Sábado","Domingo"))</f>
        <v/>
      </c>
      <c r="Q2636" s="30">
        <f>IF(B2636="","",IF(B2636&lt;TIME(12,0,0),"Manhã",IF(B2636&lt;TIME(18,0,0),"Tarde","Noite")))</f>
        <v/>
      </c>
      <c r="R2636" s="46">
        <f>IF(AND(H2636="Realizado",L2636&lt;&gt;"",A2636&lt;=Config!$B$9),L2636/60,0)</f>
        <v>0</v>
      </c>
      <c r="S2636" s="45">
        <f>IF(G2636="","",IFERROR(INDEX(Config!$K$5:$K$16,MATCH(G2636,Config!$J$5:$J$16,0)),""))</f>
        <v/>
      </c>
      <c r="T2636" s="31">
        <f>IF(OR(G2636="",F2636=""),"",IFERROR(INDEX(Config!$M$5:$R$16,MATCH(G2636,Config!$J$5:$J$16,0),MATCH(F2636,Config!$H$5:$H$10,0)),""))</f>
        <v/>
      </c>
      <c r="U2636" s="47">
        <f>IF(AND(H2636="Realizado",L2636&lt;&gt;""),L2636/60,0)</f>
        <v>0</v>
      </c>
      <c r="V2636" s="47">
        <f>IF(AND(H2636="Realizado",OR(L2636="",M2636="")),1,0)</f>
        <v>0</v>
      </c>
    </row>
    <row r="2637">
      <c r="A2637" s="43" t="n"/>
      <c r="B2637" s="44" t="n"/>
      <c r="C2637" s="38" t="n"/>
      <c r="D2637" s="38" t="n"/>
      <c r="E2637" s="37" t="n"/>
      <c r="F2637" s="38" t="n"/>
      <c r="G2637" s="38" t="n"/>
      <c r="H2637" s="38" t="n"/>
      <c r="I2637" s="38" t="n"/>
      <c r="J2637" s="38" t="n"/>
      <c r="K2637" s="37" t="n"/>
      <c r="L2637" s="39" t="n"/>
      <c r="M2637" s="40" t="n"/>
      <c r="N2637" s="30">
        <f>IF(A2637="","",MONTH(A2637))</f>
        <v/>
      </c>
      <c r="O2637" s="30">
        <f>IF(A2637="","",YEAR(A2637))</f>
        <v/>
      </c>
      <c r="P2637" s="30">
        <f>IF(A2637="","",CHOOSE(WEEKDAY(A2637,2),"Segunda","Terça","Quarta","Quinta","Sexta","Sábado","Domingo"))</f>
        <v/>
      </c>
      <c r="Q2637" s="30">
        <f>IF(B2637="","",IF(B2637&lt;TIME(12,0,0),"Manhã",IF(B2637&lt;TIME(18,0,0),"Tarde","Noite")))</f>
        <v/>
      </c>
      <c r="R2637" s="46">
        <f>IF(AND(H2637="Realizado",L2637&lt;&gt;"",A2637&lt;=Config!$B$9),L2637/60,0)</f>
        <v>0</v>
      </c>
      <c r="S2637" s="45">
        <f>IF(G2637="","",IFERROR(INDEX(Config!$K$5:$K$16,MATCH(G2637,Config!$J$5:$J$16,0)),""))</f>
        <v/>
      </c>
      <c r="T2637" s="31">
        <f>IF(OR(G2637="",F2637=""),"",IFERROR(INDEX(Config!$M$5:$R$16,MATCH(G2637,Config!$J$5:$J$16,0),MATCH(F2637,Config!$H$5:$H$10,0)),""))</f>
        <v/>
      </c>
      <c r="U2637" s="47">
        <f>IF(AND(H2637="Realizado",L2637&lt;&gt;""),L2637/60,0)</f>
        <v>0</v>
      </c>
      <c r="V2637" s="47">
        <f>IF(AND(H2637="Realizado",OR(L2637="",M2637="")),1,0)</f>
        <v>0</v>
      </c>
    </row>
    <row r="2638">
      <c r="A2638" s="43" t="n"/>
      <c r="B2638" s="44" t="n"/>
      <c r="C2638" s="38" t="n"/>
      <c r="D2638" s="38" t="n"/>
      <c r="E2638" s="37" t="n"/>
      <c r="F2638" s="38" t="n"/>
      <c r="G2638" s="38" t="n"/>
      <c r="H2638" s="38" t="n"/>
      <c r="I2638" s="38" t="n"/>
      <c r="J2638" s="38" t="n"/>
      <c r="K2638" s="37" t="n"/>
      <c r="L2638" s="39" t="n"/>
      <c r="M2638" s="40" t="n"/>
      <c r="N2638" s="30">
        <f>IF(A2638="","",MONTH(A2638))</f>
        <v/>
      </c>
      <c r="O2638" s="30">
        <f>IF(A2638="","",YEAR(A2638))</f>
        <v/>
      </c>
      <c r="P2638" s="30">
        <f>IF(A2638="","",CHOOSE(WEEKDAY(A2638,2),"Segunda","Terça","Quarta","Quinta","Sexta","Sábado","Domingo"))</f>
        <v/>
      </c>
      <c r="Q2638" s="30">
        <f>IF(B2638="","",IF(B2638&lt;TIME(12,0,0),"Manhã",IF(B2638&lt;TIME(18,0,0),"Tarde","Noite")))</f>
        <v/>
      </c>
      <c r="R2638" s="46">
        <f>IF(AND(H2638="Realizado",L2638&lt;&gt;"",A2638&lt;=Config!$B$9),L2638/60,0)</f>
        <v>0</v>
      </c>
      <c r="S2638" s="45">
        <f>IF(G2638="","",IFERROR(INDEX(Config!$K$5:$K$16,MATCH(G2638,Config!$J$5:$J$16,0)),""))</f>
        <v/>
      </c>
      <c r="T2638" s="31">
        <f>IF(OR(G2638="",F2638=""),"",IFERROR(INDEX(Config!$M$5:$R$16,MATCH(G2638,Config!$J$5:$J$16,0),MATCH(F2638,Config!$H$5:$H$10,0)),""))</f>
        <v/>
      </c>
      <c r="U2638" s="47">
        <f>IF(AND(H2638="Realizado",L2638&lt;&gt;""),L2638/60,0)</f>
        <v>0</v>
      </c>
      <c r="V2638" s="47">
        <f>IF(AND(H2638="Realizado",OR(L2638="",M2638="")),1,0)</f>
        <v>0</v>
      </c>
    </row>
    <row r="2639">
      <c r="A2639" s="43" t="n"/>
      <c r="B2639" s="44" t="n"/>
      <c r="C2639" s="38" t="n"/>
      <c r="D2639" s="38" t="n"/>
      <c r="E2639" s="37" t="n"/>
      <c r="F2639" s="38" t="n"/>
      <c r="G2639" s="38" t="n"/>
      <c r="H2639" s="38" t="n"/>
      <c r="I2639" s="38" t="n"/>
      <c r="J2639" s="38" t="n"/>
      <c r="K2639" s="37" t="n"/>
      <c r="L2639" s="39" t="n"/>
      <c r="M2639" s="40" t="n"/>
      <c r="N2639" s="30">
        <f>IF(A2639="","",MONTH(A2639))</f>
        <v/>
      </c>
      <c r="O2639" s="30">
        <f>IF(A2639="","",YEAR(A2639))</f>
        <v/>
      </c>
      <c r="P2639" s="30">
        <f>IF(A2639="","",CHOOSE(WEEKDAY(A2639,2),"Segunda","Terça","Quarta","Quinta","Sexta","Sábado","Domingo"))</f>
        <v/>
      </c>
      <c r="Q2639" s="30">
        <f>IF(B2639="","",IF(B2639&lt;TIME(12,0,0),"Manhã",IF(B2639&lt;TIME(18,0,0),"Tarde","Noite")))</f>
        <v/>
      </c>
      <c r="R2639" s="46">
        <f>IF(AND(H2639="Realizado",L2639&lt;&gt;"",A2639&lt;=Config!$B$9),L2639/60,0)</f>
        <v>0</v>
      </c>
      <c r="S2639" s="45">
        <f>IF(G2639="","",IFERROR(INDEX(Config!$K$5:$K$16,MATCH(G2639,Config!$J$5:$J$16,0)),""))</f>
        <v/>
      </c>
      <c r="T2639" s="31">
        <f>IF(OR(G2639="",F2639=""),"",IFERROR(INDEX(Config!$M$5:$R$16,MATCH(G2639,Config!$J$5:$J$16,0),MATCH(F2639,Config!$H$5:$H$10,0)),""))</f>
        <v/>
      </c>
      <c r="U2639" s="47">
        <f>IF(AND(H2639="Realizado",L2639&lt;&gt;""),L2639/60,0)</f>
        <v>0</v>
      </c>
      <c r="V2639" s="47">
        <f>IF(AND(H2639="Realizado",OR(L2639="",M2639="")),1,0)</f>
        <v>0</v>
      </c>
    </row>
    <row r="2640">
      <c r="A2640" s="43" t="n"/>
      <c r="B2640" s="44" t="n"/>
      <c r="C2640" s="38" t="n"/>
      <c r="D2640" s="38" t="n"/>
      <c r="E2640" s="37" t="n"/>
      <c r="F2640" s="38" t="n"/>
      <c r="G2640" s="38" t="n"/>
      <c r="H2640" s="38" t="n"/>
      <c r="I2640" s="38" t="n"/>
      <c r="J2640" s="38" t="n"/>
      <c r="K2640" s="37" t="n"/>
      <c r="L2640" s="39" t="n"/>
      <c r="M2640" s="40" t="n"/>
      <c r="N2640" s="30">
        <f>IF(A2640="","",MONTH(A2640))</f>
        <v/>
      </c>
      <c r="O2640" s="30">
        <f>IF(A2640="","",YEAR(A2640))</f>
        <v/>
      </c>
      <c r="P2640" s="30">
        <f>IF(A2640="","",CHOOSE(WEEKDAY(A2640,2),"Segunda","Terça","Quarta","Quinta","Sexta","Sábado","Domingo"))</f>
        <v/>
      </c>
      <c r="Q2640" s="30">
        <f>IF(B2640="","",IF(B2640&lt;TIME(12,0,0),"Manhã",IF(B2640&lt;TIME(18,0,0),"Tarde","Noite")))</f>
        <v/>
      </c>
      <c r="R2640" s="46">
        <f>IF(AND(H2640="Realizado",L2640&lt;&gt;"",A2640&lt;=Config!$B$9),L2640/60,0)</f>
        <v>0</v>
      </c>
      <c r="S2640" s="45">
        <f>IF(G2640="","",IFERROR(INDEX(Config!$K$5:$K$16,MATCH(G2640,Config!$J$5:$J$16,0)),""))</f>
        <v/>
      </c>
      <c r="T2640" s="31">
        <f>IF(OR(G2640="",F2640=""),"",IFERROR(INDEX(Config!$M$5:$R$16,MATCH(G2640,Config!$J$5:$J$16,0),MATCH(F2640,Config!$H$5:$H$10,0)),""))</f>
        <v/>
      </c>
      <c r="U2640" s="47">
        <f>IF(AND(H2640="Realizado",L2640&lt;&gt;""),L2640/60,0)</f>
        <v>0</v>
      </c>
      <c r="V2640" s="47">
        <f>IF(AND(H2640="Realizado",OR(L2640="",M2640="")),1,0)</f>
        <v>0</v>
      </c>
    </row>
    <row r="2641">
      <c r="A2641" s="43" t="n"/>
      <c r="B2641" s="44" t="n"/>
      <c r="C2641" s="38" t="n"/>
      <c r="D2641" s="38" t="n"/>
      <c r="E2641" s="37" t="n"/>
      <c r="F2641" s="38" t="n"/>
      <c r="G2641" s="38" t="n"/>
      <c r="H2641" s="38" t="n"/>
      <c r="I2641" s="38" t="n"/>
      <c r="J2641" s="38" t="n"/>
      <c r="K2641" s="37" t="n"/>
      <c r="L2641" s="39" t="n"/>
      <c r="M2641" s="40" t="n"/>
      <c r="N2641" s="30">
        <f>IF(A2641="","",MONTH(A2641))</f>
        <v/>
      </c>
      <c r="O2641" s="30">
        <f>IF(A2641="","",YEAR(A2641))</f>
        <v/>
      </c>
      <c r="P2641" s="30">
        <f>IF(A2641="","",CHOOSE(WEEKDAY(A2641,2),"Segunda","Terça","Quarta","Quinta","Sexta","Sábado","Domingo"))</f>
        <v/>
      </c>
      <c r="Q2641" s="30">
        <f>IF(B2641="","",IF(B2641&lt;TIME(12,0,0),"Manhã",IF(B2641&lt;TIME(18,0,0),"Tarde","Noite")))</f>
        <v/>
      </c>
      <c r="R2641" s="46">
        <f>IF(AND(H2641="Realizado",L2641&lt;&gt;"",A2641&lt;=Config!$B$9),L2641/60,0)</f>
        <v>0</v>
      </c>
      <c r="S2641" s="45">
        <f>IF(G2641="","",IFERROR(INDEX(Config!$K$5:$K$16,MATCH(G2641,Config!$J$5:$J$16,0)),""))</f>
        <v/>
      </c>
      <c r="T2641" s="31">
        <f>IF(OR(G2641="",F2641=""),"",IFERROR(INDEX(Config!$M$5:$R$16,MATCH(G2641,Config!$J$5:$J$16,0),MATCH(F2641,Config!$H$5:$H$10,0)),""))</f>
        <v/>
      </c>
      <c r="U2641" s="47">
        <f>IF(AND(H2641="Realizado",L2641&lt;&gt;""),L2641/60,0)</f>
        <v>0</v>
      </c>
      <c r="V2641" s="47">
        <f>IF(AND(H2641="Realizado",OR(L2641="",M2641="")),1,0)</f>
        <v>0</v>
      </c>
    </row>
    <row r="2642">
      <c r="A2642" s="43" t="n"/>
      <c r="B2642" s="44" t="n"/>
      <c r="C2642" s="38" t="n"/>
      <c r="D2642" s="38" t="n"/>
      <c r="E2642" s="37" t="n"/>
      <c r="F2642" s="38" t="n"/>
      <c r="G2642" s="38" t="n"/>
      <c r="H2642" s="38" t="n"/>
      <c r="I2642" s="38" t="n"/>
      <c r="J2642" s="38" t="n"/>
      <c r="K2642" s="37" t="n"/>
      <c r="L2642" s="39" t="n"/>
      <c r="M2642" s="40" t="n"/>
      <c r="N2642" s="30">
        <f>IF(A2642="","",MONTH(A2642))</f>
        <v/>
      </c>
      <c r="O2642" s="30">
        <f>IF(A2642="","",YEAR(A2642))</f>
        <v/>
      </c>
      <c r="P2642" s="30">
        <f>IF(A2642="","",CHOOSE(WEEKDAY(A2642,2),"Segunda","Terça","Quarta","Quinta","Sexta","Sábado","Domingo"))</f>
        <v/>
      </c>
      <c r="Q2642" s="30">
        <f>IF(B2642="","",IF(B2642&lt;TIME(12,0,0),"Manhã",IF(B2642&lt;TIME(18,0,0),"Tarde","Noite")))</f>
        <v/>
      </c>
      <c r="R2642" s="46">
        <f>IF(AND(H2642="Realizado",L2642&lt;&gt;"",A2642&lt;=Config!$B$9),L2642/60,0)</f>
        <v>0</v>
      </c>
      <c r="S2642" s="45">
        <f>IF(G2642="","",IFERROR(INDEX(Config!$K$5:$K$16,MATCH(G2642,Config!$J$5:$J$16,0)),""))</f>
        <v/>
      </c>
      <c r="T2642" s="31">
        <f>IF(OR(G2642="",F2642=""),"",IFERROR(INDEX(Config!$M$5:$R$16,MATCH(G2642,Config!$J$5:$J$16,0),MATCH(F2642,Config!$H$5:$H$10,0)),""))</f>
        <v/>
      </c>
      <c r="U2642" s="47">
        <f>IF(AND(H2642="Realizado",L2642&lt;&gt;""),L2642/60,0)</f>
        <v>0</v>
      </c>
      <c r="V2642" s="47">
        <f>IF(AND(H2642="Realizado",OR(L2642="",M2642="")),1,0)</f>
        <v>0</v>
      </c>
    </row>
    <row r="2643">
      <c r="A2643" s="43" t="n"/>
      <c r="B2643" s="44" t="n"/>
      <c r="C2643" s="38" t="n"/>
      <c r="D2643" s="38" t="n"/>
      <c r="E2643" s="37" t="n"/>
      <c r="F2643" s="38" t="n"/>
      <c r="G2643" s="38" t="n"/>
      <c r="H2643" s="38" t="n"/>
      <c r="I2643" s="38" t="n"/>
      <c r="J2643" s="38" t="n"/>
      <c r="K2643" s="37" t="n"/>
      <c r="L2643" s="39" t="n"/>
      <c r="M2643" s="40" t="n"/>
      <c r="N2643" s="30">
        <f>IF(A2643="","",MONTH(A2643))</f>
        <v/>
      </c>
      <c r="O2643" s="30">
        <f>IF(A2643="","",YEAR(A2643))</f>
        <v/>
      </c>
      <c r="P2643" s="30">
        <f>IF(A2643="","",CHOOSE(WEEKDAY(A2643,2),"Segunda","Terça","Quarta","Quinta","Sexta","Sábado","Domingo"))</f>
        <v/>
      </c>
      <c r="Q2643" s="30">
        <f>IF(B2643="","",IF(B2643&lt;TIME(12,0,0),"Manhã",IF(B2643&lt;TIME(18,0,0),"Tarde","Noite")))</f>
        <v/>
      </c>
      <c r="R2643" s="46">
        <f>IF(AND(H2643="Realizado",L2643&lt;&gt;"",A2643&lt;=Config!$B$9),L2643/60,0)</f>
        <v>0</v>
      </c>
      <c r="S2643" s="45">
        <f>IF(G2643="","",IFERROR(INDEX(Config!$K$5:$K$16,MATCH(G2643,Config!$J$5:$J$16,0)),""))</f>
        <v/>
      </c>
      <c r="T2643" s="31">
        <f>IF(OR(G2643="",F2643=""),"",IFERROR(INDEX(Config!$M$5:$R$16,MATCH(G2643,Config!$J$5:$J$16,0),MATCH(F2643,Config!$H$5:$H$10,0)),""))</f>
        <v/>
      </c>
      <c r="U2643" s="47">
        <f>IF(AND(H2643="Realizado",L2643&lt;&gt;""),L2643/60,0)</f>
        <v>0</v>
      </c>
      <c r="V2643" s="47">
        <f>IF(AND(H2643="Realizado",OR(L2643="",M2643="")),1,0)</f>
        <v>0</v>
      </c>
    </row>
    <row r="2644">
      <c r="A2644" s="43" t="n"/>
      <c r="B2644" s="44" t="n"/>
      <c r="C2644" s="38" t="n"/>
      <c r="D2644" s="38" t="n"/>
      <c r="E2644" s="37" t="n"/>
      <c r="F2644" s="38" t="n"/>
      <c r="G2644" s="38" t="n"/>
      <c r="H2644" s="38" t="n"/>
      <c r="I2644" s="38" t="n"/>
      <c r="J2644" s="38" t="n"/>
      <c r="K2644" s="37" t="n"/>
      <c r="L2644" s="39" t="n"/>
      <c r="M2644" s="40" t="n"/>
      <c r="N2644" s="30">
        <f>IF(A2644="","",MONTH(A2644))</f>
        <v/>
      </c>
      <c r="O2644" s="30">
        <f>IF(A2644="","",YEAR(A2644))</f>
        <v/>
      </c>
      <c r="P2644" s="30">
        <f>IF(A2644="","",CHOOSE(WEEKDAY(A2644,2),"Segunda","Terça","Quarta","Quinta","Sexta","Sábado","Domingo"))</f>
        <v/>
      </c>
      <c r="Q2644" s="30">
        <f>IF(B2644="","",IF(B2644&lt;TIME(12,0,0),"Manhã",IF(B2644&lt;TIME(18,0,0),"Tarde","Noite")))</f>
        <v/>
      </c>
      <c r="R2644" s="46">
        <f>IF(AND(H2644="Realizado",L2644&lt;&gt;"",A2644&lt;=Config!$B$9),L2644/60,0)</f>
        <v>0</v>
      </c>
      <c r="S2644" s="45">
        <f>IF(G2644="","",IFERROR(INDEX(Config!$K$5:$K$16,MATCH(G2644,Config!$J$5:$J$16,0)),""))</f>
        <v/>
      </c>
      <c r="T2644" s="31">
        <f>IF(OR(G2644="",F2644=""),"",IFERROR(INDEX(Config!$M$5:$R$16,MATCH(G2644,Config!$J$5:$J$16,0),MATCH(F2644,Config!$H$5:$H$10,0)),""))</f>
        <v/>
      </c>
      <c r="U2644" s="47">
        <f>IF(AND(H2644="Realizado",L2644&lt;&gt;""),L2644/60,0)</f>
        <v>0</v>
      </c>
      <c r="V2644" s="47">
        <f>IF(AND(H2644="Realizado",OR(L2644="",M2644="")),1,0)</f>
        <v>0</v>
      </c>
    </row>
    <row r="2645">
      <c r="A2645" s="43" t="n"/>
      <c r="B2645" s="44" t="n"/>
      <c r="C2645" s="38" t="n"/>
      <c r="D2645" s="38" t="n"/>
      <c r="E2645" s="37" t="n"/>
      <c r="F2645" s="38" t="n"/>
      <c r="G2645" s="38" t="n"/>
      <c r="H2645" s="38" t="n"/>
      <c r="I2645" s="38" t="n"/>
      <c r="J2645" s="38" t="n"/>
      <c r="K2645" s="37" t="n"/>
      <c r="L2645" s="39" t="n"/>
      <c r="M2645" s="40" t="n"/>
      <c r="N2645" s="30">
        <f>IF(A2645="","",MONTH(A2645))</f>
        <v/>
      </c>
      <c r="O2645" s="30">
        <f>IF(A2645="","",YEAR(A2645))</f>
        <v/>
      </c>
      <c r="P2645" s="30">
        <f>IF(A2645="","",CHOOSE(WEEKDAY(A2645,2),"Segunda","Terça","Quarta","Quinta","Sexta","Sábado","Domingo"))</f>
        <v/>
      </c>
      <c r="Q2645" s="30">
        <f>IF(B2645="","",IF(B2645&lt;TIME(12,0,0),"Manhã",IF(B2645&lt;TIME(18,0,0),"Tarde","Noite")))</f>
        <v/>
      </c>
      <c r="R2645" s="46">
        <f>IF(AND(H2645="Realizado",L2645&lt;&gt;"",A2645&lt;=Config!$B$9),L2645/60,0)</f>
        <v>0</v>
      </c>
      <c r="S2645" s="45">
        <f>IF(G2645="","",IFERROR(INDEX(Config!$K$5:$K$16,MATCH(G2645,Config!$J$5:$J$16,0)),""))</f>
        <v/>
      </c>
      <c r="T2645" s="31">
        <f>IF(OR(G2645="",F2645=""),"",IFERROR(INDEX(Config!$M$5:$R$16,MATCH(G2645,Config!$J$5:$J$16,0),MATCH(F2645,Config!$H$5:$H$10,0)),""))</f>
        <v/>
      </c>
      <c r="U2645" s="47">
        <f>IF(AND(H2645="Realizado",L2645&lt;&gt;""),L2645/60,0)</f>
        <v>0</v>
      </c>
      <c r="V2645" s="47">
        <f>IF(AND(H2645="Realizado",OR(L2645="",M2645="")),1,0)</f>
        <v>0</v>
      </c>
    </row>
    <row r="2646">
      <c r="A2646" s="43" t="n"/>
      <c r="B2646" s="44" t="n"/>
      <c r="C2646" s="38" t="n"/>
      <c r="D2646" s="38" t="n"/>
      <c r="E2646" s="37" t="n"/>
      <c r="F2646" s="38" t="n"/>
      <c r="G2646" s="38" t="n"/>
      <c r="H2646" s="38" t="n"/>
      <c r="I2646" s="38" t="n"/>
      <c r="J2646" s="38" t="n"/>
      <c r="K2646" s="37" t="n"/>
      <c r="L2646" s="39" t="n"/>
      <c r="M2646" s="40" t="n"/>
      <c r="N2646" s="30">
        <f>IF(A2646="","",MONTH(A2646))</f>
        <v/>
      </c>
      <c r="O2646" s="30">
        <f>IF(A2646="","",YEAR(A2646))</f>
        <v/>
      </c>
      <c r="P2646" s="30">
        <f>IF(A2646="","",CHOOSE(WEEKDAY(A2646,2),"Segunda","Terça","Quarta","Quinta","Sexta","Sábado","Domingo"))</f>
        <v/>
      </c>
      <c r="Q2646" s="30">
        <f>IF(B2646="","",IF(B2646&lt;TIME(12,0,0),"Manhã",IF(B2646&lt;TIME(18,0,0),"Tarde","Noite")))</f>
        <v/>
      </c>
      <c r="R2646" s="46">
        <f>IF(AND(H2646="Realizado",L2646&lt;&gt;"",A2646&lt;=Config!$B$9),L2646/60,0)</f>
        <v>0</v>
      </c>
      <c r="S2646" s="45">
        <f>IF(G2646="","",IFERROR(INDEX(Config!$K$5:$K$16,MATCH(G2646,Config!$J$5:$J$16,0)),""))</f>
        <v/>
      </c>
      <c r="T2646" s="31">
        <f>IF(OR(G2646="",F2646=""),"",IFERROR(INDEX(Config!$M$5:$R$16,MATCH(G2646,Config!$J$5:$J$16,0),MATCH(F2646,Config!$H$5:$H$10,0)),""))</f>
        <v/>
      </c>
      <c r="U2646" s="47">
        <f>IF(AND(H2646="Realizado",L2646&lt;&gt;""),L2646/60,0)</f>
        <v>0</v>
      </c>
      <c r="V2646" s="47">
        <f>IF(AND(H2646="Realizado",OR(L2646="",M2646="")),1,0)</f>
        <v>0</v>
      </c>
    </row>
    <row r="2647">
      <c r="A2647" s="43" t="n"/>
      <c r="B2647" s="44" t="n"/>
      <c r="C2647" s="38" t="n"/>
      <c r="D2647" s="38" t="n"/>
      <c r="E2647" s="37" t="n"/>
      <c r="F2647" s="38" t="n"/>
      <c r="G2647" s="38" t="n"/>
      <c r="H2647" s="38" t="n"/>
      <c r="I2647" s="38" t="n"/>
      <c r="J2647" s="38" t="n"/>
      <c r="K2647" s="37" t="n"/>
      <c r="L2647" s="39" t="n"/>
      <c r="M2647" s="40" t="n"/>
      <c r="N2647" s="30">
        <f>IF(A2647="","",MONTH(A2647))</f>
        <v/>
      </c>
      <c r="O2647" s="30">
        <f>IF(A2647="","",YEAR(A2647))</f>
        <v/>
      </c>
      <c r="P2647" s="30">
        <f>IF(A2647="","",CHOOSE(WEEKDAY(A2647,2),"Segunda","Terça","Quarta","Quinta","Sexta","Sábado","Domingo"))</f>
        <v/>
      </c>
      <c r="Q2647" s="30">
        <f>IF(B2647="","",IF(B2647&lt;TIME(12,0,0),"Manhã",IF(B2647&lt;TIME(18,0,0),"Tarde","Noite")))</f>
        <v/>
      </c>
      <c r="R2647" s="46">
        <f>IF(AND(H2647="Realizado",L2647&lt;&gt;"",A2647&lt;=Config!$B$9),L2647/60,0)</f>
        <v>0</v>
      </c>
      <c r="S2647" s="45">
        <f>IF(G2647="","",IFERROR(INDEX(Config!$K$5:$K$16,MATCH(G2647,Config!$J$5:$J$16,0)),""))</f>
        <v/>
      </c>
      <c r="T2647" s="31">
        <f>IF(OR(G2647="",F2647=""),"",IFERROR(INDEX(Config!$M$5:$R$16,MATCH(G2647,Config!$J$5:$J$16,0),MATCH(F2647,Config!$H$5:$H$10,0)),""))</f>
        <v/>
      </c>
      <c r="U2647" s="47">
        <f>IF(AND(H2647="Realizado",L2647&lt;&gt;""),L2647/60,0)</f>
        <v>0</v>
      </c>
      <c r="V2647" s="47">
        <f>IF(AND(H2647="Realizado",OR(L2647="",M2647="")),1,0)</f>
        <v>0</v>
      </c>
    </row>
    <row r="2648">
      <c r="A2648" s="43" t="n"/>
      <c r="B2648" s="44" t="n"/>
      <c r="C2648" s="38" t="n"/>
      <c r="D2648" s="38" t="n"/>
      <c r="E2648" s="37" t="n"/>
      <c r="F2648" s="38" t="n"/>
      <c r="G2648" s="38" t="n"/>
      <c r="H2648" s="38" t="n"/>
      <c r="I2648" s="38" t="n"/>
      <c r="J2648" s="38" t="n"/>
      <c r="K2648" s="37" t="n"/>
      <c r="L2648" s="39" t="n"/>
      <c r="M2648" s="40" t="n"/>
      <c r="N2648" s="30">
        <f>IF(A2648="","",MONTH(A2648))</f>
        <v/>
      </c>
      <c r="O2648" s="30">
        <f>IF(A2648="","",YEAR(A2648))</f>
        <v/>
      </c>
      <c r="P2648" s="30">
        <f>IF(A2648="","",CHOOSE(WEEKDAY(A2648,2),"Segunda","Terça","Quarta","Quinta","Sexta","Sábado","Domingo"))</f>
        <v/>
      </c>
      <c r="Q2648" s="30">
        <f>IF(B2648="","",IF(B2648&lt;TIME(12,0,0),"Manhã",IF(B2648&lt;TIME(18,0,0),"Tarde","Noite")))</f>
        <v/>
      </c>
      <c r="R2648" s="46">
        <f>IF(AND(H2648="Realizado",L2648&lt;&gt;"",A2648&lt;=Config!$B$9),L2648/60,0)</f>
        <v>0</v>
      </c>
      <c r="S2648" s="45">
        <f>IF(G2648="","",IFERROR(INDEX(Config!$K$5:$K$16,MATCH(G2648,Config!$J$5:$J$16,0)),""))</f>
        <v/>
      </c>
      <c r="T2648" s="31">
        <f>IF(OR(G2648="",F2648=""),"",IFERROR(INDEX(Config!$M$5:$R$16,MATCH(G2648,Config!$J$5:$J$16,0),MATCH(F2648,Config!$H$5:$H$10,0)),""))</f>
        <v/>
      </c>
      <c r="U2648" s="47">
        <f>IF(AND(H2648="Realizado",L2648&lt;&gt;""),L2648/60,0)</f>
        <v>0</v>
      </c>
      <c r="V2648" s="47">
        <f>IF(AND(H2648="Realizado",OR(L2648="",M2648="")),1,0)</f>
        <v>0</v>
      </c>
    </row>
    <row r="2649">
      <c r="A2649" s="43" t="n"/>
      <c r="B2649" s="44" t="n"/>
      <c r="C2649" s="38" t="n"/>
      <c r="D2649" s="38" t="n"/>
      <c r="E2649" s="37" t="n"/>
      <c r="F2649" s="38" t="n"/>
      <c r="G2649" s="38" t="n"/>
      <c r="H2649" s="38" t="n"/>
      <c r="I2649" s="38" t="n"/>
      <c r="J2649" s="38" t="n"/>
      <c r="K2649" s="37" t="n"/>
      <c r="L2649" s="39" t="n"/>
      <c r="M2649" s="40" t="n"/>
      <c r="N2649" s="30">
        <f>IF(A2649="","",MONTH(A2649))</f>
        <v/>
      </c>
      <c r="O2649" s="30">
        <f>IF(A2649="","",YEAR(A2649))</f>
        <v/>
      </c>
      <c r="P2649" s="30">
        <f>IF(A2649="","",CHOOSE(WEEKDAY(A2649,2),"Segunda","Terça","Quarta","Quinta","Sexta","Sábado","Domingo"))</f>
        <v/>
      </c>
      <c r="Q2649" s="30">
        <f>IF(B2649="","",IF(B2649&lt;TIME(12,0,0),"Manhã",IF(B2649&lt;TIME(18,0,0),"Tarde","Noite")))</f>
        <v/>
      </c>
      <c r="R2649" s="46">
        <f>IF(AND(H2649="Realizado",L2649&lt;&gt;"",A2649&lt;=Config!$B$9),L2649/60,0)</f>
        <v>0</v>
      </c>
      <c r="S2649" s="45">
        <f>IF(G2649="","",IFERROR(INDEX(Config!$K$5:$K$16,MATCH(G2649,Config!$J$5:$J$16,0)),""))</f>
        <v/>
      </c>
      <c r="T2649" s="31">
        <f>IF(OR(G2649="",F2649=""),"",IFERROR(INDEX(Config!$M$5:$R$16,MATCH(G2649,Config!$J$5:$J$16,0),MATCH(F2649,Config!$H$5:$H$10,0)),""))</f>
        <v/>
      </c>
      <c r="U2649" s="47">
        <f>IF(AND(H2649="Realizado",L2649&lt;&gt;""),L2649/60,0)</f>
        <v>0</v>
      </c>
      <c r="V2649" s="47">
        <f>IF(AND(H2649="Realizado",OR(L2649="",M2649="")),1,0)</f>
        <v>0</v>
      </c>
    </row>
    <row r="2650">
      <c r="A2650" s="43" t="n"/>
      <c r="B2650" s="44" t="n"/>
      <c r="C2650" s="38" t="n"/>
      <c r="D2650" s="38" t="n"/>
      <c r="E2650" s="37" t="n"/>
      <c r="F2650" s="38" t="n"/>
      <c r="G2650" s="38" t="n"/>
      <c r="H2650" s="38" t="n"/>
      <c r="I2650" s="38" t="n"/>
      <c r="J2650" s="38" t="n"/>
      <c r="K2650" s="37" t="n"/>
      <c r="L2650" s="39" t="n"/>
      <c r="M2650" s="40" t="n"/>
      <c r="N2650" s="30">
        <f>IF(A2650="","",MONTH(A2650))</f>
        <v/>
      </c>
      <c r="O2650" s="30">
        <f>IF(A2650="","",YEAR(A2650))</f>
        <v/>
      </c>
      <c r="P2650" s="30">
        <f>IF(A2650="","",CHOOSE(WEEKDAY(A2650,2),"Segunda","Terça","Quarta","Quinta","Sexta","Sábado","Domingo"))</f>
        <v/>
      </c>
      <c r="Q2650" s="30">
        <f>IF(B2650="","",IF(B2650&lt;TIME(12,0,0),"Manhã",IF(B2650&lt;TIME(18,0,0),"Tarde","Noite")))</f>
        <v/>
      </c>
      <c r="R2650" s="46">
        <f>IF(AND(H2650="Realizado",L2650&lt;&gt;"",A2650&lt;=Config!$B$9),L2650/60,0)</f>
        <v>0</v>
      </c>
      <c r="S2650" s="45">
        <f>IF(G2650="","",IFERROR(INDEX(Config!$K$5:$K$16,MATCH(G2650,Config!$J$5:$J$16,0)),""))</f>
        <v/>
      </c>
      <c r="T2650" s="31">
        <f>IF(OR(G2650="",F2650=""),"",IFERROR(INDEX(Config!$M$5:$R$16,MATCH(G2650,Config!$J$5:$J$16,0),MATCH(F2650,Config!$H$5:$H$10,0)),""))</f>
        <v/>
      </c>
      <c r="U2650" s="47">
        <f>IF(AND(H2650="Realizado",L2650&lt;&gt;""),L2650/60,0)</f>
        <v>0</v>
      </c>
      <c r="V2650" s="47">
        <f>IF(AND(H2650="Realizado",OR(L2650="",M2650="")),1,0)</f>
        <v>0</v>
      </c>
    </row>
    <row r="2651">
      <c r="A2651" s="43" t="n"/>
      <c r="B2651" s="44" t="n"/>
      <c r="C2651" s="38" t="n"/>
      <c r="D2651" s="38" t="n"/>
      <c r="E2651" s="37" t="n"/>
      <c r="F2651" s="38" t="n"/>
      <c r="G2651" s="38" t="n"/>
      <c r="H2651" s="38" t="n"/>
      <c r="I2651" s="38" t="n"/>
      <c r="J2651" s="38" t="n"/>
      <c r="K2651" s="37" t="n"/>
      <c r="L2651" s="39" t="n"/>
      <c r="M2651" s="40" t="n"/>
      <c r="N2651" s="30">
        <f>IF(A2651="","",MONTH(A2651))</f>
        <v/>
      </c>
      <c r="O2651" s="30">
        <f>IF(A2651="","",YEAR(A2651))</f>
        <v/>
      </c>
      <c r="P2651" s="30">
        <f>IF(A2651="","",CHOOSE(WEEKDAY(A2651,2),"Segunda","Terça","Quarta","Quinta","Sexta","Sábado","Domingo"))</f>
        <v/>
      </c>
      <c r="Q2651" s="30">
        <f>IF(B2651="","",IF(B2651&lt;TIME(12,0,0),"Manhã",IF(B2651&lt;TIME(18,0,0),"Tarde","Noite")))</f>
        <v/>
      </c>
      <c r="R2651" s="46">
        <f>IF(AND(H2651="Realizado",L2651&lt;&gt;"",A2651&lt;=Config!$B$9),L2651/60,0)</f>
        <v>0</v>
      </c>
      <c r="S2651" s="45">
        <f>IF(G2651="","",IFERROR(INDEX(Config!$K$5:$K$16,MATCH(G2651,Config!$J$5:$J$16,0)),""))</f>
        <v/>
      </c>
      <c r="T2651" s="31">
        <f>IF(OR(G2651="",F2651=""),"",IFERROR(INDEX(Config!$M$5:$R$16,MATCH(G2651,Config!$J$5:$J$16,0),MATCH(F2651,Config!$H$5:$H$10,0)),""))</f>
        <v/>
      </c>
      <c r="U2651" s="47">
        <f>IF(AND(H2651="Realizado",L2651&lt;&gt;""),L2651/60,0)</f>
        <v>0</v>
      </c>
      <c r="V2651" s="47">
        <f>IF(AND(H2651="Realizado",OR(L2651="",M2651="")),1,0)</f>
        <v>0</v>
      </c>
    </row>
    <row r="2652">
      <c r="A2652" s="43" t="n"/>
      <c r="B2652" s="44" t="n"/>
      <c r="C2652" s="38" t="n"/>
      <c r="D2652" s="38" t="n"/>
      <c r="E2652" s="37" t="n"/>
      <c r="F2652" s="38" t="n"/>
      <c r="G2652" s="38" t="n"/>
      <c r="H2652" s="38" t="n"/>
      <c r="I2652" s="38" t="n"/>
      <c r="J2652" s="38" t="n"/>
      <c r="K2652" s="37" t="n"/>
      <c r="L2652" s="39" t="n"/>
      <c r="M2652" s="40" t="n"/>
      <c r="N2652" s="30">
        <f>IF(A2652="","",MONTH(A2652))</f>
        <v/>
      </c>
      <c r="O2652" s="30">
        <f>IF(A2652="","",YEAR(A2652))</f>
        <v/>
      </c>
      <c r="P2652" s="30">
        <f>IF(A2652="","",CHOOSE(WEEKDAY(A2652,2),"Segunda","Terça","Quarta","Quinta","Sexta","Sábado","Domingo"))</f>
        <v/>
      </c>
      <c r="Q2652" s="30">
        <f>IF(B2652="","",IF(B2652&lt;TIME(12,0,0),"Manhã",IF(B2652&lt;TIME(18,0,0),"Tarde","Noite")))</f>
        <v/>
      </c>
      <c r="R2652" s="46">
        <f>IF(AND(H2652="Realizado",L2652&lt;&gt;"",A2652&lt;=Config!$B$9),L2652/60,0)</f>
        <v>0</v>
      </c>
      <c r="S2652" s="45">
        <f>IF(G2652="","",IFERROR(INDEX(Config!$K$5:$K$16,MATCH(G2652,Config!$J$5:$J$16,0)),""))</f>
        <v/>
      </c>
      <c r="T2652" s="31">
        <f>IF(OR(G2652="",F2652=""),"",IFERROR(INDEX(Config!$M$5:$R$16,MATCH(G2652,Config!$J$5:$J$16,0),MATCH(F2652,Config!$H$5:$H$10,0)),""))</f>
        <v/>
      </c>
      <c r="U2652" s="47">
        <f>IF(AND(H2652="Realizado",L2652&lt;&gt;""),L2652/60,0)</f>
        <v>0</v>
      </c>
      <c r="V2652" s="47">
        <f>IF(AND(H2652="Realizado",OR(L2652="",M2652="")),1,0)</f>
        <v>0</v>
      </c>
    </row>
    <row r="2653">
      <c r="A2653" s="43" t="n"/>
      <c r="B2653" s="44" t="n"/>
      <c r="C2653" s="38" t="n"/>
      <c r="D2653" s="38" t="n"/>
      <c r="E2653" s="37" t="n"/>
      <c r="F2653" s="38" t="n"/>
      <c r="G2653" s="38" t="n"/>
      <c r="H2653" s="38" t="n"/>
      <c r="I2653" s="38" t="n"/>
      <c r="J2653" s="38" t="n"/>
      <c r="K2653" s="37" t="n"/>
      <c r="L2653" s="39" t="n"/>
      <c r="M2653" s="40" t="n"/>
      <c r="N2653" s="30">
        <f>IF(A2653="","",MONTH(A2653))</f>
        <v/>
      </c>
      <c r="O2653" s="30">
        <f>IF(A2653="","",YEAR(A2653))</f>
        <v/>
      </c>
      <c r="P2653" s="30">
        <f>IF(A2653="","",CHOOSE(WEEKDAY(A2653,2),"Segunda","Terça","Quarta","Quinta","Sexta","Sábado","Domingo"))</f>
        <v/>
      </c>
      <c r="Q2653" s="30">
        <f>IF(B2653="","",IF(B2653&lt;TIME(12,0,0),"Manhã",IF(B2653&lt;TIME(18,0,0),"Tarde","Noite")))</f>
        <v/>
      </c>
      <c r="R2653" s="46">
        <f>IF(AND(H2653="Realizado",L2653&lt;&gt;"",A2653&lt;=Config!$B$9),L2653/60,0)</f>
        <v>0</v>
      </c>
      <c r="S2653" s="45">
        <f>IF(G2653="","",IFERROR(INDEX(Config!$K$5:$K$16,MATCH(G2653,Config!$J$5:$J$16,0)),""))</f>
        <v/>
      </c>
      <c r="T2653" s="31">
        <f>IF(OR(G2653="",F2653=""),"",IFERROR(INDEX(Config!$M$5:$R$16,MATCH(G2653,Config!$J$5:$J$16,0),MATCH(F2653,Config!$H$5:$H$10,0)),""))</f>
        <v/>
      </c>
      <c r="U2653" s="47">
        <f>IF(AND(H2653="Realizado",L2653&lt;&gt;""),L2653/60,0)</f>
        <v>0</v>
      </c>
      <c r="V2653" s="47">
        <f>IF(AND(H2653="Realizado",OR(L2653="",M2653="")),1,0)</f>
        <v>0</v>
      </c>
    </row>
    <row r="2654">
      <c r="A2654" s="43" t="n"/>
      <c r="B2654" s="44" t="n"/>
      <c r="C2654" s="38" t="n"/>
      <c r="D2654" s="38" t="n"/>
      <c r="E2654" s="37" t="n"/>
      <c r="F2654" s="38" t="n"/>
      <c r="G2654" s="38" t="n"/>
      <c r="H2654" s="38" t="n"/>
      <c r="I2654" s="38" t="n"/>
      <c r="J2654" s="38" t="n"/>
      <c r="K2654" s="37" t="n"/>
      <c r="L2654" s="39" t="n"/>
      <c r="M2654" s="40" t="n"/>
      <c r="N2654" s="30">
        <f>IF(A2654="","",MONTH(A2654))</f>
        <v/>
      </c>
      <c r="O2654" s="30">
        <f>IF(A2654="","",YEAR(A2654))</f>
        <v/>
      </c>
      <c r="P2654" s="30">
        <f>IF(A2654="","",CHOOSE(WEEKDAY(A2654,2),"Segunda","Terça","Quarta","Quinta","Sexta","Sábado","Domingo"))</f>
        <v/>
      </c>
      <c r="Q2654" s="30">
        <f>IF(B2654="","",IF(B2654&lt;TIME(12,0,0),"Manhã",IF(B2654&lt;TIME(18,0,0),"Tarde","Noite")))</f>
        <v/>
      </c>
      <c r="R2654" s="46">
        <f>IF(AND(H2654="Realizado",L2654&lt;&gt;"",A2654&lt;=Config!$B$9),L2654/60,0)</f>
        <v>0</v>
      </c>
      <c r="S2654" s="45">
        <f>IF(G2654="","",IFERROR(INDEX(Config!$K$5:$K$16,MATCH(G2654,Config!$J$5:$J$16,0)),""))</f>
        <v/>
      </c>
      <c r="T2654" s="31">
        <f>IF(OR(G2654="",F2654=""),"",IFERROR(INDEX(Config!$M$5:$R$16,MATCH(G2654,Config!$J$5:$J$16,0),MATCH(F2654,Config!$H$5:$H$10,0)),""))</f>
        <v/>
      </c>
      <c r="U2654" s="47">
        <f>IF(AND(H2654="Realizado",L2654&lt;&gt;""),L2654/60,0)</f>
        <v>0</v>
      </c>
      <c r="V2654" s="47">
        <f>IF(AND(H2654="Realizado",OR(L2654="",M2654="")),1,0)</f>
        <v>0</v>
      </c>
    </row>
    <row r="2655">
      <c r="A2655" s="43" t="n"/>
      <c r="B2655" s="44" t="n"/>
      <c r="C2655" s="38" t="n"/>
      <c r="D2655" s="38" t="n"/>
      <c r="E2655" s="37" t="n"/>
      <c r="F2655" s="38" t="n"/>
      <c r="G2655" s="38" t="n"/>
      <c r="H2655" s="38" t="n"/>
      <c r="I2655" s="38" t="n"/>
      <c r="J2655" s="38" t="n"/>
      <c r="K2655" s="37" t="n"/>
      <c r="L2655" s="39" t="n"/>
      <c r="M2655" s="40" t="n"/>
      <c r="N2655" s="30">
        <f>IF(A2655="","",MONTH(A2655))</f>
        <v/>
      </c>
      <c r="O2655" s="30">
        <f>IF(A2655="","",YEAR(A2655))</f>
        <v/>
      </c>
      <c r="P2655" s="30">
        <f>IF(A2655="","",CHOOSE(WEEKDAY(A2655,2),"Segunda","Terça","Quarta","Quinta","Sexta","Sábado","Domingo"))</f>
        <v/>
      </c>
      <c r="Q2655" s="30">
        <f>IF(B2655="","",IF(B2655&lt;TIME(12,0,0),"Manhã",IF(B2655&lt;TIME(18,0,0),"Tarde","Noite")))</f>
        <v/>
      </c>
      <c r="R2655" s="46">
        <f>IF(AND(H2655="Realizado",L2655&lt;&gt;"",A2655&lt;=Config!$B$9),L2655/60,0)</f>
        <v>0</v>
      </c>
      <c r="S2655" s="45">
        <f>IF(G2655="","",IFERROR(INDEX(Config!$K$5:$K$16,MATCH(G2655,Config!$J$5:$J$16,0)),""))</f>
        <v/>
      </c>
      <c r="T2655" s="31">
        <f>IF(OR(G2655="",F2655=""),"",IFERROR(INDEX(Config!$M$5:$R$16,MATCH(G2655,Config!$J$5:$J$16,0),MATCH(F2655,Config!$H$5:$H$10,0)),""))</f>
        <v/>
      </c>
      <c r="U2655" s="47">
        <f>IF(AND(H2655="Realizado",L2655&lt;&gt;""),L2655/60,0)</f>
        <v>0</v>
      </c>
      <c r="V2655" s="47">
        <f>IF(AND(H2655="Realizado",OR(L2655="",M2655="")),1,0)</f>
        <v>0</v>
      </c>
    </row>
    <row r="2656">
      <c r="A2656" s="43" t="n"/>
      <c r="B2656" s="44" t="n"/>
      <c r="C2656" s="38" t="n"/>
      <c r="D2656" s="38" t="n"/>
      <c r="E2656" s="37" t="n"/>
      <c r="F2656" s="38" t="n"/>
      <c r="G2656" s="38" t="n"/>
      <c r="H2656" s="38" t="n"/>
      <c r="I2656" s="38" t="n"/>
      <c r="J2656" s="38" t="n"/>
      <c r="K2656" s="37" t="n"/>
      <c r="L2656" s="39" t="n"/>
      <c r="M2656" s="40" t="n"/>
      <c r="N2656" s="30">
        <f>IF(A2656="","",MONTH(A2656))</f>
        <v/>
      </c>
      <c r="O2656" s="30">
        <f>IF(A2656="","",YEAR(A2656))</f>
        <v/>
      </c>
      <c r="P2656" s="30">
        <f>IF(A2656="","",CHOOSE(WEEKDAY(A2656,2),"Segunda","Terça","Quarta","Quinta","Sexta","Sábado","Domingo"))</f>
        <v/>
      </c>
      <c r="Q2656" s="30">
        <f>IF(B2656="","",IF(B2656&lt;TIME(12,0,0),"Manhã",IF(B2656&lt;TIME(18,0,0),"Tarde","Noite")))</f>
        <v/>
      </c>
      <c r="R2656" s="46">
        <f>IF(AND(H2656="Realizado",L2656&lt;&gt;"",A2656&lt;=Config!$B$9),L2656/60,0)</f>
        <v>0</v>
      </c>
      <c r="S2656" s="45">
        <f>IF(G2656="","",IFERROR(INDEX(Config!$K$5:$K$16,MATCH(G2656,Config!$J$5:$J$16,0)),""))</f>
        <v/>
      </c>
      <c r="T2656" s="31">
        <f>IF(OR(G2656="",F2656=""),"",IFERROR(INDEX(Config!$M$5:$R$16,MATCH(G2656,Config!$J$5:$J$16,0),MATCH(F2656,Config!$H$5:$H$10,0)),""))</f>
        <v/>
      </c>
      <c r="U2656" s="47">
        <f>IF(AND(H2656="Realizado",L2656&lt;&gt;""),L2656/60,0)</f>
        <v>0</v>
      </c>
      <c r="V2656" s="47">
        <f>IF(AND(H2656="Realizado",OR(L2656="",M2656="")),1,0)</f>
        <v>0</v>
      </c>
    </row>
    <row r="2657">
      <c r="A2657" s="43" t="n"/>
      <c r="B2657" s="44" t="n"/>
      <c r="C2657" s="38" t="n"/>
      <c r="D2657" s="38" t="n"/>
      <c r="E2657" s="37" t="n"/>
      <c r="F2657" s="38" t="n"/>
      <c r="G2657" s="38" t="n"/>
      <c r="H2657" s="38" t="n"/>
      <c r="I2657" s="38" t="n"/>
      <c r="J2657" s="38" t="n"/>
      <c r="K2657" s="37" t="n"/>
      <c r="L2657" s="39" t="n"/>
      <c r="M2657" s="40" t="n"/>
      <c r="N2657" s="30">
        <f>IF(A2657="","",MONTH(A2657))</f>
        <v/>
      </c>
      <c r="O2657" s="30">
        <f>IF(A2657="","",YEAR(A2657))</f>
        <v/>
      </c>
      <c r="P2657" s="30">
        <f>IF(A2657="","",CHOOSE(WEEKDAY(A2657,2),"Segunda","Terça","Quarta","Quinta","Sexta","Sábado","Domingo"))</f>
        <v/>
      </c>
      <c r="Q2657" s="30">
        <f>IF(B2657="","",IF(B2657&lt;TIME(12,0,0),"Manhã",IF(B2657&lt;TIME(18,0,0),"Tarde","Noite")))</f>
        <v/>
      </c>
      <c r="R2657" s="46">
        <f>IF(AND(H2657="Realizado",L2657&lt;&gt;"",A2657&lt;=Config!$B$9),L2657/60,0)</f>
        <v>0</v>
      </c>
      <c r="S2657" s="45">
        <f>IF(G2657="","",IFERROR(INDEX(Config!$K$5:$K$16,MATCH(G2657,Config!$J$5:$J$16,0)),""))</f>
        <v/>
      </c>
      <c r="T2657" s="31">
        <f>IF(OR(G2657="",F2657=""),"",IFERROR(INDEX(Config!$M$5:$R$16,MATCH(G2657,Config!$J$5:$J$16,0),MATCH(F2657,Config!$H$5:$H$10,0)),""))</f>
        <v/>
      </c>
      <c r="U2657" s="47">
        <f>IF(AND(H2657="Realizado",L2657&lt;&gt;""),L2657/60,0)</f>
        <v>0</v>
      </c>
      <c r="V2657" s="47">
        <f>IF(AND(H2657="Realizado",OR(L2657="",M2657="")),1,0)</f>
        <v>0</v>
      </c>
    </row>
    <row r="2658">
      <c r="A2658" s="43" t="n"/>
      <c r="B2658" s="44" t="n"/>
      <c r="C2658" s="38" t="n"/>
      <c r="D2658" s="38" t="n"/>
      <c r="E2658" s="37" t="n"/>
      <c r="F2658" s="38" t="n"/>
      <c r="G2658" s="38" t="n"/>
      <c r="H2658" s="38" t="n"/>
      <c r="I2658" s="38" t="n"/>
      <c r="J2658" s="38" t="n"/>
      <c r="K2658" s="37" t="n"/>
      <c r="L2658" s="39" t="n"/>
      <c r="M2658" s="40" t="n"/>
      <c r="N2658" s="30">
        <f>IF(A2658="","",MONTH(A2658))</f>
        <v/>
      </c>
      <c r="O2658" s="30">
        <f>IF(A2658="","",YEAR(A2658))</f>
        <v/>
      </c>
      <c r="P2658" s="30">
        <f>IF(A2658="","",CHOOSE(WEEKDAY(A2658,2),"Segunda","Terça","Quarta","Quinta","Sexta","Sábado","Domingo"))</f>
        <v/>
      </c>
      <c r="Q2658" s="30">
        <f>IF(B2658="","",IF(B2658&lt;TIME(12,0,0),"Manhã",IF(B2658&lt;TIME(18,0,0),"Tarde","Noite")))</f>
        <v/>
      </c>
      <c r="R2658" s="46">
        <f>IF(AND(H2658="Realizado",L2658&lt;&gt;"",A2658&lt;=Config!$B$9),L2658/60,0)</f>
        <v>0</v>
      </c>
      <c r="S2658" s="45">
        <f>IF(G2658="","",IFERROR(INDEX(Config!$K$5:$K$16,MATCH(G2658,Config!$J$5:$J$16,0)),""))</f>
        <v/>
      </c>
      <c r="T2658" s="31">
        <f>IF(OR(G2658="",F2658=""),"",IFERROR(INDEX(Config!$M$5:$R$16,MATCH(G2658,Config!$J$5:$J$16,0),MATCH(F2658,Config!$H$5:$H$10,0)),""))</f>
        <v/>
      </c>
      <c r="U2658" s="47">
        <f>IF(AND(H2658="Realizado",L2658&lt;&gt;""),L2658/60,0)</f>
        <v>0</v>
      </c>
      <c r="V2658" s="47">
        <f>IF(AND(H2658="Realizado",OR(L2658="",M2658="")),1,0)</f>
        <v>0</v>
      </c>
    </row>
    <row r="2659">
      <c r="A2659" s="43" t="n"/>
      <c r="B2659" s="44" t="n"/>
      <c r="C2659" s="38" t="n"/>
      <c r="D2659" s="38" t="n"/>
      <c r="E2659" s="37" t="n"/>
      <c r="F2659" s="38" t="n"/>
      <c r="G2659" s="38" t="n"/>
      <c r="H2659" s="38" t="n"/>
      <c r="I2659" s="38" t="n"/>
      <c r="J2659" s="38" t="n"/>
      <c r="K2659" s="37" t="n"/>
      <c r="L2659" s="39" t="n"/>
      <c r="M2659" s="40" t="n"/>
      <c r="N2659" s="30">
        <f>IF(A2659="","",MONTH(A2659))</f>
        <v/>
      </c>
      <c r="O2659" s="30">
        <f>IF(A2659="","",YEAR(A2659))</f>
        <v/>
      </c>
      <c r="P2659" s="30">
        <f>IF(A2659="","",CHOOSE(WEEKDAY(A2659,2),"Segunda","Terça","Quarta","Quinta","Sexta","Sábado","Domingo"))</f>
        <v/>
      </c>
      <c r="Q2659" s="30">
        <f>IF(B2659="","",IF(B2659&lt;TIME(12,0,0),"Manhã",IF(B2659&lt;TIME(18,0,0),"Tarde","Noite")))</f>
        <v/>
      </c>
      <c r="R2659" s="46">
        <f>IF(AND(H2659="Realizado",L2659&lt;&gt;"",A2659&lt;=Config!$B$9),L2659/60,0)</f>
        <v>0</v>
      </c>
      <c r="S2659" s="45">
        <f>IF(G2659="","",IFERROR(INDEX(Config!$K$5:$K$16,MATCH(G2659,Config!$J$5:$J$16,0)),""))</f>
        <v/>
      </c>
      <c r="T2659" s="31">
        <f>IF(OR(G2659="",F2659=""),"",IFERROR(INDEX(Config!$M$5:$R$16,MATCH(G2659,Config!$J$5:$J$16,0),MATCH(F2659,Config!$H$5:$H$10,0)),""))</f>
        <v/>
      </c>
      <c r="U2659" s="47">
        <f>IF(AND(H2659="Realizado",L2659&lt;&gt;""),L2659/60,0)</f>
        <v>0</v>
      </c>
      <c r="V2659" s="47">
        <f>IF(AND(H2659="Realizado",OR(L2659="",M2659="")),1,0)</f>
        <v>0</v>
      </c>
    </row>
    <row r="2660">
      <c r="A2660" s="43" t="n"/>
      <c r="B2660" s="44" t="n"/>
      <c r="C2660" s="38" t="n"/>
      <c r="D2660" s="38" t="n"/>
      <c r="E2660" s="37" t="n"/>
      <c r="F2660" s="38" t="n"/>
      <c r="G2660" s="38" t="n"/>
      <c r="H2660" s="38" t="n"/>
      <c r="I2660" s="38" t="n"/>
      <c r="J2660" s="38" t="n"/>
      <c r="K2660" s="37" t="n"/>
      <c r="L2660" s="39" t="n"/>
      <c r="M2660" s="40" t="n"/>
      <c r="N2660" s="30">
        <f>IF(A2660="","",MONTH(A2660))</f>
        <v/>
      </c>
      <c r="O2660" s="30">
        <f>IF(A2660="","",YEAR(A2660))</f>
        <v/>
      </c>
      <c r="P2660" s="30">
        <f>IF(A2660="","",CHOOSE(WEEKDAY(A2660,2),"Segunda","Terça","Quarta","Quinta","Sexta","Sábado","Domingo"))</f>
        <v/>
      </c>
      <c r="Q2660" s="30">
        <f>IF(B2660="","",IF(B2660&lt;TIME(12,0,0),"Manhã",IF(B2660&lt;TIME(18,0,0),"Tarde","Noite")))</f>
        <v/>
      </c>
      <c r="R2660" s="46">
        <f>IF(AND(H2660="Realizado",L2660&lt;&gt;"",A2660&lt;=Config!$B$9),L2660/60,0)</f>
        <v>0</v>
      </c>
      <c r="S2660" s="45">
        <f>IF(G2660="","",IFERROR(INDEX(Config!$K$5:$K$16,MATCH(G2660,Config!$J$5:$J$16,0)),""))</f>
        <v/>
      </c>
      <c r="T2660" s="31">
        <f>IF(OR(G2660="",F2660=""),"",IFERROR(INDEX(Config!$M$5:$R$16,MATCH(G2660,Config!$J$5:$J$16,0),MATCH(F2660,Config!$H$5:$H$10,0)),""))</f>
        <v/>
      </c>
      <c r="U2660" s="47">
        <f>IF(AND(H2660="Realizado",L2660&lt;&gt;""),L2660/60,0)</f>
        <v>0</v>
      </c>
      <c r="V2660" s="47">
        <f>IF(AND(H2660="Realizado",OR(L2660="",M2660="")),1,0)</f>
        <v>0</v>
      </c>
    </row>
    <row r="2661">
      <c r="A2661" s="43" t="n"/>
      <c r="B2661" s="44" t="n"/>
      <c r="C2661" s="38" t="n"/>
      <c r="D2661" s="38" t="n"/>
      <c r="E2661" s="37" t="n"/>
      <c r="F2661" s="38" t="n"/>
      <c r="G2661" s="38" t="n"/>
      <c r="H2661" s="38" t="n"/>
      <c r="I2661" s="38" t="n"/>
      <c r="J2661" s="38" t="n"/>
      <c r="K2661" s="37" t="n"/>
      <c r="L2661" s="39" t="n"/>
      <c r="M2661" s="40" t="n"/>
      <c r="N2661" s="30">
        <f>IF(A2661="","",MONTH(A2661))</f>
        <v/>
      </c>
      <c r="O2661" s="30">
        <f>IF(A2661="","",YEAR(A2661))</f>
        <v/>
      </c>
      <c r="P2661" s="30">
        <f>IF(A2661="","",CHOOSE(WEEKDAY(A2661,2),"Segunda","Terça","Quarta","Quinta","Sexta","Sábado","Domingo"))</f>
        <v/>
      </c>
      <c r="Q2661" s="30">
        <f>IF(B2661="","",IF(B2661&lt;TIME(12,0,0),"Manhã",IF(B2661&lt;TIME(18,0,0),"Tarde","Noite")))</f>
        <v/>
      </c>
      <c r="R2661" s="46">
        <f>IF(AND(H2661="Realizado",L2661&lt;&gt;"",A2661&lt;=Config!$B$9),L2661/60,0)</f>
        <v>0</v>
      </c>
      <c r="S2661" s="45">
        <f>IF(G2661="","",IFERROR(INDEX(Config!$K$5:$K$16,MATCH(G2661,Config!$J$5:$J$16,0)),""))</f>
        <v/>
      </c>
      <c r="T2661" s="31">
        <f>IF(OR(G2661="",F2661=""),"",IFERROR(INDEX(Config!$M$5:$R$16,MATCH(G2661,Config!$J$5:$J$16,0),MATCH(F2661,Config!$H$5:$H$10,0)),""))</f>
        <v/>
      </c>
      <c r="U2661" s="47">
        <f>IF(AND(H2661="Realizado",L2661&lt;&gt;""),L2661/60,0)</f>
        <v>0</v>
      </c>
      <c r="V2661" s="47">
        <f>IF(AND(H2661="Realizado",OR(L2661="",M2661="")),1,0)</f>
        <v>0</v>
      </c>
    </row>
    <row r="2662">
      <c r="A2662" s="43" t="n"/>
      <c r="B2662" s="44" t="n"/>
      <c r="C2662" s="38" t="n"/>
      <c r="D2662" s="38" t="n"/>
      <c r="E2662" s="37" t="n"/>
      <c r="F2662" s="38" t="n"/>
      <c r="G2662" s="38" t="n"/>
      <c r="H2662" s="38" t="n"/>
      <c r="I2662" s="38" t="n"/>
      <c r="J2662" s="38" t="n"/>
      <c r="K2662" s="37" t="n"/>
      <c r="L2662" s="39" t="n"/>
      <c r="M2662" s="40" t="n"/>
      <c r="N2662" s="30">
        <f>IF(A2662="","",MONTH(A2662))</f>
        <v/>
      </c>
      <c r="O2662" s="30">
        <f>IF(A2662="","",YEAR(A2662))</f>
        <v/>
      </c>
      <c r="P2662" s="30">
        <f>IF(A2662="","",CHOOSE(WEEKDAY(A2662,2),"Segunda","Terça","Quarta","Quinta","Sexta","Sábado","Domingo"))</f>
        <v/>
      </c>
      <c r="Q2662" s="30">
        <f>IF(B2662="","",IF(B2662&lt;TIME(12,0,0),"Manhã",IF(B2662&lt;TIME(18,0,0),"Tarde","Noite")))</f>
        <v/>
      </c>
      <c r="R2662" s="46">
        <f>IF(AND(H2662="Realizado",L2662&lt;&gt;"",A2662&lt;=Config!$B$9),L2662/60,0)</f>
        <v>0</v>
      </c>
      <c r="S2662" s="45">
        <f>IF(G2662="","",IFERROR(INDEX(Config!$K$5:$K$16,MATCH(G2662,Config!$J$5:$J$16,0)),""))</f>
        <v/>
      </c>
      <c r="T2662" s="31">
        <f>IF(OR(G2662="",F2662=""),"",IFERROR(INDEX(Config!$M$5:$R$16,MATCH(G2662,Config!$J$5:$J$16,0),MATCH(F2662,Config!$H$5:$H$10,0)),""))</f>
        <v/>
      </c>
      <c r="U2662" s="47">
        <f>IF(AND(H2662="Realizado",L2662&lt;&gt;""),L2662/60,0)</f>
        <v>0</v>
      </c>
      <c r="V2662" s="47">
        <f>IF(AND(H2662="Realizado",OR(L2662="",M2662="")),1,0)</f>
        <v>0</v>
      </c>
    </row>
    <row r="2663">
      <c r="A2663" s="43" t="n"/>
      <c r="B2663" s="44" t="n"/>
      <c r="C2663" s="38" t="n"/>
      <c r="D2663" s="38" t="n"/>
      <c r="E2663" s="37" t="n"/>
      <c r="F2663" s="38" t="n"/>
      <c r="G2663" s="38" t="n"/>
      <c r="H2663" s="38" t="n"/>
      <c r="I2663" s="38" t="n"/>
      <c r="J2663" s="38" t="n"/>
      <c r="K2663" s="37" t="n"/>
      <c r="L2663" s="39" t="n"/>
      <c r="M2663" s="40" t="n"/>
      <c r="N2663" s="30">
        <f>IF(A2663="","",MONTH(A2663))</f>
        <v/>
      </c>
      <c r="O2663" s="30">
        <f>IF(A2663="","",YEAR(A2663))</f>
        <v/>
      </c>
      <c r="P2663" s="30">
        <f>IF(A2663="","",CHOOSE(WEEKDAY(A2663,2),"Segunda","Terça","Quarta","Quinta","Sexta","Sábado","Domingo"))</f>
        <v/>
      </c>
      <c r="Q2663" s="30">
        <f>IF(B2663="","",IF(B2663&lt;TIME(12,0,0),"Manhã",IF(B2663&lt;TIME(18,0,0),"Tarde","Noite")))</f>
        <v/>
      </c>
      <c r="R2663" s="46">
        <f>IF(AND(H2663="Realizado",L2663&lt;&gt;"",A2663&lt;=Config!$B$9),L2663/60,0)</f>
        <v>0</v>
      </c>
      <c r="S2663" s="45">
        <f>IF(G2663="","",IFERROR(INDEX(Config!$K$5:$K$16,MATCH(G2663,Config!$J$5:$J$16,0)),""))</f>
        <v/>
      </c>
      <c r="T2663" s="31">
        <f>IF(OR(G2663="",F2663=""),"",IFERROR(INDEX(Config!$M$5:$R$16,MATCH(G2663,Config!$J$5:$J$16,0),MATCH(F2663,Config!$H$5:$H$10,0)),""))</f>
        <v/>
      </c>
      <c r="U2663" s="47">
        <f>IF(AND(H2663="Realizado",L2663&lt;&gt;""),L2663/60,0)</f>
        <v>0</v>
      </c>
      <c r="V2663" s="47">
        <f>IF(AND(H2663="Realizado",OR(L2663="",M2663="")),1,0)</f>
        <v>0</v>
      </c>
    </row>
    <row r="2664">
      <c r="A2664" s="43" t="n"/>
      <c r="B2664" s="44" t="n"/>
      <c r="C2664" s="38" t="n"/>
      <c r="D2664" s="38" t="n"/>
      <c r="E2664" s="37" t="n"/>
      <c r="F2664" s="38" t="n"/>
      <c r="G2664" s="38" t="n"/>
      <c r="H2664" s="38" t="n"/>
      <c r="I2664" s="38" t="n"/>
      <c r="J2664" s="38" t="n"/>
      <c r="K2664" s="37" t="n"/>
      <c r="L2664" s="39" t="n"/>
      <c r="M2664" s="40" t="n"/>
      <c r="N2664" s="30">
        <f>IF(A2664="","",MONTH(A2664))</f>
        <v/>
      </c>
      <c r="O2664" s="30">
        <f>IF(A2664="","",YEAR(A2664))</f>
        <v/>
      </c>
      <c r="P2664" s="30">
        <f>IF(A2664="","",CHOOSE(WEEKDAY(A2664,2),"Segunda","Terça","Quarta","Quinta","Sexta","Sábado","Domingo"))</f>
        <v/>
      </c>
      <c r="Q2664" s="30">
        <f>IF(B2664="","",IF(B2664&lt;TIME(12,0,0),"Manhã",IF(B2664&lt;TIME(18,0,0),"Tarde","Noite")))</f>
        <v/>
      </c>
      <c r="R2664" s="46">
        <f>IF(AND(H2664="Realizado",L2664&lt;&gt;"",A2664&lt;=Config!$B$9),L2664/60,0)</f>
        <v>0</v>
      </c>
      <c r="S2664" s="45">
        <f>IF(G2664="","",IFERROR(INDEX(Config!$K$5:$K$16,MATCH(G2664,Config!$J$5:$J$16,0)),""))</f>
        <v/>
      </c>
      <c r="T2664" s="31">
        <f>IF(OR(G2664="",F2664=""),"",IFERROR(INDEX(Config!$M$5:$R$16,MATCH(G2664,Config!$J$5:$J$16,0),MATCH(F2664,Config!$H$5:$H$10,0)),""))</f>
        <v/>
      </c>
      <c r="U2664" s="47">
        <f>IF(AND(H2664="Realizado",L2664&lt;&gt;""),L2664/60,0)</f>
        <v>0</v>
      </c>
      <c r="V2664" s="47">
        <f>IF(AND(H2664="Realizado",OR(L2664="",M2664="")),1,0)</f>
        <v>0</v>
      </c>
    </row>
    <row r="2665">
      <c r="A2665" s="43" t="n"/>
      <c r="B2665" s="44" t="n"/>
      <c r="C2665" s="38" t="n"/>
      <c r="D2665" s="38" t="n"/>
      <c r="E2665" s="37" t="n"/>
      <c r="F2665" s="38" t="n"/>
      <c r="G2665" s="38" t="n"/>
      <c r="H2665" s="38" t="n"/>
      <c r="I2665" s="38" t="n"/>
      <c r="J2665" s="38" t="n"/>
      <c r="K2665" s="37" t="n"/>
      <c r="L2665" s="39" t="n"/>
      <c r="M2665" s="40" t="n"/>
      <c r="N2665" s="30">
        <f>IF(A2665="","",MONTH(A2665))</f>
        <v/>
      </c>
      <c r="O2665" s="30">
        <f>IF(A2665="","",YEAR(A2665))</f>
        <v/>
      </c>
      <c r="P2665" s="30">
        <f>IF(A2665="","",CHOOSE(WEEKDAY(A2665,2),"Segunda","Terça","Quarta","Quinta","Sexta","Sábado","Domingo"))</f>
        <v/>
      </c>
      <c r="Q2665" s="30">
        <f>IF(B2665="","",IF(B2665&lt;TIME(12,0,0),"Manhã",IF(B2665&lt;TIME(18,0,0),"Tarde","Noite")))</f>
        <v/>
      </c>
      <c r="R2665" s="46">
        <f>IF(AND(H2665="Realizado",L2665&lt;&gt;"",A2665&lt;=Config!$B$9),L2665/60,0)</f>
        <v>0</v>
      </c>
      <c r="S2665" s="45">
        <f>IF(G2665="","",IFERROR(INDEX(Config!$K$5:$K$16,MATCH(G2665,Config!$J$5:$J$16,0)),""))</f>
        <v/>
      </c>
      <c r="T2665" s="31">
        <f>IF(OR(G2665="",F2665=""),"",IFERROR(INDEX(Config!$M$5:$R$16,MATCH(G2665,Config!$J$5:$J$16,0),MATCH(F2665,Config!$H$5:$H$10,0)),""))</f>
        <v/>
      </c>
      <c r="U2665" s="47">
        <f>IF(AND(H2665="Realizado",L2665&lt;&gt;""),L2665/60,0)</f>
        <v>0</v>
      </c>
      <c r="V2665" s="47">
        <f>IF(AND(H2665="Realizado",OR(L2665="",M2665="")),1,0)</f>
        <v>0</v>
      </c>
    </row>
    <row r="2666">
      <c r="A2666" s="43" t="n"/>
      <c r="B2666" s="44" t="n"/>
      <c r="C2666" s="38" t="n"/>
      <c r="D2666" s="38" t="n"/>
      <c r="E2666" s="37" t="n"/>
      <c r="F2666" s="38" t="n"/>
      <c r="G2666" s="38" t="n"/>
      <c r="H2666" s="38" t="n"/>
      <c r="I2666" s="38" t="n"/>
      <c r="J2666" s="38" t="n"/>
      <c r="K2666" s="37" t="n"/>
      <c r="L2666" s="39" t="n"/>
      <c r="M2666" s="40" t="n"/>
      <c r="N2666" s="30">
        <f>IF(A2666="","",MONTH(A2666))</f>
        <v/>
      </c>
      <c r="O2666" s="30">
        <f>IF(A2666="","",YEAR(A2666))</f>
        <v/>
      </c>
      <c r="P2666" s="30">
        <f>IF(A2666="","",CHOOSE(WEEKDAY(A2666,2),"Segunda","Terça","Quarta","Quinta","Sexta","Sábado","Domingo"))</f>
        <v/>
      </c>
      <c r="Q2666" s="30">
        <f>IF(B2666="","",IF(B2666&lt;TIME(12,0,0),"Manhã",IF(B2666&lt;TIME(18,0,0),"Tarde","Noite")))</f>
        <v/>
      </c>
      <c r="R2666" s="46">
        <f>IF(AND(H2666="Realizado",L2666&lt;&gt;"",A2666&lt;=Config!$B$9),L2666/60,0)</f>
        <v>0</v>
      </c>
      <c r="S2666" s="45">
        <f>IF(G2666="","",IFERROR(INDEX(Config!$K$5:$K$16,MATCH(G2666,Config!$J$5:$J$16,0)),""))</f>
        <v/>
      </c>
      <c r="T2666" s="31">
        <f>IF(OR(G2666="",F2666=""),"",IFERROR(INDEX(Config!$M$5:$R$16,MATCH(G2666,Config!$J$5:$J$16,0),MATCH(F2666,Config!$H$5:$H$10,0)),""))</f>
        <v/>
      </c>
      <c r="U2666" s="47">
        <f>IF(AND(H2666="Realizado",L2666&lt;&gt;""),L2666/60,0)</f>
        <v>0</v>
      </c>
      <c r="V2666" s="47">
        <f>IF(AND(H2666="Realizado",OR(L2666="",M2666="")),1,0)</f>
        <v>0</v>
      </c>
    </row>
    <row r="2667">
      <c r="A2667" s="43" t="n"/>
      <c r="B2667" s="44" t="n"/>
      <c r="C2667" s="38" t="n"/>
      <c r="D2667" s="38" t="n"/>
      <c r="E2667" s="37" t="n"/>
      <c r="F2667" s="38" t="n"/>
      <c r="G2667" s="38" t="n"/>
      <c r="H2667" s="38" t="n"/>
      <c r="I2667" s="38" t="n"/>
      <c r="J2667" s="38" t="n"/>
      <c r="K2667" s="37" t="n"/>
      <c r="L2667" s="39" t="n"/>
      <c r="M2667" s="40" t="n"/>
      <c r="N2667" s="30">
        <f>IF(A2667="","",MONTH(A2667))</f>
        <v/>
      </c>
      <c r="O2667" s="30">
        <f>IF(A2667="","",YEAR(A2667))</f>
        <v/>
      </c>
      <c r="P2667" s="30">
        <f>IF(A2667="","",CHOOSE(WEEKDAY(A2667,2),"Segunda","Terça","Quarta","Quinta","Sexta","Sábado","Domingo"))</f>
        <v/>
      </c>
      <c r="Q2667" s="30">
        <f>IF(B2667="","",IF(B2667&lt;TIME(12,0,0),"Manhã",IF(B2667&lt;TIME(18,0,0),"Tarde","Noite")))</f>
        <v/>
      </c>
      <c r="R2667" s="46">
        <f>IF(AND(H2667="Realizado",L2667&lt;&gt;"",A2667&lt;=Config!$B$9),L2667/60,0)</f>
        <v>0</v>
      </c>
      <c r="S2667" s="45">
        <f>IF(G2667="","",IFERROR(INDEX(Config!$K$5:$K$16,MATCH(G2667,Config!$J$5:$J$16,0)),""))</f>
        <v/>
      </c>
      <c r="T2667" s="31">
        <f>IF(OR(G2667="",F2667=""),"",IFERROR(INDEX(Config!$M$5:$R$16,MATCH(G2667,Config!$J$5:$J$16,0),MATCH(F2667,Config!$H$5:$H$10,0)),""))</f>
        <v/>
      </c>
      <c r="U2667" s="47">
        <f>IF(AND(H2667="Realizado",L2667&lt;&gt;""),L2667/60,0)</f>
        <v>0</v>
      </c>
      <c r="V2667" s="47">
        <f>IF(AND(H2667="Realizado",OR(L2667="",M2667="")),1,0)</f>
        <v>0</v>
      </c>
    </row>
    <row r="2668">
      <c r="A2668" s="43" t="n"/>
      <c r="B2668" s="44" t="n"/>
      <c r="C2668" s="38" t="n"/>
      <c r="D2668" s="38" t="n"/>
      <c r="E2668" s="37" t="n"/>
      <c r="F2668" s="38" t="n"/>
      <c r="G2668" s="38" t="n"/>
      <c r="H2668" s="38" t="n"/>
      <c r="I2668" s="38" t="n"/>
      <c r="J2668" s="38" t="n"/>
      <c r="K2668" s="37" t="n"/>
      <c r="L2668" s="39" t="n"/>
      <c r="M2668" s="40" t="n"/>
      <c r="N2668" s="30">
        <f>IF(A2668="","",MONTH(A2668))</f>
        <v/>
      </c>
      <c r="O2668" s="30">
        <f>IF(A2668="","",YEAR(A2668))</f>
        <v/>
      </c>
      <c r="P2668" s="30">
        <f>IF(A2668="","",CHOOSE(WEEKDAY(A2668,2),"Segunda","Terça","Quarta","Quinta","Sexta","Sábado","Domingo"))</f>
        <v/>
      </c>
      <c r="Q2668" s="30">
        <f>IF(B2668="","",IF(B2668&lt;TIME(12,0,0),"Manhã",IF(B2668&lt;TIME(18,0,0),"Tarde","Noite")))</f>
        <v/>
      </c>
      <c r="R2668" s="46">
        <f>IF(AND(H2668="Realizado",L2668&lt;&gt;"",A2668&lt;=Config!$B$9),L2668/60,0)</f>
        <v>0</v>
      </c>
      <c r="S2668" s="45">
        <f>IF(G2668="","",IFERROR(INDEX(Config!$K$5:$K$16,MATCH(G2668,Config!$J$5:$J$16,0)),""))</f>
        <v/>
      </c>
      <c r="T2668" s="31">
        <f>IF(OR(G2668="",F2668=""),"",IFERROR(INDEX(Config!$M$5:$R$16,MATCH(G2668,Config!$J$5:$J$16,0),MATCH(F2668,Config!$H$5:$H$10,0)),""))</f>
        <v/>
      </c>
      <c r="U2668" s="47">
        <f>IF(AND(H2668="Realizado",L2668&lt;&gt;""),L2668/60,0)</f>
        <v>0</v>
      </c>
      <c r="V2668" s="47">
        <f>IF(AND(H2668="Realizado",OR(L2668="",M2668="")),1,0)</f>
        <v>0</v>
      </c>
    </row>
    <row r="2669">
      <c r="A2669" s="43" t="n"/>
      <c r="B2669" s="44" t="n"/>
      <c r="C2669" s="38" t="n"/>
      <c r="D2669" s="38" t="n"/>
      <c r="E2669" s="37" t="n"/>
      <c r="F2669" s="38" t="n"/>
      <c r="G2669" s="38" t="n"/>
      <c r="H2669" s="38" t="n"/>
      <c r="I2669" s="38" t="n"/>
      <c r="J2669" s="38" t="n"/>
      <c r="K2669" s="37" t="n"/>
      <c r="L2669" s="39" t="n"/>
      <c r="M2669" s="40" t="n"/>
      <c r="N2669" s="30">
        <f>IF(A2669="","",MONTH(A2669))</f>
        <v/>
      </c>
      <c r="O2669" s="30">
        <f>IF(A2669="","",YEAR(A2669))</f>
        <v/>
      </c>
      <c r="P2669" s="30">
        <f>IF(A2669="","",CHOOSE(WEEKDAY(A2669,2),"Segunda","Terça","Quarta","Quinta","Sexta","Sábado","Domingo"))</f>
        <v/>
      </c>
      <c r="Q2669" s="30">
        <f>IF(B2669="","",IF(B2669&lt;TIME(12,0,0),"Manhã",IF(B2669&lt;TIME(18,0,0),"Tarde","Noite")))</f>
        <v/>
      </c>
      <c r="R2669" s="46">
        <f>IF(AND(H2669="Realizado",L2669&lt;&gt;"",A2669&lt;=Config!$B$9),L2669/60,0)</f>
        <v>0</v>
      </c>
      <c r="S2669" s="45">
        <f>IF(G2669="","",IFERROR(INDEX(Config!$K$5:$K$16,MATCH(G2669,Config!$J$5:$J$16,0)),""))</f>
        <v/>
      </c>
      <c r="T2669" s="31">
        <f>IF(OR(G2669="",F2669=""),"",IFERROR(INDEX(Config!$M$5:$R$16,MATCH(G2669,Config!$J$5:$J$16,0),MATCH(F2669,Config!$H$5:$H$10,0)),""))</f>
        <v/>
      </c>
      <c r="U2669" s="47">
        <f>IF(AND(H2669="Realizado",L2669&lt;&gt;""),L2669/60,0)</f>
        <v>0</v>
      </c>
      <c r="V2669" s="47">
        <f>IF(AND(H2669="Realizado",OR(L2669="",M2669="")),1,0)</f>
        <v>0</v>
      </c>
    </row>
    <row r="2670">
      <c r="A2670" s="43" t="n"/>
      <c r="B2670" s="44" t="n"/>
      <c r="C2670" s="38" t="n"/>
      <c r="D2670" s="38" t="n"/>
      <c r="E2670" s="37" t="n"/>
      <c r="F2670" s="38" t="n"/>
      <c r="G2670" s="38" t="n"/>
      <c r="H2670" s="38" t="n"/>
      <c r="I2670" s="38" t="n"/>
      <c r="J2670" s="38" t="n"/>
      <c r="K2670" s="37" t="n"/>
      <c r="L2670" s="39" t="n"/>
      <c r="M2670" s="40" t="n"/>
      <c r="N2670" s="30">
        <f>IF(A2670="","",MONTH(A2670))</f>
        <v/>
      </c>
      <c r="O2670" s="30">
        <f>IF(A2670="","",YEAR(A2670))</f>
        <v/>
      </c>
      <c r="P2670" s="30">
        <f>IF(A2670="","",CHOOSE(WEEKDAY(A2670,2),"Segunda","Terça","Quarta","Quinta","Sexta","Sábado","Domingo"))</f>
        <v/>
      </c>
      <c r="Q2670" s="30">
        <f>IF(B2670="","",IF(B2670&lt;TIME(12,0,0),"Manhã",IF(B2670&lt;TIME(18,0,0),"Tarde","Noite")))</f>
        <v/>
      </c>
      <c r="R2670" s="46">
        <f>IF(AND(H2670="Realizado",L2670&lt;&gt;"",A2670&lt;=Config!$B$9),L2670/60,0)</f>
        <v>0</v>
      </c>
      <c r="S2670" s="45">
        <f>IF(G2670="","",IFERROR(INDEX(Config!$K$5:$K$16,MATCH(G2670,Config!$J$5:$J$16,0)),""))</f>
        <v/>
      </c>
      <c r="T2670" s="31">
        <f>IF(OR(G2670="",F2670=""),"",IFERROR(INDEX(Config!$M$5:$R$16,MATCH(G2670,Config!$J$5:$J$16,0),MATCH(F2670,Config!$H$5:$H$10,0)),""))</f>
        <v/>
      </c>
      <c r="U2670" s="47">
        <f>IF(AND(H2670="Realizado",L2670&lt;&gt;""),L2670/60,0)</f>
        <v>0</v>
      </c>
      <c r="V2670" s="47">
        <f>IF(AND(H2670="Realizado",OR(L2670="",M2670="")),1,0)</f>
        <v>0</v>
      </c>
    </row>
    <row r="2671">
      <c r="A2671" s="43" t="n"/>
      <c r="B2671" s="44" t="n"/>
      <c r="C2671" s="38" t="n"/>
      <c r="D2671" s="38" t="n"/>
      <c r="E2671" s="37" t="n"/>
      <c r="F2671" s="38" t="n"/>
      <c r="G2671" s="38" t="n"/>
      <c r="H2671" s="38" t="n"/>
      <c r="I2671" s="38" t="n"/>
      <c r="J2671" s="38" t="n"/>
      <c r="K2671" s="37" t="n"/>
      <c r="L2671" s="39" t="n"/>
      <c r="M2671" s="40" t="n"/>
      <c r="N2671" s="30">
        <f>IF(A2671="","",MONTH(A2671))</f>
        <v/>
      </c>
      <c r="O2671" s="30">
        <f>IF(A2671="","",YEAR(A2671))</f>
        <v/>
      </c>
      <c r="P2671" s="30">
        <f>IF(A2671="","",CHOOSE(WEEKDAY(A2671,2),"Segunda","Terça","Quarta","Quinta","Sexta","Sábado","Domingo"))</f>
        <v/>
      </c>
      <c r="Q2671" s="30">
        <f>IF(B2671="","",IF(B2671&lt;TIME(12,0,0),"Manhã",IF(B2671&lt;TIME(18,0,0),"Tarde","Noite")))</f>
        <v/>
      </c>
      <c r="R2671" s="46">
        <f>IF(AND(H2671="Realizado",L2671&lt;&gt;"",A2671&lt;=Config!$B$9),L2671/60,0)</f>
        <v>0</v>
      </c>
      <c r="S2671" s="45">
        <f>IF(G2671="","",IFERROR(INDEX(Config!$K$5:$K$16,MATCH(G2671,Config!$J$5:$J$16,0)),""))</f>
        <v/>
      </c>
      <c r="T2671" s="31">
        <f>IF(OR(G2671="",F2671=""),"",IFERROR(INDEX(Config!$M$5:$R$16,MATCH(G2671,Config!$J$5:$J$16,0),MATCH(F2671,Config!$H$5:$H$10,0)),""))</f>
        <v/>
      </c>
      <c r="U2671" s="47">
        <f>IF(AND(H2671="Realizado",L2671&lt;&gt;""),L2671/60,0)</f>
        <v>0</v>
      </c>
      <c r="V2671" s="47">
        <f>IF(AND(H2671="Realizado",OR(L2671="",M2671="")),1,0)</f>
        <v>0</v>
      </c>
    </row>
    <row r="2672">
      <c r="A2672" s="43" t="n"/>
      <c r="B2672" s="44" t="n"/>
      <c r="C2672" s="38" t="n"/>
      <c r="D2672" s="38" t="n"/>
      <c r="E2672" s="37" t="n"/>
      <c r="F2672" s="38" t="n"/>
      <c r="G2672" s="38" t="n"/>
      <c r="H2672" s="38" t="n"/>
      <c r="I2672" s="38" t="n"/>
      <c r="J2672" s="38" t="n"/>
      <c r="K2672" s="37" t="n"/>
      <c r="L2672" s="39" t="n"/>
      <c r="M2672" s="40" t="n"/>
      <c r="N2672" s="30">
        <f>IF(A2672="","",MONTH(A2672))</f>
        <v/>
      </c>
      <c r="O2672" s="30">
        <f>IF(A2672="","",YEAR(A2672))</f>
        <v/>
      </c>
      <c r="P2672" s="30">
        <f>IF(A2672="","",CHOOSE(WEEKDAY(A2672,2),"Segunda","Terça","Quarta","Quinta","Sexta","Sábado","Domingo"))</f>
        <v/>
      </c>
      <c r="Q2672" s="30">
        <f>IF(B2672="","",IF(B2672&lt;TIME(12,0,0),"Manhã",IF(B2672&lt;TIME(18,0,0),"Tarde","Noite")))</f>
        <v/>
      </c>
      <c r="R2672" s="46">
        <f>IF(AND(H2672="Realizado",L2672&lt;&gt;"",A2672&lt;=Config!$B$9),L2672/60,0)</f>
        <v>0</v>
      </c>
      <c r="S2672" s="45">
        <f>IF(G2672="","",IFERROR(INDEX(Config!$K$5:$K$16,MATCH(G2672,Config!$J$5:$J$16,0)),""))</f>
        <v/>
      </c>
      <c r="T2672" s="31">
        <f>IF(OR(G2672="",F2672=""),"",IFERROR(INDEX(Config!$M$5:$R$16,MATCH(G2672,Config!$J$5:$J$16,0),MATCH(F2672,Config!$H$5:$H$10,0)),""))</f>
        <v/>
      </c>
      <c r="U2672" s="47">
        <f>IF(AND(H2672="Realizado",L2672&lt;&gt;""),L2672/60,0)</f>
        <v>0</v>
      </c>
      <c r="V2672" s="47">
        <f>IF(AND(H2672="Realizado",OR(L2672="",M2672="")),1,0)</f>
        <v>0</v>
      </c>
    </row>
    <row r="2673">
      <c r="A2673" s="43" t="n"/>
      <c r="B2673" s="44" t="n"/>
      <c r="C2673" s="38" t="n"/>
      <c r="D2673" s="38" t="n"/>
      <c r="E2673" s="37" t="n"/>
      <c r="F2673" s="38" t="n"/>
      <c r="G2673" s="38" t="n"/>
      <c r="H2673" s="38" t="n"/>
      <c r="I2673" s="38" t="n"/>
      <c r="J2673" s="38" t="n"/>
      <c r="K2673" s="37" t="n"/>
      <c r="L2673" s="39" t="n"/>
      <c r="M2673" s="40" t="n"/>
      <c r="N2673" s="30">
        <f>IF(A2673="","",MONTH(A2673))</f>
        <v/>
      </c>
      <c r="O2673" s="30">
        <f>IF(A2673="","",YEAR(A2673))</f>
        <v/>
      </c>
      <c r="P2673" s="30">
        <f>IF(A2673="","",CHOOSE(WEEKDAY(A2673,2),"Segunda","Terça","Quarta","Quinta","Sexta","Sábado","Domingo"))</f>
        <v/>
      </c>
      <c r="Q2673" s="30">
        <f>IF(B2673="","",IF(B2673&lt;TIME(12,0,0),"Manhã",IF(B2673&lt;TIME(18,0,0),"Tarde","Noite")))</f>
        <v/>
      </c>
      <c r="R2673" s="46">
        <f>IF(AND(H2673="Realizado",L2673&lt;&gt;"",A2673&lt;=Config!$B$9),L2673/60,0)</f>
        <v>0</v>
      </c>
      <c r="S2673" s="45">
        <f>IF(G2673="","",IFERROR(INDEX(Config!$K$5:$K$16,MATCH(G2673,Config!$J$5:$J$16,0)),""))</f>
        <v/>
      </c>
      <c r="T2673" s="31">
        <f>IF(OR(G2673="",F2673=""),"",IFERROR(INDEX(Config!$M$5:$R$16,MATCH(G2673,Config!$J$5:$J$16,0),MATCH(F2673,Config!$H$5:$H$10,0)),""))</f>
        <v/>
      </c>
      <c r="U2673" s="47">
        <f>IF(AND(H2673="Realizado",L2673&lt;&gt;""),L2673/60,0)</f>
        <v>0</v>
      </c>
      <c r="V2673" s="47">
        <f>IF(AND(H2673="Realizado",OR(L2673="",M2673="")),1,0)</f>
        <v>0</v>
      </c>
    </row>
    <row r="2674">
      <c r="A2674" s="43" t="n"/>
      <c r="B2674" s="44" t="n"/>
      <c r="C2674" s="38" t="n"/>
      <c r="D2674" s="38" t="n"/>
      <c r="E2674" s="37" t="n"/>
      <c r="F2674" s="38" t="n"/>
      <c r="G2674" s="38" t="n"/>
      <c r="H2674" s="38" t="n"/>
      <c r="I2674" s="38" t="n"/>
      <c r="J2674" s="38" t="n"/>
      <c r="K2674" s="37" t="n"/>
      <c r="L2674" s="39" t="n"/>
      <c r="M2674" s="40" t="n"/>
      <c r="N2674" s="30">
        <f>IF(A2674="","",MONTH(A2674))</f>
        <v/>
      </c>
      <c r="O2674" s="30">
        <f>IF(A2674="","",YEAR(A2674))</f>
        <v/>
      </c>
      <c r="P2674" s="30">
        <f>IF(A2674="","",CHOOSE(WEEKDAY(A2674,2),"Segunda","Terça","Quarta","Quinta","Sexta","Sábado","Domingo"))</f>
        <v/>
      </c>
      <c r="Q2674" s="30">
        <f>IF(B2674="","",IF(B2674&lt;TIME(12,0,0),"Manhã",IF(B2674&lt;TIME(18,0,0),"Tarde","Noite")))</f>
        <v/>
      </c>
      <c r="R2674" s="46">
        <f>IF(AND(H2674="Realizado",L2674&lt;&gt;"",A2674&lt;=Config!$B$9),L2674/60,0)</f>
        <v>0</v>
      </c>
      <c r="S2674" s="45">
        <f>IF(G2674="","",IFERROR(INDEX(Config!$K$5:$K$16,MATCH(G2674,Config!$J$5:$J$16,0)),""))</f>
        <v/>
      </c>
      <c r="T2674" s="31">
        <f>IF(OR(G2674="",F2674=""),"",IFERROR(INDEX(Config!$M$5:$R$16,MATCH(G2674,Config!$J$5:$J$16,0),MATCH(F2674,Config!$H$5:$H$10,0)),""))</f>
        <v/>
      </c>
      <c r="U2674" s="47">
        <f>IF(AND(H2674="Realizado",L2674&lt;&gt;""),L2674/60,0)</f>
        <v>0</v>
      </c>
      <c r="V2674" s="47">
        <f>IF(AND(H2674="Realizado",OR(L2674="",M2674="")),1,0)</f>
        <v>0</v>
      </c>
    </row>
    <row r="2675">
      <c r="A2675" s="43" t="n"/>
      <c r="B2675" s="44" t="n"/>
      <c r="C2675" s="38" t="n"/>
      <c r="D2675" s="38" t="n"/>
      <c r="E2675" s="37" t="n"/>
      <c r="F2675" s="38" t="n"/>
      <c r="G2675" s="38" t="n"/>
      <c r="H2675" s="38" t="n"/>
      <c r="I2675" s="38" t="n"/>
      <c r="J2675" s="38" t="n"/>
      <c r="K2675" s="37" t="n"/>
      <c r="L2675" s="39" t="n"/>
      <c r="M2675" s="40" t="n"/>
      <c r="N2675" s="30">
        <f>IF(A2675="","",MONTH(A2675))</f>
        <v/>
      </c>
      <c r="O2675" s="30">
        <f>IF(A2675="","",YEAR(A2675))</f>
        <v/>
      </c>
      <c r="P2675" s="30">
        <f>IF(A2675="","",CHOOSE(WEEKDAY(A2675,2),"Segunda","Terça","Quarta","Quinta","Sexta","Sábado","Domingo"))</f>
        <v/>
      </c>
      <c r="Q2675" s="30">
        <f>IF(B2675="","",IF(B2675&lt;TIME(12,0,0),"Manhã",IF(B2675&lt;TIME(18,0,0),"Tarde","Noite")))</f>
        <v/>
      </c>
      <c r="R2675" s="46">
        <f>IF(AND(H2675="Realizado",L2675&lt;&gt;"",A2675&lt;=Config!$B$9),L2675/60,0)</f>
        <v>0</v>
      </c>
      <c r="S2675" s="45">
        <f>IF(G2675="","",IFERROR(INDEX(Config!$K$5:$K$16,MATCH(G2675,Config!$J$5:$J$16,0)),""))</f>
        <v/>
      </c>
      <c r="T2675" s="31">
        <f>IF(OR(G2675="",F2675=""),"",IFERROR(INDEX(Config!$M$5:$R$16,MATCH(G2675,Config!$J$5:$J$16,0),MATCH(F2675,Config!$H$5:$H$10,0)),""))</f>
        <v/>
      </c>
      <c r="U2675" s="47">
        <f>IF(AND(H2675="Realizado",L2675&lt;&gt;""),L2675/60,0)</f>
        <v>0</v>
      </c>
      <c r="V2675" s="47">
        <f>IF(AND(H2675="Realizado",OR(L2675="",M2675="")),1,0)</f>
        <v>0</v>
      </c>
    </row>
    <row r="2676">
      <c r="A2676" s="43" t="n"/>
      <c r="B2676" s="44" t="n"/>
      <c r="C2676" s="38" t="n"/>
      <c r="D2676" s="38" t="n"/>
      <c r="E2676" s="37" t="n"/>
      <c r="F2676" s="38" t="n"/>
      <c r="G2676" s="38" t="n"/>
      <c r="H2676" s="38" t="n"/>
      <c r="I2676" s="38" t="n"/>
      <c r="J2676" s="38" t="n"/>
      <c r="K2676" s="37" t="n"/>
      <c r="L2676" s="39" t="n"/>
      <c r="M2676" s="40" t="n"/>
      <c r="N2676" s="30">
        <f>IF(A2676="","",MONTH(A2676))</f>
        <v/>
      </c>
      <c r="O2676" s="30">
        <f>IF(A2676="","",YEAR(A2676))</f>
        <v/>
      </c>
      <c r="P2676" s="30">
        <f>IF(A2676="","",CHOOSE(WEEKDAY(A2676,2),"Segunda","Terça","Quarta","Quinta","Sexta","Sábado","Domingo"))</f>
        <v/>
      </c>
      <c r="Q2676" s="30">
        <f>IF(B2676="","",IF(B2676&lt;TIME(12,0,0),"Manhã",IF(B2676&lt;TIME(18,0,0),"Tarde","Noite")))</f>
        <v/>
      </c>
      <c r="R2676" s="46">
        <f>IF(AND(H2676="Realizado",L2676&lt;&gt;"",A2676&lt;=Config!$B$9),L2676/60,0)</f>
        <v>0</v>
      </c>
      <c r="S2676" s="45">
        <f>IF(G2676="","",IFERROR(INDEX(Config!$K$5:$K$16,MATCH(G2676,Config!$J$5:$J$16,0)),""))</f>
        <v/>
      </c>
      <c r="T2676" s="31">
        <f>IF(OR(G2676="",F2676=""),"",IFERROR(INDEX(Config!$M$5:$R$16,MATCH(G2676,Config!$J$5:$J$16,0),MATCH(F2676,Config!$H$5:$H$10,0)),""))</f>
        <v/>
      </c>
      <c r="U2676" s="47">
        <f>IF(AND(H2676="Realizado",L2676&lt;&gt;""),L2676/60,0)</f>
        <v>0</v>
      </c>
      <c r="V2676" s="47">
        <f>IF(AND(H2676="Realizado",OR(L2676="",M2676="")),1,0)</f>
        <v>0</v>
      </c>
    </row>
    <row r="2677">
      <c r="A2677" s="43" t="n"/>
      <c r="B2677" s="44" t="n"/>
      <c r="C2677" s="38" t="n"/>
      <c r="D2677" s="38" t="n"/>
      <c r="E2677" s="37" t="n"/>
      <c r="F2677" s="38" t="n"/>
      <c r="G2677" s="38" t="n"/>
      <c r="H2677" s="38" t="n"/>
      <c r="I2677" s="38" t="n"/>
      <c r="J2677" s="38" t="n"/>
      <c r="K2677" s="37" t="n"/>
      <c r="L2677" s="39" t="n"/>
      <c r="M2677" s="40" t="n"/>
      <c r="N2677" s="30">
        <f>IF(A2677="","",MONTH(A2677))</f>
        <v/>
      </c>
      <c r="O2677" s="30">
        <f>IF(A2677="","",YEAR(A2677))</f>
        <v/>
      </c>
      <c r="P2677" s="30">
        <f>IF(A2677="","",CHOOSE(WEEKDAY(A2677,2),"Segunda","Terça","Quarta","Quinta","Sexta","Sábado","Domingo"))</f>
        <v/>
      </c>
      <c r="Q2677" s="30">
        <f>IF(B2677="","",IF(B2677&lt;TIME(12,0,0),"Manhã",IF(B2677&lt;TIME(18,0,0),"Tarde","Noite")))</f>
        <v/>
      </c>
      <c r="R2677" s="46">
        <f>IF(AND(H2677="Realizado",L2677&lt;&gt;"",A2677&lt;=Config!$B$9),L2677/60,0)</f>
        <v>0</v>
      </c>
      <c r="S2677" s="45">
        <f>IF(G2677="","",IFERROR(INDEX(Config!$K$5:$K$16,MATCH(G2677,Config!$J$5:$J$16,0)),""))</f>
        <v/>
      </c>
      <c r="T2677" s="31">
        <f>IF(OR(G2677="",F2677=""),"",IFERROR(INDEX(Config!$M$5:$R$16,MATCH(G2677,Config!$J$5:$J$16,0),MATCH(F2677,Config!$H$5:$H$10,0)),""))</f>
        <v/>
      </c>
      <c r="U2677" s="47">
        <f>IF(AND(H2677="Realizado",L2677&lt;&gt;""),L2677/60,0)</f>
        <v>0</v>
      </c>
      <c r="V2677" s="47">
        <f>IF(AND(H2677="Realizado",OR(L2677="",M2677="")),1,0)</f>
        <v>0</v>
      </c>
    </row>
    <row r="2678">
      <c r="A2678" s="43" t="n"/>
      <c r="B2678" s="44" t="n"/>
      <c r="C2678" s="38" t="n"/>
      <c r="D2678" s="38" t="n"/>
      <c r="E2678" s="37" t="n"/>
      <c r="F2678" s="38" t="n"/>
      <c r="G2678" s="38" t="n"/>
      <c r="H2678" s="38" t="n"/>
      <c r="I2678" s="38" t="n"/>
      <c r="J2678" s="38" t="n"/>
      <c r="K2678" s="37" t="n"/>
      <c r="L2678" s="39" t="n"/>
      <c r="M2678" s="40" t="n"/>
      <c r="N2678" s="30">
        <f>IF(A2678="","",MONTH(A2678))</f>
        <v/>
      </c>
      <c r="O2678" s="30">
        <f>IF(A2678="","",YEAR(A2678))</f>
        <v/>
      </c>
      <c r="P2678" s="30">
        <f>IF(A2678="","",CHOOSE(WEEKDAY(A2678,2),"Segunda","Terça","Quarta","Quinta","Sexta","Sábado","Domingo"))</f>
        <v/>
      </c>
      <c r="Q2678" s="30">
        <f>IF(B2678="","",IF(B2678&lt;TIME(12,0,0),"Manhã",IF(B2678&lt;TIME(18,0,0),"Tarde","Noite")))</f>
        <v/>
      </c>
      <c r="R2678" s="46">
        <f>IF(AND(H2678="Realizado",L2678&lt;&gt;"",A2678&lt;=Config!$B$9),L2678/60,0)</f>
        <v>0</v>
      </c>
      <c r="S2678" s="45">
        <f>IF(G2678="","",IFERROR(INDEX(Config!$K$5:$K$16,MATCH(G2678,Config!$J$5:$J$16,0)),""))</f>
        <v/>
      </c>
      <c r="T2678" s="31">
        <f>IF(OR(G2678="",F2678=""),"",IFERROR(INDEX(Config!$M$5:$R$16,MATCH(G2678,Config!$J$5:$J$16,0),MATCH(F2678,Config!$H$5:$H$10,0)),""))</f>
        <v/>
      </c>
      <c r="U2678" s="47">
        <f>IF(AND(H2678="Realizado",L2678&lt;&gt;""),L2678/60,0)</f>
        <v>0</v>
      </c>
      <c r="V2678" s="47">
        <f>IF(AND(H2678="Realizado",OR(L2678="",M2678="")),1,0)</f>
        <v>0</v>
      </c>
    </row>
    <row r="2679">
      <c r="A2679" s="43" t="n"/>
      <c r="B2679" s="44" t="n"/>
      <c r="C2679" s="38" t="n"/>
      <c r="D2679" s="38" t="n"/>
      <c r="E2679" s="37" t="n"/>
      <c r="F2679" s="38" t="n"/>
      <c r="G2679" s="38" t="n"/>
      <c r="H2679" s="38" t="n"/>
      <c r="I2679" s="38" t="n"/>
      <c r="J2679" s="38" t="n"/>
      <c r="K2679" s="37" t="n"/>
      <c r="L2679" s="39" t="n"/>
      <c r="M2679" s="40" t="n"/>
      <c r="N2679" s="30">
        <f>IF(A2679="","",MONTH(A2679))</f>
        <v/>
      </c>
      <c r="O2679" s="30">
        <f>IF(A2679="","",YEAR(A2679))</f>
        <v/>
      </c>
      <c r="P2679" s="30">
        <f>IF(A2679="","",CHOOSE(WEEKDAY(A2679,2),"Segunda","Terça","Quarta","Quinta","Sexta","Sábado","Domingo"))</f>
        <v/>
      </c>
      <c r="Q2679" s="30">
        <f>IF(B2679="","",IF(B2679&lt;TIME(12,0,0),"Manhã",IF(B2679&lt;TIME(18,0,0),"Tarde","Noite")))</f>
        <v/>
      </c>
      <c r="R2679" s="46">
        <f>IF(AND(H2679="Realizado",L2679&lt;&gt;"",A2679&lt;=Config!$B$9),L2679/60,0)</f>
        <v>0</v>
      </c>
      <c r="S2679" s="45">
        <f>IF(G2679="","",IFERROR(INDEX(Config!$K$5:$K$16,MATCH(G2679,Config!$J$5:$J$16,0)),""))</f>
        <v/>
      </c>
      <c r="T2679" s="31">
        <f>IF(OR(G2679="",F2679=""),"",IFERROR(INDEX(Config!$M$5:$R$16,MATCH(G2679,Config!$J$5:$J$16,0),MATCH(F2679,Config!$H$5:$H$10,0)),""))</f>
        <v/>
      </c>
      <c r="U2679" s="47">
        <f>IF(AND(H2679="Realizado",L2679&lt;&gt;""),L2679/60,0)</f>
        <v>0</v>
      </c>
      <c r="V2679" s="47">
        <f>IF(AND(H2679="Realizado",OR(L2679="",M2679="")),1,0)</f>
        <v>0</v>
      </c>
    </row>
    <row r="2680">
      <c r="A2680" s="43" t="n"/>
      <c r="B2680" s="44" t="n"/>
      <c r="C2680" s="38" t="n"/>
      <c r="D2680" s="38" t="n"/>
      <c r="E2680" s="37" t="n"/>
      <c r="F2680" s="38" t="n"/>
      <c r="G2680" s="38" t="n"/>
      <c r="H2680" s="38" t="n"/>
      <c r="I2680" s="38" t="n"/>
      <c r="J2680" s="38" t="n"/>
      <c r="K2680" s="37" t="n"/>
      <c r="L2680" s="39" t="n"/>
      <c r="M2680" s="40" t="n"/>
      <c r="N2680" s="30">
        <f>IF(A2680="","",MONTH(A2680))</f>
        <v/>
      </c>
      <c r="O2680" s="30">
        <f>IF(A2680="","",YEAR(A2680))</f>
        <v/>
      </c>
      <c r="P2680" s="30">
        <f>IF(A2680="","",CHOOSE(WEEKDAY(A2680,2),"Segunda","Terça","Quarta","Quinta","Sexta","Sábado","Domingo"))</f>
        <v/>
      </c>
      <c r="Q2680" s="30">
        <f>IF(B2680="","",IF(B2680&lt;TIME(12,0,0),"Manhã",IF(B2680&lt;TIME(18,0,0),"Tarde","Noite")))</f>
        <v/>
      </c>
      <c r="R2680" s="46">
        <f>IF(AND(H2680="Realizado",L2680&lt;&gt;"",A2680&lt;=Config!$B$9),L2680/60,0)</f>
        <v>0</v>
      </c>
      <c r="S2680" s="45">
        <f>IF(G2680="","",IFERROR(INDEX(Config!$K$5:$K$16,MATCH(G2680,Config!$J$5:$J$16,0)),""))</f>
        <v/>
      </c>
      <c r="T2680" s="31">
        <f>IF(OR(G2680="",F2680=""),"",IFERROR(INDEX(Config!$M$5:$R$16,MATCH(G2680,Config!$J$5:$J$16,0),MATCH(F2680,Config!$H$5:$H$10,0)),""))</f>
        <v/>
      </c>
      <c r="U2680" s="47">
        <f>IF(AND(H2680="Realizado",L2680&lt;&gt;""),L2680/60,0)</f>
        <v>0</v>
      </c>
      <c r="V2680" s="47">
        <f>IF(AND(H2680="Realizado",OR(L2680="",M2680="")),1,0)</f>
        <v>0</v>
      </c>
    </row>
    <row r="2681">
      <c r="A2681" s="43" t="n"/>
      <c r="B2681" s="44" t="n"/>
      <c r="C2681" s="38" t="n"/>
      <c r="D2681" s="38" t="n"/>
      <c r="E2681" s="37" t="n"/>
      <c r="F2681" s="38" t="n"/>
      <c r="G2681" s="38" t="n"/>
      <c r="H2681" s="38" t="n"/>
      <c r="I2681" s="38" t="n"/>
      <c r="J2681" s="38" t="n"/>
      <c r="K2681" s="37" t="n"/>
      <c r="L2681" s="39" t="n"/>
      <c r="M2681" s="40" t="n"/>
      <c r="N2681" s="30">
        <f>IF(A2681="","",MONTH(A2681))</f>
        <v/>
      </c>
      <c r="O2681" s="30">
        <f>IF(A2681="","",YEAR(A2681))</f>
        <v/>
      </c>
      <c r="P2681" s="30">
        <f>IF(A2681="","",CHOOSE(WEEKDAY(A2681,2),"Segunda","Terça","Quarta","Quinta","Sexta","Sábado","Domingo"))</f>
        <v/>
      </c>
      <c r="Q2681" s="30">
        <f>IF(B2681="","",IF(B2681&lt;TIME(12,0,0),"Manhã",IF(B2681&lt;TIME(18,0,0),"Tarde","Noite")))</f>
        <v/>
      </c>
      <c r="R2681" s="46">
        <f>IF(AND(H2681="Realizado",L2681&lt;&gt;"",A2681&lt;=Config!$B$9),L2681/60,0)</f>
        <v>0</v>
      </c>
      <c r="S2681" s="45">
        <f>IF(G2681="","",IFERROR(INDEX(Config!$K$5:$K$16,MATCH(G2681,Config!$J$5:$J$16,0)),""))</f>
        <v/>
      </c>
      <c r="T2681" s="31">
        <f>IF(OR(G2681="",F2681=""),"",IFERROR(INDEX(Config!$M$5:$R$16,MATCH(G2681,Config!$J$5:$J$16,0),MATCH(F2681,Config!$H$5:$H$10,0)),""))</f>
        <v/>
      </c>
      <c r="U2681" s="47">
        <f>IF(AND(H2681="Realizado",L2681&lt;&gt;""),L2681/60,0)</f>
        <v>0</v>
      </c>
      <c r="V2681" s="47">
        <f>IF(AND(H2681="Realizado",OR(L2681="",M2681="")),1,0)</f>
        <v>0</v>
      </c>
    </row>
    <row r="2682">
      <c r="A2682" s="43" t="n"/>
      <c r="B2682" s="44" t="n"/>
      <c r="C2682" s="38" t="n"/>
      <c r="D2682" s="38" t="n"/>
      <c r="E2682" s="37" t="n"/>
      <c r="F2682" s="38" t="n"/>
      <c r="G2682" s="38" t="n"/>
      <c r="H2682" s="38" t="n"/>
      <c r="I2682" s="38" t="n"/>
      <c r="J2682" s="38" t="n"/>
      <c r="K2682" s="37" t="n"/>
      <c r="L2682" s="39" t="n"/>
      <c r="M2682" s="40" t="n"/>
      <c r="N2682" s="30">
        <f>IF(A2682="","",MONTH(A2682))</f>
        <v/>
      </c>
      <c r="O2682" s="30">
        <f>IF(A2682="","",YEAR(A2682))</f>
        <v/>
      </c>
      <c r="P2682" s="30">
        <f>IF(A2682="","",CHOOSE(WEEKDAY(A2682,2),"Segunda","Terça","Quarta","Quinta","Sexta","Sábado","Domingo"))</f>
        <v/>
      </c>
      <c r="Q2682" s="30">
        <f>IF(B2682="","",IF(B2682&lt;TIME(12,0,0),"Manhã",IF(B2682&lt;TIME(18,0,0),"Tarde","Noite")))</f>
        <v/>
      </c>
      <c r="R2682" s="46">
        <f>IF(AND(H2682="Realizado",L2682&lt;&gt;"",A2682&lt;=Config!$B$9),L2682/60,0)</f>
        <v>0</v>
      </c>
      <c r="S2682" s="45">
        <f>IF(G2682="","",IFERROR(INDEX(Config!$K$5:$K$16,MATCH(G2682,Config!$J$5:$J$16,0)),""))</f>
        <v/>
      </c>
      <c r="T2682" s="31">
        <f>IF(OR(G2682="",F2682=""),"",IFERROR(INDEX(Config!$M$5:$R$16,MATCH(G2682,Config!$J$5:$J$16,0),MATCH(F2682,Config!$H$5:$H$10,0)),""))</f>
        <v/>
      </c>
      <c r="U2682" s="47">
        <f>IF(AND(H2682="Realizado",L2682&lt;&gt;""),L2682/60,0)</f>
        <v>0</v>
      </c>
      <c r="V2682" s="47">
        <f>IF(AND(H2682="Realizado",OR(L2682="",M2682="")),1,0)</f>
        <v>0</v>
      </c>
    </row>
    <row r="2683">
      <c r="A2683" s="43" t="n"/>
      <c r="B2683" s="44" t="n"/>
      <c r="C2683" s="38" t="n"/>
      <c r="D2683" s="38" t="n"/>
      <c r="E2683" s="37" t="n"/>
      <c r="F2683" s="38" t="n"/>
      <c r="G2683" s="38" t="n"/>
      <c r="H2683" s="38" t="n"/>
      <c r="I2683" s="38" t="n"/>
      <c r="J2683" s="38" t="n"/>
      <c r="K2683" s="37" t="n"/>
      <c r="L2683" s="39" t="n"/>
      <c r="M2683" s="40" t="n"/>
      <c r="N2683" s="30">
        <f>IF(A2683="","",MONTH(A2683))</f>
        <v/>
      </c>
      <c r="O2683" s="30">
        <f>IF(A2683="","",YEAR(A2683))</f>
        <v/>
      </c>
      <c r="P2683" s="30">
        <f>IF(A2683="","",CHOOSE(WEEKDAY(A2683,2),"Segunda","Terça","Quarta","Quinta","Sexta","Sábado","Domingo"))</f>
        <v/>
      </c>
      <c r="Q2683" s="30">
        <f>IF(B2683="","",IF(B2683&lt;TIME(12,0,0),"Manhã",IF(B2683&lt;TIME(18,0,0),"Tarde","Noite")))</f>
        <v/>
      </c>
      <c r="R2683" s="46">
        <f>IF(AND(H2683="Realizado",L2683&lt;&gt;"",A2683&lt;=Config!$B$9),L2683/60,0)</f>
        <v>0</v>
      </c>
      <c r="S2683" s="45">
        <f>IF(G2683="","",IFERROR(INDEX(Config!$K$5:$K$16,MATCH(G2683,Config!$J$5:$J$16,0)),""))</f>
        <v/>
      </c>
      <c r="T2683" s="31">
        <f>IF(OR(G2683="",F2683=""),"",IFERROR(INDEX(Config!$M$5:$R$16,MATCH(G2683,Config!$J$5:$J$16,0),MATCH(F2683,Config!$H$5:$H$10,0)),""))</f>
        <v/>
      </c>
      <c r="U2683" s="47">
        <f>IF(AND(H2683="Realizado",L2683&lt;&gt;""),L2683/60,0)</f>
        <v>0</v>
      </c>
      <c r="V2683" s="47">
        <f>IF(AND(H2683="Realizado",OR(L2683="",M2683="")),1,0)</f>
        <v>0</v>
      </c>
    </row>
    <row r="2684">
      <c r="A2684" s="43" t="n"/>
      <c r="B2684" s="44" t="n"/>
      <c r="C2684" s="38" t="n"/>
      <c r="D2684" s="38" t="n"/>
      <c r="E2684" s="37" t="n"/>
      <c r="F2684" s="38" t="n"/>
      <c r="G2684" s="38" t="n"/>
      <c r="H2684" s="38" t="n"/>
      <c r="I2684" s="38" t="n"/>
      <c r="J2684" s="38" t="n"/>
      <c r="K2684" s="37" t="n"/>
      <c r="L2684" s="39" t="n"/>
      <c r="M2684" s="40" t="n"/>
      <c r="N2684" s="30">
        <f>IF(A2684="","",MONTH(A2684))</f>
        <v/>
      </c>
      <c r="O2684" s="30">
        <f>IF(A2684="","",YEAR(A2684))</f>
        <v/>
      </c>
      <c r="P2684" s="30">
        <f>IF(A2684="","",CHOOSE(WEEKDAY(A2684,2),"Segunda","Terça","Quarta","Quinta","Sexta","Sábado","Domingo"))</f>
        <v/>
      </c>
      <c r="Q2684" s="30">
        <f>IF(B2684="","",IF(B2684&lt;TIME(12,0,0),"Manhã",IF(B2684&lt;TIME(18,0,0),"Tarde","Noite")))</f>
        <v/>
      </c>
      <c r="R2684" s="46">
        <f>IF(AND(H2684="Realizado",L2684&lt;&gt;"",A2684&lt;=Config!$B$9),L2684/60,0)</f>
        <v>0</v>
      </c>
      <c r="S2684" s="45">
        <f>IF(G2684="","",IFERROR(INDEX(Config!$K$5:$K$16,MATCH(G2684,Config!$J$5:$J$16,0)),""))</f>
        <v/>
      </c>
      <c r="T2684" s="31">
        <f>IF(OR(G2684="",F2684=""),"",IFERROR(INDEX(Config!$M$5:$R$16,MATCH(G2684,Config!$J$5:$J$16,0),MATCH(F2684,Config!$H$5:$H$10,0)),""))</f>
        <v/>
      </c>
      <c r="U2684" s="47">
        <f>IF(AND(H2684="Realizado",L2684&lt;&gt;""),L2684/60,0)</f>
        <v>0</v>
      </c>
      <c r="V2684" s="47">
        <f>IF(AND(H2684="Realizado",OR(L2684="",M2684="")),1,0)</f>
        <v>0</v>
      </c>
    </row>
    <row r="2685">
      <c r="A2685" s="43" t="n"/>
      <c r="B2685" s="44" t="n"/>
      <c r="C2685" s="38" t="n"/>
      <c r="D2685" s="38" t="n"/>
      <c r="E2685" s="37" t="n"/>
      <c r="F2685" s="38" t="n"/>
      <c r="G2685" s="38" t="n"/>
      <c r="H2685" s="38" t="n"/>
      <c r="I2685" s="38" t="n"/>
      <c r="J2685" s="38" t="n"/>
      <c r="K2685" s="37" t="n"/>
      <c r="L2685" s="39" t="n"/>
      <c r="M2685" s="40" t="n"/>
      <c r="N2685" s="30">
        <f>IF(A2685="","",MONTH(A2685))</f>
        <v/>
      </c>
      <c r="O2685" s="30">
        <f>IF(A2685="","",YEAR(A2685))</f>
        <v/>
      </c>
      <c r="P2685" s="30">
        <f>IF(A2685="","",CHOOSE(WEEKDAY(A2685,2),"Segunda","Terça","Quarta","Quinta","Sexta","Sábado","Domingo"))</f>
        <v/>
      </c>
      <c r="Q2685" s="30">
        <f>IF(B2685="","",IF(B2685&lt;TIME(12,0,0),"Manhã",IF(B2685&lt;TIME(18,0,0),"Tarde","Noite")))</f>
        <v/>
      </c>
      <c r="R2685" s="46">
        <f>IF(AND(H2685="Realizado",L2685&lt;&gt;"",A2685&lt;=Config!$B$9),L2685/60,0)</f>
        <v>0</v>
      </c>
      <c r="S2685" s="45">
        <f>IF(G2685="","",IFERROR(INDEX(Config!$K$5:$K$16,MATCH(G2685,Config!$J$5:$J$16,0)),""))</f>
        <v/>
      </c>
      <c r="T2685" s="31">
        <f>IF(OR(G2685="",F2685=""),"",IFERROR(INDEX(Config!$M$5:$R$16,MATCH(G2685,Config!$J$5:$J$16,0),MATCH(F2685,Config!$H$5:$H$10,0)),""))</f>
        <v/>
      </c>
      <c r="U2685" s="47">
        <f>IF(AND(H2685="Realizado",L2685&lt;&gt;""),L2685/60,0)</f>
        <v>0</v>
      </c>
      <c r="V2685" s="47">
        <f>IF(AND(H2685="Realizado",OR(L2685="",M2685="")),1,0)</f>
        <v>0</v>
      </c>
    </row>
    <row r="2686">
      <c r="A2686" s="43" t="n"/>
      <c r="B2686" s="44" t="n"/>
      <c r="C2686" s="38" t="n"/>
      <c r="D2686" s="38" t="n"/>
      <c r="E2686" s="37" t="n"/>
      <c r="F2686" s="38" t="n"/>
      <c r="G2686" s="38" t="n"/>
      <c r="H2686" s="38" t="n"/>
      <c r="I2686" s="38" t="n"/>
      <c r="J2686" s="38" t="n"/>
      <c r="K2686" s="37" t="n"/>
      <c r="L2686" s="39" t="n"/>
      <c r="M2686" s="40" t="n"/>
      <c r="N2686" s="30">
        <f>IF(A2686="","",MONTH(A2686))</f>
        <v/>
      </c>
      <c r="O2686" s="30">
        <f>IF(A2686="","",YEAR(A2686))</f>
        <v/>
      </c>
      <c r="P2686" s="30">
        <f>IF(A2686="","",CHOOSE(WEEKDAY(A2686,2),"Segunda","Terça","Quarta","Quinta","Sexta","Sábado","Domingo"))</f>
        <v/>
      </c>
      <c r="Q2686" s="30">
        <f>IF(B2686="","",IF(B2686&lt;TIME(12,0,0),"Manhã",IF(B2686&lt;TIME(18,0,0),"Tarde","Noite")))</f>
        <v/>
      </c>
      <c r="R2686" s="46">
        <f>IF(AND(H2686="Realizado",L2686&lt;&gt;"",A2686&lt;=Config!$B$9),L2686/60,0)</f>
        <v>0</v>
      </c>
      <c r="S2686" s="45">
        <f>IF(G2686="","",IFERROR(INDEX(Config!$K$5:$K$16,MATCH(G2686,Config!$J$5:$J$16,0)),""))</f>
        <v/>
      </c>
      <c r="T2686" s="31">
        <f>IF(OR(G2686="",F2686=""),"",IFERROR(INDEX(Config!$M$5:$R$16,MATCH(G2686,Config!$J$5:$J$16,0),MATCH(F2686,Config!$H$5:$H$10,0)),""))</f>
        <v/>
      </c>
      <c r="U2686" s="47">
        <f>IF(AND(H2686="Realizado",L2686&lt;&gt;""),L2686/60,0)</f>
        <v>0</v>
      </c>
      <c r="V2686" s="47">
        <f>IF(AND(H2686="Realizado",OR(L2686="",M2686="")),1,0)</f>
        <v>0</v>
      </c>
    </row>
    <row r="2687">
      <c r="A2687" s="43" t="n"/>
      <c r="B2687" s="44" t="n"/>
      <c r="C2687" s="38" t="n"/>
      <c r="D2687" s="38" t="n"/>
      <c r="E2687" s="37" t="n"/>
      <c r="F2687" s="38" t="n"/>
      <c r="G2687" s="38" t="n"/>
      <c r="H2687" s="38" t="n"/>
      <c r="I2687" s="38" t="n"/>
      <c r="J2687" s="38" t="n"/>
      <c r="K2687" s="37" t="n"/>
      <c r="L2687" s="39" t="n"/>
      <c r="M2687" s="40" t="n"/>
      <c r="N2687" s="30">
        <f>IF(A2687="","",MONTH(A2687))</f>
        <v/>
      </c>
      <c r="O2687" s="30">
        <f>IF(A2687="","",YEAR(A2687))</f>
        <v/>
      </c>
      <c r="P2687" s="30">
        <f>IF(A2687="","",CHOOSE(WEEKDAY(A2687,2),"Segunda","Terça","Quarta","Quinta","Sexta","Sábado","Domingo"))</f>
        <v/>
      </c>
      <c r="Q2687" s="30">
        <f>IF(B2687="","",IF(B2687&lt;TIME(12,0,0),"Manhã",IF(B2687&lt;TIME(18,0,0),"Tarde","Noite")))</f>
        <v/>
      </c>
      <c r="R2687" s="46">
        <f>IF(AND(H2687="Realizado",L2687&lt;&gt;"",A2687&lt;=Config!$B$9),L2687/60,0)</f>
        <v>0</v>
      </c>
      <c r="S2687" s="45">
        <f>IF(G2687="","",IFERROR(INDEX(Config!$K$5:$K$16,MATCH(G2687,Config!$J$5:$J$16,0)),""))</f>
        <v/>
      </c>
      <c r="T2687" s="31">
        <f>IF(OR(G2687="",F2687=""),"",IFERROR(INDEX(Config!$M$5:$R$16,MATCH(G2687,Config!$J$5:$J$16,0),MATCH(F2687,Config!$H$5:$H$10,0)),""))</f>
        <v/>
      </c>
      <c r="U2687" s="47">
        <f>IF(AND(H2687="Realizado",L2687&lt;&gt;""),L2687/60,0)</f>
        <v>0</v>
      </c>
      <c r="V2687" s="47">
        <f>IF(AND(H2687="Realizado",OR(L2687="",M2687="")),1,0)</f>
        <v>0</v>
      </c>
    </row>
    <row r="2688">
      <c r="A2688" s="43" t="n"/>
      <c r="B2688" s="44" t="n"/>
      <c r="C2688" s="38" t="n"/>
      <c r="D2688" s="38" t="n"/>
      <c r="E2688" s="37" t="n"/>
      <c r="F2688" s="38" t="n"/>
      <c r="G2688" s="38" t="n"/>
      <c r="H2688" s="38" t="n"/>
      <c r="I2688" s="38" t="n"/>
      <c r="J2688" s="38" t="n"/>
      <c r="K2688" s="37" t="n"/>
      <c r="L2688" s="39" t="n"/>
      <c r="M2688" s="40" t="n"/>
      <c r="N2688" s="30">
        <f>IF(A2688="","",MONTH(A2688))</f>
        <v/>
      </c>
      <c r="O2688" s="30">
        <f>IF(A2688="","",YEAR(A2688))</f>
        <v/>
      </c>
      <c r="P2688" s="30">
        <f>IF(A2688="","",CHOOSE(WEEKDAY(A2688,2),"Segunda","Terça","Quarta","Quinta","Sexta","Sábado","Domingo"))</f>
        <v/>
      </c>
      <c r="Q2688" s="30">
        <f>IF(B2688="","",IF(B2688&lt;TIME(12,0,0),"Manhã",IF(B2688&lt;TIME(18,0,0),"Tarde","Noite")))</f>
        <v/>
      </c>
      <c r="R2688" s="46">
        <f>IF(AND(H2688="Realizado",L2688&lt;&gt;"",A2688&lt;=Config!$B$9),L2688/60,0)</f>
        <v>0</v>
      </c>
      <c r="S2688" s="45">
        <f>IF(G2688="","",IFERROR(INDEX(Config!$K$5:$K$16,MATCH(G2688,Config!$J$5:$J$16,0)),""))</f>
        <v/>
      </c>
      <c r="T2688" s="31">
        <f>IF(OR(G2688="",F2688=""),"",IFERROR(INDEX(Config!$M$5:$R$16,MATCH(G2688,Config!$J$5:$J$16,0),MATCH(F2688,Config!$H$5:$H$10,0)),""))</f>
        <v/>
      </c>
      <c r="U2688" s="47">
        <f>IF(AND(H2688="Realizado",L2688&lt;&gt;""),L2688/60,0)</f>
        <v>0</v>
      </c>
      <c r="V2688" s="47">
        <f>IF(AND(H2688="Realizado",OR(L2688="",M2688="")),1,0)</f>
        <v>0</v>
      </c>
    </row>
    <row r="2689">
      <c r="A2689" s="43" t="n"/>
      <c r="B2689" s="44" t="n"/>
      <c r="C2689" s="38" t="n"/>
      <c r="D2689" s="38" t="n"/>
      <c r="E2689" s="37" t="n"/>
      <c r="F2689" s="38" t="n"/>
      <c r="G2689" s="38" t="n"/>
      <c r="H2689" s="38" t="n"/>
      <c r="I2689" s="38" t="n"/>
      <c r="J2689" s="38" t="n"/>
      <c r="K2689" s="37" t="n"/>
      <c r="L2689" s="39" t="n"/>
      <c r="M2689" s="40" t="n"/>
      <c r="N2689" s="30">
        <f>IF(A2689="","",MONTH(A2689))</f>
        <v/>
      </c>
      <c r="O2689" s="30">
        <f>IF(A2689="","",YEAR(A2689))</f>
        <v/>
      </c>
      <c r="P2689" s="30">
        <f>IF(A2689="","",CHOOSE(WEEKDAY(A2689,2),"Segunda","Terça","Quarta","Quinta","Sexta","Sábado","Domingo"))</f>
        <v/>
      </c>
      <c r="Q2689" s="30">
        <f>IF(B2689="","",IF(B2689&lt;TIME(12,0,0),"Manhã",IF(B2689&lt;TIME(18,0,0),"Tarde","Noite")))</f>
        <v/>
      </c>
      <c r="R2689" s="46">
        <f>IF(AND(H2689="Realizado",L2689&lt;&gt;"",A2689&lt;=Config!$B$9),L2689/60,0)</f>
        <v>0</v>
      </c>
      <c r="S2689" s="45">
        <f>IF(G2689="","",IFERROR(INDEX(Config!$K$5:$K$16,MATCH(G2689,Config!$J$5:$J$16,0)),""))</f>
        <v/>
      </c>
      <c r="T2689" s="31">
        <f>IF(OR(G2689="",F2689=""),"",IFERROR(INDEX(Config!$M$5:$R$16,MATCH(G2689,Config!$J$5:$J$16,0),MATCH(F2689,Config!$H$5:$H$10,0)),""))</f>
        <v/>
      </c>
      <c r="U2689" s="47">
        <f>IF(AND(H2689="Realizado",L2689&lt;&gt;""),L2689/60,0)</f>
        <v>0</v>
      </c>
      <c r="V2689" s="47">
        <f>IF(AND(H2689="Realizado",OR(L2689="",M2689="")),1,0)</f>
        <v>0</v>
      </c>
    </row>
    <row r="2690">
      <c r="A2690" s="43" t="n"/>
      <c r="B2690" s="44" t="n"/>
      <c r="C2690" s="38" t="n"/>
      <c r="D2690" s="38" t="n"/>
      <c r="E2690" s="37" t="n"/>
      <c r="F2690" s="38" t="n"/>
      <c r="G2690" s="38" t="n"/>
      <c r="H2690" s="38" t="n"/>
      <c r="I2690" s="38" t="n"/>
      <c r="J2690" s="38" t="n"/>
      <c r="K2690" s="37" t="n"/>
      <c r="L2690" s="39" t="n"/>
      <c r="M2690" s="40" t="n"/>
      <c r="N2690" s="30">
        <f>IF(A2690="","",MONTH(A2690))</f>
        <v/>
      </c>
      <c r="O2690" s="30">
        <f>IF(A2690="","",YEAR(A2690))</f>
        <v/>
      </c>
      <c r="P2690" s="30">
        <f>IF(A2690="","",CHOOSE(WEEKDAY(A2690,2),"Segunda","Terça","Quarta","Quinta","Sexta","Sábado","Domingo"))</f>
        <v/>
      </c>
      <c r="Q2690" s="30">
        <f>IF(B2690="","",IF(B2690&lt;TIME(12,0,0),"Manhã",IF(B2690&lt;TIME(18,0,0),"Tarde","Noite")))</f>
        <v/>
      </c>
      <c r="R2690" s="46">
        <f>IF(AND(H2690="Realizado",L2690&lt;&gt;"",A2690&lt;=Config!$B$9),L2690/60,0)</f>
        <v>0</v>
      </c>
      <c r="S2690" s="45">
        <f>IF(G2690="","",IFERROR(INDEX(Config!$K$5:$K$16,MATCH(G2690,Config!$J$5:$J$16,0)),""))</f>
        <v/>
      </c>
      <c r="T2690" s="31">
        <f>IF(OR(G2690="",F2690=""),"",IFERROR(INDEX(Config!$M$5:$R$16,MATCH(G2690,Config!$J$5:$J$16,0),MATCH(F2690,Config!$H$5:$H$10,0)),""))</f>
        <v/>
      </c>
      <c r="U2690" s="47">
        <f>IF(AND(H2690="Realizado",L2690&lt;&gt;""),L2690/60,0)</f>
        <v>0</v>
      </c>
      <c r="V2690" s="47">
        <f>IF(AND(H2690="Realizado",OR(L2690="",M2690="")),1,0)</f>
        <v>0</v>
      </c>
    </row>
    <row r="2691">
      <c r="A2691" s="43" t="n"/>
      <c r="B2691" s="44" t="n"/>
      <c r="C2691" s="38" t="n"/>
      <c r="D2691" s="38" t="n"/>
      <c r="E2691" s="37" t="n"/>
      <c r="F2691" s="38" t="n"/>
      <c r="G2691" s="38" t="n"/>
      <c r="H2691" s="38" t="n"/>
      <c r="I2691" s="38" t="n"/>
      <c r="J2691" s="38" t="n"/>
      <c r="K2691" s="37" t="n"/>
      <c r="L2691" s="39" t="n"/>
      <c r="M2691" s="40" t="n"/>
      <c r="N2691" s="30">
        <f>IF(A2691="","",MONTH(A2691))</f>
        <v/>
      </c>
      <c r="O2691" s="30">
        <f>IF(A2691="","",YEAR(A2691))</f>
        <v/>
      </c>
      <c r="P2691" s="30">
        <f>IF(A2691="","",CHOOSE(WEEKDAY(A2691,2),"Segunda","Terça","Quarta","Quinta","Sexta","Sábado","Domingo"))</f>
        <v/>
      </c>
      <c r="Q2691" s="30">
        <f>IF(B2691="","",IF(B2691&lt;TIME(12,0,0),"Manhã",IF(B2691&lt;TIME(18,0,0),"Tarde","Noite")))</f>
        <v/>
      </c>
      <c r="R2691" s="46">
        <f>IF(AND(H2691="Realizado",L2691&lt;&gt;"",A2691&lt;=Config!$B$9),L2691/60,0)</f>
        <v>0</v>
      </c>
      <c r="S2691" s="45">
        <f>IF(G2691="","",IFERROR(INDEX(Config!$K$5:$K$16,MATCH(G2691,Config!$J$5:$J$16,0)),""))</f>
        <v/>
      </c>
      <c r="T2691" s="31">
        <f>IF(OR(G2691="",F2691=""),"",IFERROR(INDEX(Config!$M$5:$R$16,MATCH(G2691,Config!$J$5:$J$16,0),MATCH(F2691,Config!$H$5:$H$10,0)),""))</f>
        <v/>
      </c>
      <c r="U2691" s="47">
        <f>IF(AND(H2691="Realizado",L2691&lt;&gt;""),L2691/60,0)</f>
        <v>0</v>
      </c>
      <c r="V2691" s="47">
        <f>IF(AND(H2691="Realizado",OR(L2691="",M2691="")),1,0)</f>
        <v>0</v>
      </c>
    </row>
    <row r="2692">
      <c r="A2692" s="43" t="n"/>
      <c r="B2692" s="44" t="n"/>
      <c r="C2692" s="38" t="n"/>
      <c r="D2692" s="38" t="n"/>
      <c r="E2692" s="37" t="n"/>
      <c r="F2692" s="38" t="n"/>
      <c r="G2692" s="38" t="n"/>
      <c r="H2692" s="38" t="n"/>
      <c r="I2692" s="38" t="n"/>
      <c r="J2692" s="38" t="n"/>
      <c r="K2692" s="37" t="n"/>
      <c r="L2692" s="39" t="n"/>
      <c r="M2692" s="40" t="n"/>
      <c r="N2692" s="30">
        <f>IF(A2692="","",MONTH(A2692))</f>
        <v/>
      </c>
      <c r="O2692" s="30">
        <f>IF(A2692="","",YEAR(A2692))</f>
        <v/>
      </c>
      <c r="P2692" s="30">
        <f>IF(A2692="","",CHOOSE(WEEKDAY(A2692,2),"Segunda","Terça","Quarta","Quinta","Sexta","Sábado","Domingo"))</f>
        <v/>
      </c>
      <c r="Q2692" s="30">
        <f>IF(B2692="","",IF(B2692&lt;TIME(12,0,0),"Manhã",IF(B2692&lt;TIME(18,0,0),"Tarde","Noite")))</f>
        <v/>
      </c>
      <c r="R2692" s="46">
        <f>IF(AND(H2692="Realizado",L2692&lt;&gt;"",A2692&lt;=Config!$B$9),L2692/60,0)</f>
        <v>0</v>
      </c>
      <c r="S2692" s="45">
        <f>IF(G2692="","",IFERROR(INDEX(Config!$K$5:$K$16,MATCH(G2692,Config!$J$5:$J$16,0)),""))</f>
        <v/>
      </c>
      <c r="T2692" s="31">
        <f>IF(OR(G2692="",F2692=""),"",IFERROR(INDEX(Config!$M$5:$R$16,MATCH(G2692,Config!$J$5:$J$16,0),MATCH(F2692,Config!$H$5:$H$10,0)),""))</f>
        <v/>
      </c>
      <c r="U2692" s="47">
        <f>IF(AND(H2692="Realizado",L2692&lt;&gt;""),L2692/60,0)</f>
        <v>0</v>
      </c>
      <c r="V2692" s="47">
        <f>IF(AND(H2692="Realizado",OR(L2692="",M2692="")),1,0)</f>
        <v>0</v>
      </c>
    </row>
    <row r="2693">
      <c r="A2693" s="43" t="n"/>
      <c r="B2693" s="44" t="n"/>
      <c r="C2693" s="38" t="n"/>
      <c r="D2693" s="38" t="n"/>
      <c r="E2693" s="37" t="n"/>
      <c r="F2693" s="38" t="n"/>
      <c r="G2693" s="38" t="n"/>
      <c r="H2693" s="38" t="n"/>
      <c r="I2693" s="38" t="n"/>
      <c r="J2693" s="38" t="n"/>
      <c r="K2693" s="37" t="n"/>
      <c r="L2693" s="39" t="n"/>
      <c r="M2693" s="40" t="n"/>
      <c r="N2693" s="30">
        <f>IF(A2693="","",MONTH(A2693))</f>
        <v/>
      </c>
      <c r="O2693" s="30">
        <f>IF(A2693="","",YEAR(A2693))</f>
        <v/>
      </c>
      <c r="P2693" s="30">
        <f>IF(A2693="","",CHOOSE(WEEKDAY(A2693,2),"Segunda","Terça","Quarta","Quinta","Sexta","Sábado","Domingo"))</f>
        <v/>
      </c>
      <c r="Q2693" s="30">
        <f>IF(B2693="","",IF(B2693&lt;TIME(12,0,0),"Manhã",IF(B2693&lt;TIME(18,0,0),"Tarde","Noite")))</f>
        <v/>
      </c>
      <c r="R2693" s="46">
        <f>IF(AND(H2693="Realizado",L2693&lt;&gt;"",A2693&lt;=Config!$B$9),L2693/60,0)</f>
        <v>0</v>
      </c>
      <c r="S2693" s="45">
        <f>IF(G2693="","",IFERROR(INDEX(Config!$K$5:$K$16,MATCH(G2693,Config!$J$5:$J$16,0)),""))</f>
        <v/>
      </c>
      <c r="T2693" s="31">
        <f>IF(OR(G2693="",F2693=""),"",IFERROR(INDEX(Config!$M$5:$R$16,MATCH(G2693,Config!$J$5:$J$16,0),MATCH(F2693,Config!$H$5:$H$10,0)),""))</f>
        <v/>
      </c>
      <c r="U2693" s="47">
        <f>IF(AND(H2693="Realizado",L2693&lt;&gt;""),L2693/60,0)</f>
        <v>0</v>
      </c>
      <c r="V2693" s="47">
        <f>IF(AND(H2693="Realizado",OR(L2693="",M2693="")),1,0)</f>
        <v>0</v>
      </c>
    </row>
    <row r="2694">
      <c r="A2694" s="43" t="n"/>
      <c r="B2694" s="44" t="n"/>
      <c r="C2694" s="38" t="n"/>
      <c r="D2694" s="38" t="n"/>
      <c r="E2694" s="37" t="n"/>
      <c r="F2694" s="38" t="n"/>
      <c r="G2694" s="38" t="n"/>
      <c r="H2694" s="38" t="n"/>
      <c r="I2694" s="38" t="n"/>
      <c r="J2694" s="38" t="n"/>
      <c r="K2694" s="37" t="n"/>
      <c r="L2694" s="39" t="n"/>
      <c r="M2694" s="40" t="n"/>
      <c r="N2694" s="30">
        <f>IF(A2694="","",MONTH(A2694))</f>
        <v/>
      </c>
      <c r="O2694" s="30">
        <f>IF(A2694="","",YEAR(A2694))</f>
        <v/>
      </c>
      <c r="P2694" s="30">
        <f>IF(A2694="","",CHOOSE(WEEKDAY(A2694,2),"Segunda","Terça","Quarta","Quinta","Sexta","Sábado","Domingo"))</f>
        <v/>
      </c>
      <c r="Q2694" s="30">
        <f>IF(B2694="","",IF(B2694&lt;TIME(12,0,0),"Manhã",IF(B2694&lt;TIME(18,0,0),"Tarde","Noite")))</f>
        <v/>
      </c>
      <c r="R2694" s="46">
        <f>IF(AND(H2694="Realizado",L2694&lt;&gt;"",A2694&lt;=Config!$B$9),L2694/60,0)</f>
        <v>0</v>
      </c>
      <c r="S2694" s="45">
        <f>IF(G2694="","",IFERROR(INDEX(Config!$K$5:$K$16,MATCH(G2694,Config!$J$5:$J$16,0)),""))</f>
        <v/>
      </c>
      <c r="T2694" s="31">
        <f>IF(OR(G2694="",F2694=""),"",IFERROR(INDEX(Config!$M$5:$R$16,MATCH(G2694,Config!$J$5:$J$16,0),MATCH(F2694,Config!$H$5:$H$10,0)),""))</f>
        <v/>
      </c>
      <c r="U2694" s="47">
        <f>IF(AND(H2694="Realizado",L2694&lt;&gt;""),L2694/60,0)</f>
        <v>0</v>
      </c>
      <c r="V2694" s="47">
        <f>IF(AND(H2694="Realizado",OR(L2694="",M2694="")),1,0)</f>
        <v>0</v>
      </c>
    </row>
    <row r="2695">
      <c r="A2695" s="43" t="n"/>
      <c r="B2695" s="44" t="n"/>
      <c r="C2695" s="38" t="n"/>
      <c r="D2695" s="38" t="n"/>
      <c r="E2695" s="37" t="n"/>
      <c r="F2695" s="38" t="n"/>
      <c r="G2695" s="38" t="n"/>
      <c r="H2695" s="38" t="n"/>
      <c r="I2695" s="38" t="n"/>
      <c r="J2695" s="38" t="n"/>
      <c r="K2695" s="37" t="n"/>
      <c r="L2695" s="39" t="n"/>
      <c r="M2695" s="40" t="n"/>
      <c r="N2695" s="30">
        <f>IF(A2695="","",MONTH(A2695))</f>
        <v/>
      </c>
      <c r="O2695" s="30">
        <f>IF(A2695="","",YEAR(A2695))</f>
        <v/>
      </c>
      <c r="P2695" s="30">
        <f>IF(A2695="","",CHOOSE(WEEKDAY(A2695,2),"Segunda","Terça","Quarta","Quinta","Sexta","Sábado","Domingo"))</f>
        <v/>
      </c>
      <c r="Q2695" s="30">
        <f>IF(B2695="","",IF(B2695&lt;TIME(12,0,0),"Manhã",IF(B2695&lt;TIME(18,0,0),"Tarde","Noite")))</f>
        <v/>
      </c>
      <c r="R2695" s="46">
        <f>IF(AND(H2695="Realizado",L2695&lt;&gt;"",A2695&lt;=Config!$B$9),L2695/60,0)</f>
        <v>0</v>
      </c>
      <c r="S2695" s="45">
        <f>IF(G2695="","",IFERROR(INDEX(Config!$K$5:$K$16,MATCH(G2695,Config!$J$5:$J$16,0)),""))</f>
        <v/>
      </c>
      <c r="T2695" s="31">
        <f>IF(OR(G2695="",F2695=""),"",IFERROR(INDEX(Config!$M$5:$R$16,MATCH(G2695,Config!$J$5:$J$16,0),MATCH(F2695,Config!$H$5:$H$10,0)),""))</f>
        <v/>
      </c>
      <c r="U2695" s="47">
        <f>IF(AND(H2695="Realizado",L2695&lt;&gt;""),L2695/60,0)</f>
        <v>0</v>
      </c>
      <c r="V2695" s="47">
        <f>IF(AND(H2695="Realizado",OR(L2695="",M2695="")),1,0)</f>
        <v>0</v>
      </c>
    </row>
    <row r="2696">
      <c r="A2696" s="43" t="n"/>
      <c r="B2696" s="44" t="n"/>
      <c r="C2696" s="38" t="n"/>
      <c r="D2696" s="38" t="n"/>
      <c r="E2696" s="37" t="n"/>
      <c r="F2696" s="38" t="n"/>
      <c r="G2696" s="38" t="n"/>
      <c r="H2696" s="38" t="n"/>
      <c r="I2696" s="38" t="n"/>
      <c r="J2696" s="38" t="n"/>
      <c r="K2696" s="37" t="n"/>
      <c r="L2696" s="39" t="n"/>
      <c r="M2696" s="40" t="n"/>
      <c r="N2696" s="30">
        <f>IF(A2696="","",MONTH(A2696))</f>
        <v/>
      </c>
      <c r="O2696" s="30">
        <f>IF(A2696="","",YEAR(A2696))</f>
        <v/>
      </c>
      <c r="P2696" s="30">
        <f>IF(A2696="","",CHOOSE(WEEKDAY(A2696,2),"Segunda","Terça","Quarta","Quinta","Sexta","Sábado","Domingo"))</f>
        <v/>
      </c>
      <c r="Q2696" s="30">
        <f>IF(B2696="","",IF(B2696&lt;TIME(12,0,0),"Manhã",IF(B2696&lt;TIME(18,0,0),"Tarde","Noite")))</f>
        <v/>
      </c>
      <c r="R2696" s="46">
        <f>IF(AND(H2696="Realizado",L2696&lt;&gt;"",A2696&lt;=Config!$B$9),L2696/60,0)</f>
        <v>0</v>
      </c>
      <c r="S2696" s="45">
        <f>IF(G2696="","",IFERROR(INDEX(Config!$K$5:$K$16,MATCH(G2696,Config!$J$5:$J$16,0)),""))</f>
        <v/>
      </c>
      <c r="T2696" s="31">
        <f>IF(OR(G2696="",F2696=""),"",IFERROR(INDEX(Config!$M$5:$R$16,MATCH(G2696,Config!$J$5:$J$16,0),MATCH(F2696,Config!$H$5:$H$10,0)),""))</f>
        <v/>
      </c>
      <c r="U2696" s="47">
        <f>IF(AND(H2696="Realizado",L2696&lt;&gt;""),L2696/60,0)</f>
        <v>0</v>
      </c>
      <c r="V2696" s="47">
        <f>IF(AND(H2696="Realizado",OR(L2696="",M2696="")),1,0)</f>
        <v>0</v>
      </c>
    </row>
    <row r="2697">
      <c r="A2697" s="43" t="n"/>
      <c r="B2697" s="44" t="n"/>
      <c r="C2697" s="38" t="n"/>
      <c r="D2697" s="38" t="n"/>
      <c r="E2697" s="37" t="n"/>
      <c r="F2697" s="38" t="n"/>
      <c r="G2697" s="38" t="n"/>
      <c r="H2697" s="38" t="n"/>
      <c r="I2697" s="38" t="n"/>
      <c r="J2697" s="38" t="n"/>
      <c r="K2697" s="37" t="n"/>
      <c r="L2697" s="39" t="n"/>
      <c r="M2697" s="40" t="n"/>
      <c r="N2697" s="30">
        <f>IF(A2697="","",MONTH(A2697))</f>
        <v/>
      </c>
      <c r="O2697" s="30">
        <f>IF(A2697="","",YEAR(A2697))</f>
        <v/>
      </c>
      <c r="P2697" s="30">
        <f>IF(A2697="","",CHOOSE(WEEKDAY(A2697,2),"Segunda","Terça","Quarta","Quinta","Sexta","Sábado","Domingo"))</f>
        <v/>
      </c>
      <c r="Q2697" s="30">
        <f>IF(B2697="","",IF(B2697&lt;TIME(12,0,0),"Manhã",IF(B2697&lt;TIME(18,0,0),"Tarde","Noite")))</f>
        <v/>
      </c>
      <c r="R2697" s="46">
        <f>IF(AND(H2697="Realizado",L2697&lt;&gt;"",A2697&lt;=Config!$B$9),L2697/60,0)</f>
        <v>0</v>
      </c>
      <c r="S2697" s="45">
        <f>IF(G2697="","",IFERROR(INDEX(Config!$K$5:$K$16,MATCH(G2697,Config!$J$5:$J$16,0)),""))</f>
        <v/>
      </c>
      <c r="T2697" s="31">
        <f>IF(OR(G2697="",F2697=""),"",IFERROR(INDEX(Config!$M$5:$R$16,MATCH(G2697,Config!$J$5:$J$16,0),MATCH(F2697,Config!$H$5:$H$10,0)),""))</f>
        <v/>
      </c>
      <c r="U2697" s="47">
        <f>IF(AND(H2697="Realizado",L2697&lt;&gt;""),L2697/60,0)</f>
        <v>0</v>
      </c>
      <c r="V2697" s="47">
        <f>IF(AND(H2697="Realizado",OR(L2697="",M2697="")),1,0)</f>
        <v>0</v>
      </c>
    </row>
    <row r="2698">
      <c r="A2698" s="43" t="n"/>
      <c r="B2698" s="44" t="n"/>
      <c r="C2698" s="38" t="n"/>
      <c r="D2698" s="38" t="n"/>
      <c r="E2698" s="37" t="n"/>
      <c r="F2698" s="38" t="n"/>
      <c r="G2698" s="38" t="n"/>
      <c r="H2698" s="38" t="n"/>
      <c r="I2698" s="38" t="n"/>
      <c r="J2698" s="38" t="n"/>
      <c r="K2698" s="37" t="n"/>
      <c r="L2698" s="39" t="n"/>
      <c r="M2698" s="40" t="n"/>
      <c r="N2698" s="30">
        <f>IF(A2698="","",MONTH(A2698))</f>
        <v/>
      </c>
      <c r="O2698" s="30">
        <f>IF(A2698="","",YEAR(A2698))</f>
        <v/>
      </c>
      <c r="P2698" s="30">
        <f>IF(A2698="","",CHOOSE(WEEKDAY(A2698,2),"Segunda","Terça","Quarta","Quinta","Sexta","Sábado","Domingo"))</f>
        <v/>
      </c>
      <c r="Q2698" s="30">
        <f>IF(B2698="","",IF(B2698&lt;TIME(12,0,0),"Manhã",IF(B2698&lt;TIME(18,0,0),"Tarde","Noite")))</f>
        <v/>
      </c>
      <c r="R2698" s="46">
        <f>IF(AND(H2698="Realizado",L2698&lt;&gt;"",A2698&lt;=Config!$B$9),L2698/60,0)</f>
        <v>0</v>
      </c>
      <c r="S2698" s="45">
        <f>IF(G2698="","",IFERROR(INDEX(Config!$K$5:$K$16,MATCH(G2698,Config!$J$5:$J$16,0)),""))</f>
        <v/>
      </c>
      <c r="T2698" s="31">
        <f>IF(OR(G2698="",F2698=""),"",IFERROR(INDEX(Config!$M$5:$R$16,MATCH(G2698,Config!$J$5:$J$16,0),MATCH(F2698,Config!$H$5:$H$10,0)),""))</f>
        <v/>
      </c>
      <c r="U2698" s="47">
        <f>IF(AND(H2698="Realizado",L2698&lt;&gt;""),L2698/60,0)</f>
        <v>0</v>
      </c>
      <c r="V2698" s="47">
        <f>IF(AND(H2698="Realizado",OR(L2698="",M2698="")),1,0)</f>
        <v>0</v>
      </c>
    </row>
    <row r="2699">
      <c r="A2699" s="43" t="n"/>
      <c r="B2699" s="44" t="n"/>
      <c r="C2699" s="38" t="n"/>
      <c r="D2699" s="38" t="n"/>
      <c r="E2699" s="37" t="n"/>
      <c r="F2699" s="38" t="n"/>
      <c r="G2699" s="38" t="n"/>
      <c r="H2699" s="38" t="n"/>
      <c r="I2699" s="38" t="n"/>
      <c r="J2699" s="38" t="n"/>
      <c r="K2699" s="37" t="n"/>
      <c r="L2699" s="39" t="n"/>
      <c r="M2699" s="40" t="n"/>
      <c r="N2699" s="30">
        <f>IF(A2699="","",MONTH(A2699))</f>
        <v/>
      </c>
      <c r="O2699" s="30">
        <f>IF(A2699="","",YEAR(A2699))</f>
        <v/>
      </c>
      <c r="P2699" s="30">
        <f>IF(A2699="","",CHOOSE(WEEKDAY(A2699,2),"Segunda","Terça","Quarta","Quinta","Sexta","Sábado","Domingo"))</f>
        <v/>
      </c>
      <c r="Q2699" s="30">
        <f>IF(B2699="","",IF(B2699&lt;TIME(12,0,0),"Manhã",IF(B2699&lt;TIME(18,0,0),"Tarde","Noite")))</f>
        <v/>
      </c>
      <c r="R2699" s="46">
        <f>IF(AND(H2699="Realizado",L2699&lt;&gt;"",A2699&lt;=Config!$B$9),L2699/60,0)</f>
        <v>0</v>
      </c>
      <c r="S2699" s="45">
        <f>IF(G2699="","",IFERROR(INDEX(Config!$K$5:$K$16,MATCH(G2699,Config!$J$5:$J$16,0)),""))</f>
        <v/>
      </c>
      <c r="T2699" s="31">
        <f>IF(OR(G2699="",F2699=""),"",IFERROR(INDEX(Config!$M$5:$R$16,MATCH(G2699,Config!$J$5:$J$16,0),MATCH(F2699,Config!$H$5:$H$10,0)),""))</f>
        <v/>
      </c>
      <c r="U2699" s="47">
        <f>IF(AND(H2699="Realizado",L2699&lt;&gt;""),L2699/60,0)</f>
        <v>0</v>
      </c>
      <c r="V2699" s="47">
        <f>IF(AND(H2699="Realizado",OR(L2699="",M2699="")),1,0)</f>
        <v>0</v>
      </c>
    </row>
    <row r="2700">
      <c r="A2700" s="43" t="n"/>
      <c r="B2700" s="44" t="n"/>
      <c r="C2700" s="38" t="n"/>
      <c r="D2700" s="38" t="n"/>
      <c r="E2700" s="37" t="n"/>
      <c r="F2700" s="38" t="n"/>
      <c r="G2700" s="38" t="n"/>
      <c r="H2700" s="38" t="n"/>
      <c r="I2700" s="38" t="n"/>
      <c r="J2700" s="38" t="n"/>
      <c r="K2700" s="37" t="n"/>
      <c r="L2700" s="39" t="n"/>
      <c r="M2700" s="40" t="n"/>
      <c r="N2700" s="30">
        <f>IF(A2700="","",MONTH(A2700))</f>
        <v/>
      </c>
      <c r="O2700" s="30">
        <f>IF(A2700="","",YEAR(A2700))</f>
        <v/>
      </c>
      <c r="P2700" s="30">
        <f>IF(A2700="","",CHOOSE(WEEKDAY(A2700,2),"Segunda","Terça","Quarta","Quinta","Sexta","Sábado","Domingo"))</f>
        <v/>
      </c>
      <c r="Q2700" s="30">
        <f>IF(B2700="","",IF(B2700&lt;TIME(12,0,0),"Manhã",IF(B2700&lt;TIME(18,0,0),"Tarde","Noite")))</f>
        <v/>
      </c>
      <c r="R2700" s="46">
        <f>IF(AND(H2700="Realizado",L2700&lt;&gt;"",A2700&lt;=Config!$B$9),L2700/60,0)</f>
        <v>0</v>
      </c>
      <c r="S2700" s="45">
        <f>IF(G2700="","",IFERROR(INDEX(Config!$K$5:$K$16,MATCH(G2700,Config!$J$5:$J$16,0)),""))</f>
        <v/>
      </c>
      <c r="T2700" s="31">
        <f>IF(OR(G2700="",F2700=""),"",IFERROR(INDEX(Config!$M$5:$R$16,MATCH(G2700,Config!$J$5:$J$16,0),MATCH(F2700,Config!$H$5:$H$10,0)),""))</f>
        <v/>
      </c>
      <c r="U2700" s="47">
        <f>IF(AND(H2700="Realizado",L2700&lt;&gt;""),L2700/60,0)</f>
        <v>0</v>
      </c>
      <c r="V2700" s="47">
        <f>IF(AND(H2700="Realizado",OR(L2700="",M2700="")),1,0)</f>
        <v>0</v>
      </c>
    </row>
    <row r="2701">
      <c r="A2701" s="43" t="n"/>
      <c r="B2701" s="44" t="n"/>
      <c r="C2701" s="38" t="n"/>
      <c r="D2701" s="38" t="n"/>
      <c r="E2701" s="37" t="n"/>
      <c r="F2701" s="38" t="n"/>
      <c r="G2701" s="38" t="n"/>
      <c r="H2701" s="38" t="n"/>
      <c r="I2701" s="38" t="n"/>
      <c r="J2701" s="38" t="n"/>
      <c r="K2701" s="37" t="n"/>
      <c r="L2701" s="39" t="n"/>
      <c r="M2701" s="40" t="n"/>
      <c r="N2701" s="30">
        <f>IF(A2701="","",MONTH(A2701))</f>
        <v/>
      </c>
      <c r="O2701" s="30">
        <f>IF(A2701="","",YEAR(A2701))</f>
        <v/>
      </c>
      <c r="P2701" s="30">
        <f>IF(A2701="","",CHOOSE(WEEKDAY(A2701,2),"Segunda","Terça","Quarta","Quinta","Sexta","Sábado","Domingo"))</f>
        <v/>
      </c>
      <c r="Q2701" s="30">
        <f>IF(B2701="","",IF(B2701&lt;TIME(12,0,0),"Manhã",IF(B2701&lt;TIME(18,0,0),"Tarde","Noite")))</f>
        <v/>
      </c>
      <c r="R2701" s="46">
        <f>IF(AND(H2701="Realizado",L2701&lt;&gt;"",A2701&lt;=Config!$B$9),L2701/60,0)</f>
        <v>0</v>
      </c>
      <c r="S2701" s="45">
        <f>IF(G2701="","",IFERROR(INDEX(Config!$K$5:$K$16,MATCH(G2701,Config!$J$5:$J$16,0)),""))</f>
        <v/>
      </c>
      <c r="T2701" s="31">
        <f>IF(OR(G2701="",F2701=""),"",IFERROR(INDEX(Config!$M$5:$R$16,MATCH(G2701,Config!$J$5:$J$16,0),MATCH(F2701,Config!$H$5:$H$10,0)),""))</f>
        <v/>
      </c>
      <c r="U2701" s="47">
        <f>IF(AND(H2701="Realizado",L2701&lt;&gt;""),L2701/60,0)</f>
        <v>0</v>
      </c>
      <c r="V2701" s="47">
        <f>IF(AND(H2701="Realizado",OR(L2701="",M2701="")),1,0)</f>
        <v>0</v>
      </c>
    </row>
    <row r="2702">
      <c r="A2702" s="43" t="n"/>
      <c r="B2702" s="44" t="n"/>
      <c r="C2702" s="38" t="n"/>
      <c r="D2702" s="38" t="n"/>
      <c r="E2702" s="37" t="n"/>
      <c r="F2702" s="38" t="n"/>
      <c r="G2702" s="38" t="n"/>
      <c r="H2702" s="38" t="n"/>
      <c r="I2702" s="38" t="n"/>
      <c r="J2702" s="38" t="n"/>
      <c r="K2702" s="37" t="n"/>
      <c r="L2702" s="39" t="n"/>
      <c r="M2702" s="40" t="n"/>
      <c r="N2702" s="30">
        <f>IF(A2702="","",MONTH(A2702))</f>
        <v/>
      </c>
      <c r="O2702" s="30">
        <f>IF(A2702="","",YEAR(A2702))</f>
        <v/>
      </c>
      <c r="P2702" s="30">
        <f>IF(A2702="","",CHOOSE(WEEKDAY(A2702,2),"Segunda","Terça","Quarta","Quinta","Sexta","Sábado","Domingo"))</f>
        <v/>
      </c>
      <c r="Q2702" s="30">
        <f>IF(B2702="","",IF(B2702&lt;TIME(12,0,0),"Manhã",IF(B2702&lt;TIME(18,0,0),"Tarde","Noite")))</f>
        <v/>
      </c>
      <c r="R2702" s="46">
        <f>IF(AND(H2702="Realizado",L2702&lt;&gt;"",A2702&lt;=Config!$B$9),L2702/60,0)</f>
        <v>0</v>
      </c>
      <c r="S2702" s="45">
        <f>IF(G2702="","",IFERROR(INDEX(Config!$K$5:$K$16,MATCH(G2702,Config!$J$5:$J$16,0)),""))</f>
        <v/>
      </c>
      <c r="T2702" s="31">
        <f>IF(OR(G2702="",F2702=""),"",IFERROR(INDEX(Config!$M$5:$R$16,MATCH(G2702,Config!$J$5:$J$16,0),MATCH(F2702,Config!$H$5:$H$10,0)),""))</f>
        <v/>
      </c>
      <c r="U2702" s="47">
        <f>IF(AND(H2702="Realizado",L2702&lt;&gt;""),L2702/60,0)</f>
        <v>0</v>
      </c>
      <c r="V2702" s="47">
        <f>IF(AND(H2702="Realizado",OR(L2702="",M2702="")),1,0)</f>
        <v>0</v>
      </c>
    </row>
    <row r="2703">
      <c r="A2703" s="43" t="n"/>
      <c r="B2703" s="44" t="n"/>
      <c r="C2703" s="38" t="n"/>
      <c r="D2703" s="38" t="n"/>
      <c r="E2703" s="37" t="n"/>
      <c r="F2703" s="38" t="n"/>
      <c r="G2703" s="38" t="n"/>
      <c r="H2703" s="38" t="n"/>
      <c r="I2703" s="38" t="n"/>
      <c r="J2703" s="38" t="n"/>
      <c r="K2703" s="37" t="n"/>
      <c r="L2703" s="39" t="n"/>
      <c r="M2703" s="40" t="n"/>
      <c r="N2703" s="30">
        <f>IF(A2703="","",MONTH(A2703))</f>
        <v/>
      </c>
      <c r="O2703" s="30">
        <f>IF(A2703="","",YEAR(A2703))</f>
        <v/>
      </c>
      <c r="P2703" s="30">
        <f>IF(A2703="","",CHOOSE(WEEKDAY(A2703,2),"Segunda","Terça","Quarta","Quinta","Sexta","Sábado","Domingo"))</f>
        <v/>
      </c>
      <c r="Q2703" s="30">
        <f>IF(B2703="","",IF(B2703&lt;TIME(12,0,0),"Manhã",IF(B2703&lt;TIME(18,0,0),"Tarde","Noite")))</f>
        <v/>
      </c>
      <c r="R2703" s="46">
        <f>IF(AND(H2703="Realizado",L2703&lt;&gt;"",A2703&lt;=Config!$B$9),L2703/60,0)</f>
        <v>0</v>
      </c>
      <c r="S2703" s="45">
        <f>IF(G2703="","",IFERROR(INDEX(Config!$K$5:$K$16,MATCH(G2703,Config!$J$5:$J$16,0)),""))</f>
        <v/>
      </c>
      <c r="T2703" s="31">
        <f>IF(OR(G2703="",F2703=""),"",IFERROR(INDEX(Config!$M$5:$R$16,MATCH(G2703,Config!$J$5:$J$16,0),MATCH(F2703,Config!$H$5:$H$10,0)),""))</f>
        <v/>
      </c>
      <c r="U2703" s="47">
        <f>IF(AND(H2703="Realizado",L2703&lt;&gt;""),L2703/60,0)</f>
        <v>0</v>
      </c>
      <c r="V2703" s="47">
        <f>IF(AND(H2703="Realizado",OR(L2703="",M2703="")),1,0)</f>
        <v>0</v>
      </c>
    </row>
    <row r="2704">
      <c r="A2704" s="43" t="n"/>
      <c r="B2704" s="44" t="n"/>
      <c r="C2704" s="38" t="n"/>
      <c r="D2704" s="38" t="n"/>
      <c r="E2704" s="37" t="n"/>
      <c r="F2704" s="38" t="n"/>
      <c r="G2704" s="38" t="n"/>
      <c r="H2704" s="38" t="n"/>
      <c r="I2704" s="38" t="n"/>
      <c r="J2704" s="38" t="n"/>
      <c r="K2704" s="37" t="n"/>
      <c r="L2704" s="39" t="n"/>
      <c r="M2704" s="40" t="n"/>
      <c r="N2704" s="30">
        <f>IF(A2704="","",MONTH(A2704))</f>
        <v/>
      </c>
      <c r="O2704" s="30">
        <f>IF(A2704="","",YEAR(A2704))</f>
        <v/>
      </c>
      <c r="P2704" s="30">
        <f>IF(A2704="","",CHOOSE(WEEKDAY(A2704,2),"Segunda","Terça","Quarta","Quinta","Sexta","Sábado","Domingo"))</f>
        <v/>
      </c>
      <c r="Q2704" s="30">
        <f>IF(B2704="","",IF(B2704&lt;TIME(12,0,0),"Manhã",IF(B2704&lt;TIME(18,0,0),"Tarde","Noite")))</f>
        <v/>
      </c>
      <c r="R2704" s="46">
        <f>IF(AND(H2704="Realizado",L2704&lt;&gt;"",A2704&lt;=Config!$B$9),L2704/60,0)</f>
        <v>0</v>
      </c>
      <c r="S2704" s="45">
        <f>IF(G2704="","",IFERROR(INDEX(Config!$K$5:$K$16,MATCH(G2704,Config!$J$5:$J$16,0)),""))</f>
        <v/>
      </c>
      <c r="T2704" s="31">
        <f>IF(OR(G2704="",F2704=""),"",IFERROR(INDEX(Config!$M$5:$R$16,MATCH(G2704,Config!$J$5:$J$16,0),MATCH(F2704,Config!$H$5:$H$10,0)),""))</f>
        <v/>
      </c>
      <c r="U2704" s="47">
        <f>IF(AND(H2704="Realizado",L2704&lt;&gt;""),L2704/60,0)</f>
        <v>0</v>
      </c>
      <c r="V2704" s="47">
        <f>IF(AND(H2704="Realizado",OR(L2704="",M2704="")),1,0)</f>
        <v>0</v>
      </c>
    </row>
    <row r="2705">
      <c r="A2705" s="43" t="n"/>
      <c r="B2705" s="44" t="n"/>
      <c r="C2705" s="38" t="n"/>
      <c r="D2705" s="38" t="n"/>
      <c r="E2705" s="37" t="n"/>
      <c r="F2705" s="38" t="n"/>
      <c r="G2705" s="38" t="n"/>
      <c r="H2705" s="38" t="n"/>
      <c r="I2705" s="38" t="n"/>
      <c r="J2705" s="38" t="n"/>
      <c r="K2705" s="37" t="n"/>
      <c r="L2705" s="39" t="n"/>
      <c r="M2705" s="40" t="n"/>
      <c r="N2705" s="30">
        <f>IF(A2705="","",MONTH(A2705))</f>
        <v/>
      </c>
      <c r="O2705" s="30">
        <f>IF(A2705="","",YEAR(A2705))</f>
        <v/>
      </c>
      <c r="P2705" s="30">
        <f>IF(A2705="","",CHOOSE(WEEKDAY(A2705,2),"Segunda","Terça","Quarta","Quinta","Sexta","Sábado","Domingo"))</f>
        <v/>
      </c>
      <c r="Q2705" s="30">
        <f>IF(B2705="","",IF(B2705&lt;TIME(12,0,0),"Manhã",IF(B2705&lt;TIME(18,0,0),"Tarde","Noite")))</f>
        <v/>
      </c>
      <c r="R2705" s="46">
        <f>IF(AND(H2705="Realizado",L2705&lt;&gt;"",A2705&lt;=Config!$B$9),L2705/60,0)</f>
        <v>0</v>
      </c>
      <c r="S2705" s="45">
        <f>IF(G2705="","",IFERROR(INDEX(Config!$K$5:$K$16,MATCH(G2705,Config!$J$5:$J$16,0)),""))</f>
        <v/>
      </c>
      <c r="T2705" s="31">
        <f>IF(OR(G2705="",F2705=""),"",IFERROR(INDEX(Config!$M$5:$R$16,MATCH(G2705,Config!$J$5:$J$16,0),MATCH(F2705,Config!$H$5:$H$10,0)),""))</f>
        <v/>
      </c>
      <c r="U2705" s="47">
        <f>IF(AND(H2705="Realizado",L2705&lt;&gt;""),L2705/60,0)</f>
        <v>0</v>
      </c>
      <c r="V2705" s="47">
        <f>IF(AND(H2705="Realizado",OR(L2705="",M2705="")),1,0)</f>
        <v>0</v>
      </c>
    </row>
    <row r="2706">
      <c r="A2706" s="43" t="n"/>
      <c r="B2706" s="44" t="n"/>
      <c r="C2706" s="38" t="n"/>
      <c r="D2706" s="38" t="n"/>
      <c r="E2706" s="37" t="n"/>
      <c r="F2706" s="38" t="n"/>
      <c r="G2706" s="38" t="n"/>
      <c r="H2706" s="38" t="n"/>
      <c r="I2706" s="38" t="n"/>
      <c r="J2706" s="38" t="n"/>
      <c r="K2706" s="37" t="n"/>
      <c r="L2706" s="39" t="n"/>
      <c r="M2706" s="40" t="n"/>
      <c r="N2706" s="30">
        <f>IF(A2706="","",MONTH(A2706))</f>
        <v/>
      </c>
      <c r="O2706" s="30">
        <f>IF(A2706="","",YEAR(A2706))</f>
        <v/>
      </c>
      <c r="P2706" s="30">
        <f>IF(A2706="","",CHOOSE(WEEKDAY(A2706,2),"Segunda","Terça","Quarta","Quinta","Sexta","Sábado","Domingo"))</f>
        <v/>
      </c>
      <c r="Q2706" s="30">
        <f>IF(B2706="","",IF(B2706&lt;TIME(12,0,0),"Manhã",IF(B2706&lt;TIME(18,0,0),"Tarde","Noite")))</f>
        <v/>
      </c>
      <c r="R2706" s="46">
        <f>IF(AND(H2706="Realizado",L2706&lt;&gt;"",A2706&lt;=Config!$B$9),L2706/60,0)</f>
        <v>0</v>
      </c>
      <c r="S2706" s="45">
        <f>IF(G2706="","",IFERROR(INDEX(Config!$K$5:$K$16,MATCH(G2706,Config!$J$5:$J$16,0)),""))</f>
        <v/>
      </c>
      <c r="T2706" s="31">
        <f>IF(OR(G2706="",F2706=""),"",IFERROR(INDEX(Config!$M$5:$R$16,MATCH(G2706,Config!$J$5:$J$16,0),MATCH(F2706,Config!$H$5:$H$10,0)),""))</f>
        <v/>
      </c>
      <c r="U2706" s="47">
        <f>IF(AND(H2706="Realizado",L2706&lt;&gt;""),L2706/60,0)</f>
        <v>0</v>
      </c>
      <c r="V2706" s="47">
        <f>IF(AND(H2706="Realizado",OR(L2706="",M2706="")),1,0)</f>
        <v>0</v>
      </c>
    </row>
    <row r="2707">
      <c r="A2707" s="43" t="n"/>
      <c r="B2707" s="44" t="n"/>
      <c r="C2707" s="38" t="n"/>
      <c r="D2707" s="38" t="n"/>
      <c r="E2707" s="37" t="n"/>
      <c r="F2707" s="38" t="n"/>
      <c r="G2707" s="38" t="n"/>
      <c r="H2707" s="38" t="n"/>
      <c r="I2707" s="38" t="n"/>
      <c r="J2707" s="38" t="n"/>
      <c r="K2707" s="37" t="n"/>
      <c r="L2707" s="39" t="n"/>
      <c r="M2707" s="40" t="n"/>
      <c r="N2707" s="30">
        <f>IF(A2707="","",MONTH(A2707))</f>
        <v/>
      </c>
      <c r="O2707" s="30">
        <f>IF(A2707="","",YEAR(A2707))</f>
        <v/>
      </c>
      <c r="P2707" s="30">
        <f>IF(A2707="","",CHOOSE(WEEKDAY(A2707,2),"Segunda","Terça","Quarta","Quinta","Sexta","Sábado","Domingo"))</f>
        <v/>
      </c>
      <c r="Q2707" s="30">
        <f>IF(B2707="","",IF(B2707&lt;TIME(12,0,0),"Manhã",IF(B2707&lt;TIME(18,0,0),"Tarde","Noite")))</f>
        <v/>
      </c>
      <c r="R2707" s="46">
        <f>IF(AND(H2707="Realizado",L2707&lt;&gt;"",A2707&lt;=Config!$B$9),L2707/60,0)</f>
        <v>0</v>
      </c>
      <c r="S2707" s="45">
        <f>IF(G2707="","",IFERROR(INDEX(Config!$K$5:$K$16,MATCH(G2707,Config!$J$5:$J$16,0)),""))</f>
        <v/>
      </c>
      <c r="T2707" s="31">
        <f>IF(OR(G2707="",F2707=""),"",IFERROR(INDEX(Config!$M$5:$R$16,MATCH(G2707,Config!$J$5:$J$16,0),MATCH(F2707,Config!$H$5:$H$10,0)),""))</f>
        <v/>
      </c>
      <c r="U2707" s="47">
        <f>IF(AND(H2707="Realizado",L2707&lt;&gt;""),L2707/60,0)</f>
        <v>0</v>
      </c>
      <c r="V2707" s="47">
        <f>IF(AND(H2707="Realizado",OR(L2707="",M2707="")),1,0)</f>
        <v>0</v>
      </c>
    </row>
    <row r="2708">
      <c r="A2708" s="43" t="n"/>
      <c r="B2708" s="44" t="n"/>
      <c r="C2708" s="38" t="n"/>
      <c r="D2708" s="38" t="n"/>
      <c r="E2708" s="37" t="n"/>
      <c r="F2708" s="38" t="n"/>
      <c r="G2708" s="38" t="n"/>
      <c r="H2708" s="38" t="n"/>
      <c r="I2708" s="38" t="n"/>
      <c r="J2708" s="38" t="n"/>
      <c r="K2708" s="37" t="n"/>
      <c r="L2708" s="39" t="n"/>
      <c r="M2708" s="40" t="n"/>
      <c r="N2708" s="30">
        <f>IF(A2708="","",MONTH(A2708))</f>
        <v/>
      </c>
      <c r="O2708" s="30">
        <f>IF(A2708="","",YEAR(A2708))</f>
        <v/>
      </c>
      <c r="P2708" s="30">
        <f>IF(A2708="","",CHOOSE(WEEKDAY(A2708,2),"Segunda","Terça","Quarta","Quinta","Sexta","Sábado","Domingo"))</f>
        <v/>
      </c>
      <c r="Q2708" s="30">
        <f>IF(B2708="","",IF(B2708&lt;TIME(12,0,0),"Manhã",IF(B2708&lt;TIME(18,0,0),"Tarde","Noite")))</f>
        <v/>
      </c>
      <c r="R2708" s="46">
        <f>IF(AND(H2708="Realizado",L2708&lt;&gt;"",A2708&lt;=Config!$B$9),L2708/60,0)</f>
        <v>0</v>
      </c>
      <c r="S2708" s="45">
        <f>IF(G2708="","",IFERROR(INDEX(Config!$K$5:$K$16,MATCH(G2708,Config!$J$5:$J$16,0)),""))</f>
        <v/>
      </c>
      <c r="T2708" s="31">
        <f>IF(OR(G2708="",F2708=""),"",IFERROR(INDEX(Config!$M$5:$R$16,MATCH(G2708,Config!$J$5:$J$16,0),MATCH(F2708,Config!$H$5:$H$10,0)),""))</f>
        <v/>
      </c>
      <c r="U2708" s="47">
        <f>IF(AND(H2708="Realizado",L2708&lt;&gt;""),L2708/60,0)</f>
        <v>0</v>
      </c>
      <c r="V2708" s="47">
        <f>IF(AND(H2708="Realizado",OR(L2708="",M2708="")),1,0)</f>
        <v>0</v>
      </c>
    </row>
    <row r="2709">
      <c r="A2709" s="43" t="n"/>
      <c r="B2709" s="44" t="n"/>
      <c r="C2709" s="38" t="n"/>
      <c r="D2709" s="38" t="n"/>
      <c r="E2709" s="37" t="n"/>
      <c r="F2709" s="38" t="n"/>
      <c r="G2709" s="38" t="n"/>
      <c r="H2709" s="38" t="n"/>
      <c r="I2709" s="38" t="n"/>
      <c r="J2709" s="38" t="n"/>
      <c r="K2709" s="37" t="n"/>
      <c r="L2709" s="39" t="n"/>
      <c r="M2709" s="40" t="n"/>
      <c r="N2709" s="30">
        <f>IF(A2709="","",MONTH(A2709))</f>
        <v/>
      </c>
      <c r="O2709" s="30">
        <f>IF(A2709="","",YEAR(A2709))</f>
        <v/>
      </c>
      <c r="P2709" s="30">
        <f>IF(A2709="","",CHOOSE(WEEKDAY(A2709,2),"Segunda","Terça","Quarta","Quinta","Sexta","Sábado","Domingo"))</f>
        <v/>
      </c>
      <c r="Q2709" s="30">
        <f>IF(B2709="","",IF(B2709&lt;TIME(12,0,0),"Manhã",IF(B2709&lt;TIME(18,0,0),"Tarde","Noite")))</f>
        <v/>
      </c>
      <c r="R2709" s="46">
        <f>IF(AND(H2709="Realizado",L2709&lt;&gt;"",A2709&lt;=Config!$B$9),L2709/60,0)</f>
        <v>0</v>
      </c>
      <c r="S2709" s="45">
        <f>IF(G2709="","",IFERROR(INDEX(Config!$K$5:$K$16,MATCH(G2709,Config!$J$5:$J$16,0)),""))</f>
        <v/>
      </c>
      <c r="T2709" s="31">
        <f>IF(OR(G2709="",F2709=""),"",IFERROR(INDEX(Config!$M$5:$R$16,MATCH(G2709,Config!$J$5:$J$16,0),MATCH(F2709,Config!$H$5:$H$10,0)),""))</f>
        <v/>
      </c>
      <c r="U2709" s="47">
        <f>IF(AND(H2709="Realizado",L2709&lt;&gt;""),L2709/60,0)</f>
        <v>0</v>
      </c>
      <c r="V2709" s="47">
        <f>IF(AND(H2709="Realizado",OR(L2709="",M2709="")),1,0)</f>
        <v>0</v>
      </c>
    </row>
    <row r="2710">
      <c r="A2710" s="43" t="n"/>
      <c r="B2710" s="44" t="n"/>
      <c r="C2710" s="38" t="n"/>
      <c r="D2710" s="38" t="n"/>
      <c r="E2710" s="37" t="n"/>
      <c r="F2710" s="38" t="n"/>
      <c r="G2710" s="38" t="n"/>
      <c r="H2710" s="38" t="n"/>
      <c r="I2710" s="38" t="n"/>
      <c r="J2710" s="38" t="n"/>
      <c r="K2710" s="37" t="n"/>
      <c r="L2710" s="39" t="n"/>
      <c r="M2710" s="40" t="n"/>
      <c r="N2710" s="30">
        <f>IF(A2710="","",MONTH(A2710))</f>
        <v/>
      </c>
      <c r="O2710" s="30">
        <f>IF(A2710="","",YEAR(A2710))</f>
        <v/>
      </c>
      <c r="P2710" s="30">
        <f>IF(A2710="","",CHOOSE(WEEKDAY(A2710,2),"Segunda","Terça","Quarta","Quinta","Sexta","Sábado","Domingo"))</f>
        <v/>
      </c>
      <c r="Q2710" s="30">
        <f>IF(B2710="","",IF(B2710&lt;TIME(12,0,0),"Manhã",IF(B2710&lt;TIME(18,0,0),"Tarde","Noite")))</f>
        <v/>
      </c>
      <c r="R2710" s="46">
        <f>IF(AND(H2710="Realizado",L2710&lt;&gt;"",A2710&lt;=Config!$B$9),L2710/60,0)</f>
        <v>0</v>
      </c>
      <c r="S2710" s="45">
        <f>IF(G2710="","",IFERROR(INDEX(Config!$K$5:$K$16,MATCH(G2710,Config!$J$5:$J$16,0)),""))</f>
        <v/>
      </c>
      <c r="T2710" s="31">
        <f>IF(OR(G2710="",F2710=""),"",IFERROR(INDEX(Config!$M$5:$R$16,MATCH(G2710,Config!$J$5:$J$16,0),MATCH(F2710,Config!$H$5:$H$10,0)),""))</f>
        <v/>
      </c>
      <c r="U2710" s="47">
        <f>IF(AND(H2710="Realizado",L2710&lt;&gt;""),L2710/60,0)</f>
        <v>0</v>
      </c>
      <c r="V2710" s="47">
        <f>IF(AND(H2710="Realizado",OR(L2710="",M2710="")),1,0)</f>
        <v>0</v>
      </c>
    </row>
    <row r="2711">
      <c r="A2711" s="43" t="n"/>
      <c r="B2711" s="44" t="n"/>
      <c r="C2711" s="38" t="n"/>
      <c r="D2711" s="38" t="n"/>
      <c r="E2711" s="37" t="n"/>
      <c r="F2711" s="38" t="n"/>
      <c r="G2711" s="38" t="n"/>
      <c r="H2711" s="38" t="n"/>
      <c r="I2711" s="38" t="n"/>
      <c r="J2711" s="38" t="n"/>
      <c r="K2711" s="37" t="n"/>
      <c r="L2711" s="39" t="n"/>
      <c r="M2711" s="40" t="n"/>
      <c r="N2711" s="30">
        <f>IF(A2711="","",MONTH(A2711))</f>
        <v/>
      </c>
      <c r="O2711" s="30">
        <f>IF(A2711="","",YEAR(A2711))</f>
        <v/>
      </c>
      <c r="P2711" s="30">
        <f>IF(A2711="","",CHOOSE(WEEKDAY(A2711,2),"Segunda","Terça","Quarta","Quinta","Sexta","Sábado","Domingo"))</f>
        <v/>
      </c>
      <c r="Q2711" s="30">
        <f>IF(B2711="","",IF(B2711&lt;TIME(12,0,0),"Manhã",IF(B2711&lt;TIME(18,0,0),"Tarde","Noite")))</f>
        <v/>
      </c>
      <c r="R2711" s="46">
        <f>IF(AND(H2711="Realizado",L2711&lt;&gt;"",A2711&lt;=Config!$B$9),L2711/60,0)</f>
        <v>0</v>
      </c>
      <c r="S2711" s="45">
        <f>IF(G2711="","",IFERROR(INDEX(Config!$K$5:$K$16,MATCH(G2711,Config!$J$5:$J$16,0)),""))</f>
        <v/>
      </c>
      <c r="T2711" s="31">
        <f>IF(OR(G2711="",F2711=""),"",IFERROR(INDEX(Config!$M$5:$R$16,MATCH(G2711,Config!$J$5:$J$16,0),MATCH(F2711,Config!$H$5:$H$10,0)),""))</f>
        <v/>
      </c>
      <c r="U2711" s="47">
        <f>IF(AND(H2711="Realizado",L2711&lt;&gt;""),L2711/60,0)</f>
        <v>0</v>
      </c>
      <c r="V2711" s="47">
        <f>IF(AND(H2711="Realizado",OR(L2711="",M2711="")),1,0)</f>
        <v>0</v>
      </c>
    </row>
    <row r="2712">
      <c r="A2712" s="43" t="n"/>
      <c r="B2712" s="44" t="n"/>
      <c r="C2712" s="38" t="n"/>
      <c r="D2712" s="38" t="n"/>
      <c r="E2712" s="37" t="n"/>
      <c r="F2712" s="38" t="n"/>
      <c r="G2712" s="38" t="n"/>
      <c r="H2712" s="38" t="n"/>
      <c r="I2712" s="38" t="n"/>
      <c r="J2712" s="38" t="n"/>
      <c r="K2712" s="37" t="n"/>
      <c r="L2712" s="39" t="n"/>
      <c r="M2712" s="40" t="n"/>
      <c r="N2712" s="30">
        <f>IF(A2712="","",MONTH(A2712))</f>
        <v/>
      </c>
      <c r="O2712" s="30">
        <f>IF(A2712="","",YEAR(A2712))</f>
        <v/>
      </c>
      <c r="P2712" s="30">
        <f>IF(A2712="","",CHOOSE(WEEKDAY(A2712,2),"Segunda","Terça","Quarta","Quinta","Sexta","Sábado","Domingo"))</f>
        <v/>
      </c>
      <c r="Q2712" s="30">
        <f>IF(B2712="","",IF(B2712&lt;TIME(12,0,0),"Manhã",IF(B2712&lt;TIME(18,0,0),"Tarde","Noite")))</f>
        <v/>
      </c>
      <c r="R2712" s="46">
        <f>IF(AND(H2712="Realizado",L2712&lt;&gt;"",A2712&lt;=Config!$B$9),L2712/60,0)</f>
        <v>0</v>
      </c>
      <c r="S2712" s="45">
        <f>IF(G2712="","",IFERROR(INDEX(Config!$K$5:$K$16,MATCH(G2712,Config!$J$5:$J$16,0)),""))</f>
        <v/>
      </c>
      <c r="T2712" s="31">
        <f>IF(OR(G2712="",F2712=""),"",IFERROR(INDEX(Config!$M$5:$R$16,MATCH(G2712,Config!$J$5:$J$16,0),MATCH(F2712,Config!$H$5:$H$10,0)),""))</f>
        <v/>
      </c>
      <c r="U2712" s="47">
        <f>IF(AND(H2712="Realizado",L2712&lt;&gt;""),L2712/60,0)</f>
        <v>0</v>
      </c>
      <c r="V2712" s="47">
        <f>IF(AND(H2712="Realizado",OR(L2712="",M2712="")),1,0)</f>
        <v>0</v>
      </c>
    </row>
    <row r="2713">
      <c r="A2713" s="43" t="n"/>
      <c r="B2713" s="44" t="n"/>
      <c r="C2713" s="38" t="n"/>
      <c r="D2713" s="38" t="n"/>
      <c r="E2713" s="37" t="n"/>
      <c r="F2713" s="38" t="n"/>
      <c r="G2713" s="38" t="n"/>
      <c r="H2713" s="38" t="n"/>
      <c r="I2713" s="38" t="n"/>
      <c r="J2713" s="38" t="n"/>
      <c r="K2713" s="37" t="n"/>
      <c r="L2713" s="39" t="n"/>
      <c r="M2713" s="40" t="n"/>
      <c r="N2713" s="30">
        <f>IF(A2713="","",MONTH(A2713))</f>
        <v/>
      </c>
      <c r="O2713" s="30">
        <f>IF(A2713="","",YEAR(A2713))</f>
        <v/>
      </c>
      <c r="P2713" s="30">
        <f>IF(A2713="","",CHOOSE(WEEKDAY(A2713,2),"Segunda","Terça","Quarta","Quinta","Sexta","Sábado","Domingo"))</f>
        <v/>
      </c>
      <c r="Q2713" s="30">
        <f>IF(B2713="","",IF(B2713&lt;TIME(12,0,0),"Manhã",IF(B2713&lt;TIME(18,0,0),"Tarde","Noite")))</f>
        <v/>
      </c>
      <c r="R2713" s="46">
        <f>IF(AND(H2713="Realizado",L2713&lt;&gt;"",A2713&lt;=Config!$B$9),L2713/60,0)</f>
        <v>0</v>
      </c>
      <c r="S2713" s="45">
        <f>IF(G2713="","",IFERROR(INDEX(Config!$K$5:$K$16,MATCH(G2713,Config!$J$5:$J$16,0)),""))</f>
        <v/>
      </c>
      <c r="T2713" s="31">
        <f>IF(OR(G2713="",F2713=""),"",IFERROR(INDEX(Config!$M$5:$R$16,MATCH(G2713,Config!$J$5:$J$16,0),MATCH(F2713,Config!$H$5:$H$10,0)),""))</f>
        <v/>
      </c>
      <c r="U2713" s="47">
        <f>IF(AND(H2713="Realizado",L2713&lt;&gt;""),L2713/60,0)</f>
        <v>0</v>
      </c>
      <c r="V2713" s="47">
        <f>IF(AND(H2713="Realizado",OR(L2713="",M2713="")),1,0)</f>
        <v>0</v>
      </c>
    </row>
    <row r="2714">
      <c r="A2714" s="43" t="n"/>
      <c r="B2714" s="44" t="n"/>
      <c r="C2714" s="38" t="n"/>
      <c r="D2714" s="38" t="n"/>
      <c r="E2714" s="37" t="n"/>
      <c r="F2714" s="38" t="n"/>
      <c r="G2714" s="38" t="n"/>
      <c r="H2714" s="38" t="n"/>
      <c r="I2714" s="38" t="n"/>
      <c r="J2714" s="38" t="n"/>
      <c r="K2714" s="37" t="n"/>
      <c r="L2714" s="39" t="n"/>
      <c r="M2714" s="40" t="n"/>
      <c r="N2714" s="30">
        <f>IF(A2714="","",MONTH(A2714))</f>
        <v/>
      </c>
      <c r="O2714" s="30">
        <f>IF(A2714="","",YEAR(A2714))</f>
        <v/>
      </c>
      <c r="P2714" s="30">
        <f>IF(A2714="","",CHOOSE(WEEKDAY(A2714,2),"Segunda","Terça","Quarta","Quinta","Sexta","Sábado","Domingo"))</f>
        <v/>
      </c>
      <c r="Q2714" s="30">
        <f>IF(B2714="","",IF(B2714&lt;TIME(12,0,0),"Manhã",IF(B2714&lt;TIME(18,0,0),"Tarde","Noite")))</f>
        <v/>
      </c>
      <c r="R2714" s="46">
        <f>IF(AND(H2714="Realizado",L2714&lt;&gt;"",A2714&lt;=Config!$B$9),L2714/60,0)</f>
        <v>0</v>
      </c>
      <c r="S2714" s="45">
        <f>IF(G2714="","",IFERROR(INDEX(Config!$K$5:$K$16,MATCH(G2714,Config!$J$5:$J$16,0)),""))</f>
        <v/>
      </c>
      <c r="T2714" s="31">
        <f>IF(OR(G2714="",F2714=""),"",IFERROR(INDEX(Config!$M$5:$R$16,MATCH(G2714,Config!$J$5:$J$16,0),MATCH(F2714,Config!$H$5:$H$10,0)),""))</f>
        <v/>
      </c>
      <c r="U2714" s="47">
        <f>IF(AND(H2714="Realizado",L2714&lt;&gt;""),L2714/60,0)</f>
        <v>0</v>
      </c>
      <c r="V2714" s="47">
        <f>IF(AND(H2714="Realizado",OR(L2714="",M2714="")),1,0)</f>
        <v>0</v>
      </c>
    </row>
    <row r="2715">
      <c r="A2715" s="43" t="n"/>
      <c r="B2715" s="44" t="n"/>
      <c r="C2715" s="38" t="n"/>
      <c r="D2715" s="38" t="n"/>
      <c r="E2715" s="37" t="n"/>
      <c r="F2715" s="38" t="n"/>
      <c r="G2715" s="38" t="n"/>
      <c r="H2715" s="38" t="n"/>
      <c r="I2715" s="38" t="n"/>
      <c r="J2715" s="38" t="n"/>
      <c r="K2715" s="37" t="n"/>
      <c r="L2715" s="39" t="n"/>
      <c r="M2715" s="40" t="n"/>
      <c r="N2715" s="30">
        <f>IF(A2715="","",MONTH(A2715))</f>
        <v/>
      </c>
      <c r="O2715" s="30">
        <f>IF(A2715="","",YEAR(A2715))</f>
        <v/>
      </c>
      <c r="P2715" s="30">
        <f>IF(A2715="","",CHOOSE(WEEKDAY(A2715,2),"Segunda","Terça","Quarta","Quinta","Sexta","Sábado","Domingo"))</f>
        <v/>
      </c>
      <c r="Q2715" s="30">
        <f>IF(B2715="","",IF(B2715&lt;TIME(12,0,0),"Manhã",IF(B2715&lt;TIME(18,0,0),"Tarde","Noite")))</f>
        <v/>
      </c>
      <c r="R2715" s="46">
        <f>IF(AND(H2715="Realizado",L2715&lt;&gt;"",A2715&lt;=Config!$B$9),L2715/60,0)</f>
        <v>0</v>
      </c>
      <c r="S2715" s="45">
        <f>IF(G2715="","",IFERROR(INDEX(Config!$K$5:$K$16,MATCH(G2715,Config!$J$5:$J$16,0)),""))</f>
        <v/>
      </c>
      <c r="T2715" s="31">
        <f>IF(OR(G2715="",F2715=""),"",IFERROR(INDEX(Config!$M$5:$R$16,MATCH(G2715,Config!$J$5:$J$16,0),MATCH(F2715,Config!$H$5:$H$10,0)),""))</f>
        <v/>
      </c>
      <c r="U2715" s="47">
        <f>IF(AND(H2715="Realizado",L2715&lt;&gt;""),L2715/60,0)</f>
        <v>0</v>
      </c>
      <c r="V2715" s="47">
        <f>IF(AND(H2715="Realizado",OR(L2715="",M2715="")),1,0)</f>
        <v>0</v>
      </c>
    </row>
    <row r="2716">
      <c r="A2716" s="43" t="n"/>
      <c r="B2716" s="44" t="n"/>
      <c r="C2716" s="38" t="n"/>
      <c r="D2716" s="38" t="n"/>
      <c r="E2716" s="37" t="n"/>
      <c r="F2716" s="38" t="n"/>
      <c r="G2716" s="38" t="n"/>
      <c r="H2716" s="38" t="n"/>
      <c r="I2716" s="38" t="n"/>
      <c r="J2716" s="38" t="n"/>
      <c r="K2716" s="37" t="n"/>
      <c r="L2716" s="39" t="n"/>
      <c r="M2716" s="40" t="n"/>
      <c r="N2716" s="30">
        <f>IF(A2716="","",MONTH(A2716))</f>
        <v/>
      </c>
      <c r="O2716" s="30">
        <f>IF(A2716="","",YEAR(A2716))</f>
        <v/>
      </c>
      <c r="P2716" s="30">
        <f>IF(A2716="","",CHOOSE(WEEKDAY(A2716,2),"Segunda","Terça","Quarta","Quinta","Sexta","Sábado","Domingo"))</f>
        <v/>
      </c>
      <c r="Q2716" s="30">
        <f>IF(B2716="","",IF(B2716&lt;TIME(12,0,0),"Manhã",IF(B2716&lt;TIME(18,0,0),"Tarde","Noite")))</f>
        <v/>
      </c>
      <c r="R2716" s="46">
        <f>IF(AND(H2716="Realizado",L2716&lt;&gt;"",A2716&lt;=Config!$B$9),L2716/60,0)</f>
        <v>0</v>
      </c>
      <c r="S2716" s="45">
        <f>IF(G2716="","",IFERROR(INDEX(Config!$K$5:$K$16,MATCH(G2716,Config!$J$5:$J$16,0)),""))</f>
        <v/>
      </c>
      <c r="T2716" s="31">
        <f>IF(OR(G2716="",F2716=""),"",IFERROR(INDEX(Config!$M$5:$R$16,MATCH(G2716,Config!$J$5:$J$16,0),MATCH(F2716,Config!$H$5:$H$10,0)),""))</f>
        <v/>
      </c>
      <c r="U2716" s="47">
        <f>IF(AND(H2716="Realizado",L2716&lt;&gt;""),L2716/60,0)</f>
        <v>0</v>
      </c>
      <c r="V2716" s="47">
        <f>IF(AND(H2716="Realizado",OR(L2716="",M2716="")),1,0)</f>
        <v>0</v>
      </c>
    </row>
    <row r="2717">
      <c r="A2717" s="43" t="n"/>
      <c r="B2717" s="44" t="n"/>
      <c r="C2717" s="38" t="n"/>
      <c r="D2717" s="38" t="n"/>
      <c r="E2717" s="37" t="n"/>
      <c r="F2717" s="38" t="n"/>
      <c r="G2717" s="38" t="n"/>
      <c r="H2717" s="38" t="n"/>
      <c r="I2717" s="38" t="n"/>
      <c r="J2717" s="38" t="n"/>
      <c r="K2717" s="37" t="n"/>
      <c r="L2717" s="39" t="n"/>
      <c r="M2717" s="40" t="n"/>
      <c r="N2717" s="30">
        <f>IF(A2717="","",MONTH(A2717))</f>
        <v/>
      </c>
      <c r="O2717" s="30">
        <f>IF(A2717="","",YEAR(A2717))</f>
        <v/>
      </c>
      <c r="P2717" s="30">
        <f>IF(A2717="","",CHOOSE(WEEKDAY(A2717,2),"Segunda","Terça","Quarta","Quinta","Sexta","Sábado","Domingo"))</f>
        <v/>
      </c>
      <c r="Q2717" s="30">
        <f>IF(B2717="","",IF(B2717&lt;TIME(12,0,0),"Manhã",IF(B2717&lt;TIME(18,0,0),"Tarde","Noite")))</f>
        <v/>
      </c>
      <c r="R2717" s="46">
        <f>IF(AND(H2717="Realizado",L2717&lt;&gt;"",A2717&lt;=Config!$B$9),L2717/60,0)</f>
        <v>0</v>
      </c>
      <c r="S2717" s="45">
        <f>IF(G2717="","",IFERROR(INDEX(Config!$K$5:$K$16,MATCH(G2717,Config!$J$5:$J$16,0)),""))</f>
        <v/>
      </c>
      <c r="T2717" s="31">
        <f>IF(OR(G2717="",F2717=""),"",IFERROR(INDEX(Config!$M$5:$R$16,MATCH(G2717,Config!$J$5:$J$16,0),MATCH(F2717,Config!$H$5:$H$10,0)),""))</f>
        <v/>
      </c>
      <c r="U2717" s="47">
        <f>IF(AND(H2717="Realizado",L2717&lt;&gt;""),L2717/60,0)</f>
        <v>0</v>
      </c>
      <c r="V2717" s="47">
        <f>IF(AND(H2717="Realizado",OR(L2717="",M2717="")),1,0)</f>
        <v>0</v>
      </c>
    </row>
    <row r="2718">
      <c r="A2718" s="43" t="n"/>
      <c r="B2718" s="44" t="n"/>
      <c r="C2718" s="38" t="n"/>
      <c r="D2718" s="38" t="n"/>
      <c r="E2718" s="37" t="n"/>
      <c r="F2718" s="38" t="n"/>
      <c r="G2718" s="38" t="n"/>
      <c r="H2718" s="38" t="n"/>
      <c r="I2718" s="38" t="n"/>
      <c r="J2718" s="38" t="n"/>
      <c r="K2718" s="37" t="n"/>
      <c r="L2718" s="39" t="n"/>
      <c r="M2718" s="40" t="n"/>
      <c r="N2718" s="30">
        <f>IF(A2718="","",MONTH(A2718))</f>
        <v/>
      </c>
      <c r="O2718" s="30">
        <f>IF(A2718="","",YEAR(A2718))</f>
        <v/>
      </c>
      <c r="P2718" s="30">
        <f>IF(A2718="","",CHOOSE(WEEKDAY(A2718,2),"Segunda","Terça","Quarta","Quinta","Sexta","Sábado","Domingo"))</f>
        <v/>
      </c>
      <c r="Q2718" s="30">
        <f>IF(B2718="","",IF(B2718&lt;TIME(12,0,0),"Manhã",IF(B2718&lt;TIME(18,0,0),"Tarde","Noite")))</f>
        <v/>
      </c>
      <c r="R2718" s="46">
        <f>IF(AND(H2718="Realizado",L2718&lt;&gt;"",A2718&lt;=Config!$B$9),L2718/60,0)</f>
        <v>0</v>
      </c>
      <c r="S2718" s="45">
        <f>IF(G2718="","",IFERROR(INDEX(Config!$K$5:$K$16,MATCH(G2718,Config!$J$5:$J$16,0)),""))</f>
        <v/>
      </c>
      <c r="T2718" s="31">
        <f>IF(OR(G2718="",F2718=""),"",IFERROR(INDEX(Config!$M$5:$R$16,MATCH(G2718,Config!$J$5:$J$16,0),MATCH(F2718,Config!$H$5:$H$10,0)),""))</f>
        <v/>
      </c>
      <c r="U2718" s="47">
        <f>IF(AND(H2718="Realizado",L2718&lt;&gt;""),L2718/60,0)</f>
        <v>0</v>
      </c>
      <c r="V2718" s="47">
        <f>IF(AND(H2718="Realizado",OR(L2718="",M2718="")),1,0)</f>
        <v>0</v>
      </c>
    </row>
    <row r="2719">
      <c r="A2719" s="43" t="n"/>
      <c r="B2719" s="44" t="n"/>
      <c r="C2719" s="38" t="n"/>
      <c r="D2719" s="38" t="n"/>
      <c r="E2719" s="37" t="n"/>
      <c r="F2719" s="38" t="n"/>
      <c r="G2719" s="38" t="n"/>
      <c r="H2719" s="38" t="n"/>
      <c r="I2719" s="38" t="n"/>
      <c r="J2719" s="38" t="n"/>
      <c r="K2719" s="37" t="n"/>
      <c r="L2719" s="39" t="n"/>
      <c r="M2719" s="40" t="n"/>
      <c r="N2719" s="30">
        <f>IF(A2719="","",MONTH(A2719))</f>
        <v/>
      </c>
      <c r="O2719" s="30">
        <f>IF(A2719="","",YEAR(A2719))</f>
        <v/>
      </c>
      <c r="P2719" s="30">
        <f>IF(A2719="","",CHOOSE(WEEKDAY(A2719,2),"Segunda","Terça","Quarta","Quinta","Sexta","Sábado","Domingo"))</f>
        <v/>
      </c>
      <c r="Q2719" s="30">
        <f>IF(B2719="","",IF(B2719&lt;TIME(12,0,0),"Manhã",IF(B2719&lt;TIME(18,0,0),"Tarde","Noite")))</f>
        <v/>
      </c>
      <c r="R2719" s="46">
        <f>IF(AND(H2719="Realizado",L2719&lt;&gt;"",A2719&lt;=Config!$B$9),L2719/60,0)</f>
        <v>0</v>
      </c>
      <c r="S2719" s="45">
        <f>IF(G2719="","",IFERROR(INDEX(Config!$K$5:$K$16,MATCH(G2719,Config!$J$5:$J$16,0)),""))</f>
        <v/>
      </c>
      <c r="T2719" s="31">
        <f>IF(OR(G2719="",F2719=""),"",IFERROR(INDEX(Config!$M$5:$R$16,MATCH(G2719,Config!$J$5:$J$16,0),MATCH(F2719,Config!$H$5:$H$10,0)),""))</f>
        <v/>
      </c>
      <c r="U2719" s="47">
        <f>IF(AND(H2719="Realizado",L2719&lt;&gt;""),L2719/60,0)</f>
        <v>0</v>
      </c>
      <c r="V2719" s="47">
        <f>IF(AND(H2719="Realizado",OR(L2719="",M2719="")),1,0)</f>
        <v>0</v>
      </c>
    </row>
    <row r="2720">
      <c r="A2720" s="43" t="n"/>
      <c r="B2720" s="44" t="n"/>
      <c r="C2720" s="38" t="n"/>
      <c r="D2720" s="38" t="n"/>
      <c r="E2720" s="37" t="n"/>
      <c r="F2720" s="38" t="n"/>
      <c r="G2720" s="38" t="n"/>
      <c r="H2720" s="38" t="n"/>
      <c r="I2720" s="38" t="n"/>
      <c r="J2720" s="38" t="n"/>
      <c r="K2720" s="37" t="n"/>
      <c r="L2720" s="39" t="n"/>
      <c r="M2720" s="40" t="n"/>
      <c r="N2720" s="30">
        <f>IF(A2720="","",MONTH(A2720))</f>
        <v/>
      </c>
      <c r="O2720" s="30">
        <f>IF(A2720="","",YEAR(A2720))</f>
        <v/>
      </c>
      <c r="P2720" s="30">
        <f>IF(A2720="","",CHOOSE(WEEKDAY(A2720,2),"Segunda","Terça","Quarta","Quinta","Sexta","Sábado","Domingo"))</f>
        <v/>
      </c>
      <c r="Q2720" s="30">
        <f>IF(B2720="","",IF(B2720&lt;TIME(12,0,0),"Manhã",IF(B2720&lt;TIME(18,0,0),"Tarde","Noite")))</f>
        <v/>
      </c>
      <c r="R2720" s="46">
        <f>IF(AND(H2720="Realizado",L2720&lt;&gt;"",A2720&lt;=Config!$B$9),L2720/60,0)</f>
        <v>0</v>
      </c>
      <c r="S2720" s="45">
        <f>IF(G2720="","",IFERROR(INDEX(Config!$K$5:$K$16,MATCH(G2720,Config!$J$5:$J$16,0)),""))</f>
        <v/>
      </c>
      <c r="T2720" s="31">
        <f>IF(OR(G2720="",F2720=""),"",IFERROR(INDEX(Config!$M$5:$R$16,MATCH(G2720,Config!$J$5:$J$16,0),MATCH(F2720,Config!$H$5:$H$10,0)),""))</f>
        <v/>
      </c>
      <c r="U2720" s="47">
        <f>IF(AND(H2720="Realizado",L2720&lt;&gt;""),L2720/60,0)</f>
        <v>0</v>
      </c>
      <c r="V2720" s="47">
        <f>IF(AND(H2720="Realizado",OR(L2720="",M2720="")),1,0)</f>
        <v>0</v>
      </c>
    </row>
    <row r="2721">
      <c r="A2721" s="43" t="n"/>
      <c r="B2721" s="44" t="n"/>
      <c r="C2721" s="38" t="n"/>
      <c r="D2721" s="38" t="n"/>
      <c r="E2721" s="37" t="n"/>
      <c r="F2721" s="38" t="n"/>
      <c r="G2721" s="38" t="n"/>
      <c r="H2721" s="38" t="n"/>
      <c r="I2721" s="38" t="n"/>
      <c r="J2721" s="38" t="n"/>
      <c r="K2721" s="37" t="n"/>
      <c r="L2721" s="39" t="n"/>
      <c r="M2721" s="40" t="n"/>
      <c r="N2721" s="30">
        <f>IF(A2721="","",MONTH(A2721))</f>
        <v/>
      </c>
      <c r="O2721" s="30">
        <f>IF(A2721="","",YEAR(A2721))</f>
        <v/>
      </c>
      <c r="P2721" s="30">
        <f>IF(A2721="","",CHOOSE(WEEKDAY(A2721,2),"Segunda","Terça","Quarta","Quinta","Sexta","Sábado","Domingo"))</f>
        <v/>
      </c>
      <c r="Q2721" s="30">
        <f>IF(B2721="","",IF(B2721&lt;TIME(12,0,0),"Manhã",IF(B2721&lt;TIME(18,0,0),"Tarde","Noite")))</f>
        <v/>
      </c>
      <c r="R2721" s="46">
        <f>IF(AND(H2721="Realizado",L2721&lt;&gt;"",A2721&lt;=Config!$B$9),L2721/60,0)</f>
        <v>0</v>
      </c>
      <c r="S2721" s="45">
        <f>IF(G2721="","",IFERROR(INDEX(Config!$K$5:$K$16,MATCH(G2721,Config!$J$5:$J$16,0)),""))</f>
        <v/>
      </c>
      <c r="T2721" s="31">
        <f>IF(OR(G2721="",F2721=""),"",IFERROR(INDEX(Config!$M$5:$R$16,MATCH(G2721,Config!$J$5:$J$16,0),MATCH(F2721,Config!$H$5:$H$10,0)),""))</f>
        <v/>
      </c>
      <c r="U2721" s="47">
        <f>IF(AND(H2721="Realizado",L2721&lt;&gt;""),L2721/60,0)</f>
        <v>0</v>
      </c>
      <c r="V2721" s="47">
        <f>IF(AND(H2721="Realizado",OR(L2721="",M2721="")),1,0)</f>
        <v>0</v>
      </c>
    </row>
    <row r="2722">
      <c r="A2722" s="43" t="n"/>
      <c r="B2722" s="44" t="n"/>
      <c r="C2722" s="38" t="n"/>
      <c r="D2722" s="38" t="n"/>
      <c r="E2722" s="37" t="n"/>
      <c r="F2722" s="38" t="n"/>
      <c r="G2722" s="38" t="n"/>
      <c r="H2722" s="38" t="n"/>
      <c r="I2722" s="38" t="n"/>
      <c r="J2722" s="38" t="n"/>
      <c r="K2722" s="37" t="n"/>
      <c r="L2722" s="39" t="n"/>
      <c r="M2722" s="40" t="n"/>
      <c r="N2722" s="30">
        <f>IF(A2722="","",MONTH(A2722))</f>
        <v/>
      </c>
      <c r="O2722" s="30">
        <f>IF(A2722="","",YEAR(A2722))</f>
        <v/>
      </c>
      <c r="P2722" s="30">
        <f>IF(A2722="","",CHOOSE(WEEKDAY(A2722,2),"Segunda","Terça","Quarta","Quinta","Sexta","Sábado","Domingo"))</f>
        <v/>
      </c>
      <c r="Q2722" s="30">
        <f>IF(B2722="","",IF(B2722&lt;TIME(12,0,0),"Manhã",IF(B2722&lt;TIME(18,0,0),"Tarde","Noite")))</f>
        <v/>
      </c>
      <c r="R2722" s="46">
        <f>IF(AND(H2722="Realizado",L2722&lt;&gt;"",A2722&lt;=Config!$B$9),L2722/60,0)</f>
        <v>0</v>
      </c>
      <c r="S2722" s="45">
        <f>IF(G2722="","",IFERROR(INDEX(Config!$K$5:$K$16,MATCH(G2722,Config!$J$5:$J$16,0)),""))</f>
        <v/>
      </c>
      <c r="T2722" s="31">
        <f>IF(OR(G2722="",F2722=""),"",IFERROR(INDEX(Config!$M$5:$R$16,MATCH(G2722,Config!$J$5:$J$16,0),MATCH(F2722,Config!$H$5:$H$10,0)),""))</f>
        <v/>
      </c>
      <c r="U2722" s="47">
        <f>IF(AND(H2722="Realizado",L2722&lt;&gt;""),L2722/60,0)</f>
        <v>0</v>
      </c>
      <c r="V2722" s="47">
        <f>IF(AND(H2722="Realizado",OR(L2722="",M2722="")),1,0)</f>
        <v>0</v>
      </c>
    </row>
    <row r="2723">
      <c r="A2723" s="43" t="n"/>
      <c r="B2723" s="44" t="n"/>
      <c r="C2723" s="38" t="n"/>
      <c r="D2723" s="38" t="n"/>
      <c r="E2723" s="37" t="n"/>
      <c r="F2723" s="38" t="n"/>
      <c r="G2723" s="38" t="n"/>
      <c r="H2723" s="38" t="n"/>
      <c r="I2723" s="38" t="n"/>
      <c r="J2723" s="38" t="n"/>
      <c r="K2723" s="37" t="n"/>
      <c r="L2723" s="39" t="n"/>
      <c r="M2723" s="40" t="n"/>
      <c r="N2723" s="30">
        <f>IF(A2723="","",MONTH(A2723))</f>
        <v/>
      </c>
      <c r="O2723" s="30">
        <f>IF(A2723="","",YEAR(A2723))</f>
        <v/>
      </c>
      <c r="P2723" s="30">
        <f>IF(A2723="","",CHOOSE(WEEKDAY(A2723,2),"Segunda","Terça","Quarta","Quinta","Sexta","Sábado","Domingo"))</f>
        <v/>
      </c>
      <c r="Q2723" s="30">
        <f>IF(B2723="","",IF(B2723&lt;TIME(12,0,0),"Manhã",IF(B2723&lt;TIME(18,0,0),"Tarde","Noite")))</f>
        <v/>
      </c>
      <c r="R2723" s="46">
        <f>IF(AND(H2723="Realizado",L2723&lt;&gt;"",A2723&lt;=Config!$B$9),L2723/60,0)</f>
        <v>0</v>
      </c>
      <c r="S2723" s="45">
        <f>IF(G2723="","",IFERROR(INDEX(Config!$K$5:$K$16,MATCH(G2723,Config!$J$5:$J$16,0)),""))</f>
        <v/>
      </c>
      <c r="T2723" s="31">
        <f>IF(OR(G2723="",F2723=""),"",IFERROR(INDEX(Config!$M$5:$R$16,MATCH(G2723,Config!$J$5:$J$16,0),MATCH(F2723,Config!$H$5:$H$10,0)),""))</f>
        <v/>
      </c>
      <c r="U2723" s="47">
        <f>IF(AND(H2723="Realizado",L2723&lt;&gt;""),L2723/60,0)</f>
        <v>0</v>
      </c>
      <c r="V2723" s="47">
        <f>IF(AND(H2723="Realizado",OR(L2723="",M2723="")),1,0)</f>
        <v>0</v>
      </c>
    </row>
    <row r="2724">
      <c r="A2724" s="43" t="n"/>
      <c r="B2724" s="44" t="n"/>
      <c r="C2724" s="38" t="n"/>
      <c r="D2724" s="38" t="n"/>
      <c r="E2724" s="37" t="n"/>
      <c r="F2724" s="38" t="n"/>
      <c r="G2724" s="38" t="n"/>
      <c r="H2724" s="38" t="n"/>
      <c r="I2724" s="38" t="n"/>
      <c r="J2724" s="38" t="n"/>
      <c r="K2724" s="37" t="n"/>
      <c r="L2724" s="39" t="n"/>
      <c r="M2724" s="40" t="n"/>
      <c r="N2724" s="30">
        <f>IF(A2724="","",MONTH(A2724))</f>
        <v/>
      </c>
      <c r="O2724" s="30">
        <f>IF(A2724="","",YEAR(A2724))</f>
        <v/>
      </c>
      <c r="P2724" s="30">
        <f>IF(A2724="","",CHOOSE(WEEKDAY(A2724,2),"Segunda","Terça","Quarta","Quinta","Sexta","Sábado","Domingo"))</f>
        <v/>
      </c>
      <c r="Q2724" s="30">
        <f>IF(B2724="","",IF(B2724&lt;TIME(12,0,0),"Manhã",IF(B2724&lt;TIME(18,0,0),"Tarde","Noite")))</f>
        <v/>
      </c>
      <c r="R2724" s="46">
        <f>IF(AND(H2724="Realizado",L2724&lt;&gt;"",A2724&lt;=Config!$B$9),L2724/60,0)</f>
        <v>0</v>
      </c>
      <c r="S2724" s="45">
        <f>IF(G2724="","",IFERROR(INDEX(Config!$K$5:$K$16,MATCH(G2724,Config!$J$5:$J$16,0)),""))</f>
        <v/>
      </c>
      <c r="T2724" s="31">
        <f>IF(OR(G2724="",F2724=""),"",IFERROR(INDEX(Config!$M$5:$R$16,MATCH(G2724,Config!$J$5:$J$16,0),MATCH(F2724,Config!$H$5:$H$10,0)),""))</f>
        <v/>
      </c>
      <c r="U2724" s="47">
        <f>IF(AND(H2724="Realizado",L2724&lt;&gt;""),L2724/60,0)</f>
        <v>0</v>
      </c>
      <c r="V2724" s="47">
        <f>IF(AND(H2724="Realizado",OR(L2724="",M2724="")),1,0)</f>
        <v>0</v>
      </c>
    </row>
    <row r="2725">
      <c r="A2725" s="43" t="n"/>
      <c r="B2725" s="44" t="n"/>
      <c r="C2725" s="38" t="n"/>
      <c r="D2725" s="38" t="n"/>
      <c r="E2725" s="37" t="n"/>
      <c r="F2725" s="38" t="n"/>
      <c r="G2725" s="38" t="n"/>
      <c r="H2725" s="38" t="n"/>
      <c r="I2725" s="38" t="n"/>
      <c r="J2725" s="38" t="n"/>
      <c r="K2725" s="37" t="n"/>
      <c r="L2725" s="39" t="n"/>
      <c r="M2725" s="40" t="n"/>
      <c r="N2725" s="30">
        <f>IF(A2725="","",MONTH(A2725))</f>
        <v/>
      </c>
      <c r="O2725" s="30">
        <f>IF(A2725="","",YEAR(A2725))</f>
        <v/>
      </c>
      <c r="P2725" s="30">
        <f>IF(A2725="","",CHOOSE(WEEKDAY(A2725,2),"Segunda","Terça","Quarta","Quinta","Sexta","Sábado","Domingo"))</f>
        <v/>
      </c>
      <c r="Q2725" s="30">
        <f>IF(B2725="","",IF(B2725&lt;TIME(12,0,0),"Manhã",IF(B2725&lt;TIME(18,0,0),"Tarde","Noite")))</f>
        <v/>
      </c>
      <c r="R2725" s="46">
        <f>IF(AND(H2725="Realizado",L2725&lt;&gt;"",A2725&lt;=Config!$B$9),L2725/60,0)</f>
        <v>0</v>
      </c>
      <c r="S2725" s="45">
        <f>IF(G2725="","",IFERROR(INDEX(Config!$K$5:$K$16,MATCH(G2725,Config!$J$5:$J$16,0)),""))</f>
        <v/>
      </c>
      <c r="T2725" s="31">
        <f>IF(OR(G2725="",F2725=""),"",IFERROR(INDEX(Config!$M$5:$R$16,MATCH(G2725,Config!$J$5:$J$16,0),MATCH(F2725,Config!$H$5:$H$10,0)),""))</f>
        <v/>
      </c>
      <c r="U2725" s="47">
        <f>IF(AND(H2725="Realizado",L2725&lt;&gt;""),L2725/60,0)</f>
        <v>0</v>
      </c>
      <c r="V2725" s="47">
        <f>IF(AND(H2725="Realizado",OR(L2725="",M2725="")),1,0)</f>
        <v>0</v>
      </c>
    </row>
    <row r="2726">
      <c r="A2726" s="43" t="n"/>
      <c r="B2726" s="44" t="n"/>
      <c r="C2726" s="38" t="n"/>
      <c r="D2726" s="38" t="n"/>
      <c r="E2726" s="37" t="n"/>
      <c r="F2726" s="38" t="n"/>
      <c r="G2726" s="38" t="n"/>
      <c r="H2726" s="38" t="n"/>
      <c r="I2726" s="38" t="n"/>
      <c r="J2726" s="38" t="n"/>
      <c r="K2726" s="37" t="n"/>
      <c r="L2726" s="39" t="n"/>
      <c r="M2726" s="40" t="n"/>
      <c r="N2726" s="30">
        <f>IF(A2726="","",MONTH(A2726))</f>
        <v/>
      </c>
      <c r="O2726" s="30">
        <f>IF(A2726="","",YEAR(A2726))</f>
        <v/>
      </c>
      <c r="P2726" s="30">
        <f>IF(A2726="","",CHOOSE(WEEKDAY(A2726,2),"Segunda","Terça","Quarta","Quinta","Sexta","Sábado","Domingo"))</f>
        <v/>
      </c>
      <c r="Q2726" s="30">
        <f>IF(B2726="","",IF(B2726&lt;TIME(12,0,0),"Manhã",IF(B2726&lt;TIME(18,0,0),"Tarde","Noite")))</f>
        <v/>
      </c>
      <c r="R2726" s="46">
        <f>IF(AND(H2726="Realizado",L2726&lt;&gt;"",A2726&lt;=Config!$B$9),L2726/60,0)</f>
        <v>0</v>
      </c>
      <c r="S2726" s="45">
        <f>IF(G2726="","",IFERROR(INDEX(Config!$K$5:$K$16,MATCH(G2726,Config!$J$5:$J$16,0)),""))</f>
        <v/>
      </c>
      <c r="T2726" s="31">
        <f>IF(OR(G2726="",F2726=""),"",IFERROR(INDEX(Config!$M$5:$R$16,MATCH(G2726,Config!$J$5:$J$16,0),MATCH(F2726,Config!$H$5:$H$10,0)),""))</f>
        <v/>
      </c>
      <c r="U2726" s="47">
        <f>IF(AND(H2726="Realizado",L2726&lt;&gt;""),L2726/60,0)</f>
        <v>0</v>
      </c>
      <c r="V2726" s="47">
        <f>IF(AND(H2726="Realizado",OR(L2726="",M2726="")),1,0)</f>
        <v>0</v>
      </c>
    </row>
    <row r="2727">
      <c r="A2727" s="43" t="n"/>
      <c r="B2727" s="44" t="n"/>
      <c r="C2727" s="38" t="n"/>
      <c r="D2727" s="38" t="n"/>
      <c r="E2727" s="37" t="n"/>
      <c r="F2727" s="38" t="n"/>
      <c r="G2727" s="38" t="n"/>
      <c r="H2727" s="38" t="n"/>
      <c r="I2727" s="38" t="n"/>
      <c r="J2727" s="38" t="n"/>
      <c r="K2727" s="37" t="n"/>
      <c r="L2727" s="39" t="n"/>
      <c r="M2727" s="40" t="n"/>
      <c r="N2727" s="30">
        <f>IF(A2727="","",MONTH(A2727))</f>
        <v/>
      </c>
      <c r="O2727" s="30">
        <f>IF(A2727="","",YEAR(A2727))</f>
        <v/>
      </c>
      <c r="P2727" s="30">
        <f>IF(A2727="","",CHOOSE(WEEKDAY(A2727,2),"Segunda","Terça","Quarta","Quinta","Sexta","Sábado","Domingo"))</f>
        <v/>
      </c>
      <c r="Q2727" s="30">
        <f>IF(B2727="","",IF(B2727&lt;TIME(12,0,0),"Manhã",IF(B2727&lt;TIME(18,0,0),"Tarde","Noite")))</f>
        <v/>
      </c>
      <c r="R2727" s="46">
        <f>IF(AND(H2727="Realizado",L2727&lt;&gt;"",A2727&lt;=Config!$B$9),L2727/60,0)</f>
        <v>0</v>
      </c>
      <c r="S2727" s="45">
        <f>IF(G2727="","",IFERROR(INDEX(Config!$K$5:$K$16,MATCH(G2727,Config!$J$5:$J$16,0)),""))</f>
        <v/>
      </c>
      <c r="T2727" s="31">
        <f>IF(OR(G2727="",F2727=""),"",IFERROR(INDEX(Config!$M$5:$R$16,MATCH(G2727,Config!$J$5:$J$16,0),MATCH(F2727,Config!$H$5:$H$10,0)),""))</f>
        <v/>
      </c>
      <c r="U2727" s="47">
        <f>IF(AND(H2727="Realizado",L2727&lt;&gt;""),L2727/60,0)</f>
        <v>0</v>
      </c>
      <c r="V2727" s="47">
        <f>IF(AND(H2727="Realizado",OR(L2727="",M2727="")),1,0)</f>
        <v>0</v>
      </c>
    </row>
    <row r="2728">
      <c r="A2728" s="43" t="n"/>
      <c r="B2728" s="44" t="n"/>
      <c r="C2728" s="38" t="n"/>
      <c r="D2728" s="38" t="n"/>
      <c r="E2728" s="37" t="n"/>
      <c r="F2728" s="38" t="n"/>
      <c r="G2728" s="38" t="n"/>
      <c r="H2728" s="38" t="n"/>
      <c r="I2728" s="38" t="n"/>
      <c r="J2728" s="38" t="n"/>
      <c r="K2728" s="37" t="n"/>
      <c r="L2728" s="39" t="n"/>
      <c r="M2728" s="40" t="n"/>
      <c r="N2728" s="30">
        <f>IF(A2728="","",MONTH(A2728))</f>
        <v/>
      </c>
      <c r="O2728" s="30">
        <f>IF(A2728="","",YEAR(A2728))</f>
        <v/>
      </c>
      <c r="P2728" s="30">
        <f>IF(A2728="","",CHOOSE(WEEKDAY(A2728,2),"Segunda","Terça","Quarta","Quinta","Sexta","Sábado","Domingo"))</f>
        <v/>
      </c>
      <c r="Q2728" s="30">
        <f>IF(B2728="","",IF(B2728&lt;TIME(12,0,0),"Manhã",IF(B2728&lt;TIME(18,0,0),"Tarde","Noite")))</f>
        <v/>
      </c>
      <c r="R2728" s="46">
        <f>IF(AND(H2728="Realizado",L2728&lt;&gt;"",A2728&lt;=Config!$B$9),L2728/60,0)</f>
        <v>0</v>
      </c>
      <c r="S2728" s="45">
        <f>IF(G2728="","",IFERROR(INDEX(Config!$K$5:$K$16,MATCH(G2728,Config!$J$5:$J$16,0)),""))</f>
        <v/>
      </c>
      <c r="T2728" s="31">
        <f>IF(OR(G2728="",F2728=""),"",IFERROR(INDEX(Config!$M$5:$R$16,MATCH(G2728,Config!$J$5:$J$16,0),MATCH(F2728,Config!$H$5:$H$10,0)),""))</f>
        <v/>
      </c>
      <c r="U2728" s="47">
        <f>IF(AND(H2728="Realizado",L2728&lt;&gt;""),L2728/60,0)</f>
        <v>0</v>
      </c>
      <c r="V2728" s="47">
        <f>IF(AND(H2728="Realizado",OR(L2728="",M2728="")),1,0)</f>
        <v>0</v>
      </c>
    </row>
    <row r="2729">
      <c r="A2729" s="43" t="n"/>
      <c r="B2729" s="44" t="n"/>
      <c r="C2729" s="38" t="n"/>
      <c r="D2729" s="38" t="n"/>
      <c r="E2729" s="37" t="n"/>
      <c r="F2729" s="38" t="n"/>
      <c r="G2729" s="38" t="n"/>
      <c r="H2729" s="38" t="n"/>
      <c r="I2729" s="38" t="n"/>
      <c r="J2729" s="38" t="n"/>
      <c r="K2729" s="37" t="n"/>
      <c r="L2729" s="39" t="n"/>
      <c r="M2729" s="40" t="n"/>
      <c r="N2729" s="30">
        <f>IF(A2729="","",MONTH(A2729))</f>
        <v/>
      </c>
      <c r="O2729" s="30">
        <f>IF(A2729="","",YEAR(A2729))</f>
        <v/>
      </c>
      <c r="P2729" s="30">
        <f>IF(A2729="","",CHOOSE(WEEKDAY(A2729,2),"Segunda","Terça","Quarta","Quinta","Sexta","Sábado","Domingo"))</f>
        <v/>
      </c>
      <c r="Q2729" s="30">
        <f>IF(B2729="","",IF(B2729&lt;TIME(12,0,0),"Manhã",IF(B2729&lt;TIME(18,0,0),"Tarde","Noite")))</f>
        <v/>
      </c>
      <c r="R2729" s="46">
        <f>IF(AND(H2729="Realizado",L2729&lt;&gt;"",A2729&lt;=Config!$B$9),L2729/60,0)</f>
        <v>0</v>
      </c>
      <c r="S2729" s="45">
        <f>IF(G2729="","",IFERROR(INDEX(Config!$K$5:$K$16,MATCH(G2729,Config!$J$5:$J$16,0)),""))</f>
        <v/>
      </c>
      <c r="T2729" s="31">
        <f>IF(OR(G2729="",F2729=""),"",IFERROR(INDEX(Config!$M$5:$R$16,MATCH(G2729,Config!$J$5:$J$16,0),MATCH(F2729,Config!$H$5:$H$10,0)),""))</f>
        <v/>
      </c>
      <c r="U2729" s="47">
        <f>IF(AND(H2729="Realizado",L2729&lt;&gt;""),L2729/60,0)</f>
        <v>0</v>
      </c>
      <c r="V2729" s="47">
        <f>IF(AND(H2729="Realizado",OR(L2729="",M2729="")),1,0)</f>
        <v>0</v>
      </c>
    </row>
    <row r="2730">
      <c r="A2730" s="43" t="n"/>
      <c r="B2730" s="44" t="n"/>
      <c r="C2730" s="38" t="n"/>
      <c r="D2730" s="38" t="n"/>
      <c r="E2730" s="37" t="n"/>
      <c r="F2730" s="38" t="n"/>
      <c r="G2730" s="38" t="n"/>
      <c r="H2730" s="38" t="n"/>
      <c r="I2730" s="38" t="n"/>
      <c r="J2730" s="38" t="n"/>
      <c r="K2730" s="37" t="n"/>
      <c r="L2730" s="39" t="n"/>
      <c r="M2730" s="40" t="n"/>
      <c r="N2730" s="30">
        <f>IF(A2730="","",MONTH(A2730))</f>
        <v/>
      </c>
      <c r="O2730" s="30">
        <f>IF(A2730="","",YEAR(A2730))</f>
        <v/>
      </c>
      <c r="P2730" s="30">
        <f>IF(A2730="","",CHOOSE(WEEKDAY(A2730,2),"Segunda","Terça","Quarta","Quinta","Sexta","Sábado","Domingo"))</f>
        <v/>
      </c>
      <c r="Q2730" s="30">
        <f>IF(B2730="","",IF(B2730&lt;TIME(12,0,0),"Manhã",IF(B2730&lt;TIME(18,0,0),"Tarde","Noite")))</f>
        <v/>
      </c>
      <c r="R2730" s="46">
        <f>IF(AND(H2730="Realizado",L2730&lt;&gt;"",A2730&lt;=Config!$B$9),L2730/60,0)</f>
        <v>0</v>
      </c>
      <c r="S2730" s="45">
        <f>IF(G2730="","",IFERROR(INDEX(Config!$K$5:$K$16,MATCH(G2730,Config!$J$5:$J$16,0)),""))</f>
        <v/>
      </c>
      <c r="T2730" s="31">
        <f>IF(OR(G2730="",F2730=""),"",IFERROR(INDEX(Config!$M$5:$R$16,MATCH(G2730,Config!$J$5:$J$16,0),MATCH(F2730,Config!$H$5:$H$10,0)),""))</f>
        <v/>
      </c>
      <c r="U2730" s="47">
        <f>IF(AND(H2730="Realizado",L2730&lt;&gt;""),L2730/60,0)</f>
        <v>0</v>
      </c>
      <c r="V2730" s="47">
        <f>IF(AND(H2730="Realizado",OR(L2730="",M2730="")),1,0)</f>
        <v>0</v>
      </c>
    </row>
    <row r="2731">
      <c r="A2731" s="43" t="n"/>
      <c r="B2731" s="44" t="n"/>
      <c r="C2731" s="38" t="n"/>
      <c r="D2731" s="38" t="n"/>
      <c r="E2731" s="37" t="n"/>
      <c r="F2731" s="38" t="n"/>
      <c r="G2731" s="38" t="n"/>
      <c r="H2731" s="38" t="n"/>
      <c r="I2731" s="38" t="n"/>
      <c r="J2731" s="38" t="n"/>
      <c r="K2731" s="37" t="n"/>
      <c r="L2731" s="39" t="n"/>
      <c r="M2731" s="40" t="n"/>
      <c r="N2731" s="30">
        <f>IF(A2731="","",MONTH(A2731))</f>
        <v/>
      </c>
      <c r="O2731" s="30">
        <f>IF(A2731="","",YEAR(A2731))</f>
        <v/>
      </c>
      <c r="P2731" s="30">
        <f>IF(A2731="","",CHOOSE(WEEKDAY(A2731,2),"Segunda","Terça","Quarta","Quinta","Sexta","Sábado","Domingo"))</f>
        <v/>
      </c>
      <c r="Q2731" s="30">
        <f>IF(B2731="","",IF(B2731&lt;TIME(12,0,0),"Manhã",IF(B2731&lt;TIME(18,0,0),"Tarde","Noite")))</f>
        <v/>
      </c>
      <c r="R2731" s="46">
        <f>IF(AND(H2731="Realizado",L2731&lt;&gt;"",A2731&lt;=Config!$B$9),L2731/60,0)</f>
        <v>0</v>
      </c>
      <c r="S2731" s="45">
        <f>IF(G2731="","",IFERROR(INDEX(Config!$K$5:$K$16,MATCH(G2731,Config!$J$5:$J$16,0)),""))</f>
        <v/>
      </c>
      <c r="T2731" s="31">
        <f>IF(OR(G2731="",F2731=""),"",IFERROR(INDEX(Config!$M$5:$R$16,MATCH(G2731,Config!$J$5:$J$16,0),MATCH(F2731,Config!$H$5:$H$10,0)),""))</f>
        <v/>
      </c>
      <c r="U2731" s="47">
        <f>IF(AND(H2731="Realizado",L2731&lt;&gt;""),L2731/60,0)</f>
        <v>0</v>
      </c>
      <c r="V2731" s="47">
        <f>IF(AND(H2731="Realizado",OR(L2731="",M2731="")),1,0)</f>
        <v>0</v>
      </c>
    </row>
    <row r="2732">
      <c r="A2732" s="43" t="n"/>
      <c r="B2732" s="44" t="n"/>
      <c r="C2732" s="38" t="n"/>
      <c r="D2732" s="38" t="n"/>
      <c r="E2732" s="37" t="n"/>
      <c r="F2732" s="38" t="n"/>
      <c r="G2732" s="38" t="n"/>
      <c r="H2732" s="38" t="n"/>
      <c r="I2732" s="38" t="n"/>
      <c r="J2732" s="38" t="n"/>
      <c r="K2732" s="37" t="n"/>
      <c r="L2732" s="39" t="n"/>
      <c r="M2732" s="40" t="n"/>
      <c r="N2732" s="30">
        <f>IF(A2732="","",MONTH(A2732))</f>
        <v/>
      </c>
      <c r="O2732" s="30">
        <f>IF(A2732="","",YEAR(A2732))</f>
        <v/>
      </c>
      <c r="P2732" s="30">
        <f>IF(A2732="","",CHOOSE(WEEKDAY(A2732,2),"Segunda","Terça","Quarta","Quinta","Sexta","Sábado","Domingo"))</f>
        <v/>
      </c>
      <c r="Q2732" s="30">
        <f>IF(B2732="","",IF(B2732&lt;TIME(12,0,0),"Manhã",IF(B2732&lt;TIME(18,0,0),"Tarde","Noite")))</f>
        <v/>
      </c>
      <c r="R2732" s="46">
        <f>IF(AND(H2732="Realizado",L2732&lt;&gt;"",A2732&lt;=Config!$B$9),L2732/60,0)</f>
        <v>0</v>
      </c>
      <c r="S2732" s="45">
        <f>IF(G2732="","",IFERROR(INDEX(Config!$K$5:$K$16,MATCH(G2732,Config!$J$5:$J$16,0)),""))</f>
        <v/>
      </c>
      <c r="T2732" s="31">
        <f>IF(OR(G2732="",F2732=""),"",IFERROR(INDEX(Config!$M$5:$R$16,MATCH(G2732,Config!$J$5:$J$16,0),MATCH(F2732,Config!$H$5:$H$10,0)),""))</f>
        <v/>
      </c>
      <c r="U2732" s="47">
        <f>IF(AND(H2732="Realizado",L2732&lt;&gt;""),L2732/60,0)</f>
        <v>0</v>
      </c>
      <c r="V2732" s="47">
        <f>IF(AND(H2732="Realizado",OR(L2732="",M2732="")),1,0)</f>
        <v>0</v>
      </c>
    </row>
    <row r="2733">
      <c r="A2733" s="43" t="n"/>
      <c r="B2733" s="44" t="n"/>
      <c r="C2733" s="38" t="n"/>
      <c r="D2733" s="38" t="n"/>
      <c r="E2733" s="37" t="n"/>
      <c r="F2733" s="38" t="n"/>
      <c r="G2733" s="38" t="n"/>
      <c r="H2733" s="38" t="n"/>
      <c r="I2733" s="38" t="n"/>
      <c r="J2733" s="38" t="n"/>
      <c r="K2733" s="37" t="n"/>
      <c r="L2733" s="39" t="n"/>
      <c r="M2733" s="40" t="n"/>
      <c r="N2733" s="30">
        <f>IF(A2733="","",MONTH(A2733))</f>
        <v/>
      </c>
      <c r="O2733" s="30">
        <f>IF(A2733="","",YEAR(A2733))</f>
        <v/>
      </c>
      <c r="P2733" s="30">
        <f>IF(A2733="","",CHOOSE(WEEKDAY(A2733,2),"Segunda","Terça","Quarta","Quinta","Sexta","Sábado","Domingo"))</f>
        <v/>
      </c>
      <c r="Q2733" s="30">
        <f>IF(B2733="","",IF(B2733&lt;TIME(12,0,0),"Manhã",IF(B2733&lt;TIME(18,0,0),"Tarde","Noite")))</f>
        <v/>
      </c>
      <c r="R2733" s="46">
        <f>IF(AND(H2733="Realizado",L2733&lt;&gt;"",A2733&lt;=Config!$B$9),L2733/60,0)</f>
        <v>0</v>
      </c>
      <c r="S2733" s="45">
        <f>IF(G2733="","",IFERROR(INDEX(Config!$K$5:$K$16,MATCH(G2733,Config!$J$5:$J$16,0)),""))</f>
        <v/>
      </c>
      <c r="T2733" s="31">
        <f>IF(OR(G2733="",F2733=""),"",IFERROR(INDEX(Config!$M$5:$R$16,MATCH(G2733,Config!$J$5:$J$16,0),MATCH(F2733,Config!$H$5:$H$10,0)),""))</f>
        <v/>
      </c>
      <c r="U2733" s="47">
        <f>IF(AND(H2733="Realizado",L2733&lt;&gt;""),L2733/60,0)</f>
        <v>0</v>
      </c>
      <c r="V2733" s="47">
        <f>IF(AND(H2733="Realizado",OR(L2733="",M2733="")),1,0)</f>
        <v>0</v>
      </c>
    </row>
    <row r="2734">
      <c r="A2734" s="43" t="n"/>
      <c r="B2734" s="44" t="n"/>
      <c r="C2734" s="38" t="n"/>
      <c r="D2734" s="38" t="n"/>
      <c r="E2734" s="37" t="n"/>
      <c r="F2734" s="38" t="n"/>
      <c r="G2734" s="38" t="n"/>
      <c r="H2734" s="38" t="n"/>
      <c r="I2734" s="38" t="n"/>
      <c r="J2734" s="38" t="n"/>
      <c r="K2734" s="37" t="n"/>
      <c r="L2734" s="39" t="n"/>
      <c r="M2734" s="40" t="n"/>
      <c r="N2734" s="30">
        <f>IF(A2734="","",MONTH(A2734))</f>
        <v/>
      </c>
      <c r="O2734" s="30">
        <f>IF(A2734="","",YEAR(A2734))</f>
        <v/>
      </c>
      <c r="P2734" s="30">
        <f>IF(A2734="","",CHOOSE(WEEKDAY(A2734,2),"Segunda","Terça","Quarta","Quinta","Sexta","Sábado","Domingo"))</f>
        <v/>
      </c>
      <c r="Q2734" s="30">
        <f>IF(B2734="","",IF(B2734&lt;TIME(12,0,0),"Manhã",IF(B2734&lt;TIME(18,0,0),"Tarde","Noite")))</f>
        <v/>
      </c>
      <c r="R2734" s="46">
        <f>IF(AND(H2734="Realizado",L2734&lt;&gt;"",A2734&lt;=Config!$B$9),L2734/60,0)</f>
        <v>0</v>
      </c>
      <c r="S2734" s="45">
        <f>IF(G2734="","",IFERROR(INDEX(Config!$K$5:$K$16,MATCH(G2734,Config!$J$5:$J$16,0)),""))</f>
        <v/>
      </c>
      <c r="T2734" s="31">
        <f>IF(OR(G2734="",F2734=""),"",IFERROR(INDEX(Config!$M$5:$R$16,MATCH(G2734,Config!$J$5:$J$16,0),MATCH(F2734,Config!$H$5:$H$10,0)),""))</f>
        <v/>
      </c>
      <c r="U2734" s="47">
        <f>IF(AND(H2734="Realizado",L2734&lt;&gt;""),L2734/60,0)</f>
        <v>0</v>
      </c>
      <c r="V2734" s="47">
        <f>IF(AND(H2734="Realizado",OR(L2734="",M2734="")),1,0)</f>
        <v>0</v>
      </c>
    </row>
    <row r="2735">
      <c r="A2735" s="43" t="n"/>
      <c r="B2735" s="44" t="n"/>
      <c r="C2735" s="38" t="n"/>
      <c r="D2735" s="38" t="n"/>
      <c r="E2735" s="37" t="n"/>
      <c r="F2735" s="38" t="n"/>
      <c r="G2735" s="38" t="n"/>
      <c r="H2735" s="38" t="n"/>
      <c r="I2735" s="38" t="n"/>
      <c r="J2735" s="38" t="n"/>
      <c r="K2735" s="37" t="n"/>
      <c r="L2735" s="39" t="n"/>
      <c r="M2735" s="40" t="n"/>
      <c r="N2735" s="30">
        <f>IF(A2735="","",MONTH(A2735))</f>
        <v/>
      </c>
      <c r="O2735" s="30">
        <f>IF(A2735="","",YEAR(A2735))</f>
        <v/>
      </c>
      <c r="P2735" s="30">
        <f>IF(A2735="","",CHOOSE(WEEKDAY(A2735,2),"Segunda","Terça","Quarta","Quinta","Sexta","Sábado","Domingo"))</f>
        <v/>
      </c>
      <c r="Q2735" s="30">
        <f>IF(B2735="","",IF(B2735&lt;TIME(12,0,0),"Manhã",IF(B2735&lt;TIME(18,0,0),"Tarde","Noite")))</f>
        <v/>
      </c>
      <c r="R2735" s="46">
        <f>IF(AND(H2735="Realizado",L2735&lt;&gt;"",A2735&lt;=Config!$B$9),L2735/60,0)</f>
        <v>0</v>
      </c>
      <c r="S2735" s="45">
        <f>IF(G2735="","",IFERROR(INDEX(Config!$K$5:$K$16,MATCH(G2735,Config!$J$5:$J$16,0)),""))</f>
        <v/>
      </c>
      <c r="T2735" s="31">
        <f>IF(OR(G2735="",F2735=""),"",IFERROR(INDEX(Config!$M$5:$R$16,MATCH(G2735,Config!$J$5:$J$16,0),MATCH(F2735,Config!$H$5:$H$10,0)),""))</f>
        <v/>
      </c>
      <c r="U2735" s="47">
        <f>IF(AND(H2735="Realizado",L2735&lt;&gt;""),L2735/60,0)</f>
        <v>0</v>
      </c>
      <c r="V2735" s="47">
        <f>IF(AND(H2735="Realizado",OR(L2735="",M2735="")),1,0)</f>
        <v>0</v>
      </c>
    </row>
    <row r="2736">
      <c r="A2736" s="43" t="n"/>
      <c r="B2736" s="44" t="n"/>
      <c r="C2736" s="38" t="n"/>
      <c r="D2736" s="38" t="n"/>
      <c r="E2736" s="37" t="n"/>
      <c r="F2736" s="38" t="n"/>
      <c r="G2736" s="38" t="n"/>
      <c r="H2736" s="38" t="n"/>
      <c r="I2736" s="38" t="n"/>
      <c r="J2736" s="38" t="n"/>
      <c r="K2736" s="37" t="n"/>
      <c r="L2736" s="39" t="n"/>
      <c r="M2736" s="40" t="n"/>
      <c r="N2736" s="30">
        <f>IF(A2736="","",MONTH(A2736))</f>
        <v/>
      </c>
      <c r="O2736" s="30">
        <f>IF(A2736="","",YEAR(A2736))</f>
        <v/>
      </c>
      <c r="P2736" s="30">
        <f>IF(A2736="","",CHOOSE(WEEKDAY(A2736,2),"Segunda","Terça","Quarta","Quinta","Sexta","Sábado","Domingo"))</f>
        <v/>
      </c>
      <c r="Q2736" s="30">
        <f>IF(B2736="","",IF(B2736&lt;TIME(12,0,0),"Manhã",IF(B2736&lt;TIME(18,0,0),"Tarde","Noite")))</f>
        <v/>
      </c>
      <c r="R2736" s="46">
        <f>IF(AND(H2736="Realizado",L2736&lt;&gt;"",A2736&lt;=Config!$B$9),L2736/60,0)</f>
        <v>0</v>
      </c>
      <c r="S2736" s="45">
        <f>IF(G2736="","",IFERROR(INDEX(Config!$K$5:$K$16,MATCH(G2736,Config!$J$5:$J$16,0)),""))</f>
        <v/>
      </c>
      <c r="T2736" s="31">
        <f>IF(OR(G2736="",F2736=""),"",IFERROR(INDEX(Config!$M$5:$R$16,MATCH(G2736,Config!$J$5:$J$16,0),MATCH(F2736,Config!$H$5:$H$10,0)),""))</f>
        <v/>
      </c>
      <c r="U2736" s="47">
        <f>IF(AND(H2736="Realizado",L2736&lt;&gt;""),L2736/60,0)</f>
        <v>0</v>
      </c>
      <c r="V2736" s="47">
        <f>IF(AND(H2736="Realizado",OR(L2736="",M2736="")),1,0)</f>
        <v>0</v>
      </c>
    </row>
    <row r="2737">
      <c r="A2737" s="43" t="n"/>
      <c r="B2737" s="44" t="n"/>
      <c r="C2737" s="38" t="n"/>
      <c r="D2737" s="38" t="n"/>
      <c r="E2737" s="37" t="n"/>
      <c r="F2737" s="38" t="n"/>
      <c r="G2737" s="38" t="n"/>
      <c r="H2737" s="38" t="n"/>
      <c r="I2737" s="38" t="n"/>
      <c r="J2737" s="38" t="n"/>
      <c r="K2737" s="37" t="n"/>
      <c r="L2737" s="39" t="n"/>
      <c r="M2737" s="40" t="n"/>
      <c r="N2737" s="30">
        <f>IF(A2737="","",MONTH(A2737))</f>
        <v/>
      </c>
      <c r="O2737" s="30">
        <f>IF(A2737="","",YEAR(A2737))</f>
        <v/>
      </c>
      <c r="P2737" s="30">
        <f>IF(A2737="","",CHOOSE(WEEKDAY(A2737,2),"Segunda","Terça","Quarta","Quinta","Sexta","Sábado","Domingo"))</f>
        <v/>
      </c>
      <c r="Q2737" s="30">
        <f>IF(B2737="","",IF(B2737&lt;TIME(12,0,0),"Manhã",IF(B2737&lt;TIME(18,0,0),"Tarde","Noite")))</f>
        <v/>
      </c>
      <c r="R2737" s="46">
        <f>IF(AND(H2737="Realizado",L2737&lt;&gt;"",A2737&lt;=Config!$B$9),L2737/60,0)</f>
        <v>0</v>
      </c>
      <c r="S2737" s="45">
        <f>IF(G2737="","",IFERROR(INDEX(Config!$K$5:$K$16,MATCH(G2737,Config!$J$5:$J$16,0)),""))</f>
        <v/>
      </c>
      <c r="T2737" s="31">
        <f>IF(OR(G2737="",F2737=""),"",IFERROR(INDEX(Config!$M$5:$R$16,MATCH(G2737,Config!$J$5:$J$16,0),MATCH(F2737,Config!$H$5:$H$10,0)),""))</f>
        <v/>
      </c>
      <c r="U2737" s="47">
        <f>IF(AND(H2737="Realizado",L2737&lt;&gt;""),L2737/60,0)</f>
        <v>0</v>
      </c>
      <c r="V2737" s="47">
        <f>IF(AND(H2737="Realizado",OR(L2737="",M2737="")),1,0)</f>
        <v>0</v>
      </c>
    </row>
    <row r="2738">
      <c r="A2738" s="43" t="n"/>
      <c r="B2738" s="44" t="n"/>
      <c r="C2738" s="38" t="n"/>
      <c r="D2738" s="38" t="n"/>
      <c r="E2738" s="37" t="n"/>
      <c r="F2738" s="38" t="n"/>
      <c r="G2738" s="38" t="n"/>
      <c r="H2738" s="38" t="n"/>
      <c r="I2738" s="38" t="n"/>
      <c r="J2738" s="38" t="n"/>
      <c r="K2738" s="37" t="n"/>
      <c r="L2738" s="39" t="n"/>
      <c r="M2738" s="40" t="n"/>
      <c r="N2738" s="30">
        <f>IF(A2738="","",MONTH(A2738))</f>
        <v/>
      </c>
      <c r="O2738" s="30">
        <f>IF(A2738="","",YEAR(A2738))</f>
        <v/>
      </c>
      <c r="P2738" s="30">
        <f>IF(A2738="","",CHOOSE(WEEKDAY(A2738,2),"Segunda","Terça","Quarta","Quinta","Sexta","Sábado","Domingo"))</f>
        <v/>
      </c>
      <c r="Q2738" s="30">
        <f>IF(B2738="","",IF(B2738&lt;TIME(12,0,0),"Manhã",IF(B2738&lt;TIME(18,0,0),"Tarde","Noite")))</f>
        <v/>
      </c>
      <c r="R2738" s="46">
        <f>IF(AND(H2738="Realizado",L2738&lt;&gt;"",A2738&lt;=Config!$B$9),L2738/60,0)</f>
        <v>0</v>
      </c>
      <c r="S2738" s="45">
        <f>IF(G2738="","",IFERROR(INDEX(Config!$K$5:$K$16,MATCH(G2738,Config!$J$5:$J$16,0)),""))</f>
        <v/>
      </c>
      <c r="T2738" s="31">
        <f>IF(OR(G2738="",F2738=""),"",IFERROR(INDEX(Config!$M$5:$R$16,MATCH(G2738,Config!$J$5:$J$16,0),MATCH(F2738,Config!$H$5:$H$10,0)),""))</f>
        <v/>
      </c>
      <c r="U2738" s="47">
        <f>IF(AND(H2738="Realizado",L2738&lt;&gt;""),L2738/60,0)</f>
        <v>0</v>
      </c>
      <c r="V2738" s="47">
        <f>IF(AND(H2738="Realizado",OR(L2738="",M2738="")),1,0)</f>
        <v>0</v>
      </c>
    </row>
    <row r="2739">
      <c r="A2739" s="43" t="n"/>
      <c r="B2739" s="44" t="n"/>
      <c r="C2739" s="38" t="n"/>
      <c r="D2739" s="38" t="n"/>
      <c r="E2739" s="37" t="n"/>
      <c r="F2739" s="38" t="n"/>
      <c r="G2739" s="38" t="n"/>
      <c r="H2739" s="38" t="n"/>
      <c r="I2739" s="38" t="n"/>
      <c r="J2739" s="38" t="n"/>
      <c r="K2739" s="37" t="n"/>
      <c r="L2739" s="39" t="n"/>
      <c r="M2739" s="40" t="n"/>
      <c r="N2739" s="30">
        <f>IF(A2739="","",MONTH(A2739))</f>
        <v/>
      </c>
      <c r="O2739" s="30">
        <f>IF(A2739="","",YEAR(A2739))</f>
        <v/>
      </c>
      <c r="P2739" s="30">
        <f>IF(A2739="","",CHOOSE(WEEKDAY(A2739,2),"Segunda","Terça","Quarta","Quinta","Sexta","Sábado","Domingo"))</f>
        <v/>
      </c>
      <c r="Q2739" s="30">
        <f>IF(B2739="","",IF(B2739&lt;TIME(12,0,0),"Manhã",IF(B2739&lt;TIME(18,0,0),"Tarde","Noite")))</f>
        <v/>
      </c>
      <c r="R2739" s="46">
        <f>IF(AND(H2739="Realizado",L2739&lt;&gt;"",A2739&lt;=Config!$B$9),L2739/60,0)</f>
        <v>0</v>
      </c>
      <c r="S2739" s="45">
        <f>IF(G2739="","",IFERROR(INDEX(Config!$K$5:$K$16,MATCH(G2739,Config!$J$5:$J$16,0)),""))</f>
        <v/>
      </c>
      <c r="T2739" s="31">
        <f>IF(OR(G2739="",F2739=""),"",IFERROR(INDEX(Config!$M$5:$R$16,MATCH(G2739,Config!$J$5:$J$16,0),MATCH(F2739,Config!$H$5:$H$10,0)),""))</f>
        <v/>
      </c>
      <c r="U2739" s="47">
        <f>IF(AND(H2739="Realizado",L2739&lt;&gt;""),L2739/60,0)</f>
        <v>0</v>
      </c>
      <c r="V2739" s="47">
        <f>IF(AND(H2739="Realizado",OR(L2739="",M2739="")),1,0)</f>
        <v>0</v>
      </c>
    </row>
    <row r="2740">
      <c r="A2740" s="43" t="n"/>
      <c r="B2740" s="44" t="n"/>
      <c r="C2740" s="38" t="n"/>
      <c r="D2740" s="38" t="n"/>
      <c r="E2740" s="37" t="n"/>
      <c r="F2740" s="38" t="n"/>
      <c r="G2740" s="38" t="n"/>
      <c r="H2740" s="38" t="n"/>
      <c r="I2740" s="38" t="n"/>
      <c r="J2740" s="38" t="n"/>
      <c r="K2740" s="37" t="n"/>
      <c r="L2740" s="39" t="n"/>
      <c r="M2740" s="40" t="n"/>
      <c r="N2740" s="30">
        <f>IF(A2740="","",MONTH(A2740))</f>
        <v/>
      </c>
      <c r="O2740" s="30">
        <f>IF(A2740="","",YEAR(A2740))</f>
        <v/>
      </c>
      <c r="P2740" s="30">
        <f>IF(A2740="","",CHOOSE(WEEKDAY(A2740,2),"Segunda","Terça","Quarta","Quinta","Sexta","Sábado","Domingo"))</f>
        <v/>
      </c>
      <c r="Q2740" s="30">
        <f>IF(B2740="","",IF(B2740&lt;TIME(12,0,0),"Manhã",IF(B2740&lt;TIME(18,0,0),"Tarde","Noite")))</f>
        <v/>
      </c>
      <c r="R2740" s="46">
        <f>IF(AND(H2740="Realizado",L2740&lt;&gt;"",A2740&lt;=Config!$B$9),L2740/60,0)</f>
        <v>0</v>
      </c>
      <c r="S2740" s="45">
        <f>IF(G2740="","",IFERROR(INDEX(Config!$K$5:$K$16,MATCH(G2740,Config!$J$5:$J$16,0)),""))</f>
        <v/>
      </c>
      <c r="T2740" s="31">
        <f>IF(OR(G2740="",F2740=""),"",IFERROR(INDEX(Config!$M$5:$R$16,MATCH(G2740,Config!$J$5:$J$16,0),MATCH(F2740,Config!$H$5:$H$10,0)),""))</f>
        <v/>
      </c>
      <c r="U2740" s="47">
        <f>IF(AND(H2740="Realizado",L2740&lt;&gt;""),L2740/60,0)</f>
        <v>0</v>
      </c>
      <c r="V2740" s="47">
        <f>IF(AND(H2740="Realizado",OR(L2740="",M2740="")),1,0)</f>
        <v>0</v>
      </c>
    </row>
    <row r="2741">
      <c r="A2741" s="43" t="n"/>
      <c r="B2741" s="44" t="n"/>
      <c r="C2741" s="38" t="n"/>
      <c r="D2741" s="38" t="n"/>
      <c r="E2741" s="37" t="n"/>
      <c r="F2741" s="38" t="n"/>
      <c r="G2741" s="38" t="n"/>
      <c r="H2741" s="38" t="n"/>
      <c r="I2741" s="38" t="n"/>
      <c r="J2741" s="38" t="n"/>
      <c r="K2741" s="37" t="n"/>
      <c r="L2741" s="39" t="n"/>
      <c r="M2741" s="40" t="n"/>
      <c r="N2741" s="30">
        <f>IF(A2741="","",MONTH(A2741))</f>
        <v/>
      </c>
      <c r="O2741" s="30">
        <f>IF(A2741="","",YEAR(A2741))</f>
        <v/>
      </c>
      <c r="P2741" s="30">
        <f>IF(A2741="","",CHOOSE(WEEKDAY(A2741,2),"Segunda","Terça","Quarta","Quinta","Sexta","Sábado","Domingo"))</f>
        <v/>
      </c>
      <c r="Q2741" s="30">
        <f>IF(B2741="","",IF(B2741&lt;TIME(12,0,0),"Manhã",IF(B2741&lt;TIME(18,0,0),"Tarde","Noite")))</f>
        <v/>
      </c>
      <c r="R2741" s="46">
        <f>IF(AND(H2741="Realizado",L2741&lt;&gt;"",A2741&lt;=Config!$B$9),L2741/60,0)</f>
        <v>0</v>
      </c>
      <c r="S2741" s="45">
        <f>IF(G2741="","",IFERROR(INDEX(Config!$K$5:$K$16,MATCH(G2741,Config!$J$5:$J$16,0)),""))</f>
        <v/>
      </c>
      <c r="T2741" s="31">
        <f>IF(OR(G2741="",F2741=""),"",IFERROR(INDEX(Config!$M$5:$R$16,MATCH(G2741,Config!$J$5:$J$16,0),MATCH(F2741,Config!$H$5:$H$10,0)),""))</f>
        <v/>
      </c>
      <c r="U2741" s="47">
        <f>IF(AND(H2741="Realizado",L2741&lt;&gt;""),L2741/60,0)</f>
        <v>0</v>
      </c>
      <c r="V2741" s="47">
        <f>IF(AND(H2741="Realizado",OR(L2741="",M2741="")),1,0)</f>
        <v>0</v>
      </c>
    </row>
    <row r="2742">
      <c r="A2742" s="43" t="n"/>
      <c r="B2742" s="44" t="n"/>
      <c r="C2742" s="38" t="n"/>
      <c r="D2742" s="38" t="n"/>
      <c r="E2742" s="37" t="n"/>
      <c r="F2742" s="38" t="n"/>
      <c r="G2742" s="38" t="n"/>
      <c r="H2742" s="38" t="n"/>
      <c r="I2742" s="38" t="n"/>
      <c r="J2742" s="38" t="n"/>
      <c r="K2742" s="37" t="n"/>
      <c r="L2742" s="39" t="n"/>
      <c r="M2742" s="40" t="n"/>
      <c r="N2742" s="30">
        <f>IF(A2742="","",MONTH(A2742))</f>
        <v/>
      </c>
      <c r="O2742" s="30">
        <f>IF(A2742="","",YEAR(A2742))</f>
        <v/>
      </c>
      <c r="P2742" s="30">
        <f>IF(A2742="","",CHOOSE(WEEKDAY(A2742,2),"Segunda","Terça","Quarta","Quinta","Sexta","Sábado","Domingo"))</f>
        <v/>
      </c>
      <c r="Q2742" s="30">
        <f>IF(B2742="","",IF(B2742&lt;TIME(12,0,0),"Manhã",IF(B2742&lt;TIME(18,0,0),"Tarde","Noite")))</f>
        <v/>
      </c>
      <c r="R2742" s="46">
        <f>IF(AND(H2742="Realizado",L2742&lt;&gt;"",A2742&lt;=Config!$B$9),L2742/60,0)</f>
        <v>0</v>
      </c>
      <c r="S2742" s="45">
        <f>IF(G2742="","",IFERROR(INDEX(Config!$K$5:$K$16,MATCH(G2742,Config!$J$5:$J$16,0)),""))</f>
        <v/>
      </c>
      <c r="T2742" s="31">
        <f>IF(OR(G2742="",F2742=""),"",IFERROR(INDEX(Config!$M$5:$R$16,MATCH(G2742,Config!$J$5:$J$16,0),MATCH(F2742,Config!$H$5:$H$10,0)),""))</f>
        <v/>
      </c>
      <c r="U2742" s="47">
        <f>IF(AND(H2742="Realizado",L2742&lt;&gt;""),L2742/60,0)</f>
        <v>0</v>
      </c>
      <c r="V2742" s="47">
        <f>IF(AND(H2742="Realizado",OR(L2742="",M2742="")),1,0)</f>
        <v>0</v>
      </c>
    </row>
    <row r="2743">
      <c r="A2743" s="43" t="n"/>
      <c r="B2743" s="44" t="n"/>
      <c r="C2743" s="38" t="n"/>
      <c r="D2743" s="38" t="n"/>
      <c r="E2743" s="37" t="n"/>
      <c r="F2743" s="38" t="n"/>
      <c r="G2743" s="38" t="n"/>
      <c r="H2743" s="38" t="n"/>
      <c r="I2743" s="38" t="n"/>
      <c r="J2743" s="38" t="n"/>
      <c r="K2743" s="37" t="n"/>
      <c r="L2743" s="39" t="n"/>
      <c r="M2743" s="40" t="n"/>
      <c r="N2743" s="30">
        <f>IF(A2743="","",MONTH(A2743))</f>
        <v/>
      </c>
      <c r="O2743" s="30">
        <f>IF(A2743="","",YEAR(A2743))</f>
        <v/>
      </c>
      <c r="P2743" s="30">
        <f>IF(A2743="","",CHOOSE(WEEKDAY(A2743,2),"Segunda","Terça","Quarta","Quinta","Sexta","Sábado","Domingo"))</f>
        <v/>
      </c>
      <c r="Q2743" s="30">
        <f>IF(B2743="","",IF(B2743&lt;TIME(12,0,0),"Manhã",IF(B2743&lt;TIME(18,0,0),"Tarde","Noite")))</f>
        <v/>
      </c>
      <c r="R2743" s="46">
        <f>IF(AND(H2743="Realizado",L2743&lt;&gt;"",A2743&lt;=Config!$B$9),L2743/60,0)</f>
        <v>0</v>
      </c>
      <c r="S2743" s="45">
        <f>IF(G2743="","",IFERROR(INDEX(Config!$K$5:$K$16,MATCH(G2743,Config!$J$5:$J$16,0)),""))</f>
        <v/>
      </c>
      <c r="T2743" s="31">
        <f>IF(OR(G2743="",F2743=""),"",IFERROR(INDEX(Config!$M$5:$R$16,MATCH(G2743,Config!$J$5:$J$16,0),MATCH(F2743,Config!$H$5:$H$10,0)),""))</f>
        <v/>
      </c>
      <c r="U2743" s="47">
        <f>IF(AND(H2743="Realizado",L2743&lt;&gt;""),L2743/60,0)</f>
        <v>0</v>
      </c>
      <c r="V2743" s="47">
        <f>IF(AND(H2743="Realizado",OR(L2743="",M2743="")),1,0)</f>
        <v>0</v>
      </c>
    </row>
    <row r="2744">
      <c r="A2744" s="43" t="n"/>
      <c r="B2744" s="44" t="n"/>
      <c r="C2744" s="38" t="n"/>
      <c r="D2744" s="38" t="n"/>
      <c r="E2744" s="37" t="n"/>
      <c r="F2744" s="38" t="n"/>
      <c r="G2744" s="38" t="n"/>
      <c r="H2744" s="38" t="n"/>
      <c r="I2744" s="38" t="n"/>
      <c r="J2744" s="38" t="n"/>
      <c r="K2744" s="37" t="n"/>
      <c r="L2744" s="39" t="n"/>
      <c r="M2744" s="40" t="n"/>
      <c r="N2744" s="30">
        <f>IF(A2744="","",MONTH(A2744))</f>
        <v/>
      </c>
      <c r="O2744" s="30">
        <f>IF(A2744="","",YEAR(A2744))</f>
        <v/>
      </c>
      <c r="P2744" s="30">
        <f>IF(A2744="","",CHOOSE(WEEKDAY(A2744,2),"Segunda","Terça","Quarta","Quinta","Sexta","Sábado","Domingo"))</f>
        <v/>
      </c>
      <c r="Q2744" s="30">
        <f>IF(B2744="","",IF(B2744&lt;TIME(12,0,0),"Manhã",IF(B2744&lt;TIME(18,0,0),"Tarde","Noite")))</f>
        <v/>
      </c>
      <c r="R2744" s="46">
        <f>IF(AND(H2744="Realizado",L2744&lt;&gt;"",A2744&lt;=Config!$B$9),L2744/60,0)</f>
        <v>0</v>
      </c>
      <c r="S2744" s="45">
        <f>IF(G2744="","",IFERROR(INDEX(Config!$K$5:$K$16,MATCH(G2744,Config!$J$5:$J$16,0)),""))</f>
        <v/>
      </c>
      <c r="T2744" s="31">
        <f>IF(OR(G2744="",F2744=""),"",IFERROR(INDEX(Config!$M$5:$R$16,MATCH(G2744,Config!$J$5:$J$16,0),MATCH(F2744,Config!$H$5:$H$10,0)),""))</f>
        <v/>
      </c>
      <c r="U2744" s="47">
        <f>IF(AND(H2744="Realizado",L2744&lt;&gt;""),L2744/60,0)</f>
        <v>0</v>
      </c>
      <c r="V2744" s="47">
        <f>IF(AND(H2744="Realizado",OR(L2744="",M2744="")),1,0)</f>
        <v>0</v>
      </c>
    </row>
    <row r="2745">
      <c r="A2745" s="43" t="n"/>
      <c r="B2745" s="44" t="n"/>
      <c r="C2745" s="38" t="n"/>
      <c r="D2745" s="38" t="n"/>
      <c r="E2745" s="37" t="n"/>
      <c r="F2745" s="38" t="n"/>
      <c r="G2745" s="38" t="n"/>
      <c r="H2745" s="38" t="n"/>
      <c r="I2745" s="38" t="n"/>
      <c r="J2745" s="38" t="n"/>
      <c r="K2745" s="37" t="n"/>
      <c r="L2745" s="39" t="n"/>
      <c r="M2745" s="40" t="n"/>
      <c r="N2745" s="30">
        <f>IF(A2745="","",MONTH(A2745))</f>
        <v/>
      </c>
      <c r="O2745" s="30">
        <f>IF(A2745="","",YEAR(A2745))</f>
        <v/>
      </c>
      <c r="P2745" s="30">
        <f>IF(A2745="","",CHOOSE(WEEKDAY(A2745,2),"Segunda","Terça","Quarta","Quinta","Sexta","Sábado","Domingo"))</f>
        <v/>
      </c>
      <c r="Q2745" s="30">
        <f>IF(B2745="","",IF(B2745&lt;TIME(12,0,0),"Manhã",IF(B2745&lt;TIME(18,0,0),"Tarde","Noite")))</f>
        <v/>
      </c>
      <c r="R2745" s="46">
        <f>IF(AND(H2745="Realizado",L2745&lt;&gt;"",A2745&lt;=Config!$B$9),L2745/60,0)</f>
        <v>0</v>
      </c>
      <c r="S2745" s="45">
        <f>IF(G2745="","",IFERROR(INDEX(Config!$K$5:$K$16,MATCH(G2745,Config!$J$5:$J$16,0)),""))</f>
        <v/>
      </c>
      <c r="T2745" s="31">
        <f>IF(OR(G2745="",F2745=""),"",IFERROR(INDEX(Config!$M$5:$R$16,MATCH(G2745,Config!$J$5:$J$16,0),MATCH(F2745,Config!$H$5:$H$10,0)),""))</f>
        <v/>
      </c>
      <c r="U2745" s="47">
        <f>IF(AND(H2745="Realizado",L2745&lt;&gt;""),L2745/60,0)</f>
        <v>0</v>
      </c>
      <c r="V2745" s="47">
        <f>IF(AND(H2745="Realizado",OR(L2745="",M2745="")),1,0)</f>
        <v>0</v>
      </c>
    </row>
    <row r="2746">
      <c r="A2746" s="43" t="n"/>
      <c r="B2746" s="44" t="n"/>
      <c r="C2746" s="38" t="n"/>
      <c r="D2746" s="38" t="n"/>
      <c r="E2746" s="37" t="n"/>
      <c r="F2746" s="38" t="n"/>
      <c r="G2746" s="38" t="n"/>
      <c r="H2746" s="38" t="n"/>
      <c r="I2746" s="38" t="n"/>
      <c r="J2746" s="38" t="n"/>
      <c r="K2746" s="37" t="n"/>
      <c r="L2746" s="39" t="n"/>
      <c r="M2746" s="40" t="n"/>
      <c r="N2746" s="30">
        <f>IF(A2746="","",MONTH(A2746))</f>
        <v/>
      </c>
      <c r="O2746" s="30">
        <f>IF(A2746="","",YEAR(A2746))</f>
        <v/>
      </c>
      <c r="P2746" s="30">
        <f>IF(A2746="","",CHOOSE(WEEKDAY(A2746,2),"Segunda","Terça","Quarta","Quinta","Sexta","Sábado","Domingo"))</f>
        <v/>
      </c>
      <c r="Q2746" s="30">
        <f>IF(B2746="","",IF(B2746&lt;TIME(12,0,0),"Manhã",IF(B2746&lt;TIME(18,0,0),"Tarde","Noite")))</f>
        <v/>
      </c>
      <c r="R2746" s="46">
        <f>IF(AND(H2746="Realizado",L2746&lt;&gt;"",A2746&lt;=Config!$B$9),L2746/60,0)</f>
        <v>0</v>
      </c>
      <c r="S2746" s="45">
        <f>IF(G2746="","",IFERROR(INDEX(Config!$K$5:$K$16,MATCH(G2746,Config!$J$5:$J$16,0)),""))</f>
        <v/>
      </c>
      <c r="T2746" s="31">
        <f>IF(OR(G2746="",F2746=""),"",IFERROR(INDEX(Config!$M$5:$R$16,MATCH(G2746,Config!$J$5:$J$16,0),MATCH(F2746,Config!$H$5:$H$10,0)),""))</f>
        <v/>
      </c>
      <c r="U2746" s="47">
        <f>IF(AND(H2746="Realizado",L2746&lt;&gt;""),L2746/60,0)</f>
        <v>0</v>
      </c>
      <c r="V2746" s="47">
        <f>IF(AND(H2746="Realizado",OR(L2746="",M2746="")),1,0)</f>
        <v>0</v>
      </c>
    </row>
    <row r="2747">
      <c r="A2747" s="43" t="n"/>
      <c r="B2747" s="44" t="n"/>
      <c r="C2747" s="38" t="n"/>
      <c r="D2747" s="38" t="n"/>
      <c r="E2747" s="37" t="n"/>
      <c r="F2747" s="38" t="n"/>
      <c r="G2747" s="38" t="n"/>
      <c r="H2747" s="38" t="n"/>
      <c r="I2747" s="38" t="n"/>
      <c r="J2747" s="38" t="n"/>
      <c r="K2747" s="37" t="n"/>
      <c r="L2747" s="39" t="n"/>
      <c r="M2747" s="40" t="n"/>
      <c r="N2747" s="30">
        <f>IF(A2747="","",MONTH(A2747))</f>
        <v/>
      </c>
      <c r="O2747" s="30">
        <f>IF(A2747="","",YEAR(A2747))</f>
        <v/>
      </c>
      <c r="P2747" s="30">
        <f>IF(A2747="","",CHOOSE(WEEKDAY(A2747,2),"Segunda","Terça","Quarta","Quinta","Sexta","Sábado","Domingo"))</f>
        <v/>
      </c>
      <c r="Q2747" s="30">
        <f>IF(B2747="","",IF(B2747&lt;TIME(12,0,0),"Manhã",IF(B2747&lt;TIME(18,0,0),"Tarde","Noite")))</f>
        <v/>
      </c>
      <c r="R2747" s="46">
        <f>IF(AND(H2747="Realizado",L2747&lt;&gt;"",A2747&lt;=Config!$B$9),L2747/60,0)</f>
        <v>0</v>
      </c>
      <c r="S2747" s="45">
        <f>IF(G2747="","",IFERROR(INDEX(Config!$K$5:$K$16,MATCH(G2747,Config!$J$5:$J$16,0)),""))</f>
        <v/>
      </c>
      <c r="T2747" s="31">
        <f>IF(OR(G2747="",F2747=""),"",IFERROR(INDEX(Config!$M$5:$R$16,MATCH(G2747,Config!$J$5:$J$16,0),MATCH(F2747,Config!$H$5:$H$10,0)),""))</f>
        <v/>
      </c>
      <c r="U2747" s="47">
        <f>IF(AND(H2747="Realizado",L2747&lt;&gt;""),L2747/60,0)</f>
        <v>0</v>
      </c>
      <c r="V2747" s="47">
        <f>IF(AND(H2747="Realizado",OR(L2747="",M2747="")),1,0)</f>
        <v>0</v>
      </c>
    </row>
    <row r="2748">
      <c r="A2748" s="43" t="n"/>
      <c r="B2748" s="44" t="n"/>
      <c r="C2748" s="38" t="n"/>
      <c r="D2748" s="38" t="n"/>
      <c r="E2748" s="37" t="n"/>
      <c r="F2748" s="38" t="n"/>
      <c r="G2748" s="38" t="n"/>
      <c r="H2748" s="38" t="n"/>
      <c r="I2748" s="38" t="n"/>
      <c r="J2748" s="38" t="n"/>
      <c r="K2748" s="37" t="n"/>
      <c r="L2748" s="39" t="n"/>
      <c r="M2748" s="40" t="n"/>
      <c r="N2748" s="30">
        <f>IF(A2748="","",MONTH(A2748))</f>
        <v/>
      </c>
      <c r="O2748" s="30">
        <f>IF(A2748="","",YEAR(A2748))</f>
        <v/>
      </c>
      <c r="P2748" s="30">
        <f>IF(A2748="","",CHOOSE(WEEKDAY(A2748,2),"Segunda","Terça","Quarta","Quinta","Sexta","Sábado","Domingo"))</f>
        <v/>
      </c>
      <c r="Q2748" s="30">
        <f>IF(B2748="","",IF(B2748&lt;TIME(12,0,0),"Manhã",IF(B2748&lt;TIME(18,0,0),"Tarde","Noite")))</f>
        <v/>
      </c>
      <c r="R2748" s="46">
        <f>IF(AND(H2748="Realizado",L2748&lt;&gt;"",A2748&lt;=Config!$B$9),L2748/60,0)</f>
        <v>0</v>
      </c>
      <c r="S2748" s="45">
        <f>IF(G2748="","",IFERROR(INDEX(Config!$K$5:$K$16,MATCH(G2748,Config!$J$5:$J$16,0)),""))</f>
        <v/>
      </c>
      <c r="T2748" s="31">
        <f>IF(OR(G2748="",F2748=""),"",IFERROR(INDEX(Config!$M$5:$R$16,MATCH(G2748,Config!$J$5:$J$16,0),MATCH(F2748,Config!$H$5:$H$10,0)),""))</f>
        <v/>
      </c>
      <c r="U2748" s="47">
        <f>IF(AND(H2748="Realizado",L2748&lt;&gt;""),L2748/60,0)</f>
        <v>0</v>
      </c>
      <c r="V2748" s="47">
        <f>IF(AND(H2748="Realizado",OR(L2748="",M2748="")),1,0)</f>
        <v>0</v>
      </c>
    </row>
    <row r="2749">
      <c r="A2749" s="43" t="n"/>
      <c r="B2749" s="44" t="n"/>
      <c r="C2749" s="38" t="n"/>
      <c r="D2749" s="38" t="n"/>
      <c r="E2749" s="37" t="n"/>
      <c r="F2749" s="38" t="n"/>
      <c r="G2749" s="38" t="n"/>
      <c r="H2749" s="38" t="n"/>
      <c r="I2749" s="38" t="n"/>
      <c r="J2749" s="38" t="n"/>
      <c r="K2749" s="37" t="n"/>
      <c r="L2749" s="39" t="n"/>
      <c r="M2749" s="40" t="n"/>
      <c r="N2749" s="30">
        <f>IF(A2749="","",MONTH(A2749))</f>
        <v/>
      </c>
      <c r="O2749" s="30">
        <f>IF(A2749="","",YEAR(A2749))</f>
        <v/>
      </c>
      <c r="P2749" s="30">
        <f>IF(A2749="","",CHOOSE(WEEKDAY(A2749,2),"Segunda","Terça","Quarta","Quinta","Sexta","Sábado","Domingo"))</f>
        <v/>
      </c>
      <c r="Q2749" s="30">
        <f>IF(B2749="","",IF(B2749&lt;TIME(12,0,0),"Manhã",IF(B2749&lt;TIME(18,0,0),"Tarde","Noite")))</f>
        <v/>
      </c>
      <c r="R2749" s="46">
        <f>IF(AND(H2749="Realizado",L2749&lt;&gt;"",A2749&lt;=Config!$B$9),L2749/60,0)</f>
        <v>0</v>
      </c>
      <c r="S2749" s="45">
        <f>IF(G2749="","",IFERROR(INDEX(Config!$K$5:$K$16,MATCH(G2749,Config!$J$5:$J$16,0)),""))</f>
        <v/>
      </c>
      <c r="T2749" s="31">
        <f>IF(OR(G2749="",F2749=""),"",IFERROR(INDEX(Config!$M$5:$R$16,MATCH(G2749,Config!$J$5:$J$16,0),MATCH(F2749,Config!$H$5:$H$10,0)),""))</f>
        <v/>
      </c>
      <c r="U2749" s="47">
        <f>IF(AND(H2749="Realizado",L2749&lt;&gt;""),L2749/60,0)</f>
        <v>0</v>
      </c>
      <c r="V2749" s="47">
        <f>IF(AND(H2749="Realizado",OR(L2749="",M2749="")),1,0)</f>
        <v>0</v>
      </c>
    </row>
    <row r="2750">
      <c r="A2750" s="43" t="n"/>
      <c r="B2750" s="44" t="n"/>
      <c r="C2750" s="38" t="n"/>
      <c r="D2750" s="38" t="n"/>
      <c r="E2750" s="37" t="n"/>
      <c r="F2750" s="38" t="n"/>
      <c r="G2750" s="38" t="n"/>
      <c r="H2750" s="38" t="n"/>
      <c r="I2750" s="38" t="n"/>
      <c r="J2750" s="38" t="n"/>
      <c r="K2750" s="37" t="n"/>
      <c r="L2750" s="39" t="n"/>
      <c r="M2750" s="40" t="n"/>
      <c r="N2750" s="30">
        <f>IF(A2750="","",MONTH(A2750))</f>
        <v/>
      </c>
      <c r="O2750" s="30">
        <f>IF(A2750="","",YEAR(A2750))</f>
        <v/>
      </c>
      <c r="P2750" s="30">
        <f>IF(A2750="","",CHOOSE(WEEKDAY(A2750,2),"Segunda","Terça","Quarta","Quinta","Sexta","Sábado","Domingo"))</f>
        <v/>
      </c>
      <c r="Q2750" s="30">
        <f>IF(B2750="","",IF(B2750&lt;TIME(12,0,0),"Manhã",IF(B2750&lt;TIME(18,0,0),"Tarde","Noite")))</f>
        <v/>
      </c>
      <c r="R2750" s="46">
        <f>IF(AND(H2750="Realizado",L2750&lt;&gt;"",A2750&lt;=Config!$B$9),L2750/60,0)</f>
        <v>0</v>
      </c>
      <c r="S2750" s="45">
        <f>IF(G2750="","",IFERROR(INDEX(Config!$K$5:$K$16,MATCH(G2750,Config!$J$5:$J$16,0)),""))</f>
        <v/>
      </c>
      <c r="T2750" s="31">
        <f>IF(OR(G2750="",F2750=""),"",IFERROR(INDEX(Config!$M$5:$R$16,MATCH(G2750,Config!$J$5:$J$16,0),MATCH(F2750,Config!$H$5:$H$10,0)),""))</f>
        <v/>
      </c>
      <c r="U2750" s="47">
        <f>IF(AND(H2750="Realizado",L2750&lt;&gt;""),L2750/60,0)</f>
        <v>0</v>
      </c>
      <c r="V2750" s="47">
        <f>IF(AND(H2750="Realizado",OR(L2750="",M2750="")),1,0)</f>
        <v>0</v>
      </c>
    </row>
    <row r="2751">
      <c r="A2751" s="43" t="n"/>
      <c r="B2751" s="44" t="n"/>
      <c r="C2751" s="38" t="n"/>
      <c r="D2751" s="38" t="n"/>
      <c r="E2751" s="37" t="n"/>
      <c r="F2751" s="38" t="n"/>
      <c r="G2751" s="38" t="n"/>
      <c r="H2751" s="38" t="n"/>
      <c r="I2751" s="38" t="n"/>
      <c r="J2751" s="38" t="n"/>
      <c r="K2751" s="37" t="n"/>
      <c r="L2751" s="39" t="n"/>
      <c r="M2751" s="40" t="n"/>
      <c r="N2751" s="30">
        <f>IF(A2751="","",MONTH(A2751))</f>
        <v/>
      </c>
      <c r="O2751" s="30">
        <f>IF(A2751="","",YEAR(A2751))</f>
        <v/>
      </c>
      <c r="P2751" s="30">
        <f>IF(A2751="","",CHOOSE(WEEKDAY(A2751,2),"Segunda","Terça","Quarta","Quinta","Sexta","Sábado","Domingo"))</f>
        <v/>
      </c>
      <c r="Q2751" s="30">
        <f>IF(B2751="","",IF(B2751&lt;TIME(12,0,0),"Manhã",IF(B2751&lt;TIME(18,0,0),"Tarde","Noite")))</f>
        <v/>
      </c>
      <c r="R2751" s="46">
        <f>IF(AND(H2751="Realizado",L2751&lt;&gt;"",A2751&lt;=Config!$B$9),L2751/60,0)</f>
        <v>0</v>
      </c>
      <c r="S2751" s="45">
        <f>IF(G2751="","",IFERROR(INDEX(Config!$K$5:$K$16,MATCH(G2751,Config!$J$5:$J$16,0)),""))</f>
        <v/>
      </c>
      <c r="T2751" s="31">
        <f>IF(OR(G2751="",F2751=""),"",IFERROR(INDEX(Config!$M$5:$R$16,MATCH(G2751,Config!$J$5:$J$16,0),MATCH(F2751,Config!$H$5:$H$10,0)),""))</f>
        <v/>
      </c>
      <c r="U2751" s="47">
        <f>IF(AND(H2751="Realizado",L2751&lt;&gt;""),L2751/60,0)</f>
        <v>0</v>
      </c>
      <c r="V2751" s="47">
        <f>IF(AND(H2751="Realizado",OR(L2751="",M2751="")),1,0)</f>
        <v>0</v>
      </c>
    </row>
    <row r="2752">
      <c r="A2752" s="43" t="n"/>
      <c r="B2752" s="44" t="n"/>
      <c r="C2752" s="38" t="n"/>
      <c r="D2752" s="38" t="n"/>
      <c r="E2752" s="37" t="n"/>
      <c r="F2752" s="38" t="n"/>
      <c r="G2752" s="38" t="n"/>
      <c r="H2752" s="38" t="n"/>
      <c r="I2752" s="38" t="n"/>
      <c r="J2752" s="38" t="n"/>
      <c r="K2752" s="37" t="n"/>
      <c r="L2752" s="39" t="n"/>
      <c r="M2752" s="40" t="n"/>
      <c r="N2752" s="30">
        <f>IF(A2752="","",MONTH(A2752))</f>
        <v/>
      </c>
      <c r="O2752" s="30">
        <f>IF(A2752="","",YEAR(A2752))</f>
        <v/>
      </c>
      <c r="P2752" s="30">
        <f>IF(A2752="","",CHOOSE(WEEKDAY(A2752,2),"Segunda","Terça","Quarta","Quinta","Sexta","Sábado","Domingo"))</f>
        <v/>
      </c>
      <c r="Q2752" s="30">
        <f>IF(B2752="","",IF(B2752&lt;TIME(12,0,0),"Manhã",IF(B2752&lt;TIME(18,0,0),"Tarde","Noite")))</f>
        <v/>
      </c>
      <c r="R2752" s="46">
        <f>IF(AND(H2752="Realizado",L2752&lt;&gt;"",A2752&lt;=Config!$B$9),L2752/60,0)</f>
        <v>0</v>
      </c>
      <c r="S2752" s="45">
        <f>IF(G2752="","",IFERROR(INDEX(Config!$K$5:$K$16,MATCH(G2752,Config!$J$5:$J$16,0)),""))</f>
        <v/>
      </c>
      <c r="T2752" s="31">
        <f>IF(OR(G2752="",F2752=""),"",IFERROR(INDEX(Config!$M$5:$R$16,MATCH(G2752,Config!$J$5:$J$16,0),MATCH(F2752,Config!$H$5:$H$10,0)),""))</f>
        <v/>
      </c>
      <c r="U2752" s="47">
        <f>IF(AND(H2752="Realizado",L2752&lt;&gt;""),L2752/60,0)</f>
        <v>0</v>
      </c>
      <c r="V2752" s="47">
        <f>IF(AND(H2752="Realizado",OR(L2752="",M2752="")),1,0)</f>
        <v>0</v>
      </c>
    </row>
    <row r="2753">
      <c r="A2753" s="43" t="n"/>
      <c r="B2753" s="44" t="n"/>
      <c r="C2753" s="38" t="n"/>
      <c r="D2753" s="38" t="n"/>
      <c r="E2753" s="37" t="n"/>
      <c r="F2753" s="38" t="n"/>
      <c r="G2753" s="38" t="n"/>
      <c r="H2753" s="38" t="n"/>
      <c r="I2753" s="38" t="n"/>
      <c r="J2753" s="38" t="n"/>
      <c r="K2753" s="37" t="n"/>
      <c r="L2753" s="39" t="n"/>
      <c r="M2753" s="40" t="n"/>
      <c r="N2753" s="30">
        <f>IF(A2753="","",MONTH(A2753))</f>
        <v/>
      </c>
      <c r="O2753" s="30">
        <f>IF(A2753="","",YEAR(A2753))</f>
        <v/>
      </c>
      <c r="P2753" s="30">
        <f>IF(A2753="","",CHOOSE(WEEKDAY(A2753,2),"Segunda","Terça","Quarta","Quinta","Sexta","Sábado","Domingo"))</f>
        <v/>
      </c>
      <c r="Q2753" s="30">
        <f>IF(B2753="","",IF(B2753&lt;TIME(12,0,0),"Manhã",IF(B2753&lt;TIME(18,0,0),"Tarde","Noite")))</f>
        <v/>
      </c>
      <c r="R2753" s="46">
        <f>IF(AND(H2753="Realizado",L2753&lt;&gt;"",A2753&lt;=Config!$B$9),L2753/60,0)</f>
        <v>0</v>
      </c>
      <c r="S2753" s="45">
        <f>IF(G2753="","",IFERROR(INDEX(Config!$K$5:$K$16,MATCH(G2753,Config!$J$5:$J$16,0)),""))</f>
        <v/>
      </c>
      <c r="T2753" s="31">
        <f>IF(OR(G2753="",F2753=""),"",IFERROR(INDEX(Config!$M$5:$R$16,MATCH(G2753,Config!$J$5:$J$16,0),MATCH(F2753,Config!$H$5:$H$10,0)),""))</f>
        <v/>
      </c>
      <c r="U2753" s="47">
        <f>IF(AND(H2753="Realizado",L2753&lt;&gt;""),L2753/60,0)</f>
        <v>0</v>
      </c>
      <c r="V2753" s="47">
        <f>IF(AND(H2753="Realizado",OR(L2753="",M2753="")),1,0)</f>
        <v>0</v>
      </c>
    </row>
    <row r="2754">
      <c r="A2754" s="43" t="n"/>
      <c r="B2754" s="44" t="n"/>
      <c r="C2754" s="38" t="n"/>
      <c r="D2754" s="38" t="n"/>
      <c r="E2754" s="37" t="n"/>
      <c r="F2754" s="38" t="n"/>
      <c r="G2754" s="38" t="n"/>
      <c r="H2754" s="38" t="n"/>
      <c r="I2754" s="38" t="n"/>
      <c r="J2754" s="38" t="n"/>
      <c r="K2754" s="37" t="n"/>
      <c r="L2754" s="39" t="n"/>
      <c r="M2754" s="40" t="n"/>
      <c r="N2754" s="30">
        <f>IF(A2754="","",MONTH(A2754))</f>
        <v/>
      </c>
      <c r="O2754" s="30">
        <f>IF(A2754="","",YEAR(A2754))</f>
        <v/>
      </c>
      <c r="P2754" s="30">
        <f>IF(A2754="","",CHOOSE(WEEKDAY(A2754,2),"Segunda","Terça","Quarta","Quinta","Sexta","Sábado","Domingo"))</f>
        <v/>
      </c>
      <c r="Q2754" s="30">
        <f>IF(B2754="","",IF(B2754&lt;TIME(12,0,0),"Manhã",IF(B2754&lt;TIME(18,0,0),"Tarde","Noite")))</f>
        <v/>
      </c>
      <c r="R2754" s="46">
        <f>IF(AND(H2754="Realizado",L2754&lt;&gt;"",A2754&lt;=Config!$B$9),L2754/60,0)</f>
        <v>0</v>
      </c>
      <c r="S2754" s="45">
        <f>IF(G2754="","",IFERROR(INDEX(Config!$K$5:$K$16,MATCH(G2754,Config!$J$5:$J$16,0)),""))</f>
        <v/>
      </c>
      <c r="T2754" s="31">
        <f>IF(OR(G2754="",F2754=""),"",IFERROR(INDEX(Config!$M$5:$R$16,MATCH(G2754,Config!$J$5:$J$16,0),MATCH(F2754,Config!$H$5:$H$10,0)),""))</f>
        <v/>
      </c>
      <c r="U2754" s="47">
        <f>IF(AND(H2754="Realizado",L2754&lt;&gt;""),L2754/60,0)</f>
        <v>0</v>
      </c>
      <c r="V2754" s="47">
        <f>IF(AND(H2754="Realizado",OR(L2754="",M2754="")),1,0)</f>
        <v>0</v>
      </c>
    </row>
    <row r="2755">
      <c r="A2755" s="43" t="n"/>
      <c r="B2755" s="44" t="n"/>
      <c r="C2755" s="38" t="n"/>
      <c r="D2755" s="38" t="n"/>
      <c r="E2755" s="37" t="n"/>
      <c r="F2755" s="38" t="n"/>
      <c r="G2755" s="38" t="n"/>
      <c r="H2755" s="38" t="n"/>
      <c r="I2755" s="38" t="n"/>
      <c r="J2755" s="38" t="n"/>
      <c r="K2755" s="37" t="n"/>
      <c r="L2755" s="39" t="n"/>
      <c r="M2755" s="40" t="n"/>
      <c r="N2755" s="30">
        <f>IF(A2755="","",MONTH(A2755))</f>
        <v/>
      </c>
      <c r="O2755" s="30">
        <f>IF(A2755="","",YEAR(A2755))</f>
        <v/>
      </c>
      <c r="P2755" s="30">
        <f>IF(A2755="","",CHOOSE(WEEKDAY(A2755,2),"Segunda","Terça","Quarta","Quinta","Sexta","Sábado","Domingo"))</f>
        <v/>
      </c>
      <c r="Q2755" s="30">
        <f>IF(B2755="","",IF(B2755&lt;TIME(12,0,0),"Manhã",IF(B2755&lt;TIME(18,0,0),"Tarde","Noite")))</f>
        <v/>
      </c>
      <c r="R2755" s="46">
        <f>IF(AND(H2755="Realizado",L2755&lt;&gt;"",A2755&lt;=Config!$B$9),L2755/60,0)</f>
        <v>0</v>
      </c>
      <c r="S2755" s="45">
        <f>IF(G2755="","",IFERROR(INDEX(Config!$K$5:$K$16,MATCH(G2755,Config!$J$5:$J$16,0)),""))</f>
        <v/>
      </c>
      <c r="T2755" s="31">
        <f>IF(OR(G2755="",F2755=""),"",IFERROR(INDEX(Config!$M$5:$R$16,MATCH(G2755,Config!$J$5:$J$16,0),MATCH(F2755,Config!$H$5:$H$10,0)),""))</f>
        <v/>
      </c>
      <c r="U2755" s="47">
        <f>IF(AND(H2755="Realizado",L2755&lt;&gt;""),L2755/60,0)</f>
        <v>0</v>
      </c>
      <c r="V2755" s="47">
        <f>IF(AND(H2755="Realizado",OR(L2755="",M2755="")),1,0)</f>
        <v>0</v>
      </c>
    </row>
    <row r="2756">
      <c r="A2756" s="43" t="n"/>
      <c r="B2756" s="44" t="n"/>
      <c r="C2756" s="38" t="n"/>
      <c r="D2756" s="38" t="n"/>
      <c r="E2756" s="37" t="n"/>
      <c r="F2756" s="38" t="n"/>
      <c r="G2756" s="38" t="n"/>
      <c r="H2756" s="38" t="n"/>
      <c r="I2756" s="38" t="n"/>
      <c r="J2756" s="38" t="n"/>
      <c r="K2756" s="37" t="n"/>
      <c r="L2756" s="39" t="n"/>
      <c r="M2756" s="40" t="n"/>
      <c r="N2756" s="30">
        <f>IF(A2756="","",MONTH(A2756))</f>
        <v/>
      </c>
      <c r="O2756" s="30">
        <f>IF(A2756="","",YEAR(A2756))</f>
        <v/>
      </c>
      <c r="P2756" s="30">
        <f>IF(A2756="","",CHOOSE(WEEKDAY(A2756,2),"Segunda","Terça","Quarta","Quinta","Sexta","Sábado","Domingo"))</f>
        <v/>
      </c>
      <c r="Q2756" s="30">
        <f>IF(B2756="","",IF(B2756&lt;TIME(12,0,0),"Manhã",IF(B2756&lt;TIME(18,0,0),"Tarde","Noite")))</f>
        <v/>
      </c>
      <c r="R2756" s="46">
        <f>IF(AND(H2756="Realizado",L2756&lt;&gt;"",A2756&lt;=Config!$B$9),L2756/60,0)</f>
        <v>0</v>
      </c>
      <c r="S2756" s="45">
        <f>IF(G2756="","",IFERROR(INDEX(Config!$K$5:$K$16,MATCH(G2756,Config!$J$5:$J$16,0)),""))</f>
        <v/>
      </c>
      <c r="T2756" s="31">
        <f>IF(OR(G2756="",F2756=""),"",IFERROR(INDEX(Config!$M$5:$R$16,MATCH(G2756,Config!$J$5:$J$16,0),MATCH(F2756,Config!$H$5:$H$10,0)),""))</f>
        <v/>
      </c>
      <c r="U2756" s="47">
        <f>IF(AND(H2756="Realizado",L2756&lt;&gt;""),L2756/60,0)</f>
        <v>0</v>
      </c>
      <c r="V2756" s="47">
        <f>IF(AND(H2756="Realizado",OR(L2756="",M2756="")),1,0)</f>
        <v>0</v>
      </c>
    </row>
    <row r="2757">
      <c r="A2757" s="43" t="n"/>
      <c r="B2757" s="44" t="n"/>
      <c r="C2757" s="38" t="n"/>
      <c r="D2757" s="38" t="n"/>
      <c r="E2757" s="37" t="n"/>
      <c r="F2757" s="38" t="n"/>
      <c r="G2757" s="38" t="n"/>
      <c r="H2757" s="38" t="n"/>
      <c r="I2757" s="38" t="n"/>
      <c r="J2757" s="38" t="n"/>
      <c r="K2757" s="37" t="n"/>
      <c r="L2757" s="39" t="n"/>
      <c r="M2757" s="40" t="n"/>
      <c r="N2757" s="30">
        <f>IF(A2757="","",MONTH(A2757))</f>
        <v/>
      </c>
      <c r="O2757" s="30">
        <f>IF(A2757="","",YEAR(A2757))</f>
        <v/>
      </c>
      <c r="P2757" s="30">
        <f>IF(A2757="","",CHOOSE(WEEKDAY(A2757,2),"Segunda","Terça","Quarta","Quinta","Sexta","Sábado","Domingo"))</f>
        <v/>
      </c>
      <c r="Q2757" s="30">
        <f>IF(B2757="","",IF(B2757&lt;TIME(12,0,0),"Manhã",IF(B2757&lt;TIME(18,0,0),"Tarde","Noite")))</f>
        <v/>
      </c>
      <c r="R2757" s="46">
        <f>IF(AND(H2757="Realizado",L2757&lt;&gt;"",A2757&lt;=Config!$B$9),L2757/60,0)</f>
        <v>0</v>
      </c>
      <c r="S2757" s="45">
        <f>IF(G2757="","",IFERROR(INDEX(Config!$K$5:$K$16,MATCH(G2757,Config!$J$5:$J$16,0)),""))</f>
        <v/>
      </c>
      <c r="T2757" s="31">
        <f>IF(OR(G2757="",F2757=""),"",IFERROR(INDEX(Config!$M$5:$R$16,MATCH(G2757,Config!$J$5:$J$16,0),MATCH(F2757,Config!$H$5:$H$10,0)),""))</f>
        <v/>
      </c>
      <c r="U2757" s="47">
        <f>IF(AND(H2757="Realizado",L2757&lt;&gt;""),L2757/60,0)</f>
        <v>0</v>
      </c>
      <c r="V2757" s="47">
        <f>IF(AND(H2757="Realizado",OR(L2757="",M2757="")),1,0)</f>
        <v>0</v>
      </c>
    </row>
    <row r="2758">
      <c r="A2758" s="43" t="n"/>
      <c r="B2758" s="44" t="n"/>
      <c r="C2758" s="38" t="n"/>
      <c r="D2758" s="38" t="n"/>
      <c r="E2758" s="37" t="n"/>
      <c r="F2758" s="38" t="n"/>
      <c r="G2758" s="38" t="n"/>
      <c r="H2758" s="38" t="n"/>
      <c r="I2758" s="38" t="n"/>
      <c r="J2758" s="38" t="n"/>
      <c r="K2758" s="37" t="n"/>
      <c r="L2758" s="39" t="n"/>
      <c r="M2758" s="40" t="n"/>
      <c r="N2758" s="30">
        <f>IF(A2758="","",MONTH(A2758))</f>
        <v/>
      </c>
      <c r="O2758" s="30">
        <f>IF(A2758="","",YEAR(A2758))</f>
        <v/>
      </c>
      <c r="P2758" s="30">
        <f>IF(A2758="","",CHOOSE(WEEKDAY(A2758,2),"Segunda","Terça","Quarta","Quinta","Sexta","Sábado","Domingo"))</f>
        <v/>
      </c>
      <c r="Q2758" s="30">
        <f>IF(B2758="","",IF(B2758&lt;TIME(12,0,0),"Manhã",IF(B2758&lt;TIME(18,0,0),"Tarde","Noite")))</f>
        <v/>
      </c>
      <c r="R2758" s="46">
        <f>IF(AND(H2758="Realizado",L2758&lt;&gt;"",A2758&lt;=Config!$B$9),L2758/60,0)</f>
        <v>0</v>
      </c>
      <c r="S2758" s="45">
        <f>IF(G2758="","",IFERROR(INDEX(Config!$K$5:$K$16,MATCH(G2758,Config!$J$5:$J$16,0)),""))</f>
        <v/>
      </c>
      <c r="T2758" s="31">
        <f>IF(OR(G2758="",F2758=""),"",IFERROR(INDEX(Config!$M$5:$R$16,MATCH(G2758,Config!$J$5:$J$16,0),MATCH(F2758,Config!$H$5:$H$10,0)),""))</f>
        <v/>
      </c>
      <c r="U2758" s="47">
        <f>IF(AND(H2758="Realizado",L2758&lt;&gt;""),L2758/60,0)</f>
        <v>0</v>
      </c>
      <c r="V2758" s="47">
        <f>IF(AND(H2758="Realizado",OR(L2758="",M2758="")),1,0)</f>
        <v>0</v>
      </c>
    </row>
    <row r="2759">
      <c r="A2759" s="43" t="n"/>
      <c r="B2759" s="44" t="n"/>
      <c r="C2759" s="38" t="n"/>
      <c r="D2759" s="38" t="n"/>
      <c r="E2759" s="37" t="n"/>
      <c r="F2759" s="38" t="n"/>
      <c r="G2759" s="38" t="n"/>
      <c r="H2759" s="38" t="n"/>
      <c r="I2759" s="38" t="n"/>
      <c r="J2759" s="38" t="n"/>
      <c r="K2759" s="37" t="n"/>
      <c r="L2759" s="39" t="n"/>
      <c r="M2759" s="40" t="n"/>
      <c r="N2759" s="30">
        <f>IF(A2759="","",MONTH(A2759))</f>
        <v/>
      </c>
      <c r="O2759" s="30">
        <f>IF(A2759="","",YEAR(A2759))</f>
        <v/>
      </c>
      <c r="P2759" s="30">
        <f>IF(A2759="","",CHOOSE(WEEKDAY(A2759,2),"Segunda","Terça","Quarta","Quinta","Sexta","Sábado","Domingo"))</f>
        <v/>
      </c>
      <c r="Q2759" s="30">
        <f>IF(B2759="","",IF(B2759&lt;TIME(12,0,0),"Manhã",IF(B2759&lt;TIME(18,0,0),"Tarde","Noite")))</f>
        <v/>
      </c>
      <c r="R2759" s="46">
        <f>IF(AND(H2759="Realizado",L2759&lt;&gt;"",A2759&lt;=Config!$B$9),L2759/60,0)</f>
        <v>0</v>
      </c>
      <c r="S2759" s="45">
        <f>IF(G2759="","",IFERROR(INDEX(Config!$K$5:$K$16,MATCH(G2759,Config!$J$5:$J$16,0)),""))</f>
        <v/>
      </c>
      <c r="T2759" s="31">
        <f>IF(OR(G2759="",F2759=""),"",IFERROR(INDEX(Config!$M$5:$R$16,MATCH(G2759,Config!$J$5:$J$16,0),MATCH(F2759,Config!$H$5:$H$10,0)),""))</f>
        <v/>
      </c>
      <c r="U2759" s="47">
        <f>IF(AND(H2759="Realizado",L2759&lt;&gt;""),L2759/60,0)</f>
        <v>0</v>
      </c>
      <c r="V2759" s="47">
        <f>IF(AND(H2759="Realizado",OR(L2759="",M2759="")),1,0)</f>
        <v>0</v>
      </c>
    </row>
    <row r="2760">
      <c r="A2760" s="43" t="n"/>
      <c r="B2760" s="44" t="n"/>
      <c r="C2760" s="38" t="n"/>
      <c r="D2760" s="38" t="n"/>
      <c r="E2760" s="37" t="n"/>
      <c r="F2760" s="38" t="n"/>
      <c r="G2760" s="38" t="n"/>
      <c r="H2760" s="38" t="n"/>
      <c r="I2760" s="38" t="n"/>
      <c r="J2760" s="38" t="n"/>
      <c r="K2760" s="37" t="n"/>
      <c r="L2760" s="39" t="n"/>
      <c r="M2760" s="40" t="n"/>
      <c r="N2760" s="30">
        <f>IF(A2760="","",MONTH(A2760))</f>
        <v/>
      </c>
      <c r="O2760" s="30">
        <f>IF(A2760="","",YEAR(A2760))</f>
        <v/>
      </c>
      <c r="P2760" s="30">
        <f>IF(A2760="","",CHOOSE(WEEKDAY(A2760,2),"Segunda","Terça","Quarta","Quinta","Sexta","Sábado","Domingo"))</f>
        <v/>
      </c>
      <c r="Q2760" s="30">
        <f>IF(B2760="","",IF(B2760&lt;TIME(12,0,0),"Manhã",IF(B2760&lt;TIME(18,0,0),"Tarde","Noite")))</f>
        <v/>
      </c>
      <c r="R2760" s="46">
        <f>IF(AND(H2760="Realizado",L2760&lt;&gt;"",A2760&lt;=Config!$B$9),L2760/60,0)</f>
        <v>0</v>
      </c>
      <c r="S2760" s="45">
        <f>IF(G2760="","",IFERROR(INDEX(Config!$K$5:$K$16,MATCH(G2760,Config!$J$5:$J$16,0)),""))</f>
        <v/>
      </c>
      <c r="T2760" s="31">
        <f>IF(OR(G2760="",F2760=""),"",IFERROR(INDEX(Config!$M$5:$R$16,MATCH(G2760,Config!$J$5:$J$16,0),MATCH(F2760,Config!$H$5:$H$10,0)),""))</f>
        <v/>
      </c>
      <c r="U2760" s="47">
        <f>IF(AND(H2760="Realizado",L2760&lt;&gt;""),L2760/60,0)</f>
        <v>0</v>
      </c>
      <c r="V2760" s="47">
        <f>IF(AND(H2760="Realizado",OR(L2760="",M2760="")),1,0)</f>
        <v>0</v>
      </c>
    </row>
    <row r="2761">
      <c r="A2761" s="43" t="n"/>
      <c r="B2761" s="44" t="n"/>
      <c r="C2761" s="38" t="n"/>
      <c r="D2761" s="38" t="n"/>
      <c r="E2761" s="37" t="n"/>
      <c r="F2761" s="38" t="n"/>
      <c r="G2761" s="38" t="n"/>
      <c r="H2761" s="38" t="n"/>
      <c r="I2761" s="38" t="n"/>
      <c r="J2761" s="38" t="n"/>
      <c r="K2761" s="37" t="n"/>
      <c r="L2761" s="39" t="n"/>
      <c r="M2761" s="40" t="n"/>
      <c r="N2761" s="30">
        <f>IF(A2761="","",MONTH(A2761))</f>
        <v/>
      </c>
      <c r="O2761" s="30">
        <f>IF(A2761="","",YEAR(A2761))</f>
        <v/>
      </c>
      <c r="P2761" s="30">
        <f>IF(A2761="","",CHOOSE(WEEKDAY(A2761,2),"Segunda","Terça","Quarta","Quinta","Sexta","Sábado","Domingo"))</f>
        <v/>
      </c>
      <c r="Q2761" s="30">
        <f>IF(B2761="","",IF(B2761&lt;TIME(12,0,0),"Manhã",IF(B2761&lt;TIME(18,0,0),"Tarde","Noite")))</f>
        <v/>
      </c>
      <c r="R2761" s="46">
        <f>IF(AND(H2761="Realizado",L2761&lt;&gt;"",A2761&lt;=Config!$B$9),L2761/60,0)</f>
        <v>0</v>
      </c>
      <c r="S2761" s="45">
        <f>IF(G2761="","",IFERROR(INDEX(Config!$K$5:$K$16,MATCH(G2761,Config!$J$5:$J$16,0)),""))</f>
        <v/>
      </c>
      <c r="T2761" s="31">
        <f>IF(OR(G2761="",F2761=""),"",IFERROR(INDEX(Config!$M$5:$R$16,MATCH(G2761,Config!$J$5:$J$16,0),MATCH(F2761,Config!$H$5:$H$10,0)),""))</f>
        <v/>
      </c>
      <c r="U2761" s="47">
        <f>IF(AND(H2761="Realizado",L2761&lt;&gt;""),L2761/60,0)</f>
        <v>0</v>
      </c>
      <c r="V2761" s="47">
        <f>IF(AND(H2761="Realizado",OR(L2761="",M2761="")),1,0)</f>
        <v>0</v>
      </c>
    </row>
    <row r="2762">
      <c r="A2762" s="43" t="n"/>
      <c r="B2762" s="44" t="n"/>
      <c r="C2762" s="38" t="n"/>
      <c r="D2762" s="38" t="n"/>
      <c r="E2762" s="37" t="n"/>
      <c r="F2762" s="38" t="n"/>
      <c r="G2762" s="38" t="n"/>
      <c r="H2762" s="38" t="n"/>
      <c r="I2762" s="38" t="n"/>
      <c r="J2762" s="38" t="n"/>
      <c r="K2762" s="37" t="n"/>
      <c r="L2762" s="39" t="n"/>
      <c r="M2762" s="40" t="n"/>
      <c r="N2762" s="30">
        <f>IF(A2762="","",MONTH(A2762))</f>
        <v/>
      </c>
      <c r="O2762" s="30">
        <f>IF(A2762="","",YEAR(A2762))</f>
        <v/>
      </c>
      <c r="P2762" s="30">
        <f>IF(A2762="","",CHOOSE(WEEKDAY(A2762,2),"Segunda","Terça","Quarta","Quinta","Sexta","Sábado","Domingo"))</f>
        <v/>
      </c>
      <c r="Q2762" s="30">
        <f>IF(B2762="","",IF(B2762&lt;TIME(12,0,0),"Manhã",IF(B2762&lt;TIME(18,0,0),"Tarde","Noite")))</f>
        <v/>
      </c>
      <c r="R2762" s="46">
        <f>IF(AND(H2762="Realizado",L2762&lt;&gt;"",A2762&lt;=Config!$B$9),L2762/60,0)</f>
        <v>0</v>
      </c>
      <c r="S2762" s="45">
        <f>IF(G2762="","",IFERROR(INDEX(Config!$K$5:$K$16,MATCH(G2762,Config!$J$5:$J$16,0)),""))</f>
        <v/>
      </c>
      <c r="T2762" s="31">
        <f>IF(OR(G2762="",F2762=""),"",IFERROR(INDEX(Config!$M$5:$R$16,MATCH(G2762,Config!$J$5:$J$16,0),MATCH(F2762,Config!$H$5:$H$10,0)),""))</f>
        <v/>
      </c>
      <c r="U2762" s="47">
        <f>IF(AND(H2762="Realizado",L2762&lt;&gt;""),L2762/60,0)</f>
        <v>0</v>
      </c>
      <c r="V2762" s="47">
        <f>IF(AND(H2762="Realizado",OR(L2762="",M2762="")),1,0)</f>
        <v>0</v>
      </c>
    </row>
    <row r="2763">
      <c r="A2763" s="43" t="n"/>
      <c r="B2763" s="44" t="n"/>
      <c r="C2763" s="38" t="n"/>
      <c r="D2763" s="38" t="n"/>
      <c r="E2763" s="37" t="n"/>
      <c r="F2763" s="38" t="n"/>
      <c r="G2763" s="38" t="n"/>
      <c r="H2763" s="38" t="n"/>
      <c r="I2763" s="38" t="n"/>
      <c r="J2763" s="38" t="n"/>
      <c r="K2763" s="37" t="n"/>
      <c r="L2763" s="39" t="n"/>
      <c r="M2763" s="40" t="n"/>
      <c r="N2763" s="30">
        <f>IF(A2763="","",MONTH(A2763))</f>
        <v/>
      </c>
      <c r="O2763" s="30">
        <f>IF(A2763="","",YEAR(A2763))</f>
        <v/>
      </c>
      <c r="P2763" s="30">
        <f>IF(A2763="","",CHOOSE(WEEKDAY(A2763,2),"Segunda","Terça","Quarta","Quinta","Sexta","Sábado","Domingo"))</f>
        <v/>
      </c>
      <c r="Q2763" s="30">
        <f>IF(B2763="","",IF(B2763&lt;TIME(12,0,0),"Manhã",IF(B2763&lt;TIME(18,0,0),"Tarde","Noite")))</f>
        <v/>
      </c>
      <c r="R2763" s="46">
        <f>IF(AND(H2763="Realizado",L2763&lt;&gt;"",A2763&lt;=Config!$B$9),L2763/60,0)</f>
        <v>0</v>
      </c>
      <c r="S2763" s="45">
        <f>IF(G2763="","",IFERROR(INDEX(Config!$K$5:$K$16,MATCH(G2763,Config!$J$5:$J$16,0)),""))</f>
        <v/>
      </c>
      <c r="T2763" s="31">
        <f>IF(OR(G2763="",F2763=""),"",IFERROR(INDEX(Config!$M$5:$R$16,MATCH(G2763,Config!$J$5:$J$16,0),MATCH(F2763,Config!$H$5:$H$10,0)),""))</f>
        <v/>
      </c>
      <c r="U2763" s="47">
        <f>IF(AND(H2763="Realizado",L2763&lt;&gt;""),L2763/60,0)</f>
        <v>0</v>
      </c>
      <c r="V2763" s="47">
        <f>IF(AND(H2763="Realizado",OR(L2763="",M2763="")),1,0)</f>
        <v>0</v>
      </c>
    </row>
    <row r="2764">
      <c r="A2764" s="43" t="n"/>
      <c r="B2764" s="44" t="n"/>
      <c r="C2764" s="38" t="n"/>
      <c r="D2764" s="38" t="n"/>
      <c r="E2764" s="37" t="n"/>
      <c r="F2764" s="38" t="n"/>
      <c r="G2764" s="38" t="n"/>
      <c r="H2764" s="38" t="n"/>
      <c r="I2764" s="38" t="n"/>
      <c r="J2764" s="38" t="n"/>
      <c r="K2764" s="37" t="n"/>
      <c r="L2764" s="39" t="n"/>
      <c r="M2764" s="40" t="n"/>
      <c r="N2764" s="30">
        <f>IF(A2764="","",MONTH(A2764))</f>
        <v/>
      </c>
      <c r="O2764" s="30">
        <f>IF(A2764="","",YEAR(A2764))</f>
        <v/>
      </c>
      <c r="P2764" s="30">
        <f>IF(A2764="","",CHOOSE(WEEKDAY(A2764,2),"Segunda","Terça","Quarta","Quinta","Sexta","Sábado","Domingo"))</f>
        <v/>
      </c>
      <c r="Q2764" s="30">
        <f>IF(B2764="","",IF(B2764&lt;TIME(12,0,0),"Manhã",IF(B2764&lt;TIME(18,0,0),"Tarde","Noite")))</f>
        <v/>
      </c>
      <c r="R2764" s="46">
        <f>IF(AND(H2764="Realizado",L2764&lt;&gt;"",A2764&lt;=Config!$B$9),L2764/60,0)</f>
        <v>0</v>
      </c>
      <c r="S2764" s="45">
        <f>IF(G2764="","",IFERROR(INDEX(Config!$K$5:$K$16,MATCH(G2764,Config!$J$5:$J$16,0)),""))</f>
        <v/>
      </c>
      <c r="T2764" s="31">
        <f>IF(OR(G2764="",F2764=""),"",IFERROR(INDEX(Config!$M$5:$R$16,MATCH(G2764,Config!$J$5:$J$16,0),MATCH(F2764,Config!$H$5:$H$10,0)),""))</f>
        <v/>
      </c>
      <c r="U2764" s="47">
        <f>IF(AND(H2764="Realizado",L2764&lt;&gt;""),L2764/60,0)</f>
        <v>0</v>
      </c>
      <c r="V2764" s="47">
        <f>IF(AND(H2764="Realizado",OR(L2764="",M2764="")),1,0)</f>
        <v>0</v>
      </c>
    </row>
    <row r="2765">
      <c r="A2765" s="43" t="n"/>
      <c r="B2765" s="44" t="n"/>
      <c r="C2765" s="38" t="n"/>
      <c r="D2765" s="38" t="n"/>
      <c r="E2765" s="37" t="n"/>
      <c r="F2765" s="38" t="n"/>
      <c r="G2765" s="38" t="n"/>
      <c r="H2765" s="38" t="n"/>
      <c r="I2765" s="38" t="n"/>
      <c r="J2765" s="38" t="n"/>
      <c r="K2765" s="37" t="n"/>
      <c r="L2765" s="39" t="n"/>
      <c r="M2765" s="40" t="n"/>
      <c r="N2765" s="30">
        <f>IF(A2765="","",MONTH(A2765))</f>
        <v/>
      </c>
      <c r="O2765" s="30">
        <f>IF(A2765="","",YEAR(A2765))</f>
        <v/>
      </c>
      <c r="P2765" s="30">
        <f>IF(A2765="","",CHOOSE(WEEKDAY(A2765,2),"Segunda","Terça","Quarta","Quinta","Sexta","Sábado","Domingo"))</f>
        <v/>
      </c>
      <c r="Q2765" s="30">
        <f>IF(B2765="","",IF(B2765&lt;TIME(12,0,0),"Manhã",IF(B2765&lt;TIME(18,0,0),"Tarde","Noite")))</f>
        <v/>
      </c>
      <c r="R2765" s="46">
        <f>IF(AND(H2765="Realizado",L2765&lt;&gt;"",A2765&lt;=Config!$B$9),L2765/60,0)</f>
        <v>0</v>
      </c>
      <c r="S2765" s="45">
        <f>IF(G2765="","",IFERROR(INDEX(Config!$K$5:$K$16,MATCH(G2765,Config!$J$5:$J$16,0)),""))</f>
        <v/>
      </c>
      <c r="T2765" s="31">
        <f>IF(OR(G2765="",F2765=""),"",IFERROR(INDEX(Config!$M$5:$R$16,MATCH(G2765,Config!$J$5:$J$16,0),MATCH(F2765,Config!$H$5:$H$10,0)),""))</f>
        <v/>
      </c>
      <c r="U2765" s="47">
        <f>IF(AND(H2765="Realizado",L2765&lt;&gt;""),L2765/60,0)</f>
        <v>0</v>
      </c>
      <c r="V2765" s="47">
        <f>IF(AND(H2765="Realizado",OR(L2765="",M2765="")),1,0)</f>
        <v>0</v>
      </c>
    </row>
    <row r="2766">
      <c r="A2766" s="43" t="n"/>
      <c r="B2766" s="44" t="n"/>
      <c r="C2766" s="38" t="n"/>
      <c r="D2766" s="38" t="n"/>
      <c r="E2766" s="37" t="n"/>
      <c r="F2766" s="38" t="n"/>
      <c r="G2766" s="38" t="n"/>
      <c r="H2766" s="38" t="n"/>
      <c r="I2766" s="38" t="n"/>
      <c r="J2766" s="38" t="n"/>
      <c r="K2766" s="37" t="n"/>
      <c r="L2766" s="39" t="n"/>
      <c r="M2766" s="40" t="n"/>
      <c r="N2766" s="30">
        <f>IF(A2766="","",MONTH(A2766))</f>
        <v/>
      </c>
      <c r="O2766" s="30">
        <f>IF(A2766="","",YEAR(A2766))</f>
        <v/>
      </c>
      <c r="P2766" s="30">
        <f>IF(A2766="","",CHOOSE(WEEKDAY(A2766,2),"Segunda","Terça","Quarta","Quinta","Sexta","Sábado","Domingo"))</f>
        <v/>
      </c>
      <c r="Q2766" s="30">
        <f>IF(B2766="","",IF(B2766&lt;TIME(12,0,0),"Manhã",IF(B2766&lt;TIME(18,0,0),"Tarde","Noite")))</f>
        <v/>
      </c>
      <c r="R2766" s="46">
        <f>IF(AND(H2766="Realizado",L2766&lt;&gt;"",A2766&lt;=Config!$B$9),L2766/60,0)</f>
        <v>0</v>
      </c>
      <c r="S2766" s="45">
        <f>IF(G2766="","",IFERROR(INDEX(Config!$K$5:$K$16,MATCH(G2766,Config!$J$5:$J$16,0)),""))</f>
        <v/>
      </c>
      <c r="T2766" s="31">
        <f>IF(OR(G2766="",F2766=""),"",IFERROR(INDEX(Config!$M$5:$R$16,MATCH(G2766,Config!$J$5:$J$16,0),MATCH(F2766,Config!$H$5:$H$10,0)),""))</f>
        <v/>
      </c>
      <c r="U2766" s="47">
        <f>IF(AND(H2766="Realizado",L2766&lt;&gt;""),L2766/60,0)</f>
        <v>0</v>
      </c>
      <c r="V2766" s="47">
        <f>IF(AND(H2766="Realizado",OR(L2766="",M2766="")),1,0)</f>
        <v>0</v>
      </c>
    </row>
    <row r="2767">
      <c r="A2767" s="43" t="n"/>
      <c r="B2767" s="44" t="n"/>
      <c r="C2767" s="38" t="n"/>
      <c r="D2767" s="38" t="n"/>
      <c r="E2767" s="37" t="n"/>
      <c r="F2767" s="38" t="n"/>
      <c r="G2767" s="38" t="n"/>
      <c r="H2767" s="38" t="n"/>
      <c r="I2767" s="38" t="n"/>
      <c r="J2767" s="38" t="n"/>
      <c r="K2767" s="37" t="n"/>
      <c r="L2767" s="39" t="n"/>
      <c r="M2767" s="40" t="n"/>
      <c r="N2767" s="30">
        <f>IF(A2767="","",MONTH(A2767))</f>
        <v/>
      </c>
      <c r="O2767" s="30">
        <f>IF(A2767="","",YEAR(A2767))</f>
        <v/>
      </c>
      <c r="P2767" s="30">
        <f>IF(A2767="","",CHOOSE(WEEKDAY(A2767,2),"Segunda","Terça","Quarta","Quinta","Sexta","Sábado","Domingo"))</f>
        <v/>
      </c>
      <c r="Q2767" s="30">
        <f>IF(B2767="","",IF(B2767&lt;TIME(12,0,0),"Manhã",IF(B2767&lt;TIME(18,0,0),"Tarde","Noite")))</f>
        <v/>
      </c>
      <c r="R2767" s="46">
        <f>IF(AND(H2767="Realizado",L2767&lt;&gt;"",A2767&lt;=Config!$B$9),L2767/60,0)</f>
        <v>0</v>
      </c>
      <c r="S2767" s="45">
        <f>IF(G2767="","",IFERROR(INDEX(Config!$K$5:$K$16,MATCH(G2767,Config!$J$5:$J$16,0)),""))</f>
        <v/>
      </c>
      <c r="T2767" s="31">
        <f>IF(OR(G2767="",F2767=""),"",IFERROR(INDEX(Config!$M$5:$R$16,MATCH(G2767,Config!$J$5:$J$16,0),MATCH(F2767,Config!$H$5:$H$10,0)),""))</f>
        <v/>
      </c>
      <c r="U2767" s="47">
        <f>IF(AND(H2767="Realizado",L2767&lt;&gt;""),L2767/60,0)</f>
        <v>0</v>
      </c>
      <c r="V2767" s="47">
        <f>IF(AND(H2767="Realizado",OR(L2767="",M2767="")),1,0)</f>
        <v>0</v>
      </c>
    </row>
    <row r="2768">
      <c r="A2768" s="43" t="n"/>
      <c r="B2768" s="44" t="n"/>
      <c r="C2768" s="38" t="n"/>
      <c r="D2768" s="38" t="n"/>
      <c r="E2768" s="37" t="n"/>
      <c r="F2768" s="38" t="n"/>
      <c r="G2768" s="38" t="n"/>
      <c r="H2768" s="38" t="n"/>
      <c r="I2768" s="38" t="n"/>
      <c r="J2768" s="38" t="n"/>
      <c r="K2768" s="37" t="n"/>
      <c r="L2768" s="39" t="n"/>
      <c r="M2768" s="40" t="n"/>
      <c r="N2768" s="30">
        <f>IF(A2768="","",MONTH(A2768))</f>
        <v/>
      </c>
      <c r="O2768" s="30">
        <f>IF(A2768="","",YEAR(A2768))</f>
        <v/>
      </c>
      <c r="P2768" s="30">
        <f>IF(A2768="","",CHOOSE(WEEKDAY(A2768,2),"Segunda","Terça","Quarta","Quinta","Sexta","Sábado","Domingo"))</f>
        <v/>
      </c>
      <c r="Q2768" s="30">
        <f>IF(B2768="","",IF(B2768&lt;TIME(12,0,0),"Manhã",IF(B2768&lt;TIME(18,0,0),"Tarde","Noite")))</f>
        <v/>
      </c>
      <c r="R2768" s="46">
        <f>IF(AND(H2768="Realizado",L2768&lt;&gt;"",A2768&lt;=Config!$B$9),L2768/60,0)</f>
        <v>0</v>
      </c>
      <c r="S2768" s="45">
        <f>IF(G2768="","",IFERROR(INDEX(Config!$K$5:$K$16,MATCH(G2768,Config!$J$5:$J$16,0)),""))</f>
        <v/>
      </c>
      <c r="T2768" s="31">
        <f>IF(OR(G2768="",F2768=""),"",IFERROR(INDEX(Config!$M$5:$R$16,MATCH(G2768,Config!$J$5:$J$16,0),MATCH(F2768,Config!$H$5:$H$10,0)),""))</f>
        <v/>
      </c>
      <c r="U2768" s="47">
        <f>IF(AND(H2768="Realizado",L2768&lt;&gt;""),L2768/60,0)</f>
        <v>0</v>
      </c>
      <c r="V2768" s="47">
        <f>IF(AND(H2768="Realizado",OR(L2768="",M2768="")),1,0)</f>
        <v>0</v>
      </c>
    </row>
    <row r="2769">
      <c r="A2769" s="43" t="n"/>
      <c r="B2769" s="44" t="n"/>
      <c r="C2769" s="38" t="n"/>
      <c r="D2769" s="38" t="n"/>
      <c r="E2769" s="37" t="n"/>
      <c r="F2769" s="38" t="n"/>
      <c r="G2769" s="38" t="n"/>
      <c r="H2769" s="38" t="n"/>
      <c r="I2769" s="38" t="n"/>
      <c r="J2769" s="38" t="n"/>
      <c r="K2769" s="37" t="n"/>
      <c r="L2769" s="39" t="n"/>
      <c r="M2769" s="40" t="n"/>
      <c r="N2769" s="30">
        <f>IF(A2769="","",MONTH(A2769))</f>
        <v/>
      </c>
      <c r="O2769" s="30">
        <f>IF(A2769="","",YEAR(A2769))</f>
        <v/>
      </c>
      <c r="P2769" s="30">
        <f>IF(A2769="","",CHOOSE(WEEKDAY(A2769,2),"Segunda","Terça","Quarta","Quinta","Sexta","Sábado","Domingo"))</f>
        <v/>
      </c>
      <c r="Q2769" s="30">
        <f>IF(B2769="","",IF(B2769&lt;TIME(12,0,0),"Manhã",IF(B2769&lt;TIME(18,0,0),"Tarde","Noite")))</f>
        <v/>
      </c>
      <c r="R2769" s="46">
        <f>IF(AND(H2769="Realizado",L2769&lt;&gt;"",A2769&lt;=Config!$B$9),L2769/60,0)</f>
        <v>0</v>
      </c>
      <c r="S2769" s="45">
        <f>IF(G2769="","",IFERROR(INDEX(Config!$K$5:$K$16,MATCH(G2769,Config!$J$5:$J$16,0)),""))</f>
        <v/>
      </c>
      <c r="T2769" s="31">
        <f>IF(OR(G2769="",F2769=""),"",IFERROR(INDEX(Config!$M$5:$R$16,MATCH(G2769,Config!$J$5:$J$16,0),MATCH(F2769,Config!$H$5:$H$10,0)),""))</f>
        <v/>
      </c>
      <c r="U2769" s="47">
        <f>IF(AND(H2769="Realizado",L2769&lt;&gt;""),L2769/60,0)</f>
        <v>0</v>
      </c>
      <c r="V2769" s="47">
        <f>IF(AND(H2769="Realizado",OR(L2769="",M2769="")),1,0)</f>
        <v>0</v>
      </c>
    </row>
    <row r="2770">
      <c r="A2770" s="43" t="n"/>
      <c r="B2770" s="44" t="n"/>
      <c r="C2770" s="38" t="n"/>
      <c r="D2770" s="38" t="n"/>
      <c r="E2770" s="37" t="n"/>
      <c r="F2770" s="38" t="n"/>
      <c r="G2770" s="38" t="n"/>
      <c r="H2770" s="38" t="n"/>
      <c r="I2770" s="38" t="n"/>
      <c r="J2770" s="38" t="n"/>
      <c r="K2770" s="37" t="n"/>
      <c r="L2770" s="39" t="n"/>
      <c r="M2770" s="40" t="n"/>
      <c r="N2770" s="30">
        <f>IF(A2770="","",MONTH(A2770))</f>
        <v/>
      </c>
      <c r="O2770" s="30">
        <f>IF(A2770="","",YEAR(A2770))</f>
        <v/>
      </c>
      <c r="P2770" s="30">
        <f>IF(A2770="","",CHOOSE(WEEKDAY(A2770,2),"Segunda","Terça","Quarta","Quinta","Sexta","Sábado","Domingo"))</f>
        <v/>
      </c>
      <c r="Q2770" s="30">
        <f>IF(B2770="","",IF(B2770&lt;TIME(12,0,0),"Manhã",IF(B2770&lt;TIME(18,0,0),"Tarde","Noite")))</f>
        <v/>
      </c>
      <c r="R2770" s="46">
        <f>IF(AND(H2770="Realizado",L2770&lt;&gt;"",A2770&lt;=Config!$B$9),L2770/60,0)</f>
        <v>0</v>
      </c>
      <c r="S2770" s="45">
        <f>IF(G2770="","",IFERROR(INDEX(Config!$K$5:$K$16,MATCH(G2770,Config!$J$5:$J$16,0)),""))</f>
        <v/>
      </c>
      <c r="T2770" s="31">
        <f>IF(OR(G2770="",F2770=""),"",IFERROR(INDEX(Config!$M$5:$R$16,MATCH(G2770,Config!$J$5:$J$16,0),MATCH(F2770,Config!$H$5:$H$10,0)),""))</f>
        <v/>
      </c>
      <c r="U2770" s="47">
        <f>IF(AND(H2770="Realizado",L2770&lt;&gt;""),L2770/60,0)</f>
        <v>0</v>
      </c>
      <c r="V2770" s="47">
        <f>IF(AND(H2770="Realizado",OR(L2770="",M2770="")),1,0)</f>
        <v>0</v>
      </c>
    </row>
    <row r="2771">
      <c r="A2771" s="43" t="n"/>
      <c r="B2771" s="44" t="n"/>
      <c r="C2771" s="38" t="n"/>
      <c r="D2771" s="38" t="n"/>
      <c r="E2771" s="37" t="n"/>
      <c r="F2771" s="38" t="n"/>
      <c r="G2771" s="38" t="n"/>
      <c r="H2771" s="38" t="n"/>
      <c r="I2771" s="38" t="n"/>
      <c r="J2771" s="38" t="n"/>
      <c r="K2771" s="37" t="n"/>
      <c r="L2771" s="39" t="n"/>
      <c r="M2771" s="40" t="n"/>
      <c r="N2771" s="30">
        <f>IF(A2771="","",MONTH(A2771))</f>
        <v/>
      </c>
      <c r="O2771" s="30">
        <f>IF(A2771="","",YEAR(A2771))</f>
        <v/>
      </c>
      <c r="P2771" s="30">
        <f>IF(A2771="","",CHOOSE(WEEKDAY(A2771,2),"Segunda","Terça","Quarta","Quinta","Sexta","Sábado","Domingo"))</f>
        <v/>
      </c>
      <c r="Q2771" s="30">
        <f>IF(B2771="","",IF(B2771&lt;TIME(12,0,0),"Manhã",IF(B2771&lt;TIME(18,0,0),"Tarde","Noite")))</f>
        <v/>
      </c>
      <c r="R2771" s="46">
        <f>IF(AND(H2771="Realizado",L2771&lt;&gt;"",A2771&lt;=Config!$B$9),L2771/60,0)</f>
        <v>0</v>
      </c>
      <c r="S2771" s="45">
        <f>IF(G2771="","",IFERROR(INDEX(Config!$K$5:$K$16,MATCH(G2771,Config!$J$5:$J$16,0)),""))</f>
        <v/>
      </c>
      <c r="T2771" s="31">
        <f>IF(OR(G2771="",F2771=""),"",IFERROR(INDEX(Config!$M$5:$R$16,MATCH(G2771,Config!$J$5:$J$16,0),MATCH(F2771,Config!$H$5:$H$10,0)),""))</f>
        <v/>
      </c>
      <c r="U2771" s="47">
        <f>IF(AND(H2771="Realizado",L2771&lt;&gt;""),L2771/60,0)</f>
        <v>0</v>
      </c>
      <c r="V2771" s="47">
        <f>IF(AND(H2771="Realizado",OR(L2771="",M2771="")),1,0)</f>
        <v>0</v>
      </c>
    </row>
    <row r="2772">
      <c r="A2772" s="43" t="n"/>
      <c r="B2772" s="44" t="n"/>
      <c r="C2772" s="38" t="n"/>
      <c r="D2772" s="38" t="n"/>
      <c r="E2772" s="37" t="n"/>
      <c r="F2772" s="38" t="n"/>
      <c r="G2772" s="38" t="n"/>
      <c r="H2772" s="38" t="n"/>
      <c r="I2772" s="38" t="n"/>
      <c r="J2772" s="38" t="n"/>
      <c r="K2772" s="37" t="n"/>
      <c r="L2772" s="39" t="n"/>
      <c r="M2772" s="40" t="n"/>
      <c r="N2772" s="30">
        <f>IF(A2772="","",MONTH(A2772))</f>
        <v/>
      </c>
      <c r="O2772" s="30">
        <f>IF(A2772="","",YEAR(A2772))</f>
        <v/>
      </c>
      <c r="P2772" s="30">
        <f>IF(A2772="","",CHOOSE(WEEKDAY(A2772,2),"Segunda","Terça","Quarta","Quinta","Sexta","Sábado","Domingo"))</f>
        <v/>
      </c>
      <c r="Q2772" s="30">
        <f>IF(B2772="","",IF(B2772&lt;TIME(12,0,0),"Manhã",IF(B2772&lt;TIME(18,0,0),"Tarde","Noite")))</f>
        <v/>
      </c>
      <c r="R2772" s="46">
        <f>IF(AND(H2772="Realizado",L2772&lt;&gt;"",A2772&lt;=Config!$B$9),L2772/60,0)</f>
        <v>0</v>
      </c>
      <c r="S2772" s="45">
        <f>IF(G2772="","",IFERROR(INDEX(Config!$K$5:$K$16,MATCH(G2772,Config!$J$5:$J$16,0)),""))</f>
        <v/>
      </c>
      <c r="T2772" s="31">
        <f>IF(OR(G2772="",F2772=""),"",IFERROR(INDEX(Config!$M$5:$R$16,MATCH(G2772,Config!$J$5:$J$16,0),MATCH(F2772,Config!$H$5:$H$10,0)),""))</f>
        <v/>
      </c>
      <c r="U2772" s="47">
        <f>IF(AND(H2772="Realizado",L2772&lt;&gt;""),L2772/60,0)</f>
        <v>0</v>
      </c>
      <c r="V2772" s="47">
        <f>IF(AND(H2772="Realizado",OR(L2772="",M2772="")),1,0)</f>
        <v>0</v>
      </c>
    </row>
    <row r="2773">
      <c r="A2773" s="43" t="n"/>
      <c r="B2773" s="44" t="n"/>
      <c r="C2773" s="38" t="n"/>
      <c r="D2773" s="38" t="n"/>
      <c r="E2773" s="37" t="n"/>
      <c r="F2773" s="38" t="n"/>
      <c r="G2773" s="38" t="n"/>
      <c r="H2773" s="38" t="n"/>
      <c r="I2773" s="38" t="n"/>
      <c r="J2773" s="38" t="n"/>
      <c r="K2773" s="37" t="n"/>
      <c r="L2773" s="39" t="n"/>
      <c r="M2773" s="40" t="n"/>
      <c r="N2773" s="30">
        <f>IF(A2773="","",MONTH(A2773))</f>
        <v/>
      </c>
      <c r="O2773" s="30">
        <f>IF(A2773="","",YEAR(A2773))</f>
        <v/>
      </c>
      <c r="P2773" s="30">
        <f>IF(A2773="","",CHOOSE(WEEKDAY(A2773,2),"Segunda","Terça","Quarta","Quinta","Sexta","Sábado","Domingo"))</f>
        <v/>
      </c>
      <c r="Q2773" s="30">
        <f>IF(B2773="","",IF(B2773&lt;TIME(12,0,0),"Manhã",IF(B2773&lt;TIME(18,0,0),"Tarde","Noite")))</f>
        <v/>
      </c>
      <c r="R2773" s="46">
        <f>IF(AND(H2773="Realizado",L2773&lt;&gt;"",A2773&lt;=Config!$B$9),L2773/60,0)</f>
        <v>0</v>
      </c>
      <c r="S2773" s="45">
        <f>IF(G2773="","",IFERROR(INDEX(Config!$K$5:$K$16,MATCH(G2773,Config!$J$5:$J$16,0)),""))</f>
        <v/>
      </c>
      <c r="T2773" s="31">
        <f>IF(OR(G2773="",F2773=""),"",IFERROR(INDEX(Config!$M$5:$R$16,MATCH(G2773,Config!$J$5:$J$16,0),MATCH(F2773,Config!$H$5:$H$10,0)),""))</f>
        <v/>
      </c>
      <c r="U2773" s="47">
        <f>IF(AND(H2773="Realizado",L2773&lt;&gt;""),L2773/60,0)</f>
        <v>0</v>
      </c>
      <c r="V2773" s="47">
        <f>IF(AND(H2773="Realizado",OR(L2773="",M2773="")),1,0)</f>
        <v>0</v>
      </c>
    </row>
    <row r="2774">
      <c r="A2774" s="43" t="n"/>
      <c r="B2774" s="44" t="n"/>
      <c r="C2774" s="38" t="n"/>
      <c r="D2774" s="38" t="n"/>
      <c r="E2774" s="37" t="n"/>
      <c r="F2774" s="38" t="n"/>
      <c r="G2774" s="38" t="n"/>
      <c r="H2774" s="38" t="n"/>
      <c r="I2774" s="38" t="n"/>
      <c r="J2774" s="38" t="n"/>
      <c r="K2774" s="37" t="n"/>
      <c r="L2774" s="39" t="n"/>
      <c r="M2774" s="40" t="n"/>
      <c r="N2774" s="30">
        <f>IF(A2774="","",MONTH(A2774))</f>
        <v/>
      </c>
      <c r="O2774" s="30">
        <f>IF(A2774="","",YEAR(A2774))</f>
        <v/>
      </c>
      <c r="P2774" s="30">
        <f>IF(A2774="","",CHOOSE(WEEKDAY(A2774,2),"Segunda","Terça","Quarta","Quinta","Sexta","Sábado","Domingo"))</f>
        <v/>
      </c>
      <c r="Q2774" s="30">
        <f>IF(B2774="","",IF(B2774&lt;TIME(12,0,0),"Manhã",IF(B2774&lt;TIME(18,0,0),"Tarde","Noite")))</f>
        <v/>
      </c>
      <c r="R2774" s="46">
        <f>IF(AND(H2774="Realizado",L2774&lt;&gt;"",A2774&lt;=Config!$B$9),L2774/60,0)</f>
        <v>0</v>
      </c>
      <c r="S2774" s="45">
        <f>IF(G2774="","",IFERROR(INDEX(Config!$K$5:$K$16,MATCH(G2774,Config!$J$5:$J$16,0)),""))</f>
        <v/>
      </c>
      <c r="T2774" s="31">
        <f>IF(OR(G2774="",F2774=""),"",IFERROR(INDEX(Config!$M$5:$R$16,MATCH(G2774,Config!$J$5:$J$16,0),MATCH(F2774,Config!$H$5:$H$10,0)),""))</f>
        <v/>
      </c>
      <c r="U2774" s="47">
        <f>IF(AND(H2774="Realizado",L2774&lt;&gt;""),L2774/60,0)</f>
        <v>0</v>
      </c>
      <c r="V2774" s="47">
        <f>IF(AND(H2774="Realizado",OR(L2774="",M2774="")),1,0)</f>
        <v>0</v>
      </c>
    </row>
    <row r="2775">
      <c r="A2775" s="43" t="n"/>
      <c r="B2775" s="44" t="n"/>
      <c r="C2775" s="38" t="n"/>
      <c r="D2775" s="38" t="n"/>
      <c r="E2775" s="37" t="n"/>
      <c r="F2775" s="38" t="n"/>
      <c r="G2775" s="38" t="n"/>
      <c r="H2775" s="38" t="n"/>
      <c r="I2775" s="38" t="n"/>
      <c r="J2775" s="38" t="n"/>
      <c r="K2775" s="37" t="n"/>
      <c r="L2775" s="39" t="n"/>
      <c r="M2775" s="40" t="n"/>
      <c r="N2775" s="30">
        <f>IF(A2775="","",MONTH(A2775))</f>
        <v/>
      </c>
      <c r="O2775" s="30">
        <f>IF(A2775="","",YEAR(A2775))</f>
        <v/>
      </c>
      <c r="P2775" s="30">
        <f>IF(A2775="","",CHOOSE(WEEKDAY(A2775,2),"Segunda","Terça","Quarta","Quinta","Sexta","Sábado","Domingo"))</f>
        <v/>
      </c>
      <c r="Q2775" s="30">
        <f>IF(B2775="","",IF(B2775&lt;TIME(12,0,0),"Manhã",IF(B2775&lt;TIME(18,0,0),"Tarde","Noite")))</f>
        <v/>
      </c>
      <c r="R2775" s="46">
        <f>IF(AND(H2775="Realizado",L2775&lt;&gt;"",A2775&lt;=Config!$B$9),L2775/60,0)</f>
        <v>0</v>
      </c>
      <c r="S2775" s="45">
        <f>IF(G2775="","",IFERROR(INDEX(Config!$K$5:$K$16,MATCH(G2775,Config!$J$5:$J$16,0)),""))</f>
        <v/>
      </c>
      <c r="T2775" s="31">
        <f>IF(OR(G2775="",F2775=""),"",IFERROR(INDEX(Config!$M$5:$R$16,MATCH(G2775,Config!$J$5:$J$16,0),MATCH(F2775,Config!$H$5:$H$10,0)),""))</f>
        <v/>
      </c>
      <c r="U2775" s="47">
        <f>IF(AND(H2775="Realizado",L2775&lt;&gt;""),L2775/60,0)</f>
        <v>0</v>
      </c>
      <c r="V2775" s="47">
        <f>IF(AND(H2775="Realizado",OR(L2775="",M2775="")),1,0)</f>
        <v>0</v>
      </c>
    </row>
    <row r="2776">
      <c r="A2776" s="43" t="n"/>
      <c r="B2776" s="44" t="n"/>
      <c r="C2776" s="38" t="n"/>
      <c r="D2776" s="38" t="n"/>
      <c r="E2776" s="37" t="n"/>
      <c r="F2776" s="38" t="n"/>
      <c r="G2776" s="38" t="n"/>
      <c r="H2776" s="38" t="n"/>
      <c r="I2776" s="38" t="n"/>
      <c r="J2776" s="38" t="n"/>
      <c r="K2776" s="37" t="n"/>
      <c r="L2776" s="39" t="n"/>
      <c r="M2776" s="40" t="n"/>
      <c r="N2776" s="30">
        <f>IF(A2776="","",MONTH(A2776))</f>
        <v/>
      </c>
      <c r="O2776" s="30">
        <f>IF(A2776="","",YEAR(A2776))</f>
        <v/>
      </c>
      <c r="P2776" s="30">
        <f>IF(A2776="","",CHOOSE(WEEKDAY(A2776,2),"Segunda","Terça","Quarta","Quinta","Sexta","Sábado","Domingo"))</f>
        <v/>
      </c>
      <c r="Q2776" s="30">
        <f>IF(B2776="","",IF(B2776&lt;TIME(12,0,0),"Manhã",IF(B2776&lt;TIME(18,0,0),"Tarde","Noite")))</f>
        <v/>
      </c>
      <c r="R2776" s="46">
        <f>IF(AND(H2776="Realizado",L2776&lt;&gt;"",A2776&lt;=Config!$B$9),L2776/60,0)</f>
        <v>0</v>
      </c>
      <c r="S2776" s="45">
        <f>IF(G2776="","",IFERROR(INDEX(Config!$K$5:$K$16,MATCH(G2776,Config!$J$5:$J$16,0)),""))</f>
        <v/>
      </c>
      <c r="T2776" s="31">
        <f>IF(OR(G2776="",F2776=""),"",IFERROR(INDEX(Config!$M$5:$R$16,MATCH(G2776,Config!$J$5:$J$16,0),MATCH(F2776,Config!$H$5:$H$10,0)),""))</f>
        <v/>
      </c>
      <c r="U2776" s="47">
        <f>IF(AND(H2776="Realizado",L2776&lt;&gt;""),L2776/60,0)</f>
        <v>0</v>
      </c>
      <c r="V2776" s="47">
        <f>IF(AND(H2776="Realizado",OR(L2776="",M2776="")),1,0)</f>
        <v>0</v>
      </c>
    </row>
    <row r="2777">
      <c r="A2777" s="43" t="n"/>
      <c r="B2777" s="44" t="n"/>
      <c r="C2777" s="38" t="n"/>
      <c r="D2777" s="38" t="n"/>
      <c r="E2777" s="37" t="n"/>
      <c r="F2777" s="38" t="n"/>
      <c r="G2777" s="38" t="n"/>
      <c r="H2777" s="38" t="n"/>
      <c r="I2777" s="38" t="n"/>
      <c r="J2777" s="38" t="n"/>
      <c r="K2777" s="37" t="n"/>
      <c r="L2777" s="39" t="n"/>
      <c r="M2777" s="40" t="n"/>
      <c r="N2777" s="30">
        <f>IF(A2777="","",MONTH(A2777))</f>
        <v/>
      </c>
      <c r="O2777" s="30">
        <f>IF(A2777="","",YEAR(A2777))</f>
        <v/>
      </c>
      <c r="P2777" s="30">
        <f>IF(A2777="","",CHOOSE(WEEKDAY(A2777,2),"Segunda","Terça","Quarta","Quinta","Sexta","Sábado","Domingo"))</f>
        <v/>
      </c>
      <c r="Q2777" s="30">
        <f>IF(B2777="","",IF(B2777&lt;TIME(12,0,0),"Manhã",IF(B2777&lt;TIME(18,0,0),"Tarde","Noite")))</f>
        <v/>
      </c>
      <c r="R2777" s="46">
        <f>IF(AND(H2777="Realizado",L2777&lt;&gt;"",A2777&lt;=Config!$B$9),L2777/60,0)</f>
        <v>0</v>
      </c>
      <c r="S2777" s="45">
        <f>IF(G2777="","",IFERROR(INDEX(Config!$K$5:$K$16,MATCH(G2777,Config!$J$5:$J$16,0)),""))</f>
        <v/>
      </c>
      <c r="T2777" s="31">
        <f>IF(OR(G2777="",F2777=""),"",IFERROR(INDEX(Config!$M$5:$R$16,MATCH(G2777,Config!$J$5:$J$16,0),MATCH(F2777,Config!$H$5:$H$10,0)),""))</f>
        <v/>
      </c>
      <c r="U2777" s="47">
        <f>IF(AND(H2777="Realizado",L2777&lt;&gt;""),L2777/60,0)</f>
        <v>0</v>
      </c>
      <c r="V2777" s="47">
        <f>IF(AND(H2777="Realizado",OR(L2777="",M2777="")),1,0)</f>
        <v>0</v>
      </c>
    </row>
    <row r="2778">
      <c r="A2778" s="43" t="n"/>
      <c r="B2778" s="44" t="n"/>
      <c r="C2778" s="38" t="n"/>
      <c r="D2778" s="38" t="n"/>
      <c r="E2778" s="37" t="n"/>
      <c r="F2778" s="38" t="n"/>
      <c r="G2778" s="38" t="n"/>
      <c r="H2778" s="38" t="n"/>
      <c r="I2778" s="38" t="n"/>
      <c r="J2778" s="38" t="n"/>
      <c r="K2778" s="37" t="n"/>
      <c r="L2778" s="39" t="n"/>
      <c r="M2778" s="40" t="n"/>
      <c r="N2778" s="30">
        <f>IF(A2778="","",MONTH(A2778))</f>
        <v/>
      </c>
      <c r="O2778" s="30">
        <f>IF(A2778="","",YEAR(A2778))</f>
        <v/>
      </c>
      <c r="P2778" s="30">
        <f>IF(A2778="","",CHOOSE(WEEKDAY(A2778,2),"Segunda","Terça","Quarta","Quinta","Sexta","Sábado","Domingo"))</f>
        <v/>
      </c>
      <c r="Q2778" s="30">
        <f>IF(B2778="","",IF(B2778&lt;TIME(12,0,0),"Manhã",IF(B2778&lt;TIME(18,0,0),"Tarde","Noite")))</f>
        <v/>
      </c>
      <c r="R2778" s="46">
        <f>IF(AND(H2778="Realizado",L2778&lt;&gt;"",A2778&lt;=Config!$B$9),L2778/60,0)</f>
        <v>0</v>
      </c>
      <c r="S2778" s="45">
        <f>IF(G2778="","",IFERROR(INDEX(Config!$K$5:$K$16,MATCH(G2778,Config!$J$5:$J$16,0)),""))</f>
        <v/>
      </c>
      <c r="T2778" s="31">
        <f>IF(OR(G2778="",F2778=""),"",IFERROR(INDEX(Config!$M$5:$R$16,MATCH(G2778,Config!$J$5:$J$16,0),MATCH(F2778,Config!$H$5:$H$10,0)),""))</f>
        <v/>
      </c>
      <c r="U2778" s="47">
        <f>IF(AND(H2778="Realizado",L2778&lt;&gt;""),L2778/60,0)</f>
        <v>0</v>
      </c>
      <c r="V2778" s="47">
        <f>IF(AND(H2778="Realizado",OR(L2778="",M2778="")),1,0)</f>
        <v>0</v>
      </c>
    </row>
    <row r="2779">
      <c r="A2779" s="43" t="n"/>
      <c r="B2779" s="44" t="n"/>
      <c r="C2779" s="38" t="n"/>
      <c r="D2779" s="38" t="n"/>
      <c r="E2779" s="37" t="n"/>
      <c r="F2779" s="38" t="n"/>
      <c r="G2779" s="38" t="n"/>
      <c r="H2779" s="38" t="n"/>
      <c r="I2779" s="38" t="n"/>
      <c r="J2779" s="38" t="n"/>
      <c r="K2779" s="37" t="n"/>
      <c r="L2779" s="39" t="n"/>
      <c r="M2779" s="40" t="n"/>
      <c r="N2779" s="30">
        <f>IF(A2779="","",MONTH(A2779))</f>
        <v/>
      </c>
      <c r="O2779" s="30">
        <f>IF(A2779="","",YEAR(A2779))</f>
        <v/>
      </c>
      <c r="P2779" s="30">
        <f>IF(A2779="","",CHOOSE(WEEKDAY(A2779,2),"Segunda","Terça","Quarta","Quinta","Sexta","Sábado","Domingo"))</f>
        <v/>
      </c>
      <c r="Q2779" s="30">
        <f>IF(B2779="","",IF(B2779&lt;TIME(12,0,0),"Manhã",IF(B2779&lt;TIME(18,0,0),"Tarde","Noite")))</f>
        <v/>
      </c>
      <c r="R2779" s="46">
        <f>IF(AND(H2779="Realizado",L2779&lt;&gt;"",A2779&lt;=Config!$B$9),L2779/60,0)</f>
        <v>0</v>
      </c>
      <c r="S2779" s="45">
        <f>IF(G2779="","",IFERROR(INDEX(Config!$K$5:$K$16,MATCH(G2779,Config!$J$5:$J$16,0)),""))</f>
        <v/>
      </c>
      <c r="T2779" s="31">
        <f>IF(OR(G2779="",F2779=""),"",IFERROR(INDEX(Config!$M$5:$R$16,MATCH(G2779,Config!$J$5:$J$16,0),MATCH(F2779,Config!$H$5:$H$10,0)),""))</f>
        <v/>
      </c>
      <c r="U2779" s="47">
        <f>IF(AND(H2779="Realizado",L2779&lt;&gt;""),L2779/60,0)</f>
        <v>0</v>
      </c>
      <c r="V2779" s="47">
        <f>IF(AND(H2779="Realizado",OR(L2779="",M2779="")),1,0)</f>
        <v>0</v>
      </c>
    </row>
    <row r="2780">
      <c r="A2780" s="43" t="n"/>
      <c r="B2780" s="44" t="n"/>
      <c r="C2780" s="38" t="n"/>
      <c r="D2780" s="38" t="n"/>
      <c r="E2780" s="37" t="n"/>
      <c r="F2780" s="38" t="n"/>
      <c r="G2780" s="38" t="n"/>
      <c r="H2780" s="38" t="n"/>
      <c r="I2780" s="38" t="n"/>
      <c r="J2780" s="38" t="n"/>
      <c r="K2780" s="37" t="n"/>
      <c r="L2780" s="39" t="n"/>
      <c r="M2780" s="40" t="n"/>
      <c r="N2780" s="30">
        <f>IF(A2780="","",MONTH(A2780))</f>
        <v/>
      </c>
      <c r="O2780" s="30">
        <f>IF(A2780="","",YEAR(A2780))</f>
        <v/>
      </c>
      <c r="P2780" s="30">
        <f>IF(A2780="","",CHOOSE(WEEKDAY(A2780,2),"Segunda","Terça","Quarta","Quinta","Sexta","Sábado","Domingo"))</f>
        <v/>
      </c>
      <c r="Q2780" s="30">
        <f>IF(B2780="","",IF(B2780&lt;TIME(12,0,0),"Manhã",IF(B2780&lt;TIME(18,0,0),"Tarde","Noite")))</f>
        <v/>
      </c>
      <c r="R2780" s="46">
        <f>IF(AND(H2780="Realizado",L2780&lt;&gt;"",A2780&lt;=Config!$B$9),L2780/60,0)</f>
        <v>0</v>
      </c>
      <c r="S2780" s="45">
        <f>IF(G2780="","",IFERROR(INDEX(Config!$K$5:$K$16,MATCH(G2780,Config!$J$5:$J$16,0)),""))</f>
        <v/>
      </c>
      <c r="T2780" s="31">
        <f>IF(OR(G2780="",F2780=""),"",IFERROR(INDEX(Config!$M$5:$R$16,MATCH(G2780,Config!$J$5:$J$16,0),MATCH(F2780,Config!$H$5:$H$10,0)),""))</f>
        <v/>
      </c>
      <c r="U2780" s="47">
        <f>IF(AND(H2780="Realizado",L2780&lt;&gt;""),L2780/60,0)</f>
        <v>0</v>
      </c>
      <c r="V2780" s="47">
        <f>IF(AND(H2780="Realizado",OR(L2780="",M2780="")),1,0)</f>
        <v>0</v>
      </c>
    </row>
    <row r="2781">
      <c r="A2781" s="43" t="n"/>
      <c r="B2781" s="44" t="n"/>
      <c r="C2781" s="38" t="n"/>
      <c r="D2781" s="38" t="n"/>
      <c r="E2781" s="37" t="n"/>
      <c r="F2781" s="38" t="n"/>
      <c r="G2781" s="38" t="n"/>
      <c r="H2781" s="38" t="n"/>
      <c r="I2781" s="38" t="n"/>
      <c r="J2781" s="38" t="n"/>
      <c r="K2781" s="37" t="n"/>
      <c r="L2781" s="39" t="n"/>
      <c r="M2781" s="40" t="n"/>
      <c r="N2781" s="30">
        <f>IF(A2781="","",MONTH(A2781))</f>
        <v/>
      </c>
      <c r="O2781" s="30">
        <f>IF(A2781="","",YEAR(A2781))</f>
        <v/>
      </c>
      <c r="P2781" s="30">
        <f>IF(A2781="","",CHOOSE(WEEKDAY(A2781,2),"Segunda","Terça","Quarta","Quinta","Sexta","Sábado","Domingo"))</f>
        <v/>
      </c>
      <c r="Q2781" s="30">
        <f>IF(B2781="","",IF(B2781&lt;TIME(12,0,0),"Manhã",IF(B2781&lt;TIME(18,0,0),"Tarde","Noite")))</f>
        <v/>
      </c>
      <c r="R2781" s="46">
        <f>IF(AND(H2781="Realizado",L2781&lt;&gt;"",A2781&lt;=Config!$B$9),L2781/60,0)</f>
        <v>0</v>
      </c>
      <c r="S2781" s="45">
        <f>IF(G2781="","",IFERROR(INDEX(Config!$K$5:$K$16,MATCH(G2781,Config!$J$5:$J$16,0)),""))</f>
        <v/>
      </c>
      <c r="T2781" s="31">
        <f>IF(OR(G2781="",F2781=""),"",IFERROR(INDEX(Config!$M$5:$R$16,MATCH(G2781,Config!$J$5:$J$16,0),MATCH(F2781,Config!$H$5:$H$10,0)),""))</f>
        <v/>
      </c>
      <c r="U2781" s="47">
        <f>IF(AND(H2781="Realizado",L2781&lt;&gt;""),L2781/60,0)</f>
        <v>0</v>
      </c>
      <c r="V2781" s="47">
        <f>IF(AND(H2781="Realizado",OR(L2781="",M2781="")),1,0)</f>
        <v>0</v>
      </c>
    </row>
    <row r="2782">
      <c r="A2782" s="43" t="n"/>
      <c r="B2782" s="44" t="n"/>
      <c r="C2782" s="38" t="n"/>
      <c r="D2782" s="38" t="n"/>
      <c r="E2782" s="37" t="n"/>
      <c r="F2782" s="38" t="n"/>
      <c r="G2782" s="38" t="n"/>
      <c r="H2782" s="38" t="n"/>
      <c r="I2782" s="38" t="n"/>
      <c r="J2782" s="38" t="n"/>
      <c r="K2782" s="37" t="n"/>
      <c r="L2782" s="39" t="n"/>
      <c r="M2782" s="40" t="n"/>
      <c r="N2782" s="30">
        <f>IF(A2782="","",MONTH(A2782))</f>
        <v/>
      </c>
      <c r="O2782" s="30">
        <f>IF(A2782="","",YEAR(A2782))</f>
        <v/>
      </c>
      <c r="P2782" s="30">
        <f>IF(A2782="","",CHOOSE(WEEKDAY(A2782,2),"Segunda","Terça","Quarta","Quinta","Sexta","Sábado","Domingo"))</f>
        <v/>
      </c>
      <c r="Q2782" s="30">
        <f>IF(B2782="","",IF(B2782&lt;TIME(12,0,0),"Manhã",IF(B2782&lt;TIME(18,0,0),"Tarde","Noite")))</f>
        <v/>
      </c>
      <c r="R2782" s="46">
        <f>IF(AND(H2782="Realizado",L2782&lt;&gt;"",A2782&lt;=Config!$B$9),L2782/60,0)</f>
        <v>0</v>
      </c>
      <c r="S2782" s="45">
        <f>IF(G2782="","",IFERROR(INDEX(Config!$K$5:$K$16,MATCH(G2782,Config!$J$5:$J$16,0)),""))</f>
        <v/>
      </c>
      <c r="T2782" s="31">
        <f>IF(OR(G2782="",F2782=""),"",IFERROR(INDEX(Config!$M$5:$R$16,MATCH(G2782,Config!$J$5:$J$16,0),MATCH(F2782,Config!$H$5:$H$10,0)),""))</f>
        <v/>
      </c>
      <c r="U2782" s="47">
        <f>IF(AND(H2782="Realizado",L2782&lt;&gt;""),L2782/60,0)</f>
        <v>0</v>
      </c>
      <c r="V2782" s="47">
        <f>IF(AND(H2782="Realizado",OR(L2782="",M2782="")),1,0)</f>
        <v>0</v>
      </c>
    </row>
    <row r="2783">
      <c r="A2783" s="43" t="n"/>
      <c r="B2783" s="44" t="n"/>
      <c r="C2783" s="38" t="n"/>
      <c r="D2783" s="38" t="n"/>
      <c r="E2783" s="37" t="n"/>
      <c r="F2783" s="38" t="n"/>
      <c r="G2783" s="38" t="n"/>
      <c r="H2783" s="38" t="n"/>
      <c r="I2783" s="38" t="n"/>
      <c r="J2783" s="38" t="n"/>
      <c r="K2783" s="37" t="n"/>
      <c r="L2783" s="39" t="n"/>
      <c r="M2783" s="40" t="n"/>
      <c r="N2783" s="30">
        <f>IF(A2783="","",MONTH(A2783))</f>
        <v/>
      </c>
      <c r="O2783" s="30">
        <f>IF(A2783="","",YEAR(A2783))</f>
        <v/>
      </c>
      <c r="P2783" s="30">
        <f>IF(A2783="","",CHOOSE(WEEKDAY(A2783,2),"Segunda","Terça","Quarta","Quinta","Sexta","Sábado","Domingo"))</f>
        <v/>
      </c>
      <c r="Q2783" s="30">
        <f>IF(B2783="","",IF(B2783&lt;TIME(12,0,0),"Manhã",IF(B2783&lt;TIME(18,0,0),"Tarde","Noite")))</f>
        <v/>
      </c>
      <c r="R2783" s="46">
        <f>IF(AND(H2783="Realizado",L2783&lt;&gt;"",A2783&lt;=Config!$B$9),L2783/60,0)</f>
        <v>0</v>
      </c>
      <c r="S2783" s="45">
        <f>IF(G2783="","",IFERROR(INDEX(Config!$K$5:$K$16,MATCH(G2783,Config!$J$5:$J$16,0)),""))</f>
        <v/>
      </c>
      <c r="T2783" s="31">
        <f>IF(OR(G2783="",F2783=""),"",IFERROR(INDEX(Config!$M$5:$R$16,MATCH(G2783,Config!$J$5:$J$16,0),MATCH(F2783,Config!$H$5:$H$10,0)),""))</f>
        <v/>
      </c>
      <c r="U2783" s="47">
        <f>IF(AND(H2783="Realizado",L2783&lt;&gt;""),L2783/60,0)</f>
        <v>0</v>
      </c>
      <c r="V2783" s="47">
        <f>IF(AND(H2783="Realizado",OR(L2783="",M2783="")),1,0)</f>
        <v>0</v>
      </c>
    </row>
    <row r="2784">
      <c r="A2784" s="43" t="n"/>
      <c r="B2784" s="44" t="n"/>
      <c r="C2784" s="38" t="n"/>
      <c r="D2784" s="38" t="n"/>
      <c r="E2784" s="37" t="n"/>
      <c r="F2784" s="38" t="n"/>
      <c r="G2784" s="38" t="n"/>
      <c r="H2784" s="38" t="n"/>
      <c r="I2784" s="38" t="n"/>
      <c r="J2784" s="38" t="n"/>
      <c r="K2784" s="37" t="n"/>
      <c r="L2784" s="39" t="n"/>
      <c r="M2784" s="40" t="n"/>
      <c r="N2784" s="30">
        <f>IF(A2784="","",MONTH(A2784))</f>
        <v/>
      </c>
      <c r="O2784" s="30">
        <f>IF(A2784="","",YEAR(A2784))</f>
        <v/>
      </c>
      <c r="P2784" s="30">
        <f>IF(A2784="","",CHOOSE(WEEKDAY(A2784,2),"Segunda","Terça","Quarta","Quinta","Sexta","Sábado","Domingo"))</f>
        <v/>
      </c>
      <c r="Q2784" s="30">
        <f>IF(B2784="","",IF(B2784&lt;TIME(12,0,0),"Manhã",IF(B2784&lt;TIME(18,0,0),"Tarde","Noite")))</f>
        <v/>
      </c>
      <c r="R2784" s="46">
        <f>IF(AND(H2784="Realizado",L2784&lt;&gt;"",A2784&lt;=Config!$B$9),L2784/60,0)</f>
        <v>0</v>
      </c>
      <c r="S2784" s="45">
        <f>IF(G2784="","",IFERROR(INDEX(Config!$K$5:$K$16,MATCH(G2784,Config!$J$5:$J$16,0)),""))</f>
        <v/>
      </c>
      <c r="T2784" s="31">
        <f>IF(OR(G2784="",F2784=""),"",IFERROR(INDEX(Config!$M$5:$R$16,MATCH(G2784,Config!$J$5:$J$16,0),MATCH(F2784,Config!$H$5:$H$10,0)),""))</f>
        <v/>
      </c>
      <c r="U2784" s="47">
        <f>IF(AND(H2784="Realizado",L2784&lt;&gt;""),L2784/60,0)</f>
        <v>0</v>
      </c>
      <c r="V2784" s="47">
        <f>IF(AND(H2784="Realizado",OR(L2784="",M2784="")),1,0)</f>
        <v>0</v>
      </c>
    </row>
    <row r="2785">
      <c r="A2785" s="43" t="n"/>
      <c r="B2785" s="44" t="n"/>
      <c r="C2785" s="38" t="n"/>
      <c r="D2785" s="38" t="n"/>
      <c r="E2785" s="37" t="n"/>
      <c r="F2785" s="38" t="n"/>
      <c r="G2785" s="38" t="n"/>
      <c r="H2785" s="38" t="n"/>
      <c r="I2785" s="38" t="n"/>
      <c r="J2785" s="38" t="n"/>
      <c r="K2785" s="37" t="n"/>
      <c r="L2785" s="39" t="n"/>
      <c r="M2785" s="40" t="n"/>
      <c r="N2785" s="30">
        <f>IF(A2785="","",MONTH(A2785))</f>
        <v/>
      </c>
      <c r="O2785" s="30">
        <f>IF(A2785="","",YEAR(A2785))</f>
        <v/>
      </c>
      <c r="P2785" s="30">
        <f>IF(A2785="","",CHOOSE(WEEKDAY(A2785,2),"Segunda","Terça","Quarta","Quinta","Sexta","Sábado","Domingo"))</f>
        <v/>
      </c>
      <c r="Q2785" s="30">
        <f>IF(B2785="","",IF(B2785&lt;TIME(12,0,0),"Manhã",IF(B2785&lt;TIME(18,0,0),"Tarde","Noite")))</f>
        <v/>
      </c>
      <c r="R2785" s="46">
        <f>IF(AND(H2785="Realizado",L2785&lt;&gt;"",A2785&lt;=Config!$B$9),L2785/60,0)</f>
        <v>0</v>
      </c>
      <c r="S2785" s="45">
        <f>IF(G2785="","",IFERROR(INDEX(Config!$K$5:$K$16,MATCH(G2785,Config!$J$5:$J$16,0)),""))</f>
        <v/>
      </c>
      <c r="T2785" s="31">
        <f>IF(OR(G2785="",F2785=""),"",IFERROR(INDEX(Config!$M$5:$R$16,MATCH(G2785,Config!$J$5:$J$16,0),MATCH(F2785,Config!$H$5:$H$10,0)),""))</f>
        <v/>
      </c>
      <c r="U2785" s="47">
        <f>IF(AND(H2785="Realizado",L2785&lt;&gt;""),L2785/60,0)</f>
        <v>0</v>
      </c>
      <c r="V2785" s="47">
        <f>IF(AND(H2785="Realizado",OR(L2785="",M2785="")),1,0)</f>
        <v>0</v>
      </c>
    </row>
    <row r="2786">
      <c r="A2786" s="43" t="n"/>
      <c r="B2786" s="44" t="n"/>
      <c r="C2786" s="38" t="n"/>
      <c r="D2786" s="38" t="n"/>
      <c r="E2786" s="37" t="n"/>
      <c r="F2786" s="38" t="n"/>
      <c r="G2786" s="38" t="n"/>
      <c r="H2786" s="38" t="n"/>
      <c r="I2786" s="38" t="n"/>
      <c r="J2786" s="38" t="n"/>
      <c r="K2786" s="37" t="n"/>
      <c r="L2786" s="39" t="n"/>
      <c r="M2786" s="40" t="n"/>
      <c r="N2786" s="30">
        <f>IF(A2786="","",MONTH(A2786))</f>
        <v/>
      </c>
      <c r="O2786" s="30">
        <f>IF(A2786="","",YEAR(A2786))</f>
        <v/>
      </c>
      <c r="P2786" s="30">
        <f>IF(A2786="","",CHOOSE(WEEKDAY(A2786,2),"Segunda","Terça","Quarta","Quinta","Sexta","Sábado","Domingo"))</f>
        <v/>
      </c>
      <c r="Q2786" s="30">
        <f>IF(B2786="","",IF(B2786&lt;TIME(12,0,0),"Manhã",IF(B2786&lt;TIME(18,0,0),"Tarde","Noite")))</f>
        <v/>
      </c>
      <c r="R2786" s="46">
        <f>IF(AND(H2786="Realizado",L2786&lt;&gt;"",A2786&lt;=Config!$B$9),L2786/60,0)</f>
        <v>0</v>
      </c>
      <c r="S2786" s="45">
        <f>IF(G2786="","",IFERROR(INDEX(Config!$K$5:$K$16,MATCH(G2786,Config!$J$5:$J$16,0)),""))</f>
        <v/>
      </c>
      <c r="T2786" s="31">
        <f>IF(OR(G2786="",F2786=""),"",IFERROR(INDEX(Config!$M$5:$R$16,MATCH(G2786,Config!$J$5:$J$16,0),MATCH(F2786,Config!$H$5:$H$10,0)),""))</f>
        <v/>
      </c>
      <c r="U2786" s="47">
        <f>IF(AND(H2786="Realizado",L2786&lt;&gt;""),L2786/60,0)</f>
        <v>0</v>
      </c>
      <c r="V2786" s="47">
        <f>IF(AND(H2786="Realizado",OR(L2786="",M2786="")),1,0)</f>
        <v>0</v>
      </c>
    </row>
    <row r="2787">
      <c r="A2787" s="43" t="n"/>
      <c r="B2787" s="44" t="n"/>
      <c r="C2787" s="38" t="n"/>
      <c r="D2787" s="38" t="n"/>
      <c r="E2787" s="37" t="n"/>
      <c r="F2787" s="38" t="n"/>
      <c r="G2787" s="38" t="n"/>
      <c r="H2787" s="38" t="n"/>
      <c r="I2787" s="38" t="n"/>
      <c r="J2787" s="38" t="n"/>
      <c r="K2787" s="37" t="n"/>
      <c r="L2787" s="39" t="n"/>
      <c r="M2787" s="40" t="n"/>
      <c r="N2787" s="30">
        <f>IF(A2787="","",MONTH(A2787))</f>
        <v/>
      </c>
      <c r="O2787" s="30">
        <f>IF(A2787="","",YEAR(A2787))</f>
        <v/>
      </c>
      <c r="P2787" s="30">
        <f>IF(A2787="","",CHOOSE(WEEKDAY(A2787,2),"Segunda","Terça","Quarta","Quinta","Sexta","Sábado","Domingo"))</f>
        <v/>
      </c>
      <c r="Q2787" s="30">
        <f>IF(B2787="","",IF(B2787&lt;TIME(12,0,0),"Manhã",IF(B2787&lt;TIME(18,0,0),"Tarde","Noite")))</f>
        <v/>
      </c>
      <c r="R2787" s="46">
        <f>IF(AND(H2787="Realizado",L2787&lt;&gt;"",A2787&lt;=Config!$B$9),L2787/60,0)</f>
        <v>0</v>
      </c>
      <c r="S2787" s="45">
        <f>IF(G2787="","",IFERROR(INDEX(Config!$K$5:$K$16,MATCH(G2787,Config!$J$5:$J$16,0)),""))</f>
        <v/>
      </c>
      <c r="T2787" s="31">
        <f>IF(OR(G2787="",F2787=""),"",IFERROR(INDEX(Config!$M$5:$R$16,MATCH(G2787,Config!$J$5:$J$16,0),MATCH(F2787,Config!$H$5:$H$10,0)),""))</f>
        <v/>
      </c>
      <c r="U2787" s="47">
        <f>IF(AND(H2787="Realizado",L2787&lt;&gt;""),L2787/60,0)</f>
        <v>0</v>
      </c>
      <c r="V2787" s="47">
        <f>IF(AND(H2787="Realizado",OR(L2787="",M2787="")),1,0)</f>
        <v>0</v>
      </c>
    </row>
    <row r="2788">
      <c r="A2788" s="43" t="n"/>
      <c r="B2788" s="44" t="n"/>
      <c r="C2788" s="38" t="n"/>
      <c r="D2788" s="38" t="n"/>
      <c r="E2788" s="37" t="n"/>
      <c r="F2788" s="38" t="n"/>
      <c r="G2788" s="38" t="n"/>
      <c r="H2788" s="38" t="n"/>
      <c r="I2788" s="38" t="n"/>
      <c r="J2788" s="38" t="n"/>
      <c r="K2788" s="37" t="n"/>
      <c r="L2788" s="39" t="n"/>
      <c r="M2788" s="40" t="n"/>
      <c r="N2788" s="30">
        <f>IF(A2788="","",MONTH(A2788))</f>
        <v/>
      </c>
      <c r="O2788" s="30">
        <f>IF(A2788="","",YEAR(A2788))</f>
        <v/>
      </c>
      <c r="P2788" s="30">
        <f>IF(A2788="","",CHOOSE(WEEKDAY(A2788,2),"Segunda","Terça","Quarta","Quinta","Sexta","Sábado","Domingo"))</f>
        <v/>
      </c>
      <c r="Q2788" s="30">
        <f>IF(B2788="","",IF(B2788&lt;TIME(12,0,0),"Manhã",IF(B2788&lt;TIME(18,0,0),"Tarde","Noite")))</f>
        <v/>
      </c>
      <c r="R2788" s="46">
        <f>IF(AND(H2788="Realizado",L2788&lt;&gt;"",A2788&lt;=Config!$B$9),L2788/60,0)</f>
        <v>0</v>
      </c>
      <c r="S2788" s="45">
        <f>IF(G2788="","",IFERROR(INDEX(Config!$K$5:$K$16,MATCH(G2788,Config!$J$5:$J$16,0)),""))</f>
        <v/>
      </c>
      <c r="T2788" s="31">
        <f>IF(OR(G2788="",F2788=""),"",IFERROR(INDEX(Config!$M$5:$R$16,MATCH(G2788,Config!$J$5:$J$16,0),MATCH(F2788,Config!$H$5:$H$10,0)),""))</f>
        <v/>
      </c>
      <c r="U2788" s="47">
        <f>IF(AND(H2788="Realizado",L2788&lt;&gt;""),L2788/60,0)</f>
        <v>0</v>
      </c>
      <c r="V2788" s="47">
        <f>IF(AND(H2788="Realizado",OR(L2788="",M2788="")),1,0)</f>
        <v>0</v>
      </c>
    </row>
    <row r="2789">
      <c r="A2789" s="43" t="n"/>
      <c r="B2789" s="44" t="n"/>
      <c r="C2789" s="38" t="n"/>
      <c r="D2789" s="38" t="n"/>
      <c r="E2789" s="37" t="n"/>
      <c r="F2789" s="38" t="n"/>
      <c r="G2789" s="38" t="n"/>
      <c r="H2789" s="38" t="n"/>
      <c r="I2789" s="38" t="n"/>
      <c r="J2789" s="38" t="n"/>
      <c r="K2789" s="37" t="n"/>
      <c r="L2789" s="39" t="n"/>
      <c r="M2789" s="40" t="n"/>
      <c r="N2789" s="30">
        <f>IF(A2789="","",MONTH(A2789))</f>
        <v/>
      </c>
      <c r="O2789" s="30">
        <f>IF(A2789="","",YEAR(A2789))</f>
        <v/>
      </c>
      <c r="P2789" s="30">
        <f>IF(A2789="","",CHOOSE(WEEKDAY(A2789,2),"Segunda","Terça","Quarta","Quinta","Sexta","Sábado","Domingo"))</f>
        <v/>
      </c>
      <c r="Q2789" s="30">
        <f>IF(B2789="","",IF(B2789&lt;TIME(12,0,0),"Manhã",IF(B2789&lt;TIME(18,0,0),"Tarde","Noite")))</f>
        <v/>
      </c>
      <c r="R2789" s="46">
        <f>IF(AND(H2789="Realizado",L2789&lt;&gt;"",A2789&lt;=Config!$B$9),L2789/60,0)</f>
        <v>0</v>
      </c>
      <c r="S2789" s="45">
        <f>IF(G2789="","",IFERROR(INDEX(Config!$K$5:$K$16,MATCH(G2789,Config!$J$5:$J$16,0)),""))</f>
        <v/>
      </c>
      <c r="T2789" s="31">
        <f>IF(OR(G2789="",F2789=""),"",IFERROR(INDEX(Config!$M$5:$R$16,MATCH(G2789,Config!$J$5:$J$16,0),MATCH(F2789,Config!$H$5:$H$10,0)),""))</f>
        <v/>
      </c>
      <c r="U2789" s="47">
        <f>IF(AND(H2789="Realizado",L2789&lt;&gt;""),L2789/60,0)</f>
        <v>0</v>
      </c>
      <c r="V2789" s="47">
        <f>IF(AND(H2789="Realizado",OR(L2789="",M2789="")),1,0)</f>
        <v>0</v>
      </c>
    </row>
    <row r="2790">
      <c r="A2790" s="43" t="n"/>
      <c r="B2790" s="44" t="n"/>
      <c r="C2790" s="38" t="n"/>
      <c r="D2790" s="38" t="n"/>
      <c r="E2790" s="37" t="n"/>
      <c r="F2790" s="38" t="n"/>
      <c r="G2790" s="38" t="n"/>
      <c r="H2790" s="38" t="n"/>
      <c r="I2790" s="38" t="n"/>
      <c r="J2790" s="38" t="n"/>
      <c r="K2790" s="37" t="n"/>
      <c r="L2790" s="39" t="n"/>
      <c r="M2790" s="40" t="n"/>
      <c r="N2790" s="30">
        <f>IF(A2790="","",MONTH(A2790))</f>
        <v/>
      </c>
      <c r="O2790" s="30">
        <f>IF(A2790="","",YEAR(A2790))</f>
        <v/>
      </c>
      <c r="P2790" s="30">
        <f>IF(A2790="","",CHOOSE(WEEKDAY(A2790,2),"Segunda","Terça","Quarta","Quinta","Sexta","Sábado","Domingo"))</f>
        <v/>
      </c>
      <c r="Q2790" s="30">
        <f>IF(B2790="","",IF(B2790&lt;TIME(12,0,0),"Manhã",IF(B2790&lt;TIME(18,0,0),"Tarde","Noite")))</f>
        <v/>
      </c>
      <c r="R2790" s="46">
        <f>IF(AND(H2790="Realizado",L2790&lt;&gt;"",A2790&lt;=Config!$B$9),L2790/60,0)</f>
        <v>0</v>
      </c>
      <c r="S2790" s="45">
        <f>IF(G2790="","",IFERROR(INDEX(Config!$K$5:$K$16,MATCH(G2790,Config!$J$5:$J$16,0)),""))</f>
        <v/>
      </c>
      <c r="T2790" s="31">
        <f>IF(OR(G2790="",F2790=""),"",IFERROR(INDEX(Config!$M$5:$R$16,MATCH(G2790,Config!$J$5:$J$16,0),MATCH(F2790,Config!$H$5:$H$10,0)),""))</f>
        <v/>
      </c>
      <c r="U2790" s="47">
        <f>IF(AND(H2790="Realizado",L2790&lt;&gt;""),L2790/60,0)</f>
        <v>0</v>
      </c>
      <c r="V2790" s="47">
        <f>IF(AND(H2790="Realizado",OR(L2790="",M2790="")),1,0)</f>
        <v>0</v>
      </c>
    </row>
    <row r="2791">
      <c r="A2791" s="43" t="n"/>
      <c r="B2791" s="44" t="n"/>
      <c r="C2791" s="38" t="n"/>
      <c r="D2791" s="38" t="n"/>
      <c r="E2791" s="37" t="n"/>
      <c r="F2791" s="38" t="n"/>
      <c r="G2791" s="38" t="n"/>
      <c r="H2791" s="38" t="n"/>
      <c r="I2791" s="38" t="n"/>
      <c r="J2791" s="38" t="n"/>
      <c r="K2791" s="37" t="n"/>
      <c r="L2791" s="39" t="n"/>
      <c r="M2791" s="40" t="n"/>
      <c r="N2791" s="30">
        <f>IF(A2791="","",MONTH(A2791))</f>
        <v/>
      </c>
      <c r="O2791" s="30">
        <f>IF(A2791="","",YEAR(A2791))</f>
        <v/>
      </c>
      <c r="P2791" s="30">
        <f>IF(A2791="","",CHOOSE(WEEKDAY(A2791,2),"Segunda","Terça","Quarta","Quinta","Sexta","Sábado","Domingo"))</f>
        <v/>
      </c>
      <c r="Q2791" s="30">
        <f>IF(B2791="","",IF(B2791&lt;TIME(12,0,0),"Manhã",IF(B2791&lt;TIME(18,0,0),"Tarde","Noite")))</f>
        <v/>
      </c>
      <c r="R2791" s="46">
        <f>IF(AND(H2791="Realizado",L2791&lt;&gt;"",A2791&lt;=Config!$B$9),L2791/60,0)</f>
        <v>0</v>
      </c>
      <c r="S2791" s="45">
        <f>IF(G2791="","",IFERROR(INDEX(Config!$K$5:$K$16,MATCH(G2791,Config!$J$5:$J$16,0)),""))</f>
        <v/>
      </c>
      <c r="T2791" s="31">
        <f>IF(OR(G2791="",F2791=""),"",IFERROR(INDEX(Config!$M$5:$R$16,MATCH(G2791,Config!$J$5:$J$16,0),MATCH(F2791,Config!$H$5:$H$10,0)),""))</f>
        <v/>
      </c>
      <c r="U2791" s="47">
        <f>IF(AND(H2791="Realizado",L2791&lt;&gt;""),L2791/60,0)</f>
        <v>0</v>
      </c>
      <c r="V2791" s="47">
        <f>IF(AND(H2791="Realizado",OR(L2791="",M2791="")),1,0)</f>
        <v>0</v>
      </c>
    </row>
    <row r="2792">
      <c r="A2792" s="43" t="n"/>
      <c r="B2792" s="44" t="n"/>
      <c r="C2792" s="38" t="n"/>
      <c r="D2792" s="38" t="n"/>
      <c r="E2792" s="37" t="n"/>
      <c r="F2792" s="38" t="n"/>
      <c r="G2792" s="38" t="n"/>
      <c r="H2792" s="38" t="n"/>
      <c r="I2792" s="38" t="n"/>
      <c r="J2792" s="38" t="n"/>
      <c r="K2792" s="37" t="n"/>
      <c r="L2792" s="39" t="n"/>
      <c r="M2792" s="40" t="n"/>
      <c r="N2792" s="30">
        <f>IF(A2792="","",MONTH(A2792))</f>
        <v/>
      </c>
      <c r="O2792" s="30">
        <f>IF(A2792="","",YEAR(A2792))</f>
        <v/>
      </c>
      <c r="P2792" s="30">
        <f>IF(A2792="","",CHOOSE(WEEKDAY(A2792,2),"Segunda","Terça","Quarta","Quinta","Sexta","Sábado","Domingo"))</f>
        <v/>
      </c>
      <c r="Q2792" s="30">
        <f>IF(B2792="","",IF(B2792&lt;TIME(12,0,0),"Manhã",IF(B2792&lt;TIME(18,0,0),"Tarde","Noite")))</f>
        <v/>
      </c>
      <c r="R2792" s="46">
        <f>IF(AND(H2792="Realizado",L2792&lt;&gt;"",A2792&lt;=Config!$B$9),L2792/60,0)</f>
        <v>0</v>
      </c>
      <c r="S2792" s="45">
        <f>IF(G2792="","",IFERROR(INDEX(Config!$K$5:$K$16,MATCH(G2792,Config!$J$5:$J$16,0)),""))</f>
        <v/>
      </c>
      <c r="T2792" s="31">
        <f>IF(OR(G2792="",F2792=""),"",IFERROR(INDEX(Config!$M$5:$R$16,MATCH(G2792,Config!$J$5:$J$16,0),MATCH(F2792,Config!$H$5:$H$10,0)),""))</f>
        <v/>
      </c>
      <c r="U2792" s="47">
        <f>IF(AND(H2792="Realizado",L2792&lt;&gt;""),L2792/60,0)</f>
        <v>0</v>
      </c>
      <c r="V2792" s="47">
        <f>IF(AND(H2792="Realizado",OR(L2792="",M2792="")),1,0)</f>
        <v>0</v>
      </c>
    </row>
    <row r="2793">
      <c r="A2793" s="43" t="n"/>
      <c r="B2793" s="44" t="n"/>
      <c r="C2793" s="38" t="n"/>
      <c r="D2793" s="38" t="n"/>
      <c r="E2793" s="37" t="n"/>
      <c r="F2793" s="38" t="n"/>
      <c r="G2793" s="38" t="n"/>
      <c r="H2793" s="38" t="n"/>
      <c r="I2793" s="38" t="n"/>
      <c r="J2793" s="38" t="n"/>
      <c r="K2793" s="37" t="n"/>
      <c r="L2793" s="39" t="n"/>
      <c r="M2793" s="40" t="n"/>
      <c r="N2793" s="30">
        <f>IF(A2793="","",MONTH(A2793))</f>
        <v/>
      </c>
      <c r="O2793" s="30">
        <f>IF(A2793="","",YEAR(A2793))</f>
        <v/>
      </c>
      <c r="P2793" s="30">
        <f>IF(A2793="","",CHOOSE(WEEKDAY(A2793,2),"Segunda","Terça","Quarta","Quinta","Sexta","Sábado","Domingo"))</f>
        <v/>
      </c>
      <c r="Q2793" s="30">
        <f>IF(B2793="","",IF(B2793&lt;TIME(12,0,0),"Manhã",IF(B2793&lt;TIME(18,0,0),"Tarde","Noite")))</f>
        <v/>
      </c>
      <c r="R2793" s="46">
        <f>IF(AND(H2793="Realizado",L2793&lt;&gt;"",A2793&lt;=Config!$B$9),L2793/60,0)</f>
        <v>0</v>
      </c>
      <c r="S2793" s="45">
        <f>IF(G2793="","",IFERROR(INDEX(Config!$K$5:$K$16,MATCH(G2793,Config!$J$5:$J$16,0)),""))</f>
        <v/>
      </c>
      <c r="T2793" s="31">
        <f>IF(OR(G2793="",F2793=""),"",IFERROR(INDEX(Config!$M$5:$R$16,MATCH(G2793,Config!$J$5:$J$16,0),MATCH(F2793,Config!$H$5:$H$10,0)),""))</f>
        <v/>
      </c>
      <c r="U2793" s="47">
        <f>IF(AND(H2793="Realizado",L2793&lt;&gt;""),L2793/60,0)</f>
        <v>0</v>
      </c>
      <c r="V2793" s="47">
        <f>IF(AND(H2793="Realizado",OR(L2793="",M2793="")),1,0)</f>
        <v>0</v>
      </c>
    </row>
    <row r="2794">
      <c r="A2794" s="43" t="n"/>
      <c r="B2794" s="44" t="n"/>
      <c r="C2794" s="38" t="n"/>
      <c r="D2794" s="38" t="n"/>
      <c r="E2794" s="37" t="n"/>
      <c r="F2794" s="38" t="n"/>
      <c r="G2794" s="38" t="n"/>
      <c r="H2794" s="38" t="n"/>
      <c r="I2794" s="38" t="n"/>
      <c r="J2794" s="38" t="n"/>
      <c r="K2794" s="37" t="n"/>
      <c r="L2794" s="39" t="n"/>
      <c r="M2794" s="40" t="n"/>
      <c r="N2794" s="30">
        <f>IF(A2794="","",MONTH(A2794))</f>
        <v/>
      </c>
      <c r="O2794" s="30">
        <f>IF(A2794="","",YEAR(A2794))</f>
        <v/>
      </c>
      <c r="P2794" s="30">
        <f>IF(A2794="","",CHOOSE(WEEKDAY(A2794,2),"Segunda","Terça","Quarta","Quinta","Sexta","Sábado","Domingo"))</f>
        <v/>
      </c>
      <c r="Q2794" s="30">
        <f>IF(B2794="","",IF(B2794&lt;TIME(12,0,0),"Manhã",IF(B2794&lt;TIME(18,0,0),"Tarde","Noite")))</f>
        <v/>
      </c>
      <c r="R2794" s="46">
        <f>IF(AND(H2794="Realizado",L2794&lt;&gt;"",A2794&lt;=Config!$B$9),L2794/60,0)</f>
        <v>0</v>
      </c>
      <c r="S2794" s="45">
        <f>IF(G2794="","",IFERROR(INDEX(Config!$K$5:$K$16,MATCH(G2794,Config!$J$5:$J$16,0)),""))</f>
        <v/>
      </c>
      <c r="T2794" s="31">
        <f>IF(OR(G2794="",F2794=""),"",IFERROR(INDEX(Config!$M$5:$R$16,MATCH(G2794,Config!$J$5:$J$16,0),MATCH(F2794,Config!$H$5:$H$10,0)),""))</f>
        <v/>
      </c>
      <c r="U2794" s="47">
        <f>IF(AND(H2794="Realizado",L2794&lt;&gt;""),L2794/60,0)</f>
        <v>0</v>
      </c>
      <c r="V2794" s="47">
        <f>IF(AND(H2794="Realizado",OR(L2794="",M2794="")),1,0)</f>
        <v>0</v>
      </c>
    </row>
    <row r="2795">
      <c r="A2795" s="43" t="n"/>
      <c r="B2795" s="44" t="n"/>
      <c r="C2795" s="38" t="n"/>
      <c r="D2795" s="38" t="n"/>
      <c r="E2795" s="37" t="n"/>
      <c r="F2795" s="38" t="n"/>
      <c r="G2795" s="38" t="n"/>
      <c r="H2795" s="38" t="n"/>
      <c r="I2795" s="38" t="n"/>
      <c r="J2795" s="38" t="n"/>
      <c r="K2795" s="37" t="n"/>
      <c r="L2795" s="39" t="n"/>
      <c r="M2795" s="40" t="n"/>
      <c r="N2795" s="30">
        <f>IF(A2795="","",MONTH(A2795))</f>
        <v/>
      </c>
      <c r="O2795" s="30">
        <f>IF(A2795="","",YEAR(A2795))</f>
        <v/>
      </c>
      <c r="P2795" s="30">
        <f>IF(A2795="","",CHOOSE(WEEKDAY(A2795,2),"Segunda","Terça","Quarta","Quinta","Sexta","Sábado","Domingo"))</f>
        <v/>
      </c>
      <c r="Q2795" s="30">
        <f>IF(B2795="","",IF(B2795&lt;TIME(12,0,0),"Manhã",IF(B2795&lt;TIME(18,0,0),"Tarde","Noite")))</f>
        <v/>
      </c>
      <c r="R2795" s="46">
        <f>IF(AND(H2795="Realizado",L2795&lt;&gt;"",A2795&lt;=Config!$B$9),L2795/60,0)</f>
        <v>0</v>
      </c>
      <c r="S2795" s="45">
        <f>IF(G2795="","",IFERROR(INDEX(Config!$K$5:$K$16,MATCH(G2795,Config!$J$5:$J$16,0)),""))</f>
        <v/>
      </c>
      <c r="T2795" s="31">
        <f>IF(OR(G2795="",F2795=""),"",IFERROR(INDEX(Config!$M$5:$R$16,MATCH(G2795,Config!$J$5:$J$16,0),MATCH(F2795,Config!$H$5:$H$10,0)),""))</f>
        <v/>
      </c>
      <c r="U2795" s="47">
        <f>IF(AND(H2795="Realizado",L2795&lt;&gt;""),L2795/60,0)</f>
        <v>0</v>
      </c>
      <c r="V2795" s="47">
        <f>IF(AND(H2795="Realizado",OR(L2795="",M2795="")),1,0)</f>
        <v>0</v>
      </c>
    </row>
    <row r="2796">
      <c r="A2796" s="43" t="n"/>
      <c r="B2796" s="44" t="n"/>
      <c r="C2796" s="38" t="n"/>
      <c r="D2796" s="38" t="n"/>
      <c r="E2796" s="37" t="n"/>
      <c r="F2796" s="38" t="n"/>
      <c r="G2796" s="38" t="n"/>
      <c r="H2796" s="38" t="n"/>
      <c r="I2796" s="38" t="n"/>
      <c r="J2796" s="38" t="n"/>
      <c r="K2796" s="37" t="n"/>
      <c r="L2796" s="39" t="n"/>
      <c r="M2796" s="40" t="n"/>
      <c r="N2796" s="30">
        <f>IF(A2796="","",MONTH(A2796))</f>
        <v/>
      </c>
      <c r="O2796" s="30">
        <f>IF(A2796="","",YEAR(A2796))</f>
        <v/>
      </c>
      <c r="P2796" s="30">
        <f>IF(A2796="","",CHOOSE(WEEKDAY(A2796,2),"Segunda","Terça","Quarta","Quinta","Sexta","Sábado","Domingo"))</f>
        <v/>
      </c>
      <c r="Q2796" s="30">
        <f>IF(B2796="","",IF(B2796&lt;TIME(12,0,0),"Manhã",IF(B2796&lt;TIME(18,0,0),"Tarde","Noite")))</f>
        <v/>
      </c>
      <c r="R2796" s="46">
        <f>IF(AND(H2796="Realizado",L2796&lt;&gt;"",A2796&lt;=Config!$B$9),L2796/60,0)</f>
        <v>0</v>
      </c>
      <c r="S2796" s="45">
        <f>IF(G2796="","",IFERROR(INDEX(Config!$K$5:$K$16,MATCH(G2796,Config!$J$5:$J$16,0)),""))</f>
        <v/>
      </c>
      <c r="T2796" s="31">
        <f>IF(OR(G2796="",F2796=""),"",IFERROR(INDEX(Config!$M$5:$R$16,MATCH(G2796,Config!$J$5:$J$16,0),MATCH(F2796,Config!$H$5:$H$10,0)),""))</f>
        <v/>
      </c>
      <c r="U2796" s="47">
        <f>IF(AND(H2796="Realizado",L2796&lt;&gt;""),L2796/60,0)</f>
        <v>0</v>
      </c>
      <c r="V2796" s="47">
        <f>IF(AND(H2796="Realizado",OR(L2796="",M2796="")),1,0)</f>
        <v>0</v>
      </c>
    </row>
    <row r="2797">
      <c r="A2797" s="43" t="n"/>
      <c r="B2797" s="44" t="n"/>
      <c r="C2797" s="38" t="n"/>
      <c r="D2797" s="38" t="n"/>
      <c r="E2797" s="37" t="n"/>
      <c r="F2797" s="38" t="n"/>
      <c r="G2797" s="38" t="n"/>
      <c r="H2797" s="38" t="n"/>
      <c r="I2797" s="38" t="n"/>
      <c r="J2797" s="38" t="n"/>
      <c r="K2797" s="37" t="n"/>
      <c r="L2797" s="39" t="n"/>
      <c r="M2797" s="40" t="n"/>
      <c r="N2797" s="30">
        <f>IF(A2797="","",MONTH(A2797))</f>
        <v/>
      </c>
      <c r="O2797" s="30">
        <f>IF(A2797="","",YEAR(A2797))</f>
        <v/>
      </c>
      <c r="P2797" s="30">
        <f>IF(A2797="","",CHOOSE(WEEKDAY(A2797,2),"Segunda","Terça","Quarta","Quinta","Sexta","Sábado","Domingo"))</f>
        <v/>
      </c>
      <c r="Q2797" s="30">
        <f>IF(B2797="","",IF(B2797&lt;TIME(12,0,0),"Manhã",IF(B2797&lt;TIME(18,0,0),"Tarde","Noite")))</f>
        <v/>
      </c>
      <c r="R2797" s="46">
        <f>IF(AND(H2797="Realizado",L2797&lt;&gt;"",A2797&lt;=Config!$B$9),L2797/60,0)</f>
        <v>0</v>
      </c>
      <c r="S2797" s="45">
        <f>IF(G2797="","",IFERROR(INDEX(Config!$K$5:$K$16,MATCH(G2797,Config!$J$5:$J$16,0)),""))</f>
        <v/>
      </c>
      <c r="T2797" s="31">
        <f>IF(OR(G2797="",F2797=""),"",IFERROR(INDEX(Config!$M$5:$R$16,MATCH(G2797,Config!$J$5:$J$16,0),MATCH(F2797,Config!$H$5:$H$10,0)),""))</f>
        <v/>
      </c>
      <c r="U2797" s="47">
        <f>IF(AND(H2797="Realizado",L2797&lt;&gt;""),L2797/60,0)</f>
        <v>0</v>
      </c>
      <c r="V2797" s="47">
        <f>IF(AND(H2797="Realizado",OR(L2797="",M2797="")),1,0)</f>
        <v>0</v>
      </c>
    </row>
    <row r="2798">
      <c r="A2798" s="43" t="n"/>
      <c r="B2798" s="44" t="n"/>
      <c r="C2798" s="38" t="n"/>
      <c r="D2798" s="38" t="n"/>
      <c r="E2798" s="37" t="n"/>
      <c r="F2798" s="38" t="n"/>
      <c r="G2798" s="38" t="n"/>
      <c r="H2798" s="38" t="n"/>
      <c r="I2798" s="38" t="n"/>
      <c r="J2798" s="38" t="n"/>
      <c r="K2798" s="37" t="n"/>
      <c r="L2798" s="39" t="n"/>
      <c r="M2798" s="40" t="n"/>
      <c r="N2798" s="30">
        <f>IF(A2798="","",MONTH(A2798))</f>
        <v/>
      </c>
      <c r="O2798" s="30">
        <f>IF(A2798="","",YEAR(A2798))</f>
        <v/>
      </c>
      <c r="P2798" s="30">
        <f>IF(A2798="","",CHOOSE(WEEKDAY(A2798,2),"Segunda","Terça","Quarta","Quinta","Sexta","Sábado","Domingo"))</f>
        <v/>
      </c>
      <c r="Q2798" s="30">
        <f>IF(B2798="","",IF(B2798&lt;TIME(12,0,0),"Manhã",IF(B2798&lt;TIME(18,0,0),"Tarde","Noite")))</f>
        <v/>
      </c>
      <c r="R2798" s="46">
        <f>IF(AND(H2798="Realizado",L2798&lt;&gt;"",A2798&lt;=Config!$B$9),L2798/60,0)</f>
        <v>0</v>
      </c>
      <c r="S2798" s="45">
        <f>IF(G2798="","",IFERROR(INDEX(Config!$K$5:$K$16,MATCH(G2798,Config!$J$5:$J$16,0)),""))</f>
        <v/>
      </c>
      <c r="T2798" s="31">
        <f>IF(OR(G2798="",F2798=""),"",IFERROR(INDEX(Config!$M$5:$R$16,MATCH(G2798,Config!$J$5:$J$16,0),MATCH(F2798,Config!$H$5:$H$10,0)),""))</f>
        <v/>
      </c>
      <c r="U2798" s="47">
        <f>IF(AND(H2798="Realizado",L2798&lt;&gt;""),L2798/60,0)</f>
        <v>0</v>
      </c>
      <c r="V2798" s="47">
        <f>IF(AND(H2798="Realizado",OR(L2798="",M2798="")),1,0)</f>
        <v>0</v>
      </c>
    </row>
    <row r="2799">
      <c r="A2799" s="43" t="n"/>
      <c r="B2799" s="44" t="n"/>
      <c r="C2799" s="38" t="n"/>
      <c r="D2799" s="38" t="n"/>
      <c r="E2799" s="37" t="n"/>
      <c r="F2799" s="38" t="n"/>
      <c r="G2799" s="38" t="n"/>
      <c r="H2799" s="38" t="n"/>
      <c r="I2799" s="38" t="n"/>
      <c r="J2799" s="38" t="n"/>
      <c r="K2799" s="37" t="n"/>
      <c r="L2799" s="39" t="n"/>
      <c r="M2799" s="40" t="n"/>
      <c r="N2799" s="30">
        <f>IF(A2799="","",MONTH(A2799))</f>
        <v/>
      </c>
      <c r="O2799" s="30">
        <f>IF(A2799="","",YEAR(A2799))</f>
        <v/>
      </c>
      <c r="P2799" s="30">
        <f>IF(A2799="","",CHOOSE(WEEKDAY(A2799,2),"Segunda","Terça","Quarta","Quinta","Sexta","Sábado","Domingo"))</f>
        <v/>
      </c>
      <c r="Q2799" s="30">
        <f>IF(B2799="","",IF(B2799&lt;TIME(12,0,0),"Manhã",IF(B2799&lt;TIME(18,0,0),"Tarde","Noite")))</f>
        <v/>
      </c>
      <c r="R2799" s="46">
        <f>IF(AND(H2799="Realizado",L2799&lt;&gt;"",A2799&lt;=Config!$B$9),L2799/60,0)</f>
        <v>0</v>
      </c>
      <c r="S2799" s="45">
        <f>IF(G2799="","",IFERROR(INDEX(Config!$K$5:$K$16,MATCH(G2799,Config!$J$5:$J$16,0)),""))</f>
        <v/>
      </c>
      <c r="T2799" s="31">
        <f>IF(OR(G2799="",F2799=""),"",IFERROR(INDEX(Config!$M$5:$R$16,MATCH(G2799,Config!$J$5:$J$16,0),MATCH(F2799,Config!$H$5:$H$10,0)),""))</f>
        <v/>
      </c>
      <c r="U2799" s="47">
        <f>IF(AND(H2799="Realizado",L2799&lt;&gt;""),L2799/60,0)</f>
        <v>0</v>
      </c>
      <c r="V2799" s="47">
        <f>IF(AND(H2799="Realizado",OR(L2799="",M2799="")),1,0)</f>
        <v>0</v>
      </c>
    </row>
    <row r="2800">
      <c r="A2800" s="43" t="n"/>
      <c r="B2800" s="44" t="n"/>
      <c r="C2800" s="38" t="n"/>
      <c r="D2800" s="38" t="n"/>
      <c r="E2800" s="37" t="n"/>
      <c r="F2800" s="38" t="n"/>
      <c r="G2800" s="38" t="n"/>
      <c r="H2800" s="38" t="n"/>
      <c r="I2800" s="38" t="n"/>
      <c r="J2800" s="38" t="n"/>
      <c r="K2800" s="37" t="n"/>
      <c r="L2800" s="39" t="n"/>
      <c r="M2800" s="40" t="n"/>
      <c r="N2800" s="30">
        <f>IF(A2800="","",MONTH(A2800))</f>
        <v/>
      </c>
      <c r="O2800" s="30">
        <f>IF(A2800="","",YEAR(A2800))</f>
        <v/>
      </c>
      <c r="P2800" s="30">
        <f>IF(A2800="","",CHOOSE(WEEKDAY(A2800,2),"Segunda","Terça","Quarta","Quinta","Sexta","Sábado","Domingo"))</f>
        <v/>
      </c>
      <c r="Q2800" s="30">
        <f>IF(B2800="","",IF(B2800&lt;TIME(12,0,0),"Manhã",IF(B2800&lt;TIME(18,0,0),"Tarde","Noite")))</f>
        <v/>
      </c>
      <c r="R2800" s="46">
        <f>IF(AND(H2800="Realizado",L2800&lt;&gt;"",A2800&lt;=Config!$B$9),L2800/60,0)</f>
        <v>0</v>
      </c>
      <c r="S2800" s="45">
        <f>IF(G2800="","",IFERROR(INDEX(Config!$K$5:$K$16,MATCH(G2800,Config!$J$5:$J$16,0)),""))</f>
        <v/>
      </c>
      <c r="T2800" s="31">
        <f>IF(OR(G2800="",F2800=""),"",IFERROR(INDEX(Config!$M$5:$R$16,MATCH(G2800,Config!$J$5:$J$16,0),MATCH(F2800,Config!$H$5:$H$10,0)),""))</f>
        <v/>
      </c>
      <c r="U2800" s="47">
        <f>IF(AND(H2800="Realizado",L2800&lt;&gt;""),L2800/60,0)</f>
        <v>0</v>
      </c>
      <c r="V2800" s="47">
        <f>IF(AND(H2800="Realizado",OR(L2800="",M2800="")),1,0)</f>
        <v>0</v>
      </c>
    </row>
    <row r="2801">
      <c r="A2801" s="43" t="n"/>
      <c r="B2801" s="44" t="n"/>
      <c r="C2801" s="38" t="n"/>
      <c r="D2801" s="38" t="n"/>
      <c r="E2801" s="37" t="n"/>
      <c r="F2801" s="38" t="n"/>
      <c r="G2801" s="38" t="n"/>
      <c r="H2801" s="38" t="n"/>
      <c r="I2801" s="38" t="n"/>
      <c r="J2801" s="38" t="n"/>
      <c r="K2801" s="37" t="n"/>
      <c r="L2801" s="39" t="n"/>
      <c r="M2801" s="40" t="n"/>
      <c r="N2801" s="30">
        <f>IF(A2801="","",MONTH(A2801))</f>
        <v/>
      </c>
      <c r="O2801" s="30">
        <f>IF(A2801="","",YEAR(A2801))</f>
        <v/>
      </c>
      <c r="P2801" s="30">
        <f>IF(A2801="","",CHOOSE(WEEKDAY(A2801,2),"Segunda","Terça","Quarta","Quinta","Sexta","Sábado","Domingo"))</f>
        <v/>
      </c>
      <c r="Q2801" s="30">
        <f>IF(B2801="","",IF(B2801&lt;TIME(12,0,0),"Manhã",IF(B2801&lt;TIME(18,0,0),"Tarde","Noite")))</f>
        <v/>
      </c>
      <c r="R2801" s="46">
        <f>IF(AND(H2801="Realizado",L2801&lt;&gt;"",A2801&lt;=Config!$B$9),L2801/60,0)</f>
        <v>0</v>
      </c>
      <c r="S2801" s="45">
        <f>IF(G2801="","",IFERROR(INDEX(Config!$K$5:$K$16,MATCH(G2801,Config!$J$5:$J$16,0)),""))</f>
        <v/>
      </c>
      <c r="T2801" s="31">
        <f>IF(OR(G2801="",F2801=""),"",IFERROR(INDEX(Config!$M$5:$R$16,MATCH(G2801,Config!$J$5:$J$16,0),MATCH(F2801,Config!$H$5:$H$10,0)),""))</f>
        <v/>
      </c>
      <c r="U2801" s="47">
        <f>IF(AND(H2801="Realizado",L2801&lt;&gt;""),L2801/60,0)</f>
        <v>0</v>
      </c>
      <c r="V2801" s="47">
        <f>IF(AND(H2801="Realizado",OR(L2801="",M2801="")),1,0)</f>
        <v>0</v>
      </c>
    </row>
    <row r="2802">
      <c r="A2802" s="43" t="n"/>
      <c r="B2802" s="44" t="n"/>
      <c r="C2802" s="38" t="n"/>
      <c r="D2802" s="38" t="n"/>
      <c r="E2802" s="37" t="n"/>
      <c r="F2802" s="38" t="n"/>
      <c r="G2802" s="38" t="n"/>
      <c r="H2802" s="38" t="n"/>
      <c r="I2802" s="38" t="n"/>
      <c r="J2802" s="38" t="n"/>
      <c r="K2802" s="37" t="n"/>
      <c r="L2802" s="39" t="n"/>
      <c r="M2802" s="40" t="n"/>
      <c r="N2802" s="30">
        <f>IF(A2802="","",MONTH(A2802))</f>
        <v/>
      </c>
      <c r="O2802" s="30">
        <f>IF(A2802="","",YEAR(A2802))</f>
        <v/>
      </c>
      <c r="P2802" s="30">
        <f>IF(A2802="","",CHOOSE(WEEKDAY(A2802,2),"Segunda","Terça","Quarta","Quinta","Sexta","Sábado","Domingo"))</f>
        <v/>
      </c>
      <c r="Q2802" s="30">
        <f>IF(B2802="","",IF(B2802&lt;TIME(12,0,0),"Manhã",IF(B2802&lt;TIME(18,0,0),"Tarde","Noite")))</f>
        <v/>
      </c>
      <c r="R2802" s="46">
        <f>IF(AND(H2802="Realizado",L2802&lt;&gt;"",A2802&lt;=Config!$B$9),L2802/60,0)</f>
        <v>0</v>
      </c>
      <c r="S2802" s="45">
        <f>IF(G2802="","",IFERROR(INDEX(Config!$K$5:$K$16,MATCH(G2802,Config!$J$5:$J$16,0)),""))</f>
        <v/>
      </c>
      <c r="T2802" s="31">
        <f>IF(OR(G2802="",F2802=""),"",IFERROR(INDEX(Config!$M$5:$R$16,MATCH(G2802,Config!$J$5:$J$16,0),MATCH(F2802,Config!$H$5:$H$10,0)),""))</f>
        <v/>
      </c>
      <c r="U2802" s="47">
        <f>IF(AND(H2802="Realizado",L2802&lt;&gt;""),L2802/60,0)</f>
        <v>0</v>
      </c>
      <c r="V2802" s="47">
        <f>IF(AND(H2802="Realizado",OR(L2802="",M2802="")),1,0)</f>
        <v>0</v>
      </c>
    </row>
    <row r="2803">
      <c r="A2803" s="43" t="n"/>
      <c r="B2803" s="44" t="n"/>
      <c r="C2803" s="38" t="n"/>
      <c r="D2803" s="38" t="n"/>
      <c r="E2803" s="37" t="n"/>
      <c r="F2803" s="38" t="n"/>
      <c r="G2803" s="38" t="n"/>
      <c r="H2803" s="38" t="n"/>
      <c r="I2803" s="38" t="n"/>
      <c r="J2803" s="38" t="n"/>
      <c r="K2803" s="37" t="n"/>
      <c r="L2803" s="39" t="n"/>
      <c r="M2803" s="40" t="n"/>
      <c r="N2803" s="30">
        <f>IF(A2803="","",MONTH(A2803))</f>
        <v/>
      </c>
      <c r="O2803" s="30">
        <f>IF(A2803="","",YEAR(A2803))</f>
        <v/>
      </c>
      <c r="P2803" s="30">
        <f>IF(A2803="","",CHOOSE(WEEKDAY(A2803,2),"Segunda","Terça","Quarta","Quinta","Sexta","Sábado","Domingo"))</f>
        <v/>
      </c>
      <c r="Q2803" s="30">
        <f>IF(B2803="","",IF(B2803&lt;TIME(12,0,0),"Manhã",IF(B2803&lt;TIME(18,0,0),"Tarde","Noite")))</f>
        <v/>
      </c>
      <c r="R2803" s="46">
        <f>IF(AND(H2803="Realizado",L2803&lt;&gt;"",A2803&lt;=Config!$B$9),L2803/60,0)</f>
        <v>0</v>
      </c>
      <c r="S2803" s="45">
        <f>IF(G2803="","",IFERROR(INDEX(Config!$K$5:$K$16,MATCH(G2803,Config!$J$5:$J$16,0)),""))</f>
        <v/>
      </c>
      <c r="T2803" s="31">
        <f>IF(OR(G2803="",F2803=""),"",IFERROR(INDEX(Config!$M$5:$R$16,MATCH(G2803,Config!$J$5:$J$16,0),MATCH(F2803,Config!$H$5:$H$10,0)),""))</f>
        <v/>
      </c>
      <c r="U2803" s="47">
        <f>IF(AND(H2803="Realizado",L2803&lt;&gt;""),L2803/60,0)</f>
        <v>0</v>
      </c>
      <c r="V2803" s="47">
        <f>IF(AND(H2803="Realizado",OR(L2803="",M2803="")),1,0)</f>
        <v>0</v>
      </c>
    </row>
    <row r="2804">
      <c r="A2804" s="43" t="n"/>
      <c r="B2804" s="44" t="n"/>
      <c r="C2804" s="38" t="n"/>
      <c r="D2804" s="38" t="n"/>
      <c r="E2804" s="37" t="n"/>
      <c r="F2804" s="38" t="n"/>
      <c r="G2804" s="38" t="n"/>
      <c r="H2804" s="38" t="n"/>
      <c r="I2804" s="38" t="n"/>
      <c r="J2804" s="38" t="n"/>
      <c r="K2804" s="37" t="n"/>
      <c r="L2804" s="39" t="n"/>
      <c r="M2804" s="40" t="n"/>
      <c r="N2804" s="30">
        <f>IF(A2804="","",MONTH(A2804))</f>
        <v/>
      </c>
      <c r="O2804" s="30">
        <f>IF(A2804="","",YEAR(A2804))</f>
        <v/>
      </c>
      <c r="P2804" s="30">
        <f>IF(A2804="","",CHOOSE(WEEKDAY(A2804,2),"Segunda","Terça","Quarta","Quinta","Sexta","Sábado","Domingo"))</f>
        <v/>
      </c>
      <c r="Q2804" s="30">
        <f>IF(B2804="","",IF(B2804&lt;TIME(12,0,0),"Manhã",IF(B2804&lt;TIME(18,0,0),"Tarde","Noite")))</f>
        <v/>
      </c>
      <c r="R2804" s="46">
        <f>IF(AND(H2804="Realizado",L2804&lt;&gt;"",A2804&lt;=Config!$B$9),L2804/60,0)</f>
        <v>0</v>
      </c>
      <c r="S2804" s="45">
        <f>IF(G2804="","",IFERROR(INDEX(Config!$K$5:$K$16,MATCH(G2804,Config!$J$5:$J$16,0)),""))</f>
        <v/>
      </c>
      <c r="T2804" s="31">
        <f>IF(OR(G2804="",F2804=""),"",IFERROR(INDEX(Config!$M$5:$R$16,MATCH(G2804,Config!$J$5:$J$16,0),MATCH(F2804,Config!$H$5:$H$10,0)),""))</f>
        <v/>
      </c>
      <c r="U2804" s="47">
        <f>IF(AND(H2804="Realizado",L2804&lt;&gt;""),L2804/60,0)</f>
        <v>0</v>
      </c>
      <c r="V2804" s="47">
        <f>IF(AND(H2804="Realizado",OR(L2804="",M2804="")),1,0)</f>
        <v>0</v>
      </c>
    </row>
    <row r="2805">
      <c r="A2805" s="43" t="n"/>
      <c r="B2805" s="44" t="n"/>
      <c r="C2805" s="38" t="n"/>
      <c r="D2805" s="38" t="n"/>
      <c r="E2805" s="37" t="n"/>
      <c r="F2805" s="38" t="n"/>
      <c r="G2805" s="38" t="n"/>
      <c r="H2805" s="38" t="n"/>
      <c r="I2805" s="38" t="n"/>
      <c r="J2805" s="38" t="n"/>
      <c r="K2805" s="37" t="n"/>
      <c r="L2805" s="39" t="n"/>
      <c r="M2805" s="40" t="n"/>
      <c r="N2805" s="30">
        <f>IF(A2805="","",MONTH(A2805))</f>
        <v/>
      </c>
      <c r="O2805" s="30">
        <f>IF(A2805="","",YEAR(A2805))</f>
        <v/>
      </c>
      <c r="P2805" s="30">
        <f>IF(A2805="","",CHOOSE(WEEKDAY(A2805,2),"Segunda","Terça","Quarta","Quinta","Sexta","Sábado","Domingo"))</f>
        <v/>
      </c>
      <c r="Q2805" s="30">
        <f>IF(B2805="","",IF(B2805&lt;TIME(12,0,0),"Manhã",IF(B2805&lt;TIME(18,0,0),"Tarde","Noite")))</f>
        <v/>
      </c>
      <c r="R2805" s="46">
        <f>IF(AND(H2805="Realizado",L2805&lt;&gt;"",A2805&lt;=Config!$B$9),L2805/60,0)</f>
        <v>0</v>
      </c>
      <c r="S2805" s="45">
        <f>IF(G2805="","",IFERROR(INDEX(Config!$K$5:$K$16,MATCH(G2805,Config!$J$5:$J$16,0)),""))</f>
        <v/>
      </c>
      <c r="T2805" s="31">
        <f>IF(OR(G2805="",F2805=""),"",IFERROR(INDEX(Config!$M$5:$R$16,MATCH(G2805,Config!$J$5:$J$16,0),MATCH(F2805,Config!$H$5:$H$10,0)),""))</f>
        <v/>
      </c>
      <c r="U2805" s="47">
        <f>IF(AND(H2805="Realizado",L2805&lt;&gt;""),L2805/60,0)</f>
        <v>0</v>
      </c>
      <c r="V2805" s="47">
        <f>IF(AND(H2805="Realizado",OR(L2805="",M2805="")),1,0)</f>
        <v>0</v>
      </c>
    </row>
    <row r="2806">
      <c r="A2806" s="43" t="n"/>
      <c r="B2806" s="44" t="n"/>
      <c r="C2806" s="38" t="n"/>
      <c r="D2806" s="38" t="n"/>
      <c r="E2806" s="37" t="n"/>
      <c r="F2806" s="38" t="n"/>
      <c r="G2806" s="38" t="n"/>
      <c r="H2806" s="38" t="n"/>
      <c r="I2806" s="38" t="n"/>
      <c r="J2806" s="38" t="n"/>
      <c r="K2806" s="37" t="n"/>
      <c r="L2806" s="39" t="n"/>
      <c r="M2806" s="40" t="n"/>
      <c r="N2806" s="30">
        <f>IF(A2806="","",MONTH(A2806))</f>
        <v/>
      </c>
      <c r="O2806" s="30">
        <f>IF(A2806="","",YEAR(A2806))</f>
        <v/>
      </c>
      <c r="P2806" s="30">
        <f>IF(A2806="","",CHOOSE(WEEKDAY(A2806,2),"Segunda","Terça","Quarta","Quinta","Sexta","Sábado","Domingo"))</f>
        <v/>
      </c>
      <c r="Q2806" s="30">
        <f>IF(B2806="","",IF(B2806&lt;TIME(12,0,0),"Manhã",IF(B2806&lt;TIME(18,0,0),"Tarde","Noite")))</f>
        <v/>
      </c>
      <c r="R2806" s="46">
        <f>IF(AND(H2806="Realizado",L2806&lt;&gt;"",A2806&lt;=Config!$B$9),L2806/60,0)</f>
        <v>0</v>
      </c>
      <c r="S2806" s="45">
        <f>IF(G2806="","",IFERROR(INDEX(Config!$K$5:$K$16,MATCH(G2806,Config!$J$5:$J$16,0)),""))</f>
        <v/>
      </c>
      <c r="T2806" s="31">
        <f>IF(OR(G2806="",F2806=""),"",IFERROR(INDEX(Config!$M$5:$R$16,MATCH(G2806,Config!$J$5:$J$16,0),MATCH(F2806,Config!$H$5:$H$10,0)),""))</f>
        <v/>
      </c>
      <c r="U2806" s="47">
        <f>IF(AND(H2806="Realizado",L2806&lt;&gt;""),L2806/60,0)</f>
        <v>0</v>
      </c>
      <c r="V2806" s="47">
        <f>IF(AND(H2806="Realizado",OR(L2806="",M2806="")),1,0)</f>
        <v>0</v>
      </c>
    </row>
    <row r="2807">
      <c r="A2807" s="43" t="n"/>
      <c r="B2807" s="44" t="n"/>
      <c r="C2807" s="38" t="n"/>
      <c r="D2807" s="38" t="n"/>
      <c r="E2807" s="37" t="n"/>
      <c r="F2807" s="38" t="n"/>
      <c r="G2807" s="38" t="n"/>
      <c r="H2807" s="38" t="n"/>
      <c r="I2807" s="38" t="n"/>
      <c r="J2807" s="38" t="n"/>
      <c r="K2807" s="37" t="n"/>
      <c r="L2807" s="39" t="n"/>
      <c r="M2807" s="40" t="n"/>
      <c r="N2807" s="30">
        <f>IF(A2807="","",MONTH(A2807))</f>
        <v/>
      </c>
      <c r="O2807" s="30">
        <f>IF(A2807="","",YEAR(A2807))</f>
        <v/>
      </c>
      <c r="P2807" s="30">
        <f>IF(A2807="","",CHOOSE(WEEKDAY(A2807,2),"Segunda","Terça","Quarta","Quinta","Sexta","Sábado","Domingo"))</f>
        <v/>
      </c>
      <c r="Q2807" s="30">
        <f>IF(B2807="","",IF(B2807&lt;TIME(12,0,0),"Manhã",IF(B2807&lt;TIME(18,0,0),"Tarde","Noite")))</f>
        <v/>
      </c>
      <c r="R2807" s="46">
        <f>IF(AND(H2807="Realizado",L2807&lt;&gt;"",A2807&lt;=Config!$B$9),L2807/60,0)</f>
        <v>0</v>
      </c>
      <c r="S2807" s="45">
        <f>IF(G2807="","",IFERROR(INDEX(Config!$K$5:$K$16,MATCH(G2807,Config!$J$5:$J$16,0)),""))</f>
        <v/>
      </c>
      <c r="T2807" s="31">
        <f>IF(OR(G2807="",F2807=""),"",IFERROR(INDEX(Config!$M$5:$R$16,MATCH(G2807,Config!$J$5:$J$16,0),MATCH(F2807,Config!$H$5:$H$10,0)),""))</f>
        <v/>
      </c>
      <c r="U2807" s="47">
        <f>IF(AND(H2807="Realizado",L2807&lt;&gt;""),L2807/60,0)</f>
        <v>0</v>
      </c>
      <c r="V2807" s="47">
        <f>IF(AND(H2807="Realizado",OR(L2807="",M2807="")),1,0)</f>
        <v>0</v>
      </c>
    </row>
    <row r="2808">
      <c r="A2808" s="43" t="n"/>
      <c r="B2808" s="44" t="n"/>
      <c r="C2808" s="38" t="n"/>
      <c r="D2808" s="38" t="n"/>
      <c r="E2808" s="37" t="n"/>
      <c r="F2808" s="38" t="n"/>
      <c r="G2808" s="38" t="n"/>
      <c r="H2808" s="38" t="n"/>
      <c r="I2808" s="38" t="n"/>
      <c r="J2808" s="38" t="n"/>
      <c r="K2808" s="37" t="n"/>
      <c r="L2808" s="39" t="n"/>
      <c r="M2808" s="40" t="n"/>
      <c r="N2808" s="30">
        <f>IF(A2808="","",MONTH(A2808))</f>
        <v/>
      </c>
      <c r="O2808" s="30">
        <f>IF(A2808="","",YEAR(A2808))</f>
        <v/>
      </c>
      <c r="P2808" s="30">
        <f>IF(A2808="","",CHOOSE(WEEKDAY(A2808,2),"Segunda","Terça","Quarta","Quinta","Sexta","Sábado","Domingo"))</f>
        <v/>
      </c>
      <c r="Q2808" s="30">
        <f>IF(B2808="","",IF(B2808&lt;TIME(12,0,0),"Manhã",IF(B2808&lt;TIME(18,0,0),"Tarde","Noite")))</f>
        <v/>
      </c>
      <c r="R2808" s="46">
        <f>IF(AND(H2808="Realizado",L2808&lt;&gt;"",A2808&lt;=Config!$B$9),L2808/60,0)</f>
        <v>0</v>
      </c>
      <c r="S2808" s="45">
        <f>IF(G2808="","",IFERROR(INDEX(Config!$K$5:$K$16,MATCH(G2808,Config!$J$5:$J$16,0)),""))</f>
        <v/>
      </c>
      <c r="T2808" s="31">
        <f>IF(OR(G2808="",F2808=""),"",IFERROR(INDEX(Config!$M$5:$R$16,MATCH(G2808,Config!$J$5:$J$16,0),MATCH(F2808,Config!$H$5:$H$10,0)),""))</f>
        <v/>
      </c>
      <c r="U2808" s="47">
        <f>IF(AND(H2808="Realizado",L2808&lt;&gt;""),L2808/60,0)</f>
        <v>0</v>
      </c>
      <c r="V2808" s="47">
        <f>IF(AND(H2808="Realizado",OR(L2808="",M2808="")),1,0)</f>
        <v>0</v>
      </c>
    </row>
    <row r="2809">
      <c r="A2809" s="43" t="n"/>
      <c r="B2809" s="44" t="n"/>
      <c r="C2809" s="38" t="n"/>
      <c r="D2809" s="38" t="n"/>
      <c r="E2809" s="37" t="n"/>
      <c r="F2809" s="38" t="n"/>
      <c r="G2809" s="38" t="n"/>
      <c r="H2809" s="38" t="n"/>
      <c r="I2809" s="38" t="n"/>
      <c r="J2809" s="38" t="n"/>
      <c r="K2809" s="37" t="n"/>
      <c r="L2809" s="39" t="n"/>
      <c r="M2809" s="40" t="n"/>
      <c r="N2809" s="30">
        <f>IF(A2809="","",MONTH(A2809))</f>
        <v/>
      </c>
      <c r="O2809" s="30">
        <f>IF(A2809="","",YEAR(A2809))</f>
        <v/>
      </c>
      <c r="P2809" s="30">
        <f>IF(A2809="","",CHOOSE(WEEKDAY(A2809,2),"Segunda","Terça","Quarta","Quinta","Sexta","Sábado","Domingo"))</f>
        <v/>
      </c>
      <c r="Q2809" s="30">
        <f>IF(B2809="","",IF(B2809&lt;TIME(12,0,0),"Manhã",IF(B2809&lt;TIME(18,0,0),"Tarde","Noite")))</f>
        <v/>
      </c>
      <c r="R2809" s="46">
        <f>IF(AND(H2809="Realizado",L2809&lt;&gt;"",A2809&lt;=Config!$B$9),L2809/60,0)</f>
        <v>0</v>
      </c>
      <c r="S2809" s="45">
        <f>IF(G2809="","",IFERROR(INDEX(Config!$K$5:$K$16,MATCH(G2809,Config!$J$5:$J$16,0)),""))</f>
        <v/>
      </c>
      <c r="T2809" s="31">
        <f>IF(OR(G2809="",F2809=""),"",IFERROR(INDEX(Config!$M$5:$R$16,MATCH(G2809,Config!$J$5:$J$16,0),MATCH(F2809,Config!$H$5:$H$10,0)),""))</f>
        <v/>
      </c>
      <c r="U2809" s="47">
        <f>IF(AND(H2809="Realizado",L2809&lt;&gt;""),L2809/60,0)</f>
        <v>0</v>
      </c>
      <c r="V2809" s="47">
        <f>IF(AND(H2809="Realizado",OR(L2809="",M2809="")),1,0)</f>
        <v>0</v>
      </c>
    </row>
    <row r="2810">
      <c r="A2810" s="43" t="n"/>
      <c r="B2810" s="44" t="n"/>
      <c r="C2810" s="38" t="n"/>
      <c r="D2810" s="38" t="n"/>
      <c r="E2810" s="37" t="n"/>
      <c r="F2810" s="38" t="n"/>
      <c r="G2810" s="38" t="n"/>
      <c r="H2810" s="38" t="n"/>
      <c r="I2810" s="38" t="n"/>
      <c r="J2810" s="38" t="n"/>
      <c r="K2810" s="37" t="n"/>
      <c r="L2810" s="39" t="n"/>
      <c r="M2810" s="40" t="n"/>
      <c r="N2810" s="30">
        <f>IF(A2810="","",MONTH(A2810))</f>
        <v/>
      </c>
      <c r="O2810" s="30">
        <f>IF(A2810="","",YEAR(A2810))</f>
        <v/>
      </c>
      <c r="P2810" s="30">
        <f>IF(A2810="","",CHOOSE(WEEKDAY(A2810,2),"Segunda","Terça","Quarta","Quinta","Sexta","Sábado","Domingo"))</f>
        <v/>
      </c>
      <c r="Q2810" s="30">
        <f>IF(B2810="","",IF(B2810&lt;TIME(12,0,0),"Manhã",IF(B2810&lt;TIME(18,0,0),"Tarde","Noite")))</f>
        <v/>
      </c>
      <c r="R2810" s="46">
        <f>IF(AND(H2810="Realizado",L2810&lt;&gt;"",A2810&lt;=Config!$B$9),L2810/60,0)</f>
        <v>0</v>
      </c>
      <c r="S2810" s="45">
        <f>IF(G2810="","",IFERROR(INDEX(Config!$K$5:$K$16,MATCH(G2810,Config!$J$5:$J$16,0)),""))</f>
        <v/>
      </c>
      <c r="T2810" s="31">
        <f>IF(OR(G2810="",F2810=""),"",IFERROR(INDEX(Config!$M$5:$R$16,MATCH(G2810,Config!$J$5:$J$16,0),MATCH(F2810,Config!$H$5:$H$10,0)),""))</f>
        <v/>
      </c>
      <c r="U2810" s="47">
        <f>IF(AND(H2810="Realizado",L2810&lt;&gt;""),L2810/60,0)</f>
        <v>0</v>
      </c>
      <c r="V2810" s="47">
        <f>IF(AND(H2810="Realizado",OR(L2810="",M2810="")),1,0)</f>
        <v>0</v>
      </c>
    </row>
    <row r="2811">
      <c r="A2811" s="43" t="n"/>
      <c r="B2811" s="44" t="n"/>
      <c r="C2811" s="38" t="n"/>
      <c r="D2811" s="38" t="n"/>
      <c r="E2811" s="37" t="n"/>
      <c r="F2811" s="38" t="n"/>
      <c r="G2811" s="38" t="n"/>
      <c r="H2811" s="38" t="n"/>
      <c r="I2811" s="38" t="n"/>
      <c r="J2811" s="38" t="n"/>
      <c r="K2811" s="37" t="n"/>
      <c r="L2811" s="39" t="n"/>
      <c r="M2811" s="40" t="n"/>
      <c r="N2811" s="30">
        <f>IF(A2811="","",MONTH(A2811))</f>
        <v/>
      </c>
      <c r="O2811" s="30">
        <f>IF(A2811="","",YEAR(A2811))</f>
        <v/>
      </c>
      <c r="P2811" s="30">
        <f>IF(A2811="","",CHOOSE(WEEKDAY(A2811,2),"Segunda","Terça","Quarta","Quinta","Sexta","Sábado","Domingo"))</f>
        <v/>
      </c>
      <c r="Q2811" s="30">
        <f>IF(B2811="","",IF(B2811&lt;TIME(12,0,0),"Manhã",IF(B2811&lt;TIME(18,0,0),"Tarde","Noite")))</f>
        <v/>
      </c>
      <c r="R2811" s="46">
        <f>IF(AND(H2811="Realizado",L2811&lt;&gt;"",A2811&lt;=Config!$B$9),L2811/60,0)</f>
        <v>0</v>
      </c>
      <c r="S2811" s="45">
        <f>IF(G2811="","",IFERROR(INDEX(Config!$K$5:$K$16,MATCH(G2811,Config!$J$5:$J$16,0)),""))</f>
        <v/>
      </c>
      <c r="T2811" s="31">
        <f>IF(OR(G2811="",F2811=""),"",IFERROR(INDEX(Config!$M$5:$R$16,MATCH(G2811,Config!$J$5:$J$16,0),MATCH(F2811,Config!$H$5:$H$10,0)),""))</f>
        <v/>
      </c>
      <c r="U2811" s="47">
        <f>IF(AND(H2811="Realizado",L2811&lt;&gt;""),L2811/60,0)</f>
        <v>0</v>
      </c>
      <c r="V2811" s="47">
        <f>IF(AND(H2811="Realizado",OR(L2811="",M2811="")),1,0)</f>
        <v>0</v>
      </c>
    </row>
    <row r="2812">
      <c r="A2812" s="43" t="n"/>
      <c r="B2812" s="44" t="n"/>
      <c r="C2812" s="38" t="n"/>
      <c r="D2812" s="38" t="n"/>
      <c r="E2812" s="37" t="n"/>
      <c r="F2812" s="38" t="n"/>
      <c r="G2812" s="38" t="n"/>
      <c r="H2812" s="38" t="n"/>
      <c r="I2812" s="38" t="n"/>
      <c r="J2812" s="38" t="n"/>
      <c r="K2812" s="37" t="n"/>
      <c r="L2812" s="39" t="n"/>
      <c r="M2812" s="40" t="n"/>
      <c r="N2812" s="30">
        <f>IF(A2812="","",MONTH(A2812))</f>
        <v/>
      </c>
      <c r="O2812" s="30">
        <f>IF(A2812="","",YEAR(A2812))</f>
        <v/>
      </c>
      <c r="P2812" s="30">
        <f>IF(A2812="","",CHOOSE(WEEKDAY(A2812,2),"Segunda","Terça","Quarta","Quinta","Sexta","Sábado","Domingo"))</f>
        <v/>
      </c>
      <c r="Q2812" s="30">
        <f>IF(B2812="","",IF(B2812&lt;TIME(12,0,0),"Manhã",IF(B2812&lt;TIME(18,0,0),"Tarde","Noite")))</f>
        <v/>
      </c>
      <c r="R2812" s="46">
        <f>IF(AND(H2812="Realizado",L2812&lt;&gt;"",A2812&lt;=Config!$B$9),L2812/60,0)</f>
        <v>0</v>
      </c>
      <c r="S2812" s="45">
        <f>IF(G2812="","",IFERROR(INDEX(Config!$K$5:$K$16,MATCH(G2812,Config!$J$5:$J$16,0)),""))</f>
        <v/>
      </c>
      <c r="T2812" s="31">
        <f>IF(OR(G2812="",F2812=""),"",IFERROR(INDEX(Config!$M$5:$R$16,MATCH(G2812,Config!$J$5:$J$16,0),MATCH(F2812,Config!$H$5:$H$10,0)),""))</f>
        <v/>
      </c>
      <c r="U2812" s="47">
        <f>IF(AND(H2812="Realizado",L2812&lt;&gt;""),L2812/60,0)</f>
        <v>0</v>
      </c>
      <c r="V2812" s="47">
        <f>IF(AND(H2812="Realizado",OR(L2812="",M2812="")),1,0)</f>
        <v>0</v>
      </c>
    </row>
    <row r="2813">
      <c r="A2813" s="43" t="n"/>
      <c r="B2813" s="44" t="n"/>
      <c r="C2813" s="38" t="n"/>
      <c r="D2813" s="38" t="n"/>
      <c r="E2813" s="37" t="n"/>
      <c r="F2813" s="38" t="n"/>
      <c r="G2813" s="38" t="n"/>
      <c r="H2813" s="38" t="n"/>
      <c r="I2813" s="38" t="n"/>
      <c r="J2813" s="38" t="n"/>
      <c r="K2813" s="37" t="n"/>
      <c r="L2813" s="39" t="n"/>
      <c r="M2813" s="40" t="n"/>
      <c r="N2813" s="30">
        <f>IF(A2813="","",MONTH(A2813))</f>
        <v/>
      </c>
      <c r="O2813" s="30">
        <f>IF(A2813="","",YEAR(A2813))</f>
        <v/>
      </c>
      <c r="P2813" s="30">
        <f>IF(A2813="","",CHOOSE(WEEKDAY(A2813,2),"Segunda","Terça","Quarta","Quinta","Sexta","Sábado","Domingo"))</f>
        <v/>
      </c>
      <c r="Q2813" s="30">
        <f>IF(B2813="","",IF(B2813&lt;TIME(12,0,0),"Manhã",IF(B2813&lt;TIME(18,0,0),"Tarde","Noite")))</f>
        <v/>
      </c>
      <c r="R2813" s="46">
        <f>IF(AND(H2813="Realizado",L2813&lt;&gt;"",A2813&lt;=Config!$B$9),L2813/60,0)</f>
        <v>0</v>
      </c>
      <c r="S2813" s="45">
        <f>IF(G2813="","",IFERROR(INDEX(Config!$K$5:$K$16,MATCH(G2813,Config!$J$5:$J$16,0)),""))</f>
        <v/>
      </c>
      <c r="T2813" s="31">
        <f>IF(OR(G2813="",F2813=""),"",IFERROR(INDEX(Config!$M$5:$R$16,MATCH(G2813,Config!$J$5:$J$16,0),MATCH(F2813,Config!$H$5:$H$10,0)),""))</f>
        <v/>
      </c>
      <c r="U2813" s="47">
        <f>IF(AND(H2813="Realizado",L2813&lt;&gt;""),L2813/60,0)</f>
        <v>0</v>
      </c>
      <c r="V2813" s="47">
        <f>IF(AND(H2813="Realizado",OR(L2813="",M2813="")),1,0)</f>
        <v>0</v>
      </c>
    </row>
    <row r="2814">
      <c r="A2814" s="43" t="n"/>
      <c r="B2814" s="44" t="n"/>
      <c r="C2814" s="38" t="n"/>
      <c r="D2814" s="38" t="n"/>
      <c r="E2814" s="37" t="n"/>
      <c r="F2814" s="38" t="n"/>
      <c r="G2814" s="38" t="n"/>
      <c r="H2814" s="38" t="n"/>
      <c r="I2814" s="38" t="n"/>
      <c r="J2814" s="38" t="n"/>
      <c r="K2814" s="37" t="n"/>
      <c r="L2814" s="39" t="n"/>
      <c r="M2814" s="40" t="n"/>
      <c r="N2814" s="30">
        <f>IF(A2814="","",MONTH(A2814))</f>
        <v/>
      </c>
      <c r="O2814" s="30">
        <f>IF(A2814="","",YEAR(A2814))</f>
        <v/>
      </c>
      <c r="P2814" s="30">
        <f>IF(A2814="","",CHOOSE(WEEKDAY(A2814,2),"Segunda","Terça","Quarta","Quinta","Sexta","Sábado","Domingo"))</f>
        <v/>
      </c>
      <c r="Q2814" s="30">
        <f>IF(B2814="","",IF(B2814&lt;TIME(12,0,0),"Manhã",IF(B2814&lt;TIME(18,0,0),"Tarde","Noite")))</f>
        <v/>
      </c>
      <c r="R2814" s="46">
        <f>IF(AND(H2814="Realizado",L2814&lt;&gt;"",A2814&lt;=Config!$B$9),L2814/60,0)</f>
        <v>0</v>
      </c>
      <c r="S2814" s="45">
        <f>IF(G2814="","",IFERROR(INDEX(Config!$K$5:$K$16,MATCH(G2814,Config!$J$5:$J$16,0)),""))</f>
        <v/>
      </c>
      <c r="T2814" s="31">
        <f>IF(OR(G2814="",F2814=""),"",IFERROR(INDEX(Config!$M$5:$R$16,MATCH(G2814,Config!$J$5:$J$16,0),MATCH(F2814,Config!$H$5:$H$10,0)),""))</f>
        <v/>
      </c>
      <c r="U2814" s="47">
        <f>IF(AND(H2814="Realizado",L2814&lt;&gt;""),L2814/60,0)</f>
        <v>0</v>
      </c>
      <c r="V2814" s="47">
        <f>IF(AND(H2814="Realizado",OR(L2814="",M2814="")),1,0)</f>
        <v>0</v>
      </c>
    </row>
    <row r="2815">
      <c r="A2815" s="43" t="n"/>
      <c r="B2815" s="44" t="n"/>
      <c r="C2815" s="38" t="n"/>
      <c r="D2815" s="38" t="n"/>
      <c r="E2815" s="37" t="n"/>
      <c r="F2815" s="38" t="n"/>
      <c r="G2815" s="38" t="n"/>
      <c r="H2815" s="38" t="n"/>
      <c r="I2815" s="38" t="n"/>
      <c r="J2815" s="38" t="n"/>
      <c r="K2815" s="37" t="n"/>
      <c r="L2815" s="39" t="n"/>
      <c r="M2815" s="40" t="n"/>
      <c r="N2815" s="30">
        <f>IF(A2815="","",MONTH(A2815))</f>
        <v/>
      </c>
      <c r="O2815" s="30">
        <f>IF(A2815="","",YEAR(A2815))</f>
        <v/>
      </c>
      <c r="P2815" s="30">
        <f>IF(A2815="","",CHOOSE(WEEKDAY(A2815,2),"Segunda","Terça","Quarta","Quinta","Sexta","Sábado","Domingo"))</f>
        <v/>
      </c>
      <c r="Q2815" s="30">
        <f>IF(B2815="","",IF(B2815&lt;TIME(12,0,0),"Manhã",IF(B2815&lt;TIME(18,0,0),"Tarde","Noite")))</f>
        <v/>
      </c>
      <c r="R2815" s="46">
        <f>IF(AND(H2815="Realizado",L2815&lt;&gt;"",A2815&lt;=Config!$B$9),L2815/60,0)</f>
        <v>0</v>
      </c>
      <c r="S2815" s="45">
        <f>IF(G2815="","",IFERROR(INDEX(Config!$K$5:$K$16,MATCH(G2815,Config!$J$5:$J$16,0)),""))</f>
        <v/>
      </c>
      <c r="T2815" s="31">
        <f>IF(OR(G2815="",F2815=""),"",IFERROR(INDEX(Config!$M$5:$R$16,MATCH(G2815,Config!$J$5:$J$16,0),MATCH(F2815,Config!$H$5:$H$10,0)),""))</f>
        <v/>
      </c>
      <c r="U2815" s="47">
        <f>IF(AND(H2815="Realizado",L2815&lt;&gt;""),L2815/60,0)</f>
        <v>0</v>
      </c>
      <c r="V2815" s="47">
        <f>IF(AND(H2815="Realizado",OR(L2815="",M2815="")),1,0)</f>
        <v>0</v>
      </c>
    </row>
    <row r="2816">
      <c r="A2816" s="43" t="n"/>
      <c r="B2816" s="44" t="n"/>
      <c r="C2816" s="38" t="n"/>
      <c r="D2816" s="38" t="n"/>
      <c r="E2816" s="37" t="n"/>
      <c r="F2816" s="38" t="n"/>
      <c r="G2816" s="38" t="n"/>
      <c r="H2816" s="38" t="n"/>
      <c r="I2816" s="38" t="n"/>
      <c r="J2816" s="38" t="n"/>
      <c r="K2816" s="37" t="n"/>
      <c r="L2816" s="39" t="n"/>
      <c r="M2816" s="40" t="n"/>
      <c r="N2816" s="30">
        <f>IF(A2816="","",MONTH(A2816))</f>
        <v/>
      </c>
      <c r="O2816" s="30">
        <f>IF(A2816="","",YEAR(A2816))</f>
        <v/>
      </c>
      <c r="P2816" s="30">
        <f>IF(A2816="","",CHOOSE(WEEKDAY(A2816,2),"Segunda","Terça","Quarta","Quinta","Sexta","Sábado","Domingo"))</f>
        <v/>
      </c>
      <c r="Q2816" s="30">
        <f>IF(B2816="","",IF(B2816&lt;TIME(12,0,0),"Manhã",IF(B2816&lt;TIME(18,0,0),"Tarde","Noite")))</f>
        <v/>
      </c>
      <c r="R2816" s="46">
        <f>IF(AND(H2816="Realizado",L2816&lt;&gt;"",A2816&lt;=Config!$B$9),L2816/60,0)</f>
        <v>0</v>
      </c>
      <c r="S2816" s="45">
        <f>IF(G2816="","",IFERROR(INDEX(Config!$K$5:$K$16,MATCH(G2816,Config!$J$5:$J$16,0)),""))</f>
        <v/>
      </c>
      <c r="T2816" s="31">
        <f>IF(OR(G2816="",F2816=""),"",IFERROR(INDEX(Config!$M$5:$R$16,MATCH(G2816,Config!$J$5:$J$16,0),MATCH(F2816,Config!$H$5:$H$10,0)),""))</f>
        <v/>
      </c>
      <c r="U2816" s="47">
        <f>IF(AND(H2816="Realizado",L2816&lt;&gt;""),L2816/60,0)</f>
        <v>0</v>
      </c>
      <c r="V2816" s="47">
        <f>IF(AND(H2816="Realizado",OR(L2816="",M2816="")),1,0)</f>
        <v>0</v>
      </c>
    </row>
    <row r="2817">
      <c r="A2817" s="43" t="n"/>
      <c r="B2817" s="44" t="n"/>
      <c r="C2817" s="38" t="n"/>
      <c r="D2817" s="38" t="n"/>
      <c r="E2817" s="37" t="n"/>
      <c r="F2817" s="38" t="n"/>
      <c r="G2817" s="38" t="n"/>
      <c r="H2817" s="38" t="n"/>
      <c r="I2817" s="38" t="n"/>
      <c r="J2817" s="38" t="n"/>
      <c r="K2817" s="37" t="n"/>
      <c r="L2817" s="39" t="n"/>
      <c r="M2817" s="40" t="n"/>
      <c r="N2817" s="30">
        <f>IF(A2817="","",MONTH(A2817))</f>
        <v/>
      </c>
      <c r="O2817" s="30">
        <f>IF(A2817="","",YEAR(A2817))</f>
        <v/>
      </c>
      <c r="P2817" s="30">
        <f>IF(A2817="","",CHOOSE(WEEKDAY(A2817,2),"Segunda","Terça","Quarta","Quinta","Sexta","Sábado","Domingo"))</f>
        <v/>
      </c>
      <c r="Q2817" s="30">
        <f>IF(B2817="","",IF(B2817&lt;TIME(12,0,0),"Manhã",IF(B2817&lt;TIME(18,0,0),"Tarde","Noite")))</f>
        <v/>
      </c>
      <c r="R2817" s="46">
        <f>IF(AND(H2817="Realizado",L2817&lt;&gt;"",A2817&lt;=Config!$B$9),L2817/60,0)</f>
        <v>0</v>
      </c>
      <c r="S2817" s="45">
        <f>IF(G2817="","",IFERROR(INDEX(Config!$K$5:$K$16,MATCH(G2817,Config!$J$5:$J$16,0)),""))</f>
        <v/>
      </c>
      <c r="T2817" s="31">
        <f>IF(OR(G2817="",F2817=""),"",IFERROR(INDEX(Config!$M$5:$R$16,MATCH(G2817,Config!$J$5:$J$16,0),MATCH(F2817,Config!$H$5:$H$10,0)),""))</f>
        <v/>
      </c>
      <c r="U2817" s="47">
        <f>IF(AND(H2817="Realizado",L2817&lt;&gt;""),L2817/60,0)</f>
        <v>0</v>
      </c>
      <c r="V2817" s="47">
        <f>IF(AND(H2817="Realizado",OR(L2817="",M2817="")),1,0)</f>
        <v>0</v>
      </c>
    </row>
    <row r="2818">
      <c r="A2818" s="43" t="n"/>
      <c r="B2818" s="44" t="n"/>
      <c r="C2818" s="38" t="n"/>
      <c r="D2818" s="38" t="n"/>
      <c r="E2818" s="37" t="n"/>
      <c r="F2818" s="38" t="n"/>
      <c r="G2818" s="38" t="n"/>
      <c r="H2818" s="38" t="n"/>
      <c r="I2818" s="38" t="n"/>
      <c r="J2818" s="38" t="n"/>
      <c r="K2818" s="37" t="n"/>
      <c r="L2818" s="39" t="n"/>
      <c r="M2818" s="40" t="n"/>
      <c r="N2818" s="30">
        <f>IF(A2818="","",MONTH(A2818))</f>
        <v/>
      </c>
      <c r="O2818" s="30">
        <f>IF(A2818="","",YEAR(A2818))</f>
        <v/>
      </c>
      <c r="P2818" s="30">
        <f>IF(A2818="","",CHOOSE(WEEKDAY(A2818,2),"Segunda","Terça","Quarta","Quinta","Sexta","Sábado","Domingo"))</f>
        <v/>
      </c>
      <c r="Q2818" s="30">
        <f>IF(B2818="","",IF(B2818&lt;TIME(12,0,0),"Manhã",IF(B2818&lt;TIME(18,0,0),"Tarde","Noite")))</f>
        <v/>
      </c>
      <c r="R2818" s="46">
        <f>IF(AND(H2818="Realizado",L2818&lt;&gt;"",A2818&lt;=Config!$B$9),L2818/60,0)</f>
        <v>0</v>
      </c>
      <c r="S2818" s="45">
        <f>IF(G2818="","",IFERROR(INDEX(Config!$K$5:$K$16,MATCH(G2818,Config!$J$5:$J$16,0)),""))</f>
        <v/>
      </c>
      <c r="T2818" s="31">
        <f>IF(OR(G2818="",F2818=""),"",IFERROR(INDEX(Config!$M$5:$R$16,MATCH(G2818,Config!$J$5:$J$16,0),MATCH(F2818,Config!$H$5:$H$10,0)),""))</f>
        <v/>
      </c>
      <c r="U2818" s="47">
        <f>IF(AND(H2818="Realizado",L2818&lt;&gt;""),L2818/60,0)</f>
        <v>0</v>
      </c>
      <c r="V2818" s="47">
        <f>IF(AND(H2818="Realizado",OR(L2818="",M2818="")),1,0)</f>
        <v>0</v>
      </c>
    </row>
    <row r="2819">
      <c r="A2819" s="43" t="n"/>
      <c r="B2819" s="44" t="n"/>
      <c r="C2819" s="38" t="n"/>
      <c r="D2819" s="38" t="n"/>
      <c r="E2819" s="37" t="n"/>
      <c r="F2819" s="38" t="n"/>
      <c r="G2819" s="38" t="n"/>
      <c r="H2819" s="38" t="n"/>
      <c r="I2819" s="38" t="n"/>
      <c r="J2819" s="38" t="n"/>
      <c r="K2819" s="37" t="n"/>
      <c r="L2819" s="39" t="n"/>
      <c r="M2819" s="40" t="n"/>
      <c r="N2819" s="30">
        <f>IF(A2819="","",MONTH(A2819))</f>
        <v/>
      </c>
      <c r="O2819" s="30">
        <f>IF(A2819="","",YEAR(A2819))</f>
        <v/>
      </c>
      <c r="P2819" s="30">
        <f>IF(A2819="","",CHOOSE(WEEKDAY(A2819,2),"Segunda","Terça","Quarta","Quinta","Sexta","Sábado","Domingo"))</f>
        <v/>
      </c>
      <c r="Q2819" s="30">
        <f>IF(B2819="","",IF(B2819&lt;TIME(12,0,0),"Manhã",IF(B2819&lt;TIME(18,0,0),"Tarde","Noite")))</f>
        <v/>
      </c>
      <c r="R2819" s="46">
        <f>IF(AND(H2819="Realizado",L2819&lt;&gt;"",A2819&lt;=Config!$B$9),L2819/60,0)</f>
        <v>0</v>
      </c>
      <c r="S2819" s="45">
        <f>IF(G2819="","",IFERROR(INDEX(Config!$K$5:$K$16,MATCH(G2819,Config!$J$5:$J$16,0)),""))</f>
        <v/>
      </c>
      <c r="T2819" s="31">
        <f>IF(OR(G2819="",F2819=""),"",IFERROR(INDEX(Config!$M$5:$R$16,MATCH(G2819,Config!$J$5:$J$16,0),MATCH(F2819,Config!$H$5:$H$10,0)),""))</f>
        <v/>
      </c>
      <c r="U2819" s="47">
        <f>IF(AND(H2819="Realizado",L2819&lt;&gt;""),L2819/60,0)</f>
        <v>0</v>
      </c>
      <c r="V2819" s="47">
        <f>IF(AND(H2819="Realizado",OR(L2819="",M2819="")),1,0)</f>
        <v>0</v>
      </c>
    </row>
    <row r="2820">
      <c r="A2820" s="43" t="n"/>
      <c r="B2820" s="44" t="n"/>
      <c r="C2820" s="38" t="n"/>
      <c r="D2820" s="38" t="n"/>
      <c r="E2820" s="37" t="n"/>
      <c r="F2820" s="38" t="n"/>
      <c r="G2820" s="38" t="n"/>
      <c r="H2820" s="38" t="n"/>
      <c r="I2820" s="38" t="n"/>
      <c r="J2820" s="38" t="n"/>
      <c r="K2820" s="37" t="n"/>
      <c r="L2820" s="39" t="n"/>
      <c r="M2820" s="40" t="n"/>
      <c r="N2820" s="30">
        <f>IF(A2820="","",MONTH(A2820))</f>
        <v/>
      </c>
      <c r="O2820" s="30">
        <f>IF(A2820="","",YEAR(A2820))</f>
        <v/>
      </c>
      <c r="P2820" s="30">
        <f>IF(A2820="","",CHOOSE(WEEKDAY(A2820,2),"Segunda","Terça","Quarta","Quinta","Sexta","Sábado","Domingo"))</f>
        <v/>
      </c>
      <c r="Q2820" s="30">
        <f>IF(B2820="","",IF(B2820&lt;TIME(12,0,0),"Manhã",IF(B2820&lt;TIME(18,0,0),"Tarde","Noite")))</f>
        <v/>
      </c>
      <c r="R2820" s="46">
        <f>IF(AND(H2820="Realizado",L2820&lt;&gt;"",A2820&lt;=Config!$B$9),L2820/60,0)</f>
        <v>0</v>
      </c>
      <c r="S2820" s="45">
        <f>IF(G2820="","",IFERROR(INDEX(Config!$K$5:$K$16,MATCH(G2820,Config!$J$5:$J$16,0)),""))</f>
        <v/>
      </c>
      <c r="T2820" s="31">
        <f>IF(OR(G2820="",F2820=""),"",IFERROR(INDEX(Config!$M$5:$R$16,MATCH(G2820,Config!$J$5:$J$16,0),MATCH(F2820,Config!$H$5:$H$10,0)),""))</f>
        <v/>
      </c>
      <c r="U2820" s="47">
        <f>IF(AND(H2820="Realizado",L2820&lt;&gt;""),L2820/60,0)</f>
        <v>0</v>
      </c>
      <c r="V2820" s="47">
        <f>IF(AND(H2820="Realizado",OR(L2820="",M2820="")),1,0)</f>
        <v>0</v>
      </c>
    </row>
    <row r="2821">
      <c r="A2821" s="43" t="n"/>
      <c r="B2821" s="44" t="n"/>
      <c r="C2821" s="38" t="n"/>
      <c r="D2821" s="38" t="n"/>
      <c r="E2821" s="37" t="n"/>
      <c r="F2821" s="38" t="n"/>
      <c r="G2821" s="38" t="n"/>
      <c r="H2821" s="38" t="n"/>
      <c r="I2821" s="38" t="n"/>
      <c r="J2821" s="38" t="n"/>
      <c r="K2821" s="37" t="n"/>
      <c r="L2821" s="39" t="n"/>
      <c r="M2821" s="40" t="n"/>
      <c r="N2821" s="30">
        <f>IF(A2821="","",MONTH(A2821))</f>
        <v/>
      </c>
      <c r="O2821" s="30">
        <f>IF(A2821="","",YEAR(A2821))</f>
        <v/>
      </c>
      <c r="P2821" s="30">
        <f>IF(A2821="","",CHOOSE(WEEKDAY(A2821,2),"Segunda","Terça","Quarta","Quinta","Sexta","Sábado","Domingo"))</f>
        <v/>
      </c>
      <c r="Q2821" s="30">
        <f>IF(B2821="","",IF(B2821&lt;TIME(12,0,0),"Manhã",IF(B2821&lt;TIME(18,0,0),"Tarde","Noite")))</f>
        <v/>
      </c>
      <c r="R2821" s="46">
        <f>IF(AND(H2821="Realizado",L2821&lt;&gt;"",A2821&lt;=Config!$B$9),L2821/60,0)</f>
        <v>0</v>
      </c>
      <c r="S2821" s="45">
        <f>IF(G2821="","",IFERROR(INDEX(Config!$K$5:$K$16,MATCH(G2821,Config!$J$5:$J$16,0)),""))</f>
        <v/>
      </c>
      <c r="T2821" s="31">
        <f>IF(OR(G2821="",F2821=""),"",IFERROR(INDEX(Config!$M$5:$R$16,MATCH(G2821,Config!$J$5:$J$16,0),MATCH(F2821,Config!$H$5:$H$10,0)),""))</f>
        <v/>
      </c>
      <c r="U2821" s="47">
        <f>IF(AND(H2821="Realizado",L2821&lt;&gt;""),L2821/60,0)</f>
        <v>0</v>
      </c>
      <c r="V2821" s="47">
        <f>IF(AND(H2821="Realizado",OR(L2821="",M2821="")),1,0)</f>
        <v>0</v>
      </c>
    </row>
    <row r="2822">
      <c r="A2822" s="43" t="n"/>
      <c r="B2822" s="44" t="n"/>
      <c r="C2822" s="38" t="n"/>
      <c r="D2822" s="38" t="n"/>
      <c r="E2822" s="37" t="n"/>
      <c r="F2822" s="38" t="n"/>
      <c r="G2822" s="38" t="n"/>
      <c r="H2822" s="38" t="n"/>
      <c r="I2822" s="38" t="n"/>
      <c r="J2822" s="38" t="n"/>
      <c r="K2822" s="37" t="n"/>
      <c r="L2822" s="39" t="n"/>
      <c r="M2822" s="40" t="n"/>
      <c r="N2822" s="30">
        <f>IF(A2822="","",MONTH(A2822))</f>
        <v/>
      </c>
      <c r="O2822" s="30">
        <f>IF(A2822="","",YEAR(A2822))</f>
        <v/>
      </c>
      <c r="P2822" s="30">
        <f>IF(A2822="","",CHOOSE(WEEKDAY(A2822,2),"Segunda","Terça","Quarta","Quinta","Sexta","Sábado","Domingo"))</f>
        <v/>
      </c>
      <c r="Q2822" s="30">
        <f>IF(B2822="","",IF(B2822&lt;TIME(12,0,0),"Manhã",IF(B2822&lt;TIME(18,0,0),"Tarde","Noite")))</f>
        <v/>
      </c>
      <c r="R2822" s="46">
        <f>IF(AND(H2822="Realizado",L2822&lt;&gt;"",A2822&lt;=Config!$B$9),L2822/60,0)</f>
        <v>0</v>
      </c>
      <c r="S2822" s="45">
        <f>IF(G2822="","",IFERROR(INDEX(Config!$K$5:$K$16,MATCH(G2822,Config!$J$5:$J$16,0)),""))</f>
        <v/>
      </c>
      <c r="T2822" s="31">
        <f>IF(OR(G2822="",F2822=""),"",IFERROR(INDEX(Config!$M$5:$R$16,MATCH(G2822,Config!$J$5:$J$16,0),MATCH(F2822,Config!$H$5:$H$10,0)),""))</f>
        <v/>
      </c>
      <c r="U2822" s="47">
        <f>IF(AND(H2822="Realizado",L2822&lt;&gt;""),L2822/60,0)</f>
        <v>0</v>
      </c>
      <c r="V2822" s="47">
        <f>IF(AND(H2822="Realizado",OR(L2822="",M2822="")),1,0)</f>
        <v>0</v>
      </c>
    </row>
    <row r="2823">
      <c r="A2823" s="43" t="n"/>
      <c r="B2823" s="44" t="n"/>
      <c r="C2823" s="38" t="n"/>
      <c r="D2823" s="38" t="n"/>
      <c r="E2823" s="37" t="n"/>
      <c r="F2823" s="38" t="n"/>
      <c r="G2823" s="38" t="n"/>
      <c r="H2823" s="38" t="n"/>
      <c r="I2823" s="38" t="n"/>
      <c r="J2823" s="38" t="n"/>
      <c r="K2823" s="37" t="n"/>
      <c r="L2823" s="39" t="n"/>
      <c r="M2823" s="40" t="n"/>
      <c r="N2823" s="30">
        <f>IF(A2823="","",MONTH(A2823))</f>
        <v/>
      </c>
      <c r="O2823" s="30">
        <f>IF(A2823="","",YEAR(A2823))</f>
        <v/>
      </c>
      <c r="P2823" s="30">
        <f>IF(A2823="","",CHOOSE(WEEKDAY(A2823,2),"Segunda","Terça","Quarta","Quinta","Sexta","Sábado","Domingo"))</f>
        <v/>
      </c>
      <c r="Q2823" s="30">
        <f>IF(B2823="","",IF(B2823&lt;TIME(12,0,0),"Manhã",IF(B2823&lt;TIME(18,0,0),"Tarde","Noite")))</f>
        <v/>
      </c>
      <c r="R2823" s="46">
        <f>IF(AND(H2823="Realizado",L2823&lt;&gt;"",A2823&lt;=Config!$B$9),L2823/60,0)</f>
        <v>0</v>
      </c>
      <c r="S2823" s="45">
        <f>IF(G2823="","",IFERROR(INDEX(Config!$K$5:$K$16,MATCH(G2823,Config!$J$5:$J$16,0)),""))</f>
        <v/>
      </c>
      <c r="T2823" s="31">
        <f>IF(OR(G2823="",F2823=""),"",IFERROR(INDEX(Config!$M$5:$R$16,MATCH(G2823,Config!$J$5:$J$16,0),MATCH(F2823,Config!$H$5:$H$10,0)),""))</f>
        <v/>
      </c>
      <c r="U2823" s="47">
        <f>IF(AND(H2823="Realizado",L2823&lt;&gt;""),L2823/60,0)</f>
        <v>0</v>
      </c>
      <c r="V2823" s="47">
        <f>IF(AND(H2823="Realizado",OR(L2823="",M2823="")),1,0)</f>
        <v>0</v>
      </c>
    </row>
    <row r="2824">
      <c r="A2824" s="43" t="n"/>
      <c r="B2824" s="44" t="n"/>
      <c r="C2824" s="38" t="n"/>
      <c r="D2824" s="38" t="n"/>
      <c r="E2824" s="37" t="n"/>
      <c r="F2824" s="38" t="n"/>
      <c r="G2824" s="38" t="n"/>
      <c r="H2824" s="38" t="n"/>
      <c r="I2824" s="38" t="n"/>
      <c r="J2824" s="38" t="n"/>
      <c r="K2824" s="37" t="n"/>
      <c r="L2824" s="39" t="n"/>
      <c r="M2824" s="40" t="n"/>
      <c r="N2824" s="30">
        <f>IF(A2824="","",MONTH(A2824))</f>
        <v/>
      </c>
      <c r="O2824" s="30">
        <f>IF(A2824="","",YEAR(A2824))</f>
        <v/>
      </c>
      <c r="P2824" s="30">
        <f>IF(A2824="","",CHOOSE(WEEKDAY(A2824,2),"Segunda","Terça","Quarta","Quinta","Sexta","Sábado","Domingo"))</f>
        <v/>
      </c>
      <c r="Q2824" s="30">
        <f>IF(B2824="","",IF(B2824&lt;TIME(12,0,0),"Manhã",IF(B2824&lt;TIME(18,0,0),"Tarde","Noite")))</f>
        <v/>
      </c>
      <c r="R2824" s="46">
        <f>IF(AND(H2824="Realizado",L2824&lt;&gt;"",A2824&lt;=Config!$B$9),L2824/60,0)</f>
        <v>0</v>
      </c>
      <c r="S2824" s="45">
        <f>IF(G2824="","",IFERROR(INDEX(Config!$K$5:$K$16,MATCH(G2824,Config!$J$5:$J$16,0)),""))</f>
        <v/>
      </c>
      <c r="T2824" s="31">
        <f>IF(OR(G2824="",F2824=""),"",IFERROR(INDEX(Config!$M$5:$R$16,MATCH(G2824,Config!$J$5:$J$16,0),MATCH(F2824,Config!$H$5:$H$10,0)),""))</f>
        <v/>
      </c>
      <c r="U2824" s="47">
        <f>IF(AND(H2824="Realizado",L2824&lt;&gt;""),L2824/60,0)</f>
        <v>0</v>
      </c>
      <c r="V2824" s="47">
        <f>IF(AND(H2824="Realizado",OR(L2824="",M2824="")),1,0)</f>
        <v>0</v>
      </c>
    </row>
    <row r="2825">
      <c r="A2825" s="43" t="n"/>
      <c r="B2825" s="44" t="n"/>
      <c r="C2825" s="38" t="n"/>
      <c r="D2825" s="38" t="n"/>
      <c r="E2825" s="37" t="n"/>
      <c r="F2825" s="38" t="n"/>
      <c r="G2825" s="38" t="n"/>
      <c r="H2825" s="38" t="n"/>
      <c r="I2825" s="38" t="n"/>
      <c r="J2825" s="38" t="n"/>
      <c r="K2825" s="37" t="n"/>
      <c r="L2825" s="39" t="n"/>
      <c r="M2825" s="40" t="n"/>
      <c r="N2825" s="30">
        <f>IF(A2825="","",MONTH(A2825))</f>
        <v/>
      </c>
      <c r="O2825" s="30">
        <f>IF(A2825="","",YEAR(A2825))</f>
        <v/>
      </c>
      <c r="P2825" s="30">
        <f>IF(A2825="","",CHOOSE(WEEKDAY(A2825,2),"Segunda","Terça","Quarta","Quinta","Sexta","Sábado","Domingo"))</f>
        <v/>
      </c>
      <c r="Q2825" s="30">
        <f>IF(B2825="","",IF(B2825&lt;TIME(12,0,0),"Manhã",IF(B2825&lt;TIME(18,0,0),"Tarde","Noite")))</f>
        <v/>
      </c>
      <c r="R2825" s="46">
        <f>IF(AND(H2825="Realizado",L2825&lt;&gt;"",A2825&lt;=Config!$B$9),L2825/60,0)</f>
        <v>0</v>
      </c>
      <c r="S2825" s="45">
        <f>IF(G2825="","",IFERROR(INDEX(Config!$K$5:$K$16,MATCH(G2825,Config!$J$5:$J$16,0)),""))</f>
        <v/>
      </c>
      <c r="T2825" s="31">
        <f>IF(OR(G2825="",F2825=""),"",IFERROR(INDEX(Config!$M$5:$R$16,MATCH(G2825,Config!$J$5:$J$16,0),MATCH(F2825,Config!$H$5:$H$10,0)),""))</f>
        <v/>
      </c>
      <c r="U2825" s="47">
        <f>IF(AND(H2825="Realizado",L2825&lt;&gt;""),L2825/60,0)</f>
        <v>0</v>
      </c>
      <c r="V2825" s="47">
        <f>IF(AND(H2825="Realizado",OR(L2825="",M2825="")),1,0)</f>
        <v>0</v>
      </c>
    </row>
    <row r="2826">
      <c r="A2826" s="43" t="n"/>
      <c r="B2826" s="44" t="n"/>
      <c r="C2826" s="38" t="n"/>
      <c r="D2826" s="38" t="n"/>
      <c r="E2826" s="37" t="n"/>
      <c r="F2826" s="38" t="n"/>
      <c r="G2826" s="38" t="n"/>
      <c r="H2826" s="38" t="n"/>
      <c r="I2826" s="38" t="n"/>
      <c r="J2826" s="38" t="n"/>
      <c r="K2826" s="37" t="n"/>
      <c r="L2826" s="39" t="n"/>
      <c r="M2826" s="40" t="n"/>
      <c r="N2826" s="30">
        <f>IF(A2826="","",MONTH(A2826))</f>
        <v/>
      </c>
      <c r="O2826" s="30">
        <f>IF(A2826="","",YEAR(A2826))</f>
        <v/>
      </c>
      <c r="P2826" s="30">
        <f>IF(A2826="","",CHOOSE(WEEKDAY(A2826,2),"Segunda","Terça","Quarta","Quinta","Sexta","Sábado","Domingo"))</f>
        <v/>
      </c>
      <c r="Q2826" s="30">
        <f>IF(B2826="","",IF(B2826&lt;TIME(12,0,0),"Manhã",IF(B2826&lt;TIME(18,0,0),"Tarde","Noite")))</f>
        <v/>
      </c>
      <c r="R2826" s="46">
        <f>IF(AND(H2826="Realizado",L2826&lt;&gt;"",A2826&lt;=Config!$B$9),L2826/60,0)</f>
        <v>0</v>
      </c>
      <c r="S2826" s="45">
        <f>IF(G2826="","",IFERROR(INDEX(Config!$K$5:$K$16,MATCH(G2826,Config!$J$5:$J$16,0)),""))</f>
        <v/>
      </c>
      <c r="T2826" s="31">
        <f>IF(OR(G2826="",F2826=""),"",IFERROR(INDEX(Config!$M$5:$R$16,MATCH(G2826,Config!$J$5:$J$16,0),MATCH(F2826,Config!$H$5:$H$10,0)),""))</f>
        <v/>
      </c>
      <c r="U2826" s="47">
        <f>IF(AND(H2826="Realizado",L2826&lt;&gt;""),L2826/60,0)</f>
        <v>0</v>
      </c>
      <c r="V2826" s="47">
        <f>IF(AND(H2826="Realizado",OR(L2826="",M2826="")),1,0)</f>
        <v>0</v>
      </c>
    </row>
    <row r="2827">
      <c r="A2827" s="43" t="n"/>
      <c r="B2827" s="44" t="n"/>
      <c r="C2827" s="38" t="n"/>
      <c r="D2827" s="38" t="n"/>
      <c r="E2827" s="37" t="n"/>
      <c r="F2827" s="38" t="n"/>
      <c r="G2827" s="38" t="n"/>
      <c r="H2827" s="38" t="n"/>
      <c r="I2827" s="38" t="n"/>
      <c r="J2827" s="38" t="n"/>
      <c r="K2827" s="37" t="n"/>
      <c r="L2827" s="39" t="n"/>
      <c r="M2827" s="40" t="n"/>
      <c r="N2827" s="30">
        <f>IF(A2827="","",MONTH(A2827))</f>
        <v/>
      </c>
      <c r="O2827" s="30">
        <f>IF(A2827="","",YEAR(A2827))</f>
        <v/>
      </c>
      <c r="P2827" s="30">
        <f>IF(A2827="","",CHOOSE(WEEKDAY(A2827,2),"Segunda","Terça","Quarta","Quinta","Sexta","Sábado","Domingo"))</f>
        <v/>
      </c>
      <c r="Q2827" s="30">
        <f>IF(B2827="","",IF(B2827&lt;TIME(12,0,0),"Manhã",IF(B2827&lt;TIME(18,0,0),"Tarde","Noite")))</f>
        <v/>
      </c>
      <c r="R2827" s="46">
        <f>IF(AND(H2827="Realizado",L2827&lt;&gt;"",A2827&lt;=Config!$B$9),L2827/60,0)</f>
        <v>0</v>
      </c>
      <c r="S2827" s="45">
        <f>IF(G2827="","",IFERROR(INDEX(Config!$K$5:$K$16,MATCH(G2827,Config!$J$5:$J$16,0)),""))</f>
        <v/>
      </c>
      <c r="T2827" s="31">
        <f>IF(OR(G2827="",F2827=""),"",IFERROR(INDEX(Config!$M$5:$R$16,MATCH(G2827,Config!$J$5:$J$16,0),MATCH(F2827,Config!$H$5:$H$10,0)),""))</f>
        <v/>
      </c>
      <c r="U2827" s="47">
        <f>IF(AND(H2827="Realizado",L2827&lt;&gt;""),L2827/60,0)</f>
        <v>0</v>
      </c>
      <c r="V2827" s="47">
        <f>IF(AND(H2827="Realizado",OR(L2827="",M2827="")),1,0)</f>
        <v>0</v>
      </c>
    </row>
    <row r="2828">
      <c r="A2828" s="43" t="n"/>
      <c r="B2828" s="44" t="n"/>
      <c r="C2828" s="38" t="n"/>
      <c r="D2828" s="38" t="n"/>
      <c r="E2828" s="37" t="n"/>
      <c r="F2828" s="38" t="n"/>
      <c r="G2828" s="38" t="n"/>
      <c r="H2828" s="38" t="n"/>
      <c r="I2828" s="38" t="n"/>
      <c r="J2828" s="38" t="n"/>
      <c r="K2828" s="37" t="n"/>
      <c r="L2828" s="39" t="n"/>
      <c r="M2828" s="40" t="n"/>
      <c r="N2828" s="30">
        <f>IF(A2828="","",MONTH(A2828))</f>
        <v/>
      </c>
      <c r="O2828" s="30">
        <f>IF(A2828="","",YEAR(A2828))</f>
        <v/>
      </c>
      <c r="P2828" s="30">
        <f>IF(A2828="","",CHOOSE(WEEKDAY(A2828,2),"Segunda","Terça","Quarta","Quinta","Sexta","Sábado","Domingo"))</f>
        <v/>
      </c>
      <c r="Q2828" s="30">
        <f>IF(B2828="","",IF(B2828&lt;TIME(12,0,0),"Manhã",IF(B2828&lt;TIME(18,0,0),"Tarde","Noite")))</f>
        <v/>
      </c>
      <c r="R2828" s="46">
        <f>IF(AND(H2828="Realizado",L2828&lt;&gt;"",A2828&lt;=Config!$B$9),L2828/60,0)</f>
        <v>0</v>
      </c>
      <c r="S2828" s="45">
        <f>IF(G2828="","",IFERROR(INDEX(Config!$K$5:$K$16,MATCH(G2828,Config!$J$5:$J$16,0)),""))</f>
        <v/>
      </c>
      <c r="T2828" s="31">
        <f>IF(OR(G2828="",F2828=""),"",IFERROR(INDEX(Config!$M$5:$R$16,MATCH(G2828,Config!$J$5:$J$16,0),MATCH(F2828,Config!$H$5:$H$10,0)),""))</f>
        <v/>
      </c>
      <c r="U2828" s="47">
        <f>IF(AND(H2828="Realizado",L2828&lt;&gt;""),L2828/60,0)</f>
        <v>0</v>
      </c>
      <c r="V2828" s="47">
        <f>IF(AND(H2828="Realizado",OR(L2828="",M2828="")),1,0)</f>
        <v>0</v>
      </c>
    </row>
    <row r="2829">
      <c r="A2829" s="43" t="n"/>
      <c r="B2829" s="44" t="n"/>
      <c r="C2829" s="38" t="n"/>
      <c r="D2829" s="38" t="n"/>
      <c r="E2829" s="37" t="n"/>
      <c r="F2829" s="38" t="n"/>
      <c r="G2829" s="38" t="n"/>
      <c r="H2829" s="38" t="n"/>
      <c r="I2829" s="38" t="n"/>
      <c r="J2829" s="38" t="n"/>
      <c r="K2829" s="37" t="n"/>
      <c r="L2829" s="39" t="n"/>
      <c r="M2829" s="40" t="n"/>
      <c r="N2829" s="30">
        <f>IF(A2829="","",MONTH(A2829))</f>
        <v/>
      </c>
      <c r="O2829" s="30">
        <f>IF(A2829="","",YEAR(A2829))</f>
        <v/>
      </c>
      <c r="P2829" s="30">
        <f>IF(A2829="","",CHOOSE(WEEKDAY(A2829,2),"Segunda","Terça","Quarta","Quinta","Sexta","Sábado","Domingo"))</f>
        <v/>
      </c>
      <c r="Q2829" s="30">
        <f>IF(B2829="","",IF(B2829&lt;TIME(12,0,0),"Manhã",IF(B2829&lt;TIME(18,0,0),"Tarde","Noite")))</f>
        <v/>
      </c>
      <c r="R2829" s="46">
        <f>IF(AND(H2829="Realizado",L2829&lt;&gt;"",A2829&lt;=Config!$B$9),L2829/60,0)</f>
        <v>0</v>
      </c>
      <c r="S2829" s="45">
        <f>IF(G2829="","",IFERROR(INDEX(Config!$K$5:$K$16,MATCH(G2829,Config!$J$5:$J$16,0)),""))</f>
        <v/>
      </c>
      <c r="T2829" s="31">
        <f>IF(OR(G2829="",F2829=""),"",IFERROR(INDEX(Config!$M$5:$R$16,MATCH(G2829,Config!$J$5:$J$16,0),MATCH(F2829,Config!$H$5:$H$10,0)),""))</f>
        <v/>
      </c>
      <c r="U2829" s="47">
        <f>IF(AND(H2829="Realizado",L2829&lt;&gt;""),L2829/60,0)</f>
        <v>0</v>
      </c>
      <c r="V2829" s="47">
        <f>IF(AND(H2829="Realizado",OR(L2829="",M2829="")),1,0)</f>
        <v>0</v>
      </c>
    </row>
    <row r="2830">
      <c r="A2830" s="43" t="n"/>
      <c r="B2830" s="44" t="n"/>
      <c r="C2830" s="38" t="n"/>
      <c r="D2830" s="38" t="n"/>
      <c r="E2830" s="37" t="n"/>
      <c r="F2830" s="38" t="n"/>
      <c r="G2830" s="38" t="n"/>
      <c r="H2830" s="38" t="n"/>
      <c r="I2830" s="38" t="n"/>
      <c r="J2830" s="38" t="n"/>
      <c r="K2830" s="37" t="n"/>
      <c r="L2830" s="39" t="n"/>
      <c r="M2830" s="40" t="n"/>
      <c r="N2830" s="30">
        <f>IF(A2830="","",MONTH(A2830))</f>
        <v/>
      </c>
      <c r="O2830" s="30">
        <f>IF(A2830="","",YEAR(A2830))</f>
        <v/>
      </c>
      <c r="P2830" s="30">
        <f>IF(A2830="","",CHOOSE(WEEKDAY(A2830,2),"Segunda","Terça","Quarta","Quinta","Sexta","Sábado","Domingo"))</f>
        <v/>
      </c>
      <c r="Q2830" s="30">
        <f>IF(B2830="","",IF(B2830&lt;TIME(12,0,0),"Manhã",IF(B2830&lt;TIME(18,0,0),"Tarde","Noite")))</f>
        <v/>
      </c>
      <c r="R2830" s="46">
        <f>IF(AND(H2830="Realizado",L2830&lt;&gt;"",A2830&lt;=Config!$B$9),L2830/60,0)</f>
        <v>0</v>
      </c>
      <c r="S2830" s="45">
        <f>IF(G2830="","",IFERROR(INDEX(Config!$K$5:$K$16,MATCH(G2830,Config!$J$5:$J$16,0)),""))</f>
        <v/>
      </c>
      <c r="T2830" s="31">
        <f>IF(OR(G2830="",F2830=""),"",IFERROR(INDEX(Config!$M$5:$R$16,MATCH(G2830,Config!$J$5:$J$16,0),MATCH(F2830,Config!$H$5:$H$10,0)),""))</f>
        <v/>
      </c>
      <c r="U2830" s="47">
        <f>IF(AND(H2830="Realizado",L2830&lt;&gt;""),L2830/60,0)</f>
        <v>0</v>
      </c>
      <c r="V2830" s="47">
        <f>IF(AND(H2830="Realizado",OR(L2830="",M2830="")),1,0)</f>
        <v>0</v>
      </c>
    </row>
    <row r="2831">
      <c r="A2831" s="43" t="n"/>
      <c r="B2831" s="44" t="n"/>
      <c r="C2831" s="38" t="n"/>
      <c r="D2831" s="38" t="n"/>
      <c r="E2831" s="37" t="n"/>
      <c r="F2831" s="38" t="n"/>
      <c r="G2831" s="38" t="n"/>
      <c r="H2831" s="38" t="n"/>
      <c r="I2831" s="38" t="n"/>
      <c r="J2831" s="38" t="n"/>
      <c r="K2831" s="37" t="n"/>
      <c r="L2831" s="39" t="n"/>
      <c r="M2831" s="40" t="n"/>
      <c r="N2831" s="30">
        <f>IF(A2831="","",MONTH(A2831))</f>
        <v/>
      </c>
      <c r="O2831" s="30">
        <f>IF(A2831="","",YEAR(A2831))</f>
        <v/>
      </c>
      <c r="P2831" s="30">
        <f>IF(A2831="","",CHOOSE(WEEKDAY(A2831,2),"Segunda","Terça","Quarta","Quinta","Sexta","Sábado","Domingo"))</f>
        <v/>
      </c>
      <c r="Q2831" s="30">
        <f>IF(B2831="","",IF(B2831&lt;TIME(12,0,0),"Manhã",IF(B2831&lt;TIME(18,0,0),"Tarde","Noite")))</f>
        <v/>
      </c>
      <c r="R2831" s="46">
        <f>IF(AND(H2831="Realizado",L2831&lt;&gt;"",A2831&lt;=Config!$B$9),L2831/60,0)</f>
        <v>0</v>
      </c>
      <c r="S2831" s="45">
        <f>IF(G2831="","",IFERROR(INDEX(Config!$K$5:$K$16,MATCH(G2831,Config!$J$5:$J$16,0)),""))</f>
        <v/>
      </c>
      <c r="T2831" s="31">
        <f>IF(OR(G2831="",F2831=""),"",IFERROR(INDEX(Config!$M$5:$R$16,MATCH(G2831,Config!$J$5:$J$16,0),MATCH(F2831,Config!$H$5:$H$10,0)),""))</f>
        <v/>
      </c>
      <c r="U2831" s="47">
        <f>IF(AND(H2831="Realizado",L2831&lt;&gt;""),L2831/60,0)</f>
        <v>0</v>
      </c>
      <c r="V2831" s="47">
        <f>IF(AND(H2831="Realizado",OR(L2831="",M2831="")),1,0)</f>
        <v>0</v>
      </c>
    </row>
    <row r="2832">
      <c r="A2832" s="43" t="n"/>
      <c r="B2832" s="44" t="n"/>
      <c r="C2832" s="38" t="n"/>
      <c r="D2832" s="38" t="n"/>
      <c r="E2832" s="37" t="n"/>
      <c r="F2832" s="38" t="n"/>
      <c r="G2832" s="38" t="n"/>
      <c r="H2832" s="38" t="n"/>
      <c r="I2832" s="38" t="n"/>
      <c r="J2832" s="38" t="n"/>
      <c r="K2832" s="37" t="n"/>
      <c r="L2832" s="39" t="n"/>
      <c r="M2832" s="40" t="n"/>
      <c r="N2832" s="30">
        <f>IF(A2832="","",MONTH(A2832))</f>
        <v/>
      </c>
      <c r="O2832" s="30">
        <f>IF(A2832="","",YEAR(A2832))</f>
        <v/>
      </c>
      <c r="P2832" s="30">
        <f>IF(A2832="","",CHOOSE(WEEKDAY(A2832,2),"Segunda","Terça","Quarta","Quinta","Sexta","Sábado","Domingo"))</f>
        <v/>
      </c>
      <c r="Q2832" s="30">
        <f>IF(B2832="","",IF(B2832&lt;TIME(12,0,0),"Manhã",IF(B2832&lt;TIME(18,0,0),"Tarde","Noite")))</f>
        <v/>
      </c>
      <c r="R2832" s="46">
        <f>IF(AND(H2832="Realizado",L2832&lt;&gt;"",A2832&lt;=Config!$B$9),L2832/60,0)</f>
        <v>0</v>
      </c>
      <c r="S2832" s="45">
        <f>IF(G2832="","",IFERROR(INDEX(Config!$K$5:$K$16,MATCH(G2832,Config!$J$5:$J$16,0)),""))</f>
        <v/>
      </c>
      <c r="T2832" s="31">
        <f>IF(OR(G2832="",F2832=""),"",IFERROR(INDEX(Config!$M$5:$R$16,MATCH(G2832,Config!$J$5:$J$16,0),MATCH(F2832,Config!$H$5:$H$10,0)),""))</f>
        <v/>
      </c>
      <c r="U2832" s="47">
        <f>IF(AND(H2832="Realizado",L2832&lt;&gt;""),L2832/60,0)</f>
        <v>0</v>
      </c>
      <c r="V2832" s="47">
        <f>IF(AND(H2832="Realizado",OR(L2832="",M2832="")),1,0)</f>
        <v>0</v>
      </c>
    </row>
    <row r="2833">
      <c r="A2833" s="43" t="n"/>
      <c r="B2833" s="44" t="n"/>
      <c r="C2833" s="38" t="n"/>
      <c r="D2833" s="38" t="n"/>
      <c r="E2833" s="37" t="n"/>
      <c r="F2833" s="38" t="n"/>
      <c r="G2833" s="38" t="n"/>
      <c r="H2833" s="38" t="n"/>
      <c r="I2833" s="38" t="n"/>
      <c r="J2833" s="38" t="n"/>
      <c r="K2833" s="37" t="n"/>
      <c r="L2833" s="39" t="n"/>
      <c r="M2833" s="40" t="n"/>
      <c r="N2833" s="30">
        <f>IF(A2833="","",MONTH(A2833))</f>
        <v/>
      </c>
      <c r="O2833" s="30">
        <f>IF(A2833="","",YEAR(A2833))</f>
        <v/>
      </c>
      <c r="P2833" s="30">
        <f>IF(A2833="","",CHOOSE(WEEKDAY(A2833,2),"Segunda","Terça","Quarta","Quinta","Sexta","Sábado","Domingo"))</f>
        <v/>
      </c>
      <c r="Q2833" s="30">
        <f>IF(B2833="","",IF(B2833&lt;TIME(12,0,0),"Manhã",IF(B2833&lt;TIME(18,0,0),"Tarde","Noite")))</f>
        <v/>
      </c>
      <c r="R2833" s="46">
        <f>IF(AND(H2833="Realizado",L2833&lt;&gt;"",A2833&lt;=Config!$B$9),L2833/60,0)</f>
        <v>0</v>
      </c>
      <c r="S2833" s="45">
        <f>IF(G2833="","",IFERROR(INDEX(Config!$K$5:$K$16,MATCH(G2833,Config!$J$5:$J$16,0)),""))</f>
        <v/>
      </c>
      <c r="T2833" s="31">
        <f>IF(OR(G2833="",F2833=""),"",IFERROR(INDEX(Config!$M$5:$R$16,MATCH(G2833,Config!$J$5:$J$16,0),MATCH(F2833,Config!$H$5:$H$10,0)),""))</f>
        <v/>
      </c>
      <c r="U2833" s="47">
        <f>IF(AND(H2833="Realizado",L2833&lt;&gt;""),L2833/60,0)</f>
        <v>0</v>
      </c>
      <c r="V2833" s="47">
        <f>IF(AND(H2833="Realizado",OR(L2833="",M2833="")),1,0)</f>
        <v>0</v>
      </c>
    </row>
    <row r="2834">
      <c r="A2834" s="43" t="n"/>
      <c r="B2834" s="44" t="n"/>
      <c r="C2834" s="38" t="n"/>
      <c r="D2834" s="38" t="n"/>
      <c r="E2834" s="37" t="n"/>
      <c r="F2834" s="38" t="n"/>
      <c r="G2834" s="38" t="n"/>
      <c r="H2834" s="38" t="n"/>
      <c r="I2834" s="38" t="n"/>
      <c r="J2834" s="38" t="n"/>
      <c r="K2834" s="37" t="n"/>
      <c r="L2834" s="39" t="n"/>
      <c r="M2834" s="40" t="n"/>
      <c r="N2834" s="30">
        <f>IF(A2834="","",MONTH(A2834))</f>
        <v/>
      </c>
      <c r="O2834" s="30">
        <f>IF(A2834="","",YEAR(A2834))</f>
        <v/>
      </c>
      <c r="P2834" s="30">
        <f>IF(A2834="","",CHOOSE(WEEKDAY(A2834,2),"Segunda","Terça","Quarta","Quinta","Sexta","Sábado","Domingo"))</f>
        <v/>
      </c>
      <c r="Q2834" s="30">
        <f>IF(B2834="","",IF(B2834&lt;TIME(12,0,0),"Manhã",IF(B2834&lt;TIME(18,0,0),"Tarde","Noite")))</f>
        <v/>
      </c>
      <c r="R2834" s="46">
        <f>IF(AND(H2834="Realizado",L2834&lt;&gt;"",A2834&lt;=Config!$B$9),L2834/60,0)</f>
        <v>0</v>
      </c>
      <c r="S2834" s="45">
        <f>IF(G2834="","",IFERROR(INDEX(Config!$K$5:$K$16,MATCH(G2834,Config!$J$5:$J$16,0)),""))</f>
        <v/>
      </c>
      <c r="T2834" s="31">
        <f>IF(OR(G2834="",F2834=""),"",IFERROR(INDEX(Config!$M$5:$R$16,MATCH(G2834,Config!$J$5:$J$16,0),MATCH(F2834,Config!$H$5:$H$10,0)),""))</f>
        <v/>
      </c>
      <c r="U2834" s="47">
        <f>IF(AND(H2834="Realizado",L2834&lt;&gt;""),L2834/60,0)</f>
        <v>0</v>
      </c>
      <c r="V2834" s="47">
        <f>IF(AND(H2834="Realizado",OR(L2834="",M2834="")),1,0)</f>
        <v>0</v>
      </c>
    </row>
    <row r="2835">
      <c r="A2835" s="43" t="n"/>
      <c r="B2835" s="44" t="n"/>
      <c r="C2835" s="38" t="n"/>
      <c r="D2835" s="38" t="n"/>
      <c r="E2835" s="37" t="n"/>
      <c r="F2835" s="38" t="n"/>
      <c r="G2835" s="38" t="n"/>
      <c r="H2835" s="38" t="n"/>
      <c r="I2835" s="38" t="n"/>
      <c r="J2835" s="38" t="n"/>
      <c r="K2835" s="37" t="n"/>
      <c r="L2835" s="39" t="n"/>
      <c r="M2835" s="40" t="n"/>
      <c r="N2835" s="30">
        <f>IF(A2835="","",MONTH(A2835))</f>
        <v/>
      </c>
      <c r="O2835" s="30">
        <f>IF(A2835="","",YEAR(A2835))</f>
        <v/>
      </c>
      <c r="P2835" s="30">
        <f>IF(A2835="","",CHOOSE(WEEKDAY(A2835,2),"Segunda","Terça","Quarta","Quinta","Sexta","Sábado","Domingo"))</f>
        <v/>
      </c>
      <c r="Q2835" s="30">
        <f>IF(B2835="","",IF(B2835&lt;TIME(12,0,0),"Manhã",IF(B2835&lt;TIME(18,0,0),"Tarde","Noite")))</f>
        <v/>
      </c>
      <c r="R2835" s="46">
        <f>IF(AND(H2835="Realizado",L2835&lt;&gt;"",A2835&lt;=Config!$B$9),L2835/60,0)</f>
        <v>0</v>
      </c>
      <c r="S2835" s="45">
        <f>IF(G2835="","",IFERROR(INDEX(Config!$K$5:$K$16,MATCH(G2835,Config!$J$5:$J$16,0)),""))</f>
        <v/>
      </c>
      <c r="T2835" s="31">
        <f>IF(OR(G2835="",F2835=""),"",IFERROR(INDEX(Config!$M$5:$R$16,MATCH(G2835,Config!$J$5:$J$16,0),MATCH(F2835,Config!$H$5:$H$10,0)),""))</f>
        <v/>
      </c>
      <c r="U2835" s="47">
        <f>IF(AND(H2835="Realizado",L2835&lt;&gt;""),L2835/60,0)</f>
        <v>0</v>
      </c>
      <c r="V2835" s="47">
        <f>IF(AND(H2835="Realizado",OR(L2835="",M2835="")),1,0)</f>
        <v>0</v>
      </c>
    </row>
    <row r="2836">
      <c r="A2836" s="43" t="n"/>
      <c r="B2836" s="44" t="n"/>
      <c r="C2836" s="38" t="n"/>
      <c r="D2836" s="38" t="n"/>
      <c r="E2836" s="37" t="n"/>
      <c r="F2836" s="38" t="n"/>
      <c r="G2836" s="38" t="n"/>
      <c r="H2836" s="38" t="n"/>
      <c r="I2836" s="38" t="n"/>
      <c r="J2836" s="38" t="n"/>
      <c r="K2836" s="37" t="n"/>
      <c r="L2836" s="39" t="n"/>
      <c r="M2836" s="40" t="n"/>
      <c r="N2836" s="30">
        <f>IF(A2836="","",MONTH(A2836))</f>
        <v/>
      </c>
      <c r="O2836" s="30">
        <f>IF(A2836="","",YEAR(A2836))</f>
        <v/>
      </c>
      <c r="P2836" s="30">
        <f>IF(A2836="","",CHOOSE(WEEKDAY(A2836,2),"Segunda","Terça","Quarta","Quinta","Sexta","Sábado","Domingo"))</f>
        <v/>
      </c>
      <c r="Q2836" s="30">
        <f>IF(B2836="","",IF(B2836&lt;TIME(12,0,0),"Manhã",IF(B2836&lt;TIME(18,0,0),"Tarde","Noite")))</f>
        <v/>
      </c>
      <c r="R2836" s="46">
        <f>IF(AND(H2836="Realizado",L2836&lt;&gt;"",A2836&lt;=Config!$B$9),L2836/60,0)</f>
        <v>0</v>
      </c>
      <c r="S2836" s="45">
        <f>IF(G2836="","",IFERROR(INDEX(Config!$K$5:$K$16,MATCH(G2836,Config!$J$5:$J$16,0)),""))</f>
        <v/>
      </c>
      <c r="T2836" s="31">
        <f>IF(OR(G2836="",F2836=""),"",IFERROR(INDEX(Config!$M$5:$R$16,MATCH(G2836,Config!$J$5:$J$16,0),MATCH(F2836,Config!$H$5:$H$10,0)),""))</f>
        <v/>
      </c>
      <c r="U2836" s="47">
        <f>IF(AND(H2836="Realizado",L2836&lt;&gt;""),L2836/60,0)</f>
        <v>0</v>
      </c>
      <c r="V2836" s="47">
        <f>IF(AND(H2836="Realizado",OR(L2836="",M2836="")),1,0)</f>
        <v>0</v>
      </c>
    </row>
    <row r="2837">
      <c r="A2837" s="43" t="n"/>
      <c r="B2837" s="44" t="n"/>
      <c r="C2837" s="38" t="n"/>
      <c r="D2837" s="38" t="n"/>
      <c r="E2837" s="37" t="n"/>
      <c r="F2837" s="38" t="n"/>
      <c r="G2837" s="38" t="n"/>
      <c r="H2837" s="38" t="n"/>
      <c r="I2837" s="38" t="n"/>
      <c r="J2837" s="38" t="n"/>
      <c r="K2837" s="37" t="n"/>
      <c r="L2837" s="39" t="n"/>
      <c r="M2837" s="40" t="n"/>
      <c r="N2837" s="30">
        <f>IF(A2837="","",MONTH(A2837))</f>
        <v/>
      </c>
      <c r="O2837" s="30">
        <f>IF(A2837="","",YEAR(A2837))</f>
        <v/>
      </c>
      <c r="P2837" s="30">
        <f>IF(A2837="","",CHOOSE(WEEKDAY(A2837,2),"Segunda","Terça","Quarta","Quinta","Sexta","Sábado","Domingo"))</f>
        <v/>
      </c>
      <c r="Q2837" s="30">
        <f>IF(B2837="","",IF(B2837&lt;TIME(12,0,0),"Manhã",IF(B2837&lt;TIME(18,0,0),"Tarde","Noite")))</f>
        <v/>
      </c>
      <c r="R2837" s="46">
        <f>IF(AND(H2837="Realizado",L2837&lt;&gt;"",A2837&lt;=Config!$B$9),L2837/60,0)</f>
        <v>0</v>
      </c>
      <c r="S2837" s="45">
        <f>IF(G2837="","",IFERROR(INDEX(Config!$K$5:$K$16,MATCH(G2837,Config!$J$5:$J$16,0)),""))</f>
        <v/>
      </c>
      <c r="T2837" s="31">
        <f>IF(OR(G2837="",F2837=""),"",IFERROR(INDEX(Config!$M$5:$R$16,MATCH(G2837,Config!$J$5:$J$16,0),MATCH(F2837,Config!$H$5:$H$10,0)),""))</f>
        <v/>
      </c>
      <c r="U2837" s="47">
        <f>IF(AND(H2837="Realizado",L2837&lt;&gt;""),L2837/60,0)</f>
        <v>0</v>
      </c>
      <c r="V2837" s="47">
        <f>IF(AND(H2837="Realizado",OR(L2837="",M2837="")),1,0)</f>
        <v>0</v>
      </c>
    </row>
    <row r="2838">
      <c r="A2838" s="43" t="n"/>
      <c r="B2838" s="44" t="n"/>
      <c r="C2838" s="38" t="n"/>
      <c r="D2838" s="38" t="n"/>
      <c r="E2838" s="37" t="n"/>
      <c r="F2838" s="38" t="n"/>
      <c r="G2838" s="38" t="n"/>
      <c r="H2838" s="38" t="n"/>
      <c r="I2838" s="38" t="n"/>
      <c r="J2838" s="38" t="n"/>
      <c r="K2838" s="37" t="n"/>
      <c r="L2838" s="39" t="n"/>
      <c r="M2838" s="40" t="n"/>
      <c r="N2838" s="30">
        <f>IF(A2838="","",MONTH(A2838))</f>
        <v/>
      </c>
      <c r="O2838" s="30">
        <f>IF(A2838="","",YEAR(A2838))</f>
        <v/>
      </c>
      <c r="P2838" s="30">
        <f>IF(A2838="","",CHOOSE(WEEKDAY(A2838,2),"Segunda","Terça","Quarta","Quinta","Sexta","Sábado","Domingo"))</f>
        <v/>
      </c>
      <c r="Q2838" s="30">
        <f>IF(B2838="","",IF(B2838&lt;TIME(12,0,0),"Manhã",IF(B2838&lt;TIME(18,0,0),"Tarde","Noite")))</f>
        <v/>
      </c>
      <c r="R2838" s="46">
        <f>IF(AND(H2838="Realizado",L2838&lt;&gt;"",A2838&lt;=Config!$B$9),L2838/60,0)</f>
        <v>0</v>
      </c>
      <c r="S2838" s="45">
        <f>IF(G2838="","",IFERROR(INDEX(Config!$K$5:$K$16,MATCH(G2838,Config!$J$5:$J$16,0)),""))</f>
        <v/>
      </c>
      <c r="T2838" s="31">
        <f>IF(OR(G2838="",F2838=""),"",IFERROR(INDEX(Config!$M$5:$R$16,MATCH(G2838,Config!$J$5:$J$16,0),MATCH(F2838,Config!$H$5:$H$10,0)),""))</f>
        <v/>
      </c>
      <c r="U2838" s="47">
        <f>IF(AND(H2838="Realizado",L2838&lt;&gt;""),L2838/60,0)</f>
        <v>0</v>
      </c>
      <c r="V2838" s="47">
        <f>IF(AND(H2838="Realizado",OR(L2838="",M2838="")),1,0)</f>
        <v>0</v>
      </c>
    </row>
    <row r="2839">
      <c r="A2839" s="43" t="n"/>
      <c r="B2839" s="44" t="n"/>
      <c r="C2839" s="38" t="n"/>
      <c r="D2839" s="38" t="n"/>
      <c r="E2839" s="37" t="n"/>
      <c r="F2839" s="38" t="n"/>
      <c r="G2839" s="38" t="n"/>
      <c r="H2839" s="38" t="n"/>
      <c r="I2839" s="38" t="n"/>
      <c r="J2839" s="38" t="n"/>
      <c r="K2839" s="37" t="n"/>
      <c r="L2839" s="39" t="n"/>
      <c r="M2839" s="40" t="n"/>
      <c r="N2839" s="30">
        <f>IF(A2839="","",MONTH(A2839))</f>
        <v/>
      </c>
      <c r="O2839" s="30">
        <f>IF(A2839="","",YEAR(A2839))</f>
        <v/>
      </c>
      <c r="P2839" s="30">
        <f>IF(A2839="","",CHOOSE(WEEKDAY(A2839,2),"Segunda","Terça","Quarta","Quinta","Sexta","Sábado","Domingo"))</f>
        <v/>
      </c>
      <c r="Q2839" s="30">
        <f>IF(B2839="","",IF(B2839&lt;TIME(12,0,0),"Manhã",IF(B2839&lt;TIME(18,0,0),"Tarde","Noite")))</f>
        <v/>
      </c>
      <c r="R2839" s="46">
        <f>IF(AND(H2839="Realizado",L2839&lt;&gt;"",A2839&lt;=Config!$B$9),L2839/60,0)</f>
        <v>0</v>
      </c>
      <c r="S2839" s="45">
        <f>IF(G2839="","",IFERROR(INDEX(Config!$K$5:$K$16,MATCH(G2839,Config!$J$5:$J$16,0)),""))</f>
        <v/>
      </c>
      <c r="T2839" s="31">
        <f>IF(OR(G2839="",F2839=""),"",IFERROR(INDEX(Config!$M$5:$R$16,MATCH(G2839,Config!$J$5:$J$16,0),MATCH(F2839,Config!$H$5:$H$10,0)),""))</f>
        <v/>
      </c>
      <c r="U2839" s="47">
        <f>IF(AND(H2839="Realizado",L2839&lt;&gt;""),L2839/60,0)</f>
        <v>0</v>
      </c>
      <c r="V2839" s="47">
        <f>IF(AND(H2839="Realizado",OR(L2839="",M2839="")),1,0)</f>
        <v>0</v>
      </c>
    </row>
    <row r="2840">
      <c r="A2840" s="43" t="n"/>
      <c r="B2840" s="44" t="n"/>
      <c r="C2840" s="38" t="n"/>
      <c r="D2840" s="38" t="n"/>
      <c r="E2840" s="37" t="n"/>
      <c r="F2840" s="38" t="n"/>
      <c r="G2840" s="38" t="n"/>
      <c r="H2840" s="38" t="n"/>
      <c r="I2840" s="38" t="n"/>
      <c r="J2840" s="38" t="n"/>
      <c r="K2840" s="37" t="n"/>
      <c r="L2840" s="39" t="n"/>
      <c r="M2840" s="40" t="n"/>
      <c r="N2840" s="30">
        <f>IF(A2840="","",MONTH(A2840))</f>
        <v/>
      </c>
      <c r="O2840" s="30">
        <f>IF(A2840="","",YEAR(A2840))</f>
        <v/>
      </c>
      <c r="P2840" s="30">
        <f>IF(A2840="","",CHOOSE(WEEKDAY(A2840,2),"Segunda","Terça","Quarta","Quinta","Sexta","Sábado","Domingo"))</f>
        <v/>
      </c>
      <c r="Q2840" s="30">
        <f>IF(B2840="","",IF(B2840&lt;TIME(12,0,0),"Manhã",IF(B2840&lt;TIME(18,0,0),"Tarde","Noite")))</f>
        <v/>
      </c>
      <c r="R2840" s="46">
        <f>IF(AND(H2840="Realizado",L2840&lt;&gt;"",A2840&lt;=Config!$B$9),L2840/60,0)</f>
        <v>0</v>
      </c>
      <c r="S2840" s="45">
        <f>IF(G2840="","",IFERROR(INDEX(Config!$K$5:$K$16,MATCH(G2840,Config!$J$5:$J$16,0)),""))</f>
        <v/>
      </c>
      <c r="T2840" s="31">
        <f>IF(OR(G2840="",F2840=""),"",IFERROR(INDEX(Config!$M$5:$R$16,MATCH(G2840,Config!$J$5:$J$16,0),MATCH(F2840,Config!$H$5:$H$10,0)),""))</f>
        <v/>
      </c>
      <c r="U2840" s="47">
        <f>IF(AND(H2840="Realizado",L2840&lt;&gt;""),L2840/60,0)</f>
        <v>0</v>
      </c>
      <c r="V2840" s="47">
        <f>IF(AND(H2840="Realizado",OR(L2840="",M2840="")),1,0)</f>
        <v>0</v>
      </c>
    </row>
    <row r="2841">
      <c r="A2841" s="43" t="n"/>
      <c r="B2841" s="44" t="n"/>
      <c r="C2841" s="38" t="n"/>
      <c r="D2841" s="38" t="n"/>
      <c r="E2841" s="37" t="n"/>
      <c r="F2841" s="38" t="n"/>
      <c r="G2841" s="38" t="n"/>
      <c r="H2841" s="38" t="n"/>
      <c r="I2841" s="38" t="n"/>
      <c r="J2841" s="38" t="n"/>
      <c r="K2841" s="37" t="n"/>
      <c r="L2841" s="39" t="n"/>
      <c r="M2841" s="40" t="n"/>
      <c r="N2841" s="30">
        <f>IF(A2841="","",MONTH(A2841))</f>
        <v/>
      </c>
      <c r="O2841" s="30">
        <f>IF(A2841="","",YEAR(A2841))</f>
        <v/>
      </c>
      <c r="P2841" s="30">
        <f>IF(A2841="","",CHOOSE(WEEKDAY(A2841,2),"Segunda","Terça","Quarta","Quinta","Sexta","Sábado","Domingo"))</f>
        <v/>
      </c>
      <c r="Q2841" s="30">
        <f>IF(B2841="","",IF(B2841&lt;TIME(12,0,0),"Manhã",IF(B2841&lt;TIME(18,0,0),"Tarde","Noite")))</f>
        <v/>
      </c>
      <c r="R2841" s="46">
        <f>IF(AND(H2841="Realizado",L2841&lt;&gt;"",A2841&lt;=Config!$B$9),L2841/60,0)</f>
        <v>0</v>
      </c>
      <c r="S2841" s="45">
        <f>IF(G2841="","",IFERROR(INDEX(Config!$K$5:$K$16,MATCH(G2841,Config!$J$5:$J$16,0)),""))</f>
        <v/>
      </c>
      <c r="T2841" s="31">
        <f>IF(OR(G2841="",F2841=""),"",IFERROR(INDEX(Config!$M$5:$R$16,MATCH(G2841,Config!$J$5:$J$16,0),MATCH(F2841,Config!$H$5:$H$10,0)),""))</f>
        <v/>
      </c>
      <c r="U2841" s="47">
        <f>IF(AND(H2841="Realizado",L2841&lt;&gt;""),L2841/60,0)</f>
        <v>0</v>
      </c>
      <c r="V2841" s="47">
        <f>IF(AND(H2841="Realizado",OR(L2841="",M2841="")),1,0)</f>
        <v>0</v>
      </c>
    </row>
    <row r="2842">
      <c r="A2842" s="43" t="n"/>
      <c r="B2842" s="44" t="n"/>
      <c r="C2842" s="38" t="n"/>
      <c r="D2842" s="38" t="n"/>
      <c r="E2842" s="37" t="n"/>
      <c r="F2842" s="38" t="n"/>
      <c r="G2842" s="38" t="n"/>
      <c r="H2842" s="38" t="n"/>
      <c r="I2842" s="38" t="n"/>
      <c r="J2842" s="38" t="n"/>
      <c r="K2842" s="37" t="n"/>
      <c r="L2842" s="39" t="n"/>
      <c r="M2842" s="40" t="n"/>
      <c r="N2842" s="30">
        <f>IF(A2842="","",MONTH(A2842))</f>
        <v/>
      </c>
      <c r="O2842" s="30">
        <f>IF(A2842="","",YEAR(A2842))</f>
        <v/>
      </c>
      <c r="P2842" s="30">
        <f>IF(A2842="","",CHOOSE(WEEKDAY(A2842,2),"Segunda","Terça","Quarta","Quinta","Sexta","Sábado","Domingo"))</f>
        <v/>
      </c>
      <c r="Q2842" s="30">
        <f>IF(B2842="","",IF(B2842&lt;TIME(12,0,0),"Manhã",IF(B2842&lt;TIME(18,0,0),"Tarde","Noite")))</f>
        <v/>
      </c>
      <c r="R2842" s="46">
        <f>IF(AND(H2842="Realizado",L2842&lt;&gt;"",A2842&lt;=Config!$B$9),L2842/60,0)</f>
        <v>0</v>
      </c>
      <c r="S2842" s="45">
        <f>IF(G2842="","",IFERROR(INDEX(Config!$K$5:$K$16,MATCH(G2842,Config!$J$5:$J$16,0)),""))</f>
        <v/>
      </c>
      <c r="T2842" s="31">
        <f>IF(OR(G2842="",F2842=""),"",IFERROR(INDEX(Config!$M$5:$R$16,MATCH(G2842,Config!$J$5:$J$16,0),MATCH(F2842,Config!$H$5:$H$10,0)),""))</f>
        <v/>
      </c>
      <c r="U2842" s="47">
        <f>IF(AND(H2842="Realizado",L2842&lt;&gt;""),L2842/60,0)</f>
        <v>0</v>
      </c>
      <c r="V2842" s="47">
        <f>IF(AND(H2842="Realizado",OR(L2842="",M2842="")),1,0)</f>
        <v>0</v>
      </c>
    </row>
    <row r="2843">
      <c r="A2843" s="43" t="n"/>
      <c r="B2843" s="44" t="n"/>
      <c r="C2843" s="38" t="n"/>
      <c r="D2843" s="38" t="n"/>
      <c r="E2843" s="37" t="n"/>
      <c r="F2843" s="38" t="n"/>
      <c r="G2843" s="38" t="n"/>
      <c r="H2843" s="38" t="n"/>
      <c r="I2843" s="38" t="n"/>
      <c r="J2843" s="38" t="n"/>
      <c r="K2843" s="37" t="n"/>
      <c r="L2843" s="39" t="n"/>
      <c r="M2843" s="40" t="n"/>
      <c r="N2843" s="30">
        <f>IF(A2843="","",MONTH(A2843))</f>
        <v/>
      </c>
      <c r="O2843" s="30">
        <f>IF(A2843="","",YEAR(A2843))</f>
        <v/>
      </c>
      <c r="P2843" s="30">
        <f>IF(A2843="","",CHOOSE(WEEKDAY(A2843,2),"Segunda","Terça","Quarta","Quinta","Sexta","Sábado","Domingo"))</f>
        <v/>
      </c>
      <c r="Q2843" s="30">
        <f>IF(B2843="","",IF(B2843&lt;TIME(12,0,0),"Manhã",IF(B2843&lt;TIME(18,0,0),"Tarde","Noite")))</f>
        <v/>
      </c>
      <c r="R2843" s="46">
        <f>IF(AND(H2843="Realizado",L2843&lt;&gt;"",A2843&lt;=Config!$B$9),L2843/60,0)</f>
        <v>0</v>
      </c>
      <c r="S2843" s="45">
        <f>IF(G2843="","",IFERROR(INDEX(Config!$K$5:$K$16,MATCH(G2843,Config!$J$5:$J$16,0)),""))</f>
        <v/>
      </c>
      <c r="T2843" s="31">
        <f>IF(OR(G2843="",F2843=""),"",IFERROR(INDEX(Config!$M$5:$R$16,MATCH(G2843,Config!$J$5:$J$16,0),MATCH(F2843,Config!$H$5:$H$10,0)),""))</f>
        <v/>
      </c>
      <c r="U2843" s="47">
        <f>IF(AND(H2843="Realizado",L2843&lt;&gt;""),L2843/60,0)</f>
        <v>0</v>
      </c>
      <c r="V2843" s="47">
        <f>IF(AND(H2843="Realizado",OR(L2843="",M2843="")),1,0)</f>
        <v>0</v>
      </c>
    </row>
    <row r="2844">
      <c r="A2844" s="43" t="n"/>
      <c r="B2844" s="44" t="n"/>
      <c r="C2844" s="38" t="n"/>
      <c r="D2844" s="38" t="n"/>
      <c r="E2844" s="37" t="n"/>
      <c r="F2844" s="38" t="n"/>
      <c r="G2844" s="38" t="n"/>
      <c r="H2844" s="38" t="n"/>
      <c r="I2844" s="38" t="n"/>
      <c r="J2844" s="38" t="n"/>
      <c r="K2844" s="37" t="n"/>
      <c r="L2844" s="39" t="n"/>
      <c r="M2844" s="40" t="n"/>
      <c r="N2844" s="30">
        <f>IF(A2844="","",MONTH(A2844))</f>
        <v/>
      </c>
      <c r="O2844" s="30">
        <f>IF(A2844="","",YEAR(A2844))</f>
        <v/>
      </c>
      <c r="P2844" s="30">
        <f>IF(A2844="","",CHOOSE(WEEKDAY(A2844,2),"Segunda","Terça","Quarta","Quinta","Sexta","Sábado","Domingo"))</f>
        <v/>
      </c>
      <c r="Q2844" s="30">
        <f>IF(B2844="","",IF(B2844&lt;TIME(12,0,0),"Manhã",IF(B2844&lt;TIME(18,0,0),"Tarde","Noite")))</f>
        <v/>
      </c>
      <c r="R2844" s="46">
        <f>IF(AND(H2844="Realizado",L2844&lt;&gt;"",A2844&lt;=Config!$B$9),L2844/60,0)</f>
        <v>0</v>
      </c>
      <c r="S2844" s="45">
        <f>IF(G2844="","",IFERROR(INDEX(Config!$K$5:$K$16,MATCH(G2844,Config!$J$5:$J$16,0)),""))</f>
        <v/>
      </c>
      <c r="T2844" s="31">
        <f>IF(OR(G2844="",F2844=""),"",IFERROR(INDEX(Config!$M$5:$R$16,MATCH(G2844,Config!$J$5:$J$16,0),MATCH(F2844,Config!$H$5:$H$10,0)),""))</f>
        <v/>
      </c>
      <c r="U2844" s="47">
        <f>IF(AND(H2844="Realizado",L2844&lt;&gt;""),L2844/60,0)</f>
        <v>0</v>
      </c>
      <c r="V2844" s="47">
        <f>IF(AND(H2844="Realizado",OR(L2844="",M2844="")),1,0)</f>
        <v>0</v>
      </c>
    </row>
    <row r="2845">
      <c r="A2845" s="43" t="n"/>
      <c r="B2845" s="44" t="n"/>
      <c r="C2845" s="38" t="n"/>
      <c r="D2845" s="38" t="n"/>
      <c r="E2845" s="37" t="n"/>
      <c r="F2845" s="38" t="n"/>
      <c r="G2845" s="38" t="n"/>
      <c r="H2845" s="38" t="n"/>
      <c r="I2845" s="38" t="n"/>
      <c r="J2845" s="38" t="n"/>
      <c r="K2845" s="37" t="n"/>
      <c r="L2845" s="39" t="n"/>
      <c r="M2845" s="40" t="n"/>
      <c r="N2845" s="30">
        <f>IF(A2845="","",MONTH(A2845))</f>
        <v/>
      </c>
      <c r="O2845" s="30">
        <f>IF(A2845="","",YEAR(A2845))</f>
        <v/>
      </c>
      <c r="P2845" s="30">
        <f>IF(A2845="","",CHOOSE(WEEKDAY(A2845,2),"Segunda","Terça","Quarta","Quinta","Sexta","Sábado","Domingo"))</f>
        <v/>
      </c>
      <c r="Q2845" s="30">
        <f>IF(B2845="","",IF(B2845&lt;TIME(12,0,0),"Manhã",IF(B2845&lt;TIME(18,0,0),"Tarde","Noite")))</f>
        <v/>
      </c>
      <c r="R2845" s="46">
        <f>IF(AND(H2845="Realizado",L2845&lt;&gt;"",A2845&lt;=Config!$B$9),L2845/60,0)</f>
        <v>0</v>
      </c>
      <c r="S2845" s="45">
        <f>IF(G2845="","",IFERROR(INDEX(Config!$K$5:$K$16,MATCH(G2845,Config!$J$5:$J$16,0)),""))</f>
        <v/>
      </c>
      <c r="T2845" s="31">
        <f>IF(OR(G2845="",F2845=""),"",IFERROR(INDEX(Config!$M$5:$R$16,MATCH(G2845,Config!$J$5:$J$16,0),MATCH(F2845,Config!$H$5:$H$10,0)),""))</f>
        <v/>
      </c>
      <c r="U2845" s="47">
        <f>IF(AND(H2845="Realizado",L2845&lt;&gt;""),L2845/60,0)</f>
        <v>0</v>
      </c>
      <c r="V2845" s="47">
        <f>IF(AND(H2845="Realizado",OR(L2845="",M2845="")),1,0)</f>
        <v>0</v>
      </c>
    </row>
    <row r="2846">
      <c r="A2846" s="43" t="n"/>
      <c r="B2846" s="44" t="n"/>
      <c r="C2846" s="38" t="n"/>
      <c r="D2846" s="38" t="n"/>
      <c r="E2846" s="37" t="n"/>
      <c r="F2846" s="38" t="n"/>
      <c r="G2846" s="38" t="n"/>
      <c r="H2846" s="38" t="n"/>
      <c r="I2846" s="38" t="n"/>
      <c r="J2846" s="38" t="n"/>
      <c r="K2846" s="37" t="n"/>
      <c r="L2846" s="39" t="n"/>
      <c r="M2846" s="40" t="n"/>
      <c r="N2846" s="30">
        <f>IF(A2846="","",MONTH(A2846))</f>
        <v/>
      </c>
      <c r="O2846" s="30">
        <f>IF(A2846="","",YEAR(A2846))</f>
        <v/>
      </c>
      <c r="P2846" s="30">
        <f>IF(A2846="","",CHOOSE(WEEKDAY(A2846,2),"Segunda","Terça","Quarta","Quinta","Sexta","Sábado","Domingo"))</f>
        <v/>
      </c>
      <c r="Q2846" s="30">
        <f>IF(B2846="","",IF(B2846&lt;TIME(12,0,0),"Manhã",IF(B2846&lt;TIME(18,0,0),"Tarde","Noite")))</f>
        <v/>
      </c>
      <c r="R2846" s="46">
        <f>IF(AND(H2846="Realizado",L2846&lt;&gt;"",A2846&lt;=Config!$B$9),L2846/60,0)</f>
        <v>0</v>
      </c>
      <c r="S2846" s="45">
        <f>IF(G2846="","",IFERROR(INDEX(Config!$K$5:$K$16,MATCH(G2846,Config!$J$5:$J$16,0)),""))</f>
        <v/>
      </c>
      <c r="T2846" s="31">
        <f>IF(OR(G2846="",F2846=""),"",IFERROR(INDEX(Config!$M$5:$R$16,MATCH(G2846,Config!$J$5:$J$16,0),MATCH(F2846,Config!$H$5:$H$10,0)),""))</f>
        <v/>
      </c>
      <c r="U2846" s="47">
        <f>IF(AND(H2846="Realizado",L2846&lt;&gt;""),L2846/60,0)</f>
        <v>0</v>
      </c>
      <c r="V2846" s="47">
        <f>IF(AND(H2846="Realizado",OR(L2846="",M2846="")),1,0)</f>
        <v>0</v>
      </c>
    </row>
    <row r="2847">
      <c r="A2847" s="43" t="n"/>
      <c r="B2847" s="44" t="n"/>
      <c r="C2847" s="38" t="n"/>
      <c r="D2847" s="38" t="n"/>
      <c r="E2847" s="37" t="n"/>
      <c r="F2847" s="38" t="n"/>
      <c r="G2847" s="38" t="n"/>
      <c r="H2847" s="38" t="n"/>
      <c r="I2847" s="38" t="n"/>
      <c r="J2847" s="38" t="n"/>
      <c r="K2847" s="37" t="n"/>
      <c r="L2847" s="39" t="n"/>
      <c r="M2847" s="40" t="n"/>
      <c r="N2847" s="30">
        <f>IF(A2847="","",MONTH(A2847))</f>
        <v/>
      </c>
      <c r="O2847" s="30">
        <f>IF(A2847="","",YEAR(A2847))</f>
        <v/>
      </c>
      <c r="P2847" s="30">
        <f>IF(A2847="","",CHOOSE(WEEKDAY(A2847,2),"Segunda","Terça","Quarta","Quinta","Sexta","Sábado","Domingo"))</f>
        <v/>
      </c>
      <c r="Q2847" s="30">
        <f>IF(B2847="","",IF(B2847&lt;TIME(12,0,0),"Manhã",IF(B2847&lt;TIME(18,0,0),"Tarde","Noite")))</f>
        <v/>
      </c>
      <c r="R2847" s="46">
        <f>IF(AND(H2847="Realizado",L2847&lt;&gt;"",A2847&lt;=Config!$B$9),L2847/60,0)</f>
        <v>0</v>
      </c>
      <c r="S2847" s="45">
        <f>IF(G2847="","",IFERROR(INDEX(Config!$K$5:$K$16,MATCH(G2847,Config!$J$5:$J$16,0)),""))</f>
        <v/>
      </c>
      <c r="T2847" s="31">
        <f>IF(OR(G2847="",F2847=""),"",IFERROR(INDEX(Config!$M$5:$R$16,MATCH(G2847,Config!$J$5:$J$16,0),MATCH(F2847,Config!$H$5:$H$10,0)),""))</f>
        <v/>
      </c>
      <c r="U2847" s="47">
        <f>IF(AND(H2847="Realizado",L2847&lt;&gt;""),L2847/60,0)</f>
        <v>0</v>
      </c>
      <c r="V2847" s="47">
        <f>IF(AND(H2847="Realizado",OR(L2847="",M2847="")),1,0)</f>
        <v>0</v>
      </c>
    </row>
    <row r="2848">
      <c r="A2848" s="43" t="n"/>
      <c r="B2848" s="44" t="n"/>
      <c r="C2848" s="38" t="n"/>
      <c r="D2848" s="38" t="n"/>
      <c r="E2848" s="37" t="n"/>
      <c r="F2848" s="38" t="n"/>
      <c r="G2848" s="38" t="n"/>
      <c r="H2848" s="38" t="n"/>
      <c r="I2848" s="38" t="n"/>
      <c r="J2848" s="38" t="n"/>
      <c r="K2848" s="37" t="n"/>
      <c r="L2848" s="39" t="n"/>
      <c r="M2848" s="40" t="n"/>
      <c r="N2848" s="30">
        <f>IF(A2848="","",MONTH(A2848))</f>
        <v/>
      </c>
      <c r="O2848" s="30">
        <f>IF(A2848="","",YEAR(A2848))</f>
        <v/>
      </c>
      <c r="P2848" s="30">
        <f>IF(A2848="","",CHOOSE(WEEKDAY(A2848,2),"Segunda","Terça","Quarta","Quinta","Sexta","Sábado","Domingo"))</f>
        <v/>
      </c>
      <c r="Q2848" s="30">
        <f>IF(B2848="","",IF(B2848&lt;TIME(12,0,0),"Manhã",IF(B2848&lt;TIME(18,0,0),"Tarde","Noite")))</f>
        <v/>
      </c>
      <c r="R2848" s="46">
        <f>IF(AND(H2848="Realizado",L2848&lt;&gt;"",A2848&lt;=Config!$B$9),L2848/60,0)</f>
        <v>0</v>
      </c>
      <c r="S2848" s="45">
        <f>IF(G2848="","",IFERROR(INDEX(Config!$K$5:$K$16,MATCH(G2848,Config!$J$5:$J$16,0)),""))</f>
        <v/>
      </c>
      <c r="T2848" s="31">
        <f>IF(OR(G2848="",F2848=""),"",IFERROR(INDEX(Config!$M$5:$R$16,MATCH(G2848,Config!$J$5:$J$16,0),MATCH(F2848,Config!$H$5:$H$10,0)),""))</f>
        <v/>
      </c>
      <c r="U2848" s="47">
        <f>IF(AND(H2848="Realizado",L2848&lt;&gt;""),L2848/60,0)</f>
        <v>0</v>
      </c>
      <c r="V2848" s="47">
        <f>IF(AND(H2848="Realizado",OR(L2848="",M2848="")),1,0)</f>
        <v>0</v>
      </c>
    </row>
    <row r="2849">
      <c r="A2849" s="43" t="n"/>
      <c r="B2849" s="44" t="n"/>
      <c r="C2849" s="38" t="n"/>
      <c r="D2849" s="38" t="n"/>
      <c r="E2849" s="37" t="n"/>
      <c r="F2849" s="38" t="n"/>
      <c r="G2849" s="38" t="n"/>
      <c r="H2849" s="38" t="n"/>
      <c r="I2849" s="38" t="n"/>
      <c r="J2849" s="38" t="n"/>
      <c r="K2849" s="37" t="n"/>
      <c r="L2849" s="39" t="n"/>
      <c r="M2849" s="40" t="n"/>
      <c r="N2849" s="30">
        <f>IF(A2849="","",MONTH(A2849))</f>
        <v/>
      </c>
      <c r="O2849" s="30">
        <f>IF(A2849="","",YEAR(A2849))</f>
        <v/>
      </c>
      <c r="P2849" s="30">
        <f>IF(A2849="","",CHOOSE(WEEKDAY(A2849,2),"Segunda","Terça","Quarta","Quinta","Sexta","Sábado","Domingo"))</f>
        <v/>
      </c>
      <c r="Q2849" s="30">
        <f>IF(B2849="","",IF(B2849&lt;TIME(12,0,0),"Manhã",IF(B2849&lt;TIME(18,0,0),"Tarde","Noite")))</f>
        <v/>
      </c>
      <c r="R2849" s="46">
        <f>IF(AND(H2849="Realizado",L2849&lt;&gt;"",A2849&lt;=Config!$B$9),L2849/60,0)</f>
        <v>0</v>
      </c>
      <c r="S2849" s="45">
        <f>IF(G2849="","",IFERROR(INDEX(Config!$K$5:$K$16,MATCH(G2849,Config!$J$5:$J$16,0)),""))</f>
        <v/>
      </c>
      <c r="T2849" s="31">
        <f>IF(OR(G2849="",F2849=""),"",IFERROR(INDEX(Config!$M$5:$R$16,MATCH(G2849,Config!$J$5:$J$16,0),MATCH(F2849,Config!$H$5:$H$10,0)),""))</f>
        <v/>
      </c>
      <c r="U2849" s="47">
        <f>IF(AND(H2849="Realizado",L2849&lt;&gt;""),L2849/60,0)</f>
        <v>0</v>
      </c>
      <c r="V2849" s="47">
        <f>IF(AND(H2849="Realizado",OR(L2849="",M2849="")),1,0)</f>
        <v>0</v>
      </c>
    </row>
    <row r="2850">
      <c r="A2850" s="43" t="n"/>
      <c r="B2850" s="44" t="n"/>
      <c r="C2850" s="38" t="n"/>
      <c r="D2850" s="38" t="n"/>
      <c r="E2850" s="37" t="n"/>
      <c r="F2850" s="38" t="n"/>
      <c r="G2850" s="38" t="n"/>
      <c r="H2850" s="38" t="n"/>
      <c r="I2850" s="38" t="n"/>
      <c r="J2850" s="38" t="n"/>
      <c r="K2850" s="37" t="n"/>
      <c r="L2850" s="39" t="n"/>
      <c r="M2850" s="40" t="n"/>
      <c r="N2850" s="30">
        <f>IF(A2850="","",MONTH(A2850))</f>
        <v/>
      </c>
      <c r="O2850" s="30">
        <f>IF(A2850="","",YEAR(A2850))</f>
        <v/>
      </c>
      <c r="P2850" s="30">
        <f>IF(A2850="","",CHOOSE(WEEKDAY(A2850,2),"Segunda","Terça","Quarta","Quinta","Sexta","Sábado","Domingo"))</f>
        <v/>
      </c>
      <c r="Q2850" s="30">
        <f>IF(B2850="","",IF(B2850&lt;TIME(12,0,0),"Manhã",IF(B2850&lt;TIME(18,0,0),"Tarde","Noite")))</f>
        <v/>
      </c>
      <c r="R2850" s="46">
        <f>IF(AND(H2850="Realizado",L2850&lt;&gt;"",A2850&lt;=Config!$B$9),L2850/60,0)</f>
        <v>0</v>
      </c>
      <c r="S2850" s="45">
        <f>IF(G2850="","",IFERROR(INDEX(Config!$K$5:$K$16,MATCH(G2850,Config!$J$5:$J$16,0)),""))</f>
        <v/>
      </c>
      <c r="T2850" s="31">
        <f>IF(OR(G2850="",F2850=""),"",IFERROR(INDEX(Config!$M$5:$R$16,MATCH(G2850,Config!$J$5:$J$16,0),MATCH(F2850,Config!$H$5:$H$10,0)),""))</f>
        <v/>
      </c>
      <c r="U2850" s="47">
        <f>IF(AND(H2850="Realizado",L2850&lt;&gt;""),L2850/60,0)</f>
        <v>0</v>
      </c>
      <c r="V2850" s="47">
        <f>IF(AND(H2850="Realizado",OR(L2850="",M2850="")),1,0)</f>
        <v>0</v>
      </c>
    </row>
    <row r="2851">
      <c r="A2851" s="43" t="n"/>
      <c r="B2851" s="44" t="n"/>
      <c r="C2851" s="38" t="n"/>
      <c r="D2851" s="38" t="n"/>
      <c r="E2851" s="37" t="n"/>
      <c r="F2851" s="38" t="n"/>
      <c r="G2851" s="38" t="n"/>
      <c r="H2851" s="38" t="n"/>
      <c r="I2851" s="38" t="n"/>
      <c r="J2851" s="38" t="n"/>
      <c r="K2851" s="37" t="n"/>
      <c r="L2851" s="39" t="n"/>
      <c r="M2851" s="40" t="n"/>
      <c r="N2851" s="30">
        <f>IF(A2851="","",MONTH(A2851))</f>
        <v/>
      </c>
      <c r="O2851" s="30">
        <f>IF(A2851="","",YEAR(A2851))</f>
        <v/>
      </c>
      <c r="P2851" s="30">
        <f>IF(A2851="","",CHOOSE(WEEKDAY(A2851,2),"Segunda","Terça","Quarta","Quinta","Sexta","Sábado","Domingo"))</f>
        <v/>
      </c>
      <c r="Q2851" s="30">
        <f>IF(B2851="","",IF(B2851&lt;TIME(12,0,0),"Manhã",IF(B2851&lt;TIME(18,0,0),"Tarde","Noite")))</f>
        <v/>
      </c>
      <c r="R2851" s="46">
        <f>IF(AND(H2851="Realizado",L2851&lt;&gt;"",A2851&lt;=Config!$B$9),L2851/60,0)</f>
        <v>0</v>
      </c>
      <c r="S2851" s="45">
        <f>IF(G2851="","",IFERROR(INDEX(Config!$K$5:$K$16,MATCH(G2851,Config!$J$5:$J$16,0)),""))</f>
        <v/>
      </c>
      <c r="T2851" s="31">
        <f>IF(OR(G2851="",F2851=""),"",IFERROR(INDEX(Config!$M$5:$R$16,MATCH(G2851,Config!$J$5:$J$16,0),MATCH(F2851,Config!$H$5:$H$10,0)),""))</f>
        <v/>
      </c>
      <c r="U2851" s="47">
        <f>IF(AND(H2851="Realizado",L2851&lt;&gt;""),L2851/60,0)</f>
        <v>0</v>
      </c>
      <c r="V2851" s="47">
        <f>IF(AND(H2851="Realizado",OR(L2851="",M2851="")),1,0)</f>
        <v>0</v>
      </c>
    </row>
    <row r="2852">
      <c r="A2852" s="43" t="n"/>
      <c r="B2852" s="44" t="n"/>
      <c r="C2852" s="38" t="n"/>
      <c r="D2852" s="38" t="n"/>
      <c r="E2852" s="37" t="n"/>
      <c r="F2852" s="38" t="n"/>
      <c r="G2852" s="38" t="n"/>
      <c r="H2852" s="38" t="n"/>
      <c r="I2852" s="38" t="n"/>
      <c r="J2852" s="38" t="n"/>
      <c r="K2852" s="37" t="n"/>
      <c r="L2852" s="39" t="n"/>
      <c r="M2852" s="40" t="n"/>
      <c r="N2852" s="30">
        <f>IF(A2852="","",MONTH(A2852))</f>
        <v/>
      </c>
      <c r="O2852" s="30">
        <f>IF(A2852="","",YEAR(A2852))</f>
        <v/>
      </c>
      <c r="P2852" s="30">
        <f>IF(A2852="","",CHOOSE(WEEKDAY(A2852,2),"Segunda","Terça","Quarta","Quinta","Sexta","Sábado","Domingo"))</f>
        <v/>
      </c>
      <c r="Q2852" s="30">
        <f>IF(B2852="","",IF(B2852&lt;TIME(12,0,0),"Manhã",IF(B2852&lt;TIME(18,0,0),"Tarde","Noite")))</f>
        <v/>
      </c>
      <c r="R2852" s="46">
        <f>IF(AND(H2852="Realizado",L2852&lt;&gt;"",A2852&lt;=Config!$B$9),L2852/60,0)</f>
        <v>0</v>
      </c>
      <c r="S2852" s="45">
        <f>IF(G2852="","",IFERROR(INDEX(Config!$K$5:$K$16,MATCH(G2852,Config!$J$5:$J$16,0)),""))</f>
        <v/>
      </c>
      <c r="T2852" s="31">
        <f>IF(OR(G2852="",F2852=""),"",IFERROR(INDEX(Config!$M$5:$R$16,MATCH(G2852,Config!$J$5:$J$16,0),MATCH(F2852,Config!$H$5:$H$10,0)),""))</f>
        <v/>
      </c>
      <c r="U2852" s="47">
        <f>IF(AND(H2852="Realizado",L2852&lt;&gt;""),L2852/60,0)</f>
        <v>0</v>
      </c>
      <c r="V2852" s="47">
        <f>IF(AND(H2852="Realizado",OR(L2852="",M2852="")),1,0)</f>
        <v>0</v>
      </c>
    </row>
    <row r="2853">
      <c r="A2853" s="43" t="n"/>
      <c r="B2853" s="44" t="n"/>
      <c r="C2853" s="38" t="n"/>
      <c r="D2853" s="38" t="n"/>
      <c r="E2853" s="37" t="n"/>
      <c r="F2853" s="38" t="n"/>
      <c r="G2853" s="38" t="n"/>
      <c r="H2853" s="38" t="n"/>
      <c r="I2853" s="38" t="n"/>
      <c r="J2853" s="38" t="n"/>
      <c r="K2853" s="37" t="n"/>
      <c r="L2853" s="39" t="n"/>
      <c r="M2853" s="40" t="n"/>
      <c r="N2853" s="30">
        <f>IF(A2853="","",MONTH(A2853))</f>
        <v/>
      </c>
      <c r="O2853" s="30">
        <f>IF(A2853="","",YEAR(A2853))</f>
        <v/>
      </c>
      <c r="P2853" s="30">
        <f>IF(A2853="","",CHOOSE(WEEKDAY(A2853,2),"Segunda","Terça","Quarta","Quinta","Sexta","Sábado","Domingo"))</f>
        <v/>
      </c>
      <c r="Q2853" s="30">
        <f>IF(B2853="","",IF(B2853&lt;TIME(12,0,0),"Manhã",IF(B2853&lt;TIME(18,0,0),"Tarde","Noite")))</f>
        <v/>
      </c>
      <c r="R2853" s="46">
        <f>IF(AND(H2853="Realizado",L2853&lt;&gt;"",A2853&lt;=Config!$B$9),L2853/60,0)</f>
        <v>0</v>
      </c>
      <c r="S2853" s="45">
        <f>IF(G2853="","",IFERROR(INDEX(Config!$K$5:$K$16,MATCH(G2853,Config!$J$5:$J$16,0)),""))</f>
        <v/>
      </c>
      <c r="T2853" s="31">
        <f>IF(OR(G2853="",F2853=""),"",IFERROR(INDEX(Config!$M$5:$R$16,MATCH(G2853,Config!$J$5:$J$16,0),MATCH(F2853,Config!$H$5:$H$10,0)),""))</f>
        <v/>
      </c>
      <c r="U2853" s="47">
        <f>IF(AND(H2853="Realizado",L2853&lt;&gt;""),L2853/60,0)</f>
        <v>0</v>
      </c>
      <c r="V2853" s="47">
        <f>IF(AND(H2853="Realizado",OR(L2853="",M2853="")),1,0)</f>
        <v>0</v>
      </c>
    </row>
    <row r="2854">
      <c r="A2854" s="43" t="n"/>
      <c r="B2854" s="44" t="n"/>
      <c r="C2854" s="38" t="n"/>
      <c r="D2854" s="38" t="n"/>
      <c r="E2854" s="37" t="n"/>
      <c r="F2854" s="38" t="n"/>
      <c r="G2854" s="38" t="n"/>
      <c r="H2854" s="38" t="n"/>
      <c r="I2854" s="38" t="n"/>
      <c r="J2854" s="38" t="n"/>
      <c r="K2854" s="37" t="n"/>
      <c r="L2854" s="39" t="n"/>
      <c r="M2854" s="40" t="n"/>
      <c r="N2854" s="30">
        <f>IF(A2854="","",MONTH(A2854))</f>
        <v/>
      </c>
      <c r="O2854" s="30">
        <f>IF(A2854="","",YEAR(A2854))</f>
        <v/>
      </c>
      <c r="P2854" s="30">
        <f>IF(A2854="","",CHOOSE(WEEKDAY(A2854,2),"Segunda","Terça","Quarta","Quinta","Sexta","Sábado","Domingo"))</f>
        <v/>
      </c>
      <c r="Q2854" s="30">
        <f>IF(B2854="","",IF(B2854&lt;TIME(12,0,0),"Manhã",IF(B2854&lt;TIME(18,0,0),"Tarde","Noite")))</f>
        <v/>
      </c>
      <c r="R2854" s="46">
        <f>IF(AND(H2854="Realizado",L2854&lt;&gt;"",A2854&lt;=Config!$B$9),L2854/60,0)</f>
        <v>0</v>
      </c>
      <c r="S2854" s="45">
        <f>IF(G2854="","",IFERROR(INDEX(Config!$K$5:$K$16,MATCH(G2854,Config!$J$5:$J$16,0)),""))</f>
        <v/>
      </c>
      <c r="T2854" s="31">
        <f>IF(OR(G2854="",F2854=""),"",IFERROR(INDEX(Config!$M$5:$R$16,MATCH(G2854,Config!$J$5:$J$16,0),MATCH(F2854,Config!$H$5:$H$10,0)),""))</f>
        <v/>
      </c>
      <c r="U2854" s="47">
        <f>IF(AND(H2854="Realizado",L2854&lt;&gt;""),L2854/60,0)</f>
        <v>0</v>
      </c>
      <c r="V2854" s="47">
        <f>IF(AND(H2854="Realizado",OR(L2854="",M2854="")),1,0)</f>
        <v>0</v>
      </c>
    </row>
    <row r="2855">
      <c r="A2855" s="43" t="n"/>
      <c r="B2855" s="44" t="n"/>
      <c r="C2855" s="38" t="n"/>
      <c r="D2855" s="38" t="n"/>
      <c r="E2855" s="37" t="n"/>
      <c r="F2855" s="38" t="n"/>
      <c r="G2855" s="38" t="n"/>
      <c r="H2855" s="38" t="n"/>
      <c r="I2855" s="38" t="n"/>
      <c r="J2855" s="38" t="n"/>
      <c r="K2855" s="37" t="n"/>
      <c r="L2855" s="39" t="n"/>
      <c r="M2855" s="40" t="n"/>
      <c r="N2855" s="30">
        <f>IF(A2855="","",MONTH(A2855))</f>
        <v/>
      </c>
      <c r="O2855" s="30">
        <f>IF(A2855="","",YEAR(A2855))</f>
        <v/>
      </c>
      <c r="P2855" s="30">
        <f>IF(A2855="","",CHOOSE(WEEKDAY(A2855,2),"Segunda","Terça","Quarta","Quinta","Sexta","Sábado","Domingo"))</f>
        <v/>
      </c>
      <c r="Q2855" s="30">
        <f>IF(B2855="","",IF(B2855&lt;TIME(12,0,0),"Manhã",IF(B2855&lt;TIME(18,0,0),"Tarde","Noite")))</f>
        <v/>
      </c>
      <c r="R2855" s="46">
        <f>IF(AND(H2855="Realizado",L2855&lt;&gt;"",A2855&lt;=Config!$B$9),L2855/60,0)</f>
        <v>0</v>
      </c>
      <c r="S2855" s="45">
        <f>IF(G2855="","",IFERROR(INDEX(Config!$K$5:$K$16,MATCH(G2855,Config!$J$5:$J$16,0)),""))</f>
        <v/>
      </c>
      <c r="T2855" s="31">
        <f>IF(OR(G2855="",F2855=""),"",IFERROR(INDEX(Config!$M$5:$R$16,MATCH(G2855,Config!$J$5:$J$16,0),MATCH(F2855,Config!$H$5:$H$10,0)),""))</f>
        <v/>
      </c>
      <c r="U2855" s="47">
        <f>IF(AND(H2855="Realizado",L2855&lt;&gt;""),L2855/60,0)</f>
        <v>0</v>
      </c>
      <c r="V2855" s="47">
        <f>IF(AND(H2855="Realizado",OR(L2855="",M2855="")),1,0)</f>
        <v>0</v>
      </c>
    </row>
    <row r="2856">
      <c r="A2856" s="43" t="n"/>
      <c r="B2856" s="44" t="n"/>
      <c r="C2856" s="38" t="n"/>
      <c r="D2856" s="38" t="n"/>
      <c r="E2856" s="37" t="n"/>
      <c r="F2856" s="38" t="n"/>
      <c r="G2856" s="38" t="n"/>
      <c r="H2856" s="38" t="n"/>
      <c r="I2856" s="38" t="n"/>
      <c r="J2856" s="38" t="n"/>
      <c r="K2856" s="37" t="n"/>
      <c r="L2856" s="39" t="n"/>
      <c r="M2856" s="40" t="n"/>
      <c r="N2856" s="30">
        <f>IF(A2856="","",MONTH(A2856))</f>
        <v/>
      </c>
      <c r="O2856" s="30">
        <f>IF(A2856="","",YEAR(A2856))</f>
        <v/>
      </c>
      <c r="P2856" s="30">
        <f>IF(A2856="","",CHOOSE(WEEKDAY(A2856,2),"Segunda","Terça","Quarta","Quinta","Sexta","Sábado","Domingo"))</f>
        <v/>
      </c>
      <c r="Q2856" s="30">
        <f>IF(B2856="","",IF(B2856&lt;TIME(12,0,0),"Manhã",IF(B2856&lt;TIME(18,0,0),"Tarde","Noite")))</f>
        <v/>
      </c>
      <c r="R2856" s="46">
        <f>IF(AND(H2856="Realizado",L2856&lt;&gt;"",A2856&lt;=Config!$B$9),L2856/60,0)</f>
        <v>0</v>
      </c>
      <c r="S2856" s="45">
        <f>IF(G2856="","",IFERROR(INDEX(Config!$K$5:$K$16,MATCH(G2856,Config!$J$5:$J$16,0)),""))</f>
        <v/>
      </c>
      <c r="T2856" s="31">
        <f>IF(OR(G2856="",F2856=""),"",IFERROR(INDEX(Config!$M$5:$R$16,MATCH(G2856,Config!$J$5:$J$16,0),MATCH(F2856,Config!$H$5:$H$10,0)),""))</f>
        <v/>
      </c>
      <c r="U2856" s="47">
        <f>IF(AND(H2856="Realizado",L2856&lt;&gt;""),L2856/60,0)</f>
        <v>0</v>
      </c>
      <c r="V2856" s="47">
        <f>IF(AND(H2856="Realizado",OR(L2856="",M2856="")),1,0)</f>
        <v>0</v>
      </c>
    </row>
    <row r="2857">
      <c r="A2857" s="43" t="n"/>
      <c r="B2857" s="44" t="n"/>
      <c r="C2857" s="38" t="n"/>
      <c r="D2857" s="38" t="n"/>
      <c r="E2857" s="37" t="n"/>
      <c r="F2857" s="38" t="n"/>
      <c r="G2857" s="38" t="n"/>
      <c r="H2857" s="38" t="n"/>
      <c r="I2857" s="38" t="n"/>
      <c r="J2857" s="38" t="n"/>
      <c r="K2857" s="37" t="n"/>
      <c r="L2857" s="39" t="n"/>
      <c r="M2857" s="40" t="n"/>
      <c r="N2857" s="30">
        <f>IF(A2857="","",MONTH(A2857))</f>
        <v/>
      </c>
      <c r="O2857" s="30">
        <f>IF(A2857="","",YEAR(A2857))</f>
        <v/>
      </c>
      <c r="P2857" s="30">
        <f>IF(A2857="","",CHOOSE(WEEKDAY(A2857,2),"Segunda","Terça","Quarta","Quinta","Sexta","Sábado","Domingo"))</f>
        <v/>
      </c>
      <c r="Q2857" s="30">
        <f>IF(B2857="","",IF(B2857&lt;TIME(12,0,0),"Manhã",IF(B2857&lt;TIME(18,0,0),"Tarde","Noite")))</f>
        <v/>
      </c>
      <c r="R2857" s="46">
        <f>IF(AND(H2857="Realizado",L2857&lt;&gt;"",A2857&lt;=Config!$B$9),L2857/60,0)</f>
        <v>0</v>
      </c>
      <c r="S2857" s="45">
        <f>IF(G2857="","",IFERROR(INDEX(Config!$K$5:$K$16,MATCH(G2857,Config!$J$5:$J$16,0)),""))</f>
        <v/>
      </c>
      <c r="T2857" s="31">
        <f>IF(OR(G2857="",F2857=""),"",IFERROR(INDEX(Config!$M$5:$R$16,MATCH(G2857,Config!$J$5:$J$16,0),MATCH(F2857,Config!$H$5:$H$10,0)),""))</f>
        <v/>
      </c>
      <c r="U2857" s="47">
        <f>IF(AND(H2857="Realizado",L2857&lt;&gt;""),L2857/60,0)</f>
        <v>0</v>
      </c>
      <c r="V2857" s="47">
        <f>IF(AND(H2857="Realizado",OR(L2857="",M2857="")),1,0)</f>
        <v>0</v>
      </c>
    </row>
    <row r="2858">
      <c r="A2858" s="43" t="n"/>
      <c r="B2858" s="44" t="n"/>
      <c r="C2858" s="38" t="n"/>
      <c r="D2858" s="38" t="n"/>
      <c r="E2858" s="37" t="n"/>
      <c r="F2858" s="38" t="n"/>
      <c r="G2858" s="38" t="n"/>
      <c r="H2858" s="38" t="n"/>
      <c r="I2858" s="38" t="n"/>
      <c r="J2858" s="38" t="n"/>
      <c r="K2858" s="37" t="n"/>
      <c r="L2858" s="39" t="n"/>
      <c r="M2858" s="40" t="n"/>
      <c r="N2858" s="30">
        <f>IF(A2858="","",MONTH(A2858))</f>
        <v/>
      </c>
      <c r="O2858" s="30">
        <f>IF(A2858="","",YEAR(A2858))</f>
        <v/>
      </c>
      <c r="P2858" s="30">
        <f>IF(A2858="","",CHOOSE(WEEKDAY(A2858,2),"Segunda","Terça","Quarta","Quinta","Sexta","Sábado","Domingo"))</f>
        <v/>
      </c>
      <c r="Q2858" s="30">
        <f>IF(B2858="","",IF(B2858&lt;TIME(12,0,0),"Manhã",IF(B2858&lt;TIME(18,0,0),"Tarde","Noite")))</f>
        <v/>
      </c>
      <c r="R2858" s="46">
        <f>IF(AND(H2858="Realizado",L2858&lt;&gt;"",A2858&lt;=Config!$B$9),L2858/60,0)</f>
        <v>0</v>
      </c>
      <c r="S2858" s="45">
        <f>IF(G2858="","",IFERROR(INDEX(Config!$K$5:$K$16,MATCH(G2858,Config!$J$5:$J$16,0)),""))</f>
        <v/>
      </c>
      <c r="T2858" s="31">
        <f>IF(OR(G2858="",F2858=""),"",IFERROR(INDEX(Config!$M$5:$R$16,MATCH(G2858,Config!$J$5:$J$16,0),MATCH(F2858,Config!$H$5:$H$10,0)),""))</f>
        <v/>
      </c>
      <c r="U2858" s="47">
        <f>IF(AND(H2858="Realizado",L2858&lt;&gt;""),L2858/60,0)</f>
        <v>0</v>
      </c>
      <c r="V2858" s="47">
        <f>IF(AND(H2858="Realizado",OR(L2858="",M2858="")),1,0)</f>
        <v>0</v>
      </c>
    </row>
    <row r="2859">
      <c r="A2859" s="43" t="n"/>
      <c r="B2859" s="44" t="n"/>
      <c r="C2859" s="38" t="n"/>
      <c r="D2859" s="38" t="n"/>
      <c r="E2859" s="37" t="n"/>
      <c r="F2859" s="38" t="n"/>
      <c r="G2859" s="38" t="n"/>
      <c r="H2859" s="38" t="n"/>
      <c r="I2859" s="38" t="n"/>
      <c r="J2859" s="38" t="n"/>
      <c r="K2859" s="37" t="n"/>
      <c r="L2859" s="39" t="n"/>
      <c r="M2859" s="40" t="n"/>
      <c r="N2859" s="30">
        <f>IF(A2859="","",MONTH(A2859))</f>
        <v/>
      </c>
      <c r="O2859" s="30">
        <f>IF(A2859="","",YEAR(A2859))</f>
        <v/>
      </c>
      <c r="P2859" s="30">
        <f>IF(A2859="","",CHOOSE(WEEKDAY(A2859,2),"Segunda","Terça","Quarta","Quinta","Sexta","Sábado","Domingo"))</f>
        <v/>
      </c>
      <c r="Q2859" s="30">
        <f>IF(B2859="","",IF(B2859&lt;TIME(12,0,0),"Manhã",IF(B2859&lt;TIME(18,0,0),"Tarde","Noite")))</f>
        <v/>
      </c>
      <c r="R2859" s="46">
        <f>IF(AND(H2859="Realizado",L2859&lt;&gt;"",A2859&lt;=Config!$B$9),L2859/60,0)</f>
        <v>0</v>
      </c>
      <c r="S2859" s="45">
        <f>IF(G2859="","",IFERROR(INDEX(Config!$K$5:$K$16,MATCH(G2859,Config!$J$5:$J$16,0)),""))</f>
        <v/>
      </c>
      <c r="T2859" s="31">
        <f>IF(OR(G2859="",F2859=""),"",IFERROR(INDEX(Config!$M$5:$R$16,MATCH(G2859,Config!$J$5:$J$16,0),MATCH(F2859,Config!$H$5:$H$10,0)),""))</f>
        <v/>
      </c>
      <c r="U2859" s="47">
        <f>IF(AND(H2859="Realizado",L2859&lt;&gt;""),L2859/60,0)</f>
        <v>0</v>
      </c>
      <c r="V2859" s="47">
        <f>IF(AND(H2859="Realizado",OR(L2859="",M2859="")),1,0)</f>
        <v>0</v>
      </c>
    </row>
    <row r="2860">
      <c r="A2860" s="43" t="n"/>
      <c r="B2860" s="44" t="n"/>
      <c r="C2860" s="38" t="n"/>
      <c r="D2860" s="38" t="n"/>
      <c r="E2860" s="37" t="n"/>
      <c r="F2860" s="38" t="n"/>
      <c r="G2860" s="38" t="n"/>
      <c r="H2860" s="38" t="n"/>
      <c r="I2860" s="38" t="n"/>
      <c r="J2860" s="38" t="n"/>
      <c r="K2860" s="37" t="n"/>
      <c r="L2860" s="39" t="n"/>
      <c r="M2860" s="40" t="n"/>
      <c r="N2860" s="30">
        <f>IF(A2860="","",MONTH(A2860))</f>
        <v/>
      </c>
      <c r="O2860" s="30">
        <f>IF(A2860="","",YEAR(A2860))</f>
        <v/>
      </c>
      <c r="P2860" s="30">
        <f>IF(A2860="","",CHOOSE(WEEKDAY(A2860,2),"Segunda","Terça","Quarta","Quinta","Sexta","Sábado","Domingo"))</f>
        <v/>
      </c>
      <c r="Q2860" s="30">
        <f>IF(B2860="","",IF(B2860&lt;TIME(12,0,0),"Manhã",IF(B2860&lt;TIME(18,0,0),"Tarde","Noite")))</f>
        <v/>
      </c>
      <c r="R2860" s="46">
        <f>IF(AND(H2860="Realizado",L2860&lt;&gt;"",A2860&lt;=Config!$B$9),L2860/60,0)</f>
        <v>0</v>
      </c>
      <c r="S2860" s="45">
        <f>IF(G2860="","",IFERROR(INDEX(Config!$K$5:$K$16,MATCH(G2860,Config!$J$5:$J$16,0)),""))</f>
        <v/>
      </c>
      <c r="T2860" s="31">
        <f>IF(OR(G2860="",F2860=""),"",IFERROR(INDEX(Config!$M$5:$R$16,MATCH(G2860,Config!$J$5:$J$16,0),MATCH(F2860,Config!$H$5:$H$10,0)),""))</f>
        <v/>
      </c>
      <c r="U2860" s="47">
        <f>IF(AND(H2860="Realizado",L2860&lt;&gt;""),L2860/60,0)</f>
        <v>0</v>
      </c>
      <c r="V2860" s="47">
        <f>IF(AND(H2860="Realizado",OR(L2860="",M2860="")),1,0)</f>
        <v>0</v>
      </c>
    </row>
    <row r="2861">
      <c r="A2861" s="43" t="n"/>
      <c r="B2861" s="44" t="n"/>
      <c r="C2861" s="38" t="n"/>
      <c r="D2861" s="38" t="n"/>
      <c r="E2861" s="37" t="n"/>
      <c r="F2861" s="38" t="n"/>
      <c r="G2861" s="38" t="n"/>
      <c r="H2861" s="38" t="n"/>
      <c r="I2861" s="38" t="n"/>
      <c r="J2861" s="38" t="n"/>
      <c r="K2861" s="37" t="n"/>
      <c r="L2861" s="39" t="n"/>
      <c r="M2861" s="40" t="n"/>
      <c r="N2861" s="30">
        <f>IF(A2861="","",MONTH(A2861))</f>
        <v/>
      </c>
      <c r="O2861" s="30">
        <f>IF(A2861="","",YEAR(A2861))</f>
        <v/>
      </c>
      <c r="P2861" s="30">
        <f>IF(A2861="","",CHOOSE(WEEKDAY(A2861,2),"Segunda","Terça","Quarta","Quinta","Sexta","Sábado","Domingo"))</f>
        <v/>
      </c>
      <c r="Q2861" s="30">
        <f>IF(B2861="","",IF(B2861&lt;TIME(12,0,0),"Manhã",IF(B2861&lt;TIME(18,0,0),"Tarde","Noite")))</f>
        <v/>
      </c>
      <c r="R2861" s="46">
        <f>IF(AND(H2861="Realizado",L2861&lt;&gt;"",A2861&lt;=Config!$B$9),L2861/60,0)</f>
        <v>0</v>
      </c>
      <c r="S2861" s="45">
        <f>IF(G2861="","",IFERROR(INDEX(Config!$K$5:$K$16,MATCH(G2861,Config!$J$5:$J$16,0)),""))</f>
        <v/>
      </c>
      <c r="T2861" s="31">
        <f>IF(OR(G2861="",F2861=""),"",IFERROR(INDEX(Config!$M$5:$R$16,MATCH(G2861,Config!$J$5:$J$16,0),MATCH(F2861,Config!$H$5:$H$10,0)),""))</f>
        <v/>
      </c>
      <c r="U2861" s="47">
        <f>IF(AND(H2861="Realizado",L2861&lt;&gt;""),L2861/60,0)</f>
        <v>0</v>
      </c>
      <c r="V2861" s="47">
        <f>IF(AND(H2861="Realizado",OR(L2861="",M2861="")),1,0)</f>
        <v>0</v>
      </c>
    </row>
    <row r="2862">
      <c r="A2862" s="43" t="n"/>
      <c r="B2862" s="44" t="n"/>
      <c r="C2862" s="38" t="n"/>
      <c r="D2862" s="38" t="n"/>
      <c r="E2862" s="37" t="n"/>
      <c r="F2862" s="38" t="n"/>
      <c r="G2862" s="38" t="n"/>
      <c r="H2862" s="38" t="n"/>
      <c r="I2862" s="38" t="n"/>
      <c r="J2862" s="38" t="n"/>
      <c r="K2862" s="37" t="n"/>
      <c r="L2862" s="39" t="n"/>
      <c r="M2862" s="40" t="n"/>
      <c r="N2862" s="30">
        <f>IF(A2862="","",MONTH(A2862))</f>
        <v/>
      </c>
      <c r="O2862" s="30">
        <f>IF(A2862="","",YEAR(A2862))</f>
        <v/>
      </c>
      <c r="P2862" s="30">
        <f>IF(A2862="","",CHOOSE(WEEKDAY(A2862,2),"Segunda","Terça","Quarta","Quinta","Sexta","Sábado","Domingo"))</f>
        <v/>
      </c>
      <c r="Q2862" s="30">
        <f>IF(B2862="","",IF(B2862&lt;TIME(12,0,0),"Manhã",IF(B2862&lt;TIME(18,0,0),"Tarde","Noite")))</f>
        <v/>
      </c>
      <c r="R2862" s="46">
        <f>IF(AND(H2862="Realizado",L2862&lt;&gt;"",A2862&lt;=Config!$B$9),L2862/60,0)</f>
        <v>0</v>
      </c>
      <c r="S2862" s="45">
        <f>IF(G2862="","",IFERROR(INDEX(Config!$K$5:$K$16,MATCH(G2862,Config!$J$5:$J$16,0)),""))</f>
        <v/>
      </c>
      <c r="T2862" s="31">
        <f>IF(OR(G2862="",F2862=""),"",IFERROR(INDEX(Config!$M$5:$R$16,MATCH(G2862,Config!$J$5:$J$16,0),MATCH(F2862,Config!$H$5:$H$10,0)),""))</f>
        <v/>
      </c>
      <c r="U2862" s="47">
        <f>IF(AND(H2862="Realizado",L2862&lt;&gt;""),L2862/60,0)</f>
        <v>0</v>
      </c>
      <c r="V2862" s="47">
        <f>IF(AND(H2862="Realizado",OR(L2862="",M2862="")),1,0)</f>
        <v>0</v>
      </c>
    </row>
    <row r="2863">
      <c r="A2863" s="43" t="n"/>
      <c r="B2863" s="44" t="n"/>
      <c r="C2863" s="38" t="n"/>
      <c r="D2863" s="38" t="n"/>
      <c r="E2863" s="37" t="n"/>
      <c r="F2863" s="38" t="n"/>
      <c r="G2863" s="38" t="n"/>
      <c r="H2863" s="38" t="n"/>
      <c r="I2863" s="38" t="n"/>
      <c r="J2863" s="38" t="n"/>
      <c r="K2863" s="37" t="n"/>
      <c r="L2863" s="39" t="n"/>
      <c r="M2863" s="40" t="n"/>
      <c r="N2863" s="30">
        <f>IF(A2863="","",MONTH(A2863))</f>
        <v/>
      </c>
      <c r="O2863" s="30">
        <f>IF(A2863="","",YEAR(A2863))</f>
        <v/>
      </c>
      <c r="P2863" s="30">
        <f>IF(A2863="","",CHOOSE(WEEKDAY(A2863,2),"Segunda","Terça","Quarta","Quinta","Sexta","Sábado","Domingo"))</f>
        <v/>
      </c>
      <c r="Q2863" s="30">
        <f>IF(B2863="","",IF(B2863&lt;TIME(12,0,0),"Manhã",IF(B2863&lt;TIME(18,0,0),"Tarde","Noite")))</f>
        <v/>
      </c>
      <c r="R2863" s="46">
        <f>IF(AND(H2863="Realizado",L2863&lt;&gt;"",A2863&lt;=Config!$B$9),L2863/60,0)</f>
        <v>0</v>
      </c>
      <c r="S2863" s="45">
        <f>IF(G2863="","",IFERROR(INDEX(Config!$K$5:$K$16,MATCH(G2863,Config!$J$5:$J$16,0)),""))</f>
        <v/>
      </c>
      <c r="T2863" s="31">
        <f>IF(OR(G2863="",F2863=""),"",IFERROR(INDEX(Config!$M$5:$R$16,MATCH(G2863,Config!$J$5:$J$16,0),MATCH(F2863,Config!$H$5:$H$10,0)),""))</f>
        <v/>
      </c>
      <c r="U2863" s="47">
        <f>IF(AND(H2863="Realizado",L2863&lt;&gt;""),L2863/60,0)</f>
        <v>0</v>
      </c>
      <c r="V2863" s="47">
        <f>IF(AND(H2863="Realizado",OR(L2863="",M2863="")),1,0)</f>
        <v>0</v>
      </c>
    </row>
    <row r="2864">
      <c r="A2864" s="43" t="n"/>
      <c r="B2864" s="44" t="n"/>
      <c r="C2864" s="38" t="n"/>
      <c r="D2864" s="38" t="n"/>
      <c r="E2864" s="37" t="n"/>
      <c r="F2864" s="38" t="n"/>
      <c r="G2864" s="38" t="n"/>
      <c r="H2864" s="38" t="n"/>
      <c r="I2864" s="38" t="n"/>
      <c r="J2864" s="38" t="n"/>
      <c r="K2864" s="37" t="n"/>
      <c r="L2864" s="39" t="n"/>
      <c r="M2864" s="40" t="n"/>
      <c r="N2864" s="30">
        <f>IF(A2864="","",MONTH(A2864))</f>
        <v/>
      </c>
      <c r="O2864" s="30">
        <f>IF(A2864="","",YEAR(A2864))</f>
        <v/>
      </c>
      <c r="P2864" s="30">
        <f>IF(A2864="","",CHOOSE(WEEKDAY(A2864,2),"Segunda","Terça","Quarta","Quinta","Sexta","Sábado","Domingo"))</f>
        <v/>
      </c>
      <c r="Q2864" s="30">
        <f>IF(B2864="","",IF(B2864&lt;TIME(12,0,0),"Manhã",IF(B2864&lt;TIME(18,0,0),"Tarde","Noite")))</f>
        <v/>
      </c>
      <c r="R2864" s="46">
        <f>IF(AND(H2864="Realizado",L2864&lt;&gt;"",A2864&lt;=Config!$B$9),L2864/60,0)</f>
        <v>0</v>
      </c>
      <c r="S2864" s="45">
        <f>IF(G2864="","",IFERROR(INDEX(Config!$K$5:$K$16,MATCH(G2864,Config!$J$5:$J$16,0)),""))</f>
        <v/>
      </c>
      <c r="T2864" s="31">
        <f>IF(OR(G2864="",F2864=""),"",IFERROR(INDEX(Config!$M$5:$R$16,MATCH(G2864,Config!$J$5:$J$16,0),MATCH(F2864,Config!$H$5:$H$10,0)),""))</f>
        <v/>
      </c>
      <c r="U2864" s="47">
        <f>IF(AND(H2864="Realizado",L2864&lt;&gt;""),L2864/60,0)</f>
        <v>0</v>
      </c>
      <c r="V2864" s="47">
        <f>IF(AND(H2864="Realizado",OR(L2864="",M2864="")),1,0)</f>
        <v>0</v>
      </c>
    </row>
    <row r="2865">
      <c r="A2865" s="43" t="n"/>
      <c r="B2865" s="44" t="n"/>
      <c r="C2865" s="38" t="n"/>
      <c r="D2865" s="38" t="n"/>
      <c r="E2865" s="37" t="n"/>
      <c r="F2865" s="38" t="n"/>
      <c r="G2865" s="38" t="n"/>
      <c r="H2865" s="38" t="n"/>
      <c r="I2865" s="38" t="n"/>
      <c r="J2865" s="38" t="n"/>
      <c r="K2865" s="37" t="n"/>
      <c r="L2865" s="39" t="n"/>
      <c r="M2865" s="40" t="n"/>
      <c r="N2865" s="30">
        <f>IF(A2865="","",MONTH(A2865))</f>
        <v/>
      </c>
      <c r="O2865" s="30">
        <f>IF(A2865="","",YEAR(A2865))</f>
        <v/>
      </c>
      <c r="P2865" s="30">
        <f>IF(A2865="","",CHOOSE(WEEKDAY(A2865,2),"Segunda","Terça","Quarta","Quinta","Sexta","Sábado","Domingo"))</f>
        <v/>
      </c>
      <c r="Q2865" s="30">
        <f>IF(B2865="","",IF(B2865&lt;TIME(12,0,0),"Manhã",IF(B2865&lt;TIME(18,0,0),"Tarde","Noite")))</f>
        <v/>
      </c>
      <c r="R2865" s="46">
        <f>IF(AND(H2865="Realizado",L2865&lt;&gt;"",A2865&lt;=Config!$B$9),L2865/60,0)</f>
        <v>0</v>
      </c>
      <c r="S2865" s="45">
        <f>IF(G2865="","",IFERROR(INDEX(Config!$K$5:$K$16,MATCH(G2865,Config!$J$5:$J$16,0)),""))</f>
        <v/>
      </c>
      <c r="T2865" s="31">
        <f>IF(OR(G2865="",F2865=""),"",IFERROR(INDEX(Config!$M$5:$R$16,MATCH(G2865,Config!$J$5:$J$16,0),MATCH(F2865,Config!$H$5:$H$10,0)),""))</f>
        <v/>
      </c>
      <c r="U2865" s="47">
        <f>IF(AND(H2865="Realizado",L2865&lt;&gt;""),L2865/60,0)</f>
        <v>0</v>
      </c>
      <c r="V2865" s="47">
        <f>IF(AND(H2865="Realizado",OR(L2865="",M2865="")),1,0)</f>
        <v>0</v>
      </c>
    </row>
    <row r="2866">
      <c r="A2866" s="43" t="n"/>
      <c r="B2866" s="44" t="n"/>
      <c r="C2866" s="38" t="n"/>
      <c r="D2866" s="38" t="n"/>
      <c r="E2866" s="37" t="n"/>
      <c r="F2866" s="38" t="n"/>
      <c r="G2866" s="38" t="n"/>
      <c r="H2866" s="38" t="n"/>
      <c r="I2866" s="38" t="n"/>
      <c r="J2866" s="38" t="n"/>
      <c r="K2866" s="37" t="n"/>
      <c r="L2866" s="39" t="n"/>
      <c r="M2866" s="40" t="n"/>
      <c r="N2866" s="30">
        <f>IF(A2866="","",MONTH(A2866))</f>
        <v/>
      </c>
      <c r="O2866" s="30">
        <f>IF(A2866="","",YEAR(A2866))</f>
        <v/>
      </c>
      <c r="P2866" s="30">
        <f>IF(A2866="","",CHOOSE(WEEKDAY(A2866,2),"Segunda","Terça","Quarta","Quinta","Sexta","Sábado","Domingo"))</f>
        <v/>
      </c>
      <c r="Q2866" s="30">
        <f>IF(B2866="","",IF(B2866&lt;TIME(12,0,0),"Manhã",IF(B2866&lt;TIME(18,0,0),"Tarde","Noite")))</f>
        <v/>
      </c>
      <c r="R2866" s="46">
        <f>IF(AND(H2866="Realizado",L2866&lt;&gt;"",A2866&lt;=Config!$B$9),L2866/60,0)</f>
        <v>0</v>
      </c>
      <c r="S2866" s="45">
        <f>IF(G2866="","",IFERROR(INDEX(Config!$K$5:$K$16,MATCH(G2866,Config!$J$5:$J$16,0)),""))</f>
        <v/>
      </c>
      <c r="T2866" s="31">
        <f>IF(OR(G2866="",F2866=""),"",IFERROR(INDEX(Config!$M$5:$R$16,MATCH(G2866,Config!$J$5:$J$16,0),MATCH(F2866,Config!$H$5:$H$10,0)),""))</f>
        <v/>
      </c>
      <c r="U2866" s="47">
        <f>IF(AND(H2866="Realizado",L2866&lt;&gt;""),L2866/60,0)</f>
        <v>0</v>
      </c>
      <c r="V2866" s="47">
        <f>IF(AND(H2866="Realizado",OR(L2866="",M2866="")),1,0)</f>
        <v>0</v>
      </c>
    </row>
    <row r="2867">
      <c r="A2867" s="43" t="n"/>
      <c r="B2867" s="44" t="n"/>
      <c r="C2867" s="38" t="n"/>
      <c r="D2867" s="38" t="n"/>
      <c r="E2867" s="37" t="n"/>
      <c r="F2867" s="38" t="n"/>
      <c r="G2867" s="38" t="n"/>
      <c r="H2867" s="38" t="n"/>
      <c r="I2867" s="38" t="n"/>
      <c r="J2867" s="38" t="n"/>
      <c r="K2867" s="37" t="n"/>
      <c r="L2867" s="39" t="n"/>
      <c r="M2867" s="40" t="n"/>
      <c r="N2867" s="30">
        <f>IF(A2867="","",MONTH(A2867))</f>
        <v/>
      </c>
      <c r="O2867" s="30">
        <f>IF(A2867="","",YEAR(A2867))</f>
        <v/>
      </c>
      <c r="P2867" s="30">
        <f>IF(A2867="","",CHOOSE(WEEKDAY(A2867,2),"Segunda","Terça","Quarta","Quinta","Sexta","Sábado","Domingo"))</f>
        <v/>
      </c>
      <c r="Q2867" s="30">
        <f>IF(B2867="","",IF(B2867&lt;TIME(12,0,0),"Manhã",IF(B2867&lt;TIME(18,0,0),"Tarde","Noite")))</f>
        <v/>
      </c>
      <c r="R2867" s="46">
        <f>IF(AND(H2867="Realizado",L2867&lt;&gt;"",A2867&lt;=Config!$B$9),L2867/60,0)</f>
        <v>0</v>
      </c>
      <c r="S2867" s="45">
        <f>IF(G2867="","",IFERROR(INDEX(Config!$K$5:$K$16,MATCH(G2867,Config!$J$5:$J$16,0)),""))</f>
        <v/>
      </c>
      <c r="T2867" s="31">
        <f>IF(OR(G2867="",F2867=""),"",IFERROR(INDEX(Config!$M$5:$R$16,MATCH(G2867,Config!$J$5:$J$16,0),MATCH(F2867,Config!$H$5:$H$10,0)),""))</f>
        <v/>
      </c>
      <c r="U2867" s="47">
        <f>IF(AND(H2867="Realizado",L2867&lt;&gt;""),L2867/60,0)</f>
        <v>0</v>
      </c>
      <c r="V2867" s="47">
        <f>IF(AND(H2867="Realizado",OR(L2867="",M2867="")),1,0)</f>
        <v>0</v>
      </c>
    </row>
    <row r="2868">
      <c r="A2868" s="43" t="n"/>
      <c r="B2868" s="44" t="n"/>
      <c r="C2868" s="38" t="n"/>
      <c r="D2868" s="38" t="n"/>
      <c r="E2868" s="37" t="n"/>
      <c r="F2868" s="38" t="n"/>
      <c r="G2868" s="38" t="n"/>
      <c r="H2868" s="38" t="n"/>
      <c r="I2868" s="38" t="n"/>
      <c r="J2868" s="38" t="n"/>
      <c r="K2868" s="37" t="n"/>
      <c r="L2868" s="39" t="n"/>
      <c r="M2868" s="40" t="n"/>
      <c r="N2868" s="30">
        <f>IF(A2868="","",MONTH(A2868))</f>
        <v/>
      </c>
      <c r="O2868" s="30">
        <f>IF(A2868="","",YEAR(A2868))</f>
        <v/>
      </c>
      <c r="P2868" s="30">
        <f>IF(A2868="","",CHOOSE(WEEKDAY(A2868,2),"Segunda","Terça","Quarta","Quinta","Sexta","Sábado","Domingo"))</f>
        <v/>
      </c>
      <c r="Q2868" s="30">
        <f>IF(B2868="","",IF(B2868&lt;TIME(12,0,0),"Manhã",IF(B2868&lt;TIME(18,0,0),"Tarde","Noite")))</f>
        <v/>
      </c>
      <c r="R2868" s="46">
        <f>IF(AND(H2868="Realizado",L2868&lt;&gt;"",A2868&lt;=Config!$B$9),L2868/60,0)</f>
        <v>0</v>
      </c>
      <c r="S2868" s="45">
        <f>IF(G2868="","",IFERROR(INDEX(Config!$K$5:$K$16,MATCH(G2868,Config!$J$5:$J$16,0)),""))</f>
        <v/>
      </c>
      <c r="T2868" s="31">
        <f>IF(OR(G2868="",F2868=""),"",IFERROR(INDEX(Config!$M$5:$R$16,MATCH(G2868,Config!$J$5:$J$16,0),MATCH(F2868,Config!$H$5:$H$10,0)),""))</f>
        <v/>
      </c>
      <c r="U2868" s="47">
        <f>IF(AND(H2868="Realizado",L2868&lt;&gt;""),L2868/60,0)</f>
        <v>0</v>
      </c>
      <c r="V2868" s="47">
        <f>IF(AND(H2868="Realizado",OR(L2868="",M2868="")),1,0)</f>
        <v>0</v>
      </c>
    </row>
    <row r="2869">
      <c r="A2869" s="43" t="n"/>
      <c r="B2869" s="44" t="n"/>
      <c r="C2869" s="38" t="n"/>
      <c r="D2869" s="38" t="n"/>
      <c r="E2869" s="37" t="n"/>
      <c r="F2869" s="38" t="n"/>
      <c r="G2869" s="38" t="n"/>
      <c r="H2869" s="38" t="n"/>
      <c r="I2869" s="38" t="n"/>
      <c r="J2869" s="38" t="n"/>
      <c r="K2869" s="37" t="n"/>
      <c r="L2869" s="39" t="n"/>
      <c r="M2869" s="40" t="n"/>
      <c r="N2869" s="30">
        <f>IF(A2869="","",MONTH(A2869))</f>
        <v/>
      </c>
      <c r="O2869" s="30">
        <f>IF(A2869="","",YEAR(A2869))</f>
        <v/>
      </c>
      <c r="P2869" s="30">
        <f>IF(A2869="","",CHOOSE(WEEKDAY(A2869,2),"Segunda","Terça","Quarta","Quinta","Sexta","Sábado","Domingo"))</f>
        <v/>
      </c>
      <c r="Q2869" s="30">
        <f>IF(B2869="","",IF(B2869&lt;TIME(12,0,0),"Manhã",IF(B2869&lt;TIME(18,0,0),"Tarde","Noite")))</f>
        <v/>
      </c>
      <c r="R2869" s="46">
        <f>IF(AND(H2869="Realizado",L2869&lt;&gt;"",A2869&lt;=Config!$B$9),L2869/60,0)</f>
        <v>0</v>
      </c>
      <c r="S2869" s="45">
        <f>IF(G2869="","",IFERROR(INDEX(Config!$K$5:$K$16,MATCH(G2869,Config!$J$5:$J$16,0)),""))</f>
        <v/>
      </c>
      <c r="T2869" s="31">
        <f>IF(OR(G2869="",F2869=""),"",IFERROR(INDEX(Config!$M$5:$R$16,MATCH(G2869,Config!$J$5:$J$16,0),MATCH(F2869,Config!$H$5:$H$10,0)),""))</f>
        <v/>
      </c>
      <c r="U2869" s="47">
        <f>IF(AND(H2869="Realizado",L2869&lt;&gt;""),L2869/60,0)</f>
        <v>0</v>
      </c>
      <c r="V2869" s="47">
        <f>IF(AND(H2869="Realizado",OR(L2869="",M2869="")),1,0)</f>
        <v>0</v>
      </c>
    </row>
    <row r="2870">
      <c r="A2870" s="43" t="n"/>
      <c r="B2870" s="44" t="n"/>
      <c r="C2870" s="38" t="n"/>
      <c r="D2870" s="38" t="n"/>
      <c r="E2870" s="37" t="n"/>
      <c r="F2870" s="38" t="n"/>
      <c r="G2870" s="38" t="n"/>
      <c r="H2870" s="38" t="n"/>
      <c r="I2870" s="38" t="n"/>
      <c r="J2870" s="38" t="n"/>
      <c r="K2870" s="37" t="n"/>
      <c r="L2870" s="39" t="n"/>
      <c r="M2870" s="40" t="n"/>
      <c r="N2870" s="30">
        <f>IF(A2870="","",MONTH(A2870))</f>
        <v/>
      </c>
      <c r="O2870" s="30">
        <f>IF(A2870="","",YEAR(A2870))</f>
        <v/>
      </c>
      <c r="P2870" s="30">
        <f>IF(A2870="","",CHOOSE(WEEKDAY(A2870,2),"Segunda","Terça","Quarta","Quinta","Sexta","Sábado","Domingo"))</f>
        <v/>
      </c>
      <c r="Q2870" s="30">
        <f>IF(B2870="","",IF(B2870&lt;TIME(12,0,0),"Manhã",IF(B2870&lt;TIME(18,0,0),"Tarde","Noite")))</f>
        <v/>
      </c>
      <c r="R2870" s="46">
        <f>IF(AND(H2870="Realizado",L2870&lt;&gt;"",A2870&lt;=Config!$B$9),L2870/60,0)</f>
        <v>0</v>
      </c>
      <c r="S2870" s="45">
        <f>IF(G2870="","",IFERROR(INDEX(Config!$K$5:$K$16,MATCH(G2870,Config!$J$5:$J$16,0)),""))</f>
        <v/>
      </c>
      <c r="T2870" s="31">
        <f>IF(OR(G2870="",F2870=""),"",IFERROR(INDEX(Config!$M$5:$R$16,MATCH(G2870,Config!$J$5:$J$16,0),MATCH(F2870,Config!$H$5:$H$10,0)),""))</f>
        <v/>
      </c>
      <c r="U2870" s="47">
        <f>IF(AND(H2870="Realizado",L2870&lt;&gt;""),L2870/60,0)</f>
        <v>0</v>
      </c>
      <c r="V2870" s="47">
        <f>IF(AND(H2870="Realizado",OR(L2870="",M2870="")),1,0)</f>
        <v>0</v>
      </c>
    </row>
    <row r="2871">
      <c r="A2871" s="43" t="n"/>
      <c r="B2871" s="44" t="n"/>
      <c r="C2871" s="38" t="n"/>
      <c r="D2871" s="38" t="n"/>
      <c r="E2871" s="37" t="n"/>
      <c r="F2871" s="38" t="n"/>
      <c r="G2871" s="38" t="n"/>
      <c r="H2871" s="38" t="n"/>
      <c r="I2871" s="38" t="n"/>
      <c r="J2871" s="38" t="n"/>
      <c r="K2871" s="37" t="n"/>
      <c r="L2871" s="39" t="n"/>
      <c r="M2871" s="40" t="n"/>
      <c r="N2871" s="30">
        <f>IF(A2871="","",MONTH(A2871))</f>
        <v/>
      </c>
      <c r="O2871" s="30">
        <f>IF(A2871="","",YEAR(A2871))</f>
        <v/>
      </c>
      <c r="P2871" s="30">
        <f>IF(A2871="","",CHOOSE(WEEKDAY(A2871,2),"Segunda","Terça","Quarta","Quinta","Sexta","Sábado","Domingo"))</f>
        <v/>
      </c>
      <c r="Q2871" s="30">
        <f>IF(B2871="","",IF(B2871&lt;TIME(12,0,0),"Manhã",IF(B2871&lt;TIME(18,0,0),"Tarde","Noite")))</f>
        <v/>
      </c>
      <c r="R2871" s="46">
        <f>IF(AND(H2871="Realizado",L2871&lt;&gt;"",A2871&lt;=Config!$B$9),L2871/60,0)</f>
        <v>0</v>
      </c>
      <c r="S2871" s="45">
        <f>IF(G2871="","",IFERROR(INDEX(Config!$K$5:$K$16,MATCH(G2871,Config!$J$5:$J$16,0)),""))</f>
        <v/>
      </c>
      <c r="T2871" s="31">
        <f>IF(OR(G2871="",F2871=""),"",IFERROR(INDEX(Config!$M$5:$R$16,MATCH(G2871,Config!$J$5:$J$16,0),MATCH(F2871,Config!$H$5:$H$10,0)),""))</f>
        <v/>
      </c>
      <c r="U2871" s="47">
        <f>IF(AND(H2871="Realizado",L2871&lt;&gt;""),L2871/60,0)</f>
        <v>0</v>
      </c>
      <c r="V2871" s="47">
        <f>IF(AND(H2871="Realizado",OR(L2871="",M2871="")),1,0)</f>
        <v>0</v>
      </c>
    </row>
    <row r="2872">
      <c r="A2872" s="43" t="n"/>
      <c r="B2872" s="44" t="n"/>
      <c r="C2872" s="38" t="n"/>
      <c r="D2872" s="38" t="n"/>
      <c r="E2872" s="37" t="n"/>
      <c r="F2872" s="38" t="n"/>
      <c r="G2872" s="38" t="n"/>
      <c r="H2872" s="38" t="n"/>
      <c r="I2872" s="38" t="n"/>
      <c r="J2872" s="38" t="n"/>
      <c r="K2872" s="37" t="n"/>
      <c r="L2872" s="39" t="n"/>
      <c r="M2872" s="40" t="n"/>
      <c r="N2872" s="30">
        <f>IF(A2872="","",MONTH(A2872))</f>
        <v/>
      </c>
      <c r="O2872" s="30">
        <f>IF(A2872="","",YEAR(A2872))</f>
        <v/>
      </c>
      <c r="P2872" s="30">
        <f>IF(A2872="","",CHOOSE(WEEKDAY(A2872,2),"Segunda","Terça","Quarta","Quinta","Sexta","Sábado","Domingo"))</f>
        <v/>
      </c>
      <c r="Q2872" s="30">
        <f>IF(B2872="","",IF(B2872&lt;TIME(12,0,0),"Manhã",IF(B2872&lt;TIME(18,0,0),"Tarde","Noite")))</f>
        <v/>
      </c>
      <c r="R2872" s="46">
        <f>IF(AND(H2872="Realizado",L2872&lt;&gt;"",A2872&lt;=Config!$B$9),L2872/60,0)</f>
        <v>0</v>
      </c>
      <c r="S2872" s="45">
        <f>IF(G2872="","",IFERROR(INDEX(Config!$K$5:$K$16,MATCH(G2872,Config!$J$5:$J$16,0)),""))</f>
        <v/>
      </c>
      <c r="T2872" s="31">
        <f>IF(OR(G2872="",F2872=""),"",IFERROR(INDEX(Config!$M$5:$R$16,MATCH(G2872,Config!$J$5:$J$16,0),MATCH(F2872,Config!$H$5:$H$10,0)),""))</f>
        <v/>
      </c>
      <c r="U2872" s="47">
        <f>IF(AND(H2872="Realizado",L2872&lt;&gt;""),L2872/60,0)</f>
        <v>0</v>
      </c>
      <c r="V2872" s="47">
        <f>IF(AND(H2872="Realizado",OR(L2872="",M2872="")),1,0)</f>
        <v>0</v>
      </c>
    </row>
    <row r="2873">
      <c r="A2873" s="43" t="n"/>
      <c r="B2873" s="44" t="n"/>
      <c r="C2873" s="38" t="n"/>
      <c r="D2873" s="38" t="n"/>
      <c r="E2873" s="37" t="n"/>
      <c r="F2873" s="38" t="n"/>
      <c r="G2873" s="38" t="n"/>
      <c r="H2873" s="38" t="n"/>
      <c r="I2873" s="38" t="n"/>
      <c r="J2873" s="38" t="n"/>
      <c r="K2873" s="37" t="n"/>
      <c r="L2873" s="39" t="n"/>
      <c r="M2873" s="40" t="n"/>
      <c r="N2873" s="30">
        <f>IF(A2873="","",MONTH(A2873))</f>
        <v/>
      </c>
      <c r="O2873" s="30">
        <f>IF(A2873="","",YEAR(A2873))</f>
        <v/>
      </c>
      <c r="P2873" s="30">
        <f>IF(A2873="","",CHOOSE(WEEKDAY(A2873,2),"Segunda","Terça","Quarta","Quinta","Sexta","Sábado","Domingo"))</f>
        <v/>
      </c>
      <c r="Q2873" s="30">
        <f>IF(B2873="","",IF(B2873&lt;TIME(12,0,0),"Manhã",IF(B2873&lt;TIME(18,0,0),"Tarde","Noite")))</f>
        <v/>
      </c>
      <c r="R2873" s="46">
        <f>IF(AND(H2873="Realizado",L2873&lt;&gt;"",A2873&lt;=Config!$B$9),L2873/60,0)</f>
        <v>0</v>
      </c>
      <c r="S2873" s="45">
        <f>IF(G2873="","",IFERROR(INDEX(Config!$K$5:$K$16,MATCH(G2873,Config!$J$5:$J$16,0)),""))</f>
        <v/>
      </c>
      <c r="T2873" s="31">
        <f>IF(OR(G2873="",F2873=""),"",IFERROR(INDEX(Config!$M$5:$R$16,MATCH(G2873,Config!$J$5:$J$16,0),MATCH(F2873,Config!$H$5:$H$10,0)),""))</f>
        <v/>
      </c>
      <c r="U2873" s="47">
        <f>IF(AND(H2873="Realizado",L2873&lt;&gt;""),L2873/60,0)</f>
        <v>0</v>
      </c>
      <c r="V2873" s="47">
        <f>IF(AND(H2873="Realizado",OR(L2873="",M2873="")),1,0)</f>
        <v>0</v>
      </c>
    </row>
    <row r="2874">
      <c r="A2874" s="43" t="n"/>
      <c r="B2874" s="44" t="n"/>
      <c r="C2874" s="38" t="n"/>
      <c r="D2874" s="38" t="n"/>
      <c r="E2874" s="37" t="n"/>
      <c r="F2874" s="38" t="n"/>
      <c r="G2874" s="38" t="n"/>
      <c r="H2874" s="38" t="n"/>
      <c r="I2874" s="38" t="n"/>
      <c r="J2874" s="38" t="n"/>
      <c r="K2874" s="37" t="n"/>
      <c r="L2874" s="39" t="n"/>
      <c r="M2874" s="40" t="n"/>
      <c r="N2874" s="30">
        <f>IF(A2874="","",MONTH(A2874))</f>
        <v/>
      </c>
      <c r="O2874" s="30">
        <f>IF(A2874="","",YEAR(A2874))</f>
        <v/>
      </c>
      <c r="P2874" s="30">
        <f>IF(A2874="","",CHOOSE(WEEKDAY(A2874,2),"Segunda","Terça","Quarta","Quinta","Sexta","Sábado","Domingo"))</f>
        <v/>
      </c>
      <c r="Q2874" s="30">
        <f>IF(B2874="","",IF(B2874&lt;TIME(12,0,0),"Manhã",IF(B2874&lt;TIME(18,0,0),"Tarde","Noite")))</f>
        <v/>
      </c>
      <c r="R2874" s="46">
        <f>IF(AND(H2874="Realizado",L2874&lt;&gt;"",A2874&lt;=Config!$B$9),L2874/60,0)</f>
        <v>0</v>
      </c>
      <c r="S2874" s="45">
        <f>IF(G2874="","",IFERROR(INDEX(Config!$K$5:$K$16,MATCH(G2874,Config!$J$5:$J$16,0)),""))</f>
        <v/>
      </c>
      <c r="T2874" s="31">
        <f>IF(OR(G2874="",F2874=""),"",IFERROR(INDEX(Config!$M$5:$R$16,MATCH(G2874,Config!$J$5:$J$16,0),MATCH(F2874,Config!$H$5:$H$10,0)),""))</f>
        <v/>
      </c>
      <c r="U2874" s="47">
        <f>IF(AND(H2874="Realizado",L2874&lt;&gt;""),L2874/60,0)</f>
        <v>0</v>
      </c>
      <c r="V2874" s="47">
        <f>IF(AND(H2874="Realizado",OR(L2874="",M2874="")),1,0)</f>
        <v>0</v>
      </c>
    </row>
    <row r="2875">
      <c r="A2875" s="43" t="n"/>
      <c r="B2875" s="44" t="n"/>
      <c r="C2875" s="38" t="n"/>
      <c r="D2875" s="38" t="n"/>
      <c r="E2875" s="37" t="n"/>
      <c r="F2875" s="38" t="n"/>
      <c r="G2875" s="38" t="n"/>
      <c r="H2875" s="38" t="n"/>
      <c r="I2875" s="38" t="n"/>
      <c r="J2875" s="38" t="n"/>
      <c r="K2875" s="37" t="n"/>
      <c r="L2875" s="39" t="n"/>
      <c r="M2875" s="40" t="n"/>
      <c r="N2875" s="30">
        <f>IF(A2875="","",MONTH(A2875))</f>
        <v/>
      </c>
      <c r="O2875" s="30">
        <f>IF(A2875="","",YEAR(A2875))</f>
        <v/>
      </c>
      <c r="P2875" s="30">
        <f>IF(A2875="","",CHOOSE(WEEKDAY(A2875,2),"Segunda","Terça","Quarta","Quinta","Sexta","Sábado","Domingo"))</f>
        <v/>
      </c>
      <c r="Q2875" s="30">
        <f>IF(B2875="","",IF(B2875&lt;TIME(12,0,0),"Manhã",IF(B2875&lt;TIME(18,0,0),"Tarde","Noite")))</f>
        <v/>
      </c>
      <c r="R2875" s="46">
        <f>IF(AND(H2875="Realizado",L2875&lt;&gt;"",A2875&lt;=Config!$B$9),L2875/60,0)</f>
        <v>0</v>
      </c>
      <c r="S2875" s="45">
        <f>IF(G2875="","",IFERROR(INDEX(Config!$K$5:$K$16,MATCH(G2875,Config!$J$5:$J$16,0)),""))</f>
        <v/>
      </c>
      <c r="T2875" s="31">
        <f>IF(OR(G2875="",F2875=""),"",IFERROR(INDEX(Config!$M$5:$R$16,MATCH(G2875,Config!$J$5:$J$16,0),MATCH(F2875,Config!$H$5:$H$10,0)),""))</f>
        <v/>
      </c>
      <c r="U2875" s="47">
        <f>IF(AND(H2875="Realizado",L2875&lt;&gt;""),L2875/60,0)</f>
        <v>0</v>
      </c>
      <c r="V2875" s="47">
        <f>IF(AND(H2875="Realizado",OR(L2875="",M2875="")),1,0)</f>
        <v>0</v>
      </c>
    </row>
    <row r="2876">
      <c r="A2876" s="43" t="n"/>
      <c r="B2876" s="44" t="n"/>
      <c r="C2876" s="38" t="n"/>
      <c r="D2876" s="38" t="n"/>
      <c r="E2876" s="37" t="n"/>
      <c r="F2876" s="38" t="n"/>
      <c r="G2876" s="38" t="n"/>
      <c r="H2876" s="38" t="n"/>
      <c r="I2876" s="38" t="n"/>
      <c r="J2876" s="38" t="n"/>
      <c r="K2876" s="37" t="n"/>
      <c r="L2876" s="39" t="n"/>
      <c r="M2876" s="40" t="n"/>
      <c r="N2876" s="30">
        <f>IF(A2876="","",MONTH(A2876))</f>
        <v/>
      </c>
      <c r="O2876" s="30">
        <f>IF(A2876="","",YEAR(A2876))</f>
        <v/>
      </c>
      <c r="P2876" s="30">
        <f>IF(A2876="","",CHOOSE(WEEKDAY(A2876,2),"Segunda","Terça","Quarta","Quinta","Sexta","Sábado","Domingo"))</f>
        <v/>
      </c>
      <c r="Q2876" s="30">
        <f>IF(B2876="","",IF(B2876&lt;TIME(12,0,0),"Manhã",IF(B2876&lt;TIME(18,0,0),"Tarde","Noite")))</f>
        <v/>
      </c>
      <c r="R2876" s="46">
        <f>IF(AND(H2876="Realizado",L2876&lt;&gt;"",A2876&lt;=Config!$B$9),L2876/60,0)</f>
        <v>0</v>
      </c>
      <c r="S2876" s="45">
        <f>IF(G2876="","",IFERROR(INDEX(Config!$K$5:$K$16,MATCH(G2876,Config!$J$5:$J$16,0)),""))</f>
        <v/>
      </c>
      <c r="T2876" s="31">
        <f>IF(OR(G2876="",F2876=""),"",IFERROR(INDEX(Config!$M$5:$R$16,MATCH(G2876,Config!$J$5:$J$16,0),MATCH(F2876,Config!$H$5:$H$10,0)),""))</f>
        <v/>
      </c>
      <c r="U2876" s="47">
        <f>IF(AND(H2876="Realizado",L2876&lt;&gt;""),L2876/60,0)</f>
        <v>0</v>
      </c>
      <c r="V2876" s="47">
        <f>IF(AND(H2876="Realizado",OR(L2876="",M2876="")),1,0)</f>
        <v>0</v>
      </c>
    </row>
    <row r="2877">
      <c r="A2877" s="43" t="n"/>
      <c r="B2877" s="44" t="n"/>
      <c r="C2877" s="38" t="n"/>
      <c r="D2877" s="38" t="n"/>
      <c r="E2877" s="37" t="n"/>
      <c r="F2877" s="38" t="n"/>
      <c r="G2877" s="38" t="n"/>
      <c r="H2877" s="38" t="n"/>
      <c r="I2877" s="38" t="n"/>
      <c r="J2877" s="38" t="n"/>
      <c r="K2877" s="37" t="n"/>
      <c r="L2877" s="39" t="n"/>
      <c r="M2877" s="40" t="n"/>
      <c r="N2877" s="30">
        <f>IF(A2877="","",MONTH(A2877))</f>
        <v/>
      </c>
      <c r="O2877" s="30">
        <f>IF(A2877="","",YEAR(A2877))</f>
        <v/>
      </c>
      <c r="P2877" s="30">
        <f>IF(A2877="","",CHOOSE(WEEKDAY(A2877,2),"Segunda","Terça","Quarta","Quinta","Sexta","Sábado","Domingo"))</f>
        <v/>
      </c>
      <c r="Q2877" s="30">
        <f>IF(B2877="","",IF(B2877&lt;TIME(12,0,0),"Manhã",IF(B2877&lt;TIME(18,0,0),"Tarde","Noite")))</f>
        <v/>
      </c>
      <c r="R2877" s="46">
        <f>IF(AND(H2877="Realizado",L2877&lt;&gt;"",A2877&lt;=Config!$B$9),L2877/60,0)</f>
        <v>0</v>
      </c>
      <c r="S2877" s="45">
        <f>IF(G2877="","",IFERROR(INDEX(Config!$K$5:$K$16,MATCH(G2877,Config!$J$5:$J$16,0)),""))</f>
        <v/>
      </c>
      <c r="T2877" s="31">
        <f>IF(OR(G2877="",F2877=""),"",IFERROR(INDEX(Config!$M$5:$R$16,MATCH(G2877,Config!$J$5:$J$16,0),MATCH(F2877,Config!$H$5:$H$10,0)),""))</f>
        <v/>
      </c>
      <c r="U2877" s="47">
        <f>IF(AND(H2877="Realizado",L2877&lt;&gt;""),L2877/60,0)</f>
        <v>0</v>
      </c>
      <c r="V2877" s="47">
        <f>IF(AND(H2877="Realizado",OR(L2877="",M2877="")),1,0)</f>
        <v>0</v>
      </c>
    </row>
    <row r="2878">
      <c r="A2878" s="43" t="n"/>
      <c r="B2878" s="44" t="n"/>
      <c r="C2878" s="38" t="n"/>
      <c r="D2878" s="38" t="n"/>
      <c r="E2878" s="37" t="n"/>
      <c r="F2878" s="38" t="n"/>
      <c r="G2878" s="38" t="n"/>
      <c r="H2878" s="38" t="n"/>
      <c r="I2878" s="38" t="n"/>
      <c r="J2878" s="38" t="n"/>
      <c r="K2878" s="37" t="n"/>
      <c r="L2878" s="39" t="n"/>
      <c r="M2878" s="40" t="n"/>
      <c r="N2878" s="30">
        <f>IF(A2878="","",MONTH(A2878))</f>
        <v/>
      </c>
      <c r="O2878" s="30">
        <f>IF(A2878="","",YEAR(A2878))</f>
        <v/>
      </c>
      <c r="P2878" s="30">
        <f>IF(A2878="","",CHOOSE(WEEKDAY(A2878,2),"Segunda","Terça","Quarta","Quinta","Sexta","Sábado","Domingo"))</f>
        <v/>
      </c>
      <c r="Q2878" s="30">
        <f>IF(B2878="","",IF(B2878&lt;TIME(12,0,0),"Manhã",IF(B2878&lt;TIME(18,0,0),"Tarde","Noite")))</f>
        <v/>
      </c>
      <c r="R2878" s="46">
        <f>IF(AND(H2878="Realizado",L2878&lt;&gt;"",A2878&lt;=Config!$B$9),L2878/60,0)</f>
        <v>0</v>
      </c>
      <c r="S2878" s="45">
        <f>IF(G2878="","",IFERROR(INDEX(Config!$K$5:$K$16,MATCH(G2878,Config!$J$5:$J$16,0)),""))</f>
        <v/>
      </c>
      <c r="T2878" s="31">
        <f>IF(OR(G2878="",F2878=""),"",IFERROR(INDEX(Config!$M$5:$R$16,MATCH(G2878,Config!$J$5:$J$16,0),MATCH(F2878,Config!$H$5:$H$10,0)),""))</f>
        <v/>
      </c>
      <c r="U2878" s="47">
        <f>IF(AND(H2878="Realizado",L2878&lt;&gt;""),L2878/60,0)</f>
        <v>0</v>
      </c>
      <c r="V2878" s="47">
        <f>IF(AND(H2878="Realizado",OR(L2878="",M2878="")),1,0)</f>
        <v>0</v>
      </c>
    </row>
    <row r="2879">
      <c r="A2879" s="43" t="n"/>
      <c r="B2879" s="44" t="n"/>
      <c r="C2879" s="38" t="n"/>
      <c r="D2879" s="38" t="n"/>
      <c r="E2879" s="37" t="n"/>
      <c r="F2879" s="38" t="n"/>
      <c r="G2879" s="38" t="n"/>
      <c r="H2879" s="38" t="n"/>
      <c r="I2879" s="38" t="n"/>
      <c r="J2879" s="38" t="n"/>
      <c r="K2879" s="37" t="n"/>
      <c r="L2879" s="39" t="n"/>
      <c r="M2879" s="40" t="n"/>
      <c r="N2879" s="30">
        <f>IF(A2879="","",MONTH(A2879))</f>
        <v/>
      </c>
      <c r="O2879" s="30">
        <f>IF(A2879="","",YEAR(A2879))</f>
        <v/>
      </c>
      <c r="P2879" s="30">
        <f>IF(A2879="","",CHOOSE(WEEKDAY(A2879,2),"Segunda","Terça","Quarta","Quinta","Sexta","Sábado","Domingo"))</f>
        <v/>
      </c>
      <c r="Q2879" s="30">
        <f>IF(B2879="","",IF(B2879&lt;TIME(12,0,0),"Manhã",IF(B2879&lt;TIME(18,0,0),"Tarde","Noite")))</f>
        <v/>
      </c>
      <c r="R2879" s="46">
        <f>IF(AND(H2879="Realizado",L2879&lt;&gt;"",A2879&lt;=Config!$B$9),L2879/60,0)</f>
        <v>0</v>
      </c>
      <c r="S2879" s="45">
        <f>IF(G2879="","",IFERROR(INDEX(Config!$K$5:$K$16,MATCH(G2879,Config!$J$5:$J$16,0)),""))</f>
        <v/>
      </c>
      <c r="T2879" s="31">
        <f>IF(OR(G2879="",F2879=""),"",IFERROR(INDEX(Config!$M$5:$R$16,MATCH(G2879,Config!$J$5:$J$16,0),MATCH(F2879,Config!$H$5:$H$10,0)),""))</f>
        <v/>
      </c>
      <c r="U2879" s="47">
        <f>IF(AND(H2879="Realizado",L2879&lt;&gt;""),L2879/60,0)</f>
        <v>0</v>
      </c>
      <c r="V2879" s="47">
        <f>IF(AND(H2879="Realizado",OR(L2879="",M2879="")),1,0)</f>
        <v>0</v>
      </c>
    </row>
    <row r="2880">
      <c r="A2880" s="43" t="n"/>
      <c r="B2880" s="44" t="n"/>
      <c r="C2880" s="38" t="n"/>
      <c r="D2880" s="38" t="n"/>
      <c r="E2880" s="37" t="n"/>
      <c r="F2880" s="38" t="n"/>
      <c r="G2880" s="38" t="n"/>
      <c r="H2880" s="38" t="n"/>
      <c r="I2880" s="38" t="n"/>
      <c r="J2880" s="38" t="n"/>
      <c r="K2880" s="37" t="n"/>
      <c r="L2880" s="39" t="n"/>
      <c r="M2880" s="40" t="n"/>
      <c r="N2880" s="30">
        <f>IF(A2880="","",MONTH(A2880))</f>
        <v/>
      </c>
      <c r="O2880" s="30">
        <f>IF(A2880="","",YEAR(A2880))</f>
        <v/>
      </c>
      <c r="P2880" s="30">
        <f>IF(A2880="","",CHOOSE(WEEKDAY(A2880,2),"Segunda","Terça","Quarta","Quinta","Sexta","Sábado","Domingo"))</f>
        <v/>
      </c>
      <c r="Q2880" s="30">
        <f>IF(B2880="","",IF(B2880&lt;TIME(12,0,0),"Manhã",IF(B2880&lt;TIME(18,0,0),"Tarde","Noite")))</f>
        <v/>
      </c>
      <c r="R2880" s="46">
        <f>IF(AND(H2880="Realizado",L2880&lt;&gt;"",A2880&lt;=Config!$B$9),L2880/60,0)</f>
        <v>0</v>
      </c>
      <c r="S2880" s="45">
        <f>IF(G2880="","",IFERROR(INDEX(Config!$K$5:$K$16,MATCH(G2880,Config!$J$5:$J$16,0)),""))</f>
        <v/>
      </c>
      <c r="T2880" s="31">
        <f>IF(OR(G2880="",F2880=""),"",IFERROR(INDEX(Config!$M$5:$R$16,MATCH(G2880,Config!$J$5:$J$16,0),MATCH(F2880,Config!$H$5:$H$10,0)),""))</f>
        <v/>
      </c>
      <c r="U2880" s="47">
        <f>IF(AND(H2880="Realizado",L2880&lt;&gt;""),L2880/60,0)</f>
        <v>0</v>
      </c>
      <c r="V2880" s="47">
        <f>IF(AND(H2880="Realizado",OR(L2880="",M2880="")),1,0)</f>
        <v>0</v>
      </c>
    </row>
    <row r="2881">
      <c r="A2881" s="43" t="n"/>
      <c r="B2881" s="44" t="n"/>
      <c r="C2881" s="38" t="n"/>
      <c r="D2881" s="38" t="n"/>
      <c r="E2881" s="37" t="n"/>
      <c r="F2881" s="38" t="n"/>
      <c r="G2881" s="38" t="n"/>
      <c r="H2881" s="38" t="n"/>
      <c r="I2881" s="38" t="n"/>
      <c r="J2881" s="38" t="n"/>
      <c r="K2881" s="37" t="n"/>
      <c r="L2881" s="39" t="n"/>
      <c r="M2881" s="40" t="n"/>
      <c r="N2881" s="30">
        <f>IF(A2881="","",MONTH(A2881))</f>
        <v/>
      </c>
      <c r="O2881" s="30">
        <f>IF(A2881="","",YEAR(A2881))</f>
        <v/>
      </c>
      <c r="P2881" s="30">
        <f>IF(A2881="","",CHOOSE(WEEKDAY(A2881,2),"Segunda","Terça","Quarta","Quinta","Sexta","Sábado","Domingo"))</f>
        <v/>
      </c>
      <c r="Q2881" s="30">
        <f>IF(B2881="","",IF(B2881&lt;TIME(12,0,0),"Manhã",IF(B2881&lt;TIME(18,0,0),"Tarde","Noite")))</f>
        <v/>
      </c>
      <c r="R2881" s="46">
        <f>IF(AND(H2881="Realizado",L2881&lt;&gt;"",A2881&lt;=Config!$B$9),L2881/60,0)</f>
        <v>0</v>
      </c>
      <c r="S2881" s="45">
        <f>IF(G2881="","",IFERROR(INDEX(Config!$K$5:$K$16,MATCH(G2881,Config!$J$5:$J$16,0)),""))</f>
        <v/>
      </c>
      <c r="T2881" s="31">
        <f>IF(OR(G2881="",F2881=""),"",IFERROR(INDEX(Config!$M$5:$R$16,MATCH(G2881,Config!$J$5:$J$16,0),MATCH(F2881,Config!$H$5:$H$10,0)),""))</f>
        <v/>
      </c>
      <c r="U2881" s="47">
        <f>IF(AND(H2881="Realizado",L2881&lt;&gt;""),L2881/60,0)</f>
        <v>0</v>
      </c>
      <c r="V2881" s="47">
        <f>IF(AND(H2881="Realizado",OR(L2881="",M2881="")),1,0)</f>
        <v>0</v>
      </c>
    </row>
    <row r="2882">
      <c r="A2882" s="43" t="n"/>
      <c r="B2882" s="44" t="n"/>
      <c r="C2882" s="38" t="n"/>
      <c r="D2882" s="38" t="n"/>
      <c r="E2882" s="37" t="n"/>
      <c r="F2882" s="38" t="n"/>
      <c r="G2882" s="38" t="n"/>
      <c r="H2882" s="38" t="n"/>
      <c r="I2882" s="38" t="n"/>
      <c r="J2882" s="38" t="n"/>
      <c r="K2882" s="37" t="n"/>
      <c r="L2882" s="39" t="n"/>
      <c r="M2882" s="40" t="n"/>
      <c r="N2882" s="30">
        <f>IF(A2882="","",MONTH(A2882))</f>
        <v/>
      </c>
      <c r="O2882" s="30">
        <f>IF(A2882="","",YEAR(A2882))</f>
        <v/>
      </c>
      <c r="P2882" s="30">
        <f>IF(A2882="","",CHOOSE(WEEKDAY(A2882,2),"Segunda","Terça","Quarta","Quinta","Sexta","Sábado","Domingo"))</f>
        <v/>
      </c>
      <c r="Q2882" s="30">
        <f>IF(B2882="","",IF(B2882&lt;TIME(12,0,0),"Manhã",IF(B2882&lt;TIME(18,0,0),"Tarde","Noite")))</f>
        <v/>
      </c>
      <c r="R2882" s="46">
        <f>IF(AND(H2882="Realizado",L2882&lt;&gt;"",A2882&lt;=Config!$B$9),L2882/60,0)</f>
        <v>0</v>
      </c>
      <c r="S2882" s="45">
        <f>IF(G2882="","",IFERROR(INDEX(Config!$K$5:$K$16,MATCH(G2882,Config!$J$5:$J$16,0)),""))</f>
        <v/>
      </c>
      <c r="T2882" s="31">
        <f>IF(OR(G2882="",F2882=""),"",IFERROR(INDEX(Config!$M$5:$R$16,MATCH(G2882,Config!$J$5:$J$16,0),MATCH(F2882,Config!$H$5:$H$10,0)),""))</f>
        <v/>
      </c>
      <c r="U2882" s="47">
        <f>IF(AND(H2882="Realizado",L2882&lt;&gt;""),L2882/60,0)</f>
        <v>0</v>
      </c>
      <c r="V2882" s="47">
        <f>IF(AND(H2882="Realizado",OR(L2882="",M2882="")),1,0)</f>
        <v>0</v>
      </c>
    </row>
    <row r="2883">
      <c r="A2883" s="43" t="n"/>
      <c r="B2883" s="44" t="n"/>
      <c r="C2883" s="38" t="n"/>
      <c r="D2883" s="38" t="n"/>
      <c r="E2883" s="37" t="n"/>
      <c r="F2883" s="38" t="n"/>
      <c r="G2883" s="38" t="n"/>
      <c r="H2883" s="38" t="n"/>
      <c r="I2883" s="38" t="n"/>
      <c r="J2883" s="38" t="n"/>
      <c r="K2883" s="37" t="n"/>
      <c r="L2883" s="39" t="n"/>
      <c r="M2883" s="40" t="n"/>
      <c r="N2883" s="30">
        <f>IF(A2883="","",MONTH(A2883))</f>
        <v/>
      </c>
      <c r="O2883" s="30">
        <f>IF(A2883="","",YEAR(A2883))</f>
        <v/>
      </c>
      <c r="P2883" s="30">
        <f>IF(A2883="","",CHOOSE(WEEKDAY(A2883,2),"Segunda","Terça","Quarta","Quinta","Sexta","Sábado","Domingo"))</f>
        <v/>
      </c>
      <c r="Q2883" s="30">
        <f>IF(B2883="","",IF(B2883&lt;TIME(12,0,0),"Manhã",IF(B2883&lt;TIME(18,0,0),"Tarde","Noite")))</f>
        <v/>
      </c>
      <c r="R2883" s="46">
        <f>IF(AND(H2883="Realizado",L2883&lt;&gt;"",A2883&lt;=Config!$B$9),L2883/60,0)</f>
        <v>0</v>
      </c>
      <c r="S2883" s="45">
        <f>IF(G2883="","",IFERROR(INDEX(Config!$K$5:$K$16,MATCH(G2883,Config!$J$5:$J$16,0)),""))</f>
        <v/>
      </c>
      <c r="T2883" s="31">
        <f>IF(OR(G2883="",F2883=""),"",IFERROR(INDEX(Config!$M$5:$R$16,MATCH(G2883,Config!$J$5:$J$16,0),MATCH(F2883,Config!$H$5:$H$10,0)),""))</f>
        <v/>
      </c>
      <c r="U2883" s="47">
        <f>IF(AND(H2883="Realizado",L2883&lt;&gt;""),L2883/60,0)</f>
        <v>0</v>
      </c>
      <c r="V2883" s="47">
        <f>IF(AND(H2883="Realizado",OR(L2883="",M2883="")),1,0)</f>
        <v>0</v>
      </c>
    </row>
    <row r="2884">
      <c r="A2884" s="43" t="n"/>
      <c r="B2884" s="44" t="n"/>
      <c r="C2884" s="38" t="n"/>
      <c r="D2884" s="38" t="n"/>
      <c r="E2884" s="37" t="n"/>
      <c r="F2884" s="38" t="n"/>
      <c r="G2884" s="38" t="n"/>
      <c r="H2884" s="38" t="n"/>
      <c r="I2884" s="38" t="n"/>
      <c r="J2884" s="38" t="n"/>
      <c r="K2884" s="37" t="n"/>
      <c r="L2884" s="39" t="n"/>
      <c r="M2884" s="40" t="n"/>
      <c r="N2884" s="30">
        <f>IF(A2884="","",MONTH(A2884))</f>
        <v/>
      </c>
      <c r="O2884" s="30">
        <f>IF(A2884="","",YEAR(A2884))</f>
        <v/>
      </c>
      <c r="P2884" s="30">
        <f>IF(A2884="","",CHOOSE(WEEKDAY(A2884,2),"Segunda","Terça","Quarta","Quinta","Sexta","Sábado","Domingo"))</f>
        <v/>
      </c>
      <c r="Q2884" s="30">
        <f>IF(B2884="","",IF(B2884&lt;TIME(12,0,0),"Manhã",IF(B2884&lt;TIME(18,0,0),"Tarde","Noite")))</f>
        <v/>
      </c>
      <c r="R2884" s="46">
        <f>IF(AND(H2884="Realizado",L2884&lt;&gt;"",A2884&lt;=Config!$B$9),L2884/60,0)</f>
        <v>0</v>
      </c>
      <c r="S2884" s="45">
        <f>IF(G2884="","",IFERROR(INDEX(Config!$K$5:$K$16,MATCH(G2884,Config!$J$5:$J$16,0)),""))</f>
        <v/>
      </c>
      <c r="T2884" s="31">
        <f>IF(OR(G2884="",F2884=""),"",IFERROR(INDEX(Config!$M$5:$R$16,MATCH(G2884,Config!$J$5:$J$16,0),MATCH(F2884,Config!$H$5:$H$10,0)),""))</f>
        <v/>
      </c>
      <c r="U2884" s="47">
        <f>IF(AND(H2884="Realizado",L2884&lt;&gt;""),L2884/60,0)</f>
        <v>0</v>
      </c>
      <c r="V2884" s="47">
        <f>IF(AND(H2884="Realizado",OR(L2884="",M2884="")),1,0)</f>
        <v>0</v>
      </c>
    </row>
    <row r="2885">
      <c r="A2885" s="43" t="n"/>
      <c r="B2885" s="44" t="n"/>
      <c r="C2885" s="38" t="n"/>
      <c r="D2885" s="38" t="n"/>
      <c r="E2885" s="37" t="n"/>
      <c r="F2885" s="38" t="n"/>
      <c r="G2885" s="38" t="n"/>
      <c r="H2885" s="38" t="n"/>
      <c r="I2885" s="38" t="n"/>
      <c r="J2885" s="38" t="n"/>
      <c r="K2885" s="37" t="n"/>
      <c r="L2885" s="39" t="n"/>
      <c r="M2885" s="40" t="n"/>
      <c r="N2885" s="30">
        <f>IF(A2885="","",MONTH(A2885))</f>
        <v/>
      </c>
      <c r="O2885" s="30">
        <f>IF(A2885="","",YEAR(A2885))</f>
        <v/>
      </c>
      <c r="P2885" s="30">
        <f>IF(A2885="","",CHOOSE(WEEKDAY(A2885,2),"Segunda","Terça","Quarta","Quinta","Sexta","Sábado","Domingo"))</f>
        <v/>
      </c>
      <c r="Q2885" s="30">
        <f>IF(B2885="","",IF(B2885&lt;TIME(12,0,0),"Manhã",IF(B2885&lt;TIME(18,0,0),"Tarde","Noite")))</f>
        <v/>
      </c>
      <c r="R2885" s="46">
        <f>IF(AND(H2885="Realizado",L2885&lt;&gt;"",A2885&lt;=Config!$B$9),L2885/60,0)</f>
        <v>0</v>
      </c>
      <c r="S2885" s="45">
        <f>IF(G2885="","",IFERROR(INDEX(Config!$K$5:$K$16,MATCH(G2885,Config!$J$5:$J$16,0)),""))</f>
        <v/>
      </c>
      <c r="T2885" s="31">
        <f>IF(OR(G2885="",F2885=""),"",IFERROR(INDEX(Config!$M$5:$R$16,MATCH(G2885,Config!$J$5:$J$16,0),MATCH(F2885,Config!$H$5:$H$10,0)),""))</f>
        <v/>
      </c>
      <c r="U2885" s="47">
        <f>IF(AND(H2885="Realizado",L2885&lt;&gt;""),L2885/60,0)</f>
        <v>0</v>
      </c>
      <c r="V2885" s="47">
        <f>IF(AND(H2885="Realizado",OR(L2885="",M2885="")),1,0)</f>
        <v>0</v>
      </c>
    </row>
    <row r="2886">
      <c r="A2886" s="43" t="n"/>
      <c r="B2886" s="44" t="n"/>
      <c r="C2886" s="38" t="n"/>
      <c r="D2886" s="38" t="n"/>
      <c r="E2886" s="37" t="n"/>
      <c r="F2886" s="38" t="n"/>
      <c r="G2886" s="38" t="n"/>
      <c r="H2886" s="38" t="n"/>
      <c r="I2886" s="38" t="n"/>
      <c r="J2886" s="38" t="n"/>
      <c r="K2886" s="37" t="n"/>
      <c r="L2886" s="39" t="n"/>
      <c r="M2886" s="40" t="n"/>
      <c r="N2886" s="30">
        <f>IF(A2886="","",MONTH(A2886))</f>
        <v/>
      </c>
      <c r="O2886" s="30">
        <f>IF(A2886="","",YEAR(A2886))</f>
        <v/>
      </c>
      <c r="P2886" s="30">
        <f>IF(A2886="","",CHOOSE(WEEKDAY(A2886,2),"Segunda","Terça","Quarta","Quinta","Sexta","Sábado","Domingo"))</f>
        <v/>
      </c>
      <c r="Q2886" s="30">
        <f>IF(B2886="","",IF(B2886&lt;TIME(12,0,0),"Manhã",IF(B2886&lt;TIME(18,0,0),"Tarde","Noite")))</f>
        <v/>
      </c>
      <c r="R2886" s="46">
        <f>IF(AND(H2886="Realizado",L2886&lt;&gt;"",A2886&lt;=Config!$B$9),L2886/60,0)</f>
        <v>0</v>
      </c>
      <c r="S2886" s="45">
        <f>IF(G2886="","",IFERROR(INDEX(Config!$K$5:$K$16,MATCH(G2886,Config!$J$5:$J$16,0)),""))</f>
        <v/>
      </c>
      <c r="T2886" s="31">
        <f>IF(OR(G2886="",F2886=""),"",IFERROR(INDEX(Config!$M$5:$R$16,MATCH(G2886,Config!$J$5:$J$16,0),MATCH(F2886,Config!$H$5:$H$10,0)),""))</f>
        <v/>
      </c>
      <c r="U2886" s="47">
        <f>IF(AND(H2886="Realizado",L2886&lt;&gt;""),L2886/60,0)</f>
        <v>0</v>
      </c>
      <c r="V2886" s="47">
        <f>IF(AND(H2886="Realizado",OR(L2886="",M2886="")),1,0)</f>
        <v>0</v>
      </c>
    </row>
    <row r="2887">
      <c r="A2887" s="43" t="n"/>
      <c r="B2887" s="44" t="n"/>
      <c r="C2887" s="38" t="n"/>
      <c r="D2887" s="38" t="n"/>
      <c r="E2887" s="37" t="n"/>
      <c r="F2887" s="38" t="n"/>
      <c r="G2887" s="38" t="n"/>
      <c r="H2887" s="38" t="n"/>
      <c r="I2887" s="38" t="n"/>
      <c r="J2887" s="38" t="n"/>
      <c r="K2887" s="37" t="n"/>
      <c r="L2887" s="39" t="n"/>
      <c r="M2887" s="40" t="n"/>
      <c r="N2887" s="30">
        <f>IF(A2887="","",MONTH(A2887))</f>
        <v/>
      </c>
      <c r="O2887" s="30">
        <f>IF(A2887="","",YEAR(A2887))</f>
        <v/>
      </c>
      <c r="P2887" s="30">
        <f>IF(A2887="","",CHOOSE(WEEKDAY(A2887,2),"Segunda","Terça","Quarta","Quinta","Sexta","Sábado","Domingo"))</f>
        <v/>
      </c>
      <c r="Q2887" s="30">
        <f>IF(B2887="","",IF(B2887&lt;TIME(12,0,0),"Manhã",IF(B2887&lt;TIME(18,0,0),"Tarde","Noite")))</f>
        <v/>
      </c>
      <c r="R2887" s="46">
        <f>IF(AND(H2887="Realizado",L2887&lt;&gt;"",A2887&lt;=Config!$B$9),L2887/60,0)</f>
        <v>0</v>
      </c>
      <c r="S2887" s="45">
        <f>IF(G2887="","",IFERROR(INDEX(Config!$K$5:$K$16,MATCH(G2887,Config!$J$5:$J$16,0)),""))</f>
        <v/>
      </c>
      <c r="T2887" s="31">
        <f>IF(OR(G2887="",F2887=""),"",IFERROR(INDEX(Config!$M$5:$R$16,MATCH(G2887,Config!$J$5:$J$16,0),MATCH(F2887,Config!$H$5:$H$10,0)),""))</f>
        <v/>
      </c>
      <c r="U2887" s="47">
        <f>IF(AND(H2887="Realizado",L2887&lt;&gt;""),L2887/60,0)</f>
        <v>0</v>
      </c>
      <c r="V2887" s="47">
        <f>IF(AND(H2887="Realizado",OR(L2887="",M2887="")),1,0)</f>
        <v>0</v>
      </c>
    </row>
    <row r="2888">
      <c r="A2888" s="43" t="n"/>
      <c r="B2888" s="44" t="n"/>
      <c r="C2888" s="38" t="n"/>
      <c r="D2888" s="38" t="n"/>
      <c r="E2888" s="37" t="n"/>
      <c r="F2888" s="38" t="n"/>
      <c r="G2888" s="38" t="n"/>
      <c r="H2888" s="38" t="n"/>
      <c r="I2888" s="38" t="n"/>
      <c r="J2888" s="38" t="n"/>
      <c r="K2888" s="37" t="n"/>
      <c r="L2888" s="39" t="n"/>
      <c r="M2888" s="40" t="n"/>
      <c r="N2888" s="30">
        <f>IF(A2888="","",MONTH(A2888))</f>
        <v/>
      </c>
      <c r="O2888" s="30">
        <f>IF(A2888="","",YEAR(A2888))</f>
        <v/>
      </c>
      <c r="P2888" s="30">
        <f>IF(A2888="","",CHOOSE(WEEKDAY(A2888,2),"Segunda","Terça","Quarta","Quinta","Sexta","Sábado","Domingo"))</f>
        <v/>
      </c>
      <c r="Q2888" s="30">
        <f>IF(B2888="","",IF(B2888&lt;TIME(12,0,0),"Manhã",IF(B2888&lt;TIME(18,0,0),"Tarde","Noite")))</f>
        <v/>
      </c>
      <c r="R2888" s="46">
        <f>IF(AND(H2888="Realizado",L2888&lt;&gt;"",A2888&lt;=Config!$B$9),L2888/60,0)</f>
        <v>0</v>
      </c>
      <c r="S2888" s="45">
        <f>IF(G2888="","",IFERROR(INDEX(Config!$K$5:$K$16,MATCH(G2888,Config!$J$5:$J$16,0)),""))</f>
        <v/>
      </c>
      <c r="T2888" s="31">
        <f>IF(OR(G2888="",F2888=""),"",IFERROR(INDEX(Config!$M$5:$R$16,MATCH(G2888,Config!$J$5:$J$16,0),MATCH(F2888,Config!$H$5:$H$10,0)),""))</f>
        <v/>
      </c>
      <c r="U2888" s="47">
        <f>IF(AND(H2888="Realizado",L2888&lt;&gt;""),L2888/60,0)</f>
        <v>0</v>
      </c>
      <c r="V2888" s="47">
        <f>IF(AND(H2888="Realizado",OR(L2888="",M2888="")),1,0)</f>
        <v>0</v>
      </c>
    </row>
    <row r="2889">
      <c r="A2889" s="43" t="n"/>
      <c r="B2889" s="44" t="n"/>
      <c r="C2889" s="38" t="n"/>
      <c r="D2889" s="38" t="n"/>
      <c r="E2889" s="37" t="n"/>
      <c r="F2889" s="38" t="n"/>
      <c r="G2889" s="38" t="n"/>
      <c r="H2889" s="38" t="n"/>
      <c r="I2889" s="38" t="n"/>
      <c r="J2889" s="38" t="n"/>
      <c r="K2889" s="37" t="n"/>
      <c r="L2889" s="39" t="n"/>
      <c r="M2889" s="40" t="n"/>
      <c r="N2889" s="30">
        <f>IF(A2889="","",MONTH(A2889))</f>
        <v/>
      </c>
      <c r="O2889" s="30">
        <f>IF(A2889="","",YEAR(A2889))</f>
        <v/>
      </c>
      <c r="P2889" s="30">
        <f>IF(A2889="","",CHOOSE(WEEKDAY(A2889,2),"Segunda","Terça","Quarta","Quinta","Sexta","Sábado","Domingo"))</f>
        <v/>
      </c>
      <c r="Q2889" s="30">
        <f>IF(B2889="","",IF(B2889&lt;TIME(12,0,0),"Manhã",IF(B2889&lt;TIME(18,0,0),"Tarde","Noite")))</f>
        <v/>
      </c>
      <c r="R2889" s="46">
        <f>IF(AND(H2889="Realizado",L2889&lt;&gt;"",A2889&lt;=Config!$B$9),L2889/60,0)</f>
        <v>0</v>
      </c>
      <c r="S2889" s="45">
        <f>IF(G2889="","",IFERROR(INDEX(Config!$K$5:$K$16,MATCH(G2889,Config!$J$5:$J$16,0)),""))</f>
        <v/>
      </c>
      <c r="T2889" s="31">
        <f>IF(OR(G2889="",F2889=""),"",IFERROR(INDEX(Config!$M$5:$R$16,MATCH(G2889,Config!$J$5:$J$16,0),MATCH(F2889,Config!$H$5:$H$10,0)),""))</f>
        <v/>
      </c>
      <c r="U2889" s="47">
        <f>IF(AND(H2889="Realizado",L2889&lt;&gt;""),L2889/60,0)</f>
        <v>0</v>
      </c>
      <c r="V2889" s="47">
        <f>IF(AND(H2889="Realizado",OR(L2889="",M2889="")),1,0)</f>
        <v>0</v>
      </c>
    </row>
    <row r="2890">
      <c r="A2890" s="43" t="n"/>
      <c r="B2890" s="44" t="n"/>
      <c r="C2890" s="38" t="n"/>
      <c r="D2890" s="38" t="n"/>
      <c r="E2890" s="37" t="n"/>
      <c r="F2890" s="38" t="n"/>
      <c r="G2890" s="38" t="n"/>
      <c r="H2890" s="38" t="n"/>
      <c r="I2890" s="38" t="n"/>
      <c r="J2890" s="38" t="n"/>
      <c r="K2890" s="37" t="n"/>
      <c r="L2890" s="39" t="n"/>
      <c r="M2890" s="40" t="n"/>
      <c r="N2890" s="30">
        <f>IF(A2890="","",MONTH(A2890))</f>
        <v/>
      </c>
      <c r="O2890" s="30">
        <f>IF(A2890="","",YEAR(A2890))</f>
        <v/>
      </c>
      <c r="P2890" s="30">
        <f>IF(A2890="","",CHOOSE(WEEKDAY(A2890,2),"Segunda","Terça","Quarta","Quinta","Sexta","Sábado","Domingo"))</f>
        <v/>
      </c>
      <c r="Q2890" s="30">
        <f>IF(B2890="","",IF(B2890&lt;TIME(12,0,0),"Manhã",IF(B2890&lt;TIME(18,0,0),"Tarde","Noite")))</f>
        <v/>
      </c>
      <c r="R2890" s="46">
        <f>IF(AND(H2890="Realizado",L2890&lt;&gt;"",A2890&lt;=Config!$B$9),L2890/60,0)</f>
        <v>0</v>
      </c>
      <c r="S2890" s="45">
        <f>IF(G2890="","",IFERROR(INDEX(Config!$K$5:$K$16,MATCH(G2890,Config!$J$5:$J$16,0)),""))</f>
        <v/>
      </c>
      <c r="T2890" s="31">
        <f>IF(OR(G2890="",F2890=""),"",IFERROR(INDEX(Config!$M$5:$R$16,MATCH(G2890,Config!$J$5:$J$16,0),MATCH(F2890,Config!$H$5:$H$10,0)),""))</f>
        <v/>
      </c>
      <c r="U2890" s="47">
        <f>IF(AND(H2890="Realizado",L2890&lt;&gt;""),L2890/60,0)</f>
        <v>0</v>
      </c>
      <c r="V2890" s="47">
        <f>IF(AND(H2890="Realizado",OR(L2890="",M2890="")),1,0)</f>
        <v>0</v>
      </c>
    </row>
    <row r="2891">
      <c r="A2891" s="43" t="n"/>
      <c r="B2891" s="44" t="n"/>
      <c r="C2891" s="38" t="n"/>
      <c r="D2891" s="38" t="n"/>
      <c r="E2891" s="37" t="n"/>
      <c r="F2891" s="38" t="n"/>
      <c r="G2891" s="38" t="n"/>
      <c r="H2891" s="38" t="n"/>
      <c r="I2891" s="38" t="n"/>
      <c r="J2891" s="38" t="n"/>
      <c r="K2891" s="37" t="n"/>
      <c r="L2891" s="39" t="n"/>
      <c r="M2891" s="40" t="n"/>
      <c r="N2891" s="30">
        <f>IF(A2891="","",MONTH(A2891))</f>
        <v/>
      </c>
      <c r="O2891" s="30">
        <f>IF(A2891="","",YEAR(A2891))</f>
        <v/>
      </c>
      <c r="P2891" s="30">
        <f>IF(A2891="","",CHOOSE(WEEKDAY(A2891,2),"Segunda","Terça","Quarta","Quinta","Sexta","Sábado","Domingo"))</f>
        <v/>
      </c>
      <c r="Q2891" s="30">
        <f>IF(B2891="","",IF(B2891&lt;TIME(12,0,0),"Manhã",IF(B2891&lt;TIME(18,0,0),"Tarde","Noite")))</f>
        <v/>
      </c>
      <c r="R2891" s="46">
        <f>IF(AND(H2891="Realizado",L2891&lt;&gt;"",A2891&lt;=Config!$B$9),L2891/60,0)</f>
        <v>0</v>
      </c>
      <c r="S2891" s="45">
        <f>IF(G2891="","",IFERROR(INDEX(Config!$K$5:$K$16,MATCH(G2891,Config!$J$5:$J$16,0)),""))</f>
        <v/>
      </c>
      <c r="T2891" s="31">
        <f>IF(OR(G2891="",F2891=""),"",IFERROR(INDEX(Config!$M$5:$R$16,MATCH(G2891,Config!$J$5:$J$16,0),MATCH(F2891,Config!$H$5:$H$10,0)),""))</f>
        <v/>
      </c>
      <c r="U2891" s="47">
        <f>IF(AND(H2891="Realizado",L2891&lt;&gt;""),L2891/60,0)</f>
        <v>0</v>
      </c>
      <c r="V2891" s="47">
        <f>IF(AND(H2891="Realizado",OR(L2891="",M2891="")),1,0)</f>
        <v>0</v>
      </c>
    </row>
    <row r="2892">
      <c r="A2892" s="43" t="n"/>
      <c r="B2892" s="44" t="n"/>
      <c r="C2892" s="38" t="n"/>
      <c r="D2892" s="38" t="n"/>
      <c r="E2892" s="37" t="n"/>
      <c r="F2892" s="38" t="n"/>
      <c r="G2892" s="38" t="n"/>
      <c r="H2892" s="38" t="n"/>
      <c r="I2892" s="38" t="n"/>
      <c r="J2892" s="38" t="n"/>
      <c r="K2892" s="37" t="n"/>
      <c r="L2892" s="39" t="n"/>
      <c r="M2892" s="40" t="n"/>
      <c r="N2892" s="30">
        <f>IF(A2892="","",MONTH(A2892))</f>
        <v/>
      </c>
      <c r="O2892" s="30">
        <f>IF(A2892="","",YEAR(A2892))</f>
        <v/>
      </c>
      <c r="P2892" s="30">
        <f>IF(A2892="","",CHOOSE(WEEKDAY(A2892,2),"Segunda","Terça","Quarta","Quinta","Sexta","Sábado","Domingo"))</f>
        <v/>
      </c>
      <c r="Q2892" s="30">
        <f>IF(B2892="","",IF(B2892&lt;TIME(12,0,0),"Manhã",IF(B2892&lt;TIME(18,0,0),"Tarde","Noite")))</f>
        <v/>
      </c>
      <c r="R2892" s="46">
        <f>IF(AND(H2892="Realizado",L2892&lt;&gt;"",A2892&lt;=Config!$B$9),L2892/60,0)</f>
        <v>0</v>
      </c>
      <c r="S2892" s="45">
        <f>IF(G2892="","",IFERROR(INDEX(Config!$K$5:$K$16,MATCH(G2892,Config!$J$5:$J$16,0)),""))</f>
        <v/>
      </c>
      <c r="T2892" s="31">
        <f>IF(OR(G2892="",F2892=""),"",IFERROR(INDEX(Config!$M$5:$R$16,MATCH(G2892,Config!$J$5:$J$16,0),MATCH(F2892,Config!$H$5:$H$10,0)),""))</f>
        <v/>
      </c>
      <c r="U2892" s="47">
        <f>IF(AND(H2892="Realizado",L2892&lt;&gt;""),L2892/60,0)</f>
        <v>0</v>
      </c>
      <c r="V2892" s="47">
        <f>IF(AND(H2892="Realizado",OR(L2892="",M2892="")),1,0)</f>
        <v>0</v>
      </c>
    </row>
    <row r="2893">
      <c r="A2893" s="43" t="n"/>
      <c r="B2893" s="44" t="n"/>
      <c r="C2893" s="38" t="n"/>
      <c r="D2893" s="38" t="n"/>
      <c r="E2893" s="37" t="n"/>
      <c r="F2893" s="38" t="n"/>
      <c r="G2893" s="38" t="n"/>
      <c r="H2893" s="38" t="n"/>
      <c r="I2893" s="38" t="n"/>
      <c r="J2893" s="38" t="n"/>
      <c r="K2893" s="37" t="n"/>
      <c r="L2893" s="39" t="n"/>
      <c r="M2893" s="40" t="n"/>
      <c r="N2893" s="30">
        <f>IF(A2893="","",MONTH(A2893))</f>
        <v/>
      </c>
      <c r="O2893" s="30">
        <f>IF(A2893="","",YEAR(A2893))</f>
        <v/>
      </c>
      <c r="P2893" s="30">
        <f>IF(A2893="","",CHOOSE(WEEKDAY(A2893,2),"Segunda","Terça","Quarta","Quinta","Sexta","Sábado","Domingo"))</f>
        <v/>
      </c>
      <c r="Q2893" s="30">
        <f>IF(B2893="","",IF(B2893&lt;TIME(12,0,0),"Manhã",IF(B2893&lt;TIME(18,0,0),"Tarde","Noite")))</f>
        <v/>
      </c>
      <c r="R2893" s="46">
        <f>IF(AND(H2893="Realizado",L2893&lt;&gt;"",A2893&lt;=Config!$B$9),L2893/60,0)</f>
        <v>0</v>
      </c>
      <c r="S2893" s="45">
        <f>IF(G2893="","",IFERROR(INDEX(Config!$K$5:$K$16,MATCH(G2893,Config!$J$5:$J$16,0)),""))</f>
        <v/>
      </c>
      <c r="T2893" s="31">
        <f>IF(OR(G2893="",F2893=""),"",IFERROR(INDEX(Config!$M$5:$R$16,MATCH(G2893,Config!$J$5:$J$16,0),MATCH(F2893,Config!$H$5:$H$10,0)),""))</f>
        <v/>
      </c>
      <c r="U2893" s="47">
        <f>IF(AND(H2893="Realizado",L2893&lt;&gt;""),L2893/60,0)</f>
        <v>0</v>
      </c>
      <c r="V2893" s="47">
        <f>IF(AND(H2893="Realizado",OR(L2893="",M2893="")),1,0)</f>
        <v>0</v>
      </c>
    </row>
    <row r="2894">
      <c r="A2894" s="43" t="n"/>
      <c r="B2894" s="44" t="n"/>
      <c r="C2894" s="38" t="n"/>
      <c r="D2894" s="38" t="n"/>
      <c r="E2894" s="37" t="n"/>
      <c r="F2894" s="38" t="n"/>
      <c r="G2894" s="38" t="n"/>
      <c r="H2894" s="38" t="n"/>
      <c r="I2894" s="38" t="n"/>
      <c r="J2894" s="38" t="n"/>
      <c r="K2894" s="37" t="n"/>
      <c r="L2894" s="39" t="n"/>
      <c r="M2894" s="40" t="n"/>
      <c r="N2894" s="30">
        <f>IF(A2894="","",MONTH(A2894))</f>
        <v/>
      </c>
      <c r="O2894" s="30">
        <f>IF(A2894="","",YEAR(A2894))</f>
        <v/>
      </c>
      <c r="P2894" s="30">
        <f>IF(A2894="","",CHOOSE(WEEKDAY(A2894,2),"Segunda","Terça","Quarta","Quinta","Sexta","Sábado","Domingo"))</f>
        <v/>
      </c>
      <c r="Q2894" s="30">
        <f>IF(B2894="","",IF(B2894&lt;TIME(12,0,0),"Manhã",IF(B2894&lt;TIME(18,0,0),"Tarde","Noite")))</f>
        <v/>
      </c>
      <c r="R2894" s="46">
        <f>IF(AND(H2894="Realizado",L2894&lt;&gt;"",A2894&lt;=Config!$B$9),L2894/60,0)</f>
        <v>0</v>
      </c>
      <c r="S2894" s="45">
        <f>IF(G2894="","",IFERROR(INDEX(Config!$K$5:$K$16,MATCH(G2894,Config!$J$5:$J$16,0)),""))</f>
        <v/>
      </c>
      <c r="T2894" s="31">
        <f>IF(OR(G2894="",F2894=""),"",IFERROR(INDEX(Config!$M$5:$R$16,MATCH(G2894,Config!$J$5:$J$16,0),MATCH(F2894,Config!$H$5:$H$10,0)),""))</f>
        <v/>
      </c>
      <c r="U2894" s="47">
        <f>IF(AND(H2894="Realizado",L2894&lt;&gt;""),L2894/60,0)</f>
        <v>0</v>
      </c>
      <c r="V2894" s="47">
        <f>IF(AND(H2894="Realizado",OR(L2894="",M2894="")),1,0)</f>
        <v>0</v>
      </c>
    </row>
    <row r="2895">
      <c r="A2895" s="43" t="n"/>
      <c r="B2895" s="44" t="n"/>
      <c r="C2895" s="38" t="n"/>
      <c r="D2895" s="38" t="n"/>
      <c r="E2895" s="37" t="n"/>
      <c r="F2895" s="38" t="n"/>
      <c r="G2895" s="38" t="n"/>
      <c r="H2895" s="38" t="n"/>
      <c r="I2895" s="38" t="n"/>
      <c r="J2895" s="38" t="n"/>
      <c r="K2895" s="37" t="n"/>
      <c r="L2895" s="39" t="n"/>
      <c r="M2895" s="40" t="n"/>
      <c r="N2895" s="30">
        <f>IF(A2895="","",MONTH(A2895))</f>
        <v/>
      </c>
      <c r="O2895" s="30">
        <f>IF(A2895="","",YEAR(A2895))</f>
        <v/>
      </c>
      <c r="P2895" s="30">
        <f>IF(A2895="","",CHOOSE(WEEKDAY(A2895,2),"Segunda","Terça","Quarta","Quinta","Sexta","Sábado","Domingo"))</f>
        <v/>
      </c>
      <c r="Q2895" s="30">
        <f>IF(B2895="","",IF(B2895&lt;TIME(12,0,0),"Manhã",IF(B2895&lt;TIME(18,0,0),"Tarde","Noite")))</f>
        <v/>
      </c>
      <c r="R2895" s="46">
        <f>IF(AND(H2895="Realizado",L2895&lt;&gt;"",A2895&lt;=Config!$B$9),L2895/60,0)</f>
        <v>0</v>
      </c>
      <c r="S2895" s="45">
        <f>IF(G2895="","",IFERROR(INDEX(Config!$K$5:$K$16,MATCH(G2895,Config!$J$5:$J$16,0)),""))</f>
        <v/>
      </c>
      <c r="T2895" s="31">
        <f>IF(OR(G2895="",F2895=""),"",IFERROR(INDEX(Config!$M$5:$R$16,MATCH(G2895,Config!$J$5:$J$16,0),MATCH(F2895,Config!$H$5:$H$10,0)),""))</f>
        <v/>
      </c>
      <c r="U2895" s="47">
        <f>IF(AND(H2895="Realizado",L2895&lt;&gt;""),L2895/60,0)</f>
        <v>0</v>
      </c>
      <c r="V2895" s="47">
        <f>IF(AND(H2895="Realizado",OR(L2895="",M2895="")),1,0)</f>
        <v>0</v>
      </c>
    </row>
    <row r="2896">
      <c r="A2896" s="43" t="n"/>
      <c r="B2896" s="44" t="n"/>
      <c r="C2896" s="38" t="n"/>
      <c r="D2896" s="38" t="n"/>
      <c r="E2896" s="37" t="n"/>
      <c r="F2896" s="38" t="n"/>
      <c r="G2896" s="38" t="n"/>
      <c r="H2896" s="38" t="n"/>
      <c r="I2896" s="38" t="n"/>
      <c r="J2896" s="38" t="n"/>
      <c r="K2896" s="37" t="n"/>
      <c r="L2896" s="39" t="n"/>
      <c r="M2896" s="40" t="n"/>
      <c r="N2896" s="30">
        <f>IF(A2896="","",MONTH(A2896))</f>
        <v/>
      </c>
      <c r="O2896" s="30">
        <f>IF(A2896="","",YEAR(A2896))</f>
        <v/>
      </c>
      <c r="P2896" s="30">
        <f>IF(A2896="","",CHOOSE(WEEKDAY(A2896,2),"Segunda","Terça","Quarta","Quinta","Sexta","Sábado","Domingo"))</f>
        <v/>
      </c>
      <c r="Q2896" s="30">
        <f>IF(B2896="","",IF(B2896&lt;TIME(12,0,0),"Manhã",IF(B2896&lt;TIME(18,0,0),"Tarde","Noite")))</f>
        <v/>
      </c>
      <c r="R2896" s="46">
        <f>IF(AND(H2896="Realizado",L2896&lt;&gt;"",A2896&lt;=Config!$B$9),L2896/60,0)</f>
        <v>0</v>
      </c>
      <c r="S2896" s="45">
        <f>IF(G2896="","",IFERROR(INDEX(Config!$K$5:$K$16,MATCH(G2896,Config!$J$5:$J$16,0)),""))</f>
        <v/>
      </c>
      <c r="T2896" s="31">
        <f>IF(OR(G2896="",F2896=""),"",IFERROR(INDEX(Config!$M$5:$R$16,MATCH(G2896,Config!$J$5:$J$16,0),MATCH(F2896,Config!$H$5:$H$10,0)),""))</f>
        <v/>
      </c>
      <c r="U2896" s="47">
        <f>IF(AND(H2896="Realizado",L2896&lt;&gt;""),L2896/60,0)</f>
        <v>0</v>
      </c>
      <c r="V2896" s="47">
        <f>IF(AND(H2896="Realizado",OR(L2896="",M2896="")),1,0)</f>
        <v>0</v>
      </c>
    </row>
    <row r="2897">
      <c r="A2897" s="43" t="n"/>
      <c r="B2897" s="44" t="n"/>
      <c r="C2897" s="38" t="n"/>
      <c r="D2897" s="38" t="n"/>
      <c r="E2897" s="37" t="n"/>
      <c r="F2897" s="38" t="n"/>
      <c r="G2897" s="38" t="n"/>
      <c r="H2897" s="38" t="n"/>
      <c r="I2897" s="38" t="n"/>
      <c r="J2897" s="38" t="n"/>
      <c r="K2897" s="37" t="n"/>
      <c r="L2897" s="39" t="n"/>
      <c r="M2897" s="40" t="n"/>
      <c r="N2897" s="30">
        <f>IF(A2897="","",MONTH(A2897))</f>
        <v/>
      </c>
      <c r="O2897" s="30">
        <f>IF(A2897="","",YEAR(A2897))</f>
        <v/>
      </c>
      <c r="P2897" s="30">
        <f>IF(A2897="","",CHOOSE(WEEKDAY(A2897,2),"Segunda","Terça","Quarta","Quinta","Sexta","Sábado","Domingo"))</f>
        <v/>
      </c>
      <c r="Q2897" s="30">
        <f>IF(B2897="","",IF(B2897&lt;TIME(12,0,0),"Manhã",IF(B2897&lt;TIME(18,0,0),"Tarde","Noite")))</f>
        <v/>
      </c>
      <c r="R2897" s="46">
        <f>IF(AND(H2897="Realizado",L2897&lt;&gt;"",A2897&lt;=Config!$B$9),L2897/60,0)</f>
        <v>0</v>
      </c>
      <c r="S2897" s="45">
        <f>IF(G2897="","",IFERROR(INDEX(Config!$K$5:$K$16,MATCH(G2897,Config!$J$5:$J$16,0)),""))</f>
        <v/>
      </c>
      <c r="T2897" s="31">
        <f>IF(OR(G2897="",F2897=""),"",IFERROR(INDEX(Config!$M$5:$R$16,MATCH(G2897,Config!$J$5:$J$16,0),MATCH(F2897,Config!$H$5:$H$10,0)),""))</f>
        <v/>
      </c>
      <c r="U2897" s="47">
        <f>IF(AND(H2897="Realizado",L2897&lt;&gt;""),L2897/60,0)</f>
        <v>0</v>
      </c>
      <c r="V2897" s="47">
        <f>IF(AND(H2897="Realizado",OR(L2897="",M2897="")),1,0)</f>
        <v>0</v>
      </c>
    </row>
    <row r="2898">
      <c r="A2898" s="43" t="n"/>
      <c r="B2898" s="44" t="n"/>
      <c r="C2898" s="38" t="n"/>
      <c r="D2898" s="38" t="n"/>
      <c r="E2898" s="37" t="n"/>
      <c r="F2898" s="38" t="n"/>
      <c r="G2898" s="38" t="n"/>
      <c r="H2898" s="38" t="n"/>
      <c r="I2898" s="38" t="n"/>
      <c r="J2898" s="38" t="n"/>
      <c r="K2898" s="37" t="n"/>
      <c r="L2898" s="39" t="n"/>
      <c r="M2898" s="40" t="n"/>
      <c r="N2898" s="30">
        <f>IF(A2898="","",MONTH(A2898))</f>
        <v/>
      </c>
      <c r="O2898" s="30">
        <f>IF(A2898="","",YEAR(A2898))</f>
        <v/>
      </c>
      <c r="P2898" s="30">
        <f>IF(A2898="","",CHOOSE(WEEKDAY(A2898,2),"Segunda","Terça","Quarta","Quinta","Sexta","Sábado","Domingo"))</f>
        <v/>
      </c>
      <c r="Q2898" s="30">
        <f>IF(B2898="","",IF(B2898&lt;TIME(12,0,0),"Manhã",IF(B2898&lt;TIME(18,0,0),"Tarde","Noite")))</f>
        <v/>
      </c>
      <c r="R2898" s="46">
        <f>IF(AND(H2898="Realizado",L2898&lt;&gt;"",A2898&lt;=Config!$B$9),L2898/60,0)</f>
        <v>0</v>
      </c>
      <c r="S2898" s="45">
        <f>IF(G2898="","",IFERROR(INDEX(Config!$K$5:$K$16,MATCH(G2898,Config!$J$5:$J$16,0)),""))</f>
        <v/>
      </c>
      <c r="T2898" s="31">
        <f>IF(OR(G2898="",F2898=""),"",IFERROR(INDEX(Config!$M$5:$R$16,MATCH(G2898,Config!$J$5:$J$16,0),MATCH(F2898,Config!$H$5:$H$10,0)),""))</f>
        <v/>
      </c>
      <c r="U2898" s="47">
        <f>IF(AND(H2898="Realizado",L2898&lt;&gt;""),L2898/60,0)</f>
        <v>0</v>
      </c>
      <c r="V2898" s="47">
        <f>IF(AND(H2898="Realizado",OR(L2898="",M2898="")),1,0)</f>
        <v>0</v>
      </c>
    </row>
    <row r="2899">
      <c r="A2899" s="43" t="n"/>
      <c r="B2899" s="44" t="n"/>
      <c r="C2899" s="38" t="n"/>
      <c r="D2899" s="38" t="n"/>
      <c r="E2899" s="37" t="n"/>
      <c r="F2899" s="38" t="n"/>
      <c r="G2899" s="38" t="n"/>
      <c r="H2899" s="38" t="n"/>
      <c r="I2899" s="38" t="n"/>
      <c r="J2899" s="38" t="n"/>
      <c r="K2899" s="37" t="n"/>
      <c r="L2899" s="39" t="n"/>
      <c r="M2899" s="40" t="n"/>
      <c r="N2899" s="30">
        <f>IF(A2899="","",MONTH(A2899))</f>
        <v/>
      </c>
      <c r="O2899" s="30">
        <f>IF(A2899="","",YEAR(A2899))</f>
        <v/>
      </c>
      <c r="P2899" s="30">
        <f>IF(A2899="","",CHOOSE(WEEKDAY(A2899,2),"Segunda","Terça","Quarta","Quinta","Sexta","Sábado","Domingo"))</f>
        <v/>
      </c>
      <c r="Q2899" s="30">
        <f>IF(B2899="","",IF(B2899&lt;TIME(12,0,0),"Manhã",IF(B2899&lt;TIME(18,0,0),"Tarde","Noite")))</f>
        <v/>
      </c>
      <c r="R2899" s="46">
        <f>IF(AND(H2899="Realizado",L2899&lt;&gt;"",A2899&lt;=Config!$B$9),L2899/60,0)</f>
        <v>0</v>
      </c>
      <c r="S2899" s="45">
        <f>IF(G2899="","",IFERROR(INDEX(Config!$K$5:$K$16,MATCH(G2899,Config!$J$5:$J$16,0)),""))</f>
        <v/>
      </c>
      <c r="T2899" s="31">
        <f>IF(OR(G2899="",F2899=""),"",IFERROR(INDEX(Config!$M$5:$R$16,MATCH(G2899,Config!$J$5:$J$16,0),MATCH(F2899,Config!$H$5:$H$10,0)),""))</f>
        <v/>
      </c>
      <c r="U2899" s="47">
        <f>IF(AND(H2899="Realizado",L2899&lt;&gt;""),L2899/60,0)</f>
        <v>0</v>
      </c>
      <c r="V2899" s="47">
        <f>IF(AND(H2899="Realizado",OR(L2899="",M2899="")),1,0)</f>
        <v>0</v>
      </c>
    </row>
    <row r="2900">
      <c r="A2900" s="43" t="n"/>
      <c r="B2900" s="44" t="n"/>
      <c r="C2900" s="38" t="n"/>
      <c r="D2900" s="38" t="n"/>
      <c r="E2900" s="37" t="n"/>
      <c r="F2900" s="38" t="n"/>
      <c r="G2900" s="38" t="n"/>
      <c r="H2900" s="38" t="n"/>
      <c r="I2900" s="38" t="n"/>
      <c r="J2900" s="38" t="n"/>
      <c r="K2900" s="37" t="n"/>
      <c r="L2900" s="39" t="n"/>
      <c r="M2900" s="40" t="n"/>
      <c r="N2900" s="30">
        <f>IF(A2900="","",MONTH(A2900))</f>
        <v/>
      </c>
      <c r="O2900" s="30">
        <f>IF(A2900="","",YEAR(A2900))</f>
        <v/>
      </c>
      <c r="P2900" s="30">
        <f>IF(A2900="","",CHOOSE(WEEKDAY(A2900,2),"Segunda","Terça","Quarta","Quinta","Sexta","Sábado","Domingo"))</f>
        <v/>
      </c>
      <c r="Q2900" s="30">
        <f>IF(B2900="","",IF(B2900&lt;TIME(12,0,0),"Manhã",IF(B2900&lt;TIME(18,0,0),"Tarde","Noite")))</f>
        <v/>
      </c>
      <c r="R2900" s="46">
        <f>IF(AND(H2900="Realizado",L2900&lt;&gt;"",A2900&lt;=Config!$B$9),L2900/60,0)</f>
        <v>0</v>
      </c>
      <c r="S2900" s="45">
        <f>IF(G2900="","",IFERROR(INDEX(Config!$K$5:$K$16,MATCH(G2900,Config!$J$5:$J$16,0)),""))</f>
        <v/>
      </c>
      <c r="T2900" s="31">
        <f>IF(OR(G2900="",F2900=""),"",IFERROR(INDEX(Config!$M$5:$R$16,MATCH(G2900,Config!$J$5:$J$16,0),MATCH(F2900,Config!$H$5:$H$10,0)),""))</f>
        <v/>
      </c>
      <c r="U2900" s="47">
        <f>IF(AND(H2900="Realizado",L2900&lt;&gt;""),L2900/60,0)</f>
        <v>0</v>
      </c>
      <c r="V2900" s="47">
        <f>IF(AND(H2900="Realizado",OR(L2900="",M2900="")),1,0)</f>
        <v>0</v>
      </c>
    </row>
    <row r="2901">
      <c r="A2901" s="43" t="n"/>
      <c r="B2901" s="44" t="n"/>
      <c r="C2901" s="38" t="n"/>
      <c r="D2901" s="38" t="n"/>
      <c r="E2901" s="37" t="n"/>
      <c r="F2901" s="38" t="n"/>
      <c r="G2901" s="38" t="n"/>
      <c r="H2901" s="38" t="n"/>
      <c r="I2901" s="38" t="n"/>
      <c r="J2901" s="38" t="n"/>
      <c r="K2901" s="37" t="n"/>
      <c r="L2901" s="39" t="n"/>
      <c r="M2901" s="40" t="n"/>
      <c r="N2901" s="30">
        <f>IF(A2901="","",MONTH(A2901))</f>
        <v/>
      </c>
      <c r="O2901" s="30">
        <f>IF(A2901="","",YEAR(A2901))</f>
        <v/>
      </c>
      <c r="P2901" s="30">
        <f>IF(A2901="","",CHOOSE(WEEKDAY(A2901,2),"Segunda","Terça","Quarta","Quinta","Sexta","Sábado","Domingo"))</f>
        <v/>
      </c>
      <c r="Q2901" s="30">
        <f>IF(B2901="","",IF(B2901&lt;TIME(12,0,0),"Manhã",IF(B2901&lt;TIME(18,0,0),"Tarde","Noite")))</f>
        <v/>
      </c>
      <c r="R2901" s="46">
        <f>IF(AND(H2901="Realizado",L2901&lt;&gt;"",A2901&lt;=Config!$B$9),L2901/60,0)</f>
        <v>0</v>
      </c>
      <c r="S2901" s="45">
        <f>IF(G2901="","",IFERROR(INDEX(Config!$K$5:$K$16,MATCH(G2901,Config!$J$5:$J$16,0)),""))</f>
        <v/>
      </c>
      <c r="T2901" s="31">
        <f>IF(OR(G2901="",F2901=""),"",IFERROR(INDEX(Config!$M$5:$R$16,MATCH(G2901,Config!$J$5:$J$16,0),MATCH(F2901,Config!$H$5:$H$10,0)),""))</f>
        <v/>
      </c>
      <c r="U2901" s="47">
        <f>IF(AND(H2901="Realizado",L2901&lt;&gt;""),L2901/60,0)</f>
        <v>0</v>
      </c>
      <c r="V2901" s="47">
        <f>IF(AND(H2901="Realizado",OR(L2901="",M2901="")),1,0)</f>
        <v>0</v>
      </c>
    </row>
    <row r="2902">
      <c r="A2902" s="43" t="n"/>
      <c r="B2902" s="44" t="n"/>
      <c r="C2902" s="38" t="n"/>
      <c r="D2902" s="38" t="n"/>
      <c r="E2902" s="37" t="n"/>
      <c r="F2902" s="38" t="n"/>
      <c r="G2902" s="38" t="n"/>
      <c r="H2902" s="38" t="n"/>
      <c r="I2902" s="38" t="n"/>
      <c r="J2902" s="38" t="n"/>
      <c r="K2902" s="37" t="n"/>
      <c r="L2902" s="39" t="n"/>
      <c r="M2902" s="40" t="n"/>
      <c r="N2902" s="30">
        <f>IF(A2902="","",MONTH(A2902))</f>
        <v/>
      </c>
      <c r="O2902" s="30">
        <f>IF(A2902="","",YEAR(A2902))</f>
        <v/>
      </c>
      <c r="P2902" s="30">
        <f>IF(A2902="","",CHOOSE(WEEKDAY(A2902,2),"Segunda","Terça","Quarta","Quinta","Sexta","Sábado","Domingo"))</f>
        <v/>
      </c>
      <c r="Q2902" s="30">
        <f>IF(B2902="","",IF(B2902&lt;TIME(12,0,0),"Manhã",IF(B2902&lt;TIME(18,0,0),"Tarde","Noite")))</f>
        <v/>
      </c>
      <c r="R2902" s="46">
        <f>IF(AND(H2902="Realizado",L2902&lt;&gt;"",A2902&lt;=Config!$B$9),L2902/60,0)</f>
        <v>0</v>
      </c>
      <c r="S2902" s="45">
        <f>IF(G2902="","",IFERROR(INDEX(Config!$K$5:$K$16,MATCH(G2902,Config!$J$5:$J$16,0)),""))</f>
        <v/>
      </c>
      <c r="T2902" s="31">
        <f>IF(OR(G2902="",F2902=""),"",IFERROR(INDEX(Config!$M$5:$R$16,MATCH(G2902,Config!$J$5:$J$16,0),MATCH(F2902,Config!$H$5:$H$10,0)),""))</f>
        <v/>
      </c>
      <c r="U2902" s="47">
        <f>IF(AND(H2902="Realizado",L2902&lt;&gt;""),L2902/60,0)</f>
        <v>0</v>
      </c>
      <c r="V2902" s="47">
        <f>IF(AND(H2902="Realizado",OR(L2902="",M2902="")),1,0)</f>
        <v>0</v>
      </c>
    </row>
    <row r="2903">
      <c r="A2903" s="43" t="n"/>
      <c r="B2903" s="44" t="n"/>
      <c r="C2903" s="38" t="n"/>
      <c r="D2903" s="38" t="n"/>
      <c r="E2903" s="37" t="n"/>
      <c r="F2903" s="38" t="n"/>
      <c r="G2903" s="38" t="n"/>
      <c r="H2903" s="38" t="n"/>
      <c r="I2903" s="38" t="n"/>
      <c r="J2903" s="38" t="n"/>
      <c r="K2903" s="37" t="n"/>
      <c r="L2903" s="39" t="n"/>
      <c r="M2903" s="40" t="n"/>
      <c r="N2903" s="30">
        <f>IF(A2903="","",MONTH(A2903))</f>
        <v/>
      </c>
      <c r="O2903" s="30">
        <f>IF(A2903="","",YEAR(A2903))</f>
        <v/>
      </c>
      <c r="P2903" s="30">
        <f>IF(A2903="","",CHOOSE(WEEKDAY(A2903,2),"Segunda","Terça","Quarta","Quinta","Sexta","Sábado","Domingo"))</f>
        <v/>
      </c>
      <c r="Q2903" s="30">
        <f>IF(B2903="","",IF(B2903&lt;TIME(12,0,0),"Manhã",IF(B2903&lt;TIME(18,0,0),"Tarde","Noite")))</f>
        <v/>
      </c>
      <c r="R2903" s="46">
        <f>IF(AND(H2903="Realizado",L2903&lt;&gt;"",A2903&lt;=Config!$B$9),L2903/60,0)</f>
        <v>0</v>
      </c>
      <c r="S2903" s="45">
        <f>IF(G2903="","",IFERROR(INDEX(Config!$K$5:$K$16,MATCH(G2903,Config!$J$5:$J$16,0)),""))</f>
        <v/>
      </c>
      <c r="T2903" s="31">
        <f>IF(OR(G2903="",F2903=""),"",IFERROR(INDEX(Config!$M$5:$R$16,MATCH(G2903,Config!$J$5:$J$16,0),MATCH(F2903,Config!$H$5:$H$10,0)),""))</f>
        <v/>
      </c>
      <c r="U2903" s="47">
        <f>IF(AND(H2903="Realizado",L2903&lt;&gt;""),L2903/60,0)</f>
        <v>0</v>
      </c>
      <c r="V2903" s="47">
        <f>IF(AND(H2903="Realizado",OR(L2903="",M2903="")),1,0)</f>
        <v>0</v>
      </c>
    </row>
    <row r="2904">
      <c r="A2904" s="43" t="n"/>
      <c r="B2904" s="44" t="n"/>
      <c r="C2904" s="38" t="n"/>
      <c r="D2904" s="38" t="n"/>
      <c r="E2904" s="37" t="n"/>
      <c r="F2904" s="38" t="n"/>
      <c r="G2904" s="38" t="n"/>
      <c r="H2904" s="38" t="n"/>
      <c r="I2904" s="38" t="n"/>
      <c r="J2904" s="38" t="n"/>
      <c r="K2904" s="37" t="n"/>
      <c r="L2904" s="39" t="n"/>
      <c r="M2904" s="40" t="n"/>
      <c r="N2904" s="30">
        <f>IF(A2904="","",MONTH(A2904))</f>
        <v/>
      </c>
      <c r="O2904" s="30">
        <f>IF(A2904="","",YEAR(A2904))</f>
        <v/>
      </c>
      <c r="P2904" s="30">
        <f>IF(A2904="","",CHOOSE(WEEKDAY(A2904,2),"Segunda","Terça","Quarta","Quinta","Sexta","Sábado","Domingo"))</f>
        <v/>
      </c>
      <c r="Q2904" s="30">
        <f>IF(B2904="","",IF(B2904&lt;TIME(12,0,0),"Manhã",IF(B2904&lt;TIME(18,0,0),"Tarde","Noite")))</f>
        <v/>
      </c>
      <c r="R2904" s="46">
        <f>IF(AND(H2904="Realizado",L2904&lt;&gt;"",A2904&lt;=Config!$B$9),L2904/60,0)</f>
        <v>0</v>
      </c>
      <c r="S2904" s="45">
        <f>IF(G2904="","",IFERROR(INDEX(Config!$K$5:$K$16,MATCH(G2904,Config!$J$5:$J$16,0)),""))</f>
        <v/>
      </c>
      <c r="T2904" s="31">
        <f>IF(OR(G2904="",F2904=""),"",IFERROR(INDEX(Config!$M$5:$R$16,MATCH(G2904,Config!$J$5:$J$16,0),MATCH(F2904,Config!$H$5:$H$10,0)),""))</f>
        <v/>
      </c>
      <c r="U2904" s="47">
        <f>IF(AND(H2904="Realizado",L2904&lt;&gt;""),L2904/60,0)</f>
        <v>0</v>
      </c>
      <c r="V2904" s="47">
        <f>IF(AND(H2904="Realizado",OR(L2904="",M2904="")),1,0)</f>
        <v>0</v>
      </c>
    </row>
    <row r="2905">
      <c r="A2905" s="43" t="n"/>
      <c r="B2905" s="44" t="n"/>
      <c r="C2905" s="38" t="n"/>
      <c r="D2905" s="38" t="n"/>
      <c r="E2905" s="37" t="n"/>
      <c r="F2905" s="38" t="n"/>
      <c r="G2905" s="38" t="n"/>
      <c r="H2905" s="38" t="n"/>
      <c r="I2905" s="38" t="n"/>
      <c r="J2905" s="38" t="n"/>
      <c r="K2905" s="37" t="n"/>
      <c r="L2905" s="39" t="n"/>
      <c r="M2905" s="40" t="n"/>
      <c r="N2905" s="30">
        <f>IF(A2905="","",MONTH(A2905))</f>
        <v/>
      </c>
      <c r="O2905" s="30">
        <f>IF(A2905="","",YEAR(A2905))</f>
        <v/>
      </c>
      <c r="P2905" s="30">
        <f>IF(A2905="","",CHOOSE(WEEKDAY(A2905,2),"Segunda","Terça","Quarta","Quinta","Sexta","Sábado","Domingo"))</f>
        <v/>
      </c>
      <c r="Q2905" s="30">
        <f>IF(B2905="","",IF(B2905&lt;TIME(12,0,0),"Manhã",IF(B2905&lt;TIME(18,0,0),"Tarde","Noite")))</f>
        <v/>
      </c>
      <c r="R2905" s="46">
        <f>IF(AND(H2905="Realizado",L2905&lt;&gt;"",A2905&lt;=Config!$B$9),L2905/60,0)</f>
        <v>0</v>
      </c>
      <c r="S2905" s="45">
        <f>IF(G2905="","",IFERROR(INDEX(Config!$K$5:$K$16,MATCH(G2905,Config!$J$5:$J$16,0)),""))</f>
        <v/>
      </c>
      <c r="T2905" s="31">
        <f>IF(OR(G2905="",F2905=""),"",IFERROR(INDEX(Config!$M$5:$R$16,MATCH(G2905,Config!$J$5:$J$16,0),MATCH(F2905,Config!$H$5:$H$10,0)),""))</f>
        <v/>
      </c>
      <c r="U2905" s="47">
        <f>IF(AND(H2905="Realizado",L2905&lt;&gt;""),L2905/60,0)</f>
        <v>0</v>
      </c>
      <c r="V2905" s="47">
        <f>IF(AND(H2905="Realizado",OR(L2905="",M2905="")),1,0)</f>
        <v>0</v>
      </c>
    </row>
    <row r="2906">
      <c r="A2906" s="43" t="n"/>
      <c r="B2906" s="44" t="n"/>
      <c r="C2906" s="38" t="n"/>
      <c r="D2906" s="38" t="n"/>
      <c r="E2906" s="37" t="n"/>
      <c r="F2906" s="38" t="n"/>
      <c r="G2906" s="38" t="n"/>
      <c r="H2906" s="38" t="n"/>
      <c r="I2906" s="38" t="n"/>
      <c r="J2906" s="38" t="n"/>
      <c r="K2906" s="37" t="n"/>
      <c r="L2906" s="39" t="n"/>
      <c r="M2906" s="40" t="n"/>
      <c r="N2906" s="30">
        <f>IF(A2906="","",MONTH(A2906))</f>
        <v/>
      </c>
      <c r="O2906" s="30">
        <f>IF(A2906="","",YEAR(A2906))</f>
        <v/>
      </c>
      <c r="P2906" s="30">
        <f>IF(A2906="","",CHOOSE(WEEKDAY(A2906,2),"Segunda","Terça","Quarta","Quinta","Sexta","Sábado","Domingo"))</f>
        <v/>
      </c>
      <c r="Q2906" s="30">
        <f>IF(B2906="","",IF(B2906&lt;TIME(12,0,0),"Manhã",IF(B2906&lt;TIME(18,0,0),"Tarde","Noite")))</f>
        <v/>
      </c>
      <c r="R2906" s="46">
        <f>IF(AND(H2906="Realizado",L2906&lt;&gt;"",A2906&lt;=Config!$B$9),L2906/60,0)</f>
        <v>0</v>
      </c>
      <c r="S2906" s="45">
        <f>IF(G2906="","",IFERROR(INDEX(Config!$K$5:$K$16,MATCH(G2906,Config!$J$5:$J$16,0)),""))</f>
        <v/>
      </c>
      <c r="T2906" s="31">
        <f>IF(OR(G2906="",F2906=""),"",IFERROR(INDEX(Config!$M$5:$R$16,MATCH(G2906,Config!$J$5:$J$16,0),MATCH(F2906,Config!$H$5:$H$10,0)),""))</f>
        <v/>
      </c>
      <c r="U2906" s="47">
        <f>IF(AND(H2906="Realizado",L2906&lt;&gt;""),L2906/60,0)</f>
        <v>0</v>
      </c>
      <c r="V2906" s="47">
        <f>IF(AND(H2906="Realizado",OR(L2906="",M2906="")),1,0)</f>
        <v>0</v>
      </c>
    </row>
    <row r="2907">
      <c r="A2907" s="43" t="n"/>
      <c r="B2907" s="44" t="n"/>
      <c r="C2907" s="38" t="n"/>
      <c r="D2907" s="38" t="n"/>
      <c r="E2907" s="37" t="n"/>
      <c r="F2907" s="38" t="n"/>
      <c r="G2907" s="38" t="n"/>
      <c r="H2907" s="38" t="n"/>
      <c r="I2907" s="38" t="n"/>
      <c r="J2907" s="38" t="n"/>
      <c r="K2907" s="37" t="n"/>
      <c r="L2907" s="39" t="n"/>
      <c r="M2907" s="40" t="n"/>
      <c r="N2907" s="30">
        <f>IF(A2907="","",MONTH(A2907))</f>
        <v/>
      </c>
      <c r="O2907" s="30">
        <f>IF(A2907="","",YEAR(A2907))</f>
        <v/>
      </c>
      <c r="P2907" s="30">
        <f>IF(A2907="","",CHOOSE(WEEKDAY(A2907,2),"Segunda","Terça","Quarta","Quinta","Sexta","Sábado","Domingo"))</f>
        <v/>
      </c>
      <c r="Q2907" s="30">
        <f>IF(B2907="","",IF(B2907&lt;TIME(12,0,0),"Manhã",IF(B2907&lt;TIME(18,0,0),"Tarde","Noite")))</f>
        <v/>
      </c>
      <c r="R2907" s="46">
        <f>IF(AND(H2907="Realizado",L2907&lt;&gt;"",A2907&lt;=Config!$B$9),L2907/60,0)</f>
        <v>0</v>
      </c>
      <c r="S2907" s="45">
        <f>IF(G2907="","",IFERROR(INDEX(Config!$K$5:$K$16,MATCH(G2907,Config!$J$5:$J$16,0)),""))</f>
        <v/>
      </c>
      <c r="T2907" s="31">
        <f>IF(OR(G2907="",F2907=""),"",IFERROR(INDEX(Config!$M$5:$R$16,MATCH(G2907,Config!$J$5:$J$16,0),MATCH(F2907,Config!$H$5:$H$10,0)),""))</f>
        <v/>
      </c>
      <c r="U2907" s="47">
        <f>IF(AND(H2907="Realizado",L2907&lt;&gt;""),L2907/60,0)</f>
        <v>0</v>
      </c>
      <c r="V2907" s="47">
        <f>IF(AND(H2907="Realizado",OR(L2907="",M2907="")),1,0)</f>
        <v>0</v>
      </c>
    </row>
    <row r="2908">
      <c r="A2908" s="43" t="n"/>
      <c r="B2908" s="44" t="n"/>
      <c r="C2908" s="38" t="n"/>
      <c r="D2908" s="38" t="n"/>
      <c r="E2908" s="37" t="n"/>
      <c r="F2908" s="38" t="n"/>
      <c r="G2908" s="38" t="n"/>
      <c r="H2908" s="38" t="n"/>
      <c r="I2908" s="38" t="n"/>
      <c r="J2908" s="38" t="n"/>
      <c r="K2908" s="37" t="n"/>
      <c r="L2908" s="39" t="n"/>
      <c r="M2908" s="40" t="n"/>
      <c r="N2908" s="30">
        <f>IF(A2908="","",MONTH(A2908))</f>
        <v/>
      </c>
      <c r="O2908" s="30">
        <f>IF(A2908="","",YEAR(A2908))</f>
        <v/>
      </c>
      <c r="P2908" s="30">
        <f>IF(A2908="","",CHOOSE(WEEKDAY(A2908,2),"Segunda","Terça","Quarta","Quinta","Sexta","Sábado","Domingo"))</f>
        <v/>
      </c>
      <c r="Q2908" s="30">
        <f>IF(B2908="","",IF(B2908&lt;TIME(12,0,0),"Manhã",IF(B2908&lt;TIME(18,0,0),"Tarde","Noite")))</f>
        <v/>
      </c>
      <c r="R2908" s="46">
        <f>IF(AND(H2908="Realizado",L2908&lt;&gt;"",A2908&lt;=Config!$B$9),L2908/60,0)</f>
        <v>0</v>
      </c>
      <c r="S2908" s="45">
        <f>IF(G2908="","",IFERROR(INDEX(Config!$K$5:$K$16,MATCH(G2908,Config!$J$5:$J$16,0)),""))</f>
        <v/>
      </c>
      <c r="T2908" s="31">
        <f>IF(OR(G2908="",F2908=""),"",IFERROR(INDEX(Config!$M$5:$R$16,MATCH(G2908,Config!$J$5:$J$16,0),MATCH(F2908,Config!$H$5:$H$10,0)),""))</f>
        <v/>
      </c>
      <c r="U2908" s="47">
        <f>IF(AND(H2908="Realizado",L2908&lt;&gt;""),L2908/60,0)</f>
        <v>0</v>
      </c>
      <c r="V2908" s="47">
        <f>IF(AND(H2908="Realizado",OR(L2908="",M2908="")),1,0)</f>
        <v>0</v>
      </c>
    </row>
    <row r="2909">
      <c r="A2909" s="43" t="n"/>
      <c r="B2909" s="44" t="n"/>
      <c r="C2909" s="38" t="n"/>
      <c r="D2909" s="38" t="n"/>
      <c r="E2909" s="37" t="n"/>
      <c r="F2909" s="38" t="n"/>
      <c r="G2909" s="38" t="n"/>
      <c r="H2909" s="38" t="n"/>
      <c r="I2909" s="38" t="n"/>
      <c r="J2909" s="38" t="n"/>
      <c r="K2909" s="37" t="n"/>
      <c r="L2909" s="39" t="n"/>
      <c r="M2909" s="40" t="n"/>
      <c r="N2909" s="30">
        <f>IF(A2909="","",MONTH(A2909))</f>
        <v/>
      </c>
      <c r="O2909" s="30">
        <f>IF(A2909="","",YEAR(A2909))</f>
        <v/>
      </c>
      <c r="P2909" s="30">
        <f>IF(A2909="","",CHOOSE(WEEKDAY(A2909,2),"Segunda","Terça","Quarta","Quinta","Sexta","Sábado","Domingo"))</f>
        <v/>
      </c>
      <c r="Q2909" s="30">
        <f>IF(B2909="","",IF(B2909&lt;TIME(12,0,0),"Manhã",IF(B2909&lt;TIME(18,0,0),"Tarde","Noite")))</f>
        <v/>
      </c>
      <c r="R2909" s="46">
        <f>IF(AND(H2909="Realizado",L2909&lt;&gt;"",A2909&lt;=Config!$B$9),L2909/60,0)</f>
        <v>0</v>
      </c>
      <c r="S2909" s="45">
        <f>IF(G2909="","",IFERROR(INDEX(Config!$K$5:$K$16,MATCH(G2909,Config!$J$5:$J$16,0)),""))</f>
        <v/>
      </c>
      <c r="T2909" s="31">
        <f>IF(OR(G2909="",F2909=""),"",IFERROR(INDEX(Config!$M$5:$R$16,MATCH(G2909,Config!$J$5:$J$16,0),MATCH(F2909,Config!$H$5:$H$10,0)),""))</f>
        <v/>
      </c>
      <c r="U2909" s="47">
        <f>IF(AND(H2909="Realizado",L2909&lt;&gt;""),L2909/60,0)</f>
        <v>0</v>
      </c>
      <c r="V2909" s="47">
        <f>IF(AND(H2909="Realizado",OR(L2909="",M2909="")),1,0)</f>
        <v>0</v>
      </c>
    </row>
    <row r="2910">
      <c r="A2910" s="43" t="n"/>
      <c r="B2910" s="44" t="n"/>
      <c r="C2910" s="38" t="n"/>
      <c r="D2910" s="38" t="n"/>
      <c r="E2910" s="37" t="n"/>
      <c r="F2910" s="38" t="n"/>
      <c r="G2910" s="38" t="n"/>
      <c r="H2910" s="38" t="n"/>
      <c r="I2910" s="38" t="n"/>
      <c r="J2910" s="38" t="n"/>
      <c r="K2910" s="37" t="n"/>
      <c r="L2910" s="39" t="n"/>
      <c r="M2910" s="40" t="n"/>
      <c r="N2910" s="30">
        <f>IF(A2910="","",MONTH(A2910))</f>
        <v/>
      </c>
      <c r="O2910" s="30">
        <f>IF(A2910="","",YEAR(A2910))</f>
        <v/>
      </c>
      <c r="P2910" s="30">
        <f>IF(A2910="","",CHOOSE(WEEKDAY(A2910,2),"Segunda","Terça","Quarta","Quinta","Sexta","Sábado","Domingo"))</f>
        <v/>
      </c>
      <c r="Q2910" s="30">
        <f>IF(B2910="","",IF(B2910&lt;TIME(12,0,0),"Manhã",IF(B2910&lt;TIME(18,0,0),"Tarde","Noite")))</f>
        <v/>
      </c>
      <c r="R2910" s="46">
        <f>IF(AND(H2910="Realizado",L2910&lt;&gt;"",A2910&lt;=Config!$B$9),L2910/60,0)</f>
        <v>0</v>
      </c>
      <c r="S2910" s="45">
        <f>IF(G2910="","",IFERROR(INDEX(Config!$K$5:$K$16,MATCH(G2910,Config!$J$5:$J$16,0)),""))</f>
        <v/>
      </c>
      <c r="T2910" s="31">
        <f>IF(OR(G2910="",F2910=""),"",IFERROR(INDEX(Config!$M$5:$R$16,MATCH(G2910,Config!$J$5:$J$16,0),MATCH(F2910,Config!$H$5:$H$10,0)),""))</f>
        <v/>
      </c>
      <c r="U2910" s="47">
        <f>IF(AND(H2910="Realizado",L2910&lt;&gt;""),L2910/60,0)</f>
        <v>0</v>
      </c>
      <c r="V2910" s="47">
        <f>IF(AND(H2910="Realizado",OR(L2910="",M2910="")),1,0)</f>
        <v>0</v>
      </c>
    </row>
    <row r="2911">
      <c r="A2911" s="43" t="n"/>
      <c r="B2911" s="44" t="n"/>
      <c r="C2911" s="38" t="n"/>
      <c r="D2911" s="38" t="n"/>
      <c r="E2911" s="37" t="n"/>
      <c r="F2911" s="38" t="n"/>
      <c r="G2911" s="38" t="n"/>
      <c r="H2911" s="38" t="n"/>
      <c r="I2911" s="38" t="n"/>
      <c r="J2911" s="38" t="n"/>
      <c r="K2911" s="37" t="n"/>
      <c r="L2911" s="39" t="n"/>
      <c r="M2911" s="40" t="n"/>
      <c r="N2911" s="30">
        <f>IF(A2911="","",MONTH(A2911))</f>
        <v/>
      </c>
      <c r="O2911" s="30">
        <f>IF(A2911="","",YEAR(A2911))</f>
        <v/>
      </c>
      <c r="P2911" s="30">
        <f>IF(A2911="","",CHOOSE(WEEKDAY(A2911,2),"Segunda","Terça","Quarta","Quinta","Sexta","Sábado","Domingo"))</f>
        <v/>
      </c>
      <c r="Q2911" s="30">
        <f>IF(B2911="","",IF(B2911&lt;TIME(12,0,0),"Manhã",IF(B2911&lt;TIME(18,0,0),"Tarde","Noite")))</f>
        <v/>
      </c>
      <c r="R2911" s="46">
        <f>IF(AND(H2911="Realizado",L2911&lt;&gt;"",A2911&lt;=Config!$B$9),L2911/60,0)</f>
        <v>0</v>
      </c>
      <c r="S2911" s="45">
        <f>IF(G2911="","",IFERROR(INDEX(Config!$K$5:$K$16,MATCH(G2911,Config!$J$5:$J$16,0)),""))</f>
        <v/>
      </c>
      <c r="T2911" s="31">
        <f>IF(OR(G2911="",F2911=""),"",IFERROR(INDEX(Config!$M$5:$R$16,MATCH(G2911,Config!$J$5:$J$16,0),MATCH(F2911,Config!$H$5:$H$10,0)),""))</f>
        <v/>
      </c>
      <c r="U2911" s="47">
        <f>IF(AND(H2911="Realizado",L2911&lt;&gt;""),L2911/60,0)</f>
        <v>0</v>
      </c>
      <c r="V2911" s="47">
        <f>IF(AND(H2911="Realizado",OR(L2911="",M2911="")),1,0)</f>
        <v>0</v>
      </c>
    </row>
    <row r="2912">
      <c r="A2912" s="43" t="n"/>
      <c r="B2912" s="44" t="n"/>
      <c r="C2912" s="38" t="n"/>
      <c r="D2912" s="38" t="n"/>
      <c r="E2912" s="37" t="n"/>
      <c r="F2912" s="38" t="n"/>
      <c r="G2912" s="38" t="n"/>
      <c r="H2912" s="38" t="n"/>
      <c r="I2912" s="38" t="n"/>
      <c r="J2912" s="38" t="n"/>
      <c r="K2912" s="37" t="n"/>
      <c r="L2912" s="39" t="n"/>
      <c r="M2912" s="40" t="n"/>
      <c r="N2912" s="30">
        <f>IF(A2912="","",MONTH(A2912))</f>
        <v/>
      </c>
      <c r="O2912" s="30">
        <f>IF(A2912="","",YEAR(A2912))</f>
        <v/>
      </c>
      <c r="P2912" s="30">
        <f>IF(A2912="","",CHOOSE(WEEKDAY(A2912,2),"Segunda","Terça","Quarta","Quinta","Sexta","Sábado","Domingo"))</f>
        <v/>
      </c>
      <c r="Q2912" s="30">
        <f>IF(B2912="","",IF(B2912&lt;TIME(12,0,0),"Manhã",IF(B2912&lt;TIME(18,0,0),"Tarde","Noite")))</f>
        <v/>
      </c>
      <c r="R2912" s="46">
        <f>IF(AND(H2912="Realizado",L2912&lt;&gt;"",A2912&lt;=Config!$B$9),L2912/60,0)</f>
        <v>0</v>
      </c>
      <c r="S2912" s="45">
        <f>IF(G2912="","",IFERROR(INDEX(Config!$K$5:$K$16,MATCH(G2912,Config!$J$5:$J$16,0)),""))</f>
        <v/>
      </c>
      <c r="T2912" s="31">
        <f>IF(OR(G2912="",F2912=""),"",IFERROR(INDEX(Config!$M$5:$R$16,MATCH(G2912,Config!$J$5:$J$16,0),MATCH(F2912,Config!$H$5:$H$10,0)),""))</f>
        <v/>
      </c>
      <c r="U2912" s="47">
        <f>IF(AND(H2912="Realizado",L2912&lt;&gt;""),L2912/60,0)</f>
        <v>0</v>
      </c>
      <c r="V2912" s="47">
        <f>IF(AND(H2912="Realizado",OR(L2912="",M2912="")),1,0)</f>
        <v>0</v>
      </c>
    </row>
    <row r="2913">
      <c r="A2913" s="43" t="n"/>
      <c r="B2913" s="44" t="n"/>
      <c r="C2913" s="38" t="n"/>
      <c r="D2913" s="38" t="n"/>
      <c r="E2913" s="37" t="n"/>
      <c r="F2913" s="38" t="n"/>
      <c r="G2913" s="38" t="n"/>
      <c r="H2913" s="38" t="n"/>
      <c r="I2913" s="38" t="n"/>
      <c r="J2913" s="38" t="n"/>
      <c r="K2913" s="37" t="n"/>
      <c r="L2913" s="39" t="n"/>
      <c r="M2913" s="40" t="n"/>
      <c r="N2913" s="30">
        <f>IF(A2913="","",MONTH(A2913))</f>
        <v/>
      </c>
      <c r="O2913" s="30">
        <f>IF(A2913="","",YEAR(A2913))</f>
        <v/>
      </c>
      <c r="P2913" s="30">
        <f>IF(A2913="","",CHOOSE(WEEKDAY(A2913,2),"Segunda","Terça","Quarta","Quinta","Sexta","Sábado","Domingo"))</f>
        <v/>
      </c>
      <c r="Q2913" s="30">
        <f>IF(B2913="","",IF(B2913&lt;TIME(12,0,0),"Manhã",IF(B2913&lt;TIME(18,0,0),"Tarde","Noite")))</f>
        <v/>
      </c>
      <c r="R2913" s="46">
        <f>IF(AND(H2913="Realizado",L2913&lt;&gt;"",A2913&lt;=Config!$B$9),L2913/60,0)</f>
        <v>0</v>
      </c>
      <c r="S2913" s="45">
        <f>IF(G2913="","",IFERROR(INDEX(Config!$K$5:$K$16,MATCH(G2913,Config!$J$5:$J$16,0)),""))</f>
        <v/>
      </c>
      <c r="T2913" s="31">
        <f>IF(OR(G2913="",F2913=""),"",IFERROR(INDEX(Config!$M$5:$R$16,MATCH(G2913,Config!$J$5:$J$16,0),MATCH(F2913,Config!$H$5:$H$10,0)),""))</f>
        <v/>
      </c>
      <c r="U2913" s="47">
        <f>IF(AND(H2913="Realizado",L2913&lt;&gt;""),L2913/60,0)</f>
        <v>0</v>
      </c>
      <c r="V2913" s="47">
        <f>IF(AND(H2913="Realizado",OR(L2913="",M2913="")),1,0)</f>
        <v>0</v>
      </c>
    </row>
    <row r="2914">
      <c r="A2914" s="43" t="n"/>
      <c r="B2914" s="44" t="n"/>
      <c r="C2914" s="38" t="n"/>
      <c r="D2914" s="38" t="n"/>
      <c r="E2914" s="37" t="n"/>
      <c r="F2914" s="38" t="n"/>
      <c r="G2914" s="38" t="n"/>
      <c r="H2914" s="38" t="n"/>
      <c r="I2914" s="38" t="n"/>
      <c r="J2914" s="38" t="n"/>
      <c r="K2914" s="37" t="n"/>
      <c r="L2914" s="39" t="n"/>
      <c r="M2914" s="40" t="n"/>
      <c r="N2914" s="30">
        <f>IF(A2914="","",MONTH(A2914))</f>
        <v/>
      </c>
      <c r="O2914" s="30">
        <f>IF(A2914="","",YEAR(A2914))</f>
        <v/>
      </c>
      <c r="P2914" s="30">
        <f>IF(A2914="","",CHOOSE(WEEKDAY(A2914,2),"Segunda","Terça","Quarta","Quinta","Sexta","Sábado","Domingo"))</f>
        <v/>
      </c>
      <c r="Q2914" s="30">
        <f>IF(B2914="","",IF(B2914&lt;TIME(12,0,0),"Manhã",IF(B2914&lt;TIME(18,0,0),"Tarde","Noite")))</f>
        <v/>
      </c>
      <c r="R2914" s="46">
        <f>IF(AND(H2914="Realizado",L2914&lt;&gt;"",A2914&lt;=Config!$B$9),L2914/60,0)</f>
        <v>0</v>
      </c>
      <c r="S2914" s="45">
        <f>IF(G2914="","",IFERROR(INDEX(Config!$K$5:$K$16,MATCH(G2914,Config!$J$5:$J$16,0)),""))</f>
        <v/>
      </c>
      <c r="T2914" s="31">
        <f>IF(OR(G2914="",F2914=""),"",IFERROR(INDEX(Config!$M$5:$R$16,MATCH(G2914,Config!$J$5:$J$16,0),MATCH(F2914,Config!$H$5:$H$10,0)),""))</f>
        <v/>
      </c>
      <c r="U2914" s="47">
        <f>IF(AND(H2914="Realizado",L2914&lt;&gt;""),L2914/60,0)</f>
        <v>0</v>
      </c>
      <c r="V2914" s="47">
        <f>IF(AND(H2914="Realizado",OR(L2914="",M2914="")),1,0)</f>
        <v>0</v>
      </c>
    </row>
    <row r="2915">
      <c r="A2915" s="43" t="n"/>
      <c r="B2915" s="44" t="n"/>
      <c r="C2915" s="38" t="n"/>
      <c r="D2915" s="38" t="n"/>
      <c r="E2915" s="37" t="n"/>
      <c r="F2915" s="38" t="n"/>
      <c r="G2915" s="38" t="n"/>
      <c r="H2915" s="38" t="n"/>
      <c r="I2915" s="38" t="n"/>
      <c r="J2915" s="38" t="n"/>
      <c r="K2915" s="37" t="n"/>
      <c r="L2915" s="39" t="n"/>
      <c r="M2915" s="40" t="n"/>
      <c r="N2915" s="30">
        <f>IF(A2915="","",MONTH(A2915))</f>
        <v/>
      </c>
      <c r="O2915" s="30">
        <f>IF(A2915="","",YEAR(A2915))</f>
        <v/>
      </c>
      <c r="P2915" s="30">
        <f>IF(A2915="","",CHOOSE(WEEKDAY(A2915,2),"Segunda","Terça","Quarta","Quinta","Sexta","Sábado","Domingo"))</f>
        <v/>
      </c>
      <c r="Q2915" s="30">
        <f>IF(B2915="","",IF(B2915&lt;TIME(12,0,0),"Manhã",IF(B2915&lt;TIME(18,0,0),"Tarde","Noite")))</f>
        <v/>
      </c>
      <c r="R2915" s="46">
        <f>IF(AND(H2915="Realizado",L2915&lt;&gt;"",A2915&lt;=Config!$B$9),L2915/60,0)</f>
        <v>0</v>
      </c>
      <c r="S2915" s="45">
        <f>IF(G2915="","",IFERROR(INDEX(Config!$K$5:$K$16,MATCH(G2915,Config!$J$5:$J$16,0)),""))</f>
        <v/>
      </c>
      <c r="T2915" s="31">
        <f>IF(OR(G2915="",F2915=""),"",IFERROR(INDEX(Config!$M$5:$R$16,MATCH(G2915,Config!$J$5:$J$16,0),MATCH(F2915,Config!$H$5:$H$10,0)),""))</f>
        <v/>
      </c>
      <c r="U2915" s="47">
        <f>IF(AND(H2915="Realizado",L2915&lt;&gt;""),L2915/60,0)</f>
        <v>0</v>
      </c>
      <c r="V2915" s="47">
        <f>IF(AND(H2915="Realizado",OR(L2915="",M2915="")),1,0)</f>
        <v>0</v>
      </c>
    </row>
    <row r="2916">
      <c r="A2916" s="43" t="n"/>
      <c r="B2916" s="44" t="n"/>
      <c r="C2916" s="38" t="n"/>
      <c r="D2916" s="38" t="n"/>
      <c r="E2916" s="37" t="n"/>
      <c r="F2916" s="38" t="n"/>
      <c r="G2916" s="38" t="n"/>
      <c r="H2916" s="38" t="n"/>
      <c r="I2916" s="38" t="n"/>
      <c r="J2916" s="38" t="n"/>
      <c r="K2916" s="37" t="n"/>
      <c r="L2916" s="39" t="n"/>
      <c r="M2916" s="40" t="n"/>
      <c r="N2916" s="30">
        <f>IF(A2916="","",MONTH(A2916))</f>
        <v/>
      </c>
      <c r="O2916" s="30">
        <f>IF(A2916="","",YEAR(A2916))</f>
        <v/>
      </c>
      <c r="P2916" s="30">
        <f>IF(A2916="","",CHOOSE(WEEKDAY(A2916,2),"Segunda","Terça","Quarta","Quinta","Sexta","Sábado","Domingo"))</f>
        <v/>
      </c>
      <c r="Q2916" s="30">
        <f>IF(B2916="","",IF(B2916&lt;TIME(12,0,0),"Manhã",IF(B2916&lt;TIME(18,0,0),"Tarde","Noite")))</f>
        <v/>
      </c>
      <c r="R2916" s="46">
        <f>IF(AND(H2916="Realizado",L2916&lt;&gt;"",A2916&lt;=Config!$B$9),L2916/60,0)</f>
        <v>0</v>
      </c>
      <c r="S2916" s="45">
        <f>IF(G2916="","",IFERROR(INDEX(Config!$K$5:$K$16,MATCH(G2916,Config!$J$5:$J$16,0)),""))</f>
        <v/>
      </c>
      <c r="T2916" s="31">
        <f>IF(OR(G2916="",F2916=""),"",IFERROR(INDEX(Config!$M$5:$R$16,MATCH(G2916,Config!$J$5:$J$16,0),MATCH(F2916,Config!$H$5:$H$10,0)),""))</f>
        <v/>
      </c>
      <c r="U2916" s="47">
        <f>IF(AND(H2916="Realizado",L2916&lt;&gt;""),L2916/60,0)</f>
        <v>0</v>
      </c>
      <c r="V2916" s="47">
        <f>IF(AND(H2916="Realizado",OR(L2916="",M2916="")),1,0)</f>
        <v>0</v>
      </c>
    </row>
    <row r="2917">
      <c r="A2917" s="43" t="n"/>
      <c r="B2917" s="44" t="n"/>
      <c r="C2917" s="38" t="n"/>
      <c r="D2917" s="38" t="n"/>
      <c r="E2917" s="37" t="n"/>
      <c r="F2917" s="38" t="n"/>
      <c r="G2917" s="38" t="n"/>
      <c r="H2917" s="38" t="n"/>
      <c r="I2917" s="38" t="n"/>
      <c r="J2917" s="38" t="n"/>
      <c r="K2917" s="37" t="n"/>
      <c r="L2917" s="39" t="n"/>
      <c r="M2917" s="40" t="n"/>
      <c r="N2917" s="30">
        <f>IF(A2917="","",MONTH(A2917))</f>
        <v/>
      </c>
      <c r="O2917" s="30">
        <f>IF(A2917="","",YEAR(A2917))</f>
        <v/>
      </c>
      <c r="P2917" s="30">
        <f>IF(A2917="","",CHOOSE(WEEKDAY(A2917,2),"Segunda","Terça","Quarta","Quinta","Sexta","Sábado","Domingo"))</f>
        <v/>
      </c>
      <c r="Q2917" s="30">
        <f>IF(B2917="","",IF(B2917&lt;TIME(12,0,0),"Manhã",IF(B2917&lt;TIME(18,0,0),"Tarde","Noite")))</f>
        <v/>
      </c>
      <c r="R2917" s="46">
        <f>IF(AND(H2917="Realizado",L2917&lt;&gt;"",A2917&lt;=Config!$B$9),L2917/60,0)</f>
        <v>0</v>
      </c>
      <c r="S2917" s="45">
        <f>IF(G2917="","",IFERROR(INDEX(Config!$K$5:$K$16,MATCH(G2917,Config!$J$5:$J$16,0)),""))</f>
        <v/>
      </c>
      <c r="T2917" s="31">
        <f>IF(OR(G2917="",F2917=""),"",IFERROR(INDEX(Config!$M$5:$R$16,MATCH(G2917,Config!$J$5:$J$16,0),MATCH(F2917,Config!$H$5:$H$10,0)),""))</f>
        <v/>
      </c>
      <c r="U2917" s="47">
        <f>IF(AND(H2917="Realizado",L2917&lt;&gt;""),L2917/60,0)</f>
        <v>0</v>
      </c>
      <c r="V2917" s="47">
        <f>IF(AND(H2917="Realizado",OR(L2917="",M2917="")),1,0)</f>
        <v>0</v>
      </c>
    </row>
    <row r="2918">
      <c r="A2918" s="43" t="n"/>
      <c r="B2918" s="44" t="n"/>
      <c r="C2918" s="38" t="n"/>
      <c r="D2918" s="38" t="n"/>
      <c r="E2918" s="37" t="n"/>
      <c r="F2918" s="38" t="n"/>
      <c r="G2918" s="38" t="n"/>
      <c r="H2918" s="38" t="n"/>
      <c r="I2918" s="38" t="n"/>
      <c r="J2918" s="38" t="n"/>
      <c r="K2918" s="37" t="n"/>
      <c r="L2918" s="39" t="n"/>
      <c r="M2918" s="40" t="n"/>
      <c r="N2918" s="30">
        <f>IF(A2918="","",MONTH(A2918))</f>
        <v/>
      </c>
      <c r="O2918" s="30">
        <f>IF(A2918="","",YEAR(A2918))</f>
        <v/>
      </c>
      <c r="P2918" s="30">
        <f>IF(A2918="","",CHOOSE(WEEKDAY(A2918,2),"Segunda","Terça","Quarta","Quinta","Sexta","Sábado","Domingo"))</f>
        <v/>
      </c>
      <c r="Q2918" s="30">
        <f>IF(B2918="","",IF(B2918&lt;TIME(12,0,0),"Manhã",IF(B2918&lt;TIME(18,0,0),"Tarde","Noite")))</f>
        <v/>
      </c>
      <c r="R2918" s="46">
        <f>IF(AND(H2918="Realizado",L2918&lt;&gt;"",A2918&lt;=Config!$B$9),L2918/60,0)</f>
        <v>0</v>
      </c>
      <c r="S2918" s="45">
        <f>IF(G2918="","",IFERROR(INDEX(Config!$K$5:$K$16,MATCH(G2918,Config!$J$5:$J$16,0)),""))</f>
        <v/>
      </c>
      <c r="T2918" s="31">
        <f>IF(OR(G2918="",F2918=""),"",IFERROR(INDEX(Config!$M$5:$R$16,MATCH(G2918,Config!$J$5:$J$16,0),MATCH(F2918,Config!$H$5:$H$10,0)),""))</f>
        <v/>
      </c>
      <c r="U2918" s="47">
        <f>IF(AND(H2918="Realizado",L2918&lt;&gt;""),L2918/60,0)</f>
        <v>0</v>
      </c>
      <c r="V2918" s="47">
        <f>IF(AND(H2918="Realizado",OR(L2918="",M2918="")),1,0)</f>
        <v>0</v>
      </c>
    </row>
    <row r="2919">
      <c r="A2919" s="43" t="n"/>
      <c r="B2919" s="44" t="n"/>
      <c r="C2919" s="38" t="n"/>
      <c r="D2919" s="38" t="n"/>
      <c r="E2919" s="37" t="n"/>
      <c r="F2919" s="38" t="n"/>
      <c r="G2919" s="38" t="n"/>
      <c r="H2919" s="38" t="n"/>
      <c r="I2919" s="38" t="n"/>
      <c r="J2919" s="38" t="n"/>
      <c r="K2919" s="37" t="n"/>
      <c r="L2919" s="39" t="n"/>
      <c r="M2919" s="40" t="n"/>
      <c r="N2919" s="30">
        <f>IF(A2919="","",MONTH(A2919))</f>
        <v/>
      </c>
      <c r="O2919" s="30">
        <f>IF(A2919="","",YEAR(A2919))</f>
        <v/>
      </c>
      <c r="P2919" s="30">
        <f>IF(A2919="","",CHOOSE(WEEKDAY(A2919,2),"Segunda","Terça","Quarta","Quinta","Sexta","Sábado","Domingo"))</f>
        <v/>
      </c>
      <c r="Q2919" s="30">
        <f>IF(B2919="","",IF(B2919&lt;TIME(12,0,0),"Manhã",IF(B2919&lt;TIME(18,0,0),"Tarde","Noite")))</f>
        <v/>
      </c>
      <c r="R2919" s="46">
        <f>IF(AND(H2919="Realizado",L2919&lt;&gt;"",A2919&lt;=Config!$B$9),L2919/60,0)</f>
        <v>0</v>
      </c>
      <c r="S2919" s="45">
        <f>IF(G2919="","",IFERROR(INDEX(Config!$K$5:$K$16,MATCH(G2919,Config!$J$5:$J$16,0)),""))</f>
        <v/>
      </c>
      <c r="T2919" s="31">
        <f>IF(OR(G2919="",F2919=""),"",IFERROR(INDEX(Config!$M$5:$R$16,MATCH(G2919,Config!$J$5:$J$16,0),MATCH(F2919,Config!$H$5:$H$10,0)),""))</f>
        <v/>
      </c>
      <c r="U2919" s="47">
        <f>IF(AND(H2919="Realizado",L2919&lt;&gt;""),L2919/60,0)</f>
        <v>0</v>
      </c>
      <c r="V2919" s="47">
        <f>IF(AND(H2919="Realizado",OR(L2919="",M2919="")),1,0)</f>
        <v>0</v>
      </c>
    </row>
    <row r="2920">
      <c r="A2920" s="43" t="n"/>
      <c r="B2920" s="44" t="n"/>
      <c r="C2920" s="38" t="n"/>
      <c r="D2920" s="38" t="n"/>
      <c r="E2920" s="37" t="n"/>
      <c r="F2920" s="38" t="n"/>
      <c r="G2920" s="38" t="n"/>
      <c r="H2920" s="38" t="n"/>
      <c r="I2920" s="38" t="n"/>
      <c r="J2920" s="38" t="n"/>
      <c r="K2920" s="37" t="n"/>
      <c r="L2920" s="39" t="n"/>
      <c r="M2920" s="40" t="n"/>
      <c r="N2920" s="30">
        <f>IF(A2920="","",MONTH(A2920))</f>
        <v/>
      </c>
      <c r="O2920" s="30">
        <f>IF(A2920="","",YEAR(A2920))</f>
        <v/>
      </c>
      <c r="P2920" s="30">
        <f>IF(A2920="","",CHOOSE(WEEKDAY(A2920,2),"Segunda","Terça","Quarta","Quinta","Sexta","Sábado","Domingo"))</f>
        <v/>
      </c>
      <c r="Q2920" s="30">
        <f>IF(B2920="","",IF(B2920&lt;TIME(12,0,0),"Manhã",IF(B2920&lt;TIME(18,0,0),"Tarde","Noite")))</f>
        <v/>
      </c>
      <c r="R2920" s="46">
        <f>IF(AND(H2920="Realizado",L2920&lt;&gt;"",A2920&lt;=Config!$B$9),L2920/60,0)</f>
        <v>0</v>
      </c>
      <c r="S2920" s="45">
        <f>IF(G2920="","",IFERROR(INDEX(Config!$K$5:$K$16,MATCH(G2920,Config!$J$5:$J$16,0)),""))</f>
        <v/>
      </c>
      <c r="T2920" s="31">
        <f>IF(OR(G2920="",F2920=""),"",IFERROR(INDEX(Config!$M$5:$R$16,MATCH(G2920,Config!$J$5:$J$16,0),MATCH(F2920,Config!$H$5:$H$10,0)),""))</f>
        <v/>
      </c>
      <c r="U2920" s="47">
        <f>IF(AND(H2920="Realizado",L2920&lt;&gt;""),L2920/60,0)</f>
        <v>0</v>
      </c>
      <c r="V2920" s="47">
        <f>IF(AND(H2920="Realizado",OR(L2920="",M2920="")),1,0)</f>
        <v>0</v>
      </c>
    </row>
    <row r="2921">
      <c r="A2921" s="43" t="n"/>
      <c r="B2921" s="44" t="n"/>
      <c r="C2921" s="38" t="n"/>
      <c r="D2921" s="38" t="n"/>
      <c r="E2921" s="37" t="n"/>
      <c r="F2921" s="38" t="n"/>
      <c r="G2921" s="38" t="n"/>
      <c r="H2921" s="38" t="n"/>
      <c r="I2921" s="38" t="n"/>
      <c r="J2921" s="38" t="n"/>
      <c r="K2921" s="37" t="n"/>
      <c r="L2921" s="39" t="n"/>
      <c r="M2921" s="40" t="n"/>
      <c r="N2921" s="30">
        <f>IF(A2921="","",MONTH(A2921))</f>
        <v/>
      </c>
      <c r="O2921" s="30">
        <f>IF(A2921="","",YEAR(A2921))</f>
        <v/>
      </c>
      <c r="P2921" s="30">
        <f>IF(A2921="","",CHOOSE(WEEKDAY(A2921,2),"Segunda","Terça","Quarta","Quinta","Sexta","Sábado","Domingo"))</f>
        <v/>
      </c>
      <c r="Q2921" s="30">
        <f>IF(B2921="","",IF(B2921&lt;TIME(12,0,0),"Manhã",IF(B2921&lt;TIME(18,0,0),"Tarde","Noite")))</f>
        <v/>
      </c>
      <c r="R2921" s="46">
        <f>IF(AND(H2921="Realizado",L2921&lt;&gt;"",A2921&lt;=Config!$B$9),L2921/60,0)</f>
        <v>0</v>
      </c>
      <c r="S2921" s="45">
        <f>IF(G2921="","",IFERROR(INDEX(Config!$K$5:$K$16,MATCH(G2921,Config!$J$5:$J$16,0)),""))</f>
        <v/>
      </c>
      <c r="T2921" s="31">
        <f>IF(OR(G2921="",F2921=""),"",IFERROR(INDEX(Config!$M$5:$R$16,MATCH(G2921,Config!$J$5:$J$16,0),MATCH(F2921,Config!$H$5:$H$10,0)),""))</f>
        <v/>
      </c>
      <c r="U2921" s="47">
        <f>IF(AND(H2921="Realizado",L2921&lt;&gt;""),L2921/60,0)</f>
        <v>0</v>
      </c>
      <c r="V2921" s="47">
        <f>IF(AND(H2921="Realizado",OR(L2921="",M2921="")),1,0)</f>
        <v>0</v>
      </c>
    </row>
    <row r="2922">
      <c r="A2922" s="43" t="n"/>
      <c r="B2922" s="44" t="n"/>
      <c r="C2922" s="38" t="n"/>
      <c r="D2922" s="38" t="n"/>
      <c r="E2922" s="37" t="n"/>
      <c r="F2922" s="38" t="n"/>
      <c r="G2922" s="38" t="n"/>
      <c r="H2922" s="38" t="n"/>
      <c r="I2922" s="38" t="n"/>
      <c r="J2922" s="38" t="n"/>
      <c r="K2922" s="37" t="n"/>
      <c r="L2922" s="39" t="n"/>
      <c r="M2922" s="40" t="n"/>
      <c r="N2922" s="30">
        <f>IF(A2922="","",MONTH(A2922))</f>
        <v/>
      </c>
      <c r="O2922" s="30">
        <f>IF(A2922="","",YEAR(A2922))</f>
        <v/>
      </c>
      <c r="P2922" s="30">
        <f>IF(A2922="","",CHOOSE(WEEKDAY(A2922,2),"Segunda","Terça","Quarta","Quinta","Sexta","Sábado","Domingo"))</f>
        <v/>
      </c>
      <c r="Q2922" s="30">
        <f>IF(B2922="","",IF(B2922&lt;TIME(12,0,0),"Manhã",IF(B2922&lt;TIME(18,0,0),"Tarde","Noite")))</f>
        <v/>
      </c>
      <c r="R2922" s="46">
        <f>IF(AND(H2922="Realizado",L2922&lt;&gt;"",A2922&lt;=Config!$B$9),L2922/60,0)</f>
        <v>0</v>
      </c>
      <c r="S2922" s="45">
        <f>IF(G2922="","",IFERROR(INDEX(Config!$K$5:$K$16,MATCH(G2922,Config!$J$5:$J$16,0)),""))</f>
        <v/>
      </c>
      <c r="T2922" s="31">
        <f>IF(OR(G2922="",F2922=""),"",IFERROR(INDEX(Config!$M$5:$R$16,MATCH(G2922,Config!$J$5:$J$16,0),MATCH(F2922,Config!$H$5:$H$10,0)),""))</f>
        <v/>
      </c>
      <c r="U2922" s="47">
        <f>IF(AND(H2922="Realizado",L2922&lt;&gt;""),L2922/60,0)</f>
        <v>0</v>
      </c>
      <c r="V2922" s="47">
        <f>IF(AND(H2922="Realizado",OR(L2922="",M2922="")),1,0)</f>
        <v>0</v>
      </c>
    </row>
    <row r="2923">
      <c r="A2923" s="43" t="n"/>
      <c r="B2923" s="44" t="n"/>
      <c r="C2923" s="38" t="n"/>
      <c r="D2923" s="38" t="n"/>
      <c r="E2923" s="37" t="n"/>
      <c r="F2923" s="38" t="n"/>
      <c r="G2923" s="38" t="n"/>
      <c r="H2923" s="38" t="n"/>
      <c r="I2923" s="38" t="n"/>
      <c r="J2923" s="38" t="n"/>
      <c r="K2923" s="37" t="n"/>
      <c r="L2923" s="39" t="n"/>
      <c r="M2923" s="40" t="n"/>
      <c r="N2923" s="30">
        <f>IF(A2923="","",MONTH(A2923))</f>
        <v/>
      </c>
      <c r="O2923" s="30">
        <f>IF(A2923="","",YEAR(A2923))</f>
        <v/>
      </c>
      <c r="P2923" s="30">
        <f>IF(A2923="","",CHOOSE(WEEKDAY(A2923,2),"Segunda","Terça","Quarta","Quinta","Sexta","Sábado","Domingo"))</f>
        <v/>
      </c>
      <c r="Q2923" s="30">
        <f>IF(B2923="","",IF(B2923&lt;TIME(12,0,0),"Manhã",IF(B2923&lt;TIME(18,0,0),"Tarde","Noite")))</f>
        <v/>
      </c>
      <c r="R2923" s="46">
        <f>IF(AND(H2923="Realizado",L2923&lt;&gt;"",A2923&lt;=Config!$B$9),L2923/60,0)</f>
        <v>0</v>
      </c>
      <c r="S2923" s="45">
        <f>IF(G2923="","",IFERROR(INDEX(Config!$K$5:$K$16,MATCH(G2923,Config!$J$5:$J$16,0)),""))</f>
        <v/>
      </c>
      <c r="T2923" s="31">
        <f>IF(OR(G2923="",F2923=""),"",IFERROR(INDEX(Config!$M$5:$R$16,MATCH(G2923,Config!$J$5:$J$16,0),MATCH(F2923,Config!$H$5:$H$10,0)),""))</f>
        <v/>
      </c>
      <c r="U2923" s="47">
        <f>IF(AND(H2923="Realizado",L2923&lt;&gt;""),L2923/60,0)</f>
        <v>0</v>
      </c>
      <c r="V2923" s="47">
        <f>IF(AND(H2923="Realizado",OR(L2923="",M2923="")),1,0)</f>
        <v>0</v>
      </c>
    </row>
    <row r="2924">
      <c r="A2924" s="43" t="n"/>
      <c r="B2924" s="44" t="n"/>
      <c r="C2924" s="38" t="n"/>
      <c r="D2924" s="38" t="n"/>
      <c r="E2924" s="37" t="n"/>
      <c r="F2924" s="38" t="n"/>
      <c r="G2924" s="38" t="n"/>
      <c r="H2924" s="38" t="n"/>
      <c r="I2924" s="38" t="n"/>
      <c r="J2924" s="38" t="n"/>
      <c r="K2924" s="37" t="n"/>
      <c r="L2924" s="39" t="n"/>
      <c r="M2924" s="40" t="n"/>
      <c r="N2924" s="30">
        <f>IF(A2924="","",MONTH(A2924))</f>
        <v/>
      </c>
      <c r="O2924" s="30">
        <f>IF(A2924="","",YEAR(A2924))</f>
        <v/>
      </c>
      <c r="P2924" s="30">
        <f>IF(A2924="","",CHOOSE(WEEKDAY(A2924,2),"Segunda","Terça","Quarta","Quinta","Sexta","Sábado","Domingo"))</f>
        <v/>
      </c>
      <c r="Q2924" s="30">
        <f>IF(B2924="","",IF(B2924&lt;TIME(12,0,0),"Manhã",IF(B2924&lt;TIME(18,0,0),"Tarde","Noite")))</f>
        <v/>
      </c>
      <c r="R2924" s="46">
        <f>IF(AND(H2924="Realizado",L2924&lt;&gt;"",A2924&lt;=Config!$B$9),L2924/60,0)</f>
        <v>0</v>
      </c>
      <c r="S2924" s="45">
        <f>IF(G2924="","",IFERROR(INDEX(Config!$K$5:$K$16,MATCH(G2924,Config!$J$5:$J$16,0)),""))</f>
        <v/>
      </c>
      <c r="T2924" s="31">
        <f>IF(OR(G2924="",F2924=""),"",IFERROR(INDEX(Config!$M$5:$R$16,MATCH(G2924,Config!$J$5:$J$16,0),MATCH(F2924,Config!$H$5:$H$10,0)),""))</f>
        <v/>
      </c>
      <c r="U2924" s="47">
        <f>IF(AND(H2924="Realizado",L2924&lt;&gt;""),L2924/60,0)</f>
        <v>0</v>
      </c>
      <c r="V2924" s="47">
        <f>IF(AND(H2924="Realizado",OR(L2924="",M2924="")),1,0)</f>
        <v>0</v>
      </c>
    </row>
    <row r="2925">
      <c r="A2925" s="43" t="n"/>
      <c r="B2925" s="44" t="n"/>
      <c r="C2925" s="38" t="n"/>
      <c r="D2925" s="38" t="n"/>
      <c r="E2925" s="37" t="n"/>
      <c r="F2925" s="38" t="n"/>
      <c r="G2925" s="38" t="n"/>
      <c r="H2925" s="38" t="n"/>
      <c r="I2925" s="38" t="n"/>
      <c r="J2925" s="38" t="n"/>
      <c r="K2925" s="37" t="n"/>
      <c r="L2925" s="39" t="n"/>
      <c r="M2925" s="40" t="n"/>
      <c r="N2925" s="30">
        <f>IF(A2925="","",MONTH(A2925))</f>
        <v/>
      </c>
      <c r="O2925" s="30">
        <f>IF(A2925="","",YEAR(A2925))</f>
        <v/>
      </c>
      <c r="P2925" s="30">
        <f>IF(A2925="","",CHOOSE(WEEKDAY(A2925,2),"Segunda","Terça","Quarta","Quinta","Sexta","Sábado","Domingo"))</f>
        <v/>
      </c>
      <c r="Q2925" s="30">
        <f>IF(B2925="","",IF(B2925&lt;TIME(12,0,0),"Manhã",IF(B2925&lt;TIME(18,0,0),"Tarde","Noite")))</f>
        <v/>
      </c>
      <c r="R2925" s="46">
        <f>IF(AND(H2925="Realizado",L2925&lt;&gt;"",A2925&lt;=Config!$B$9),L2925/60,0)</f>
        <v>0</v>
      </c>
      <c r="S2925" s="45">
        <f>IF(G2925="","",IFERROR(INDEX(Config!$K$5:$K$16,MATCH(G2925,Config!$J$5:$J$16,0)),""))</f>
        <v/>
      </c>
      <c r="T2925" s="31">
        <f>IF(OR(G2925="",F2925=""),"",IFERROR(INDEX(Config!$M$5:$R$16,MATCH(G2925,Config!$J$5:$J$16,0),MATCH(F2925,Config!$H$5:$H$10,0)),""))</f>
        <v/>
      </c>
      <c r="U2925" s="47">
        <f>IF(AND(H2925="Realizado",L2925&lt;&gt;""),L2925/60,0)</f>
        <v>0</v>
      </c>
      <c r="V2925" s="47">
        <f>IF(AND(H2925="Realizado",OR(L2925="",M2925="")),1,0)</f>
        <v>0</v>
      </c>
    </row>
    <row r="2926">
      <c r="A2926" s="43" t="n"/>
      <c r="B2926" s="44" t="n"/>
      <c r="C2926" s="38" t="n"/>
      <c r="D2926" s="38" t="n"/>
      <c r="E2926" s="37" t="n"/>
      <c r="F2926" s="38" t="n"/>
      <c r="G2926" s="38" t="n"/>
      <c r="H2926" s="38" t="n"/>
      <c r="I2926" s="38" t="n"/>
      <c r="J2926" s="38" t="n"/>
      <c r="K2926" s="37" t="n"/>
      <c r="L2926" s="39" t="n"/>
      <c r="M2926" s="40" t="n"/>
      <c r="N2926" s="30">
        <f>IF(A2926="","",MONTH(A2926))</f>
        <v/>
      </c>
      <c r="O2926" s="30">
        <f>IF(A2926="","",YEAR(A2926))</f>
        <v/>
      </c>
      <c r="P2926" s="30">
        <f>IF(A2926="","",CHOOSE(WEEKDAY(A2926,2),"Segunda","Terça","Quarta","Quinta","Sexta","Sábado","Domingo"))</f>
        <v/>
      </c>
      <c r="Q2926" s="30">
        <f>IF(B2926="","",IF(B2926&lt;TIME(12,0,0),"Manhã",IF(B2926&lt;TIME(18,0,0),"Tarde","Noite")))</f>
        <v/>
      </c>
      <c r="R2926" s="46">
        <f>IF(AND(H2926="Realizado",L2926&lt;&gt;"",A2926&lt;=Config!$B$9),L2926/60,0)</f>
        <v>0</v>
      </c>
      <c r="S2926" s="45">
        <f>IF(G2926="","",IFERROR(INDEX(Config!$K$5:$K$16,MATCH(G2926,Config!$J$5:$J$16,0)),""))</f>
        <v/>
      </c>
      <c r="T2926" s="31">
        <f>IF(OR(G2926="",F2926=""),"",IFERROR(INDEX(Config!$M$5:$R$16,MATCH(G2926,Config!$J$5:$J$16,0),MATCH(F2926,Config!$H$5:$H$10,0)),""))</f>
        <v/>
      </c>
      <c r="U2926" s="47">
        <f>IF(AND(H2926="Realizado",L2926&lt;&gt;""),L2926/60,0)</f>
        <v>0</v>
      </c>
      <c r="V2926" s="47">
        <f>IF(AND(H2926="Realizado",OR(L2926="",M2926="")),1,0)</f>
        <v>0</v>
      </c>
    </row>
    <row r="2927">
      <c r="A2927" s="43" t="n"/>
      <c r="B2927" s="44" t="n"/>
      <c r="C2927" s="38" t="n"/>
      <c r="D2927" s="38" t="n"/>
      <c r="E2927" s="37" t="n"/>
      <c r="F2927" s="38" t="n"/>
      <c r="G2927" s="38" t="n"/>
      <c r="H2927" s="38" t="n"/>
      <c r="I2927" s="38" t="n"/>
      <c r="J2927" s="38" t="n"/>
      <c r="K2927" s="37" t="n"/>
      <c r="L2927" s="39" t="n"/>
      <c r="M2927" s="40" t="n"/>
      <c r="N2927" s="30">
        <f>IF(A2927="","",MONTH(A2927))</f>
        <v/>
      </c>
      <c r="O2927" s="30">
        <f>IF(A2927="","",YEAR(A2927))</f>
        <v/>
      </c>
      <c r="P2927" s="30">
        <f>IF(A2927="","",CHOOSE(WEEKDAY(A2927,2),"Segunda","Terça","Quarta","Quinta","Sexta","Sábado","Domingo"))</f>
        <v/>
      </c>
      <c r="Q2927" s="30">
        <f>IF(B2927="","",IF(B2927&lt;TIME(12,0,0),"Manhã",IF(B2927&lt;TIME(18,0,0),"Tarde","Noite")))</f>
        <v/>
      </c>
      <c r="R2927" s="46">
        <f>IF(AND(H2927="Realizado",L2927&lt;&gt;"",A2927&lt;=Config!$B$9),L2927/60,0)</f>
        <v>0</v>
      </c>
      <c r="S2927" s="45">
        <f>IF(G2927="","",IFERROR(INDEX(Config!$K$5:$K$16,MATCH(G2927,Config!$J$5:$J$16,0)),""))</f>
        <v/>
      </c>
      <c r="T2927" s="31">
        <f>IF(OR(G2927="",F2927=""),"",IFERROR(INDEX(Config!$M$5:$R$16,MATCH(G2927,Config!$J$5:$J$16,0),MATCH(F2927,Config!$H$5:$H$10,0)),""))</f>
        <v/>
      </c>
      <c r="U2927" s="47">
        <f>IF(AND(H2927="Realizado",L2927&lt;&gt;""),L2927/60,0)</f>
        <v>0</v>
      </c>
      <c r="V2927" s="47">
        <f>IF(AND(H2927="Realizado",OR(L2927="",M2927="")),1,0)</f>
        <v>0</v>
      </c>
    </row>
    <row r="2928">
      <c r="A2928" s="43" t="n"/>
      <c r="B2928" s="44" t="n"/>
      <c r="C2928" s="38" t="n"/>
      <c r="D2928" s="38" t="n"/>
      <c r="E2928" s="37" t="n"/>
      <c r="F2928" s="38" t="n"/>
      <c r="G2928" s="38" t="n"/>
      <c r="H2928" s="38" t="n"/>
      <c r="I2928" s="38" t="n"/>
      <c r="J2928" s="38" t="n"/>
      <c r="K2928" s="37" t="n"/>
      <c r="L2928" s="39" t="n"/>
      <c r="M2928" s="40" t="n"/>
      <c r="N2928" s="30">
        <f>IF(A2928="","",MONTH(A2928))</f>
        <v/>
      </c>
      <c r="O2928" s="30">
        <f>IF(A2928="","",YEAR(A2928))</f>
        <v/>
      </c>
      <c r="P2928" s="30">
        <f>IF(A2928="","",CHOOSE(WEEKDAY(A2928,2),"Segunda","Terça","Quarta","Quinta","Sexta","Sábado","Domingo"))</f>
        <v/>
      </c>
      <c r="Q2928" s="30">
        <f>IF(B2928="","",IF(B2928&lt;TIME(12,0,0),"Manhã",IF(B2928&lt;TIME(18,0,0),"Tarde","Noite")))</f>
        <v/>
      </c>
      <c r="R2928" s="46">
        <f>IF(AND(H2928="Realizado",L2928&lt;&gt;"",A2928&lt;=Config!$B$9),L2928/60,0)</f>
        <v>0</v>
      </c>
      <c r="S2928" s="45">
        <f>IF(G2928="","",IFERROR(INDEX(Config!$K$5:$K$16,MATCH(G2928,Config!$J$5:$J$16,0)),""))</f>
        <v/>
      </c>
      <c r="T2928" s="31">
        <f>IF(OR(G2928="",F2928=""),"",IFERROR(INDEX(Config!$M$5:$R$16,MATCH(G2928,Config!$J$5:$J$16,0),MATCH(F2928,Config!$H$5:$H$10,0)),""))</f>
        <v/>
      </c>
      <c r="U2928" s="47">
        <f>IF(AND(H2928="Realizado",L2928&lt;&gt;""),L2928/60,0)</f>
        <v>0</v>
      </c>
      <c r="V2928" s="47">
        <f>IF(AND(H2928="Realizado",OR(L2928="",M2928="")),1,0)</f>
        <v>0</v>
      </c>
    </row>
    <row r="2929">
      <c r="A2929" s="43" t="n"/>
      <c r="B2929" s="44" t="n"/>
      <c r="C2929" s="38" t="n"/>
      <c r="D2929" s="38" t="n"/>
      <c r="E2929" s="37" t="n"/>
      <c r="F2929" s="38" t="n"/>
      <c r="G2929" s="38" t="n"/>
      <c r="H2929" s="38" t="n"/>
      <c r="I2929" s="38" t="n"/>
      <c r="J2929" s="38" t="n"/>
      <c r="K2929" s="37" t="n"/>
      <c r="L2929" s="39" t="n"/>
      <c r="M2929" s="40" t="n"/>
      <c r="N2929" s="30">
        <f>IF(A2929="","",MONTH(A2929))</f>
        <v/>
      </c>
      <c r="O2929" s="30">
        <f>IF(A2929="","",YEAR(A2929))</f>
        <v/>
      </c>
      <c r="P2929" s="30">
        <f>IF(A2929="","",CHOOSE(WEEKDAY(A2929,2),"Segunda","Terça","Quarta","Quinta","Sexta","Sábado","Domingo"))</f>
        <v/>
      </c>
      <c r="Q2929" s="30">
        <f>IF(B2929="","",IF(B2929&lt;TIME(12,0,0),"Manhã",IF(B2929&lt;TIME(18,0,0),"Tarde","Noite")))</f>
        <v/>
      </c>
      <c r="R2929" s="46">
        <f>IF(AND(H2929="Realizado",L2929&lt;&gt;"",A2929&lt;=Config!$B$9),L2929/60,0)</f>
        <v>0</v>
      </c>
      <c r="S2929" s="45">
        <f>IF(G2929="","",IFERROR(INDEX(Config!$K$5:$K$16,MATCH(G2929,Config!$J$5:$J$16,0)),""))</f>
        <v/>
      </c>
      <c r="T2929" s="31">
        <f>IF(OR(G2929="",F2929=""),"",IFERROR(INDEX(Config!$M$5:$R$16,MATCH(G2929,Config!$J$5:$J$16,0),MATCH(F2929,Config!$H$5:$H$10,0)),""))</f>
        <v/>
      </c>
      <c r="U2929" s="47">
        <f>IF(AND(H2929="Realizado",L2929&lt;&gt;""),L2929/60,0)</f>
        <v>0</v>
      </c>
      <c r="V2929" s="47">
        <f>IF(AND(H2929="Realizado",OR(L2929="",M2929="")),1,0)</f>
        <v>0</v>
      </c>
    </row>
    <row r="2930">
      <c r="A2930" s="43" t="n"/>
      <c r="B2930" s="44" t="n"/>
      <c r="C2930" s="38" t="n"/>
      <c r="D2930" s="38" t="n"/>
      <c r="E2930" s="37" t="n"/>
      <c r="F2930" s="38" t="n"/>
      <c r="G2930" s="38" t="n"/>
      <c r="H2930" s="38" t="n"/>
      <c r="I2930" s="38" t="n"/>
      <c r="J2930" s="38" t="n"/>
      <c r="K2930" s="37" t="n"/>
      <c r="L2930" s="39" t="n"/>
      <c r="M2930" s="40" t="n"/>
      <c r="N2930" s="30">
        <f>IF(A2930="","",MONTH(A2930))</f>
        <v/>
      </c>
      <c r="O2930" s="30">
        <f>IF(A2930="","",YEAR(A2930))</f>
        <v/>
      </c>
      <c r="P2930" s="30">
        <f>IF(A2930="","",CHOOSE(WEEKDAY(A2930,2),"Segunda","Terça","Quarta","Quinta","Sexta","Sábado","Domingo"))</f>
        <v/>
      </c>
      <c r="Q2930" s="30">
        <f>IF(B2930="","",IF(B2930&lt;TIME(12,0,0),"Manhã",IF(B2930&lt;TIME(18,0,0),"Tarde","Noite")))</f>
        <v/>
      </c>
      <c r="R2930" s="46">
        <f>IF(AND(H2930="Realizado",L2930&lt;&gt;"",A2930&lt;=Config!$B$9),L2930/60,0)</f>
        <v>0</v>
      </c>
      <c r="S2930" s="45">
        <f>IF(G2930="","",IFERROR(INDEX(Config!$K$5:$K$16,MATCH(G2930,Config!$J$5:$J$16,0)),""))</f>
        <v/>
      </c>
      <c r="T2930" s="31">
        <f>IF(OR(G2930="",F2930=""),"",IFERROR(INDEX(Config!$M$5:$R$16,MATCH(G2930,Config!$J$5:$J$16,0),MATCH(F2930,Config!$H$5:$H$10,0)),""))</f>
        <v/>
      </c>
      <c r="U2930" s="47">
        <f>IF(AND(H2930="Realizado",L2930&lt;&gt;""),L2930/60,0)</f>
        <v>0</v>
      </c>
      <c r="V2930" s="47">
        <f>IF(AND(H2930="Realizado",OR(L2930="",M2930="")),1,0)</f>
        <v>0</v>
      </c>
    </row>
    <row r="2931">
      <c r="A2931" s="43" t="n"/>
      <c r="B2931" s="44" t="n"/>
      <c r="C2931" s="38" t="n"/>
      <c r="D2931" s="38" t="n"/>
      <c r="E2931" s="37" t="n"/>
      <c r="F2931" s="38" t="n"/>
      <c r="G2931" s="38" t="n"/>
      <c r="H2931" s="38" t="n"/>
      <c r="I2931" s="38" t="n"/>
      <c r="J2931" s="38" t="n"/>
      <c r="K2931" s="37" t="n"/>
      <c r="L2931" s="39" t="n"/>
      <c r="M2931" s="40" t="n"/>
      <c r="N2931" s="30">
        <f>IF(A2931="","",MONTH(A2931))</f>
        <v/>
      </c>
      <c r="O2931" s="30">
        <f>IF(A2931="","",YEAR(A2931))</f>
        <v/>
      </c>
      <c r="P2931" s="30">
        <f>IF(A2931="","",CHOOSE(WEEKDAY(A2931,2),"Segunda","Terça","Quarta","Quinta","Sexta","Sábado","Domingo"))</f>
        <v/>
      </c>
      <c r="Q2931" s="30">
        <f>IF(B2931="","",IF(B2931&lt;TIME(12,0,0),"Manhã",IF(B2931&lt;TIME(18,0,0),"Tarde","Noite")))</f>
        <v/>
      </c>
      <c r="R2931" s="46">
        <f>IF(AND(H2931="Realizado",L2931&lt;&gt;"",A2931&lt;=Config!$B$9),L2931/60,0)</f>
        <v>0</v>
      </c>
      <c r="S2931" s="45">
        <f>IF(G2931="","",IFERROR(INDEX(Config!$K$5:$K$16,MATCH(G2931,Config!$J$5:$J$16,0)),""))</f>
        <v/>
      </c>
      <c r="T2931" s="31">
        <f>IF(OR(G2931="",F2931=""),"",IFERROR(INDEX(Config!$M$5:$R$16,MATCH(G2931,Config!$J$5:$J$16,0),MATCH(F2931,Config!$H$5:$H$10,0)),""))</f>
        <v/>
      </c>
      <c r="U2931" s="47">
        <f>IF(AND(H2931="Realizado",L2931&lt;&gt;""),L2931/60,0)</f>
        <v>0</v>
      </c>
      <c r="V2931" s="47">
        <f>IF(AND(H2931="Realizado",OR(L2931="",M2931="")),1,0)</f>
        <v>0</v>
      </c>
    </row>
    <row r="2932">
      <c r="A2932" s="43" t="n"/>
      <c r="B2932" s="44" t="n"/>
      <c r="C2932" s="38" t="n"/>
      <c r="D2932" s="38" t="n"/>
      <c r="E2932" s="37" t="n"/>
      <c r="F2932" s="38" t="n"/>
      <c r="G2932" s="38" t="n"/>
      <c r="H2932" s="38" t="n"/>
      <c r="I2932" s="38" t="n"/>
      <c r="J2932" s="38" t="n"/>
      <c r="K2932" s="37" t="n"/>
      <c r="L2932" s="39" t="n"/>
      <c r="M2932" s="40" t="n"/>
      <c r="N2932" s="30">
        <f>IF(A2932="","",MONTH(A2932))</f>
        <v/>
      </c>
      <c r="O2932" s="30">
        <f>IF(A2932="","",YEAR(A2932))</f>
        <v/>
      </c>
      <c r="P2932" s="30">
        <f>IF(A2932="","",CHOOSE(WEEKDAY(A2932,2),"Segunda","Terça","Quarta","Quinta","Sexta","Sábado","Domingo"))</f>
        <v/>
      </c>
      <c r="Q2932" s="30">
        <f>IF(B2932="","",IF(B2932&lt;TIME(12,0,0),"Manhã",IF(B2932&lt;TIME(18,0,0),"Tarde","Noite")))</f>
        <v/>
      </c>
      <c r="R2932" s="46">
        <f>IF(AND(H2932="Realizado",L2932&lt;&gt;"",A2932&lt;=Config!$B$9),L2932/60,0)</f>
        <v>0</v>
      </c>
      <c r="S2932" s="45">
        <f>IF(G2932="","",IFERROR(INDEX(Config!$K$5:$K$16,MATCH(G2932,Config!$J$5:$J$16,0)),""))</f>
        <v/>
      </c>
      <c r="T2932" s="31">
        <f>IF(OR(G2932="",F2932=""),"",IFERROR(INDEX(Config!$M$5:$R$16,MATCH(G2932,Config!$J$5:$J$16,0),MATCH(F2932,Config!$H$5:$H$10,0)),""))</f>
        <v/>
      </c>
      <c r="U2932" s="47">
        <f>IF(AND(H2932="Realizado",L2932&lt;&gt;""),L2932/60,0)</f>
        <v>0</v>
      </c>
      <c r="V2932" s="47">
        <f>IF(AND(H2932="Realizado",OR(L2932="",M2932="")),1,0)</f>
        <v>0</v>
      </c>
    </row>
    <row r="2933">
      <c r="A2933" s="43" t="n"/>
      <c r="B2933" s="44" t="n"/>
      <c r="C2933" s="38" t="n"/>
      <c r="D2933" s="38" t="n"/>
      <c r="E2933" s="37" t="n"/>
      <c r="F2933" s="38" t="n"/>
      <c r="G2933" s="38" t="n"/>
      <c r="H2933" s="38" t="n"/>
      <c r="I2933" s="38" t="n"/>
      <c r="J2933" s="38" t="n"/>
      <c r="K2933" s="37" t="n"/>
      <c r="L2933" s="39" t="n"/>
      <c r="M2933" s="40" t="n"/>
      <c r="N2933" s="30">
        <f>IF(A2933="","",MONTH(A2933))</f>
        <v/>
      </c>
      <c r="O2933" s="30">
        <f>IF(A2933="","",YEAR(A2933))</f>
        <v/>
      </c>
      <c r="P2933" s="30">
        <f>IF(A2933="","",CHOOSE(WEEKDAY(A2933,2),"Segunda","Terça","Quarta","Quinta","Sexta","Sábado","Domingo"))</f>
        <v/>
      </c>
      <c r="Q2933" s="30">
        <f>IF(B2933="","",IF(B2933&lt;TIME(12,0,0),"Manhã",IF(B2933&lt;TIME(18,0,0),"Tarde","Noite")))</f>
        <v/>
      </c>
      <c r="R2933" s="46">
        <f>IF(AND(H2933="Realizado",L2933&lt;&gt;"",A2933&lt;=Config!$B$9),L2933/60,0)</f>
        <v>0</v>
      </c>
      <c r="S2933" s="45">
        <f>IF(G2933="","",IFERROR(INDEX(Config!$K$5:$K$16,MATCH(G2933,Config!$J$5:$J$16,0)),""))</f>
        <v/>
      </c>
      <c r="T2933" s="31">
        <f>IF(OR(G2933="",F2933=""),"",IFERROR(INDEX(Config!$M$5:$R$16,MATCH(G2933,Config!$J$5:$J$16,0),MATCH(F2933,Config!$H$5:$H$10,0)),""))</f>
        <v/>
      </c>
      <c r="U2933" s="47">
        <f>IF(AND(H2933="Realizado",L2933&lt;&gt;""),L2933/60,0)</f>
        <v>0</v>
      </c>
      <c r="V2933" s="47">
        <f>IF(AND(H2933="Realizado",OR(L2933="",M2933="")),1,0)</f>
        <v>0</v>
      </c>
    </row>
    <row r="2934">
      <c r="A2934" s="43" t="n"/>
      <c r="B2934" s="44" t="n"/>
      <c r="C2934" s="38" t="n"/>
      <c r="D2934" s="38" t="n"/>
      <c r="E2934" s="37" t="n"/>
      <c r="F2934" s="38" t="n"/>
      <c r="G2934" s="38" t="n"/>
      <c r="H2934" s="38" t="n"/>
      <c r="I2934" s="38" t="n"/>
      <c r="J2934" s="38" t="n"/>
      <c r="K2934" s="37" t="n"/>
      <c r="L2934" s="39" t="n"/>
      <c r="M2934" s="40" t="n"/>
      <c r="N2934" s="30">
        <f>IF(A2934="","",MONTH(A2934))</f>
        <v/>
      </c>
      <c r="O2934" s="30">
        <f>IF(A2934="","",YEAR(A2934))</f>
        <v/>
      </c>
      <c r="P2934" s="30">
        <f>IF(A2934="","",CHOOSE(WEEKDAY(A2934,2),"Segunda","Terça","Quarta","Quinta","Sexta","Sábado","Domingo"))</f>
        <v/>
      </c>
      <c r="Q2934" s="30">
        <f>IF(B2934="","",IF(B2934&lt;TIME(12,0,0),"Manhã",IF(B2934&lt;TIME(18,0,0),"Tarde","Noite")))</f>
        <v/>
      </c>
      <c r="R2934" s="46">
        <f>IF(AND(H2934="Realizado",L2934&lt;&gt;"",A2934&lt;=Config!$B$9),L2934/60,0)</f>
        <v>0</v>
      </c>
      <c r="S2934" s="45">
        <f>IF(G2934="","",IFERROR(INDEX(Config!$K$5:$K$16,MATCH(G2934,Config!$J$5:$J$16,0)),""))</f>
        <v/>
      </c>
      <c r="T2934" s="31">
        <f>IF(OR(G2934="",F2934=""),"",IFERROR(INDEX(Config!$M$5:$R$16,MATCH(G2934,Config!$J$5:$J$16,0),MATCH(F2934,Config!$H$5:$H$10,0)),""))</f>
        <v/>
      </c>
      <c r="U2934" s="47">
        <f>IF(AND(H2934="Realizado",L2934&lt;&gt;""),L2934/60,0)</f>
        <v>0</v>
      </c>
      <c r="V2934" s="47">
        <f>IF(AND(H2934="Realizado",OR(L2934="",M2934="")),1,0)</f>
        <v>0</v>
      </c>
    </row>
    <row r="2935">
      <c r="A2935" s="43" t="n"/>
      <c r="B2935" s="44" t="n"/>
      <c r="C2935" s="38" t="n"/>
      <c r="D2935" s="38" t="n"/>
      <c r="E2935" s="37" t="n"/>
      <c r="F2935" s="38" t="n"/>
      <c r="G2935" s="38" t="n"/>
      <c r="H2935" s="38" t="n"/>
      <c r="I2935" s="38" t="n"/>
      <c r="J2935" s="38" t="n"/>
      <c r="K2935" s="37" t="n"/>
      <c r="L2935" s="39" t="n"/>
      <c r="M2935" s="40" t="n"/>
      <c r="N2935" s="30">
        <f>IF(A2935="","",MONTH(A2935))</f>
        <v/>
      </c>
      <c r="O2935" s="30">
        <f>IF(A2935="","",YEAR(A2935))</f>
        <v/>
      </c>
      <c r="P2935" s="30">
        <f>IF(A2935="","",CHOOSE(WEEKDAY(A2935,2),"Segunda","Terça","Quarta","Quinta","Sexta","Sábado","Domingo"))</f>
        <v/>
      </c>
      <c r="Q2935" s="30">
        <f>IF(B2935="","",IF(B2935&lt;TIME(12,0,0),"Manhã",IF(B2935&lt;TIME(18,0,0),"Tarde","Noite")))</f>
        <v/>
      </c>
      <c r="R2935" s="46">
        <f>IF(AND(H2935="Realizado",L2935&lt;&gt;"",A2935&lt;=Config!$B$9),L2935/60,0)</f>
        <v>0</v>
      </c>
      <c r="S2935" s="45">
        <f>IF(G2935="","",IFERROR(INDEX(Config!$K$5:$K$16,MATCH(G2935,Config!$J$5:$J$16,0)),""))</f>
        <v/>
      </c>
      <c r="T2935" s="31">
        <f>IF(OR(G2935="",F2935=""),"",IFERROR(INDEX(Config!$M$5:$R$16,MATCH(G2935,Config!$J$5:$J$16,0),MATCH(F2935,Config!$H$5:$H$10,0)),""))</f>
        <v/>
      </c>
      <c r="U2935" s="47">
        <f>IF(AND(H2935="Realizado",L2935&lt;&gt;""),L2935/60,0)</f>
        <v>0</v>
      </c>
      <c r="V2935" s="47">
        <f>IF(AND(H2935="Realizado",OR(L2935="",M2935="")),1,0)</f>
        <v>0</v>
      </c>
    </row>
    <row r="2936">
      <c r="A2936" s="43" t="n"/>
      <c r="B2936" s="44" t="n"/>
      <c r="C2936" s="38" t="n"/>
      <c r="D2936" s="38" t="n"/>
      <c r="E2936" s="37" t="n"/>
      <c r="F2936" s="38" t="n"/>
      <c r="G2936" s="38" t="n"/>
      <c r="H2936" s="38" t="n"/>
      <c r="I2936" s="38" t="n"/>
      <c r="J2936" s="38" t="n"/>
      <c r="K2936" s="37" t="n"/>
      <c r="L2936" s="39" t="n"/>
      <c r="M2936" s="40" t="n"/>
      <c r="N2936" s="30">
        <f>IF(A2936="","",MONTH(A2936))</f>
        <v/>
      </c>
      <c r="O2936" s="30">
        <f>IF(A2936="","",YEAR(A2936))</f>
        <v/>
      </c>
      <c r="P2936" s="30">
        <f>IF(A2936="","",CHOOSE(WEEKDAY(A2936,2),"Segunda","Terça","Quarta","Quinta","Sexta","Sábado","Domingo"))</f>
        <v/>
      </c>
      <c r="Q2936" s="30">
        <f>IF(B2936="","",IF(B2936&lt;TIME(12,0,0),"Manhã",IF(B2936&lt;TIME(18,0,0),"Tarde","Noite")))</f>
        <v/>
      </c>
      <c r="R2936" s="46">
        <f>IF(AND(H2936="Realizado",L2936&lt;&gt;"",A2936&lt;=Config!$B$9),L2936/60,0)</f>
        <v>0</v>
      </c>
      <c r="S2936" s="45">
        <f>IF(G2936="","",IFERROR(INDEX(Config!$K$5:$K$16,MATCH(G2936,Config!$J$5:$J$16,0)),""))</f>
        <v/>
      </c>
      <c r="T2936" s="31">
        <f>IF(OR(G2936="",F2936=""),"",IFERROR(INDEX(Config!$M$5:$R$16,MATCH(G2936,Config!$J$5:$J$16,0),MATCH(F2936,Config!$H$5:$H$10,0)),""))</f>
        <v/>
      </c>
      <c r="U2936" s="47">
        <f>IF(AND(H2936="Realizado",L2936&lt;&gt;""),L2936/60,0)</f>
        <v>0</v>
      </c>
      <c r="V2936" s="47">
        <f>IF(AND(H2936="Realizado",OR(L2936="",M2936="")),1,0)</f>
        <v>0</v>
      </c>
    </row>
    <row r="2937">
      <c r="A2937" s="43" t="n"/>
      <c r="B2937" s="44" t="n"/>
      <c r="C2937" s="38" t="n"/>
      <c r="D2937" s="38" t="n"/>
      <c r="E2937" s="37" t="n"/>
      <c r="F2937" s="38" t="n"/>
      <c r="G2937" s="38" t="n"/>
      <c r="H2937" s="38" t="n"/>
      <c r="I2937" s="38" t="n"/>
      <c r="J2937" s="38" t="n"/>
      <c r="K2937" s="37" t="n"/>
      <c r="L2937" s="39" t="n"/>
      <c r="M2937" s="40" t="n"/>
      <c r="N2937" s="30">
        <f>IF(A2937="","",MONTH(A2937))</f>
        <v/>
      </c>
      <c r="O2937" s="30">
        <f>IF(A2937="","",YEAR(A2937))</f>
        <v/>
      </c>
      <c r="P2937" s="30">
        <f>IF(A2937="","",CHOOSE(WEEKDAY(A2937,2),"Segunda","Terça","Quarta","Quinta","Sexta","Sábado","Domingo"))</f>
        <v/>
      </c>
      <c r="Q2937" s="30">
        <f>IF(B2937="","",IF(B2937&lt;TIME(12,0,0),"Manhã",IF(B2937&lt;TIME(18,0,0),"Tarde","Noite")))</f>
        <v/>
      </c>
      <c r="R2937" s="46">
        <f>IF(AND(H2937="Realizado",L2937&lt;&gt;"",A2937&lt;=Config!$B$9),L2937/60,0)</f>
        <v>0</v>
      </c>
      <c r="S2937" s="45">
        <f>IF(G2937="","",IFERROR(INDEX(Config!$K$5:$K$16,MATCH(G2937,Config!$J$5:$J$16,0)),""))</f>
        <v/>
      </c>
      <c r="T2937" s="31">
        <f>IF(OR(G2937="",F2937=""),"",IFERROR(INDEX(Config!$M$5:$R$16,MATCH(G2937,Config!$J$5:$J$16,0),MATCH(F2937,Config!$H$5:$H$10,0)),""))</f>
        <v/>
      </c>
      <c r="U2937" s="47">
        <f>IF(AND(H2937="Realizado",L2937&lt;&gt;""),L2937/60,0)</f>
        <v>0</v>
      </c>
      <c r="V2937" s="47">
        <f>IF(AND(H2937="Realizado",OR(L2937="",M2937="")),1,0)</f>
        <v>0</v>
      </c>
    </row>
    <row r="2938">
      <c r="A2938" s="43" t="n"/>
      <c r="B2938" s="44" t="n"/>
      <c r="C2938" s="38" t="n"/>
      <c r="D2938" s="38" t="n"/>
      <c r="E2938" s="37" t="n"/>
      <c r="F2938" s="38" t="n"/>
      <c r="G2938" s="38" t="n"/>
      <c r="H2938" s="38" t="n"/>
      <c r="I2938" s="38" t="n"/>
      <c r="J2938" s="38" t="n"/>
      <c r="K2938" s="37" t="n"/>
      <c r="L2938" s="39" t="n"/>
      <c r="M2938" s="40" t="n"/>
      <c r="N2938" s="30">
        <f>IF(A2938="","",MONTH(A2938))</f>
        <v/>
      </c>
      <c r="O2938" s="30">
        <f>IF(A2938="","",YEAR(A2938))</f>
        <v/>
      </c>
      <c r="P2938" s="30">
        <f>IF(A2938="","",CHOOSE(WEEKDAY(A2938,2),"Segunda","Terça","Quarta","Quinta","Sexta","Sábado","Domingo"))</f>
        <v/>
      </c>
      <c r="Q2938" s="30">
        <f>IF(B2938="","",IF(B2938&lt;TIME(12,0,0),"Manhã",IF(B2938&lt;TIME(18,0,0),"Tarde","Noite")))</f>
        <v/>
      </c>
      <c r="R2938" s="46">
        <f>IF(AND(H2938="Realizado",L2938&lt;&gt;"",A2938&lt;=Config!$B$9),L2938/60,0)</f>
        <v>0</v>
      </c>
      <c r="S2938" s="45">
        <f>IF(G2938="","",IFERROR(INDEX(Config!$K$5:$K$16,MATCH(G2938,Config!$J$5:$J$16,0)),""))</f>
        <v/>
      </c>
      <c r="T2938" s="31">
        <f>IF(OR(G2938="",F2938=""),"",IFERROR(INDEX(Config!$M$5:$R$16,MATCH(G2938,Config!$J$5:$J$16,0),MATCH(F2938,Config!$H$5:$H$10,0)),""))</f>
        <v/>
      </c>
      <c r="U2938" s="47">
        <f>IF(AND(H2938="Realizado",L2938&lt;&gt;""),L2938/60,0)</f>
        <v>0</v>
      </c>
      <c r="V2938" s="47">
        <f>IF(AND(H2938="Realizado",OR(L2938="",M2938="")),1,0)</f>
        <v>0</v>
      </c>
    </row>
    <row r="2939">
      <c r="A2939" s="43" t="n"/>
      <c r="B2939" s="44" t="n"/>
      <c r="C2939" s="38" t="n"/>
      <c r="D2939" s="38" t="n"/>
      <c r="E2939" s="37" t="n"/>
      <c r="F2939" s="38" t="n"/>
      <c r="G2939" s="38" t="n"/>
      <c r="H2939" s="38" t="n"/>
      <c r="I2939" s="38" t="n"/>
      <c r="J2939" s="38" t="n"/>
      <c r="K2939" s="37" t="n"/>
      <c r="L2939" s="39" t="n"/>
      <c r="M2939" s="40" t="n"/>
      <c r="N2939" s="30">
        <f>IF(A2939="","",MONTH(A2939))</f>
        <v/>
      </c>
      <c r="O2939" s="30">
        <f>IF(A2939="","",YEAR(A2939))</f>
        <v/>
      </c>
      <c r="P2939" s="30">
        <f>IF(A2939="","",CHOOSE(WEEKDAY(A2939,2),"Segunda","Terça","Quarta","Quinta","Sexta","Sábado","Domingo"))</f>
        <v/>
      </c>
      <c r="Q2939" s="30">
        <f>IF(B2939="","",IF(B2939&lt;TIME(12,0,0),"Manhã",IF(B2939&lt;TIME(18,0,0),"Tarde","Noite")))</f>
        <v/>
      </c>
      <c r="R2939" s="46">
        <f>IF(AND(H2939="Realizado",L2939&lt;&gt;"",A2939&lt;=Config!$B$9),L2939/60,0)</f>
        <v>0</v>
      </c>
      <c r="S2939" s="45">
        <f>IF(G2939="","",IFERROR(INDEX(Config!$K$5:$K$16,MATCH(G2939,Config!$J$5:$J$16,0)),""))</f>
        <v/>
      </c>
      <c r="T2939" s="31">
        <f>IF(OR(G2939="",F2939=""),"",IFERROR(INDEX(Config!$M$5:$R$16,MATCH(G2939,Config!$J$5:$J$16,0),MATCH(F2939,Config!$H$5:$H$10,0)),""))</f>
        <v/>
      </c>
      <c r="U2939" s="47">
        <f>IF(AND(H2939="Realizado",L2939&lt;&gt;""),L2939/60,0)</f>
        <v>0</v>
      </c>
      <c r="V2939" s="47">
        <f>IF(AND(H2939="Realizado",OR(L2939="",M2939="")),1,0)</f>
        <v>0</v>
      </c>
    </row>
    <row r="2940">
      <c r="A2940" s="43" t="n"/>
      <c r="B2940" s="44" t="n"/>
      <c r="C2940" s="38" t="n"/>
      <c r="D2940" s="38" t="n"/>
      <c r="E2940" s="37" t="n"/>
      <c r="F2940" s="38" t="n"/>
      <c r="G2940" s="38" t="n"/>
      <c r="H2940" s="38" t="n"/>
      <c r="I2940" s="38" t="n"/>
      <c r="J2940" s="38" t="n"/>
      <c r="K2940" s="37" t="n"/>
      <c r="L2940" s="39" t="n"/>
      <c r="M2940" s="40" t="n"/>
      <c r="N2940" s="30">
        <f>IF(A2940="","",MONTH(A2940))</f>
        <v/>
      </c>
      <c r="O2940" s="30">
        <f>IF(A2940="","",YEAR(A2940))</f>
        <v/>
      </c>
      <c r="P2940" s="30">
        <f>IF(A2940="","",CHOOSE(WEEKDAY(A2940,2),"Segunda","Terça","Quarta","Quinta","Sexta","Sábado","Domingo"))</f>
        <v/>
      </c>
      <c r="Q2940" s="30">
        <f>IF(B2940="","",IF(B2940&lt;TIME(12,0,0),"Manhã",IF(B2940&lt;TIME(18,0,0),"Tarde","Noite")))</f>
        <v/>
      </c>
      <c r="R2940" s="46">
        <f>IF(AND(H2940="Realizado",L2940&lt;&gt;"",A2940&lt;=Config!$B$9),L2940/60,0)</f>
        <v>0</v>
      </c>
      <c r="S2940" s="45">
        <f>IF(G2940="","",IFERROR(INDEX(Config!$K$5:$K$16,MATCH(G2940,Config!$J$5:$J$16,0)),""))</f>
        <v/>
      </c>
      <c r="T2940" s="31">
        <f>IF(OR(G2940="",F2940=""),"",IFERROR(INDEX(Config!$M$5:$R$16,MATCH(G2940,Config!$J$5:$J$16,0),MATCH(F2940,Config!$H$5:$H$10,0)),""))</f>
        <v/>
      </c>
      <c r="U2940" s="47">
        <f>IF(AND(H2940="Realizado",L2940&lt;&gt;""),L2940/60,0)</f>
        <v>0</v>
      </c>
      <c r="V2940" s="47">
        <f>IF(AND(H2940="Realizado",OR(L2940="",M2940="")),1,0)</f>
        <v>0</v>
      </c>
    </row>
    <row r="2941">
      <c r="A2941" s="43" t="n"/>
      <c r="B2941" s="44" t="n"/>
      <c r="C2941" s="38" t="n"/>
      <c r="D2941" s="38" t="n"/>
      <c r="E2941" s="37" t="n"/>
      <c r="F2941" s="38" t="n"/>
      <c r="G2941" s="38" t="n"/>
      <c r="H2941" s="38" t="n"/>
      <c r="I2941" s="38" t="n"/>
      <c r="J2941" s="38" t="n"/>
      <c r="K2941" s="37" t="n"/>
      <c r="L2941" s="39" t="n"/>
      <c r="M2941" s="40" t="n"/>
      <c r="N2941" s="30">
        <f>IF(A2941="","",MONTH(A2941))</f>
        <v/>
      </c>
      <c r="O2941" s="30">
        <f>IF(A2941="","",YEAR(A2941))</f>
        <v/>
      </c>
      <c r="P2941" s="30">
        <f>IF(A2941="","",CHOOSE(WEEKDAY(A2941,2),"Segunda","Terça","Quarta","Quinta","Sexta","Sábado","Domingo"))</f>
        <v/>
      </c>
      <c r="Q2941" s="30">
        <f>IF(B2941="","",IF(B2941&lt;TIME(12,0,0),"Manhã",IF(B2941&lt;TIME(18,0,0),"Tarde","Noite")))</f>
        <v/>
      </c>
      <c r="R2941" s="46">
        <f>IF(AND(H2941="Realizado",L2941&lt;&gt;"",A2941&lt;=Config!$B$9),L2941/60,0)</f>
        <v>0</v>
      </c>
      <c r="S2941" s="45">
        <f>IF(G2941="","",IFERROR(INDEX(Config!$K$5:$K$16,MATCH(G2941,Config!$J$5:$J$16,0)),""))</f>
        <v/>
      </c>
      <c r="T2941" s="31">
        <f>IF(OR(G2941="",F2941=""),"",IFERROR(INDEX(Config!$M$5:$R$16,MATCH(G2941,Config!$J$5:$J$16,0),MATCH(F2941,Config!$H$5:$H$10,0)),""))</f>
        <v/>
      </c>
      <c r="U2941" s="47">
        <f>IF(AND(H2941="Realizado",L2941&lt;&gt;""),L2941/60,0)</f>
        <v>0</v>
      </c>
      <c r="V2941" s="47">
        <f>IF(AND(H2941="Realizado",OR(L2941="",M2941="")),1,0)</f>
        <v>0</v>
      </c>
    </row>
    <row r="2942">
      <c r="A2942" s="43" t="n"/>
      <c r="B2942" s="44" t="n"/>
      <c r="C2942" s="38" t="n"/>
      <c r="D2942" s="38" t="n"/>
      <c r="E2942" s="37" t="n"/>
      <c r="F2942" s="38" t="n"/>
      <c r="G2942" s="38" t="n"/>
      <c r="H2942" s="38" t="n"/>
      <c r="I2942" s="38" t="n"/>
      <c r="J2942" s="38" t="n"/>
      <c r="K2942" s="37" t="n"/>
      <c r="L2942" s="39" t="n"/>
      <c r="M2942" s="40" t="n"/>
      <c r="N2942" s="30">
        <f>IF(A2942="","",MONTH(A2942))</f>
        <v/>
      </c>
      <c r="O2942" s="30">
        <f>IF(A2942="","",YEAR(A2942))</f>
        <v/>
      </c>
      <c r="P2942" s="30">
        <f>IF(A2942="","",CHOOSE(WEEKDAY(A2942,2),"Segunda","Terça","Quarta","Quinta","Sexta","Sábado","Domingo"))</f>
        <v/>
      </c>
      <c r="Q2942" s="30">
        <f>IF(B2942="","",IF(B2942&lt;TIME(12,0,0),"Manhã",IF(B2942&lt;TIME(18,0,0),"Tarde","Noite")))</f>
        <v/>
      </c>
      <c r="R2942" s="46">
        <f>IF(AND(H2942="Realizado",L2942&lt;&gt;"",A2942&lt;=Config!$B$9),L2942/60,0)</f>
        <v>0</v>
      </c>
      <c r="S2942" s="45">
        <f>IF(G2942="","",IFERROR(INDEX(Config!$K$5:$K$16,MATCH(G2942,Config!$J$5:$J$16,0)),""))</f>
        <v/>
      </c>
      <c r="T2942" s="31">
        <f>IF(OR(G2942="",F2942=""),"",IFERROR(INDEX(Config!$M$5:$R$16,MATCH(G2942,Config!$J$5:$J$16,0),MATCH(F2942,Config!$H$5:$H$10,0)),""))</f>
        <v/>
      </c>
      <c r="U2942" s="47">
        <f>IF(AND(H2942="Realizado",L2942&lt;&gt;""),L2942/60,0)</f>
        <v>0</v>
      </c>
      <c r="V2942" s="47">
        <f>IF(AND(H2942="Realizado",OR(L2942="",M2942="")),1,0)</f>
        <v>0</v>
      </c>
    </row>
    <row r="2943">
      <c r="A2943" s="43" t="n"/>
      <c r="B2943" s="44" t="n"/>
      <c r="C2943" s="38" t="n"/>
      <c r="D2943" s="38" t="n"/>
      <c r="E2943" s="37" t="n"/>
      <c r="F2943" s="38" t="n"/>
      <c r="G2943" s="38" t="n"/>
      <c r="H2943" s="38" t="n"/>
      <c r="I2943" s="38" t="n"/>
      <c r="J2943" s="38" t="n"/>
      <c r="K2943" s="37" t="n"/>
      <c r="L2943" s="39" t="n"/>
      <c r="M2943" s="40" t="n"/>
      <c r="N2943" s="30">
        <f>IF(A2943="","",MONTH(A2943))</f>
        <v/>
      </c>
      <c r="O2943" s="30">
        <f>IF(A2943="","",YEAR(A2943))</f>
        <v/>
      </c>
      <c r="P2943" s="30">
        <f>IF(A2943="","",CHOOSE(WEEKDAY(A2943,2),"Segunda","Terça","Quarta","Quinta","Sexta","Sábado","Domingo"))</f>
        <v/>
      </c>
      <c r="Q2943" s="30">
        <f>IF(B2943="","",IF(B2943&lt;TIME(12,0,0),"Manhã",IF(B2943&lt;TIME(18,0,0),"Tarde","Noite")))</f>
        <v/>
      </c>
      <c r="R2943" s="46">
        <f>IF(AND(H2943="Realizado",L2943&lt;&gt;"",A2943&lt;=Config!$B$9),L2943/60,0)</f>
        <v>0</v>
      </c>
      <c r="S2943" s="45">
        <f>IF(G2943="","",IFERROR(INDEX(Config!$K$5:$K$16,MATCH(G2943,Config!$J$5:$J$16,0)),""))</f>
        <v/>
      </c>
      <c r="T2943" s="31">
        <f>IF(OR(G2943="",F2943=""),"",IFERROR(INDEX(Config!$M$5:$R$16,MATCH(G2943,Config!$J$5:$J$16,0),MATCH(F2943,Config!$H$5:$H$10,0)),""))</f>
        <v/>
      </c>
      <c r="U2943" s="47">
        <f>IF(AND(H2943="Realizado",L2943&lt;&gt;""),L2943/60,0)</f>
        <v>0</v>
      </c>
      <c r="V2943" s="47">
        <f>IF(AND(H2943="Realizado",OR(L2943="",M2943="")),1,0)</f>
        <v>0</v>
      </c>
    </row>
    <row r="2944">
      <c r="A2944" s="43" t="n"/>
      <c r="B2944" s="44" t="n"/>
      <c r="C2944" s="38" t="n"/>
      <c r="D2944" s="38" t="n"/>
      <c r="E2944" s="37" t="n"/>
      <c r="F2944" s="38" t="n"/>
      <c r="G2944" s="38" t="n"/>
      <c r="H2944" s="38" t="n"/>
      <c r="I2944" s="38" t="n"/>
      <c r="J2944" s="38" t="n"/>
      <c r="K2944" s="37" t="n"/>
      <c r="L2944" s="39" t="n"/>
      <c r="M2944" s="40" t="n"/>
      <c r="N2944" s="30">
        <f>IF(A2944="","",MONTH(A2944))</f>
        <v/>
      </c>
      <c r="O2944" s="30">
        <f>IF(A2944="","",YEAR(A2944))</f>
        <v/>
      </c>
      <c r="P2944" s="30">
        <f>IF(A2944="","",CHOOSE(WEEKDAY(A2944,2),"Segunda","Terça","Quarta","Quinta","Sexta","Sábado","Domingo"))</f>
        <v/>
      </c>
      <c r="Q2944" s="30">
        <f>IF(B2944="","",IF(B2944&lt;TIME(12,0,0),"Manhã",IF(B2944&lt;TIME(18,0,0),"Tarde","Noite")))</f>
        <v/>
      </c>
      <c r="R2944" s="46">
        <f>IF(AND(H2944="Realizado",L2944&lt;&gt;"",A2944&lt;=Config!$B$9),L2944/60,0)</f>
        <v>0</v>
      </c>
      <c r="S2944" s="45">
        <f>IF(G2944="","",IFERROR(INDEX(Config!$K$5:$K$16,MATCH(G2944,Config!$J$5:$J$16,0)),""))</f>
        <v/>
      </c>
      <c r="T2944" s="31">
        <f>IF(OR(G2944="",F2944=""),"",IFERROR(INDEX(Config!$M$5:$R$16,MATCH(G2944,Config!$J$5:$J$16,0),MATCH(F2944,Config!$H$5:$H$10,0)),""))</f>
        <v/>
      </c>
      <c r="U2944" s="47">
        <f>IF(AND(H2944="Realizado",L2944&lt;&gt;""),L2944/60,0)</f>
        <v>0</v>
      </c>
      <c r="V2944" s="47">
        <f>IF(AND(H2944="Realizado",OR(L2944="",M2944="")),1,0)</f>
        <v>0</v>
      </c>
    </row>
    <row r="2945">
      <c r="A2945" s="43" t="n"/>
      <c r="B2945" s="44" t="n"/>
      <c r="C2945" s="38" t="n"/>
      <c r="D2945" s="38" t="n"/>
      <c r="E2945" s="37" t="n"/>
      <c r="F2945" s="38" t="n"/>
      <c r="G2945" s="38" t="n"/>
      <c r="H2945" s="38" t="n"/>
      <c r="I2945" s="38" t="n"/>
      <c r="J2945" s="38" t="n"/>
      <c r="K2945" s="37" t="n"/>
      <c r="L2945" s="39" t="n"/>
      <c r="M2945" s="40" t="n"/>
      <c r="N2945" s="30">
        <f>IF(A2945="","",MONTH(A2945))</f>
        <v/>
      </c>
      <c r="O2945" s="30">
        <f>IF(A2945="","",YEAR(A2945))</f>
        <v/>
      </c>
      <c r="P2945" s="30">
        <f>IF(A2945="","",CHOOSE(WEEKDAY(A2945,2),"Segunda","Terça","Quarta","Quinta","Sexta","Sábado","Domingo"))</f>
        <v/>
      </c>
      <c r="Q2945" s="30">
        <f>IF(B2945="","",IF(B2945&lt;TIME(12,0,0),"Manhã",IF(B2945&lt;TIME(18,0,0),"Tarde","Noite")))</f>
        <v/>
      </c>
      <c r="R2945" s="46">
        <f>IF(AND(H2945="Realizado",L2945&lt;&gt;"",A2945&lt;=Config!$B$9),L2945/60,0)</f>
        <v>0</v>
      </c>
      <c r="S2945" s="45">
        <f>IF(G2945="","",IFERROR(INDEX(Config!$K$5:$K$16,MATCH(G2945,Config!$J$5:$J$16,0)),""))</f>
        <v/>
      </c>
      <c r="T2945" s="31">
        <f>IF(OR(G2945="",F2945=""),"",IFERROR(INDEX(Config!$M$5:$R$16,MATCH(G2945,Config!$J$5:$J$16,0),MATCH(F2945,Config!$H$5:$H$10,0)),""))</f>
        <v/>
      </c>
      <c r="U2945" s="47">
        <f>IF(AND(H2945="Realizado",L2945&lt;&gt;""),L2945/60,0)</f>
        <v>0</v>
      </c>
      <c r="V2945" s="47">
        <f>IF(AND(H2945="Realizado",OR(L2945="",M2945="")),1,0)</f>
        <v>0</v>
      </c>
    </row>
    <row r="2946">
      <c r="A2946" s="43" t="n"/>
      <c r="B2946" s="44" t="n"/>
      <c r="C2946" s="38" t="n"/>
      <c r="D2946" s="38" t="n"/>
      <c r="E2946" s="37" t="n"/>
      <c r="F2946" s="38" t="n"/>
      <c r="G2946" s="38" t="n"/>
      <c r="H2946" s="38" t="n"/>
      <c r="I2946" s="38" t="n"/>
      <c r="J2946" s="38" t="n"/>
      <c r="K2946" s="37" t="n"/>
      <c r="L2946" s="39" t="n"/>
      <c r="M2946" s="40" t="n"/>
      <c r="N2946" s="30">
        <f>IF(A2946="","",MONTH(A2946))</f>
        <v/>
      </c>
      <c r="O2946" s="30">
        <f>IF(A2946="","",YEAR(A2946))</f>
        <v/>
      </c>
      <c r="P2946" s="30">
        <f>IF(A2946="","",CHOOSE(WEEKDAY(A2946,2),"Segunda","Terça","Quarta","Quinta","Sexta","Sábado","Domingo"))</f>
        <v/>
      </c>
      <c r="Q2946" s="30">
        <f>IF(B2946="","",IF(B2946&lt;TIME(12,0,0),"Manhã",IF(B2946&lt;TIME(18,0,0),"Tarde","Noite")))</f>
        <v/>
      </c>
      <c r="R2946" s="46">
        <f>IF(AND(H2946="Realizado",L2946&lt;&gt;"",A2946&lt;=Config!$B$9),L2946/60,0)</f>
        <v>0</v>
      </c>
      <c r="S2946" s="45">
        <f>IF(G2946="","",IFERROR(INDEX(Config!$K$5:$K$16,MATCH(G2946,Config!$J$5:$J$16,0)),""))</f>
        <v/>
      </c>
      <c r="T2946" s="31">
        <f>IF(OR(G2946="",F2946=""),"",IFERROR(INDEX(Config!$M$5:$R$16,MATCH(G2946,Config!$J$5:$J$16,0),MATCH(F2946,Config!$H$5:$H$10,0)),""))</f>
        <v/>
      </c>
      <c r="U2946" s="47">
        <f>IF(AND(H2946="Realizado",L2946&lt;&gt;""),L2946/60,0)</f>
        <v>0</v>
      </c>
      <c r="V2946" s="47">
        <f>IF(AND(H2946="Realizado",OR(L2946="",M2946="")),1,0)</f>
        <v>0</v>
      </c>
    </row>
    <row r="2947">
      <c r="A2947" s="43" t="n"/>
      <c r="B2947" s="44" t="n"/>
      <c r="C2947" s="38" t="n"/>
      <c r="D2947" s="38" t="n"/>
      <c r="E2947" s="37" t="n"/>
      <c r="F2947" s="38" t="n"/>
      <c r="G2947" s="38" t="n"/>
      <c r="H2947" s="38" t="n"/>
      <c r="I2947" s="38" t="n"/>
      <c r="J2947" s="38" t="n"/>
      <c r="K2947" s="37" t="n"/>
      <c r="L2947" s="39" t="n"/>
      <c r="M2947" s="40" t="n"/>
      <c r="N2947" s="30">
        <f>IF(A2947="","",MONTH(A2947))</f>
        <v/>
      </c>
      <c r="O2947" s="30">
        <f>IF(A2947="","",YEAR(A2947))</f>
        <v/>
      </c>
      <c r="P2947" s="30">
        <f>IF(A2947="","",CHOOSE(WEEKDAY(A2947,2),"Segunda","Terça","Quarta","Quinta","Sexta","Sábado","Domingo"))</f>
        <v/>
      </c>
      <c r="Q2947" s="30">
        <f>IF(B2947="","",IF(B2947&lt;TIME(12,0,0),"Manhã",IF(B2947&lt;TIME(18,0,0),"Tarde","Noite")))</f>
        <v/>
      </c>
      <c r="R2947" s="46">
        <f>IF(AND(H2947="Realizado",L2947&lt;&gt;"",A2947&lt;=Config!$B$9),L2947/60,0)</f>
        <v>0</v>
      </c>
      <c r="S2947" s="45">
        <f>IF(G2947="","",IFERROR(INDEX(Config!$K$5:$K$16,MATCH(G2947,Config!$J$5:$J$16,0)),""))</f>
        <v/>
      </c>
      <c r="T2947" s="31">
        <f>IF(OR(G2947="",F2947=""),"",IFERROR(INDEX(Config!$M$5:$R$16,MATCH(G2947,Config!$J$5:$J$16,0),MATCH(F2947,Config!$H$5:$H$10,0)),""))</f>
        <v/>
      </c>
      <c r="U2947" s="47">
        <f>IF(AND(H2947="Realizado",L2947&lt;&gt;""),L2947/60,0)</f>
        <v>0</v>
      </c>
      <c r="V2947" s="47">
        <f>IF(AND(H2947="Realizado",OR(L2947="",M2947="")),1,0)</f>
        <v>0</v>
      </c>
    </row>
    <row r="2948">
      <c r="A2948" s="43" t="n"/>
      <c r="B2948" s="44" t="n"/>
      <c r="C2948" s="38" t="n"/>
      <c r="D2948" s="38" t="n"/>
      <c r="E2948" s="37" t="n"/>
      <c r="F2948" s="38" t="n"/>
      <c r="G2948" s="38" t="n"/>
      <c r="H2948" s="38" t="n"/>
      <c r="I2948" s="38" t="n"/>
      <c r="J2948" s="38" t="n"/>
      <c r="K2948" s="37" t="n"/>
      <c r="L2948" s="39" t="n"/>
      <c r="M2948" s="40" t="n"/>
      <c r="N2948" s="30">
        <f>IF(A2948="","",MONTH(A2948))</f>
        <v/>
      </c>
      <c r="O2948" s="30">
        <f>IF(A2948="","",YEAR(A2948))</f>
        <v/>
      </c>
      <c r="P2948" s="30">
        <f>IF(A2948="","",CHOOSE(WEEKDAY(A2948,2),"Segunda","Terça","Quarta","Quinta","Sexta","Sábado","Domingo"))</f>
        <v/>
      </c>
      <c r="Q2948" s="30">
        <f>IF(B2948="","",IF(B2948&lt;TIME(12,0,0),"Manhã",IF(B2948&lt;TIME(18,0,0),"Tarde","Noite")))</f>
        <v/>
      </c>
      <c r="R2948" s="46">
        <f>IF(AND(H2948="Realizado",L2948&lt;&gt;"",A2948&lt;=Config!$B$9),L2948/60,0)</f>
        <v>0</v>
      </c>
      <c r="S2948" s="45">
        <f>IF(G2948="","",IFERROR(INDEX(Config!$K$5:$K$16,MATCH(G2948,Config!$J$5:$J$16,0)),""))</f>
        <v/>
      </c>
      <c r="T2948" s="31">
        <f>IF(OR(G2948="",F2948=""),"",IFERROR(INDEX(Config!$M$5:$R$16,MATCH(G2948,Config!$J$5:$J$16,0),MATCH(F2948,Config!$H$5:$H$10,0)),""))</f>
        <v/>
      </c>
      <c r="U2948" s="47">
        <f>IF(AND(H2948="Realizado",L2948&lt;&gt;""),L2948/60,0)</f>
        <v>0</v>
      </c>
      <c r="V2948" s="47">
        <f>IF(AND(H2948="Realizado",OR(L2948="",M2948="")),1,0)</f>
        <v>0</v>
      </c>
    </row>
    <row r="2949">
      <c r="A2949" s="43" t="n"/>
      <c r="B2949" s="44" t="n"/>
      <c r="C2949" s="38" t="n"/>
      <c r="D2949" s="38" t="n"/>
      <c r="E2949" s="37" t="n"/>
      <c r="F2949" s="38" t="n"/>
      <c r="G2949" s="38" t="n"/>
      <c r="H2949" s="38" t="n"/>
      <c r="I2949" s="38" t="n"/>
      <c r="J2949" s="38" t="n"/>
      <c r="K2949" s="37" t="n"/>
      <c r="L2949" s="39" t="n"/>
      <c r="M2949" s="40" t="n"/>
      <c r="N2949" s="30">
        <f>IF(A2949="","",MONTH(A2949))</f>
        <v/>
      </c>
      <c r="O2949" s="30">
        <f>IF(A2949="","",YEAR(A2949))</f>
        <v/>
      </c>
      <c r="P2949" s="30">
        <f>IF(A2949="","",CHOOSE(WEEKDAY(A2949,2),"Segunda","Terça","Quarta","Quinta","Sexta","Sábado","Domingo"))</f>
        <v/>
      </c>
      <c r="Q2949" s="30">
        <f>IF(B2949="","",IF(B2949&lt;TIME(12,0,0),"Manhã",IF(B2949&lt;TIME(18,0,0),"Tarde","Noite")))</f>
        <v/>
      </c>
      <c r="R2949" s="46">
        <f>IF(AND(H2949="Realizado",L2949&lt;&gt;"",A2949&lt;=Config!$B$9),L2949/60,0)</f>
        <v>0</v>
      </c>
      <c r="S2949" s="45">
        <f>IF(G2949="","",IFERROR(INDEX(Config!$K$5:$K$16,MATCH(G2949,Config!$J$5:$J$16,0)),""))</f>
        <v/>
      </c>
      <c r="T2949" s="31">
        <f>IF(OR(G2949="",F2949=""),"",IFERROR(INDEX(Config!$M$5:$R$16,MATCH(G2949,Config!$J$5:$J$16,0),MATCH(F2949,Config!$H$5:$H$10,0)),""))</f>
        <v/>
      </c>
      <c r="U2949" s="47">
        <f>IF(AND(H2949="Realizado",L2949&lt;&gt;""),L2949/60,0)</f>
        <v>0</v>
      </c>
      <c r="V2949" s="47">
        <f>IF(AND(H2949="Realizado",OR(L2949="",M2949="")),1,0)</f>
        <v>0</v>
      </c>
    </row>
    <row r="2950">
      <c r="A2950" s="43" t="n"/>
      <c r="B2950" s="44" t="n"/>
      <c r="C2950" s="38" t="n"/>
      <c r="D2950" s="38" t="n"/>
      <c r="E2950" s="37" t="n"/>
      <c r="F2950" s="38" t="n"/>
      <c r="G2950" s="38" t="n"/>
      <c r="H2950" s="38" t="n"/>
      <c r="I2950" s="38" t="n"/>
      <c r="J2950" s="38" t="n"/>
      <c r="K2950" s="37" t="n"/>
      <c r="L2950" s="39" t="n"/>
      <c r="M2950" s="40" t="n"/>
      <c r="N2950" s="30">
        <f>IF(A2950="","",MONTH(A2950))</f>
        <v/>
      </c>
      <c r="O2950" s="30">
        <f>IF(A2950="","",YEAR(A2950))</f>
        <v/>
      </c>
      <c r="P2950" s="30">
        <f>IF(A2950="","",CHOOSE(WEEKDAY(A2950,2),"Segunda","Terça","Quarta","Quinta","Sexta","Sábado","Domingo"))</f>
        <v/>
      </c>
      <c r="Q2950" s="30">
        <f>IF(B2950="","",IF(B2950&lt;TIME(12,0,0),"Manhã",IF(B2950&lt;TIME(18,0,0),"Tarde","Noite")))</f>
        <v/>
      </c>
      <c r="R2950" s="46">
        <f>IF(AND(H2950="Realizado",L2950&lt;&gt;"",A2950&lt;=Config!$B$9),L2950/60,0)</f>
        <v>0</v>
      </c>
      <c r="S2950" s="45">
        <f>IF(G2950="","",IFERROR(INDEX(Config!$K$5:$K$16,MATCH(G2950,Config!$J$5:$J$16,0)),""))</f>
        <v/>
      </c>
      <c r="T2950" s="31">
        <f>IF(OR(G2950="",F2950=""),"",IFERROR(INDEX(Config!$M$5:$R$16,MATCH(G2950,Config!$J$5:$J$16,0),MATCH(F2950,Config!$H$5:$H$10,0)),""))</f>
        <v/>
      </c>
      <c r="U2950" s="47">
        <f>IF(AND(H2950="Realizado",L2950&lt;&gt;""),L2950/60,0)</f>
        <v>0</v>
      </c>
      <c r="V2950" s="47">
        <f>IF(AND(H2950="Realizado",OR(L2950="",M2950="")),1,0)</f>
        <v>0</v>
      </c>
    </row>
    <row r="2951">
      <c r="A2951" s="43" t="n"/>
      <c r="B2951" s="44" t="n"/>
      <c r="C2951" s="38" t="n"/>
      <c r="D2951" s="38" t="n"/>
      <c r="E2951" s="37" t="n"/>
      <c r="F2951" s="38" t="n"/>
      <c r="G2951" s="38" t="n"/>
      <c r="H2951" s="38" t="n"/>
      <c r="I2951" s="38" t="n"/>
      <c r="J2951" s="38" t="n"/>
      <c r="K2951" s="37" t="n"/>
      <c r="L2951" s="39" t="n"/>
      <c r="M2951" s="40" t="n"/>
      <c r="N2951" s="30">
        <f>IF(A2951="","",MONTH(A2951))</f>
        <v/>
      </c>
      <c r="O2951" s="30">
        <f>IF(A2951="","",YEAR(A2951))</f>
        <v/>
      </c>
      <c r="P2951" s="30">
        <f>IF(A2951="","",CHOOSE(WEEKDAY(A2951,2),"Segunda","Terça","Quarta","Quinta","Sexta","Sábado","Domingo"))</f>
        <v/>
      </c>
      <c r="Q2951" s="30">
        <f>IF(B2951="","",IF(B2951&lt;TIME(12,0,0),"Manhã",IF(B2951&lt;TIME(18,0,0),"Tarde","Noite")))</f>
        <v/>
      </c>
      <c r="R2951" s="46">
        <f>IF(AND(H2951="Realizado",L2951&lt;&gt;"",A2951&lt;=Config!$B$9),L2951/60,0)</f>
        <v>0</v>
      </c>
      <c r="S2951" s="45">
        <f>IF(G2951="","",IFERROR(INDEX(Config!$K$5:$K$16,MATCH(G2951,Config!$J$5:$J$16,0)),""))</f>
        <v/>
      </c>
      <c r="T2951" s="31">
        <f>IF(OR(G2951="",F2951=""),"",IFERROR(INDEX(Config!$M$5:$R$16,MATCH(G2951,Config!$J$5:$J$16,0),MATCH(F2951,Config!$H$5:$H$10,0)),""))</f>
        <v/>
      </c>
      <c r="U2951" s="47">
        <f>IF(AND(H2951="Realizado",L2951&lt;&gt;""),L2951/60,0)</f>
        <v>0</v>
      </c>
      <c r="V2951" s="47">
        <f>IF(AND(H2951="Realizado",OR(L2951="",M2951="")),1,0)</f>
        <v>0</v>
      </c>
    </row>
    <row r="2952">
      <c r="A2952" s="43" t="n"/>
      <c r="B2952" s="44" t="n"/>
      <c r="C2952" s="38" t="n"/>
      <c r="D2952" s="38" t="n"/>
      <c r="E2952" s="37" t="n"/>
      <c r="F2952" s="38" t="n"/>
      <c r="G2952" s="38" t="n"/>
      <c r="H2952" s="38" t="n"/>
      <c r="I2952" s="38" t="n"/>
      <c r="J2952" s="38" t="n"/>
      <c r="K2952" s="37" t="n"/>
      <c r="L2952" s="39" t="n"/>
      <c r="M2952" s="40" t="n"/>
      <c r="N2952" s="30">
        <f>IF(A2952="","",MONTH(A2952))</f>
        <v/>
      </c>
      <c r="O2952" s="30">
        <f>IF(A2952="","",YEAR(A2952))</f>
        <v/>
      </c>
      <c r="P2952" s="30">
        <f>IF(A2952="","",CHOOSE(WEEKDAY(A2952,2),"Segunda","Terça","Quarta","Quinta","Sexta","Sábado","Domingo"))</f>
        <v/>
      </c>
      <c r="Q2952" s="30">
        <f>IF(B2952="","",IF(B2952&lt;TIME(12,0,0),"Manhã",IF(B2952&lt;TIME(18,0,0),"Tarde","Noite")))</f>
        <v/>
      </c>
      <c r="R2952" s="46">
        <f>IF(AND(H2952="Realizado",L2952&lt;&gt;"",A2952&lt;=Config!$B$9),L2952/60,0)</f>
        <v>0</v>
      </c>
      <c r="S2952" s="45">
        <f>IF(G2952="","",IFERROR(INDEX(Config!$K$5:$K$16,MATCH(G2952,Config!$J$5:$J$16,0)),""))</f>
        <v/>
      </c>
      <c r="T2952" s="31">
        <f>IF(OR(G2952="",F2952=""),"",IFERROR(INDEX(Config!$M$5:$R$16,MATCH(G2952,Config!$J$5:$J$16,0),MATCH(F2952,Config!$H$5:$H$10,0)),""))</f>
        <v/>
      </c>
      <c r="U2952" s="47">
        <f>IF(AND(H2952="Realizado",L2952&lt;&gt;""),L2952/60,0)</f>
        <v>0</v>
      </c>
      <c r="V2952" s="47">
        <f>IF(AND(H2952="Realizado",OR(L2952="",M2952="")),1,0)</f>
        <v>0</v>
      </c>
    </row>
    <row r="2953">
      <c r="A2953" s="43" t="n"/>
      <c r="B2953" s="44" t="n"/>
      <c r="C2953" s="38" t="n"/>
      <c r="D2953" s="38" t="n"/>
      <c r="E2953" s="37" t="n"/>
      <c r="F2953" s="38" t="n"/>
      <c r="G2953" s="38" t="n"/>
      <c r="H2953" s="38" t="n"/>
      <c r="I2953" s="38" t="n"/>
      <c r="J2953" s="38" t="n"/>
      <c r="K2953" s="37" t="n"/>
      <c r="L2953" s="39" t="n"/>
      <c r="M2953" s="40" t="n"/>
      <c r="N2953" s="30">
        <f>IF(A2953="","",MONTH(A2953))</f>
        <v/>
      </c>
      <c r="O2953" s="30">
        <f>IF(A2953="","",YEAR(A2953))</f>
        <v/>
      </c>
      <c r="P2953" s="30">
        <f>IF(A2953="","",CHOOSE(WEEKDAY(A2953,2),"Segunda","Terça","Quarta","Quinta","Sexta","Sábado","Domingo"))</f>
        <v/>
      </c>
      <c r="Q2953" s="30">
        <f>IF(B2953="","",IF(B2953&lt;TIME(12,0,0),"Manhã",IF(B2953&lt;TIME(18,0,0),"Tarde","Noite")))</f>
        <v/>
      </c>
      <c r="R2953" s="46">
        <f>IF(AND(H2953="Realizado",L2953&lt;&gt;"",A2953&lt;=Config!$B$9),L2953/60,0)</f>
        <v>0</v>
      </c>
      <c r="S2953" s="45">
        <f>IF(G2953="","",IFERROR(INDEX(Config!$K$5:$K$16,MATCH(G2953,Config!$J$5:$J$16,0)),""))</f>
        <v/>
      </c>
      <c r="T2953" s="31">
        <f>IF(OR(G2953="",F2953=""),"",IFERROR(INDEX(Config!$M$5:$R$16,MATCH(G2953,Config!$J$5:$J$16,0),MATCH(F2953,Config!$H$5:$H$10,0)),""))</f>
        <v/>
      </c>
      <c r="U2953" s="47">
        <f>IF(AND(H2953="Realizado",L2953&lt;&gt;""),L2953/60,0)</f>
        <v>0</v>
      </c>
      <c r="V2953" s="47">
        <f>IF(AND(H2953="Realizado",OR(L2953="",M2953="")),1,0)</f>
        <v>0</v>
      </c>
    </row>
    <row r="2954">
      <c r="A2954" s="43" t="n"/>
      <c r="B2954" s="44" t="n"/>
      <c r="C2954" s="38" t="n"/>
      <c r="D2954" s="38" t="n"/>
      <c r="E2954" s="37" t="n"/>
      <c r="F2954" s="38" t="n"/>
      <c r="G2954" s="38" t="n"/>
      <c r="H2954" s="38" t="n"/>
      <c r="I2954" s="38" t="n"/>
      <c r="J2954" s="38" t="n"/>
      <c r="K2954" s="37" t="n"/>
      <c r="L2954" s="39" t="n"/>
      <c r="M2954" s="40" t="n"/>
      <c r="N2954" s="30">
        <f>IF(A2954="","",MONTH(A2954))</f>
        <v/>
      </c>
      <c r="O2954" s="30">
        <f>IF(A2954="","",YEAR(A2954))</f>
        <v/>
      </c>
      <c r="P2954" s="30">
        <f>IF(A2954="","",CHOOSE(WEEKDAY(A2954,2),"Segunda","Terça","Quarta","Quinta","Sexta","Sábado","Domingo"))</f>
        <v/>
      </c>
      <c r="Q2954" s="30">
        <f>IF(B2954="","",IF(B2954&lt;TIME(12,0,0),"Manhã",IF(B2954&lt;TIME(18,0,0),"Tarde","Noite")))</f>
        <v/>
      </c>
      <c r="R2954" s="46">
        <f>IF(AND(H2954="Realizado",L2954&lt;&gt;"",A2954&lt;=Config!$B$9),L2954/60,0)</f>
        <v>0</v>
      </c>
      <c r="S2954" s="45">
        <f>IF(G2954="","",IFERROR(INDEX(Config!$K$5:$K$16,MATCH(G2954,Config!$J$5:$J$16,0)),""))</f>
        <v/>
      </c>
      <c r="T2954" s="31">
        <f>IF(OR(G2954="",F2954=""),"",IFERROR(INDEX(Config!$M$5:$R$16,MATCH(G2954,Config!$J$5:$J$16,0),MATCH(F2954,Config!$H$5:$H$10,0)),""))</f>
        <v/>
      </c>
      <c r="U2954" s="47">
        <f>IF(AND(H2954="Realizado",L2954&lt;&gt;""),L2954/60,0)</f>
        <v>0</v>
      </c>
      <c r="V2954" s="47">
        <f>IF(AND(H2954="Realizado",OR(L2954="",M2954="")),1,0)</f>
        <v>0</v>
      </c>
    </row>
    <row r="2955">
      <c r="A2955" s="43" t="n"/>
      <c r="B2955" s="44" t="n"/>
      <c r="C2955" s="38" t="n"/>
      <c r="D2955" s="38" t="n"/>
      <c r="E2955" s="37" t="n"/>
      <c r="F2955" s="38" t="n"/>
      <c r="G2955" s="38" t="n"/>
      <c r="H2955" s="38" t="n"/>
      <c r="I2955" s="38" t="n"/>
      <c r="J2955" s="38" t="n"/>
      <c r="K2955" s="37" t="n"/>
      <c r="L2955" s="39" t="n"/>
      <c r="M2955" s="40" t="n"/>
      <c r="N2955" s="30">
        <f>IF(A2955="","",MONTH(A2955))</f>
        <v/>
      </c>
      <c r="O2955" s="30">
        <f>IF(A2955="","",YEAR(A2955))</f>
        <v/>
      </c>
      <c r="P2955" s="30">
        <f>IF(A2955="","",CHOOSE(WEEKDAY(A2955,2),"Segunda","Terça","Quarta","Quinta","Sexta","Sábado","Domingo"))</f>
        <v/>
      </c>
      <c r="Q2955" s="30">
        <f>IF(B2955="","",IF(B2955&lt;TIME(12,0,0),"Manhã",IF(B2955&lt;TIME(18,0,0),"Tarde","Noite")))</f>
        <v/>
      </c>
      <c r="R2955" s="46">
        <f>IF(AND(H2955="Realizado",L2955&lt;&gt;"",A2955&lt;=Config!$B$9),L2955/60,0)</f>
        <v>0</v>
      </c>
      <c r="S2955" s="45">
        <f>IF(G2955="","",IFERROR(INDEX(Config!$K$5:$K$16,MATCH(G2955,Config!$J$5:$J$16,0)),""))</f>
        <v/>
      </c>
      <c r="T2955" s="31">
        <f>IF(OR(G2955="",F2955=""),"",IFERROR(INDEX(Config!$M$5:$R$16,MATCH(G2955,Config!$J$5:$J$16,0),MATCH(F2955,Config!$H$5:$H$10,0)),""))</f>
        <v/>
      </c>
      <c r="U2955" s="47">
        <f>IF(AND(H2955="Realizado",L2955&lt;&gt;""),L2955/60,0)</f>
        <v>0</v>
      </c>
      <c r="V2955" s="47">
        <f>IF(AND(H2955="Realizado",OR(L2955="",M2955="")),1,0)</f>
        <v>0</v>
      </c>
    </row>
    <row r="2956">
      <c r="A2956" s="43" t="n"/>
      <c r="B2956" s="44" t="n"/>
      <c r="C2956" s="38" t="n"/>
      <c r="D2956" s="38" t="n"/>
      <c r="E2956" s="37" t="n"/>
      <c r="F2956" s="38" t="n"/>
      <c r="G2956" s="38" t="n"/>
      <c r="H2956" s="38" t="n"/>
      <c r="I2956" s="38" t="n"/>
      <c r="J2956" s="38" t="n"/>
      <c r="K2956" s="37" t="n"/>
      <c r="L2956" s="39" t="n"/>
      <c r="M2956" s="40" t="n"/>
      <c r="N2956" s="30">
        <f>IF(A2956="","",MONTH(A2956))</f>
        <v/>
      </c>
      <c r="O2956" s="30">
        <f>IF(A2956="","",YEAR(A2956))</f>
        <v/>
      </c>
      <c r="P2956" s="30">
        <f>IF(A2956="","",CHOOSE(WEEKDAY(A2956,2),"Segunda","Terça","Quarta","Quinta","Sexta","Sábado","Domingo"))</f>
        <v/>
      </c>
      <c r="Q2956" s="30">
        <f>IF(B2956="","",IF(B2956&lt;TIME(12,0,0),"Manhã",IF(B2956&lt;TIME(18,0,0),"Tarde","Noite")))</f>
        <v/>
      </c>
      <c r="R2956" s="46">
        <f>IF(AND(H2956="Realizado",L2956&lt;&gt;"",A2956&lt;=Config!$B$9),L2956/60,0)</f>
        <v>0</v>
      </c>
      <c r="S2956" s="45">
        <f>IF(G2956="","",IFERROR(INDEX(Config!$K$5:$K$16,MATCH(G2956,Config!$J$5:$J$16,0)),""))</f>
        <v/>
      </c>
      <c r="T2956" s="31">
        <f>IF(OR(G2956="",F2956=""),"",IFERROR(INDEX(Config!$M$5:$R$16,MATCH(G2956,Config!$J$5:$J$16,0),MATCH(F2956,Config!$H$5:$H$10,0)),""))</f>
        <v/>
      </c>
      <c r="U2956" s="47">
        <f>IF(AND(H2956="Realizado",L2956&lt;&gt;""),L2956/60,0)</f>
        <v>0</v>
      </c>
      <c r="V2956" s="47">
        <f>IF(AND(H2956="Realizado",OR(L2956="",M2956="")),1,0)</f>
        <v>0</v>
      </c>
    </row>
    <row r="2957">
      <c r="A2957" s="43" t="n"/>
      <c r="B2957" s="44" t="n"/>
      <c r="C2957" s="38" t="n"/>
      <c r="D2957" s="38" t="n"/>
      <c r="E2957" s="37" t="n"/>
      <c r="F2957" s="38" t="n"/>
      <c r="G2957" s="38" t="n"/>
      <c r="H2957" s="38" t="n"/>
      <c r="I2957" s="38" t="n"/>
      <c r="J2957" s="38" t="n"/>
      <c r="K2957" s="37" t="n"/>
      <c r="L2957" s="39" t="n"/>
      <c r="M2957" s="40" t="n"/>
      <c r="N2957" s="30">
        <f>IF(A2957="","",MONTH(A2957))</f>
        <v/>
      </c>
      <c r="O2957" s="30">
        <f>IF(A2957="","",YEAR(A2957))</f>
        <v/>
      </c>
      <c r="P2957" s="30">
        <f>IF(A2957="","",CHOOSE(WEEKDAY(A2957,2),"Segunda","Terça","Quarta","Quinta","Sexta","Sábado","Domingo"))</f>
        <v/>
      </c>
      <c r="Q2957" s="30">
        <f>IF(B2957="","",IF(B2957&lt;TIME(12,0,0),"Manhã",IF(B2957&lt;TIME(18,0,0),"Tarde","Noite")))</f>
        <v/>
      </c>
      <c r="R2957" s="46">
        <f>IF(AND(H2957="Realizado",L2957&lt;&gt;"",A2957&lt;=Config!$B$9),L2957/60,0)</f>
        <v>0</v>
      </c>
      <c r="S2957" s="45">
        <f>IF(G2957="","",IFERROR(INDEX(Config!$K$5:$K$16,MATCH(G2957,Config!$J$5:$J$16,0)),""))</f>
        <v/>
      </c>
      <c r="T2957" s="31">
        <f>IF(OR(G2957="",F2957=""),"",IFERROR(INDEX(Config!$M$5:$R$16,MATCH(G2957,Config!$J$5:$J$16,0),MATCH(F2957,Config!$H$5:$H$10,0)),""))</f>
        <v/>
      </c>
      <c r="U2957" s="47">
        <f>IF(AND(H2957="Realizado",L2957&lt;&gt;""),L2957/60,0)</f>
        <v>0</v>
      </c>
      <c r="V2957" s="47">
        <f>IF(AND(H2957="Realizado",OR(L2957="",M2957="")),1,0)</f>
        <v>0</v>
      </c>
    </row>
    <row r="2958">
      <c r="A2958" s="43" t="n"/>
      <c r="B2958" s="44" t="n"/>
      <c r="C2958" s="38" t="n"/>
      <c r="D2958" s="38" t="n"/>
      <c r="E2958" s="37" t="n"/>
      <c r="F2958" s="38" t="n"/>
      <c r="G2958" s="38" t="n"/>
      <c r="H2958" s="38" t="n"/>
      <c r="I2958" s="38" t="n"/>
      <c r="J2958" s="38" t="n"/>
      <c r="K2958" s="37" t="n"/>
      <c r="L2958" s="39" t="n"/>
      <c r="M2958" s="40" t="n"/>
      <c r="N2958" s="30">
        <f>IF(A2958="","",MONTH(A2958))</f>
        <v/>
      </c>
      <c r="O2958" s="30">
        <f>IF(A2958="","",YEAR(A2958))</f>
        <v/>
      </c>
      <c r="P2958" s="30">
        <f>IF(A2958="","",CHOOSE(WEEKDAY(A2958,2),"Segunda","Terça","Quarta","Quinta","Sexta","Sábado","Domingo"))</f>
        <v/>
      </c>
      <c r="Q2958" s="30">
        <f>IF(B2958="","",IF(B2958&lt;TIME(12,0,0),"Manhã",IF(B2958&lt;TIME(18,0,0),"Tarde","Noite")))</f>
        <v/>
      </c>
      <c r="R2958" s="46">
        <f>IF(AND(H2958="Realizado",L2958&lt;&gt;"",A2958&lt;=Config!$B$9),L2958/60,0)</f>
        <v>0</v>
      </c>
      <c r="S2958" s="45">
        <f>IF(G2958="","",IFERROR(INDEX(Config!$K$5:$K$16,MATCH(G2958,Config!$J$5:$J$16,0)),""))</f>
        <v/>
      </c>
      <c r="T2958" s="31">
        <f>IF(OR(G2958="",F2958=""),"",IFERROR(INDEX(Config!$M$5:$R$16,MATCH(G2958,Config!$J$5:$J$16,0),MATCH(F2958,Config!$H$5:$H$10,0)),""))</f>
        <v/>
      </c>
      <c r="U2958" s="47">
        <f>IF(AND(H2958="Realizado",L2958&lt;&gt;""),L2958/60,0)</f>
        <v>0</v>
      </c>
      <c r="V2958" s="47">
        <f>IF(AND(H2958="Realizado",OR(L2958="",M2958="")),1,0)</f>
        <v>0</v>
      </c>
    </row>
    <row r="2959">
      <c r="A2959" s="43" t="n"/>
      <c r="B2959" s="44" t="n"/>
      <c r="C2959" s="38" t="n"/>
      <c r="D2959" s="38" t="n"/>
      <c r="E2959" s="37" t="n"/>
      <c r="F2959" s="38" t="n"/>
      <c r="G2959" s="38" t="n"/>
      <c r="H2959" s="38" t="n"/>
      <c r="I2959" s="38" t="n"/>
      <c r="J2959" s="38" t="n"/>
      <c r="K2959" s="37" t="n"/>
      <c r="L2959" s="39" t="n"/>
      <c r="M2959" s="40" t="n"/>
      <c r="N2959" s="30">
        <f>IF(A2959="","",MONTH(A2959))</f>
        <v/>
      </c>
      <c r="O2959" s="30">
        <f>IF(A2959="","",YEAR(A2959))</f>
        <v/>
      </c>
      <c r="P2959" s="30">
        <f>IF(A2959="","",CHOOSE(WEEKDAY(A2959,2),"Segunda","Terça","Quarta","Quinta","Sexta","Sábado","Domingo"))</f>
        <v/>
      </c>
      <c r="Q2959" s="30">
        <f>IF(B2959="","",IF(B2959&lt;TIME(12,0,0),"Manhã",IF(B2959&lt;TIME(18,0,0),"Tarde","Noite")))</f>
        <v/>
      </c>
      <c r="R2959" s="46">
        <f>IF(AND(H2959="Realizado",L2959&lt;&gt;"",A2959&lt;=Config!$B$9),L2959/60,0)</f>
        <v>0</v>
      </c>
      <c r="S2959" s="45">
        <f>IF(G2959="","",IFERROR(INDEX(Config!$K$5:$K$16,MATCH(G2959,Config!$J$5:$J$16,0)),""))</f>
        <v/>
      </c>
      <c r="T2959" s="31">
        <f>IF(OR(G2959="",F2959=""),"",IFERROR(INDEX(Config!$M$5:$R$16,MATCH(G2959,Config!$J$5:$J$16,0),MATCH(F2959,Config!$H$5:$H$10,0)),""))</f>
        <v/>
      </c>
      <c r="U2959" s="47">
        <f>IF(AND(H2959="Realizado",L2959&lt;&gt;""),L2959/60,0)</f>
        <v>0</v>
      </c>
      <c r="V2959" s="47">
        <f>IF(AND(H2959="Realizado",OR(L2959="",M2959="")),1,0)</f>
        <v>0</v>
      </c>
    </row>
    <row r="2960">
      <c r="A2960" s="43" t="n"/>
      <c r="B2960" s="44" t="n"/>
      <c r="C2960" s="38" t="n"/>
      <c r="D2960" s="38" t="n"/>
      <c r="E2960" s="37" t="n"/>
      <c r="F2960" s="38" t="n"/>
      <c r="G2960" s="38" t="n"/>
      <c r="H2960" s="38" t="n"/>
      <c r="I2960" s="38" t="n"/>
      <c r="J2960" s="38" t="n"/>
      <c r="K2960" s="37" t="n"/>
      <c r="L2960" s="39" t="n"/>
      <c r="M2960" s="40" t="n"/>
      <c r="N2960" s="30">
        <f>IF(A2960="","",MONTH(A2960))</f>
        <v/>
      </c>
      <c r="O2960" s="30">
        <f>IF(A2960="","",YEAR(A2960))</f>
        <v/>
      </c>
      <c r="P2960" s="30">
        <f>IF(A2960="","",CHOOSE(WEEKDAY(A2960,2),"Segunda","Terça","Quarta","Quinta","Sexta","Sábado","Domingo"))</f>
        <v/>
      </c>
      <c r="Q2960" s="30">
        <f>IF(B2960="","",IF(B2960&lt;TIME(12,0,0),"Manhã",IF(B2960&lt;TIME(18,0,0),"Tarde","Noite")))</f>
        <v/>
      </c>
      <c r="R2960" s="46">
        <f>IF(AND(H2960="Realizado",L2960&lt;&gt;"",A2960&lt;=Config!$B$9),L2960/60,0)</f>
        <v>0</v>
      </c>
      <c r="S2960" s="45">
        <f>IF(G2960="","",IFERROR(INDEX(Config!$K$5:$K$16,MATCH(G2960,Config!$J$5:$J$16,0)),""))</f>
        <v/>
      </c>
      <c r="T2960" s="31">
        <f>IF(OR(G2960="",F2960=""),"",IFERROR(INDEX(Config!$M$5:$R$16,MATCH(G2960,Config!$J$5:$J$16,0),MATCH(F2960,Config!$H$5:$H$10,0)),""))</f>
        <v/>
      </c>
      <c r="U2960" s="47">
        <f>IF(AND(H2960="Realizado",L2960&lt;&gt;""),L2960/60,0)</f>
        <v>0</v>
      </c>
      <c r="V2960" s="47">
        <f>IF(AND(H2960="Realizado",OR(L2960="",M2960="")),1,0)</f>
        <v>0</v>
      </c>
    </row>
    <row r="2961">
      <c r="A2961" s="43" t="n"/>
      <c r="B2961" s="44" t="n"/>
      <c r="C2961" s="38" t="n"/>
      <c r="D2961" s="38" t="n"/>
      <c r="E2961" s="37" t="n"/>
      <c r="F2961" s="38" t="n"/>
      <c r="G2961" s="38" t="n"/>
      <c r="H2961" s="38" t="n"/>
      <c r="I2961" s="38" t="n"/>
      <c r="J2961" s="38" t="n"/>
      <c r="K2961" s="37" t="n"/>
      <c r="L2961" s="39" t="n"/>
      <c r="M2961" s="40" t="n"/>
      <c r="N2961" s="30">
        <f>IF(A2961="","",MONTH(A2961))</f>
        <v/>
      </c>
      <c r="O2961" s="30">
        <f>IF(A2961="","",YEAR(A2961))</f>
        <v/>
      </c>
      <c r="P2961" s="30">
        <f>IF(A2961="","",CHOOSE(WEEKDAY(A2961,2),"Segunda","Terça","Quarta","Quinta","Sexta","Sábado","Domingo"))</f>
        <v/>
      </c>
      <c r="Q2961" s="30">
        <f>IF(B2961="","",IF(B2961&lt;TIME(12,0,0),"Manhã",IF(B2961&lt;TIME(18,0,0),"Tarde","Noite")))</f>
        <v/>
      </c>
      <c r="R2961" s="46">
        <f>IF(AND(H2961="Realizado",L2961&lt;&gt;"",A2961&lt;=Config!$B$9),L2961/60,0)</f>
        <v>0</v>
      </c>
      <c r="S2961" s="45">
        <f>IF(G2961="","",IFERROR(INDEX(Config!$K$5:$K$16,MATCH(G2961,Config!$J$5:$J$16,0)),""))</f>
        <v/>
      </c>
      <c r="T2961" s="31">
        <f>IF(OR(G2961="",F2961=""),"",IFERROR(INDEX(Config!$M$5:$R$16,MATCH(G2961,Config!$J$5:$J$16,0),MATCH(F2961,Config!$H$5:$H$10,0)),""))</f>
        <v/>
      </c>
      <c r="U2961" s="47">
        <f>IF(AND(H2961="Realizado",L2961&lt;&gt;""),L2961/60,0)</f>
        <v>0</v>
      </c>
      <c r="V2961" s="47">
        <f>IF(AND(H2961="Realizado",OR(L2961="",M2961="")),1,0)</f>
        <v>0</v>
      </c>
    </row>
    <row r="2962">
      <c r="A2962" s="43" t="n"/>
      <c r="B2962" s="44" t="n"/>
      <c r="C2962" s="38" t="n"/>
      <c r="D2962" s="38" t="n"/>
      <c r="E2962" s="37" t="n"/>
      <c r="F2962" s="38" t="n"/>
      <c r="G2962" s="38" t="n"/>
      <c r="H2962" s="38" t="n"/>
      <c r="I2962" s="38" t="n"/>
      <c r="J2962" s="38" t="n"/>
      <c r="K2962" s="37" t="n"/>
      <c r="L2962" s="39" t="n"/>
      <c r="M2962" s="40" t="n"/>
      <c r="N2962" s="30">
        <f>IF(A2962="","",MONTH(A2962))</f>
        <v/>
      </c>
      <c r="O2962" s="30">
        <f>IF(A2962="","",YEAR(A2962))</f>
        <v/>
      </c>
      <c r="P2962" s="30">
        <f>IF(A2962="","",CHOOSE(WEEKDAY(A2962,2),"Segunda","Terça","Quarta","Quinta","Sexta","Sábado","Domingo"))</f>
        <v/>
      </c>
      <c r="Q2962" s="30">
        <f>IF(B2962="","",IF(B2962&lt;TIME(12,0,0),"Manhã",IF(B2962&lt;TIME(18,0,0),"Tarde","Noite")))</f>
        <v/>
      </c>
      <c r="R2962" s="46">
        <f>IF(AND(H2962="Realizado",L2962&lt;&gt;"",A2962&lt;=Config!$B$9),L2962/60,0)</f>
        <v>0</v>
      </c>
      <c r="S2962" s="45">
        <f>IF(G2962="","",IFERROR(INDEX(Config!$K$5:$K$16,MATCH(G2962,Config!$J$5:$J$16,0)),""))</f>
        <v/>
      </c>
      <c r="T2962" s="31">
        <f>IF(OR(G2962="",F2962=""),"",IFERROR(INDEX(Config!$M$5:$R$16,MATCH(G2962,Config!$J$5:$J$16,0),MATCH(F2962,Config!$H$5:$H$10,0)),""))</f>
        <v/>
      </c>
      <c r="U2962" s="47">
        <f>IF(AND(H2962="Realizado",L2962&lt;&gt;""),L2962/60,0)</f>
        <v>0</v>
      </c>
      <c r="V2962" s="47">
        <f>IF(AND(H2962="Realizado",OR(L2962="",M2962="")),1,0)</f>
        <v>0</v>
      </c>
    </row>
    <row r="2963">
      <c r="A2963" s="43" t="n"/>
      <c r="B2963" s="44" t="n"/>
      <c r="C2963" s="38" t="n"/>
      <c r="D2963" s="38" t="n"/>
      <c r="E2963" s="37" t="n"/>
      <c r="F2963" s="38" t="n"/>
      <c r="G2963" s="38" t="n"/>
      <c r="H2963" s="38" t="n"/>
      <c r="I2963" s="38" t="n"/>
      <c r="J2963" s="38" t="n"/>
      <c r="K2963" s="37" t="n"/>
      <c r="L2963" s="39" t="n"/>
      <c r="M2963" s="40" t="n"/>
      <c r="N2963" s="30">
        <f>IF(A2963="","",MONTH(A2963))</f>
        <v/>
      </c>
      <c r="O2963" s="30">
        <f>IF(A2963="","",YEAR(A2963))</f>
        <v/>
      </c>
      <c r="P2963" s="30">
        <f>IF(A2963="","",CHOOSE(WEEKDAY(A2963,2),"Segunda","Terça","Quarta","Quinta","Sexta","Sábado","Domingo"))</f>
        <v/>
      </c>
      <c r="Q2963" s="30">
        <f>IF(B2963="","",IF(B2963&lt;TIME(12,0,0),"Manhã",IF(B2963&lt;TIME(18,0,0),"Tarde","Noite")))</f>
        <v/>
      </c>
      <c r="R2963" s="46">
        <f>IF(AND(H2963="Realizado",L2963&lt;&gt;"",A2963&lt;=Config!$B$9),L2963/60,0)</f>
        <v>0</v>
      </c>
      <c r="S2963" s="45">
        <f>IF(G2963="","",IFERROR(INDEX(Config!$K$5:$K$16,MATCH(G2963,Config!$J$5:$J$16,0)),""))</f>
        <v/>
      </c>
      <c r="T2963" s="31">
        <f>IF(OR(G2963="",F2963=""),"",IFERROR(INDEX(Config!$M$5:$R$16,MATCH(G2963,Config!$J$5:$J$16,0),MATCH(F2963,Config!$H$5:$H$10,0)),""))</f>
        <v/>
      </c>
      <c r="U2963" s="47">
        <f>IF(AND(H2963="Realizado",L2963&lt;&gt;""),L2963/60,0)</f>
        <v>0</v>
      </c>
      <c r="V2963" s="47">
        <f>IF(AND(H2963="Realizado",OR(L2963="",M2963="")),1,0)</f>
        <v>0</v>
      </c>
    </row>
    <row r="2964">
      <c r="A2964" s="43" t="n"/>
      <c r="B2964" s="44" t="n"/>
      <c r="C2964" s="38" t="n"/>
      <c r="D2964" s="38" t="n"/>
      <c r="E2964" s="37" t="n"/>
      <c r="F2964" s="38" t="n"/>
      <c r="G2964" s="38" t="n"/>
      <c r="H2964" s="38" t="n"/>
      <c r="I2964" s="38" t="n"/>
      <c r="J2964" s="38" t="n"/>
      <c r="K2964" s="37" t="n"/>
      <c r="L2964" s="39" t="n"/>
      <c r="M2964" s="40" t="n"/>
      <c r="N2964" s="30">
        <f>IF(A2964="","",MONTH(A2964))</f>
        <v/>
      </c>
      <c r="O2964" s="30">
        <f>IF(A2964="","",YEAR(A2964))</f>
        <v/>
      </c>
      <c r="P2964" s="30">
        <f>IF(A2964="","",CHOOSE(WEEKDAY(A2964,2),"Segunda","Terça","Quarta","Quinta","Sexta","Sábado","Domingo"))</f>
        <v/>
      </c>
      <c r="Q2964" s="30">
        <f>IF(B2964="","",IF(B2964&lt;TIME(12,0,0),"Manhã",IF(B2964&lt;TIME(18,0,0),"Tarde","Noite")))</f>
        <v/>
      </c>
      <c r="R2964" s="46">
        <f>IF(AND(H2964="Realizado",L2964&lt;&gt;"",A2964&lt;=Config!$B$9),L2964/60,0)</f>
        <v>0</v>
      </c>
      <c r="S2964" s="45">
        <f>IF(G2964="","",IFERROR(INDEX(Config!$K$5:$K$16,MATCH(G2964,Config!$J$5:$J$16,0)),""))</f>
        <v/>
      </c>
      <c r="T2964" s="31">
        <f>IF(OR(G2964="",F2964=""),"",IFERROR(INDEX(Config!$M$5:$R$16,MATCH(G2964,Config!$J$5:$J$16,0),MATCH(F2964,Config!$H$5:$H$10,0)),""))</f>
        <v/>
      </c>
      <c r="U2964" s="47">
        <f>IF(AND(H2964="Realizado",L2964&lt;&gt;""),L2964/60,0)</f>
        <v>0</v>
      </c>
      <c r="V2964" s="47">
        <f>IF(AND(H2964="Realizado",OR(L2964="",M2964="")),1,0)</f>
        <v>0</v>
      </c>
    </row>
    <row r="2965">
      <c r="A2965" s="43" t="n"/>
      <c r="B2965" s="44" t="n"/>
      <c r="C2965" s="38" t="n"/>
      <c r="D2965" s="38" t="n"/>
      <c r="E2965" s="37" t="n"/>
      <c r="F2965" s="38" t="n"/>
      <c r="G2965" s="38" t="n"/>
      <c r="H2965" s="38" t="n"/>
      <c r="I2965" s="38" t="n"/>
      <c r="J2965" s="38" t="n"/>
      <c r="K2965" s="37" t="n"/>
      <c r="L2965" s="39" t="n"/>
      <c r="M2965" s="40" t="n"/>
      <c r="N2965" s="30">
        <f>IF(A2965="","",MONTH(A2965))</f>
        <v/>
      </c>
      <c r="O2965" s="30">
        <f>IF(A2965="","",YEAR(A2965))</f>
        <v/>
      </c>
      <c r="P2965" s="30">
        <f>IF(A2965="","",CHOOSE(WEEKDAY(A2965,2),"Segunda","Terça","Quarta","Quinta","Sexta","Sábado","Domingo"))</f>
        <v/>
      </c>
      <c r="Q2965" s="30">
        <f>IF(B2965="","",IF(B2965&lt;TIME(12,0,0),"Manhã",IF(B2965&lt;TIME(18,0,0),"Tarde","Noite")))</f>
        <v/>
      </c>
      <c r="R2965" s="46">
        <f>IF(AND(H2965="Realizado",L2965&lt;&gt;"",A2965&lt;=Config!$B$9),L2965/60,0)</f>
        <v>0</v>
      </c>
      <c r="S2965" s="45">
        <f>IF(G2965="","",IFERROR(INDEX(Config!$K$5:$K$16,MATCH(G2965,Config!$J$5:$J$16,0)),""))</f>
        <v/>
      </c>
      <c r="T2965" s="31">
        <f>IF(OR(G2965="",F2965=""),"",IFERROR(INDEX(Config!$M$5:$R$16,MATCH(G2965,Config!$J$5:$J$16,0),MATCH(F2965,Config!$H$5:$H$10,0)),""))</f>
        <v/>
      </c>
      <c r="U2965" s="47">
        <f>IF(AND(H2965="Realizado",L2965&lt;&gt;""),L2965/60,0)</f>
        <v>0</v>
      </c>
      <c r="V2965" s="47">
        <f>IF(AND(H2965="Realizado",OR(L2965="",M2965="")),1,0)</f>
        <v>0</v>
      </c>
    </row>
    <row r="2966">
      <c r="A2966" s="43" t="n"/>
      <c r="B2966" s="44" t="n"/>
      <c r="C2966" s="38" t="n"/>
      <c r="D2966" s="38" t="n"/>
      <c r="E2966" s="37" t="n"/>
      <c r="F2966" s="38" t="n"/>
      <c r="G2966" s="38" t="n"/>
      <c r="H2966" s="38" t="n"/>
      <c r="I2966" s="38" t="n"/>
      <c r="J2966" s="38" t="n"/>
      <c r="K2966" s="37" t="n"/>
      <c r="L2966" s="39" t="n"/>
      <c r="M2966" s="40" t="n"/>
      <c r="N2966" s="30">
        <f>IF(A2966="","",MONTH(A2966))</f>
        <v/>
      </c>
      <c r="O2966" s="30">
        <f>IF(A2966="","",YEAR(A2966))</f>
        <v/>
      </c>
      <c r="P2966" s="30">
        <f>IF(A2966="","",CHOOSE(WEEKDAY(A2966,2),"Segunda","Terça","Quarta","Quinta","Sexta","Sábado","Domingo"))</f>
        <v/>
      </c>
      <c r="Q2966" s="30">
        <f>IF(B2966="","",IF(B2966&lt;TIME(12,0,0),"Manhã",IF(B2966&lt;TIME(18,0,0),"Tarde","Noite")))</f>
        <v/>
      </c>
      <c r="R2966" s="46">
        <f>IF(AND(H2966="Realizado",L2966&lt;&gt;"",A2966&lt;=Config!$B$9),L2966/60,0)</f>
        <v>0</v>
      </c>
      <c r="S2966" s="45">
        <f>IF(G2966="","",IFERROR(INDEX(Config!$K$5:$K$16,MATCH(G2966,Config!$J$5:$J$16,0)),""))</f>
        <v/>
      </c>
      <c r="T2966" s="31">
        <f>IF(OR(G2966="",F2966=""),"",IFERROR(INDEX(Config!$M$5:$R$16,MATCH(G2966,Config!$J$5:$J$16,0),MATCH(F2966,Config!$H$5:$H$10,0)),""))</f>
        <v/>
      </c>
      <c r="U2966" s="47">
        <f>IF(AND(H2966="Realizado",L2966&lt;&gt;""),L2966/60,0)</f>
        <v>0</v>
      </c>
      <c r="V2966" s="47">
        <f>IF(AND(H2966="Realizado",OR(L2966="",M2966="")),1,0)</f>
        <v>0</v>
      </c>
    </row>
    <row r="2967">
      <c r="A2967" s="43" t="n"/>
      <c r="B2967" s="44" t="n"/>
      <c r="C2967" s="38" t="n"/>
      <c r="D2967" s="38" t="n"/>
      <c r="E2967" s="37" t="n"/>
      <c r="F2967" s="38" t="n"/>
      <c r="G2967" s="38" t="n"/>
      <c r="H2967" s="38" t="n"/>
      <c r="I2967" s="38" t="n"/>
      <c r="J2967" s="38" t="n"/>
      <c r="K2967" s="37" t="n"/>
      <c r="L2967" s="39" t="n"/>
      <c r="M2967" s="40" t="n"/>
      <c r="N2967" s="30">
        <f>IF(A2967="","",MONTH(A2967))</f>
        <v/>
      </c>
      <c r="O2967" s="30">
        <f>IF(A2967="","",YEAR(A2967))</f>
        <v/>
      </c>
      <c r="P2967" s="30">
        <f>IF(A2967="","",CHOOSE(WEEKDAY(A2967,2),"Segunda","Terça","Quarta","Quinta","Sexta","Sábado","Domingo"))</f>
        <v/>
      </c>
      <c r="Q2967" s="30">
        <f>IF(B2967="","",IF(B2967&lt;TIME(12,0,0),"Manhã",IF(B2967&lt;TIME(18,0,0),"Tarde","Noite")))</f>
        <v/>
      </c>
      <c r="R2967" s="46">
        <f>IF(AND(H2967="Realizado",L2967&lt;&gt;"",A2967&lt;=Config!$B$9),L2967/60,0)</f>
        <v>0</v>
      </c>
      <c r="S2967" s="45">
        <f>IF(G2967="","",IFERROR(INDEX(Config!$K$5:$K$16,MATCH(G2967,Config!$J$5:$J$16,0)),""))</f>
        <v/>
      </c>
      <c r="T2967" s="31">
        <f>IF(OR(G2967="",F2967=""),"",IFERROR(INDEX(Config!$M$5:$R$16,MATCH(G2967,Config!$J$5:$J$16,0),MATCH(F2967,Config!$H$5:$H$10,0)),""))</f>
        <v/>
      </c>
      <c r="U2967" s="47">
        <f>IF(AND(H2967="Realizado",L2967&lt;&gt;""),L2967/60,0)</f>
        <v>0</v>
      </c>
      <c r="V2967" s="47">
        <f>IF(AND(H2967="Realizado",OR(L2967="",M2967="")),1,0)</f>
        <v>0</v>
      </c>
    </row>
    <row r="2968">
      <c r="A2968" s="43" t="n"/>
      <c r="B2968" s="44" t="n"/>
      <c r="C2968" s="38" t="n"/>
      <c r="D2968" s="38" t="n"/>
      <c r="E2968" s="37" t="n"/>
      <c r="F2968" s="38" t="n"/>
      <c r="G2968" s="38" t="n"/>
      <c r="H2968" s="38" t="n"/>
      <c r="I2968" s="38" t="n"/>
      <c r="J2968" s="38" t="n"/>
      <c r="K2968" s="37" t="n"/>
      <c r="L2968" s="39" t="n"/>
      <c r="M2968" s="40" t="n"/>
      <c r="N2968" s="30">
        <f>IF(A2968="","",MONTH(A2968))</f>
        <v/>
      </c>
      <c r="O2968" s="30">
        <f>IF(A2968="","",YEAR(A2968))</f>
        <v/>
      </c>
      <c r="P2968" s="30">
        <f>IF(A2968="","",CHOOSE(WEEKDAY(A2968,2),"Segunda","Terça","Quarta","Quinta","Sexta","Sábado","Domingo"))</f>
        <v/>
      </c>
      <c r="Q2968" s="30">
        <f>IF(B2968="","",IF(B2968&lt;TIME(12,0,0),"Manhã",IF(B2968&lt;TIME(18,0,0),"Tarde","Noite")))</f>
        <v/>
      </c>
      <c r="R2968" s="46">
        <f>IF(AND(H2968="Realizado",L2968&lt;&gt;"",A2968&lt;=Config!$B$9),L2968/60,0)</f>
        <v>0</v>
      </c>
      <c r="S2968" s="45">
        <f>IF(G2968="","",IFERROR(INDEX(Config!$K$5:$K$16,MATCH(G2968,Config!$J$5:$J$16,0)),""))</f>
        <v/>
      </c>
      <c r="T2968" s="31">
        <f>IF(OR(G2968="",F2968=""),"",IFERROR(INDEX(Config!$M$5:$R$16,MATCH(G2968,Config!$J$5:$J$16,0),MATCH(F2968,Config!$H$5:$H$10,0)),""))</f>
        <v/>
      </c>
      <c r="U2968" s="47">
        <f>IF(AND(H2968="Realizado",L2968&lt;&gt;""),L2968/60,0)</f>
        <v>0</v>
      </c>
      <c r="V2968" s="47">
        <f>IF(AND(H2968="Realizado",OR(L2968="",M2968="")),1,0)</f>
        <v>0</v>
      </c>
    </row>
    <row r="2969">
      <c r="A2969" s="43" t="n"/>
      <c r="B2969" s="44" t="n"/>
      <c r="C2969" s="38" t="n"/>
      <c r="D2969" s="38" t="n"/>
      <c r="E2969" s="37" t="n"/>
      <c r="F2969" s="38" t="n"/>
      <c r="G2969" s="38" t="n"/>
      <c r="H2969" s="38" t="n"/>
      <c r="I2969" s="38" t="n"/>
      <c r="J2969" s="38" t="n"/>
      <c r="K2969" s="37" t="n"/>
      <c r="L2969" s="39" t="n"/>
      <c r="M2969" s="40" t="n"/>
      <c r="N2969" s="30">
        <f>IF(A2969="","",MONTH(A2969))</f>
        <v/>
      </c>
      <c r="O2969" s="30">
        <f>IF(A2969="","",YEAR(A2969))</f>
        <v/>
      </c>
      <c r="P2969" s="30">
        <f>IF(A2969="","",CHOOSE(WEEKDAY(A2969,2),"Segunda","Terça","Quarta","Quinta","Sexta","Sábado","Domingo"))</f>
        <v/>
      </c>
      <c r="Q2969" s="30">
        <f>IF(B2969="","",IF(B2969&lt;TIME(12,0,0),"Manhã",IF(B2969&lt;TIME(18,0,0),"Tarde","Noite")))</f>
        <v/>
      </c>
      <c r="R2969" s="46">
        <f>IF(AND(H2969="Realizado",L2969&lt;&gt;"",A2969&lt;=Config!$B$9),L2969/60,0)</f>
        <v>0</v>
      </c>
      <c r="S2969" s="45">
        <f>IF(G2969="","",IFERROR(INDEX(Config!$K$5:$K$16,MATCH(G2969,Config!$J$5:$J$16,0)),""))</f>
        <v/>
      </c>
      <c r="T2969" s="31">
        <f>IF(OR(G2969="",F2969=""),"",IFERROR(INDEX(Config!$M$5:$R$16,MATCH(G2969,Config!$J$5:$J$16,0),MATCH(F2969,Config!$H$5:$H$10,0)),""))</f>
        <v/>
      </c>
      <c r="U2969" s="47">
        <f>IF(AND(H2969="Realizado",L2969&lt;&gt;""),L2969/60,0)</f>
        <v>0</v>
      </c>
      <c r="V2969" s="47">
        <f>IF(AND(H2969="Realizado",OR(L2969="",M2969="")),1,0)</f>
        <v>0</v>
      </c>
    </row>
    <row r="2970">
      <c r="A2970" s="43" t="n"/>
      <c r="B2970" s="44" t="n"/>
      <c r="C2970" s="38" t="n"/>
      <c r="D2970" s="38" t="n"/>
      <c r="E2970" s="37" t="n"/>
      <c r="F2970" s="38" t="n"/>
      <c r="G2970" s="38" t="n"/>
      <c r="H2970" s="38" t="n"/>
      <c r="I2970" s="38" t="n"/>
      <c r="J2970" s="38" t="n"/>
      <c r="K2970" s="37" t="n"/>
      <c r="L2970" s="39" t="n"/>
      <c r="M2970" s="40" t="n"/>
      <c r="N2970" s="30">
        <f>IF(A2970="","",MONTH(A2970))</f>
        <v/>
      </c>
      <c r="O2970" s="30">
        <f>IF(A2970="","",YEAR(A2970))</f>
        <v/>
      </c>
      <c r="P2970" s="30">
        <f>IF(A2970="","",CHOOSE(WEEKDAY(A2970,2),"Segunda","Terça","Quarta","Quinta","Sexta","Sábado","Domingo"))</f>
        <v/>
      </c>
      <c r="Q2970" s="30">
        <f>IF(B2970="","",IF(B2970&lt;TIME(12,0,0),"Manhã",IF(B2970&lt;TIME(18,0,0),"Tarde","Noite")))</f>
        <v/>
      </c>
      <c r="R2970" s="46">
        <f>IF(AND(H2970="Realizado",L2970&lt;&gt;"",A2970&lt;=Config!$B$9),L2970/60,0)</f>
        <v>0</v>
      </c>
      <c r="S2970" s="45">
        <f>IF(G2970="","",IFERROR(INDEX(Config!$K$5:$K$16,MATCH(G2970,Config!$J$5:$J$16,0)),""))</f>
        <v/>
      </c>
      <c r="T2970" s="31">
        <f>IF(OR(G2970="",F2970=""),"",IFERROR(INDEX(Config!$M$5:$R$16,MATCH(G2970,Config!$J$5:$J$16,0),MATCH(F2970,Config!$H$5:$H$10,0)),""))</f>
        <v/>
      </c>
      <c r="U2970" s="47">
        <f>IF(AND(H2970="Realizado",L2970&lt;&gt;""),L2970/60,0)</f>
        <v>0</v>
      </c>
      <c r="V2970" s="47">
        <f>IF(AND(H2970="Realizado",OR(L2970="",M2970="")),1,0)</f>
        <v>0</v>
      </c>
    </row>
    <row r="2971">
      <c r="A2971" s="43" t="n"/>
      <c r="B2971" s="44" t="n"/>
      <c r="C2971" s="38" t="n"/>
      <c r="D2971" s="38" t="n"/>
      <c r="E2971" s="37" t="n"/>
      <c r="F2971" s="38" t="n"/>
      <c r="G2971" s="38" t="n"/>
      <c r="H2971" s="38" t="n"/>
      <c r="I2971" s="38" t="n"/>
      <c r="J2971" s="38" t="n"/>
      <c r="K2971" s="37" t="n"/>
      <c r="L2971" s="39" t="n"/>
      <c r="M2971" s="40" t="n"/>
      <c r="N2971" s="30">
        <f>IF(A2971="","",MONTH(A2971))</f>
        <v/>
      </c>
      <c r="O2971" s="30">
        <f>IF(A2971="","",YEAR(A2971))</f>
        <v/>
      </c>
      <c r="P2971" s="30">
        <f>IF(A2971="","",CHOOSE(WEEKDAY(A2971,2),"Segunda","Terça","Quarta","Quinta","Sexta","Sábado","Domingo"))</f>
        <v/>
      </c>
      <c r="Q2971" s="30">
        <f>IF(B2971="","",IF(B2971&lt;TIME(12,0,0),"Manhã",IF(B2971&lt;TIME(18,0,0),"Tarde","Noite")))</f>
        <v/>
      </c>
      <c r="R2971" s="46">
        <f>IF(AND(H2971="Realizado",L2971&lt;&gt;"",A2971&lt;=Config!$B$9),L2971/60,0)</f>
        <v>0</v>
      </c>
      <c r="S2971" s="45">
        <f>IF(G2971="","",IFERROR(INDEX(Config!$K$5:$K$16,MATCH(G2971,Config!$J$5:$J$16,0)),""))</f>
        <v/>
      </c>
      <c r="T2971" s="31">
        <f>IF(OR(G2971="",F2971=""),"",IFERROR(INDEX(Config!$M$5:$R$16,MATCH(G2971,Config!$J$5:$J$16,0),MATCH(F2971,Config!$H$5:$H$10,0)),""))</f>
        <v/>
      </c>
      <c r="U2971" s="47">
        <f>IF(AND(H2971="Realizado",L2971&lt;&gt;""),L2971/60,0)</f>
        <v>0</v>
      </c>
      <c r="V2971" s="47">
        <f>IF(AND(H2971="Realizado",OR(L2971="",M2971="")),1,0)</f>
        <v>0</v>
      </c>
    </row>
    <row r="2972">
      <c r="A2972" s="43" t="n"/>
      <c r="B2972" s="44" t="n"/>
      <c r="C2972" s="38" t="n"/>
      <c r="D2972" s="38" t="n"/>
      <c r="E2972" s="37" t="n"/>
      <c r="F2972" s="38" t="n"/>
      <c r="G2972" s="38" t="n"/>
      <c r="H2972" s="38" t="n"/>
      <c r="I2972" s="38" t="n"/>
      <c r="J2972" s="38" t="n"/>
      <c r="K2972" s="37" t="n"/>
      <c r="L2972" s="39" t="n"/>
      <c r="M2972" s="40" t="n"/>
      <c r="N2972" s="30">
        <f>IF(A2972="","",MONTH(A2972))</f>
        <v/>
      </c>
      <c r="O2972" s="30">
        <f>IF(A2972="","",YEAR(A2972))</f>
        <v/>
      </c>
      <c r="P2972" s="30">
        <f>IF(A2972="","",CHOOSE(WEEKDAY(A2972,2),"Segunda","Terça","Quarta","Quinta","Sexta","Sábado","Domingo"))</f>
        <v/>
      </c>
      <c r="Q2972" s="30">
        <f>IF(B2972="","",IF(B2972&lt;TIME(12,0,0),"Manhã",IF(B2972&lt;TIME(18,0,0),"Tarde","Noite")))</f>
        <v/>
      </c>
      <c r="R2972" s="46">
        <f>IF(AND(H2972="Realizado",L2972&lt;&gt;"",A2972&lt;=Config!$B$9),L2972/60,0)</f>
        <v>0</v>
      </c>
      <c r="S2972" s="45">
        <f>IF(G2972="","",IFERROR(INDEX(Config!$K$5:$K$16,MATCH(G2972,Config!$J$5:$J$16,0)),""))</f>
        <v/>
      </c>
      <c r="T2972" s="31">
        <f>IF(OR(G2972="",F2972=""),"",IFERROR(INDEX(Config!$M$5:$R$16,MATCH(G2972,Config!$J$5:$J$16,0),MATCH(F2972,Config!$H$5:$H$10,0)),""))</f>
        <v/>
      </c>
      <c r="U2972" s="47">
        <f>IF(AND(H2972="Realizado",L2972&lt;&gt;""),L2972/60,0)</f>
        <v>0</v>
      </c>
      <c r="V2972" s="47">
        <f>IF(AND(H2972="Realizado",OR(L2972="",M2972="")),1,0)</f>
        <v>0</v>
      </c>
    </row>
    <row r="2973">
      <c r="A2973" s="43" t="n"/>
      <c r="B2973" s="44" t="n"/>
      <c r="C2973" s="38" t="n"/>
      <c r="D2973" s="38" t="n"/>
      <c r="E2973" s="37" t="n"/>
      <c r="F2973" s="38" t="n"/>
      <c r="G2973" s="38" t="n"/>
      <c r="H2973" s="38" t="n"/>
      <c r="I2973" s="38" t="n"/>
      <c r="J2973" s="38" t="n"/>
      <c r="K2973" s="37" t="n"/>
      <c r="L2973" s="39" t="n"/>
      <c r="M2973" s="40" t="n"/>
      <c r="N2973" s="30">
        <f>IF(A2973="","",MONTH(A2973))</f>
        <v/>
      </c>
      <c r="O2973" s="30">
        <f>IF(A2973="","",YEAR(A2973))</f>
        <v/>
      </c>
      <c r="P2973" s="30">
        <f>IF(A2973="","",CHOOSE(WEEKDAY(A2973,2),"Segunda","Terça","Quarta","Quinta","Sexta","Sábado","Domingo"))</f>
        <v/>
      </c>
      <c r="Q2973" s="30">
        <f>IF(B2973="","",IF(B2973&lt;TIME(12,0,0),"Manhã",IF(B2973&lt;TIME(18,0,0),"Tarde","Noite")))</f>
        <v/>
      </c>
      <c r="R2973" s="46">
        <f>IF(AND(H2973="Realizado",L2973&lt;&gt;"",A2973&lt;=Config!$B$9),L2973/60,0)</f>
        <v>0</v>
      </c>
      <c r="S2973" s="45">
        <f>IF(G2973="","",IFERROR(INDEX(Config!$K$5:$K$16,MATCH(G2973,Config!$J$5:$J$16,0)),""))</f>
        <v/>
      </c>
      <c r="T2973" s="31">
        <f>IF(OR(G2973="",F2973=""),"",IFERROR(INDEX(Config!$M$5:$R$16,MATCH(G2973,Config!$J$5:$J$16,0),MATCH(F2973,Config!$H$5:$H$10,0)),""))</f>
        <v/>
      </c>
      <c r="U2973" s="47">
        <f>IF(AND(H2973="Realizado",L2973&lt;&gt;""),L2973/60,0)</f>
        <v>0</v>
      </c>
      <c r="V2973" s="47">
        <f>IF(AND(H2973="Realizado",OR(L2973="",M2973="")),1,0)</f>
        <v>0</v>
      </c>
    </row>
    <row r="2974">
      <c r="A2974" s="43" t="n"/>
      <c r="B2974" s="44" t="n"/>
      <c r="C2974" s="38" t="n"/>
      <c r="D2974" s="38" t="n"/>
      <c r="E2974" s="37" t="n"/>
      <c r="F2974" s="38" t="n"/>
      <c r="G2974" s="38" t="n"/>
      <c r="H2974" s="38" t="n"/>
      <c r="I2974" s="38" t="n"/>
      <c r="J2974" s="38" t="n"/>
      <c r="K2974" s="37" t="n"/>
      <c r="L2974" s="39" t="n"/>
      <c r="M2974" s="40" t="n"/>
      <c r="N2974" s="30">
        <f>IF(A2974="","",MONTH(A2974))</f>
        <v/>
      </c>
      <c r="O2974" s="30">
        <f>IF(A2974="","",YEAR(A2974))</f>
        <v/>
      </c>
      <c r="P2974" s="30">
        <f>IF(A2974="","",CHOOSE(WEEKDAY(A2974,2),"Segunda","Terça","Quarta","Quinta","Sexta","Sábado","Domingo"))</f>
        <v/>
      </c>
      <c r="Q2974" s="30">
        <f>IF(B2974="","",IF(B2974&lt;TIME(12,0,0),"Manhã",IF(B2974&lt;TIME(18,0,0),"Tarde","Noite")))</f>
        <v/>
      </c>
      <c r="R2974" s="46">
        <f>IF(AND(H2974="Realizado",L2974&lt;&gt;"",A2974&lt;=Config!$B$9),L2974/60,0)</f>
        <v>0</v>
      </c>
      <c r="S2974" s="45">
        <f>IF(G2974="","",IFERROR(INDEX(Config!$K$5:$K$16,MATCH(G2974,Config!$J$5:$J$16,0)),""))</f>
        <v/>
      </c>
      <c r="T2974" s="31">
        <f>IF(OR(G2974="",F2974=""),"",IFERROR(INDEX(Config!$M$5:$R$16,MATCH(G2974,Config!$J$5:$J$16,0),MATCH(F2974,Config!$H$5:$H$10,0)),""))</f>
        <v/>
      </c>
      <c r="U2974" s="47">
        <f>IF(AND(H2974="Realizado",L2974&lt;&gt;""),L2974/60,0)</f>
        <v>0</v>
      </c>
      <c r="V2974" s="47">
        <f>IF(AND(H2974="Realizado",OR(L2974="",M2974="")),1,0)</f>
        <v>0</v>
      </c>
    </row>
    <row r="2975">
      <c r="A2975" s="43" t="n"/>
      <c r="B2975" s="44" t="n"/>
      <c r="C2975" s="38" t="n"/>
      <c r="D2975" s="38" t="n"/>
      <c r="E2975" s="37" t="n"/>
      <c r="F2975" s="38" t="n"/>
      <c r="G2975" s="38" t="n"/>
      <c r="H2975" s="38" t="n"/>
      <c r="I2975" s="38" t="n"/>
      <c r="J2975" s="38" t="n"/>
      <c r="K2975" s="37" t="n"/>
      <c r="L2975" s="39" t="n"/>
      <c r="M2975" s="40" t="n"/>
      <c r="N2975" s="30">
        <f>IF(A2975="","",MONTH(A2975))</f>
        <v/>
      </c>
      <c r="O2975" s="30">
        <f>IF(A2975="","",YEAR(A2975))</f>
        <v/>
      </c>
      <c r="P2975" s="30">
        <f>IF(A2975="","",CHOOSE(WEEKDAY(A2975,2),"Segunda","Terça","Quarta","Quinta","Sexta","Sábado","Domingo"))</f>
        <v/>
      </c>
      <c r="Q2975" s="30">
        <f>IF(B2975="","",IF(B2975&lt;TIME(12,0,0),"Manhã",IF(B2975&lt;TIME(18,0,0),"Tarde","Noite")))</f>
        <v/>
      </c>
      <c r="R2975" s="46">
        <f>IF(AND(H2975="Realizado",L2975&lt;&gt;"",A2975&lt;=Config!$B$9),L2975/60,0)</f>
        <v>0</v>
      </c>
      <c r="S2975" s="45">
        <f>IF(G2975="","",IFERROR(INDEX(Config!$K$5:$K$16,MATCH(G2975,Config!$J$5:$J$16,0)),""))</f>
        <v/>
      </c>
      <c r="T2975" s="31">
        <f>IF(OR(G2975="",F2975=""),"",IFERROR(INDEX(Config!$M$5:$R$16,MATCH(G2975,Config!$J$5:$J$16,0),MATCH(F2975,Config!$H$5:$H$10,0)),""))</f>
        <v/>
      </c>
      <c r="U2975" s="47">
        <f>IF(AND(H2975="Realizado",L2975&lt;&gt;""),L2975/60,0)</f>
        <v>0</v>
      </c>
      <c r="V2975" s="47">
        <f>IF(AND(H2975="Realizado",OR(L2975="",M2975="")),1,0)</f>
        <v>0</v>
      </c>
    </row>
    <row r="2976">
      <c r="A2976" s="43" t="n"/>
      <c r="B2976" s="44" t="n"/>
      <c r="C2976" s="38" t="n"/>
      <c r="D2976" s="38" t="n"/>
      <c r="E2976" s="37" t="n"/>
      <c r="F2976" s="38" t="n"/>
      <c r="G2976" s="38" t="n"/>
      <c r="H2976" s="38" t="n"/>
      <c r="I2976" s="38" t="n"/>
      <c r="J2976" s="38" t="n"/>
      <c r="K2976" s="37" t="n"/>
      <c r="L2976" s="39" t="n"/>
      <c r="M2976" s="40" t="n"/>
      <c r="N2976" s="30">
        <f>IF(A2976="","",MONTH(A2976))</f>
        <v/>
      </c>
      <c r="O2976" s="30">
        <f>IF(A2976="","",YEAR(A2976))</f>
        <v/>
      </c>
      <c r="P2976" s="30">
        <f>IF(A2976="","",CHOOSE(WEEKDAY(A2976,2),"Segunda","Terça","Quarta","Quinta","Sexta","Sábado","Domingo"))</f>
        <v/>
      </c>
      <c r="Q2976" s="30">
        <f>IF(B2976="","",IF(B2976&lt;TIME(12,0,0),"Manhã",IF(B2976&lt;TIME(18,0,0),"Tarde","Noite")))</f>
        <v/>
      </c>
      <c r="R2976" s="46">
        <f>IF(AND(H2976="Realizado",L2976&lt;&gt;"",A2976&lt;=Config!$B$9),L2976/60,0)</f>
        <v>0</v>
      </c>
      <c r="S2976" s="45">
        <f>IF(G2976="","",IFERROR(INDEX(Config!$K$5:$K$16,MATCH(G2976,Config!$J$5:$J$16,0)),""))</f>
        <v/>
      </c>
      <c r="T2976" s="31">
        <f>IF(OR(G2976="",F2976=""),"",IFERROR(INDEX(Config!$M$5:$R$16,MATCH(G2976,Config!$J$5:$J$16,0),MATCH(F2976,Config!$H$5:$H$10,0)),""))</f>
        <v/>
      </c>
      <c r="U2976" s="47">
        <f>IF(AND(H2976="Realizado",L2976&lt;&gt;""),L2976/60,0)</f>
        <v>0</v>
      </c>
      <c r="V2976" s="47">
        <f>IF(AND(H2976="Realizado",OR(L2976="",M2976="")),1,0)</f>
        <v>0</v>
      </c>
    </row>
    <row r="2977">
      <c r="A2977" s="43" t="n"/>
      <c r="B2977" s="44" t="n"/>
      <c r="C2977" s="38" t="n"/>
      <c r="D2977" s="38" t="n"/>
      <c r="E2977" s="37" t="n"/>
      <c r="F2977" s="38" t="n"/>
      <c r="G2977" s="38" t="n"/>
      <c r="H2977" s="38" t="n"/>
      <c r="I2977" s="38" t="n"/>
      <c r="J2977" s="38" t="n"/>
      <c r="K2977" s="37" t="n"/>
      <c r="L2977" s="39" t="n"/>
      <c r="M2977" s="40" t="n"/>
      <c r="N2977" s="30">
        <f>IF(A2977="","",MONTH(A2977))</f>
        <v/>
      </c>
      <c r="O2977" s="30">
        <f>IF(A2977="","",YEAR(A2977))</f>
        <v/>
      </c>
      <c r="P2977" s="30">
        <f>IF(A2977="","",CHOOSE(WEEKDAY(A2977,2),"Segunda","Terça","Quarta","Quinta","Sexta","Sábado","Domingo"))</f>
        <v/>
      </c>
      <c r="Q2977" s="30">
        <f>IF(B2977="","",IF(B2977&lt;TIME(12,0,0),"Manhã",IF(B2977&lt;TIME(18,0,0),"Tarde","Noite")))</f>
        <v/>
      </c>
      <c r="R2977" s="46">
        <f>IF(AND(H2977="Realizado",L2977&lt;&gt;"",A2977&lt;=Config!$B$9),L2977/60,0)</f>
        <v>0</v>
      </c>
      <c r="S2977" s="45">
        <f>IF(G2977="","",IFERROR(INDEX(Config!$K$5:$K$16,MATCH(G2977,Config!$J$5:$J$16,0)),""))</f>
        <v/>
      </c>
      <c r="T2977" s="31">
        <f>IF(OR(G2977="",F2977=""),"",IFERROR(INDEX(Config!$M$5:$R$16,MATCH(G2977,Config!$J$5:$J$16,0),MATCH(F2977,Config!$H$5:$H$10,0)),""))</f>
        <v/>
      </c>
      <c r="U2977" s="47">
        <f>IF(AND(H2977="Realizado",L2977&lt;&gt;""),L2977/60,0)</f>
        <v>0</v>
      </c>
      <c r="V2977" s="47">
        <f>IF(AND(H2977="Realizado",OR(L2977="",M2977="")),1,0)</f>
        <v>0</v>
      </c>
    </row>
    <row r="2978">
      <c r="A2978" s="43" t="n"/>
      <c r="B2978" s="44" t="n"/>
      <c r="C2978" s="38" t="n"/>
      <c r="D2978" s="38" t="n"/>
      <c r="E2978" s="37" t="n"/>
      <c r="F2978" s="38" t="n"/>
      <c r="G2978" s="38" t="n"/>
      <c r="H2978" s="38" t="n"/>
      <c r="I2978" s="38" t="n"/>
      <c r="J2978" s="38" t="n"/>
      <c r="K2978" s="37" t="n"/>
      <c r="L2978" s="39" t="n"/>
      <c r="M2978" s="40" t="n"/>
      <c r="N2978" s="30">
        <f>IF(A2978="","",MONTH(A2978))</f>
        <v/>
      </c>
      <c r="O2978" s="30">
        <f>IF(A2978="","",YEAR(A2978))</f>
        <v/>
      </c>
      <c r="P2978" s="30">
        <f>IF(A2978="","",CHOOSE(WEEKDAY(A2978,2),"Segunda","Terça","Quarta","Quinta","Sexta","Sábado","Domingo"))</f>
        <v/>
      </c>
      <c r="Q2978" s="30">
        <f>IF(B2978="","",IF(B2978&lt;TIME(12,0,0),"Manhã",IF(B2978&lt;TIME(18,0,0),"Tarde","Noite")))</f>
        <v/>
      </c>
      <c r="R2978" s="46">
        <f>IF(AND(H2978="Realizado",L2978&lt;&gt;"",A2978&lt;=Config!$B$9),L2978/60,0)</f>
        <v>0</v>
      </c>
      <c r="S2978" s="45">
        <f>IF(G2978="","",IFERROR(INDEX(Config!$K$5:$K$16,MATCH(G2978,Config!$J$5:$J$16,0)),""))</f>
        <v/>
      </c>
      <c r="T2978" s="31">
        <f>IF(OR(G2978="",F2978=""),"",IFERROR(INDEX(Config!$M$5:$R$16,MATCH(G2978,Config!$J$5:$J$16,0),MATCH(F2978,Config!$H$5:$H$10,0)),""))</f>
        <v/>
      </c>
      <c r="U2978" s="47">
        <f>IF(AND(H2978="Realizado",L2978&lt;&gt;""),L2978/60,0)</f>
        <v>0</v>
      </c>
      <c r="V2978" s="47">
        <f>IF(AND(H2978="Realizado",OR(L2978="",M2978="")),1,0)</f>
        <v>0</v>
      </c>
    </row>
    <row r="2979">
      <c r="A2979" s="43" t="n"/>
      <c r="B2979" s="44" t="n"/>
      <c r="C2979" s="38" t="n"/>
      <c r="D2979" s="38" t="n"/>
      <c r="E2979" s="37" t="n"/>
      <c r="F2979" s="38" t="n"/>
      <c r="G2979" s="38" t="n"/>
      <c r="H2979" s="38" t="n"/>
      <c r="I2979" s="38" t="n"/>
      <c r="J2979" s="38" t="n"/>
      <c r="K2979" s="37" t="n"/>
      <c r="L2979" s="39" t="n"/>
      <c r="M2979" s="40" t="n"/>
      <c r="N2979" s="30">
        <f>IF(A2979="","",MONTH(A2979))</f>
        <v/>
      </c>
      <c r="O2979" s="30">
        <f>IF(A2979="","",YEAR(A2979))</f>
        <v/>
      </c>
      <c r="P2979" s="30">
        <f>IF(A2979="","",CHOOSE(WEEKDAY(A2979,2),"Segunda","Terça","Quarta","Quinta","Sexta","Sábado","Domingo"))</f>
        <v/>
      </c>
      <c r="Q2979" s="30">
        <f>IF(B2979="","",IF(B2979&lt;TIME(12,0,0),"Manhã",IF(B2979&lt;TIME(18,0,0),"Tarde","Noite")))</f>
        <v/>
      </c>
      <c r="R2979" s="46">
        <f>IF(AND(H2979="Realizado",L2979&lt;&gt;"",A2979&lt;=Config!$B$9),L2979/60,0)</f>
        <v>0</v>
      </c>
      <c r="S2979" s="45">
        <f>IF(G2979="","",IFERROR(INDEX(Config!$K$5:$K$16,MATCH(G2979,Config!$J$5:$J$16,0)),""))</f>
        <v/>
      </c>
      <c r="T2979" s="31">
        <f>IF(OR(G2979="",F2979=""),"",IFERROR(INDEX(Config!$M$5:$R$16,MATCH(G2979,Config!$J$5:$J$16,0),MATCH(F2979,Config!$H$5:$H$10,0)),""))</f>
        <v/>
      </c>
      <c r="U2979" s="47">
        <f>IF(AND(H2979="Realizado",L2979&lt;&gt;""),L2979/60,0)</f>
        <v>0</v>
      </c>
      <c r="V2979" s="47">
        <f>IF(AND(H2979="Realizado",OR(L2979="",M2979="")),1,0)</f>
        <v>0</v>
      </c>
    </row>
    <row r="2980">
      <c r="A2980" s="43" t="n"/>
      <c r="B2980" s="44" t="n"/>
      <c r="C2980" s="38" t="n"/>
      <c r="D2980" s="38" t="n"/>
      <c r="E2980" s="37" t="n"/>
      <c r="F2980" s="38" t="n"/>
      <c r="G2980" s="38" t="n"/>
      <c r="H2980" s="38" t="n"/>
      <c r="I2980" s="38" t="n"/>
      <c r="J2980" s="38" t="n"/>
      <c r="K2980" s="37" t="n"/>
      <c r="L2980" s="39" t="n"/>
      <c r="M2980" s="40" t="n"/>
      <c r="N2980" s="30">
        <f>IF(A2980="","",MONTH(A2980))</f>
        <v/>
      </c>
      <c r="O2980" s="30">
        <f>IF(A2980="","",YEAR(A2980))</f>
        <v/>
      </c>
      <c r="P2980" s="30">
        <f>IF(A2980="","",CHOOSE(WEEKDAY(A2980,2),"Segunda","Terça","Quarta","Quinta","Sexta","Sábado","Domingo"))</f>
        <v/>
      </c>
      <c r="Q2980" s="30">
        <f>IF(B2980="","",IF(B2980&lt;TIME(12,0,0),"Manhã",IF(B2980&lt;TIME(18,0,0),"Tarde","Noite")))</f>
        <v/>
      </c>
      <c r="R2980" s="46">
        <f>IF(AND(H2980="Realizado",L2980&lt;&gt;"",A2980&lt;=Config!$B$9),L2980/60,0)</f>
        <v>0</v>
      </c>
      <c r="S2980" s="45">
        <f>IF(G2980="","",IFERROR(INDEX(Config!$K$5:$K$16,MATCH(G2980,Config!$J$5:$J$16,0)),""))</f>
        <v/>
      </c>
      <c r="T2980" s="31">
        <f>IF(OR(G2980="",F2980=""),"",IFERROR(INDEX(Config!$M$5:$R$16,MATCH(G2980,Config!$J$5:$J$16,0),MATCH(F2980,Config!$H$5:$H$10,0)),""))</f>
        <v/>
      </c>
      <c r="U2980" s="47">
        <f>IF(AND(H2980="Realizado",L2980&lt;&gt;""),L2980/60,0)</f>
        <v>0</v>
      </c>
      <c r="V2980" s="47">
        <f>IF(AND(H2980="Realizado",OR(L2980="",M2980="")),1,0)</f>
        <v>0</v>
      </c>
    </row>
    <row r="2981">
      <c r="A2981" s="43" t="n"/>
      <c r="B2981" s="44" t="n"/>
      <c r="C2981" s="38" t="n"/>
      <c r="D2981" s="38" t="n"/>
      <c r="E2981" s="37" t="n"/>
      <c r="F2981" s="38" t="n"/>
      <c r="G2981" s="38" t="n"/>
      <c r="H2981" s="38" t="n"/>
      <c r="I2981" s="38" t="n"/>
      <c r="J2981" s="38" t="n"/>
      <c r="K2981" s="37" t="n"/>
      <c r="L2981" s="39" t="n"/>
      <c r="M2981" s="40" t="n"/>
      <c r="N2981" s="30">
        <f>IF(A2981="","",MONTH(A2981))</f>
        <v/>
      </c>
      <c r="O2981" s="30">
        <f>IF(A2981="","",YEAR(A2981))</f>
        <v/>
      </c>
      <c r="P2981" s="30">
        <f>IF(A2981="","",CHOOSE(WEEKDAY(A2981,2),"Segunda","Terça","Quarta","Quinta","Sexta","Sábado","Domingo"))</f>
        <v/>
      </c>
      <c r="Q2981" s="30">
        <f>IF(B2981="","",IF(B2981&lt;TIME(12,0,0),"Manhã",IF(B2981&lt;TIME(18,0,0),"Tarde","Noite")))</f>
        <v/>
      </c>
      <c r="R2981" s="46">
        <f>IF(AND(H2981="Realizado",L2981&lt;&gt;"",A2981&lt;=Config!$B$9),L2981/60,0)</f>
        <v>0</v>
      </c>
      <c r="S2981" s="45">
        <f>IF(G2981="","",IFERROR(INDEX(Config!$K$5:$K$16,MATCH(G2981,Config!$J$5:$J$16,0)),""))</f>
        <v/>
      </c>
      <c r="T2981" s="31">
        <f>IF(OR(G2981="",F2981=""),"",IFERROR(INDEX(Config!$M$5:$R$16,MATCH(G2981,Config!$J$5:$J$16,0),MATCH(F2981,Config!$H$5:$H$10,0)),""))</f>
        <v/>
      </c>
      <c r="U2981" s="47">
        <f>IF(AND(H2981="Realizado",L2981&lt;&gt;""),L2981/60,0)</f>
        <v>0</v>
      </c>
      <c r="V2981" s="47">
        <f>IF(AND(H2981="Realizado",OR(L2981="",M2981="")),1,0)</f>
        <v>0</v>
      </c>
    </row>
    <row r="2982">
      <c r="A2982" s="43" t="n"/>
      <c r="B2982" s="44" t="n"/>
      <c r="C2982" s="38" t="n"/>
      <c r="D2982" s="38" t="n"/>
      <c r="E2982" s="37" t="n"/>
      <c r="F2982" s="38" t="n"/>
      <c r="G2982" s="38" t="n"/>
      <c r="H2982" s="38" t="n"/>
      <c r="I2982" s="38" t="n"/>
      <c r="J2982" s="38" t="n"/>
      <c r="K2982" s="37" t="n"/>
      <c r="L2982" s="39" t="n"/>
      <c r="M2982" s="40" t="n"/>
      <c r="N2982" s="30">
        <f>IF(A2982="","",MONTH(A2982))</f>
        <v/>
      </c>
      <c r="O2982" s="30">
        <f>IF(A2982="","",YEAR(A2982))</f>
        <v/>
      </c>
      <c r="P2982" s="30">
        <f>IF(A2982="","",CHOOSE(WEEKDAY(A2982,2),"Segunda","Terça","Quarta","Quinta","Sexta","Sábado","Domingo"))</f>
        <v/>
      </c>
      <c r="Q2982" s="30">
        <f>IF(B2982="","",IF(B2982&lt;TIME(12,0,0),"Manhã",IF(B2982&lt;TIME(18,0,0),"Tarde","Noite")))</f>
        <v/>
      </c>
      <c r="R2982" s="46">
        <f>IF(AND(H2982="Realizado",L2982&lt;&gt;"",A2982&lt;=Config!$B$9),L2982/60,0)</f>
        <v>0</v>
      </c>
      <c r="S2982" s="45">
        <f>IF(G2982="","",IFERROR(INDEX(Config!$K$5:$K$16,MATCH(G2982,Config!$J$5:$J$16,0)),""))</f>
        <v/>
      </c>
      <c r="T2982" s="31">
        <f>IF(OR(G2982="",F2982=""),"",IFERROR(INDEX(Config!$M$5:$R$16,MATCH(G2982,Config!$J$5:$J$16,0),MATCH(F2982,Config!$H$5:$H$10,0)),""))</f>
        <v/>
      </c>
      <c r="U2982" s="47">
        <f>IF(AND(H2982="Realizado",L2982&lt;&gt;""),L2982/60,0)</f>
        <v>0</v>
      </c>
      <c r="V2982" s="47">
        <f>IF(AND(H2982="Realizado",OR(L2982="",M2982="")),1,0)</f>
        <v>0</v>
      </c>
    </row>
    <row r="2983">
      <c r="A2983" s="43" t="n"/>
      <c r="B2983" s="44" t="n"/>
      <c r="C2983" s="38" t="n"/>
      <c r="D2983" s="38" t="n"/>
      <c r="E2983" s="37" t="n"/>
      <c r="F2983" s="38" t="n"/>
      <c r="G2983" s="38" t="n"/>
      <c r="H2983" s="38" t="n"/>
      <c r="I2983" s="38" t="n"/>
      <c r="J2983" s="38" t="n"/>
      <c r="K2983" s="37" t="n"/>
      <c r="L2983" s="39" t="n"/>
      <c r="M2983" s="40" t="n"/>
      <c r="N2983" s="30">
        <f>IF(A2983="","",MONTH(A2983))</f>
        <v/>
      </c>
      <c r="O2983" s="30">
        <f>IF(A2983="","",YEAR(A2983))</f>
        <v/>
      </c>
      <c r="P2983" s="30">
        <f>IF(A2983="","",CHOOSE(WEEKDAY(A2983,2),"Segunda","Terça","Quarta","Quinta","Sexta","Sábado","Domingo"))</f>
        <v/>
      </c>
      <c r="Q2983" s="30">
        <f>IF(B2983="","",IF(B2983&lt;TIME(12,0,0),"Manhã",IF(B2983&lt;TIME(18,0,0),"Tarde","Noite")))</f>
        <v/>
      </c>
      <c r="R2983" s="46">
        <f>IF(AND(H2983="Realizado",L2983&lt;&gt;"",A2983&lt;=Config!$B$9),L2983/60,0)</f>
        <v>0</v>
      </c>
      <c r="S2983" s="45">
        <f>IF(G2983="","",IFERROR(INDEX(Config!$K$5:$K$16,MATCH(G2983,Config!$J$5:$J$16,0)),""))</f>
        <v/>
      </c>
      <c r="T2983" s="31">
        <f>IF(OR(G2983="",F2983=""),"",IFERROR(INDEX(Config!$M$5:$R$16,MATCH(G2983,Config!$J$5:$J$16,0),MATCH(F2983,Config!$H$5:$H$10,0)),""))</f>
        <v/>
      </c>
      <c r="U2983" s="47">
        <f>IF(AND(H2983="Realizado",L2983&lt;&gt;""),L2983/60,0)</f>
        <v>0</v>
      </c>
      <c r="V2983" s="47">
        <f>IF(AND(H2983="Realizado",OR(L2983="",M2983="")),1,0)</f>
        <v>0</v>
      </c>
    </row>
    <row r="2984">
      <c r="A2984" s="43" t="n"/>
      <c r="B2984" s="44" t="n"/>
      <c r="C2984" s="38" t="n"/>
      <c r="D2984" s="38" t="n"/>
      <c r="E2984" s="37" t="n"/>
      <c r="F2984" s="38" t="n"/>
      <c r="G2984" s="38" t="n"/>
      <c r="H2984" s="38" t="n"/>
      <c r="I2984" s="38" t="n"/>
      <c r="J2984" s="38" t="n"/>
      <c r="K2984" s="37" t="n"/>
      <c r="L2984" s="39" t="n"/>
      <c r="M2984" s="40" t="n"/>
      <c r="N2984" s="30">
        <f>IF(A2984="","",MONTH(A2984))</f>
        <v/>
      </c>
      <c r="O2984" s="30">
        <f>IF(A2984="","",YEAR(A2984))</f>
        <v/>
      </c>
      <c r="P2984" s="30">
        <f>IF(A2984="","",CHOOSE(WEEKDAY(A2984,2),"Segunda","Terça","Quarta","Quinta","Sexta","Sábado","Domingo"))</f>
        <v/>
      </c>
      <c r="Q2984" s="30">
        <f>IF(B2984="","",IF(B2984&lt;TIME(12,0,0),"Manhã",IF(B2984&lt;TIME(18,0,0),"Tarde","Noite")))</f>
        <v/>
      </c>
      <c r="R2984" s="46">
        <f>IF(AND(H2984="Realizado",L2984&lt;&gt;"",A2984&lt;=Config!$B$9),L2984/60,0)</f>
        <v>0</v>
      </c>
      <c r="S2984" s="45">
        <f>IF(G2984="","",IFERROR(INDEX(Config!$K$5:$K$16,MATCH(G2984,Config!$J$5:$J$16,0)),""))</f>
        <v/>
      </c>
      <c r="T2984" s="31">
        <f>IF(OR(G2984="",F2984=""),"",IFERROR(INDEX(Config!$M$5:$R$16,MATCH(G2984,Config!$J$5:$J$16,0),MATCH(F2984,Config!$H$5:$H$10,0)),""))</f>
        <v/>
      </c>
      <c r="U2984" s="47">
        <f>IF(AND(H2984="Realizado",L2984&lt;&gt;""),L2984/60,0)</f>
        <v>0</v>
      </c>
      <c r="V2984" s="47">
        <f>IF(AND(H2984="Realizado",OR(L2984="",M2984="")),1,0)</f>
        <v>0</v>
      </c>
    </row>
    <row r="2985">
      <c r="A2985" s="43" t="n"/>
      <c r="B2985" s="44" t="n"/>
      <c r="C2985" s="38" t="n"/>
      <c r="D2985" s="38" t="n"/>
      <c r="E2985" s="37" t="n"/>
      <c r="F2985" s="38" t="n"/>
      <c r="G2985" s="38" t="n"/>
      <c r="H2985" s="38" t="n"/>
      <c r="I2985" s="38" t="n"/>
      <c r="J2985" s="38" t="n"/>
      <c r="K2985" s="37" t="n"/>
      <c r="L2985" s="39" t="n"/>
      <c r="M2985" s="40" t="n"/>
      <c r="N2985" s="30">
        <f>IF(A2985="","",MONTH(A2985))</f>
        <v/>
      </c>
      <c r="O2985" s="30">
        <f>IF(A2985="","",YEAR(A2985))</f>
        <v/>
      </c>
      <c r="P2985" s="30">
        <f>IF(A2985="","",CHOOSE(WEEKDAY(A2985,2),"Segunda","Terça","Quarta","Quinta","Sexta","Sábado","Domingo"))</f>
        <v/>
      </c>
      <c r="Q2985" s="30">
        <f>IF(B2985="","",IF(B2985&lt;TIME(12,0,0),"Manhã",IF(B2985&lt;TIME(18,0,0),"Tarde","Noite")))</f>
        <v/>
      </c>
      <c r="R2985" s="46">
        <f>IF(AND(H2985="Realizado",L2985&lt;&gt;"",A2985&lt;=Config!$B$9),L2985/60,0)</f>
        <v>0</v>
      </c>
      <c r="S2985" s="45">
        <f>IF(G2985="","",IFERROR(INDEX(Config!$K$5:$K$16,MATCH(G2985,Config!$J$5:$J$16,0)),""))</f>
        <v/>
      </c>
      <c r="T2985" s="31">
        <f>IF(OR(G2985="",F2985=""),"",IFERROR(INDEX(Config!$M$5:$R$16,MATCH(G2985,Config!$J$5:$J$16,0),MATCH(F2985,Config!$H$5:$H$10,0)),""))</f>
        <v/>
      </c>
      <c r="U2985" s="47">
        <f>IF(AND(H2985="Realizado",L2985&lt;&gt;""),L2985/60,0)</f>
        <v>0</v>
      </c>
      <c r="V2985" s="47">
        <f>IF(AND(H2985="Realizado",OR(L2985="",M2985="")),1,0)</f>
        <v>0</v>
      </c>
    </row>
    <row r="2986">
      <c r="A2986" s="43" t="n"/>
      <c r="B2986" s="44" t="n"/>
      <c r="C2986" s="38" t="n"/>
      <c r="D2986" s="38" t="n"/>
      <c r="E2986" s="37" t="n"/>
      <c r="F2986" s="38" t="n"/>
      <c r="G2986" s="38" t="n"/>
      <c r="H2986" s="38" t="n"/>
      <c r="I2986" s="38" t="n"/>
      <c r="J2986" s="38" t="n"/>
      <c r="K2986" s="37" t="n"/>
      <c r="L2986" s="39" t="n"/>
      <c r="M2986" s="40" t="n"/>
      <c r="N2986" s="30">
        <f>IF(A2986="","",MONTH(A2986))</f>
        <v/>
      </c>
      <c r="O2986" s="30">
        <f>IF(A2986="","",YEAR(A2986))</f>
        <v/>
      </c>
      <c r="P2986" s="30">
        <f>IF(A2986="","",CHOOSE(WEEKDAY(A2986,2),"Segunda","Terça","Quarta","Quinta","Sexta","Sábado","Domingo"))</f>
        <v/>
      </c>
      <c r="Q2986" s="30">
        <f>IF(B2986="","",IF(B2986&lt;TIME(12,0,0),"Manhã",IF(B2986&lt;TIME(18,0,0),"Tarde","Noite")))</f>
        <v/>
      </c>
      <c r="R2986" s="46">
        <f>IF(AND(H2986="Realizado",L2986&lt;&gt;"",A2986&lt;=Config!$B$9),L2986/60,0)</f>
        <v>0</v>
      </c>
      <c r="S2986" s="45">
        <f>IF(G2986="","",IFERROR(INDEX(Config!$K$5:$K$16,MATCH(G2986,Config!$J$5:$J$16,0)),""))</f>
        <v/>
      </c>
      <c r="T2986" s="31">
        <f>IF(OR(G2986="",F2986=""),"",IFERROR(INDEX(Config!$M$5:$R$16,MATCH(G2986,Config!$J$5:$J$16,0),MATCH(F2986,Config!$H$5:$H$10,0)),""))</f>
        <v/>
      </c>
      <c r="U2986" s="47">
        <f>IF(AND(H2986="Realizado",L2986&lt;&gt;""),L2986/60,0)</f>
        <v>0</v>
      </c>
      <c r="V2986" s="47">
        <f>IF(AND(H2986="Realizado",OR(L2986="",M2986="")),1,0)</f>
        <v>0</v>
      </c>
    </row>
    <row r="2987">
      <c r="A2987" s="43" t="n"/>
      <c r="B2987" s="44" t="n"/>
      <c r="C2987" s="38" t="n"/>
      <c r="D2987" s="38" t="n"/>
      <c r="E2987" s="37" t="n"/>
      <c r="F2987" s="38" t="n"/>
      <c r="G2987" s="38" t="n"/>
      <c r="H2987" s="38" t="n"/>
      <c r="I2987" s="38" t="n"/>
      <c r="J2987" s="38" t="n"/>
      <c r="K2987" s="37" t="n"/>
      <c r="L2987" s="39" t="n"/>
      <c r="M2987" s="40" t="n"/>
      <c r="N2987" s="30">
        <f>IF(A2987="","",MONTH(A2987))</f>
        <v/>
      </c>
      <c r="O2987" s="30">
        <f>IF(A2987="","",YEAR(A2987))</f>
        <v/>
      </c>
      <c r="P2987" s="30">
        <f>IF(A2987="","",CHOOSE(WEEKDAY(A2987,2),"Segunda","Terça","Quarta","Quinta","Sexta","Sábado","Domingo"))</f>
        <v/>
      </c>
      <c r="Q2987" s="30">
        <f>IF(B2987="","",IF(B2987&lt;TIME(12,0,0),"Manhã",IF(B2987&lt;TIME(18,0,0),"Tarde","Noite")))</f>
        <v/>
      </c>
      <c r="R2987" s="46">
        <f>IF(AND(H2987="Realizado",L2987&lt;&gt;"",A2987&lt;=Config!$B$9),L2987/60,0)</f>
        <v>0</v>
      </c>
      <c r="S2987" s="45">
        <f>IF(G2987="","",IFERROR(INDEX(Config!$K$5:$K$16,MATCH(G2987,Config!$J$5:$J$16,0)),""))</f>
        <v/>
      </c>
      <c r="T2987" s="31">
        <f>IF(OR(G2987="",F2987=""),"",IFERROR(INDEX(Config!$M$5:$R$16,MATCH(G2987,Config!$J$5:$J$16,0),MATCH(F2987,Config!$H$5:$H$10,0)),""))</f>
        <v/>
      </c>
      <c r="U2987" s="47">
        <f>IF(AND(H2987="Realizado",L2987&lt;&gt;""),L2987/60,0)</f>
        <v>0</v>
      </c>
      <c r="V2987" s="47">
        <f>IF(AND(H2987="Realizado",OR(L2987="",M2987="")),1,0)</f>
        <v>0</v>
      </c>
    </row>
    <row r="2988">
      <c r="A2988" s="43" t="n"/>
      <c r="B2988" s="44" t="n"/>
      <c r="C2988" s="38" t="n"/>
      <c r="D2988" s="38" t="n"/>
      <c r="E2988" s="37" t="n"/>
      <c r="F2988" s="38" t="n"/>
      <c r="G2988" s="38" t="n"/>
      <c r="H2988" s="38" t="n"/>
      <c r="I2988" s="38" t="n"/>
      <c r="J2988" s="38" t="n"/>
      <c r="K2988" s="37" t="n"/>
      <c r="L2988" s="39" t="n"/>
      <c r="M2988" s="40" t="n"/>
      <c r="N2988" s="30">
        <f>IF(A2988="","",MONTH(A2988))</f>
        <v/>
      </c>
      <c r="O2988" s="30">
        <f>IF(A2988="","",YEAR(A2988))</f>
        <v/>
      </c>
      <c r="P2988" s="30">
        <f>IF(A2988="","",CHOOSE(WEEKDAY(A2988,2),"Segunda","Terça","Quarta","Quinta","Sexta","Sábado","Domingo"))</f>
        <v/>
      </c>
      <c r="Q2988" s="30">
        <f>IF(B2988="","",IF(B2988&lt;TIME(12,0,0),"Manhã",IF(B2988&lt;TIME(18,0,0),"Tarde","Noite")))</f>
        <v/>
      </c>
      <c r="R2988" s="46">
        <f>IF(AND(H2988="Realizado",L2988&lt;&gt;"",A2988&lt;=Config!$B$9),L2988/60,0)</f>
        <v>0</v>
      </c>
      <c r="S2988" s="45">
        <f>IF(G2988="","",IFERROR(INDEX(Config!$K$5:$K$16,MATCH(G2988,Config!$J$5:$J$16,0)),""))</f>
        <v/>
      </c>
      <c r="T2988" s="31">
        <f>IF(OR(G2988="",F2988=""),"",IFERROR(INDEX(Config!$M$5:$R$16,MATCH(G2988,Config!$J$5:$J$16,0),MATCH(F2988,Config!$H$5:$H$10,0)),""))</f>
        <v/>
      </c>
      <c r="U2988" s="47">
        <f>IF(AND(H2988="Realizado",L2988&lt;&gt;""),L2988/60,0)</f>
        <v>0</v>
      </c>
      <c r="V2988" s="47">
        <f>IF(AND(H2988="Realizado",OR(L2988="",M2988="")),1,0)</f>
        <v>0</v>
      </c>
    </row>
    <row r="2989">
      <c r="A2989" s="43" t="n"/>
      <c r="B2989" s="44" t="n"/>
      <c r="C2989" s="38" t="n"/>
      <c r="D2989" s="38" t="n"/>
      <c r="E2989" s="37" t="n"/>
      <c r="F2989" s="38" t="n"/>
      <c r="G2989" s="38" t="n"/>
      <c r="H2989" s="38" t="n"/>
      <c r="I2989" s="38" t="n"/>
      <c r="J2989" s="38" t="n"/>
      <c r="K2989" s="37" t="n"/>
      <c r="L2989" s="39" t="n"/>
      <c r="M2989" s="40" t="n"/>
      <c r="N2989" s="30">
        <f>IF(A2989="","",MONTH(A2989))</f>
        <v/>
      </c>
      <c r="O2989" s="30">
        <f>IF(A2989="","",YEAR(A2989))</f>
        <v/>
      </c>
      <c r="P2989" s="30">
        <f>IF(A2989="","",CHOOSE(WEEKDAY(A2989,2),"Segunda","Terça","Quarta","Quinta","Sexta","Sábado","Domingo"))</f>
        <v/>
      </c>
      <c r="Q2989" s="30">
        <f>IF(B2989="","",IF(B2989&lt;TIME(12,0,0),"Manhã",IF(B2989&lt;TIME(18,0,0),"Tarde","Noite")))</f>
        <v/>
      </c>
      <c r="R2989" s="46">
        <f>IF(AND(H2989="Realizado",L2989&lt;&gt;"",A2989&lt;=Config!$B$9),L2989/60,0)</f>
        <v>0</v>
      </c>
      <c r="S2989" s="45">
        <f>IF(G2989="","",IFERROR(INDEX(Config!$K$5:$K$16,MATCH(G2989,Config!$J$5:$J$16,0)),""))</f>
        <v/>
      </c>
      <c r="T2989" s="31">
        <f>IF(OR(G2989="",F2989=""),"",IFERROR(INDEX(Config!$M$5:$R$16,MATCH(G2989,Config!$J$5:$J$16,0),MATCH(F2989,Config!$H$5:$H$10,0)),""))</f>
        <v/>
      </c>
      <c r="U2989" s="47">
        <f>IF(AND(H2989="Realizado",L2989&lt;&gt;""),L2989/60,0)</f>
        <v>0</v>
      </c>
      <c r="V2989" s="47">
        <f>IF(AND(H2989="Realizado",OR(L2989="",M2989="")),1,0)</f>
        <v>0</v>
      </c>
    </row>
    <row r="2990">
      <c r="A2990" s="43" t="n"/>
      <c r="B2990" s="44" t="n"/>
      <c r="C2990" s="38" t="n"/>
      <c r="D2990" s="38" t="n"/>
      <c r="E2990" s="37" t="n"/>
      <c r="F2990" s="38" t="n"/>
      <c r="G2990" s="38" t="n"/>
      <c r="H2990" s="38" t="n"/>
      <c r="I2990" s="38" t="n"/>
      <c r="J2990" s="38" t="n"/>
      <c r="K2990" s="37" t="n"/>
      <c r="L2990" s="39" t="n"/>
      <c r="M2990" s="40" t="n"/>
      <c r="N2990" s="30">
        <f>IF(A2990="","",MONTH(A2990))</f>
        <v/>
      </c>
      <c r="O2990" s="30">
        <f>IF(A2990="","",YEAR(A2990))</f>
        <v/>
      </c>
      <c r="P2990" s="30">
        <f>IF(A2990="","",CHOOSE(WEEKDAY(A2990,2),"Segunda","Terça","Quarta","Quinta","Sexta","Sábado","Domingo"))</f>
        <v/>
      </c>
      <c r="Q2990" s="30">
        <f>IF(B2990="","",IF(B2990&lt;TIME(12,0,0),"Manhã",IF(B2990&lt;TIME(18,0,0),"Tarde","Noite")))</f>
        <v/>
      </c>
      <c r="R2990" s="46">
        <f>IF(AND(H2990="Realizado",L2990&lt;&gt;"",A2990&lt;=Config!$B$9),L2990/60,0)</f>
        <v>0</v>
      </c>
      <c r="S2990" s="45">
        <f>IF(G2990="","",IFERROR(INDEX(Config!$K$5:$K$16,MATCH(G2990,Config!$J$5:$J$16,0)),""))</f>
        <v/>
      </c>
      <c r="T2990" s="31">
        <f>IF(OR(G2990="",F2990=""),"",IFERROR(INDEX(Config!$M$5:$R$16,MATCH(G2990,Config!$J$5:$J$16,0),MATCH(F2990,Config!$H$5:$H$10,0)),""))</f>
        <v/>
      </c>
      <c r="U2990" s="47">
        <f>IF(AND(H2990="Realizado",L2990&lt;&gt;""),L2990/60,0)</f>
        <v>0</v>
      </c>
      <c r="V2990" s="47">
        <f>IF(AND(H2990="Realizado",OR(L2990="",M2990="")),1,0)</f>
        <v>0</v>
      </c>
    </row>
    <row r="2991">
      <c r="A2991" s="43" t="n"/>
      <c r="B2991" s="44" t="n"/>
      <c r="C2991" s="38" t="n"/>
      <c r="D2991" s="38" t="n"/>
      <c r="E2991" s="37" t="n"/>
      <c r="F2991" s="38" t="n"/>
      <c r="G2991" s="38" t="n"/>
      <c r="H2991" s="38" t="n"/>
      <c r="I2991" s="38" t="n"/>
      <c r="J2991" s="38" t="n"/>
      <c r="K2991" s="37" t="n"/>
      <c r="L2991" s="39" t="n"/>
      <c r="M2991" s="40" t="n"/>
      <c r="N2991" s="30">
        <f>IF(A2991="","",MONTH(A2991))</f>
        <v/>
      </c>
      <c r="O2991" s="30">
        <f>IF(A2991="","",YEAR(A2991))</f>
        <v/>
      </c>
      <c r="P2991" s="30">
        <f>IF(A2991="","",CHOOSE(WEEKDAY(A2991,2),"Segunda","Terça","Quarta","Quinta","Sexta","Sábado","Domingo"))</f>
        <v/>
      </c>
      <c r="Q2991" s="30">
        <f>IF(B2991="","",IF(B2991&lt;TIME(12,0,0),"Manhã",IF(B2991&lt;TIME(18,0,0),"Tarde","Noite")))</f>
        <v/>
      </c>
      <c r="R2991" s="46">
        <f>IF(AND(H2991="Realizado",L2991&lt;&gt;"",A2991&lt;=Config!$B$9),L2991/60,0)</f>
        <v>0</v>
      </c>
      <c r="S2991" s="45">
        <f>IF(G2991="","",IFERROR(INDEX(Config!$K$5:$K$16,MATCH(G2991,Config!$J$5:$J$16,0)),""))</f>
        <v/>
      </c>
      <c r="T2991" s="31">
        <f>IF(OR(G2991="",F2991=""),"",IFERROR(INDEX(Config!$M$5:$R$16,MATCH(G2991,Config!$J$5:$J$16,0),MATCH(F2991,Config!$H$5:$H$10,0)),""))</f>
        <v/>
      </c>
      <c r="U2991" s="47">
        <f>IF(AND(H2991="Realizado",L2991&lt;&gt;""),L2991/60,0)</f>
        <v>0</v>
      </c>
      <c r="V2991" s="47">
        <f>IF(AND(H2991="Realizado",OR(L2991="",M2991="")),1,0)</f>
        <v>0</v>
      </c>
    </row>
    <row r="2992">
      <c r="A2992" s="43" t="n"/>
      <c r="B2992" s="44" t="n"/>
      <c r="C2992" s="38" t="n"/>
      <c r="D2992" s="38" t="n"/>
      <c r="E2992" s="37" t="n"/>
      <c r="F2992" s="38" t="n"/>
      <c r="G2992" s="38" t="n"/>
      <c r="H2992" s="38" t="n"/>
      <c r="I2992" s="38" t="n"/>
      <c r="J2992" s="38" t="n"/>
      <c r="K2992" s="37" t="n"/>
      <c r="L2992" s="39" t="n"/>
      <c r="M2992" s="40" t="n"/>
      <c r="N2992" s="30">
        <f>IF(A2992="","",MONTH(A2992))</f>
        <v/>
      </c>
      <c r="O2992" s="30">
        <f>IF(A2992="","",YEAR(A2992))</f>
        <v/>
      </c>
      <c r="P2992" s="30">
        <f>IF(A2992="","",CHOOSE(WEEKDAY(A2992,2),"Segunda","Terça","Quarta","Quinta","Sexta","Sábado","Domingo"))</f>
        <v/>
      </c>
      <c r="Q2992" s="30">
        <f>IF(B2992="","",IF(B2992&lt;TIME(12,0,0),"Manhã",IF(B2992&lt;TIME(18,0,0),"Tarde","Noite")))</f>
        <v/>
      </c>
      <c r="R2992" s="46">
        <f>IF(AND(H2992="Realizado",L2992&lt;&gt;"",A2992&lt;=Config!$B$9),L2992/60,0)</f>
        <v>0</v>
      </c>
      <c r="S2992" s="45">
        <f>IF(G2992="","",IFERROR(INDEX(Config!$K$5:$K$16,MATCH(G2992,Config!$J$5:$J$16,0)),""))</f>
        <v/>
      </c>
      <c r="T2992" s="31">
        <f>IF(OR(G2992="",F2992=""),"",IFERROR(INDEX(Config!$M$5:$R$16,MATCH(G2992,Config!$J$5:$J$16,0),MATCH(F2992,Config!$H$5:$H$10,0)),""))</f>
        <v/>
      </c>
      <c r="U2992" s="47">
        <f>IF(AND(H2992="Realizado",L2992&lt;&gt;""),L2992/60,0)</f>
        <v>0</v>
      </c>
      <c r="V2992" s="47">
        <f>IF(AND(H2992="Realizado",OR(L2992="",M2992="")),1,0)</f>
        <v>0</v>
      </c>
    </row>
    <row r="2993">
      <c r="A2993" s="43" t="n"/>
      <c r="B2993" s="44" t="n"/>
      <c r="C2993" s="38" t="n"/>
      <c r="D2993" s="38" t="n"/>
      <c r="E2993" s="37" t="n"/>
      <c r="F2993" s="38" t="n"/>
      <c r="G2993" s="38" t="n"/>
      <c r="H2993" s="38" t="n"/>
      <c r="I2993" s="38" t="n"/>
      <c r="J2993" s="38" t="n"/>
      <c r="K2993" s="37" t="n"/>
      <c r="L2993" s="39" t="n"/>
      <c r="M2993" s="40" t="n"/>
      <c r="N2993" s="30">
        <f>IF(A2993="","",MONTH(A2993))</f>
        <v/>
      </c>
      <c r="O2993" s="30">
        <f>IF(A2993="","",YEAR(A2993))</f>
        <v/>
      </c>
      <c r="P2993" s="30">
        <f>IF(A2993="","",CHOOSE(WEEKDAY(A2993,2),"Segunda","Terça","Quarta","Quinta","Sexta","Sábado","Domingo"))</f>
        <v/>
      </c>
      <c r="Q2993" s="30">
        <f>IF(B2993="","",IF(B2993&lt;TIME(12,0,0),"Manhã",IF(B2993&lt;TIME(18,0,0),"Tarde","Noite")))</f>
        <v/>
      </c>
      <c r="R2993" s="46">
        <f>IF(AND(H2993="Realizado",L2993&lt;&gt;"",A2993&lt;=Config!$B$9),L2993/60,0)</f>
        <v>0</v>
      </c>
      <c r="S2993" s="45">
        <f>IF(G2993="","",IFERROR(INDEX(Config!$K$5:$K$16,MATCH(G2993,Config!$J$5:$J$16,0)),""))</f>
        <v/>
      </c>
      <c r="T2993" s="31">
        <f>IF(OR(G2993="",F2993=""),"",IFERROR(INDEX(Config!$M$5:$R$16,MATCH(G2993,Config!$J$5:$J$16,0),MATCH(F2993,Config!$H$5:$H$10,0)),""))</f>
        <v/>
      </c>
      <c r="U2993" s="47">
        <f>IF(AND(H2993="Realizado",L2993&lt;&gt;""),L2993/60,0)</f>
        <v>0</v>
      </c>
      <c r="V2993" s="47">
        <f>IF(AND(H2993="Realizado",OR(L2993="",M2993="")),1,0)</f>
        <v>0</v>
      </c>
    </row>
    <row r="2994">
      <c r="A2994" s="43" t="n"/>
      <c r="B2994" s="44" t="n"/>
      <c r="C2994" s="38" t="n"/>
      <c r="D2994" s="38" t="n"/>
      <c r="E2994" s="37" t="n"/>
      <c r="F2994" s="38" t="n"/>
      <c r="G2994" s="38" t="n"/>
      <c r="H2994" s="38" t="n"/>
      <c r="I2994" s="38" t="n"/>
      <c r="J2994" s="38" t="n"/>
      <c r="K2994" s="37" t="n"/>
      <c r="L2994" s="39" t="n"/>
      <c r="M2994" s="40" t="n"/>
      <c r="N2994" s="30">
        <f>IF(A2994="","",MONTH(A2994))</f>
        <v/>
      </c>
      <c r="O2994" s="30">
        <f>IF(A2994="","",YEAR(A2994))</f>
        <v/>
      </c>
      <c r="P2994" s="30">
        <f>IF(A2994="","",CHOOSE(WEEKDAY(A2994,2),"Segunda","Terça","Quarta","Quinta","Sexta","Sábado","Domingo"))</f>
        <v/>
      </c>
      <c r="Q2994" s="30">
        <f>IF(B2994="","",IF(B2994&lt;TIME(12,0,0),"Manhã",IF(B2994&lt;TIME(18,0,0),"Tarde","Noite")))</f>
        <v/>
      </c>
      <c r="R2994" s="46">
        <f>IF(AND(H2994="Realizado",L2994&lt;&gt;"",A2994&lt;=Config!$B$9),L2994/60,0)</f>
        <v>0</v>
      </c>
      <c r="S2994" s="45">
        <f>IF(G2994="","",IFERROR(INDEX(Config!$K$5:$K$16,MATCH(G2994,Config!$J$5:$J$16,0)),""))</f>
        <v/>
      </c>
      <c r="T2994" s="31">
        <f>IF(OR(G2994="",F2994=""),"",IFERROR(INDEX(Config!$M$5:$R$16,MATCH(G2994,Config!$J$5:$J$16,0),MATCH(F2994,Config!$H$5:$H$10,0)),""))</f>
        <v/>
      </c>
      <c r="U2994" s="47">
        <f>IF(AND(H2994="Realizado",L2994&lt;&gt;""),L2994/60,0)</f>
        <v>0</v>
      </c>
      <c r="V2994" s="47">
        <f>IF(AND(H2994="Realizado",OR(L2994="",M2994="")),1,0)</f>
        <v>0</v>
      </c>
    </row>
    <row r="2995">
      <c r="A2995" s="43" t="n"/>
      <c r="B2995" s="44" t="n"/>
      <c r="C2995" s="38" t="n"/>
      <c r="D2995" s="38" t="n"/>
      <c r="E2995" s="37" t="n"/>
      <c r="F2995" s="38" t="n"/>
      <c r="G2995" s="38" t="n"/>
      <c r="H2995" s="38" t="n"/>
      <c r="I2995" s="38" t="n"/>
      <c r="J2995" s="38" t="n"/>
      <c r="K2995" s="37" t="n"/>
      <c r="L2995" s="39" t="n"/>
      <c r="M2995" s="40" t="n"/>
      <c r="N2995" s="30">
        <f>IF(A2995="","",MONTH(A2995))</f>
        <v/>
      </c>
      <c r="O2995" s="30">
        <f>IF(A2995="","",YEAR(A2995))</f>
        <v/>
      </c>
      <c r="P2995" s="30">
        <f>IF(A2995="","",CHOOSE(WEEKDAY(A2995,2),"Segunda","Terça","Quarta","Quinta","Sexta","Sábado","Domingo"))</f>
        <v/>
      </c>
      <c r="Q2995" s="30">
        <f>IF(B2995="","",IF(B2995&lt;TIME(12,0,0),"Manhã",IF(B2995&lt;TIME(18,0,0),"Tarde","Noite")))</f>
        <v/>
      </c>
      <c r="R2995" s="46">
        <f>IF(AND(H2995="Realizado",L2995&lt;&gt;"",A2995&lt;=Config!$B$9),L2995/60,0)</f>
        <v>0</v>
      </c>
      <c r="S2995" s="45">
        <f>IF(G2995="","",IFERROR(INDEX(Config!$K$5:$K$16,MATCH(G2995,Config!$J$5:$J$16,0)),""))</f>
        <v/>
      </c>
      <c r="T2995" s="31">
        <f>IF(OR(G2995="",F2995=""),"",IFERROR(INDEX(Config!$M$5:$R$16,MATCH(G2995,Config!$J$5:$J$16,0),MATCH(F2995,Config!$H$5:$H$10,0)),""))</f>
        <v/>
      </c>
      <c r="U2995" s="47">
        <f>IF(AND(H2995="Realizado",L2995&lt;&gt;""),L2995/60,0)</f>
        <v>0</v>
      </c>
      <c r="V2995" s="47">
        <f>IF(AND(H2995="Realizado",OR(L2995="",M2995="")),1,0)</f>
        <v>0</v>
      </c>
    </row>
    <row r="2996">
      <c r="A2996" s="43" t="n"/>
      <c r="B2996" s="44" t="n"/>
      <c r="C2996" s="38" t="n"/>
      <c r="D2996" s="38" t="n"/>
      <c r="E2996" s="37" t="n"/>
      <c r="F2996" s="38" t="n"/>
      <c r="G2996" s="38" t="n"/>
      <c r="H2996" s="38" t="n"/>
      <c r="I2996" s="38" t="n"/>
      <c r="J2996" s="38" t="n"/>
      <c r="K2996" s="37" t="n"/>
      <c r="L2996" s="39" t="n"/>
      <c r="M2996" s="40" t="n"/>
      <c r="N2996" s="30">
        <f>IF(A2996="","",MONTH(A2996))</f>
        <v/>
      </c>
      <c r="O2996" s="30">
        <f>IF(A2996="","",YEAR(A2996))</f>
        <v/>
      </c>
      <c r="P2996" s="30">
        <f>IF(A2996="","",CHOOSE(WEEKDAY(A2996,2),"Segunda","Terça","Quarta","Quinta","Sexta","Sábado","Domingo"))</f>
        <v/>
      </c>
      <c r="Q2996" s="30">
        <f>IF(B2996="","",IF(B2996&lt;TIME(12,0,0),"Manhã",IF(B2996&lt;TIME(18,0,0),"Tarde","Noite")))</f>
        <v/>
      </c>
      <c r="R2996" s="46">
        <f>IF(AND(H2996="Realizado",L2996&lt;&gt;"",A2996&lt;=Config!$B$9),L2996/60,0)</f>
        <v>0</v>
      </c>
      <c r="S2996" s="45">
        <f>IF(G2996="","",IFERROR(INDEX(Config!$K$5:$K$16,MATCH(G2996,Config!$J$5:$J$16,0)),""))</f>
        <v/>
      </c>
      <c r="T2996" s="31">
        <f>IF(OR(G2996="",F2996=""),"",IFERROR(INDEX(Config!$M$5:$R$16,MATCH(G2996,Config!$J$5:$J$16,0),MATCH(F2996,Config!$H$5:$H$10,0)),""))</f>
        <v/>
      </c>
      <c r="U2996" s="47">
        <f>IF(AND(H2996="Realizado",L2996&lt;&gt;""),L2996/60,0)</f>
        <v>0</v>
      </c>
      <c r="V2996" s="47">
        <f>IF(AND(H2996="Realizado",OR(L2996="",M2996="")),1,0)</f>
        <v>0</v>
      </c>
    </row>
    <row r="2997">
      <c r="A2997" s="43" t="n"/>
      <c r="B2997" s="44" t="n"/>
      <c r="C2997" s="38" t="n"/>
      <c r="D2997" s="38" t="n"/>
      <c r="E2997" s="37" t="n"/>
      <c r="F2997" s="38" t="n"/>
      <c r="G2997" s="38" t="n"/>
      <c r="H2997" s="38" t="n"/>
      <c r="I2997" s="38" t="n"/>
      <c r="J2997" s="38" t="n"/>
      <c r="K2997" s="37" t="n"/>
      <c r="L2997" s="39" t="n"/>
      <c r="M2997" s="40" t="n"/>
      <c r="N2997" s="30">
        <f>IF(A2997="","",MONTH(A2997))</f>
        <v/>
      </c>
      <c r="O2997" s="30">
        <f>IF(A2997="","",YEAR(A2997))</f>
        <v/>
      </c>
      <c r="P2997" s="30">
        <f>IF(A2997="","",CHOOSE(WEEKDAY(A2997,2),"Segunda","Terça","Quarta","Quinta","Sexta","Sábado","Domingo"))</f>
        <v/>
      </c>
      <c r="Q2997" s="30">
        <f>IF(B2997="","",IF(B2997&lt;TIME(12,0,0),"Manhã",IF(B2997&lt;TIME(18,0,0),"Tarde","Noite")))</f>
        <v/>
      </c>
      <c r="R2997" s="46">
        <f>IF(AND(H2997="Realizado",L2997&lt;&gt;"",A2997&lt;=Config!$B$9),L2997/60,0)</f>
        <v>0</v>
      </c>
      <c r="S2997" s="45">
        <f>IF(G2997="","",IFERROR(INDEX(Config!$K$5:$K$16,MATCH(G2997,Config!$J$5:$J$16,0)),""))</f>
        <v/>
      </c>
      <c r="T2997" s="31">
        <f>IF(OR(G2997="",F2997=""),"",IFERROR(INDEX(Config!$M$5:$R$16,MATCH(G2997,Config!$J$5:$J$16,0),MATCH(F2997,Config!$H$5:$H$10,0)),""))</f>
        <v/>
      </c>
      <c r="U2997" s="47">
        <f>IF(AND(H2997="Realizado",L2997&lt;&gt;""),L2997/60,0)</f>
        <v>0</v>
      </c>
      <c r="V2997" s="47">
        <f>IF(AND(H2997="Realizado",OR(L2997="",M2997="")),1,0)</f>
        <v>0</v>
      </c>
    </row>
    <row r="2998">
      <c r="A2998" s="43" t="n"/>
      <c r="B2998" s="44" t="n"/>
      <c r="C2998" s="38" t="n"/>
      <c r="D2998" s="38" t="n"/>
      <c r="E2998" s="37" t="n"/>
      <c r="F2998" s="38" t="n"/>
      <c r="G2998" s="38" t="n"/>
      <c r="H2998" s="38" t="n"/>
      <c r="I2998" s="38" t="n"/>
      <c r="J2998" s="38" t="n"/>
      <c r="K2998" s="37" t="n"/>
      <c r="L2998" s="39" t="n"/>
      <c r="M2998" s="40" t="n"/>
      <c r="N2998" s="30">
        <f>IF(A2998="","",MONTH(A2998))</f>
        <v/>
      </c>
      <c r="O2998" s="30">
        <f>IF(A2998="","",YEAR(A2998))</f>
        <v/>
      </c>
      <c r="P2998" s="30">
        <f>IF(A2998="","",CHOOSE(WEEKDAY(A2998,2),"Segunda","Terça","Quarta","Quinta","Sexta","Sábado","Domingo"))</f>
        <v/>
      </c>
      <c r="Q2998" s="30">
        <f>IF(B2998="","",IF(B2998&lt;TIME(12,0,0),"Manhã",IF(B2998&lt;TIME(18,0,0),"Tarde","Noite")))</f>
        <v/>
      </c>
      <c r="R2998" s="46">
        <f>IF(AND(H2998="Realizado",L2998&lt;&gt;"",A2998&lt;=Config!$B$9),L2998/60,0)</f>
        <v>0</v>
      </c>
      <c r="S2998" s="45">
        <f>IF(G2998="","",IFERROR(INDEX(Config!$K$5:$K$16,MATCH(G2998,Config!$J$5:$J$16,0)),""))</f>
        <v/>
      </c>
      <c r="T2998" s="31">
        <f>IF(OR(G2998="",F2998=""),"",IFERROR(INDEX(Config!$M$5:$R$16,MATCH(G2998,Config!$J$5:$J$16,0),MATCH(F2998,Config!$H$5:$H$10,0)),""))</f>
        <v/>
      </c>
      <c r="U2998" s="47">
        <f>IF(AND(H2998="Realizado",L2998&lt;&gt;""),L2998/60,0)</f>
        <v>0</v>
      </c>
      <c r="V2998" s="47">
        <f>IF(AND(H2998="Realizado",OR(L2998="",M2998="")),1,0)</f>
        <v>0</v>
      </c>
    </row>
    <row r="2999">
      <c r="A2999" s="43" t="n"/>
      <c r="B2999" s="44" t="n"/>
      <c r="C2999" s="38" t="n"/>
      <c r="D2999" s="38" t="n"/>
      <c r="E2999" s="37" t="n"/>
      <c r="F2999" s="38" t="n"/>
      <c r="G2999" s="38" t="n"/>
      <c r="H2999" s="38" t="n"/>
      <c r="I2999" s="38" t="n"/>
      <c r="J2999" s="38" t="n"/>
      <c r="K2999" s="37" t="n"/>
      <c r="L2999" s="39" t="n"/>
      <c r="M2999" s="40" t="n"/>
      <c r="N2999" s="30">
        <f>IF(A2999="","",MONTH(A2999))</f>
        <v/>
      </c>
      <c r="O2999" s="30">
        <f>IF(A2999="","",YEAR(A2999))</f>
        <v/>
      </c>
      <c r="P2999" s="30">
        <f>IF(A2999="","",CHOOSE(WEEKDAY(A2999,2),"Segunda","Terça","Quarta","Quinta","Sexta","Sábado","Domingo"))</f>
        <v/>
      </c>
      <c r="Q2999" s="30">
        <f>IF(B2999="","",IF(B2999&lt;TIME(12,0,0),"Manhã",IF(B2999&lt;TIME(18,0,0),"Tarde","Noite")))</f>
        <v/>
      </c>
      <c r="R2999" s="46">
        <f>IF(AND(H2999="Realizado",L2999&lt;&gt;"",A2999&lt;=Config!$B$9),L2999/60,0)</f>
        <v>0</v>
      </c>
      <c r="S2999" s="45">
        <f>IF(G2999="","",IFERROR(INDEX(Config!$K$5:$K$16,MATCH(G2999,Config!$J$5:$J$16,0)),""))</f>
        <v/>
      </c>
      <c r="T2999" s="31">
        <f>IF(OR(G2999="",F2999=""),"",IFERROR(INDEX(Config!$M$5:$R$16,MATCH(G2999,Config!$J$5:$J$16,0),MATCH(F2999,Config!$H$5:$H$10,0)),""))</f>
        <v/>
      </c>
      <c r="U2999" s="47">
        <f>IF(AND(H2999="Realizado",L2999&lt;&gt;""),L2999/60,0)</f>
        <v>0</v>
      </c>
      <c r="V2999" s="47">
        <f>IF(AND(H2999="Realizado",OR(L2999="",M2999="")),1,0)</f>
        <v>0</v>
      </c>
    </row>
    <row r="3000">
      <c r="A3000" s="43" t="n"/>
      <c r="B3000" s="44" t="n"/>
      <c r="C3000" s="38" t="n"/>
      <c r="D3000" s="38" t="n"/>
      <c r="E3000" s="37" t="n"/>
      <c r="F3000" s="38" t="n"/>
      <c r="G3000" s="38" t="n"/>
      <c r="H3000" s="38" t="n"/>
      <c r="I3000" s="38" t="n"/>
      <c r="J3000" s="38" t="n"/>
      <c r="K3000" s="37" t="n"/>
      <c r="L3000" s="39" t="n"/>
      <c r="M3000" s="40" t="n"/>
      <c r="N3000" s="30">
        <f>IF(A3000="","",MONTH(A3000))</f>
        <v/>
      </c>
      <c r="O3000" s="30">
        <f>IF(A3000="","",YEAR(A3000))</f>
        <v/>
      </c>
      <c r="P3000" s="30">
        <f>IF(A3000="","",CHOOSE(WEEKDAY(A3000,2),"Segunda","Terça","Quarta","Quinta","Sexta","Sábado","Domingo"))</f>
        <v/>
      </c>
      <c r="Q3000" s="30">
        <f>IF(B3000="","",IF(B3000&lt;TIME(12,0,0),"Manhã",IF(B3000&lt;TIME(18,0,0),"Tarde","Noite")))</f>
        <v/>
      </c>
      <c r="R3000" s="46">
        <f>IF(AND(H3000="Realizado",L3000&lt;&gt;"",A3000&lt;=Config!$B$9),L3000/60,0)</f>
        <v>0</v>
      </c>
      <c r="S3000" s="45">
        <f>IF(G3000="","",IFERROR(INDEX(Config!$K$5:$K$16,MATCH(G3000,Config!$J$5:$J$16,0)),""))</f>
        <v/>
      </c>
      <c r="T3000" s="31">
        <f>IF(OR(G3000="",F3000=""),"",IFERROR(INDEX(Config!$M$5:$R$16,MATCH(G3000,Config!$J$5:$J$16,0),MATCH(F3000,Config!$H$5:$H$10,0)),""))</f>
        <v/>
      </c>
      <c r="U3000" s="47">
        <f>IF(AND(H3000="Realizado",L3000&lt;&gt;""),L3000/60,0)</f>
        <v>0</v>
      </c>
      <c r="V3000" s="47">
        <f>IF(AND(H3000="Realizado",OR(L3000="",M3000="")),1,0)</f>
        <v>0</v>
      </c>
    </row>
    <row r="3001">
      <c r="A3001" s="43" t="n"/>
      <c r="B3001" s="44" t="n"/>
      <c r="C3001" s="38" t="n"/>
      <c r="D3001" s="38" t="n"/>
      <c r="E3001" s="37" t="n"/>
      <c r="F3001" s="38" t="n"/>
      <c r="G3001" s="38" t="n"/>
      <c r="H3001" s="38" t="n"/>
      <c r="I3001" s="38" t="n"/>
      <c r="J3001" s="38" t="n"/>
      <c r="K3001" s="37" t="n"/>
      <c r="L3001" s="39" t="n"/>
      <c r="M3001" s="40" t="n"/>
      <c r="N3001" s="30">
        <f>IF(A3001="","",MONTH(A3001))</f>
        <v/>
      </c>
      <c r="O3001" s="30">
        <f>IF(A3001="","",YEAR(A3001))</f>
        <v/>
      </c>
      <c r="P3001" s="30">
        <f>IF(A3001="","",CHOOSE(WEEKDAY(A3001,2),"Segunda","Terça","Quarta","Quinta","Sexta","Sábado","Domingo"))</f>
        <v/>
      </c>
      <c r="Q3001" s="30">
        <f>IF(B3001="","",IF(B3001&lt;TIME(12,0,0),"Manhã",IF(B3001&lt;TIME(18,0,0),"Tarde","Noite")))</f>
        <v/>
      </c>
      <c r="R3001" s="46">
        <f>IF(AND(H3001="Realizado",L3001&lt;&gt;"",A3001&lt;=Config!$B$9),L3001/60,0)</f>
        <v>0</v>
      </c>
      <c r="S3001" s="45">
        <f>IF(G3001="","",IFERROR(INDEX(Config!$K$5:$K$16,MATCH(G3001,Config!$J$5:$J$16,0)),""))</f>
        <v/>
      </c>
      <c r="T3001" s="31">
        <f>IF(OR(G3001="",F3001=""),"",IFERROR(INDEX(Config!$M$5:$R$16,MATCH(G3001,Config!$J$5:$J$16,0),MATCH(F3001,Config!$H$5:$H$10,0)),""))</f>
        <v/>
      </c>
      <c r="U3001" s="47">
        <f>IF(AND(H3001="Realizado",L3001&lt;&gt;""),L3001/60,0)</f>
        <v>0</v>
      </c>
      <c r="V3001" s="47">
        <f>IF(AND(H3001="Realizado",OR(L3001="",M3001="")),1,0)</f>
        <v>0</v>
      </c>
    </row>
    <row r="3002">
      <c r="A3002" s="43" t="n"/>
      <c r="B3002" s="44" t="n"/>
      <c r="C3002" s="38" t="n"/>
      <c r="D3002" s="38" t="n"/>
      <c r="E3002" s="37" t="n"/>
      <c r="F3002" s="38" t="n"/>
      <c r="G3002" s="38" t="n"/>
      <c r="H3002" s="38" t="n"/>
      <c r="I3002" s="38" t="n"/>
      <c r="J3002" s="38" t="n"/>
      <c r="K3002" s="37" t="n"/>
      <c r="L3002" s="39" t="n"/>
      <c r="M3002" s="40" t="n"/>
      <c r="N3002" s="30">
        <f>IF(A3002="","",MONTH(A3002))</f>
        <v/>
      </c>
      <c r="O3002" s="30">
        <f>IF(A3002="","",YEAR(A3002))</f>
        <v/>
      </c>
      <c r="P3002" s="30">
        <f>IF(A3002="","",CHOOSE(WEEKDAY(A3002,2),"Segunda","Terça","Quarta","Quinta","Sexta","Sábado","Domingo"))</f>
        <v/>
      </c>
      <c r="Q3002" s="30">
        <f>IF(B3002="","",IF(B3002&lt;TIME(12,0,0),"Manhã",IF(B3002&lt;TIME(18,0,0),"Tarde","Noite")))</f>
        <v/>
      </c>
      <c r="R3002" s="46">
        <f>IF(AND(H3002="Realizado",L3002&lt;&gt;"",A3002&lt;=Config!$B$9),L3002/60,0)</f>
        <v>0</v>
      </c>
      <c r="S3002" s="45">
        <f>IF(G3002="","",IFERROR(INDEX(Config!$K$5:$K$16,MATCH(G3002,Config!$J$5:$J$16,0)),""))</f>
        <v/>
      </c>
      <c r="T3002" s="31">
        <f>IF(OR(G3002="",F3002=""),"",IFERROR(INDEX(Config!$M$5:$R$16,MATCH(G3002,Config!$J$5:$J$16,0),MATCH(F3002,Config!$H$5:$H$10,0)),""))</f>
        <v/>
      </c>
      <c r="U3002" s="47">
        <f>IF(AND(H3002="Realizado",L3002&lt;&gt;""),L3002/60,0)</f>
        <v>0</v>
      </c>
      <c r="V3002" s="47">
        <f>IF(AND(H3002="Realizado",OR(L3002="",M3002="")),1,0)</f>
        <v>0</v>
      </c>
    </row>
    <row r="3003">
      <c r="A3003" s="43" t="n"/>
      <c r="B3003" s="44" t="n"/>
      <c r="C3003" s="38" t="n"/>
      <c r="D3003" s="38" t="n"/>
      <c r="E3003" s="37" t="n"/>
      <c r="F3003" s="38" t="n"/>
      <c r="G3003" s="38" t="n"/>
      <c r="H3003" s="38" t="n"/>
      <c r="I3003" s="38" t="n"/>
      <c r="J3003" s="38" t="n"/>
      <c r="K3003" s="37" t="n"/>
      <c r="L3003" s="39" t="n"/>
      <c r="M3003" s="40" t="n"/>
      <c r="N3003" s="30">
        <f>IF(A3003="","",MONTH(A3003))</f>
        <v/>
      </c>
      <c r="O3003" s="30">
        <f>IF(A3003="","",YEAR(A3003))</f>
        <v/>
      </c>
      <c r="P3003" s="30">
        <f>IF(A3003="","",CHOOSE(WEEKDAY(A3003,2),"Segunda","Terça","Quarta","Quinta","Sexta","Sábado","Domingo"))</f>
        <v/>
      </c>
      <c r="Q3003" s="30">
        <f>IF(B3003="","",IF(B3003&lt;TIME(12,0,0),"Manhã",IF(B3003&lt;TIME(18,0,0),"Tarde","Noite")))</f>
        <v/>
      </c>
      <c r="R3003" s="46">
        <f>IF(AND(H3003="Realizado",L3003&lt;&gt;"",A3003&lt;=Config!$B$9),L3003/60,0)</f>
        <v>0</v>
      </c>
      <c r="S3003" s="45">
        <f>IF(G3003="","",IFERROR(INDEX(Config!$K$5:$K$16,MATCH(G3003,Config!$J$5:$J$16,0)),""))</f>
        <v/>
      </c>
      <c r="T3003" s="31">
        <f>IF(OR(G3003="",F3003=""),"",IFERROR(INDEX(Config!$M$5:$R$16,MATCH(G3003,Config!$J$5:$J$16,0),MATCH(F3003,Config!$H$5:$H$10,0)),""))</f>
        <v/>
      </c>
      <c r="U3003" s="47">
        <f>IF(AND(H3003="Realizado",L3003&lt;&gt;""),L3003/60,0)</f>
        <v>0</v>
      </c>
      <c r="V3003" s="47">
        <f>IF(AND(H3003="Realizado",OR(L3003="",M3003="")),1,0)</f>
        <v>0</v>
      </c>
    </row>
    <row r="3004">
      <c r="A3004" s="43" t="n"/>
      <c r="B3004" s="44" t="n"/>
      <c r="C3004" s="38" t="n"/>
      <c r="D3004" s="38" t="n"/>
      <c r="E3004" s="37" t="n"/>
      <c r="F3004" s="38" t="n"/>
      <c r="G3004" s="38" t="n"/>
      <c r="H3004" s="38" t="n"/>
      <c r="I3004" s="38" t="n"/>
      <c r="J3004" s="38" t="n"/>
      <c r="K3004" s="37" t="n"/>
      <c r="L3004" s="39" t="n"/>
      <c r="M3004" s="40" t="n"/>
      <c r="N3004" s="30">
        <f>IF(A3004="","",MONTH(A3004))</f>
        <v/>
      </c>
      <c r="O3004" s="30">
        <f>IF(A3004="","",YEAR(A3004))</f>
        <v/>
      </c>
      <c r="P3004" s="30">
        <f>IF(A3004="","",CHOOSE(WEEKDAY(A3004,2),"Segunda","Terça","Quarta","Quinta","Sexta","Sábado","Domingo"))</f>
        <v/>
      </c>
      <c r="Q3004" s="30">
        <f>IF(B3004="","",IF(B3004&lt;TIME(12,0,0),"Manhã",IF(B3004&lt;TIME(18,0,0),"Tarde","Noite")))</f>
        <v/>
      </c>
      <c r="R3004" s="46">
        <f>IF(AND(H3004="Realizado",L3004&lt;&gt;"",A3004&lt;=Config!$B$9),L3004/60,0)</f>
        <v>0</v>
      </c>
      <c r="S3004" s="45">
        <f>IF(G3004="","",IFERROR(INDEX(Config!$K$5:$K$16,MATCH(G3004,Config!$J$5:$J$16,0)),""))</f>
        <v/>
      </c>
      <c r="T3004" s="31">
        <f>IF(OR(G3004="",F3004=""),"",IFERROR(INDEX(Config!$M$5:$R$16,MATCH(G3004,Config!$J$5:$J$16,0),MATCH(F3004,Config!$H$5:$H$10,0)),""))</f>
        <v/>
      </c>
      <c r="U3004" s="47">
        <f>IF(AND(H3004="Realizado",L3004&lt;&gt;""),L3004/60,0)</f>
        <v>0</v>
      </c>
      <c r="V3004" s="47">
        <f>IF(AND(H3004="Realizado",OR(L3004="",M3004="")),1,0)</f>
        <v>0</v>
      </c>
    </row>
    <row r="3006">
      <c r="A3006" s="35" t="inlineStr">
        <is>
          <t>Verde: realizado. Vermelho: falta. Lilás: agendado ou confirmado. Cinza: cancelado ou remarcado. Forma de pagamento em vermelho: atendimento realizado com valor e sem forma. Convênio: escolha "Convênio" (a guia vai para a planilha 13). A prazo: a parcela vai para a planilha 14. Cartão: a conciliação é a planilha 16.</t>
        </is>
      </c>
    </row>
    <row r="3007">
      <c r="A3007" s="35" t="inlineStr">
        <is>
          <t>No exemplo, a agenda na planilha começou em 01/06/2026 (antes, a recepção só fechava o caixa do dia). Todas as datas são fixas: o exemplo é uma foto de 14/09/2026, para os vinte arquivos fecharem entre eles.</t>
        </is>
      </c>
    </row>
    <row r="3008">
      <c r="A3008" s="35" t="inlineStr">
        <is>
          <t>Esta aba tem 3000 linhas (5 a 3004): cerca de 300 atendimentos por mês cabem 10 meses. Para estender, desproteja a aba (Revisar &gt; Desproteger), selecione a última linha inteira, copie e cole nas linhas seguintes (as fórmulas das colunas brancas vêm juntas) e depois troque 3004 pelo novo número final nas fórmulas do Painel (Localizar e substituir). Ou comece um arquivo por ano, que é o mais simples.</t>
        </is>
      </c>
    </row>
    <row r="3009">
      <c r="A3009" s="35" t="inlineStr">
        <is>
          <t>Minutos e Valor são SEUS, gravados na linha: o atendimento fica com a duração e o preço que valiam no dia dele. Ao lançar uma linha nova, copie o que as duas últimas colunas sugerem pela tabela de Config. Quando você reajustar a tabela, os atendimentos antigos continuam com o valor de antes — é isso que mantém o faturamento e a ocupação do mês passado iguais aos que você fechou na época. Em amarelo: atendimento ainda não realizado com valor ou duração diferente da tabela de hoje. Em vermelho: atendimento REALIZADO sem minutos ou sem valor — ele fica de fora das horas, da ocupação e da produção até você completar (o Painel avisa quantos são). Valor 0 digitado é válido: retorno incluído na consulta.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R3004"/>
  <mergeCells count="2">
    <mergeCell ref="A2:R2"/>
    <mergeCell ref="A1:R1"/>
  </mergeCells>
  <conditionalFormatting sqref="L5:M3004">
    <cfRule type="expression" priority="1" dxfId="3">
      <formula>$V5=1</formula>
    </cfRule>
    <cfRule type="expression" priority="2" dxfId="0">
      <formula>AND(OR($H5="Agendado",$H5="Confirmado"),$S5&lt;&gt;"",OR($L5&lt;&gt;$S5,$M5&lt;&gt;$T5))</formula>
    </cfRule>
  </conditionalFormatting>
  <conditionalFormatting sqref="A5:R3004">
    <cfRule type="expression" priority="3" dxfId="4">
      <formula>$H5="Realizado"</formula>
    </cfRule>
    <cfRule type="expression" priority="4" dxfId="5">
      <formula>$H5="Falta"</formula>
    </cfRule>
    <cfRule type="expression" priority="5" dxfId="6">
      <formula>OR($H5="Cancelado",$H5="Remarcado")</formula>
    </cfRule>
    <cfRule type="expression" priority="6" dxfId="7">
      <formula>OR($H5="Agendado",$H5="Confirmado")</formula>
    </cfRule>
  </conditionalFormatting>
  <conditionalFormatting sqref="I5:I3004">
    <cfRule type="expression" priority="7" dxfId="8">
      <formula>AND($H5="Realizado",$M5&gt;0,$I5="")</formula>
    </cfRule>
  </conditionalFormatting>
  <dataValidations count="11">
    <dataValidation sqref="C5:C3004" showDropDown="0" showInputMessage="0" showErrorMessage="1" allowBlank="1" type="list">
      <formula1>=OFFSET(Config!$D$5,0,0,MAX(1,COUNTA(Config!$D$5:$D$12)),1)</formula1>
    </dataValidation>
    <dataValidation sqref="D5:D3004" showDropDown="0" showInputMessage="0" showErrorMessage="1" allowBlank="1" type="list">
      <formula1>=OFFSET(Config!$F$5,0,0,MAX(1,COUNTA(Config!$F$5:$F$10)),1)</formula1>
    </dataValidation>
    <dataValidation sqref="E5:E3004" showDropDown="0" showInputMessage="0" showErrorMessage="1" allowBlank="1" type="list">
      <formula1>=OFFSET(Pacientes!$A$5,0,0,MAX(1,COUNTA(Pacientes!$A$5:$A$404)),1)</formula1>
    </dataValidation>
    <dataValidation sqref="F5:F3004" showDropDown="0" showInputMessage="0" showErrorMessage="1" allowBlank="1" type="list">
      <formula1>=OFFSET(Config!$H$5,0,0,MAX(1,COUNTA(Config!$H$5:$H$10)),1)</formula1>
    </dataValidation>
    <dataValidation sqref="G5:G3004" showDropDown="0" showInputMessage="0" showErrorMessage="1" allowBlank="1" type="list">
      <formula1>=OFFSET(Config!$J$5,0,0,MAX(1,COUNTA(Config!$J$5:$J$16)),1)</formula1>
    </dataValidation>
    <dataValidation sqref="H5:H3004" showDropDown="0" showInputMessage="0" showErrorMessage="1" allowBlank="1" type="list">
      <formula1>"Agendado,Confirmado,Realizado,Falta,Cancelado,Remarcado"</formula1>
    </dataValidation>
    <dataValidation sqref="I5:I3004" showDropDown="0" showInputMessage="0" showErrorMessage="1" allowBlank="1" type="list">
      <formula1>"Pix,Dinheiro,Cartão de débito,Cartão de crédito,A prazo,Convênio,Sem cobrança"</formula1>
    </dataValidation>
    <dataValidation sqref="J5:J3004" showDropDown="0" showInputMessage="0" showErrorMessage="1" allowBlank="1" type="whole" operator="between">
      <formula1>1</formula1>
      <formula2>12</formula2>
    </dataValidation>
    <dataValidation sqref="A5:A3004" showDropDown="0" showInputMessage="0" showErrorMessage="1" allowBlank="1" type="date" operator="greaterThan">
      <formula1>1</formula1>
    </dataValidation>
    <dataValidation sqref="L5:L3004" showDropDown="0" showInputMessage="0" showErrorMessage="1" allowBlank="1" errorTitle="Minutos" error="Duração do atendimento em minutos, de 1 a 600. A coluna &quot;Minutos pela tabela de hoje&quot; mostra o que a sua tabela sugere." type="whole" operator="between">
      <formula1>1</formula1>
      <formula2>600</formula2>
    </dataValidation>
    <dataValidation sqref="M5:M3004" showDropDown="0" showInputMessage="0" showErrorMessage="1" allowBlank="1" errorTitle="Valor" error="Valor cobrado neste atendimento, em reais. A coluna &quot;Valor pela tabela de hoje&quot; mostra o que a sua tabela sugere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Agenda e ocupação · Kit de Gestão para Médicos</dc:title>
  <dcterms:created xmlns:dcterms="http://purl.org/dc/terms/" xmlns:xsi="http://www.w3.org/2001/XMLSchema-instance" xsi:type="dcterms:W3CDTF">2026-09-18T16:29:07Z</dcterms:created>
  <dcterms:modified xmlns:dcterms="http://purl.org/dc/terms/" xmlns:xsi="http://www.w3.org/2001/XMLSchema-instance" xsi:type="dcterms:W3CDTF">2026-09-18T16:29:15Z</dcterms:modified>
</cp:coreProperties>
</file>