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IFERROR(INDEX(Config!$B$19:$B$30,MATCH(B8,Config!$A$19:$A$30,0)),"")</f>
        <v>30</v>
      </c>
    </row>
    <row r="10">
      <c r="A10" s="23" t="inlineStr">
        <is>
          <t>Gera retorno?</t>
        </is>
      </c>
      <c r="B10" s="25" t="str">
        <f>IFERROR(INDEX(Config!$C$19:$C$30,MATCH(B8,Config!$A$19:$A$30,0)),"")</f>
        <v>Sim</v>
      </c>
    </row>
    <row r="11">
      <c r="A11" s="23" t="inlineStr">
        <is>
          <t>Material (R$)</t>
        </is>
      </c>
      <c r="B11" s="26">
        <f>IFERROR(INDEX(Config!$D$19:$D$30,MATCH(B8,Config!$A$19:$A$30,0)),0)</f>
        <v>4</v>
      </c>
    </row>
    <row r="12">
      <c r="A12" s="23" t="inlineStr">
        <is>
          <t>Tempo com retorno embutido (min)</t>
        </is>
      </c>
      <c r="B12" s="27">
        <f>IF(B9="","",B9+IF(B10="Sim",Config!$E$19*Config!$F$19,0))</f>
        <v>38</v>
      </c>
    </row>
    <row r="13">
      <c r="A13" s="23" t="inlineStr">
        <is>
          <t>Custo cheio do atendimento (R$)</t>
        </is>
      </c>
      <c r="B13" s="28">
        <f>IF(B12="","",B12/60*Config!$B$5+B11)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IFERROR(Config!$B$5/(1-Config!$B$6-Config!$B$7),"")</f>
        <v>338.983050847458</v>
      </c>
    </row>
    <row r="15">
      <c r="A15" s="23" t="inlineStr">
        <is>
          <t>Preço mínimo deste procedimento (R$)</t>
        </is>
      </c>
      <c r="B15" s="28">
        <f>IF(B13="","",IFERROR(B13/(1-Config!$B$6-Config!$B$7),""))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IF(Config!$A$10="","",Config!$B$10)</f>
        <v>0</v>
      </c>
      <c r="D19" s="32">
        <f>IF(Config!$A$10="","",Config!$C$10)</f>
        <v>0</v>
      </c>
      <c r="E19" s="26">
        <f>IF(OR(Config!$A$10="",B19=""),"",B19*(1-D19))</f>
        <v>380</v>
      </c>
      <c r="F19" s="26">
        <f>IF(E19="","",E19*Config!$B$8*C19/30)</f>
        <v>0</v>
      </c>
      <c r="G19" s="26">
        <f>IF(E19="","",E19*Config!$B$6)</f>
        <v>41.8</v>
      </c>
      <c r="H19" s="28">
        <f>IF(E19="","",E19-F19-G19)</f>
        <v>338.2</v>
      </c>
      <c r="I19" s="26">
        <f>IF(E19="","",$B$13)</f>
        <v>130.666666666667</v>
      </c>
      <c r="J19" s="26">
        <f>IF(E19="","",H19-I19)</f>
        <v>207.533333333333</v>
      </c>
      <c r="K19" s="33">
        <f>IF(OR(E19="",B19=0),"",J19/B19)</f>
        <v>0.546140350877193</v>
      </c>
      <c r="L19" s="26">
        <f>IF(OR(E19="",$B$12=0),"",H19/($B$12/60))</f>
        <v>534</v>
      </c>
      <c r="M19" s="34">
        <f>IF(L19="","",L19/$B$14-1)</f>
        <v>0.5753</v>
      </c>
      <c r="N19" s="30" t="str">
        <f>IF(E19="","",IF(J19&lt;0,"Não cobre o custo cheio",IF(K19&lt;Config!$B$7,"Cobre o custo, não a margem mínima","Cobre custo e margem")))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IF(Config!$A$11="","",Config!$B$11)</f>
        <v>30</v>
      </c>
      <c r="D20" s="32">
        <f>IF(Config!$A$11="","",Config!$C$11)</f>
        <v>0.03</v>
      </c>
      <c r="E20" s="26">
        <f>IF(OR(Config!$A$11="",B20=""),"",B20*(1-D20))</f>
        <v>116.4</v>
      </c>
      <c r="F20" s="26">
        <f>IF(E20="","",E20*Config!$B$8*C20/30)</f>
        <v>1.746</v>
      </c>
      <c r="G20" s="26">
        <f>IF(E20="","",E20*Config!$B$6)</f>
        <v>12.804</v>
      </c>
      <c r="H20" s="28">
        <f>IF(E20="","",E20-F20-G20)</f>
        <v>101.85</v>
      </c>
      <c r="I20" s="26">
        <f>IF(E20="","",$B$13)</f>
        <v>130.666666666667</v>
      </c>
      <c r="J20" s="26">
        <f>IF(E20="","",H20-I20)</f>
        <v>-28.8166666666667</v>
      </c>
      <c r="K20" s="33">
        <f>IF(OR(E20="",B20=0),"",J20/B20)</f>
        <v>-0.240138888888889</v>
      </c>
      <c r="L20" s="26">
        <f>IF(OR(E20="",$B$12=0),"",H20/($B$12/60))</f>
        <v>160.815789473684</v>
      </c>
      <c r="M20" s="34">
        <f>IF(L20="","",L20/$B$14-1)</f>
        <v>-0.525593421052632</v>
      </c>
      <c r="N20" s="30" t="str">
        <f>IF(E20="","",IF(J20&lt;0,"Não cobre o custo cheio",IF(K20&lt;Config!$B$7,"Cobre o custo, não a margem mínima","Cobre custo e margem")))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IF(Config!$A$12="","",Config!$B$12)</f>
        <v>45</v>
      </c>
      <c r="D21" s="32">
        <f>IF(Config!$A$12="","",Config!$C$12)</f>
        <v>0.06</v>
      </c>
      <c r="E21" s="26">
        <f>IF(OR(Config!$A$12="",B21=""),"",B21*(1-D21))</f>
        <v>94</v>
      </c>
      <c r="F21" s="26">
        <f>IF(E21="","",E21*Config!$B$8*C21/30)</f>
        <v>2.115</v>
      </c>
      <c r="G21" s="26">
        <f>IF(E21="","",E21*Config!$B$6)</f>
        <v>10.34</v>
      </c>
      <c r="H21" s="28">
        <f>IF(E21="","",E21-F21-G21)</f>
        <v>81.545</v>
      </c>
      <c r="I21" s="26">
        <f>IF(E21="","",$B$13)</f>
        <v>130.666666666667</v>
      </c>
      <c r="J21" s="26">
        <f>IF(E21="","",H21-I21)</f>
        <v>-49.1216666666667</v>
      </c>
      <c r="K21" s="33">
        <f>IF(OR(E21="",B21=0),"",J21/B21)</f>
        <v>-0.491216666666667</v>
      </c>
      <c r="L21" s="26">
        <f>IF(OR(E21="",$B$12=0),"",H21/($B$12/60))</f>
        <v>128.755263157895</v>
      </c>
      <c r="M21" s="34">
        <f>IF(L21="","",L21/$B$14-1)</f>
        <v>-0.62017197368421</v>
      </c>
      <c r="N21" s="30" t="str">
        <f>IF(E21="","",IF(J21&lt;0,"Não cobre o custo cheio",IF(K21&lt;Config!$B$7,"Cobre o custo, não a margem mínima","Cobre custo e margem")))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IF(Config!$A$13="","",Config!$B$13)</f>
        <v>60</v>
      </c>
      <c r="D22" s="32">
        <f>IF(Config!$A$13="","",Config!$C$13)</f>
        <v>0.1</v>
      </c>
      <c r="E22" s="26">
        <f>IF(OR(Config!$A$13="",B22=""),"",B22*(1-D22))</f>
        <v>81</v>
      </c>
      <c r="F22" s="26">
        <f>IF(E22="","",E22*Config!$B$8*C22/30)</f>
        <v>2.43</v>
      </c>
      <c r="G22" s="26">
        <f>IF(E22="","",E22*Config!$B$6)</f>
        <v>8.91</v>
      </c>
      <c r="H22" s="28">
        <f>IF(E22="","",E22-F22-G22)</f>
        <v>69.66</v>
      </c>
      <c r="I22" s="26">
        <f>IF(E22="","",$B$13)</f>
        <v>130.666666666667</v>
      </c>
      <c r="J22" s="26">
        <f>IF(E22="","",H22-I22)</f>
        <v>-61.0066666666667</v>
      </c>
      <c r="K22" s="33">
        <f>IF(OR(E22="",B22=0),"",J22/B22)</f>
        <v>-0.677851851851852</v>
      </c>
      <c r="L22" s="26">
        <f>IF(OR(E22="",$B$12=0),"",H22/($B$12/60))</f>
        <v>109.989473684211</v>
      </c>
      <c r="M22" s="34">
        <f>IF(L22="","",L22/$B$14-1)</f>
        <v>-0.675531052631579</v>
      </c>
      <c r="N22" s="30" t="str">
        <f>IF(E22="","",IF(J22&lt;0,"Não cobre o custo cheio",IF(K22&lt;Config!$B$7,"Cobre o custo, não a margem mínima","Cobre custo e margem")))</f>
        <v>Não cobre o custo cheio</v>
      </c>
    </row>
    <row r="23">
      <c r="A23" s="30">
        <f>IF(Config!$A$14="","",Config!$A$14)</f>
        <v/>
      </c>
      <c r="B23" s="31" t="n"/>
      <c r="C23" s="24">
        <f>IF(Config!$A$14="","",Config!$B$14)</f>
        <v/>
      </c>
      <c r="D23" s="32">
        <f>IF(Config!$A$14="","",Config!$C$14)</f>
        <v/>
      </c>
      <c r="E23" s="26">
        <f>IF(OR(Config!$A$14="",B23=""),"",B23*(1-D23))</f>
        <v/>
      </c>
      <c r="F23" s="26">
        <f>IF(E23="","",E23*Config!$B$8*C23/30)</f>
        <v/>
      </c>
      <c r="G23" s="26">
        <f>IF(E23="","",E23*Config!$B$6)</f>
        <v/>
      </c>
      <c r="H23" s="28">
        <f>IF(E23="","",E23-F23-G23)</f>
        <v/>
      </c>
      <c r="I23" s="26">
        <f>IF(E23="","",$B$13)</f>
        <v/>
      </c>
      <c r="J23" s="26">
        <f>IF(E23="","",H23-I23)</f>
        <v/>
      </c>
      <c r="K23" s="33">
        <f>IF(OR(E23="",B23=0),"",J23/B23)</f>
        <v/>
      </c>
      <c r="L23" s="26">
        <f>IF(OR(E23="",$B$12=0),"",H23/($B$12/60))</f>
        <v/>
      </c>
      <c r="M23" s="34">
        <f>IF(L23="","",L23/$B$14-1)</f>
        <v/>
      </c>
      <c r="N23" s="30">
        <f>IF(E23="","",IF(J23&lt;0,"Não cobre o custo cheio",IF(K23&lt;Config!$B$7,"Cobre o custo, não a margem mínima","Cobre custo e margem")))</f>
        <v/>
      </c>
    </row>
    <row r="24">
      <c r="A24" s="30">
        <f>IF(Config!$A$15="","",Config!$A$15)</f>
        <v/>
      </c>
      <c r="B24" s="31" t="n"/>
      <c r="C24" s="24">
        <f>IF(Config!$A$15="","",Config!$B$15)</f>
        <v/>
      </c>
      <c r="D24" s="32">
        <f>IF(Config!$A$15="","",Config!$C$15)</f>
        <v/>
      </c>
      <c r="E24" s="26">
        <f>IF(OR(Config!$A$15="",B24=""),"",B24*(1-D24))</f>
        <v/>
      </c>
      <c r="F24" s="26">
        <f>IF(E24="","",E24*Config!$B$8*C24/30)</f>
        <v/>
      </c>
      <c r="G24" s="26">
        <f>IF(E24="","",E24*Config!$B$6)</f>
        <v/>
      </c>
      <c r="H24" s="28">
        <f>IF(E24="","",E24-F24-G24)</f>
        <v/>
      </c>
      <c r="I24" s="26">
        <f>IF(E24="","",$B$13)</f>
        <v/>
      </c>
      <c r="J24" s="26">
        <f>IF(E24="","",H24-I24)</f>
        <v/>
      </c>
      <c r="K24" s="33">
        <f>IF(OR(E24="",B24=0),"",J24/B24)</f>
        <v/>
      </c>
      <c r="L24" s="26">
        <f>IF(OR(E24="",$B$12=0),"",H24/($B$12/60))</f>
        <v/>
      </c>
      <c r="M24" s="34">
        <f>IF(L24="","",L24/$B$14-1)</f>
        <v/>
      </c>
      <c r="N24" s="30">
        <f>IF(E24="","",IF(J24&lt;0,"Não cobre o custo cheio",IF(K24&lt;Config!$B$7,"Cobre o custo, não a margem mínima","Cobre custo e margem")))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IF(B31="","",B31-C31)</f>
        <v>334.2</v>
      </c>
      <c r="E31" s="26">
        <f>IF(OR(D31="",$B$12=0),"",D31/($B$12/60))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IF(B32="","",B32-C32)</f>
        <v>97.85</v>
      </c>
      <c r="E32" s="26">
        <f>IF(OR(D32="",$B$12=0),"",D32/($B$12/60))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IF(B33="","",B33-C33)</f>
        <v>77.545</v>
      </c>
      <c r="E33" s="26">
        <f>IF(OR(D33="",$B$12=0),"",D33/($B$12/60))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IF(B34="","",B34-C34)</f>
        <v>65.66</v>
      </c>
      <c r="E34" s="26">
        <f>IF(OR(D34="",$B$12=0),"",D34/($B$12/60))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IF(B35="","",B35-C35)</f>
        <v/>
      </c>
      <c r="E35" s="26">
        <f>IF(OR(D35="",$B$12=0),"",D35/($B$12/60))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IF(B36="","",B36-C36)</f>
        <v/>
      </c>
      <c r="E36" s="26">
        <f>IF(OR(D36="",$B$12=0),"",D36/($B$12/60))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IF(D43="","",B43*$B$13)</f>
        <v>8101.33333333333</v>
      </c>
      <c r="F43" s="38">
        <f>IF(D43="","",D43-E43)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IF(D44="","",B44*$B$13)</f>
        <v>3266.66666666667</v>
      </c>
      <c r="F44" s="38">
        <f>IF(D44="","",D44-E44)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IF(D45="","",B45*$B$13)</f>
        <v>3920</v>
      </c>
      <c r="F45" s="38">
        <f>IF(D45="","",D45-E45)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IF(D46="","",B46*$B$13)</f>
        <v>1698.66666666667</v>
      </c>
      <c r="F46" s="38">
        <f>IF(D46="","",D46-E46)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IF(D47="","",B47*$B$13)</f>
        <v/>
      </c>
      <c r="F47" s="38">
        <f>IF(D47="","",D47-E47)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IF(D48="","",B48*$B$13)</f>
        <v/>
      </c>
      <c r="F48" s="38">
        <f>IF(D48="","",D48-E48)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SUM(D43:D48)</f>
        <v>26866.58</v>
      </c>
      <c r="E49" s="42">
        <f>SUM(E43:E48)</f>
        <v>16986.6666666667</v>
      </c>
      <c r="F49" s="42">
        <f>SUM(F43:F48)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C19:C30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2026-09-17T14:44:52Z</dcterms:created>
  <dcterms:modified xmlns:dcterms="http://purl.org/dc/terms/" xmlns:xsi="http://www.w3.org/2001/XMLSchema-instance" xsi:type="dcterms:W3CDTF">2026-09-17T14:44:52Z</dcterms:modified>
</cp:coreProperties>
</file>