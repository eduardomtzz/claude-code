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IF(SUMPRODUCT(($A$20:$A$24&lt;&gt;"")*($B$20:$B$24&lt;&gt;"")*(ISNUMBER($L$20:$L$24)=FALSE))&gt;0,"incompleto: "&amp;SUMPRODUCT(($A$20:$A$24&lt;&gt;"")*($B$20:$B$24&lt;&gt;"")*(ISNUMBER($L$20:$L$24)=FALSE))&amp;" convênio(s) sem líquido",IFERROR(INDEX($A$20:$A$24,MATCH(MAX($L$20:$L$24),$L$20:$L$24,0))&amp;": R$ "&amp;FIXED(MAX($L$20:$L$24),0),""))</f>
        <v>Saúde Total: R$ 161</v>
      </c>
      <c r="H5" s="12" t="n"/>
      <c r="I5" s="12" t="n"/>
      <c r="J5" s="18" t="str">
        <f>IF(SUMPRODUCT(($A$20:$A$24&lt;&gt;"")*($B$20:$B$24&lt;&gt;"")*(ISNUMBER($L$20:$L$24)=FALSE))&gt;0,"incompleto: "&amp;SUMPRODUCT(($A$20:$A$24&lt;&gt;"")*($B$20:$B$24&lt;&gt;"")*(ISNUMBER($L$20:$L$24)=FALSE))&amp;" convênio(s) sem líquido",IFERROR(INDEX($A$20:$A$24,MATCH(MIN($L$20:$L$24),$L$20:$L$24,0))&amp;": R$ "&amp;FIXED(MIN($L$20:$L$24),0),""))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IFERROR(IF(ISNUMBER(INDEX(Config!$B$19:$B$30,MATCH(B8,Config!$A$19:$A$30,0))),INDEX(Config!$B$19:$B$30,MATCH(B8,Config!$A$19:$A$30,0)),"faltam os minutos em Config"),"")</f>
        <v>30</v>
      </c>
    </row>
    <row r="10">
      <c r="A10" s="23" t="inlineStr">
        <is>
          <t>Gera retorno?</t>
        </is>
      </c>
      <c r="B10" s="25" t="str">
        <f>IFERROR(IF(OR(INDEX(Config!$C$19:$C$30,MATCH(B8,Config!$A$19:$A$30,0))="Sim",INDEX(Config!$C$19:$C$30,MATCH(B8,Config!$A$19:$A$30,0))="Não"),INDEX(Config!$C$19:$C$30,MATCH(B8,Config!$A$19:$A$30,0)),"falta: gera retorno? em Config"),"")</f>
        <v>Sim</v>
      </c>
    </row>
    <row r="11">
      <c r="A11" s="23" t="inlineStr">
        <is>
          <t>Material (R$)</t>
        </is>
      </c>
      <c r="B11" s="26">
        <f>IFERROR(IF(ISNUMBER(INDEX(Config!$D$19:$D$30,MATCH(B8,Config!$A$19:$A$30,0))),INDEX(Config!$D$19:$D$30,MATCH(B8,Config!$A$19:$A$30,0)),"falta o material em Config"),"")</f>
        <v>4</v>
      </c>
    </row>
    <row r="12">
      <c r="A12" s="23" t="inlineStr">
        <is>
          <t>Tempo com retorno embutido (min)</t>
        </is>
      </c>
      <c r="B12" s="27">
        <f>IF(B9="","",IF(NOT(IF(ISNUMBER(B9),AND(B9&gt;=0),FALSE)),"faltam os minutos",IF(AND(B10&lt;&gt;"Sim",B10&lt;&gt;"Não"),"falta: gera retorno?",IF(AND(B10="Sim",NOT(AND(IF(ISNUMBER(Config!$E$19),AND(Config!$E$19&gt;=0),FALSE),IF(ISNUMBER(Config!$F$19),AND(Config!$F$19&gt;=0),FALSE)))),"falta o retorno em Config",B9+IF(B10="Sim",Config!$E$19*Config!$F$19,0)))))</f>
        <v>38</v>
      </c>
    </row>
    <row r="13">
      <c r="A13" s="23" t="inlineStr">
        <is>
          <t>Custo cheio do atendimento (R$)</t>
        </is>
      </c>
      <c r="B13" s="28">
        <f>IF(B12="","",IF(NOT(ISNUMBER(B12)),B12,IF(NOT(ISNUMBER(Config!$B$5)),"falta o custo-hora em Config",IF(NOT(IF(ISNUMBER(B11),AND(B11&gt;=0),FALSE)),"falta o material",B12/60*Config!$B$5+B11))))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IF(NOT(ISNUMBER(Config!$B$5)),"falta o custo-hora em Config",IF(IF(AND(ISNUMBER(Config!$B$6),ISNUMBER(Config!$B$7)),AND(Config!$B$6&gt;=0,Config!$B$6&lt;1,Config!$B$7&gt;=0,Config!$B$7&lt;1,Config!$B$6+Config!$B$7&lt;1),FALSE),Config!$B$5/(1-Config!$B$6-Config!$B$7),"margens inválidas (Config)"))</f>
        <v>338.983050847458</v>
      </c>
    </row>
    <row r="15">
      <c r="A15" s="23" t="inlineStr">
        <is>
          <t>Preço mínimo deste procedimento (R$)</t>
        </is>
      </c>
      <c r="B15" s="28">
        <f>IF(B13="","",IF(NOT(ISNUMBER(B13)),B13,IF(IF(AND(ISNUMBER(Config!$B$6),ISNUMBER(Config!$B$7)),AND(Config!$B$6&gt;=0,Config!$B$6&lt;1,Config!$B$7&gt;=0,Config!$B$7&lt;1,Config!$B$6+Config!$B$7&lt;1),FALSE),B13/(1-Config!$B$6-Config!$B$7),"margens inválidas (Config)")))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IF(Config!$A$10="","",IF(IF(ISNUMBER(Config!$B$10),AND(Config!$B$10&gt;=0),FALSE),Config!$B$10,"falta o prazo"))</f>
        <v>0</v>
      </c>
      <c r="D19" s="32">
        <f>IF(Config!$A$10="","",IF(IF(ISNUMBER(Config!$C$10),AND(Config!$C$10&gt;=0,Config!$C$10&lt;=1),FALSE),Config!$C$10,"falta a glosa"))</f>
        <v>0</v>
      </c>
      <c r="E19" s="26">
        <f>IF(OR(Config!$A$10="",B19=""),"",IF(NOT(IF(ISNUMBER(B19),AND(B19&gt;=0),FALSE)),"valor inválido",IF(NOT(ISNUMBER(D19)),D19,B19*(1-D19))))</f>
        <v>380</v>
      </c>
      <c r="F19" s="26">
        <f>IF(OR(NOT(ISNUMBER(E19)),NOT(ISNUMBER(C19))),"",IF(C19=0,0,IF(NOT(IF(ISNUMBER(Config!$B$8),AND(Config!$B$8&gt;=0),FALSE)),"",E19*Config!$B$8*C19/30)))</f>
        <v>0</v>
      </c>
      <c r="G19" s="26">
        <f>IF(OR(NOT(ISNUMBER(E19)),NOT(IF(AND(ISNUMBER(Config!$B$6),ISNUMBER(Config!$B$7)),AND(Config!$B$6&gt;=0,Config!$B$6&lt;1,Config!$B$7&gt;=0,Config!$B$7&lt;1,Config!$B$6+Config!$B$7&lt;1),FALSE))),"",E19*Config!$B$6)</f>
        <v>41.8</v>
      </c>
      <c r="H19" s="28">
        <f>IF(OR(NOT(ISNUMBER(E19)),NOT(ISNUMBER(F19)),NOT(ISNUMBER(G19))),"",E19-F19-G19)</f>
        <v>338.2</v>
      </c>
      <c r="I19" s="26">
        <f>IF(E19="","",$B$13)</f>
        <v>130.666666666667</v>
      </c>
      <c r="J19" s="26">
        <f>IF(OR(NOT(ISNUMBER(H19)),NOT(ISNUMBER(I19))),"",H19-I19)</f>
        <v>207.533333333333</v>
      </c>
      <c r="K19" s="33">
        <f>IF(OR(NOT(ISNUMBER(J19)),N(B19)=0),"",J19/B19)</f>
        <v>0.546140350877193</v>
      </c>
      <c r="L19" s="26">
        <f>IF(OR(NOT(ISNUMBER(H19)),N($B$12)=0),"",H19/($B$12/60))</f>
        <v>534</v>
      </c>
      <c r="M19" s="34">
        <f>IF(OR(L19="",NOT(ISNUMBER($B$14))),"",IF($B$14=0,"sem base (mínimo zero)",L19/$B$14-1))</f>
        <v>0.5753</v>
      </c>
      <c r="N19" s="30" t="str">
        <f>IF(E19="","",IF(NOT(ISNUMBER(E19)),E19,IF(NOT(ISNUMBER(C19)),C19,IF(AND(C19&gt;0,NOT(IF(ISNUMBER(Config!$B$8),AND(Config!$B$8&gt;=0),FALSE))),"falta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Config",IF(NOT(ISNUMBER(I19)),IF(ISNUMBER(Config!$B$5),"Faltam dados do procedimento em Config","Falta o custo-hora em Config"),IF(J19&lt;0,"Não cobre o custo cheio",IF(K19&lt;Config!$B$7,"Cobre o custo, não a margem mínima","Cobre custo e margem"))))))))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IF(Config!$A$11="","",IF(IF(ISNUMBER(Config!$B$11),AND(Config!$B$11&gt;=0),FALSE),Config!$B$11,"falta o prazo"))</f>
        <v>30</v>
      </c>
      <c r="D20" s="32">
        <f>IF(Config!$A$11="","",IF(IF(ISNUMBER(Config!$C$11),AND(Config!$C$11&gt;=0,Config!$C$11&lt;=1),FALSE),Config!$C$11,"falta a glosa"))</f>
        <v>0.03</v>
      </c>
      <c r="E20" s="26">
        <f>IF(OR(Config!$A$11="",B20=""),"",IF(NOT(IF(ISNUMBER(B20),AND(B20&gt;=0),FALSE)),"valor inválido",IF(NOT(ISNUMBER(D20)),D20,B20*(1-D20))))</f>
        <v>116.4</v>
      </c>
      <c r="F20" s="26">
        <f>IF(OR(NOT(ISNUMBER(E20)),NOT(ISNUMBER(C20))),"",IF(C20=0,0,IF(NOT(IF(ISNUMBER(Config!$B$8),AND(Config!$B$8&gt;=0),FALSE)),"",E20*Config!$B$8*C20/30)))</f>
        <v>1.746</v>
      </c>
      <c r="G20" s="26">
        <f>IF(OR(NOT(ISNUMBER(E20)),NOT(IF(AND(ISNUMBER(Config!$B$6),ISNUMBER(Config!$B$7)),AND(Config!$B$6&gt;=0,Config!$B$6&lt;1,Config!$B$7&gt;=0,Config!$B$7&lt;1,Config!$B$6+Config!$B$7&lt;1),FALSE))),"",E20*Config!$B$6)</f>
        <v>12.804</v>
      </c>
      <c r="H20" s="28">
        <f>IF(OR(NOT(ISNUMBER(E20)),NOT(ISNUMBER(F20)),NOT(ISNUMBER(G20))),"",E20-F20-G20)</f>
        <v>101.85</v>
      </c>
      <c r="I20" s="26">
        <f>IF(E20="","",$B$13)</f>
        <v>130.666666666667</v>
      </c>
      <c r="J20" s="26">
        <f>IF(OR(NOT(ISNUMBER(H20)),NOT(ISNUMBER(I20))),"",H20-I20)</f>
        <v>-28.8166666666667</v>
      </c>
      <c r="K20" s="33">
        <f>IF(OR(NOT(ISNUMBER(J20)),N(B20)=0),"",J20/B20)</f>
        <v>-0.240138888888889</v>
      </c>
      <c r="L20" s="26">
        <f>IF(OR(NOT(ISNUMBER(H20)),N($B$12)=0),"",H20/($B$12/60))</f>
        <v>160.815789473684</v>
      </c>
      <c r="M20" s="34">
        <f>IF(OR(L20="",NOT(ISNUMBER($B$14))),"",IF($B$14=0,"sem base (mínimo zero)",L20/$B$14-1))</f>
        <v>-0.525593421052632</v>
      </c>
      <c r="N20" s="30" t="str">
        <f>IF(E20="","",IF(NOT(ISNUMBER(E20)),E20,IF(NOT(ISNUMBER(C20)),C20,IF(AND(C20&gt;0,NOT(IF(ISNUMBER(Config!$B$8),AND(Config!$B$8&gt;=0),FALSE))),"falta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Config",IF(NOT(ISNUMBER(I20)),IF(ISNUMBER(Config!$B$5),"Faltam dados do procedimento em Config","Falta o custo-hora em Config"),IF(J20&lt;0,"Não cobre o custo cheio",IF(K20&lt;Config!$B$7,"Cobre o custo, não a margem mínima","Cobre custo e margem"))))))))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IF(Config!$A$12="","",IF(IF(ISNUMBER(Config!$B$12),AND(Config!$B$12&gt;=0),FALSE),Config!$B$12,"falta o prazo"))</f>
        <v>45</v>
      </c>
      <c r="D21" s="32">
        <f>IF(Config!$A$12="","",IF(IF(ISNUMBER(Config!$C$12),AND(Config!$C$12&gt;=0,Config!$C$12&lt;=1),FALSE),Config!$C$12,"falta a glosa"))</f>
        <v>0.06</v>
      </c>
      <c r="E21" s="26">
        <f>IF(OR(Config!$A$12="",B21=""),"",IF(NOT(IF(ISNUMBER(B21),AND(B21&gt;=0),FALSE)),"valor inválido",IF(NOT(ISNUMBER(D21)),D21,B21*(1-D21))))</f>
        <v>94</v>
      </c>
      <c r="F21" s="26">
        <f>IF(OR(NOT(ISNUMBER(E21)),NOT(ISNUMBER(C21))),"",IF(C21=0,0,IF(NOT(IF(ISNUMBER(Config!$B$8),AND(Config!$B$8&gt;=0),FALSE)),"",E21*Config!$B$8*C21/30)))</f>
        <v>2.115</v>
      </c>
      <c r="G21" s="26">
        <f>IF(OR(NOT(ISNUMBER(E21)),NOT(IF(AND(ISNUMBER(Config!$B$6),ISNUMBER(Config!$B$7)),AND(Config!$B$6&gt;=0,Config!$B$6&lt;1,Config!$B$7&gt;=0,Config!$B$7&lt;1,Config!$B$6+Config!$B$7&lt;1),FALSE))),"",E21*Config!$B$6)</f>
        <v>10.34</v>
      </c>
      <c r="H21" s="28">
        <f>IF(OR(NOT(ISNUMBER(E21)),NOT(ISNUMBER(F21)),NOT(ISNUMBER(G21))),"",E21-F21-G21)</f>
        <v>81.545</v>
      </c>
      <c r="I21" s="26">
        <f>IF(E21="","",$B$13)</f>
        <v>130.666666666667</v>
      </c>
      <c r="J21" s="26">
        <f>IF(OR(NOT(ISNUMBER(H21)),NOT(ISNUMBER(I21))),"",H21-I21)</f>
        <v>-49.1216666666667</v>
      </c>
      <c r="K21" s="33">
        <f>IF(OR(NOT(ISNUMBER(J21)),N(B21)=0),"",J21/B21)</f>
        <v>-0.491216666666667</v>
      </c>
      <c r="L21" s="26">
        <f>IF(OR(NOT(ISNUMBER(H21)),N($B$12)=0),"",H21/($B$12/60))</f>
        <v>128.755263157895</v>
      </c>
      <c r="M21" s="34">
        <f>IF(OR(L21="",NOT(ISNUMBER($B$14))),"",IF($B$14=0,"sem base (mínimo zero)",L21/$B$14-1))</f>
        <v>-0.62017197368421</v>
      </c>
      <c r="N21" s="30" t="str">
        <f>IF(E21="","",IF(NOT(ISNUMBER(E21)),E21,IF(NOT(ISNUMBER(C21)),C21,IF(AND(C21&gt;0,NOT(IF(ISNUMBER(Config!$B$8),AND(Config!$B$8&gt;=0),FALSE))),"falta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Config",IF(NOT(ISNUMBER(I21)),IF(ISNUMBER(Config!$B$5),"Faltam dados do procedimento em Config","Falta o custo-hora em Config"),IF(J21&lt;0,"Não cobre o custo cheio",IF(K21&lt;Config!$B$7,"Cobre o custo, não a margem mínima","Cobre custo e margem"))))))))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IF(Config!$A$13="","",IF(IF(ISNUMBER(Config!$B$13),AND(Config!$B$13&gt;=0),FALSE),Config!$B$13,"falta o prazo"))</f>
        <v>60</v>
      </c>
      <c r="D22" s="32">
        <f>IF(Config!$A$13="","",IF(IF(ISNUMBER(Config!$C$13),AND(Config!$C$13&gt;=0,Config!$C$13&lt;=1),FALSE),Config!$C$13,"falta a glosa"))</f>
        <v>0.1</v>
      </c>
      <c r="E22" s="26">
        <f>IF(OR(Config!$A$13="",B22=""),"",IF(NOT(IF(ISNUMBER(B22),AND(B22&gt;=0),FALSE)),"valor inválido",IF(NOT(ISNUMBER(D22)),D22,B22*(1-D22))))</f>
        <v>81</v>
      </c>
      <c r="F22" s="26">
        <f>IF(OR(NOT(ISNUMBER(E22)),NOT(ISNUMBER(C22))),"",IF(C22=0,0,IF(NOT(IF(ISNUMBER(Config!$B$8),AND(Config!$B$8&gt;=0),FALSE)),"",E22*Config!$B$8*C22/30)))</f>
        <v>2.43</v>
      </c>
      <c r="G22" s="26">
        <f>IF(OR(NOT(ISNUMBER(E22)),NOT(IF(AND(ISNUMBER(Config!$B$6),ISNUMBER(Config!$B$7)),AND(Config!$B$6&gt;=0,Config!$B$6&lt;1,Config!$B$7&gt;=0,Config!$B$7&lt;1,Config!$B$6+Config!$B$7&lt;1),FALSE))),"",E22*Config!$B$6)</f>
        <v>8.91</v>
      </c>
      <c r="H22" s="28">
        <f>IF(OR(NOT(ISNUMBER(E22)),NOT(ISNUMBER(F22)),NOT(ISNUMBER(G22))),"",E22-F22-G22)</f>
        <v>69.66</v>
      </c>
      <c r="I22" s="26">
        <f>IF(E22="","",$B$13)</f>
        <v>130.666666666667</v>
      </c>
      <c r="J22" s="26">
        <f>IF(OR(NOT(ISNUMBER(H22)),NOT(ISNUMBER(I22))),"",H22-I22)</f>
        <v>-61.0066666666667</v>
      </c>
      <c r="K22" s="33">
        <f>IF(OR(NOT(ISNUMBER(J22)),N(B22)=0),"",J22/B22)</f>
        <v>-0.677851851851852</v>
      </c>
      <c r="L22" s="26">
        <f>IF(OR(NOT(ISNUMBER(H22)),N($B$12)=0),"",H22/($B$12/60))</f>
        <v>109.989473684211</v>
      </c>
      <c r="M22" s="34">
        <f>IF(OR(L22="",NOT(ISNUMBER($B$14))),"",IF($B$14=0,"sem base (mínimo zero)",L22/$B$14-1))</f>
        <v>-0.675531052631579</v>
      </c>
      <c r="N22" s="30" t="str">
        <f>IF(E22="","",IF(NOT(ISNUMBER(E22)),E22,IF(NOT(ISNUMBER(C22)),C22,IF(AND(C22&gt;0,NOT(IF(ISNUMBER(Config!$B$8),AND(Config!$B$8&gt;=0),FALSE))),"falta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Config",IF(NOT(ISNUMBER(I22)),IF(ISNUMBER(Config!$B$5),"Faltam dados do procedimento em Config","Falta o custo-hora em Config"),IF(J22&lt;0,"Não cobre o custo cheio",IF(K22&lt;Config!$B$7,"Cobre o custo, não a margem mínima","Cobre custo e margem"))))))))</f>
        <v>Não cobre o custo cheio</v>
      </c>
    </row>
    <row r="23">
      <c r="A23" s="30">
        <f>IF(Config!$A$14="","",Config!$A$14)</f>
        <v/>
      </c>
      <c r="B23" s="31" t="n"/>
      <c r="C23" s="24">
        <f>IF(Config!$A$14="","",IF(IF(ISNUMBER(Config!$B$14),AND(Config!$B$14&gt;=0),FALSE),Config!$B$14,"falta o prazo"))</f>
        <v/>
      </c>
      <c r="D23" s="32">
        <f>IF(Config!$A$14="","",IF(IF(ISNUMBER(Config!$C$14),AND(Config!$C$14&gt;=0,Config!$C$14&lt;=1),FALSE),Config!$C$14,"falta a glosa"))</f>
        <v/>
      </c>
      <c r="E23" s="26">
        <f>IF(OR(Config!$A$14="",B23=""),"",IF(NOT(IF(ISNUMBER(B23),AND(B23&gt;=0),FALSE)),"valor inválido",IF(NOT(ISNUMBER(D23)),D23,B23*(1-D23))))</f>
        <v/>
      </c>
      <c r="F23" s="26">
        <f>IF(OR(NOT(ISNUMBER(E23)),NOT(ISNUMBER(C23))),"",IF(C23=0,0,IF(NOT(IF(ISNUMBER(Config!$B$8),AND(Config!$B$8&gt;=0),FALSE)),"",E23*Config!$B$8*C23/30)))</f>
        <v/>
      </c>
      <c r="G23" s="26">
        <f>IF(OR(NOT(ISNUMBER(E23)),NOT(IF(AND(ISNUMBER(Config!$B$6),ISNUMBER(Config!$B$7)),AND(Config!$B$6&gt;=0,Config!$B$6&lt;1,Config!$B$7&gt;=0,Config!$B$7&lt;1,Config!$B$6+Config!$B$7&lt;1),FALSE))),"",E23*Config!$B$6)</f>
        <v/>
      </c>
      <c r="H23" s="28">
        <f>IF(OR(NOT(ISNUMBER(E23)),NOT(ISNUMBER(F23)),NOT(ISNUMBER(G23))),"",E23-F23-G23)</f>
        <v/>
      </c>
      <c r="I23" s="26">
        <f>IF(E23="","",$B$13)</f>
        <v/>
      </c>
      <c r="J23" s="26">
        <f>IF(OR(NOT(ISNUMBER(H23)),NOT(ISNUMBER(I23))),"",H23-I23)</f>
        <v/>
      </c>
      <c r="K23" s="33">
        <f>IF(OR(NOT(ISNUMBER(J23)),N(B23)=0),"",J23/B23)</f>
        <v/>
      </c>
      <c r="L23" s="26">
        <f>IF(OR(NOT(ISNUMBER(H23)),N($B$12)=0),"",H23/($B$12/60))</f>
        <v/>
      </c>
      <c r="M23" s="34">
        <f>IF(OR(L23="",NOT(ISNUMBER($B$14))),"",IF($B$14=0,"sem base (mínimo zero)",L23/$B$14-1))</f>
        <v/>
      </c>
      <c r="N23" s="30">
        <f>IF(E23="","",IF(NOT(ISNUMBER(E23)),E23,IF(NOT(ISNUMBER(C23)),C23,IF(AND(C23&gt;0,NOT(IF(ISNUMBER(Config!$B$8),AND(Config!$B$8&gt;=0),FALSE))),"falta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Config",IF(NOT(ISNUMBER(I23)),IF(ISNUMBER(Config!$B$5),"Faltam dados do procedimento em Config","Falta o custo-hora em Config"),IF(J23&lt;0,"Não cobre o custo cheio",IF(K23&lt;Config!$B$7,"Cobre o custo, não a margem mínima","Cobre custo e margem"))))))))</f>
        <v/>
      </c>
    </row>
    <row r="24">
      <c r="A24" s="30">
        <f>IF(Config!$A$15="","",Config!$A$15)</f>
        <v/>
      </c>
      <c r="B24" s="31" t="n"/>
      <c r="C24" s="24">
        <f>IF(Config!$A$15="","",IF(IF(ISNUMBER(Config!$B$15),AND(Config!$B$15&gt;=0),FALSE),Config!$B$15,"falta o prazo"))</f>
        <v/>
      </c>
      <c r="D24" s="32">
        <f>IF(Config!$A$15="","",IF(IF(ISNUMBER(Config!$C$15),AND(Config!$C$15&gt;=0,Config!$C$15&lt;=1),FALSE),Config!$C$15,"falta a glosa"))</f>
        <v/>
      </c>
      <c r="E24" s="26">
        <f>IF(OR(Config!$A$15="",B24=""),"",IF(NOT(IF(ISNUMBER(B24),AND(B24&gt;=0),FALSE)),"valor inválido",IF(NOT(ISNUMBER(D24)),D24,B24*(1-D24))))</f>
        <v/>
      </c>
      <c r="F24" s="26">
        <f>IF(OR(NOT(ISNUMBER(E24)),NOT(ISNUMBER(C24))),"",IF(C24=0,0,IF(NOT(IF(ISNUMBER(Config!$B$8),AND(Config!$B$8&gt;=0),FALSE)),"",E24*Config!$B$8*C24/30)))</f>
        <v/>
      </c>
      <c r="G24" s="26">
        <f>IF(OR(NOT(ISNUMBER(E24)),NOT(IF(AND(ISNUMBER(Config!$B$6),ISNUMBER(Config!$B$7)),AND(Config!$B$6&gt;=0,Config!$B$6&lt;1,Config!$B$7&gt;=0,Config!$B$7&lt;1,Config!$B$6+Config!$B$7&lt;1),FALSE))),"",E24*Config!$B$6)</f>
        <v/>
      </c>
      <c r="H24" s="28">
        <f>IF(OR(NOT(ISNUMBER(E24)),NOT(ISNUMBER(F24)),NOT(ISNUMBER(G24))),"",E24-F24-G24)</f>
        <v/>
      </c>
      <c r="I24" s="26">
        <f>IF(E24="","",$B$13)</f>
        <v/>
      </c>
      <c r="J24" s="26">
        <f>IF(OR(NOT(ISNUMBER(H24)),NOT(ISNUMBER(I24))),"",H24-I24)</f>
        <v/>
      </c>
      <c r="K24" s="33">
        <f>IF(OR(NOT(ISNUMBER(J24)),N(B24)=0),"",J24/B24)</f>
        <v/>
      </c>
      <c r="L24" s="26">
        <f>IF(OR(NOT(ISNUMBER(H24)),N($B$12)=0),"",H24/($B$12/60))</f>
        <v/>
      </c>
      <c r="M24" s="34">
        <f>IF(OR(L24="",NOT(ISNUMBER($B$14))),"",IF($B$14=0,"sem base (mínimo zero)",L24/$B$14-1))</f>
        <v/>
      </c>
      <c r="N24" s="30">
        <f>IF(E24="","",IF(NOT(ISNUMBER(E24)),E24,IF(NOT(ISNUMBER(C24)),C24,IF(AND(C24&gt;0,NOT(IF(ISNUMBER(Config!$B$8),AND(Config!$B$8&gt;=0),FALSE))),"falta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Config",IF(NOT(ISNUMBER(I24)),IF(ISNUMBER(Config!$B$5),"Faltam dados do procedimento em Config","Falta o custo-hora em Config"),IF(J24&lt;0,"Não cobre o custo cheio",IF(K24&lt;Config!$B$7,"Cobre o custo, não a margem mínima","Cobre custo e margem"))))))))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IF(OR(B31="",NOT(ISNUMBER(C31))),"",B31-C31)</f>
        <v>334.2</v>
      </c>
      <c r="E31" s="26">
        <f>IF(OR(D31="",N($B$12)=0),"",D31/($B$12/60))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IF(OR(B32="",NOT(ISNUMBER(C32))),"",B32-C32)</f>
        <v>97.85</v>
      </c>
      <c r="E32" s="26">
        <f>IF(OR(D32="",N($B$12)=0),"",D32/($B$12/60))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IF(OR(B33="",NOT(ISNUMBER(C33))),"",B33-C33)</f>
        <v>77.545</v>
      </c>
      <c r="E33" s="26">
        <f>IF(OR(D33="",N($B$12)=0),"",D33/($B$12/60))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IF(OR(B34="",NOT(ISNUMBER(C34))),"",B34-C34)</f>
        <v>65.66</v>
      </c>
      <c r="E34" s="26">
        <f>IF(OR(D34="",N($B$12)=0),"",D34/($B$12/60))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IF(OR(B35="",NOT(ISNUMBER(C35))),"",B35-C35)</f>
        <v/>
      </c>
      <c r="E35" s="26">
        <f>IF(OR(D35="",N($B$12)=0),"",D35/($B$12/60))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IF(OR(B36="",NOT(ISNUMBER(C36))),"",B36-C36)</f>
        <v/>
      </c>
      <c r="E36" s="26">
        <f>IF(OR(D36="",N($B$12)=0),"",D36/($B$12/60))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IF(OR(A43="",B43=""),"",IF(AND(IF(ISNUMBER(B43),AND(B43&gt;=0),FALSE),ISNUMBER($B$12)),B43*$B$12/60,""))</f>
        <v>39.2666666666667</v>
      </c>
      <c r="D43" s="38">
        <f>IF(AND(A43="",B43=""),"",IF(B43="","",IF(A43="","pagador sem nome",IF(NOT(IF(ISNUMBER(B43),AND(B43&gt;=0),FALSE)),"atendimentos inválidos",IF(B43=0,0,IF(NOT(ISNUMBER(H19)),"falta o valor líquido",B43*H19))))))</f>
        <v>20968.4</v>
      </c>
      <c r="E43" s="38">
        <f>IF(OR(A43="",B43="",NOT(IF(ISNUMBER(B43),AND(B43&gt;=0),FALSE)),NOT(ISNUMBER($B$13))),"",B43*$B$13)</f>
        <v>8101.33333333333</v>
      </c>
      <c r="F43" s="38">
        <f>IF(AND(ISNUMBER(D43),ISNUMBER(E43)),D43-E43,"")</f>
        <v>12867.0666666667</v>
      </c>
      <c r="G43" s="33">
        <f>IF(OR(NOT(IF(ISNUMBER(B43),AND(B43&gt;=0),FALSE)),NOT(ISNUMBER($B$49)),N($B$49)=0),"",B43/$B$49)</f>
        <v>0.476923076923077</v>
      </c>
      <c r="H43" s="33">
        <f>IF(OR(NOT(ISNUMBER(D43)),NOT(ISNUMBER($D$49)),N($D$49)=0),"",D43/$D$49)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IF(OR(A44="",B44=""),"",IF(AND(IF(ISNUMBER(B44),AND(B44&gt;=0),FALSE),ISNUMBER($B$12)),B44*$B$12/60,""))</f>
        <v>15.8333333333333</v>
      </c>
      <c r="D44" s="38">
        <f>IF(AND(A44="",B44=""),"",IF(B44="","",IF(A44="","pagador sem nome",IF(NOT(IF(ISNUMBER(B44),AND(B44&gt;=0),FALSE)),"atendimentos inválidos",IF(B44=0,0,IF(NOT(ISNUMBER(H20)),"falta o valor líquido",B44*H20))))))</f>
        <v>2546.25</v>
      </c>
      <c r="E44" s="38">
        <f>IF(OR(A44="",B44="",NOT(IF(ISNUMBER(B44),AND(B44&gt;=0),FALSE)),NOT(ISNUMBER($B$13))),"",B44*$B$13)</f>
        <v>3266.66666666667</v>
      </c>
      <c r="F44" s="38">
        <f>IF(AND(ISNUMBER(D44),ISNUMBER(E44)),D44-E44,"")</f>
        <v>-720.416666666667</v>
      </c>
      <c r="G44" s="33">
        <f>IF(OR(NOT(IF(ISNUMBER(B44),AND(B44&gt;=0),FALSE)),NOT(ISNUMBER($B$49)),N($B$49)=0),"",B44/$B$49)</f>
        <v>0.192307692307692</v>
      </c>
      <c r="H44" s="33">
        <f>IF(OR(NOT(ISNUMBER(D44)),NOT(ISNUMBER($D$49)),N($D$49)=0),"",D44/$D$49)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IF(OR(A45="",B45=""),"",IF(AND(IF(ISNUMBER(B45),AND(B45&gt;=0),FALSE),ISNUMBER($B$12)),B45*$B$12/60,""))</f>
        <v>19</v>
      </c>
      <c r="D45" s="38">
        <f>IF(AND(A45="",B45=""),"",IF(B45="","",IF(A45="","pagador sem nome",IF(NOT(IF(ISNUMBER(B45),AND(B45&gt;=0),FALSE)),"atendimentos inválidos",IF(B45=0,0,IF(NOT(ISNUMBER(H21)),"falta o valor líquido",B45*H21))))))</f>
        <v>2446.35</v>
      </c>
      <c r="E45" s="38">
        <f>IF(OR(A45="",B45="",NOT(IF(ISNUMBER(B45),AND(B45&gt;=0),FALSE)),NOT(ISNUMBER($B$13))),"",B45*$B$13)</f>
        <v>3920</v>
      </c>
      <c r="F45" s="38">
        <f>IF(AND(ISNUMBER(D45),ISNUMBER(E45)),D45-E45,"")</f>
        <v>-1473.65</v>
      </c>
      <c r="G45" s="33">
        <f>IF(OR(NOT(IF(ISNUMBER(B45),AND(B45&gt;=0),FALSE)),NOT(ISNUMBER($B$49)),N($B$49)=0),"",B45/$B$49)</f>
        <v>0.230769230769231</v>
      </c>
      <c r="H45" s="33">
        <f>IF(OR(NOT(ISNUMBER(D45)),NOT(ISNUMBER($D$49)),N($D$49)=0),"",D45/$D$49)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IF(OR(A46="",B46=""),"",IF(AND(IF(ISNUMBER(B46),AND(B46&gt;=0),FALSE),ISNUMBER($B$12)),B46*$B$12/60,""))</f>
        <v>8.23333333333333</v>
      </c>
      <c r="D46" s="38">
        <f>IF(AND(A46="",B46=""),"",IF(B46="","",IF(A46="","pagador sem nome",IF(NOT(IF(ISNUMBER(B46),AND(B46&gt;=0),FALSE)),"atendimentos inválidos",IF(B46=0,0,IF(NOT(ISNUMBER(H22)),"falta o valor líquido",B46*H22))))))</f>
        <v>905.58</v>
      </c>
      <c r="E46" s="38">
        <f>IF(OR(A46="",B46="",NOT(IF(ISNUMBER(B46),AND(B46&gt;=0),FALSE)),NOT(ISNUMBER($B$13))),"",B46*$B$13)</f>
        <v>1698.66666666667</v>
      </c>
      <c r="F46" s="38">
        <f>IF(AND(ISNUMBER(D46),ISNUMBER(E46)),D46-E46,"")</f>
        <v>-793.086666666667</v>
      </c>
      <c r="G46" s="33">
        <f>IF(OR(NOT(IF(ISNUMBER(B46),AND(B46&gt;=0),FALSE)),NOT(ISNUMBER($B$49)),N($B$49)=0),"",B46/$B$49)</f>
        <v>0.1</v>
      </c>
      <c r="H46" s="33">
        <f>IF(OR(NOT(ISNUMBER(D46)),NOT(ISNUMBER($D$49)),N($D$49)=0),"",D46/$D$49)</f>
        <v>0.0337065603437431</v>
      </c>
    </row>
    <row r="47">
      <c r="A47" s="30">
        <f>A23</f>
        <v/>
      </c>
      <c r="B47" s="36" t="n"/>
      <c r="C47" s="37">
        <f>IF(OR(A47="",B47=""),"",IF(AND(IF(ISNUMBER(B47),AND(B47&gt;=0),FALSE),ISNUMBER($B$12)),B47*$B$12/60,""))</f>
        <v/>
      </c>
      <c r="D47" s="38">
        <f>IF(AND(A47="",B47=""),"",IF(B47="","",IF(A47="","pagador sem nome",IF(NOT(IF(ISNUMBER(B47),AND(B47&gt;=0),FALSE)),"atendimentos inválidos",IF(B47=0,0,IF(NOT(ISNUMBER(H23)),"falta o valor líquido",B47*H23))))))</f>
        <v/>
      </c>
      <c r="E47" s="38">
        <f>IF(OR(A47="",B47="",NOT(IF(ISNUMBER(B47),AND(B47&gt;=0),FALSE)),NOT(ISNUMBER($B$13))),"",B47*$B$13)</f>
        <v/>
      </c>
      <c r="F47" s="38">
        <f>IF(AND(ISNUMBER(D47),ISNUMBER(E47)),D47-E47,"")</f>
        <v/>
      </c>
      <c r="G47" s="33">
        <f>IF(OR(NOT(IF(ISNUMBER(B47),AND(B47&gt;=0),FALSE)),NOT(ISNUMBER($B$49)),N($B$49)=0),"",B47/$B$49)</f>
        <v/>
      </c>
      <c r="H47" s="33">
        <f>IF(OR(NOT(ISNUMBER(D47)),NOT(ISNUMBER($D$49)),N($D$49)=0),"",D47/$D$49)</f>
        <v/>
      </c>
    </row>
    <row r="48">
      <c r="A48" s="30">
        <f>A24</f>
        <v/>
      </c>
      <c r="B48" s="36" t="n"/>
      <c r="C48" s="37">
        <f>IF(OR(A48="",B48=""),"",IF(AND(IF(ISNUMBER(B48),AND(B48&gt;=0),FALSE),ISNUMBER($B$12)),B48*$B$12/60,""))</f>
        <v/>
      </c>
      <c r="D48" s="38">
        <f>IF(AND(A48="",B48=""),"",IF(B48="","",IF(A48="","pagador sem nome",IF(NOT(IF(ISNUMBER(B48),AND(B48&gt;=0),FALSE)),"atendimentos inválidos",IF(B48=0,0,IF(NOT(ISNUMBER(H24)),"falta o valor líquido",B48*H24))))))</f>
        <v/>
      </c>
      <c r="E48" s="38">
        <f>IF(OR(A48="",B48="",NOT(IF(ISNUMBER(B48),AND(B48&gt;=0),FALSE)),NOT(ISNUMBER($B$13))),"",B48*$B$13)</f>
        <v/>
      </c>
      <c r="F48" s="38">
        <f>IF(AND(ISNUMBER(D48),ISNUMBER(E48)),D48-E48,"")</f>
        <v/>
      </c>
      <c r="G48" s="33">
        <f>IF(OR(NOT(IF(ISNUMBER(B48),AND(B48&gt;=0),FALSE)),NOT(ISNUMBER($B$49)),N($B$49)=0),"",B48/$B$49)</f>
        <v/>
      </c>
      <c r="H48" s="33">
        <f>IF(OR(NOT(ISNUMBER(D48)),NOT(ISNUMBER($D$49)),N($D$49)=0),"",D48/$D$49)</f>
        <v/>
      </c>
    </row>
    <row r="49">
      <c r="A49" s="39" t="inlineStr">
        <is>
          <t>Total</t>
        </is>
      </c>
      <c r="B49" s="40">
        <f>IF(SUMPRODUCT((B43:B48&lt;&gt;"")*((A43:A48="")+ISTEXT(B43:B48)+ISNUMBER(B43:B48)*(B43:B48&lt;0)&gt;0))&gt;0,"atendimentos inválidos ou sem pagador",SUM(B43:B48))</f>
        <v>130</v>
      </c>
      <c r="C49" s="41">
        <f>IF(OR(NOT(ISNUMBER(B49)),NOT(ISNUMBER($B$12))),"",SUM(C43:C48))</f>
        <v>82.3333333333333</v>
      </c>
      <c r="D49" s="42">
        <f>IF(NOT(IF(AND(ISNUMBER(Config!$B$6),ISNUMBER(Config!$B$7)),AND(Config!$B$6&gt;=0,Config!$B$6&lt;1,Config!$B$7&gt;=0,Config!$B$7&lt;1,Config!$B$6+Config!$B$7&lt;1),FALSE)),"margens inválidas",IF(SUMPRODUCT((B43:B48&lt;&gt;"")*(ISNUMBER(D43:D48)=FALSE))&gt;0,"líquido incompleto em "&amp;SUMPRODUCT((B43:B48&lt;&gt;"")*(ISNUMBER(D43:D48)=FALSE))&amp;" pagador(es)",SUM(D43:D48)))</f>
        <v>26866.58</v>
      </c>
      <c r="E49" s="42">
        <f>IF(NOT(ISNUMBER($B$13)),IF(ISNUMBER(Config!$B$5),"faltam dados do procedimento","falta o custo-hora"),IF(SUMPRODUCT((B43:B48&lt;&gt;"")*((A43:A48="")+ISTEXT(B43:B48)+ISNUMBER(B43:B48)*(B43:B48&lt;0)&gt;0))&gt;0,"atendimentos inválidos ou sem pagador",SUM(E43:E48)))</f>
        <v>16986.6666666667</v>
      </c>
      <c r="F49" s="42">
        <f>IF(NOT(ISNUMBER(D49)),D49,IF(NOT(ISNUMBER(E49)),E49,SUM(F43:F48)))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AND(N19&lt;&gt;"",N19&lt;&gt;"Cobre o custo, não a margem mínima",N19&lt;&gt;"Cobre custo e margem")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C19:C30" showDropDown="0" showInputMessage="0" showErrorMessage="1" allowBlank="1" type="list">
      <formula1>"Sim,Não"</formula1>
    </dataValidation>
    <dataValidation sqref="B6" showDropDown="0" showInputMessage="0" showErrorMessage="1" allowBlank="0" errorTitle="Percentual" error="Impostos entre 0 % e 99 %, e impostos + margem abaixo de 100 %." type="custom">
      <formula1>=IF(ISNUMBER(B6),AND(B6&gt;=0,B6&lt;1,B6+N(B7)&lt;1),FALSE)</formula1>
    </dataValidation>
    <dataValidation sqref="B7" showDropDown="0" showInputMessage="0" showErrorMessage="1" allowBlank="0" errorTitle="Percentual" error="Margem entre 0 % e 99 %, e impostos + margem abaixo de 100 %." type="custom">
      <formula1>=IF(ISNUMBER(B7),AND(B7&gt;=0,B7&lt;1,B7+N(B6)&lt;1),FALSE)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2026-09-24T15:30:48Z</dcterms:created>
  <dcterms:modified xmlns:dcterms="http://purl.org/dc/terms/" xmlns:xsi="http://www.w3.org/2001/XMLSchema-instance" xsi:type="dcterms:W3CDTF">2026-09-24T15:30:48Z</dcterms:modified>
</cp:coreProperties>
</file>