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ecklist" sheetId="4" state="visible" r:id="rId4"/>
  </sheets>
  <definedNames>
    <definedName name="_xlnm._FilterDatabase" localSheetId="3" hidden="1">'Checklist'!$A$4:$Y$304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10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7A5AA8"/>
      </patternFill>
    </fill>
    <fill>
      <patternFill patternType="solid">
        <fgColor rgb="005B3F87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9" fillId="7" borderId="0" applyAlignment="1" pivotButton="0" quotePrefix="0" xfId="0">
      <alignment horizontal="center"/>
    </xf>
    <xf numFmtId="0" fontId="0" fillId="7" borderId="0" pivotButton="0" quotePrefix="0" xfId="0"/>
    <xf numFmtId="0" fontId="11" fillId="8" borderId="0" applyAlignment="1" pivotButton="0" quotePrefix="0" xfId="0">
      <alignment horizontal="center"/>
    </xf>
    <xf numFmtId="0" fontId="0" fillId="8" borderId="0" pivotButton="0" quotePrefix="0" xfId="0"/>
    <xf numFmtId="0" fontId="8" fillId="9" borderId="0" applyAlignment="1" pivotButton="0" quotePrefix="0" xfId="0">
      <alignment horizontal="center"/>
    </xf>
    <xf numFmtId="0" fontId="0" fillId="9" borderId="0" pivotButton="0" quotePrefix="0" xfId="0"/>
    <xf numFmtId="3" fontId="1" fillId="6" borderId="0" applyAlignment="1" pivotButton="0" quotePrefix="0" xfId="0">
      <alignment horizontal="center"/>
    </xf>
    <xf numFmtId="9" fontId="10" fillId="7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" fillId="9" borderId="0" applyAlignment="1" pivotButton="0" quotePrefix="0" xfId="0">
      <alignment horizontal="center"/>
    </xf>
    <xf numFmtId="0" fontId="13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4" fillId="0" borderId="1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3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C8402E"/>
        <sz val="10"/>
      </font>
    </dxf>
    <dxf>
      <font>
        <name val="Arial"/>
        <color rgb="00B0A6C4"/>
        <sz val="10"/>
      </font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Checklist de abertura e fechamento do dia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Para cada dia de atendimento, marca os itens administrativos que precisam estar em ordem na abertura (agenda confirmada, salas prontas, guias separadas, troco conferido) e no fechamento (caixa fechado e conferido, lançado no Caixa, situação de cada horário marcada, guias guardadas, retornos agendados). Calcula o % concluído por dia e mostra no Painel os dias com pendência e o item mais esquecido.</t>
        </is>
      </c>
    </row>
    <row r="5" ht="46" customHeight="1">
      <c r="A5" s="3" t="inlineStr">
        <is>
          <t>Passo 1</t>
        </is>
      </c>
      <c r="B5" s="4" t="inlineStr">
        <is>
          <t>Em Config, ajuste os itens de abertura e de fechamento ao jeito da clínica e cadastre os responsáveis.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Checklist, apague os exemplos e crie uma linha por dia (data e responsável). Em cada item, marque Sim, Não ou N/A. Vazio conta como pendente, de propósito: o dia só fecha quando tudo está marcado.</t>
        </is>
      </c>
    </row>
    <row r="7" ht="46" customHeight="1">
      <c r="A7" s="3" t="inlineStr">
        <is>
          <t>Passo 3</t>
        </is>
      </c>
      <c r="B7" s="4" t="inlineStr">
        <is>
          <t>Em Painel: aderência dos últimos 20 dias (abertura e fechamento completos), os dias com pendência e "Item mais esquecido": se o mesmo item pende em vários dias, o problema é a rotina, não o dia.</t>
        </is>
      </c>
    </row>
    <row r="8" ht="46" customHeight="1">
      <c r="A8" s="3" t="inlineStr">
        <is>
          <t>Rotina</t>
        </is>
      </c>
      <c r="B8" s="4" t="inlineStr">
        <is>
          <t>É o roteiro diário da recepção, fora dos 30 minutos semanais dos sócios (planilha 03): abertura, 3 minutos antes do primeiro paciente; fechamento, 10 minutos depois do último — são 13 minutos por dia. O fechamento inclui lançar o caixa do dia na planilha 09; na sexta a sócia só confere os cinco fechamentos da semana (rotina de sexta da 03).</t>
        </is>
      </c>
    </row>
    <row r="9" ht="46" customHeight="1">
      <c r="A9" s="3" t="inlineStr">
        <is>
          <t>Exemplo</t>
        </is>
      </c>
      <c r="B9" s="4" t="inlineStr">
        <is>
          <t>Dias úteis de 01/06 a 11/09/2026, preenchidos pela recepção. Sexta-feira 11/09 tem itens de fechamento em branco: é o que o Painel aponta na segunda.</t>
        </is>
      </c>
    </row>
    <row r="10" ht="46" customHeight="1">
      <c r="A10" s="3" t="inlineStr">
        <is>
          <t>Com a IA</t>
        </is>
      </c>
      <c r="B10" s="4" t="inlineStr">
        <is>
          <t>Copie a coluna "O que faltou" de um dia e use o prompt "Agenda 06 · Pendências do dia viram tarefas da recepção" da biblioteca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8" customWidth="1" min="4" max="4"/>
    <col width="11" customWidth="1" min="5" max="5"/>
    <col width="13" customWidth="1" min="6" max="6"/>
    <col width="11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5" t="str">
        <f>Config!$B$4&amp;" · Abertura e fechamento do dia · "&amp;TEXT(Config!$B$5,"dd/mm/yyyy")</f>
        <v>Clínica Vida Plena (exemplo fictício) · Abertura e fechamento do dia · 14/09/2026</v>
      </c>
    </row>
    <row r="2">
      <c r="A2" s="6" t="inlineStr">
        <is>
          <t>Nada para digitar aqui: tudo vem de Config e Checklist. Pendência = item de abertura ou de fechamento que não está marcado como Sim ou N/A.</t>
        </is>
      </c>
    </row>
    <row r="3"/>
    <row r="4">
      <c r="A4" s="7" t="inlineStr">
        <is>
          <t>Dias registrados</t>
        </is>
      </c>
      <c r="B4" s="8" t="n"/>
      <c r="C4" s="9" t="str">
        <f>"Abertura completa (últimos "&amp;Config!$B$6&amp;" dias)"</f>
        <v>Abertura completa (últimos 20 dias)</v>
      </c>
      <c r="D4" s="10" t="n"/>
      <c r="E4" s="9" t="str">
        <f>"Fechamento completo (últimos "&amp;Config!$B$6&amp;" dias)"</f>
        <v>Fechamento completo (últimos 20 dias)</v>
      </c>
      <c r="F4" s="10" t="n"/>
      <c r="G4" s="11" t="inlineStr">
        <is>
          <t>Dias com pendência</t>
        </is>
      </c>
      <c r="H4" s="12" t="n"/>
      <c r="I4" s="13" t="inlineStr">
        <is>
          <t>Itens pendentes no total</t>
        </is>
      </c>
      <c r="J4" s="14" t="n"/>
    </row>
    <row r="5" ht="30" customHeight="1">
      <c r="A5" s="15">
        <f>COUNTIFS(Checklist!$A$5:$A$304,"&lt;&gt;")</f>
        <v>73</v>
      </c>
      <c r="B5" s="8" t="n"/>
      <c r="C5" s="16">
        <f>IFERROR(COUNTIFS(Checklist!$AB$5:$AB$304,"&lt;="&amp;Config!$B$6,Checklist!$AB$5:$AB$304,"&gt;0",Checklist!$V$5:$V$304,0)/MIN(Config!$B$6,COUNTIFS(Checklist!$A$5:$A$304,"&lt;&gt;")),"")</f>
        <v>0.8</v>
      </c>
      <c r="D5" s="10" t="n"/>
      <c r="E5" s="16">
        <f>IFERROR(COUNTIFS(Checklist!$AB$5:$AB$304,"&lt;="&amp;Config!$B$6,Checklist!$AB$5:$AB$304,"&gt;0",Checklist!$W$5:$W$304,0)/MIN(Config!$B$6,COUNTIFS(Checklist!$A$5:$A$304,"&lt;&gt;")),"")</f>
        <v>0.55</v>
      </c>
      <c r="F5" s="10" t="n"/>
      <c r="G5" s="17">
        <f>COUNTIFS(Checklist!$X$5:$X$304,"&gt;0")</f>
        <v>32</v>
      </c>
      <c r="H5" s="12" t="n"/>
      <c r="I5" s="18">
        <f>SUM(Checklist!$X$5:$X$304)</f>
        <v>46</v>
      </c>
      <c r="J5" s="14" t="n"/>
    </row>
    <row r="6"/>
    <row r="7">
      <c r="A7" s="19" t="inlineStr">
        <is>
          <t>Dias com pendência (mais itens pendentes primeiro; empate: o mais recente)</t>
        </is>
      </c>
    </row>
    <row r="8">
      <c r="A8" s="20" t="inlineStr">
        <is>
          <t>Mostra os 12 primeiros; os demais ficam na aba Checklist, que pode ser filtrada pela coluna Pendências.</t>
        </is>
      </c>
    </row>
    <row r="9" ht="26" customHeight="1">
      <c r="A9" s="21" t="inlineStr">
        <is>
          <t>#</t>
        </is>
      </c>
      <c r="B9" s="21" t="inlineStr">
        <is>
          <t>Data</t>
        </is>
      </c>
      <c r="C9" s="21" t="inlineStr">
        <is>
          <t>Dia</t>
        </is>
      </c>
      <c r="D9" s="21" t="inlineStr">
        <is>
          <t>Responsável</t>
        </is>
      </c>
      <c r="E9" s="21" t="inlineStr">
        <is>
          <t>% abertura</t>
        </is>
      </c>
      <c r="F9" s="21" t="inlineStr">
        <is>
          <t>% fechamento</t>
        </is>
      </c>
      <c r="G9" s="21" t="inlineStr">
        <is>
          <t>Pendências</t>
        </is>
      </c>
      <c r="H9" s="21" t="inlineStr">
        <is>
          <t>O que faltou</t>
        </is>
      </c>
      <c r="I9" s="22" t="n"/>
      <c r="J9" s="23" t="n"/>
    </row>
    <row r="10" ht="30" customHeight="1">
      <c r="A10" s="24" t="n">
        <v>1</v>
      </c>
      <c r="B10" s="25">
        <f>IFERROR(IF(LARGE(Checklist!$Z$5:$Z$304,1)&gt;0,IF(INDEX(Checklist!$A$5:$A$304,MATCH(LARGE(Checklist!$Z$5:$Z$304,1),Checklist!$Z$5:$Z$304,0))="","",INDEX(Checklist!$A$5:$A$304,MATCH(LARGE(Checklist!$Z$5:$Z$304,1),Checklist!$Z$5:$Z$304,0))),""),"")</f>
        <v>46266.0</v>
      </c>
      <c r="C10" s="24" t="str">
        <f>IFERROR(IF(LARGE(Checklist!$Z$5:$Z$304,1)&gt;0,IF(INDEX(Checklist!$B$5:$B$304,MATCH(LARGE(Checklist!$Z$5:$Z$304,1),Checklist!$Z$5:$Z$304,0))="","",INDEX(Checklist!$B$5:$B$304,MATCH(LARGE(Checklist!$Z$5:$Z$304,1),Checklist!$Z$5:$Z$304,0))),""),"")</f>
        <v>Terça</v>
      </c>
      <c r="D10" s="24" t="str">
        <f>IFERROR(IF(LARGE(Checklist!$Z$5:$Z$304,1)&gt;0,IF(INDEX(Checklist!$C$5:$C$304,MATCH(LARGE(Checklist!$Z$5:$Z$304,1),Checklist!$Z$5:$Z$304,0))="","",INDEX(Checklist!$C$5:$C$304,MATCH(LARGE(Checklist!$Z$5:$Z$304,1),Checklist!$Z$5:$Z$304,0))),""),"")</f>
        <v>Bruna Carvalho</v>
      </c>
      <c r="E10" s="26">
        <f>IFERROR(IF(LARGE(Checklist!$Z$5:$Z$304,1)&gt;0,IF(INDEX(Checklist!$T$5:$T$304,MATCH(LARGE(Checklist!$Z$5:$Z$304,1),Checklist!$Z$5:$Z$304,0))="","",INDEX(Checklist!$T$5:$T$304,MATCH(LARGE(Checklist!$Z$5:$Z$304,1),Checklist!$Z$5:$Z$304,0))),""),"")</f>
        <v>1</v>
      </c>
      <c r="F10" s="26">
        <f>IFERROR(IF(LARGE(Checklist!$Z$5:$Z$304,1)&gt;0,IF(INDEX(Checklist!$U$5:$U$304,MATCH(LARGE(Checklist!$Z$5:$Z$304,1),Checklist!$Z$5:$Z$304,0))="","",INDEX(Checklist!$U$5:$U$304,MATCH(LARGE(Checklist!$Z$5:$Z$304,1),Checklist!$Z$5:$Z$304,0))),""),"")</f>
        <v>0.5</v>
      </c>
      <c r="G10" s="24">
        <f>IFERROR(IF(LARGE(Checklist!$Z$5:$Z$304,1)&gt;0,IF(INDEX(Checklist!$X$5:$X$304,MATCH(LARGE(Checklist!$Z$5:$Z$304,1),Checklist!$Z$5:$Z$304,0))="","",INDEX(Checklist!$X$5:$X$304,MATCH(LARGE(Checklist!$Z$5:$Z$304,1),Checklist!$Z$5:$Z$304,0))),""),"")</f>
        <v>3</v>
      </c>
      <c r="H10" s="27" t="str">
        <f>IFERROR(IF(LARGE(Checklist!$Z$5:$Z$304,1)&gt;0,IF(INDEX(Checklist!$Y$5:$Y$304,MATCH(LARGE(Checklist!$Z$5:$Z$304,1),Checklist!$Z$5:$Z$304,0))="","",INDEX(Checklist!$Y$5:$Y$304,MATCH(LARGE(Checklist!$Z$5:$Z$304,1),Checklist!$Z$5:$Z$304,0))),""),"")</f>
        <v>Caixa do dia fechado e conferido (Pix, cartão, dinheiro); Fechamento do dia lançado no Caixa (09); Guias do dia conferidas e guardadas para o lote (13)</v>
      </c>
      <c r="I10" s="22" t="n"/>
      <c r="J10" s="23" t="n"/>
    </row>
    <row r="11" ht="30" customHeight="1">
      <c r="A11" s="24" t="n">
        <v>2</v>
      </c>
      <c r="B11" s="25">
        <f>IFERROR(IF(LARGE(Checklist!$Z$5:$Z$304,2)&gt;0,IF(INDEX(Checklist!$A$5:$A$304,MATCH(LARGE(Checklist!$Z$5:$Z$304,2),Checklist!$Z$5:$Z$304,0))="","",INDEX(Checklist!$A$5:$A$304,MATCH(LARGE(Checklist!$Z$5:$Z$304,2),Checklist!$Z$5:$Z$304,0))),""),"")</f>
        <v>46231.0</v>
      </c>
      <c r="C11" s="24" t="str">
        <f>IFERROR(IF(LARGE(Checklist!$Z$5:$Z$304,2)&gt;0,IF(INDEX(Checklist!$B$5:$B$304,MATCH(LARGE(Checklist!$Z$5:$Z$304,2),Checklist!$Z$5:$Z$304,0))="","",INDEX(Checklist!$B$5:$B$304,MATCH(LARGE(Checklist!$Z$5:$Z$304,2),Checklist!$Z$5:$Z$304,0))),""),"")</f>
        <v>Terça</v>
      </c>
      <c r="D11" s="24" t="str">
        <f>IFERROR(IF(LARGE(Checklist!$Z$5:$Z$304,2)&gt;0,IF(INDEX(Checklist!$C$5:$C$304,MATCH(LARGE(Checklist!$Z$5:$Z$304,2),Checklist!$Z$5:$Z$304,0))="","",INDEX(Checklist!$C$5:$C$304,MATCH(LARGE(Checklist!$Z$5:$Z$304,2),Checklist!$Z$5:$Z$304,0))),""),"")</f>
        <v>Bruna Carvalho</v>
      </c>
      <c r="E11" s="26">
        <f>IFERROR(IF(LARGE(Checklist!$Z$5:$Z$304,2)&gt;0,IF(INDEX(Checklist!$T$5:$T$304,MATCH(LARGE(Checklist!$Z$5:$Z$304,2),Checklist!$Z$5:$Z$304,0))="","",INDEX(Checklist!$T$5:$T$304,MATCH(LARGE(Checklist!$Z$5:$Z$304,2),Checklist!$Z$5:$Z$304,0))),""),"")</f>
        <v>0.8</v>
      </c>
      <c r="F11" s="26">
        <f>IFERROR(IF(LARGE(Checklist!$Z$5:$Z$304,2)&gt;0,IF(INDEX(Checklist!$U$5:$U$304,MATCH(LARGE(Checklist!$Z$5:$Z$304,2),Checklist!$Z$5:$Z$304,0))="","",INDEX(Checklist!$U$5:$U$304,MATCH(LARGE(Checklist!$Z$5:$Z$304,2),Checklist!$Z$5:$Z$304,0))),""),"")</f>
        <v>0.666666666666667</v>
      </c>
      <c r="G11" s="24">
        <f>IFERROR(IF(LARGE(Checklist!$Z$5:$Z$304,2)&gt;0,IF(INDEX(Checklist!$X$5:$X$304,MATCH(LARGE(Checklist!$Z$5:$Z$304,2),Checklist!$Z$5:$Z$304,0))="","",INDEX(Checklist!$X$5:$X$304,MATCH(LARGE(Checklist!$Z$5:$Z$304,2),Checklist!$Z$5:$Z$304,0))),""),"")</f>
        <v>3</v>
      </c>
      <c r="H11" s="27" t="str">
        <f>IFERROR(IF(LARGE(Checklist!$Z$5:$Z$304,2)&gt;0,IF(INDEX(Checklist!$Y$5:$Y$304,MATCH(LARGE(Checklist!$Z$5:$Z$304,2),Checklist!$Z$5:$Z$304,0))="","",INDEX(Checklist!$Y$5:$Y$304,MATCH(LARGE(Checklist!$Z$5:$Z$304,2),Checklist!$Z$5:$Z$304,0))),""),"")</f>
        <v>Faltas e cancelamentos de ontem registrados na agenda; Caixa do dia fechado e conferido (Pix, cartão, dinheiro); Situação de cada horário marcada (realizado, falta, cancelado)</v>
      </c>
      <c r="I11" s="22" t="n"/>
      <c r="J11" s="23" t="n"/>
    </row>
    <row r="12" ht="30" customHeight="1">
      <c r="A12" s="24" t="n">
        <v>3</v>
      </c>
      <c r="B12" s="25">
        <f>IFERROR(IF(LARGE(Checklist!$Z$5:$Z$304,3)&gt;0,IF(INDEX(Checklist!$A$5:$A$304,MATCH(LARGE(Checklist!$Z$5:$Z$304,3),Checklist!$Z$5:$Z$304,0))="","",INDEX(Checklist!$A$5:$A$304,MATCH(LARGE(Checklist!$Z$5:$Z$304,3),Checklist!$Z$5:$Z$304,0))),""),"")</f>
        <v>46276.0</v>
      </c>
      <c r="C12" s="24" t="str">
        <f>IFERROR(IF(LARGE(Checklist!$Z$5:$Z$304,3)&gt;0,IF(INDEX(Checklist!$B$5:$B$304,MATCH(LARGE(Checklist!$Z$5:$Z$304,3),Checklist!$Z$5:$Z$304,0))="","",INDEX(Checklist!$B$5:$B$304,MATCH(LARGE(Checklist!$Z$5:$Z$304,3),Checklist!$Z$5:$Z$304,0))),""),"")</f>
        <v>Sexta</v>
      </c>
      <c r="D12" s="24" t="str">
        <f>IFERROR(IF(LARGE(Checklist!$Z$5:$Z$304,3)&gt;0,IF(INDEX(Checklist!$C$5:$C$304,MATCH(LARGE(Checklist!$Z$5:$Z$304,3),Checklist!$Z$5:$Z$304,0))="","",INDEX(Checklist!$C$5:$C$304,MATCH(LARGE(Checklist!$Z$5:$Z$304,3),Checklist!$Z$5:$Z$304,0))),""),"")</f>
        <v>Bruna Carvalho</v>
      </c>
      <c r="E12" s="26">
        <f>IFERROR(IF(LARGE(Checklist!$Z$5:$Z$304,3)&gt;0,IF(INDEX(Checklist!$T$5:$T$304,MATCH(LARGE(Checklist!$Z$5:$Z$304,3),Checklist!$Z$5:$Z$304,0))="","",INDEX(Checklist!$T$5:$T$304,MATCH(LARGE(Checklist!$Z$5:$Z$304,3),Checklist!$Z$5:$Z$304,0))),""),"")</f>
        <v>0.833333333333333</v>
      </c>
      <c r="F12" s="26">
        <f>IFERROR(IF(LARGE(Checklist!$Z$5:$Z$304,3)&gt;0,IF(INDEX(Checklist!$U$5:$U$304,MATCH(LARGE(Checklist!$Z$5:$Z$304,3),Checklist!$Z$5:$Z$304,0))="","",INDEX(Checklist!$U$5:$U$304,MATCH(LARGE(Checklist!$Z$5:$Z$304,3),Checklist!$Z$5:$Z$304,0))),""),"")</f>
        <v>0.833333333333333</v>
      </c>
      <c r="G12" s="24">
        <f>IFERROR(IF(LARGE(Checklist!$Z$5:$Z$304,3)&gt;0,IF(INDEX(Checklist!$X$5:$X$304,MATCH(LARGE(Checklist!$Z$5:$Z$304,3),Checklist!$Z$5:$Z$304,0))="","",INDEX(Checklist!$X$5:$X$304,MATCH(LARGE(Checklist!$Z$5:$Z$304,3),Checklist!$Z$5:$Z$304,0))),""),"")</f>
        <v>2</v>
      </c>
      <c r="H12" s="27" t="str">
        <f>IFERROR(IF(LARGE(Checklist!$Z$5:$Z$304,3)&gt;0,IF(INDEX(Checklist!$Y$5:$Y$304,MATCH(LARGE(Checklist!$Z$5:$Z$304,3),Checklist!$Z$5:$Z$304,0))="","",INDEX(Checklist!$Y$5:$Y$304,MATCH(LARGE(Checklist!$Z$5:$Z$304,3),Checklist!$Z$5:$Z$304,0))),""),"")</f>
        <v>Troco e maquininha conferidos; Guias do dia conferidas e guardadas para o lote (13)</v>
      </c>
      <c r="I12" s="22" t="n"/>
      <c r="J12" s="23" t="n"/>
    </row>
    <row r="13" ht="30" customHeight="1">
      <c r="A13" s="24" t="n">
        <v>4</v>
      </c>
      <c r="B13" s="25">
        <f>IFERROR(IF(LARGE(Checklist!$Z$5:$Z$304,4)&gt;0,IF(INDEX(Checklist!$A$5:$A$304,MATCH(LARGE(Checklist!$Z$5:$Z$304,4),Checklist!$Z$5:$Z$304,0))="","",INDEX(Checklist!$A$5:$A$304,MATCH(LARGE(Checklist!$Z$5:$Z$304,4),Checklist!$Z$5:$Z$304,0))),""),"")</f>
        <v>46275.0</v>
      </c>
      <c r="C13" s="24" t="str">
        <f>IFERROR(IF(LARGE(Checklist!$Z$5:$Z$304,4)&gt;0,IF(INDEX(Checklist!$B$5:$B$304,MATCH(LARGE(Checklist!$Z$5:$Z$304,4),Checklist!$Z$5:$Z$304,0))="","",INDEX(Checklist!$B$5:$B$304,MATCH(LARGE(Checklist!$Z$5:$Z$304,4),Checklist!$Z$5:$Z$304,0))),""),"")</f>
        <v>Quinta</v>
      </c>
      <c r="D13" s="24" t="str">
        <f>IFERROR(IF(LARGE(Checklist!$Z$5:$Z$304,4)&gt;0,IF(INDEX(Checklist!$C$5:$C$304,MATCH(LARGE(Checklist!$Z$5:$Z$304,4),Checklist!$Z$5:$Z$304,0))="","",INDEX(Checklist!$C$5:$C$304,MATCH(LARGE(Checklist!$Z$5:$Z$304,4),Checklist!$Z$5:$Z$304,0))),""),"")</f>
        <v>Bruna Carvalho</v>
      </c>
      <c r="E13" s="26">
        <f>IFERROR(IF(LARGE(Checklist!$Z$5:$Z$304,4)&gt;0,IF(INDEX(Checklist!$T$5:$T$304,MATCH(LARGE(Checklist!$Z$5:$Z$304,4),Checklist!$Z$5:$Z$304,0))="","",INDEX(Checklist!$T$5:$T$304,MATCH(LARGE(Checklist!$Z$5:$Z$304,4),Checklist!$Z$5:$Z$304,0))),""),"")</f>
        <v>0.8</v>
      </c>
      <c r="F13" s="26">
        <f>IFERROR(IF(LARGE(Checklist!$Z$5:$Z$304,4)&gt;0,IF(INDEX(Checklist!$U$5:$U$304,MATCH(LARGE(Checklist!$Z$5:$Z$304,4),Checklist!$Z$5:$Z$304,0))="","",INDEX(Checklist!$U$5:$U$304,MATCH(LARGE(Checklist!$Z$5:$Z$304,4),Checklist!$Z$5:$Z$304,0))),""),"")</f>
        <v>0.833333333333333</v>
      </c>
      <c r="G13" s="24">
        <f>IFERROR(IF(LARGE(Checklist!$Z$5:$Z$304,4)&gt;0,IF(INDEX(Checklist!$X$5:$X$304,MATCH(LARGE(Checklist!$Z$5:$Z$304,4),Checklist!$Z$5:$Z$304,0))="","",INDEX(Checklist!$X$5:$X$304,MATCH(LARGE(Checklist!$Z$5:$Z$304,4),Checklist!$Z$5:$Z$304,0))),""),"")</f>
        <v>2</v>
      </c>
      <c r="H13" s="27" t="str">
        <f>IFERROR(IF(LARGE(Checklist!$Z$5:$Z$304,4)&gt;0,IF(INDEX(Checklist!$Y$5:$Y$304,MATCH(LARGE(Checklist!$Z$5:$Z$304,4),Checklist!$Z$5:$Z$304,0))="","",INDEX(Checklist!$Y$5:$Y$304,MATCH(LARGE(Checklist!$Z$5:$Z$304,4),Checklist!$Z$5:$Z$304,0))),""),"")</f>
        <v>Guias e autorizações de convênio do dia separadas; Fechamento do dia lançado no Caixa (09)</v>
      </c>
      <c r="I13" s="22" t="n"/>
      <c r="J13" s="23" t="n"/>
    </row>
    <row r="14" ht="30" customHeight="1">
      <c r="A14" s="24" t="n">
        <v>5</v>
      </c>
      <c r="B14" s="25">
        <f>IFERROR(IF(LARGE(Checklist!$Z$5:$Z$304,5)&gt;0,IF(INDEX(Checklist!$A$5:$A$304,MATCH(LARGE(Checklist!$Z$5:$Z$304,5),Checklist!$Z$5:$Z$304,0))="","",INDEX(Checklist!$A$5:$A$304,MATCH(LARGE(Checklist!$Z$5:$Z$304,5),Checklist!$Z$5:$Z$304,0))),""),"")</f>
        <v>46268.0</v>
      </c>
      <c r="C14" s="24" t="str">
        <f>IFERROR(IF(LARGE(Checklist!$Z$5:$Z$304,5)&gt;0,IF(INDEX(Checklist!$B$5:$B$304,MATCH(LARGE(Checklist!$Z$5:$Z$304,5),Checklist!$Z$5:$Z$304,0))="","",INDEX(Checklist!$B$5:$B$304,MATCH(LARGE(Checklist!$Z$5:$Z$304,5),Checklist!$Z$5:$Z$304,0))),""),"")</f>
        <v>Quinta</v>
      </c>
      <c r="D14" s="24" t="str">
        <f>IFERROR(IF(LARGE(Checklist!$Z$5:$Z$304,5)&gt;0,IF(INDEX(Checklist!$C$5:$C$304,MATCH(LARGE(Checklist!$Z$5:$Z$304,5),Checklist!$Z$5:$Z$304,0))="","",INDEX(Checklist!$C$5:$C$304,MATCH(LARGE(Checklist!$Z$5:$Z$304,5),Checklist!$Z$5:$Z$304,0))),""),"")</f>
        <v>Bruna Carvalho</v>
      </c>
      <c r="E14" s="26">
        <f>IFERROR(IF(LARGE(Checklist!$Z$5:$Z$304,5)&gt;0,IF(INDEX(Checklist!$T$5:$T$304,MATCH(LARGE(Checklist!$Z$5:$Z$304,5),Checklist!$Z$5:$Z$304,0))="","",INDEX(Checklist!$T$5:$T$304,MATCH(LARGE(Checklist!$Z$5:$Z$304,5),Checklist!$Z$5:$Z$304,0))),""),"")</f>
        <v>0.8</v>
      </c>
      <c r="F14" s="26">
        <f>IFERROR(IF(LARGE(Checklist!$Z$5:$Z$304,5)&gt;0,IF(INDEX(Checklist!$U$5:$U$304,MATCH(LARGE(Checklist!$Z$5:$Z$304,5),Checklist!$Z$5:$Z$304,0))="","",INDEX(Checklist!$U$5:$U$304,MATCH(LARGE(Checklist!$Z$5:$Z$304,5),Checklist!$Z$5:$Z$304,0))),""),"")</f>
        <v>0.833333333333333</v>
      </c>
      <c r="G14" s="24">
        <f>IFERROR(IF(LARGE(Checklist!$Z$5:$Z$304,5)&gt;0,IF(INDEX(Checklist!$X$5:$X$304,MATCH(LARGE(Checklist!$Z$5:$Z$304,5),Checklist!$Z$5:$Z$304,0))="","",INDEX(Checklist!$X$5:$X$304,MATCH(LARGE(Checklist!$Z$5:$Z$304,5),Checklist!$Z$5:$Z$304,0))),""),"")</f>
        <v>2</v>
      </c>
      <c r="H14" s="27" t="str">
        <f>IFERROR(IF(LARGE(Checklist!$Z$5:$Z$304,5)&gt;0,IF(INDEX(Checklist!$Y$5:$Y$304,MATCH(LARGE(Checklist!$Z$5:$Z$304,5),Checklist!$Z$5:$Z$304,0))="","",INDEX(Checklist!$Y$5:$Y$304,MATCH(LARGE(Checklist!$Z$5:$Z$304,5),Checklist!$Z$5:$Z$304,0))),""),"")</f>
        <v>Faltas e cancelamentos de ontem registrados na agenda; Agenda de amanhã revisada e confirmações enviadas</v>
      </c>
      <c r="I14" s="22" t="n"/>
      <c r="J14" s="23" t="n"/>
    </row>
    <row r="15" ht="30" customHeight="1">
      <c r="A15" s="24" t="n">
        <v>6</v>
      </c>
      <c r="B15" s="25">
        <f>IFERROR(IF(LARGE(Checklist!$Z$5:$Z$304,6)&gt;0,IF(INDEX(Checklist!$A$5:$A$304,MATCH(LARGE(Checklist!$Z$5:$Z$304,6),Checklist!$Z$5:$Z$304,0))="","",INDEX(Checklist!$A$5:$A$304,MATCH(LARGE(Checklist!$Z$5:$Z$304,6),Checklist!$Z$5:$Z$304,0))),""),"")</f>
        <v>46258.0</v>
      </c>
      <c r="C15" s="24" t="str">
        <f>IFERROR(IF(LARGE(Checklist!$Z$5:$Z$304,6)&gt;0,IF(INDEX(Checklist!$B$5:$B$304,MATCH(LARGE(Checklist!$Z$5:$Z$304,6),Checklist!$Z$5:$Z$304,0))="","",INDEX(Checklist!$B$5:$B$304,MATCH(LARGE(Checklist!$Z$5:$Z$304,6),Checklist!$Z$5:$Z$304,0))),""),"")</f>
        <v>Segunda</v>
      </c>
      <c r="D15" s="24" t="str">
        <f>IFERROR(IF(LARGE(Checklist!$Z$5:$Z$304,6)&gt;0,IF(INDEX(Checklist!$C$5:$C$304,MATCH(LARGE(Checklist!$Z$5:$Z$304,6),Checklist!$Z$5:$Z$304,0))="","",INDEX(Checklist!$C$5:$C$304,MATCH(LARGE(Checklist!$Z$5:$Z$304,6),Checklist!$Z$5:$Z$304,0))),""),"")</f>
        <v>Bruna Carvalho</v>
      </c>
      <c r="E15" s="26">
        <f>IFERROR(IF(LARGE(Checklist!$Z$5:$Z$304,6)&gt;0,IF(INDEX(Checklist!$T$5:$T$304,MATCH(LARGE(Checklist!$Z$5:$Z$304,6),Checklist!$Z$5:$Z$304,0))="","",INDEX(Checklist!$T$5:$T$304,MATCH(LARGE(Checklist!$Z$5:$Z$304,6),Checklist!$Z$5:$Z$304,0))),""),"")</f>
        <v>1</v>
      </c>
      <c r="F15" s="26">
        <f>IFERROR(IF(LARGE(Checklist!$Z$5:$Z$304,6)&gt;0,IF(INDEX(Checklist!$U$5:$U$304,MATCH(LARGE(Checklist!$Z$5:$Z$304,6),Checklist!$Z$5:$Z$304,0))="","",INDEX(Checklist!$U$5:$U$304,MATCH(LARGE(Checklist!$Z$5:$Z$304,6),Checklist!$Z$5:$Z$304,0))),""),"")</f>
        <v>0.666666666666667</v>
      </c>
      <c r="G15" s="24">
        <f>IFERROR(IF(LARGE(Checklist!$Z$5:$Z$304,6)&gt;0,IF(INDEX(Checklist!$X$5:$X$304,MATCH(LARGE(Checklist!$Z$5:$Z$304,6),Checklist!$Z$5:$Z$304,0))="","",INDEX(Checklist!$X$5:$X$304,MATCH(LARGE(Checklist!$Z$5:$Z$304,6),Checklist!$Z$5:$Z$304,0))),""),"")</f>
        <v>2</v>
      </c>
      <c r="H15" s="27" t="str">
        <f>IFERROR(IF(LARGE(Checklist!$Z$5:$Z$304,6)&gt;0,IF(INDEX(Checklist!$Y$5:$Y$304,MATCH(LARGE(Checklist!$Z$5:$Z$304,6),Checklist!$Z$5:$Z$304,0))="","",INDEX(Checklist!$Y$5:$Y$304,MATCH(LARGE(Checklist!$Z$5:$Z$304,6),Checklist!$Z$5:$Z$304,0))),""),"")</f>
        <v>Fechamento do dia lançado no Caixa (09); Situação de cada horário marcada (realizado, falta, cancelado)</v>
      </c>
      <c r="I15" s="22" t="n"/>
      <c r="J15" s="23" t="n"/>
    </row>
    <row r="16" ht="30" customHeight="1">
      <c r="A16" s="24" t="n">
        <v>7</v>
      </c>
      <c r="B16" s="25">
        <f>IFERROR(IF(LARGE(Checklist!$Z$5:$Z$304,7)&gt;0,IF(INDEX(Checklist!$A$5:$A$304,MATCH(LARGE(Checklist!$Z$5:$Z$304,7),Checklist!$Z$5:$Z$304,0))="","",INDEX(Checklist!$A$5:$A$304,MATCH(LARGE(Checklist!$Z$5:$Z$304,7),Checklist!$Z$5:$Z$304,0))),""),"")</f>
        <v>46255.0</v>
      </c>
      <c r="C16" s="24" t="str">
        <f>IFERROR(IF(LARGE(Checklist!$Z$5:$Z$304,7)&gt;0,IF(INDEX(Checklist!$B$5:$B$304,MATCH(LARGE(Checklist!$Z$5:$Z$304,7),Checklist!$Z$5:$Z$304,0))="","",INDEX(Checklist!$B$5:$B$304,MATCH(LARGE(Checklist!$Z$5:$Z$304,7),Checklist!$Z$5:$Z$304,0))),""),"")</f>
        <v>Sexta</v>
      </c>
      <c r="D16" s="24" t="str">
        <f>IFERROR(IF(LARGE(Checklist!$Z$5:$Z$304,7)&gt;0,IF(INDEX(Checklist!$C$5:$C$304,MATCH(LARGE(Checklist!$Z$5:$Z$304,7),Checklist!$Z$5:$Z$304,0))="","",INDEX(Checklist!$C$5:$C$304,MATCH(LARGE(Checklist!$Z$5:$Z$304,7),Checklist!$Z$5:$Z$304,0))),""),"")</f>
        <v>Bruna Carvalho</v>
      </c>
      <c r="E16" s="26">
        <f>IFERROR(IF(LARGE(Checklist!$Z$5:$Z$304,7)&gt;0,IF(INDEX(Checklist!$T$5:$T$304,MATCH(LARGE(Checklist!$Z$5:$Z$304,7),Checklist!$Z$5:$Z$304,0))="","",INDEX(Checklist!$T$5:$T$304,MATCH(LARGE(Checklist!$Z$5:$Z$304,7),Checklist!$Z$5:$Z$304,0))),""),"")</f>
        <v>0.833333333333333</v>
      </c>
      <c r="F16" s="26">
        <f>IFERROR(IF(LARGE(Checklist!$Z$5:$Z$304,7)&gt;0,IF(INDEX(Checklist!$U$5:$U$304,MATCH(LARGE(Checklist!$Z$5:$Z$304,7),Checklist!$Z$5:$Z$304,0))="","",INDEX(Checklist!$U$5:$U$304,MATCH(LARGE(Checklist!$Z$5:$Z$304,7),Checklist!$Z$5:$Z$304,0))),""),"")</f>
        <v>0.833333333333333</v>
      </c>
      <c r="G16" s="24">
        <f>IFERROR(IF(LARGE(Checklist!$Z$5:$Z$304,7)&gt;0,IF(INDEX(Checklist!$X$5:$X$304,MATCH(LARGE(Checklist!$Z$5:$Z$304,7),Checklist!$Z$5:$Z$304,0))="","",INDEX(Checklist!$X$5:$X$304,MATCH(LARGE(Checklist!$Z$5:$Z$304,7),Checklist!$Z$5:$Z$304,0))),""),"")</f>
        <v>2</v>
      </c>
      <c r="H16" s="27" t="str">
        <f>IFERROR(IF(LARGE(Checklist!$Z$5:$Z$304,7)&gt;0,IF(INDEX(Checklist!$Y$5:$Y$304,MATCH(LARGE(Checklist!$Z$5:$Z$304,7),Checklist!$Z$5:$Z$304,0))="","",INDEX(Checklist!$Y$5:$Y$304,MATCH(LARGE(Checklist!$Z$5:$Z$304,7),Checklist!$Z$5:$Z$304,0))),""),"")</f>
        <v>Faltas e cancelamentos de ontem registrados na agenda; Fechamento do dia lançado no Caixa (09)</v>
      </c>
      <c r="I16" s="22" t="n"/>
      <c r="J16" s="23" t="n"/>
    </row>
    <row r="17" ht="30" customHeight="1">
      <c r="A17" s="24" t="n">
        <v>8</v>
      </c>
      <c r="B17" s="25">
        <f>IFERROR(IF(LARGE(Checklist!$Z$5:$Z$304,8)&gt;0,IF(INDEX(Checklist!$A$5:$A$304,MATCH(LARGE(Checklist!$Z$5:$Z$304,8),Checklist!$Z$5:$Z$304,0))="","",INDEX(Checklist!$A$5:$A$304,MATCH(LARGE(Checklist!$Z$5:$Z$304,8),Checklist!$Z$5:$Z$304,0))),""),"")</f>
        <v>46239.0</v>
      </c>
      <c r="C17" s="24" t="str">
        <f>IFERROR(IF(LARGE(Checklist!$Z$5:$Z$304,8)&gt;0,IF(INDEX(Checklist!$B$5:$B$304,MATCH(LARGE(Checklist!$Z$5:$Z$304,8),Checklist!$Z$5:$Z$304,0))="","",INDEX(Checklist!$B$5:$B$304,MATCH(LARGE(Checklist!$Z$5:$Z$304,8),Checklist!$Z$5:$Z$304,0))),""),"")</f>
        <v>Quarta</v>
      </c>
      <c r="D17" s="24" t="str">
        <f>IFERROR(IF(LARGE(Checklist!$Z$5:$Z$304,8)&gt;0,IF(INDEX(Checklist!$C$5:$C$304,MATCH(LARGE(Checklist!$Z$5:$Z$304,8),Checklist!$Z$5:$Z$304,0))="","",INDEX(Checklist!$C$5:$C$304,MATCH(LARGE(Checklist!$Z$5:$Z$304,8),Checklist!$Z$5:$Z$304,0))),""),"")</f>
        <v>Bruna Carvalho</v>
      </c>
      <c r="E17" s="26">
        <f>IFERROR(IF(LARGE(Checklist!$Z$5:$Z$304,8)&gt;0,IF(INDEX(Checklist!$T$5:$T$304,MATCH(LARGE(Checklist!$Z$5:$Z$304,8),Checklist!$Z$5:$Z$304,0))="","",INDEX(Checklist!$T$5:$T$304,MATCH(LARGE(Checklist!$Z$5:$Z$304,8),Checklist!$Z$5:$Z$304,0))),""),"")</f>
        <v>1</v>
      </c>
      <c r="F17" s="26">
        <f>IFERROR(IF(LARGE(Checklist!$Z$5:$Z$304,8)&gt;0,IF(INDEX(Checklist!$U$5:$U$304,MATCH(LARGE(Checklist!$Z$5:$Z$304,8),Checklist!$Z$5:$Z$304,0))="","",INDEX(Checklist!$U$5:$U$304,MATCH(LARGE(Checklist!$Z$5:$Z$304,8),Checklist!$Z$5:$Z$304,0))),""),"")</f>
        <v>0.666666666666667</v>
      </c>
      <c r="G17" s="24">
        <f>IFERROR(IF(LARGE(Checklist!$Z$5:$Z$304,8)&gt;0,IF(INDEX(Checklist!$X$5:$X$304,MATCH(LARGE(Checklist!$Z$5:$Z$304,8),Checklist!$Z$5:$Z$304,0))="","",INDEX(Checklist!$X$5:$X$304,MATCH(LARGE(Checklist!$Z$5:$Z$304,8),Checklist!$Z$5:$Z$304,0))),""),"")</f>
        <v>2</v>
      </c>
      <c r="H17" s="27" t="str">
        <f>IFERROR(IF(LARGE(Checklist!$Z$5:$Z$304,8)&gt;0,IF(INDEX(Checklist!$Y$5:$Y$304,MATCH(LARGE(Checklist!$Z$5:$Z$304,8),Checklist!$Z$5:$Z$304,0))="","",INDEX(Checklist!$Y$5:$Y$304,MATCH(LARGE(Checklist!$Z$5:$Z$304,8),Checklist!$Z$5:$Z$304,0))),""),"")</f>
        <v>Caixa do dia fechado e conferido (Pix, cartão, dinheiro); Retornos e exames do dia agendados</v>
      </c>
      <c r="I17" s="22" t="n"/>
      <c r="J17" s="23" t="n"/>
    </row>
    <row r="18" ht="30" customHeight="1">
      <c r="A18" s="24" t="n">
        <v>9</v>
      </c>
      <c r="B18" s="25">
        <f>IFERROR(IF(LARGE(Checklist!$Z$5:$Z$304,9)&gt;0,IF(INDEX(Checklist!$A$5:$A$304,MATCH(LARGE(Checklist!$Z$5:$Z$304,9),Checklist!$Z$5:$Z$304,0))="","",INDEX(Checklist!$A$5:$A$304,MATCH(LARGE(Checklist!$Z$5:$Z$304,9),Checklist!$Z$5:$Z$304,0))),""),"")</f>
        <v>46223.0</v>
      </c>
      <c r="C18" s="24" t="str">
        <f>IFERROR(IF(LARGE(Checklist!$Z$5:$Z$304,9)&gt;0,IF(INDEX(Checklist!$B$5:$B$304,MATCH(LARGE(Checklist!$Z$5:$Z$304,9),Checklist!$Z$5:$Z$304,0))="","",INDEX(Checklist!$B$5:$B$304,MATCH(LARGE(Checklist!$Z$5:$Z$304,9),Checklist!$Z$5:$Z$304,0))),""),"")</f>
        <v>Segunda</v>
      </c>
      <c r="D18" s="24" t="str">
        <f>IFERROR(IF(LARGE(Checklist!$Z$5:$Z$304,9)&gt;0,IF(INDEX(Checklist!$C$5:$C$304,MATCH(LARGE(Checklist!$Z$5:$Z$304,9),Checklist!$Z$5:$Z$304,0))="","",INDEX(Checklist!$C$5:$C$304,MATCH(LARGE(Checklist!$Z$5:$Z$304,9),Checklist!$Z$5:$Z$304,0))),""),"")</f>
        <v>Bruna Carvalho</v>
      </c>
      <c r="E18" s="26">
        <f>IFERROR(IF(LARGE(Checklist!$Z$5:$Z$304,9)&gt;0,IF(INDEX(Checklist!$T$5:$T$304,MATCH(LARGE(Checklist!$Z$5:$Z$304,9),Checklist!$Z$5:$Z$304,0))="","",INDEX(Checklist!$T$5:$T$304,MATCH(LARGE(Checklist!$Z$5:$Z$304,9),Checklist!$Z$5:$Z$304,0))),""),"")</f>
        <v>1</v>
      </c>
      <c r="F18" s="26">
        <f>IFERROR(IF(LARGE(Checklist!$Z$5:$Z$304,9)&gt;0,IF(INDEX(Checklist!$U$5:$U$304,MATCH(LARGE(Checklist!$Z$5:$Z$304,9),Checklist!$Z$5:$Z$304,0))="","",INDEX(Checklist!$U$5:$U$304,MATCH(LARGE(Checklist!$Z$5:$Z$304,9),Checklist!$Z$5:$Z$304,0))),""),"")</f>
        <v>0.666666666666667</v>
      </c>
      <c r="G18" s="24">
        <f>IFERROR(IF(LARGE(Checklist!$Z$5:$Z$304,9)&gt;0,IF(INDEX(Checklist!$X$5:$X$304,MATCH(LARGE(Checklist!$Z$5:$Z$304,9),Checklist!$Z$5:$Z$304,0))="","",INDEX(Checklist!$X$5:$X$304,MATCH(LARGE(Checklist!$Z$5:$Z$304,9),Checklist!$Z$5:$Z$304,0))),""),"")</f>
        <v>2</v>
      </c>
      <c r="H18" s="27" t="str">
        <f>IFERROR(IF(LARGE(Checklist!$Z$5:$Z$304,9)&gt;0,IF(INDEX(Checklist!$Y$5:$Y$304,MATCH(LARGE(Checklist!$Z$5:$Z$304,9),Checklist!$Z$5:$Z$304,0))="","",INDEX(Checklist!$Y$5:$Y$304,MATCH(LARGE(Checklist!$Z$5:$Z$304,9),Checklist!$Z$5:$Z$304,0))),""),"")</f>
        <v>Caixa do dia fechado e conferido (Pix, cartão, dinheiro); Situação de cada horário marcada (realizado, falta, cancelado)</v>
      </c>
      <c r="I18" s="22" t="n"/>
      <c r="J18" s="23" t="n"/>
    </row>
    <row r="19" ht="30" customHeight="1">
      <c r="A19" s="24" t="n">
        <v>10</v>
      </c>
      <c r="B19" s="25">
        <f>IFERROR(IF(LARGE(Checklist!$Z$5:$Z$304,10)&gt;0,IF(INDEX(Checklist!$A$5:$A$304,MATCH(LARGE(Checklist!$Z$5:$Z$304,10),Checklist!$Z$5:$Z$304,0))="","",INDEX(Checklist!$A$5:$A$304,MATCH(LARGE(Checklist!$Z$5:$Z$304,10),Checklist!$Z$5:$Z$304,0))),""),"")</f>
        <v>46210.0</v>
      </c>
      <c r="C19" s="24" t="str">
        <f>IFERROR(IF(LARGE(Checklist!$Z$5:$Z$304,10)&gt;0,IF(INDEX(Checklist!$B$5:$B$304,MATCH(LARGE(Checklist!$Z$5:$Z$304,10),Checklist!$Z$5:$Z$304,0))="","",INDEX(Checklist!$B$5:$B$304,MATCH(LARGE(Checklist!$Z$5:$Z$304,10),Checklist!$Z$5:$Z$304,0))),""),"")</f>
        <v>Terça</v>
      </c>
      <c r="D19" s="24" t="str">
        <f>IFERROR(IF(LARGE(Checklist!$Z$5:$Z$304,10)&gt;0,IF(INDEX(Checklist!$C$5:$C$304,MATCH(LARGE(Checklist!$Z$5:$Z$304,10),Checklist!$Z$5:$Z$304,0))="","",INDEX(Checklist!$C$5:$C$304,MATCH(LARGE(Checklist!$Z$5:$Z$304,10),Checklist!$Z$5:$Z$304,0))),""),"")</f>
        <v>Bruna Carvalho</v>
      </c>
      <c r="E19" s="26">
        <f>IFERROR(IF(LARGE(Checklist!$Z$5:$Z$304,10)&gt;0,IF(INDEX(Checklist!$T$5:$T$304,MATCH(LARGE(Checklist!$Z$5:$Z$304,10),Checklist!$Z$5:$Z$304,0))="","",INDEX(Checklist!$T$5:$T$304,MATCH(LARGE(Checklist!$Z$5:$Z$304,10),Checklist!$Z$5:$Z$304,0))),""),"")</f>
        <v>0.8</v>
      </c>
      <c r="F19" s="26">
        <f>IFERROR(IF(LARGE(Checklist!$Z$5:$Z$304,10)&gt;0,IF(INDEX(Checklist!$U$5:$U$304,MATCH(LARGE(Checklist!$Z$5:$Z$304,10),Checklist!$Z$5:$Z$304,0))="","",INDEX(Checklist!$U$5:$U$304,MATCH(LARGE(Checklist!$Z$5:$Z$304,10),Checklist!$Z$5:$Z$304,0))),""),"")</f>
        <v>0.833333333333333</v>
      </c>
      <c r="G19" s="24">
        <f>IFERROR(IF(LARGE(Checklist!$Z$5:$Z$304,10)&gt;0,IF(INDEX(Checklist!$X$5:$X$304,MATCH(LARGE(Checklist!$Z$5:$Z$304,10),Checklist!$Z$5:$Z$304,0))="","",INDEX(Checklist!$X$5:$X$304,MATCH(LARGE(Checklist!$Z$5:$Z$304,10),Checklist!$Z$5:$Z$304,0))),""),"")</f>
        <v>2</v>
      </c>
      <c r="H19" s="27" t="str">
        <f>IFERROR(IF(LARGE(Checklist!$Z$5:$Z$304,10)&gt;0,IF(INDEX(Checklist!$Y$5:$Y$304,MATCH(LARGE(Checklist!$Z$5:$Z$304,10),Checklist!$Z$5:$Z$304,0))="","",INDEX(Checklist!$Y$5:$Y$304,MATCH(LARGE(Checklist!$Z$5:$Z$304,10),Checklist!$Z$5:$Z$304,0))),""),"")</f>
        <v>Troco e maquininha conferidos; Caixa do dia fechado e conferido (Pix, cartão, dinheiro)</v>
      </c>
      <c r="I19" s="22" t="n"/>
      <c r="J19" s="23" t="n"/>
    </row>
    <row r="20" ht="30" customHeight="1">
      <c r="A20" s="24" t="n">
        <v>11</v>
      </c>
      <c r="B20" s="25">
        <f>IFERROR(IF(LARGE(Checklist!$Z$5:$Z$304,11)&gt;0,IF(INDEX(Checklist!$A$5:$A$304,MATCH(LARGE(Checklist!$Z$5:$Z$304,11),Checklist!$Z$5:$Z$304,0))="","",INDEX(Checklist!$A$5:$A$304,MATCH(LARGE(Checklist!$Z$5:$Z$304,11),Checklist!$Z$5:$Z$304,0))),""),"")</f>
        <v>46198.0</v>
      </c>
      <c r="C20" s="24" t="str">
        <f>IFERROR(IF(LARGE(Checklist!$Z$5:$Z$304,11)&gt;0,IF(INDEX(Checklist!$B$5:$B$304,MATCH(LARGE(Checklist!$Z$5:$Z$304,11),Checklist!$Z$5:$Z$304,0))="","",INDEX(Checklist!$B$5:$B$304,MATCH(LARGE(Checklist!$Z$5:$Z$304,11),Checklist!$Z$5:$Z$304,0))),""),"")</f>
        <v>Quinta</v>
      </c>
      <c r="D20" s="24" t="str">
        <f>IFERROR(IF(LARGE(Checklist!$Z$5:$Z$304,11)&gt;0,IF(INDEX(Checklist!$C$5:$C$304,MATCH(LARGE(Checklist!$Z$5:$Z$304,11),Checklist!$Z$5:$Z$304,0))="","",INDEX(Checklist!$C$5:$C$304,MATCH(LARGE(Checklist!$Z$5:$Z$304,11),Checklist!$Z$5:$Z$304,0))),""),"")</f>
        <v>Bruna Carvalho</v>
      </c>
      <c r="E20" s="26">
        <f>IFERROR(IF(LARGE(Checklist!$Z$5:$Z$304,11)&gt;0,IF(INDEX(Checklist!$T$5:$T$304,MATCH(LARGE(Checklist!$Z$5:$Z$304,11),Checklist!$Z$5:$Z$304,0))="","",INDEX(Checklist!$T$5:$T$304,MATCH(LARGE(Checklist!$Z$5:$Z$304,11),Checklist!$Z$5:$Z$304,0))),""),"")</f>
        <v>0.8</v>
      </c>
      <c r="F20" s="26">
        <f>IFERROR(IF(LARGE(Checklist!$Z$5:$Z$304,11)&gt;0,IF(INDEX(Checklist!$U$5:$U$304,MATCH(LARGE(Checklist!$Z$5:$Z$304,11),Checklist!$Z$5:$Z$304,0))="","",INDEX(Checklist!$U$5:$U$304,MATCH(LARGE(Checklist!$Z$5:$Z$304,11),Checklist!$Z$5:$Z$304,0))),""),"")</f>
        <v>0.833333333333333</v>
      </c>
      <c r="G20" s="24">
        <f>IFERROR(IF(LARGE(Checklist!$Z$5:$Z$304,11)&gt;0,IF(INDEX(Checklist!$X$5:$X$304,MATCH(LARGE(Checklist!$Z$5:$Z$304,11),Checklist!$Z$5:$Z$304,0))="","",INDEX(Checklist!$X$5:$X$304,MATCH(LARGE(Checklist!$Z$5:$Z$304,11),Checklist!$Z$5:$Z$304,0))),""),"")</f>
        <v>2</v>
      </c>
      <c r="H20" s="27" t="str">
        <f>IFERROR(IF(LARGE(Checklist!$Z$5:$Z$304,11)&gt;0,IF(INDEX(Checklist!$Y$5:$Y$304,MATCH(LARGE(Checklist!$Z$5:$Z$304,11),Checklist!$Z$5:$Z$304,0))="","",INDEX(Checklist!$Y$5:$Y$304,MATCH(LARGE(Checklist!$Z$5:$Z$304,11),Checklist!$Z$5:$Z$304,0))),""),"")</f>
        <v>Troco e maquininha conferidos; Caixa do dia fechado e conferido (Pix, cartão, dinheiro)</v>
      </c>
      <c r="I20" s="22" t="n"/>
      <c r="J20" s="23" t="n"/>
    </row>
    <row r="21" ht="30" customHeight="1">
      <c r="A21" s="24" t="n">
        <v>12</v>
      </c>
      <c r="B21" s="25">
        <f>IFERROR(IF(LARGE(Checklist!$Z$5:$Z$304,12)&gt;0,IF(INDEX(Checklist!$A$5:$A$304,MATCH(LARGE(Checklist!$Z$5:$Z$304,12),Checklist!$Z$5:$Z$304,0))="","",INDEX(Checklist!$A$5:$A$304,MATCH(LARGE(Checklist!$Z$5:$Z$304,12),Checklist!$Z$5:$Z$304,0))),""),"")</f>
        <v>46185.0</v>
      </c>
      <c r="C21" s="24" t="str">
        <f>IFERROR(IF(LARGE(Checklist!$Z$5:$Z$304,12)&gt;0,IF(INDEX(Checklist!$B$5:$B$304,MATCH(LARGE(Checklist!$Z$5:$Z$304,12),Checklist!$Z$5:$Z$304,0))="","",INDEX(Checklist!$B$5:$B$304,MATCH(LARGE(Checklist!$Z$5:$Z$304,12),Checklist!$Z$5:$Z$304,0))),""),"")</f>
        <v>Sexta</v>
      </c>
      <c r="D21" s="24" t="str">
        <f>IFERROR(IF(LARGE(Checklist!$Z$5:$Z$304,12)&gt;0,IF(INDEX(Checklist!$C$5:$C$304,MATCH(LARGE(Checklist!$Z$5:$Z$304,12),Checklist!$Z$5:$Z$304,0))="","",INDEX(Checklist!$C$5:$C$304,MATCH(LARGE(Checklist!$Z$5:$Z$304,12),Checklist!$Z$5:$Z$304,0))),""),"")</f>
        <v>Bruna Carvalho</v>
      </c>
      <c r="E21" s="26">
        <f>IFERROR(IF(LARGE(Checklist!$Z$5:$Z$304,12)&gt;0,IF(INDEX(Checklist!$T$5:$T$304,MATCH(LARGE(Checklist!$Z$5:$Z$304,12),Checklist!$Z$5:$Z$304,0))="","",INDEX(Checklist!$T$5:$T$304,MATCH(LARGE(Checklist!$Z$5:$Z$304,12),Checklist!$Z$5:$Z$304,0))),""),"")</f>
        <v>1</v>
      </c>
      <c r="F21" s="26">
        <f>IFERROR(IF(LARGE(Checklist!$Z$5:$Z$304,12)&gt;0,IF(INDEX(Checklist!$U$5:$U$304,MATCH(LARGE(Checklist!$Z$5:$Z$304,12),Checklist!$Z$5:$Z$304,0))="","",INDEX(Checklist!$U$5:$U$304,MATCH(LARGE(Checklist!$Z$5:$Z$304,12),Checklist!$Z$5:$Z$304,0))),""),"")</f>
        <v>0.666666666666667</v>
      </c>
      <c r="G21" s="24">
        <f>IFERROR(IF(LARGE(Checklist!$Z$5:$Z$304,12)&gt;0,IF(INDEX(Checklist!$X$5:$X$304,MATCH(LARGE(Checklist!$Z$5:$Z$304,12),Checklist!$Z$5:$Z$304,0))="","",INDEX(Checklist!$X$5:$X$304,MATCH(LARGE(Checklist!$Z$5:$Z$304,12),Checklist!$Z$5:$Z$304,0))),""),"")</f>
        <v>2</v>
      </c>
      <c r="H21" s="27" t="str">
        <f>IFERROR(IF(LARGE(Checklist!$Z$5:$Z$304,12)&gt;0,IF(INDEX(Checklist!$Y$5:$Y$304,MATCH(LARGE(Checklist!$Z$5:$Z$304,12),Checklist!$Z$5:$Z$304,0))="","",INDEX(Checklist!$Y$5:$Y$304,MATCH(LARGE(Checklist!$Z$5:$Z$304,12),Checklist!$Z$5:$Z$304,0))),""),"")</f>
        <v>Caixa do dia fechado e conferido (Pix, cartão, dinheiro); Fechamento do dia lançado no Caixa (09)</v>
      </c>
      <c r="I21" s="22" t="n"/>
      <c r="J21" s="23" t="n"/>
    </row>
    <row r="22"/>
    <row r="23">
      <c r="A23" s="19" t="inlineStr">
        <is>
          <t>Item mais esquecido</t>
        </is>
      </c>
    </row>
    <row r="24">
      <c r="A24" s="20" t="inlineStr">
        <is>
          <t>Conta todos os dias registrados. Item pendente muitas vezes é sinal de que a rotina do dia precisa mudar (horário, responsável ou o próprio item).</t>
        </is>
      </c>
    </row>
    <row r="25" ht="26" customHeight="1">
      <c r="A25" s="21" t="inlineStr">
        <is>
          <t>Item de abertura</t>
        </is>
      </c>
      <c r="B25" s="23" t="n"/>
      <c r="C25" s="21" t="inlineStr">
        <is>
          <t>Pendente em</t>
        </is>
      </c>
      <c r="D25" s="21" t="inlineStr">
        <is>
          <t>Feito em</t>
        </is>
      </c>
      <c r="E25" s="21" t="inlineStr">
        <is>
          <t>N/A</t>
        </is>
      </c>
      <c r="F25" s="21" t="inlineStr">
        <is>
          <t>Item de fechamento</t>
        </is>
      </c>
      <c r="G25" s="23" t="n"/>
      <c r="H25" s="21" t="inlineStr">
        <is>
          <t>Pendente em</t>
        </is>
      </c>
      <c r="I25" s="21" t="inlineStr">
        <is>
          <t>Feito em</t>
        </is>
      </c>
      <c r="J25" s="21" t="inlineStr">
        <is>
          <t>N/A</t>
        </is>
      </c>
    </row>
    <row r="26" ht="30" customHeight="1">
      <c r="A26" s="28" t="str">
        <f>IF(Config!$B$10="","",Config!$B$10)</f>
        <v>Agenda do dia confirmada (mensagens de véspera respondidas)</v>
      </c>
      <c r="B26" s="24" t="n"/>
      <c r="C26" s="24">
        <f>IF(Config!$B$10="","",COUNTIFS(Checklist!$A$5:$A$304,"&lt;&gt;",Checklist!$D$5:$D$304,"&lt;&gt;Sim",Checklist!$D$5:$D$304,"&lt;&gt;N/A"))</f>
        <v>1</v>
      </c>
      <c r="D26" s="24">
        <f>IF(Config!$B$10="","",COUNTIFS(Checklist!$A$5:$A$304,"&lt;&gt;",Checklist!$D$5:$D$304,"Sim"))</f>
        <v>72</v>
      </c>
      <c r="E26" s="24">
        <f>IF(Config!$B$10="","",COUNTIFS(Checklist!$A$5:$A$304,"&lt;&gt;",Checklist!$D$5:$D$304,"N/A"))</f>
        <v>0</v>
      </c>
      <c r="F26" s="28" t="str">
        <f>IF(Config!$D$10="","",Config!$D$10)</f>
        <v>Caixa do dia fechado e conferido (Pix, cartão, dinheiro)</v>
      </c>
      <c r="G26" s="24" t="n"/>
      <c r="H26" s="24">
        <f>IF(Config!$D$10="","",COUNTIFS(Checklist!$A$5:$A$304,"&lt;&gt;",Checklist!$L$5:$L$304,"&lt;&gt;Sim",Checklist!$L$5:$L$304,"&lt;&gt;N/A"))</f>
        <v>9</v>
      </c>
      <c r="I26" s="24">
        <f>IF(Config!$D$10="","",COUNTIFS(Checklist!$A$5:$A$304,"&lt;&gt;",Checklist!$L$5:$L$304,"Sim"))</f>
        <v>64</v>
      </c>
      <c r="J26" s="24">
        <f>IF(Config!$D$10="","",COUNTIFS(Checklist!$A$5:$A$304,"&lt;&gt;",Checklist!$L$5:$L$304,"N/A"))</f>
        <v>0</v>
      </c>
    </row>
    <row r="27" ht="30" customHeight="1">
      <c r="A27" s="28" t="str">
        <f>IF(Config!$B$11="","",Config!$B$11)</f>
        <v>Faltas e cancelamentos de ontem registrados na agenda</v>
      </c>
      <c r="B27" s="24" t="n"/>
      <c r="C27" s="24">
        <f>IF(Config!$B$11="","",COUNTIFS(Checklist!$A$5:$A$304,"&lt;&gt;",Checklist!$E$5:$E$304,"&lt;&gt;Sim",Checklist!$E$5:$E$304,"&lt;&gt;N/A"))</f>
        <v>5</v>
      </c>
      <c r="D27" s="24">
        <f>IF(Config!$B$11="","",COUNTIFS(Checklist!$A$5:$A$304,"&lt;&gt;",Checklist!$E$5:$E$304,"Sim"))</f>
        <v>68</v>
      </c>
      <c r="E27" s="24">
        <f>IF(Config!$B$11="","",COUNTIFS(Checklist!$A$5:$A$304,"&lt;&gt;",Checklist!$E$5:$E$304,"N/A"))</f>
        <v>0</v>
      </c>
      <c r="F27" s="28" t="str">
        <f>IF(Config!$D$11="","",Config!$D$11)</f>
        <v>Fechamento do dia lançado no Caixa (09)</v>
      </c>
      <c r="G27" s="24" t="n"/>
      <c r="H27" s="24">
        <f>IF(Config!$D$11="","",COUNTIFS(Checklist!$A$5:$A$304,"&lt;&gt;",Checklist!$M$5:$M$304,"&lt;&gt;Sim",Checklist!$M$5:$M$304,"&lt;&gt;N/A"))</f>
        <v>10</v>
      </c>
      <c r="I27" s="24">
        <f>IF(Config!$D$11="","",COUNTIFS(Checklist!$A$5:$A$304,"&lt;&gt;",Checklist!$M$5:$M$304,"Sim"))</f>
        <v>63</v>
      </c>
      <c r="J27" s="24">
        <f>IF(Config!$D$11="","",COUNTIFS(Checklist!$A$5:$A$304,"&lt;&gt;",Checklist!$M$5:$M$304,"N/A"))</f>
        <v>0</v>
      </c>
    </row>
    <row r="28" ht="30" customHeight="1">
      <c r="A28" s="28" t="str">
        <f>IF(Config!$B$12="","",Config!$B$12)</f>
        <v>Salas e equipamentos prontos (ECG, MAPA, Holter)</v>
      </c>
      <c r="B28" s="24" t="n"/>
      <c r="C28" s="24">
        <f>IF(Config!$B$12="","",COUNTIFS(Checklist!$A$5:$A$304,"&lt;&gt;",Checklist!$F$5:$F$304,"&lt;&gt;Sim",Checklist!$F$5:$F$304,"&lt;&gt;N/A"))</f>
        <v>1</v>
      </c>
      <c r="D28" s="24">
        <f>IF(Config!$B$12="","",COUNTIFS(Checklist!$A$5:$A$304,"&lt;&gt;",Checklist!$F$5:$F$304,"Sim"))</f>
        <v>72</v>
      </c>
      <c r="E28" s="24">
        <f>IF(Config!$B$12="","",COUNTIFS(Checklist!$A$5:$A$304,"&lt;&gt;",Checklist!$F$5:$F$304,"N/A"))</f>
        <v>0</v>
      </c>
      <c r="F28" s="28" t="str">
        <f>IF(Config!$D$12="","",Config!$D$12)</f>
        <v>Situação de cada horário marcada (realizado, falta, cancelado)</v>
      </c>
      <c r="G28" s="24" t="n"/>
      <c r="H28" s="24">
        <f>IF(Config!$D$12="","",COUNTIFS(Checklist!$A$5:$A$304,"&lt;&gt;",Checklist!$N$5:$N$304,"&lt;&gt;Sim",Checklist!$N$5:$N$304,"&lt;&gt;N/A"))</f>
        <v>5</v>
      </c>
      <c r="I28" s="24">
        <f>IF(Config!$D$12="","",COUNTIFS(Checklist!$A$5:$A$304,"&lt;&gt;",Checklist!$N$5:$N$304,"Sim"))</f>
        <v>68</v>
      </c>
      <c r="J28" s="24">
        <f>IF(Config!$D$12="","",COUNTIFS(Checklist!$A$5:$A$304,"&lt;&gt;",Checklist!$N$5:$N$304,"N/A"))</f>
        <v>0</v>
      </c>
    </row>
    <row r="29" ht="30" customHeight="1">
      <c r="A29" s="28" t="str">
        <f>IF(Config!$B$13="","",Config!$B$13)</f>
        <v>Guias e autorizações de convênio do dia separadas</v>
      </c>
      <c r="B29" s="24" t="n"/>
      <c r="C29" s="24">
        <f>IF(Config!$B$13="","",COUNTIFS(Checklist!$A$5:$A$304,"&lt;&gt;",Checklist!$G$5:$G$304,"&lt;&gt;Sim",Checklist!$G$5:$G$304,"&lt;&gt;N/A"))</f>
        <v>3</v>
      </c>
      <c r="D29" s="24">
        <f>IF(Config!$B$13="","",COUNTIFS(Checklist!$A$5:$A$304,"&lt;&gt;",Checklist!$G$5:$G$304,"Sim"))</f>
        <v>70</v>
      </c>
      <c r="E29" s="24">
        <f>IF(Config!$B$13="","",COUNTIFS(Checklist!$A$5:$A$304,"&lt;&gt;",Checklist!$G$5:$G$304,"N/A"))</f>
        <v>0</v>
      </c>
      <c r="F29" s="28" t="str">
        <f>IF(Config!$D$13="","",Config!$D$13)</f>
        <v>Guias do dia conferidas e guardadas para o lote (13)</v>
      </c>
      <c r="G29" s="24" t="n"/>
      <c r="H29" s="24">
        <f>IF(Config!$D$13="","",COUNTIFS(Checklist!$A$5:$A$304,"&lt;&gt;",Checklist!$O$5:$O$304,"&lt;&gt;Sim",Checklist!$O$5:$O$304,"&lt;&gt;N/A"))</f>
        <v>3</v>
      </c>
      <c r="I29" s="24">
        <f>IF(Config!$D$13="","",COUNTIFS(Checklist!$A$5:$A$304,"&lt;&gt;",Checklist!$O$5:$O$304,"Sim"))</f>
        <v>70</v>
      </c>
      <c r="J29" s="24">
        <f>IF(Config!$D$13="","",COUNTIFS(Checklist!$A$5:$A$304,"&lt;&gt;",Checklist!$O$5:$O$304,"N/A"))</f>
        <v>0</v>
      </c>
    </row>
    <row r="30" ht="30" customHeight="1">
      <c r="A30" s="28" t="str">
        <f>IF(Config!$B$14="","",Config!$B$14)</f>
        <v>Troco e maquininha conferidos</v>
      </c>
      <c r="B30" s="24" t="n"/>
      <c r="C30" s="24">
        <f>IF(Config!$B$14="","",COUNTIFS(Checklist!$A$5:$A$304,"&lt;&gt;",Checklist!$H$5:$H$304,"&lt;&gt;Sim",Checklist!$H$5:$H$304,"&lt;&gt;N/A"))</f>
        <v>4</v>
      </c>
      <c r="D30" s="24">
        <f>IF(Config!$B$14="","",COUNTIFS(Checklist!$A$5:$A$304,"&lt;&gt;",Checklist!$H$5:$H$304,"Sim"))</f>
        <v>69</v>
      </c>
      <c r="E30" s="24">
        <f>IF(Config!$B$14="","",COUNTIFS(Checklist!$A$5:$A$304,"&lt;&gt;",Checklist!$H$5:$H$304,"N/A"))</f>
        <v>0</v>
      </c>
      <c r="F30" s="28" t="str">
        <f>IF(Config!$D$14="","",Config!$D$14)</f>
        <v>Retornos e exames do dia agendados</v>
      </c>
      <c r="G30" s="24" t="n"/>
      <c r="H30" s="24">
        <f>IF(Config!$D$14="","",COUNTIFS(Checklist!$A$5:$A$304,"&lt;&gt;",Checklist!$P$5:$P$304,"&lt;&gt;Sim",Checklist!$P$5:$P$304,"&lt;&gt;N/A"))</f>
        <v>2</v>
      </c>
      <c r="I30" s="24">
        <f>IF(Config!$D$14="","",COUNTIFS(Checklist!$A$5:$A$304,"&lt;&gt;",Checklist!$P$5:$P$304,"Sim"))</f>
        <v>71</v>
      </c>
      <c r="J30" s="24">
        <f>IF(Config!$D$14="","",COUNTIFS(Checklist!$A$5:$A$304,"&lt;&gt;",Checklist!$P$5:$P$304,"N/A"))</f>
        <v>0</v>
      </c>
    </row>
    <row r="31" ht="30" customHeight="1">
      <c r="A31" s="28" t="str">
        <f>IF(Config!$B$15="","",Config!$B$15)</f>
        <v>Orçamentos sem resposta revisados (lista da 15)</v>
      </c>
      <c r="B31" s="24" t="n"/>
      <c r="C31" s="24">
        <f>IF(Config!$B$15="","",COUNTIFS(Checklist!$A$5:$A$304,"&lt;&gt;",Checklist!$I$5:$I$304,"&lt;&gt;Sim",Checklist!$I$5:$I$304,"&lt;&gt;N/A"))</f>
        <v>0</v>
      </c>
      <c r="D31" s="24">
        <f>IF(Config!$B$15="","",COUNTIFS(Checklist!$A$5:$A$304,"&lt;&gt;",Checklist!$I$5:$I$304,"Sim"))</f>
        <v>15</v>
      </c>
      <c r="E31" s="24">
        <f>IF(Config!$B$15="","",COUNTIFS(Checklist!$A$5:$A$304,"&lt;&gt;",Checklist!$I$5:$I$304,"N/A"))</f>
        <v>58</v>
      </c>
      <c r="F31" s="28" t="str">
        <f>IF(Config!$D$15="","",Config!$D$15)</f>
        <v>Agenda de amanhã revisada e confirmações enviadas</v>
      </c>
      <c r="G31" s="24" t="n"/>
      <c r="H31" s="24">
        <f>IF(Config!$D$15="","",COUNTIFS(Checklist!$A$5:$A$304,"&lt;&gt;",Checklist!$Q$5:$Q$304,"&lt;&gt;Sim",Checklist!$Q$5:$Q$304,"&lt;&gt;N/A"))</f>
        <v>3</v>
      </c>
      <c r="I31" s="24">
        <f>IF(Config!$D$15="","",COUNTIFS(Checklist!$A$5:$A$304,"&lt;&gt;",Checklist!$Q$5:$Q$304,"Sim"))</f>
        <v>70</v>
      </c>
      <c r="J31" s="24">
        <f>IF(Config!$D$15="","",COUNTIFS(Checklist!$A$5:$A$304,"&lt;&gt;",Checklist!$Q$5:$Q$304,"N/A"))</f>
        <v>0</v>
      </c>
    </row>
    <row r="32" ht="30" customHeight="1">
      <c r="A32" s="28">
        <f>IF(Config!$B$16="","",Config!$B$16)</f>
        <v/>
      </c>
      <c r="B32" s="24" t="n"/>
      <c r="C32" s="24">
        <f>IF(Config!$B$16="","",COUNTIFS(Checklist!$A$5:$A$304,"&lt;&gt;",Checklist!$J$5:$J$304,"&lt;&gt;Sim",Checklist!$J$5:$J$304,"&lt;&gt;N/A"))</f>
        <v/>
      </c>
      <c r="D32" s="24">
        <f>IF(Config!$B$16="","",COUNTIFS(Checklist!$A$5:$A$304,"&lt;&gt;",Checklist!$J$5:$J$304,"Sim"))</f>
        <v/>
      </c>
      <c r="E32" s="24">
        <f>IF(Config!$B$16="","",COUNTIFS(Checklist!$A$5:$A$304,"&lt;&gt;",Checklist!$J$5:$J$304,"N/A"))</f>
        <v/>
      </c>
      <c r="F32" s="28">
        <f>IF(Config!$D$16="","",Config!$D$16)</f>
        <v/>
      </c>
      <c r="G32" s="24" t="n"/>
      <c r="H32" s="24">
        <f>IF(Config!$D$16="","",COUNTIFS(Checklist!$A$5:$A$304,"&lt;&gt;",Checklist!$R$5:$R$304,"&lt;&gt;Sim",Checklist!$R$5:$R$304,"&lt;&gt;N/A"))</f>
        <v/>
      </c>
      <c r="I32" s="24">
        <f>IF(Config!$D$16="","",COUNTIFS(Checklist!$A$5:$A$304,"&lt;&gt;",Checklist!$R$5:$R$304,"Sim"))</f>
        <v/>
      </c>
      <c r="J32" s="24">
        <f>IF(Config!$D$16="","",COUNTIFS(Checklist!$A$5:$A$304,"&lt;&gt;",Checklist!$R$5:$R$304,"N/A"))</f>
        <v/>
      </c>
    </row>
    <row r="33" ht="30" customHeight="1">
      <c r="A33" s="28">
        <f>IF(Config!$B$17="","",Config!$B$17)</f>
        <v/>
      </c>
      <c r="B33" s="24" t="n"/>
      <c r="C33" s="24">
        <f>IF(Config!$B$17="","",COUNTIFS(Checklist!$A$5:$A$304,"&lt;&gt;",Checklist!$K$5:$K$304,"&lt;&gt;Sim",Checklist!$K$5:$K$304,"&lt;&gt;N/A"))</f>
        <v/>
      </c>
      <c r="D33" s="24">
        <f>IF(Config!$B$17="","",COUNTIFS(Checklist!$A$5:$A$304,"&lt;&gt;",Checklist!$K$5:$K$304,"Sim"))</f>
        <v/>
      </c>
      <c r="E33" s="24">
        <f>IF(Config!$B$17="","",COUNTIFS(Checklist!$A$5:$A$304,"&lt;&gt;",Checklist!$K$5:$K$304,"N/A"))</f>
        <v/>
      </c>
      <c r="F33" s="28">
        <f>IF(Config!$D$17="","",Config!$D$17)</f>
        <v/>
      </c>
      <c r="G33" s="24" t="n"/>
      <c r="H33" s="24">
        <f>IF(Config!$D$17="","",COUNTIFS(Checklist!$A$5:$A$304,"&lt;&gt;",Checklist!$S$5:$S$304,"&lt;&gt;Sim",Checklist!$S$5:$S$304,"&lt;&gt;N/A"))</f>
        <v/>
      </c>
      <c r="I33" s="24">
        <f>IF(Config!$D$17="","",COUNTIFS(Checklist!$A$5:$A$304,"&lt;&gt;",Checklist!$S$5:$S$304,"Sim"))</f>
        <v/>
      </c>
      <c r="J33" s="24">
        <f>IF(Config!$D$17="","",COUNTIFS(Checklist!$A$5:$A$304,"&lt;&gt;",Checklist!$S$5:$S$304,"N/A"))</f>
        <v/>
      </c>
    </row>
    <row r="34"/>
    <row r="35"/>
    <row r="36">
      <c r="A36" s="19" t="inlineStr">
        <is>
          <t>Por dia da semana (todos os dias registrados)</t>
        </is>
      </c>
    </row>
    <row r="37" ht="26" customHeight="1">
      <c r="A37" s="21" t="inlineStr">
        <is>
          <t>Dia</t>
        </is>
      </c>
      <c r="B37" s="23" t="n"/>
      <c r="C37" s="21" t="inlineStr">
        <is>
          <t>Dias</t>
        </is>
      </c>
      <c r="D37" s="21" t="inlineStr">
        <is>
          <t>Com pendência</t>
        </is>
      </c>
      <c r="E37" s="21" t="inlineStr">
        <is>
          <t>Itens pendentes</t>
        </is>
      </c>
      <c r="F37" s="21" t="inlineStr">
        <is>
          <t>Abertura completa</t>
        </is>
      </c>
      <c r="G37" s="21" t="inlineStr">
        <is>
          <t>Fechamento completo</t>
        </is>
      </c>
    </row>
    <row r="38">
      <c r="A38" s="29" t="inlineStr">
        <is>
          <t>Segunda</t>
        </is>
      </c>
      <c r="B38" s="24" t="n"/>
      <c r="C38" s="24">
        <f>COUNTIFS(Checklist!$B$5:$B$304,A38)</f>
        <v>14</v>
      </c>
      <c r="D38" s="24">
        <f>COUNTIFS(Checklist!$B$5:$B$304,A38,Checklist!$X$5:$X$304,"&gt;0")</f>
        <v>3</v>
      </c>
      <c r="E38" s="24">
        <f>SUMIFS(Checklist!$X$5:$X$304,Checklist!$B$5:$B$304,A38)</f>
        <v>5</v>
      </c>
      <c r="F38" s="26">
        <f>IF(C38=0,"",COUNTIFS(Checklist!$B$5:$B$304,A38,Checklist!$V$5:$V$304,0)/C38)</f>
        <v>0.928571428571429</v>
      </c>
      <c r="G38" s="26">
        <f>IF(C38=0,"",COUNTIFS(Checklist!$B$5:$B$304,A38,Checklist!$W$5:$W$304,0)/C38)</f>
        <v>0.857142857142857</v>
      </c>
    </row>
    <row r="39">
      <c r="A39" s="29" t="inlineStr">
        <is>
          <t>Terça</t>
        </is>
      </c>
      <c r="B39" s="24" t="n"/>
      <c r="C39" s="24">
        <f>COUNTIFS(Checklist!$B$5:$B$304,A39)</f>
        <v>15</v>
      </c>
      <c r="D39" s="24">
        <f>COUNTIFS(Checklist!$B$5:$B$304,A39,Checklist!$X$5:$X$304,"&gt;0")</f>
        <v>6</v>
      </c>
      <c r="E39" s="24">
        <f>SUMIFS(Checklist!$X$5:$X$304,Checklist!$B$5:$B$304,A39)</f>
        <v>11</v>
      </c>
      <c r="F39" s="26">
        <f>IF(C39=0,"",COUNTIFS(Checklist!$B$5:$B$304,A39,Checklist!$V$5:$V$304,0)/C39)</f>
        <v>0.866666666666667</v>
      </c>
      <c r="G39" s="26">
        <f>IF(C39=0,"",COUNTIFS(Checklist!$B$5:$B$304,A39,Checklist!$W$5:$W$304,0)/C39)</f>
        <v>0.6</v>
      </c>
    </row>
    <row r="40">
      <c r="A40" s="29" t="inlineStr">
        <is>
          <t>Quarta</t>
        </is>
      </c>
      <c r="B40" s="24" t="n"/>
      <c r="C40" s="24">
        <f>COUNTIFS(Checklist!$B$5:$B$304,A40)</f>
        <v>15</v>
      </c>
      <c r="D40" s="24">
        <f>COUNTIFS(Checklist!$B$5:$B$304,A40,Checklist!$X$5:$X$304,"&gt;0")</f>
        <v>7</v>
      </c>
      <c r="E40" s="24">
        <f>SUMIFS(Checklist!$X$5:$X$304,Checklist!$B$5:$B$304,A40)</f>
        <v>8</v>
      </c>
      <c r="F40" s="26">
        <f>IF(C40=0,"",COUNTIFS(Checklist!$B$5:$B$304,A40,Checklist!$V$5:$V$304,0)/C40)</f>
        <v>0.866666666666667</v>
      </c>
      <c r="G40" s="26">
        <f>IF(C40=0,"",COUNTIFS(Checklist!$B$5:$B$304,A40,Checklist!$W$5:$W$304,0)/C40)</f>
        <v>0.666666666666667</v>
      </c>
    </row>
    <row r="41">
      <c r="A41" s="29" t="inlineStr">
        <is>
          <t>Quinta</t>
        </is>
      </c>
      <c r="B41" s="24" t="n"/>
      <c r="C41" s="24">
        <f>COUNTIFS(Checklist!$B$5:$B$304,A41)</f>
        <v>14</v>
      </c>
      <c r="D41" s="24">
        <f>COUNTIFS(Checklist!$B$5:$B$304,A41,Checklist!$X$5:$X$304,"&gt;0")</f>
        <v>7</v>
      </c>
      <c r="E41" s="24">
        <f>SUMIFS(Checklist!$X$5:$X$304,Checklist!$B$5:$B$304,A41)</f>
        <v>10</v>
      </c>
      <c r="F41" s="26">
        <f>IF(C41=0,"",COUNTIFS(Checklist!$B$5:$B$304,A41,Checklist!$V$5:$V$304,0)/C41)</f>
        <v>0.571428571428571</v>
      </c>
      <c r="G41" s="26">
        <f>IF(C41=0,"",COUNTIFS(Checklist!$B$5:$B$304,A41,Checklist!$W$5:$W$304,0)/C41)</f>
        <v>0.714285714285714</v>
      </c>
    </row>
    <row r="42">
      <c r="A42" s="29" t="inlineStr">
        <is>
          <t>Sexta</t>
        </is>
      </c>
      <c r="B42" s="24" t="n"/>
      <c r="C42" s="24">
        <f>COUNTIFS(Checklist!$B$5:$B$304,A42)</f>
        <v>15</v>
      </c>
      <c r="D42" s="24">
        <f>COUNTIFS(Checklist!$B$5:$B$304,A42,Checklist!$X$5:$X$304,"&gt;0")</f>
        <v>9</v>
      </c>
      <c r="E42" s="24">
        <f>SUMIFS(Checklist!$X$5:$X$304,Checklist!$B$5:$B$304,A42)</f>
        <v>12</v>
      </c>
      <c r="F42" s="26">
        <f>IF(C42=0,"",COUNTIFS(Checklist!$B$5:$B$304,A42,Checklist!$V$5:$V$304,0)/C42)</f>
        <v>0.8</v>
      </c>
      <c r="G42" s="26">
        <f>IF(C42=0,"",COUNTIFS(Checklist!$B$5:$B$304,A42,Checklist!$W$5:$W$304,0)/C42)</f>
        <v>0.466666666666667</v>
      </c>
    </row>
    <row r="43">
      <c r="A43" s="29" t="inlineStr">
        <is>
          <t>Sábado</t>
        </is>
      </c>
      <c r="B43" s="24" t="n"/>
      <c r="C43" s="24">
        <f>COUNTIFS(Checklist!$B$5:$B$304,A43)</f>
        <v>0</v>
      </c>
      <c r="D43" s="24">
        <f>COUNTIFS(Checklist!$B$5:$B$304,A43,Checklist!$X$5:$X$304,"&gt;0")</f>
        <v>0</v>
      </c>
      <c r="E43" s="24">
        <f>SUMIFS(Checklist!$X$5:$X$304,Checklist!$B$5:$B$304,A43)</f>
        <v>0</v>
      </c>
      <c r="F43" s="26">
        <f>IF(C43=0,"",COUNTIFS(Checklist!$B$5:$B$304,A43,Checklist!$V$5:$V$304,0)/C43)</f>
        <v/>
      </c>
      <c r="G43" s="26">
        <f>IF(C43=0,"",COUNTIFS(Checklist!$B$5:$B$304,A43,Checklist!$W$5:$W$304,0)/C43)</f>
        <v/>
      </c>
    </row>
    <row r="44"/>
    <row r="45">
      <c r="A45" s="20" t="inlineStr">
        <is>
          <t>Fechamento do dia sem o caixa conferido é a origem da maior parte das diferenças no extrato. Se um item pende sempre no mesmo dia da semana, mude a rotina desse dia, não a pessoa.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6">
    <mergeCell ref="A30:B30"/>
    <mergeCell ref="A23:J23"/>
    <mergeCell ref="A8:J8"/>
    <mergeCell ref="F29:G29"/>
    <mergeCell ref="F25:G25"/>
    <mergeCell ref="C5:D5"/>
    <mergeCell ref="E5:F5"/>
    <mergeCell ref="H17:J17"/>
    <mergeCell ref="H11:J11"/>
    <mergeCell ref="C4:D4"/>
    <mergeCell ref="H16:J16"/>
    <mergeCell ref="E4:F4"/>
    <mergeCell ref="F30:G30"/>
    <mergeCell ref="A25:B25"/>
    <mergeCell ref="A41:B41"/>
    <mergeCell ref="H13:J13"/>
    <mergeCell ref="H19:J19"/>
    <mergeCell ref="F33:G33"/>
    <mergeCell ref="A37:B37"/>
    <mergeCell ref="H12:J12"/>
    <mergeCell ref="A24:J24"/>
    <mergeCell ref="F32:G32"/>
    <mergeCell ref="F26:G26"/>
    <mergeCell ref="A27:B27"/>
    <mergeCell ref="H15:J15"/>
    <mergeCell ref="A1:J1"/>
    <mergeCell ref="A26:B26"/>
    <mergeCell ref="A45:J45"/>
    <mergeCell ref="A36:J36"/>
    <mergeCell ref="H18:J18"/>
    <mergeCell ref="H14:J14"/>
    <mergeCell ref="A33:B33"/>
    <mergeCell ref="A5:B5"/>
    <mergeCell ref="G5:H5"/>
    <mergeCell ref="F31:G31"/>
    <mergeCell ref="A32:B32"/>
    <mergeCell ref="I5:J5"/>
    <mergeCell ref="F28:G28"/>
    <mergeCell ref="A42:B42"/>
    <mergeCell ref="A7:J7"/>
    <mergeCell ref="F27:G27"/>
    <mergeCell ref="H20:J20"/>
    <mergeCell ref="A4:B4"/>
    <mergeCell ref="G4:H4"/>
    <mergeCell ref="A38:B38"/>
    <mergeCell ref="I4:J4"/>
    <mergeCell ref="H10:J10"/>
    <mergeCell ref="A29:B29"/>
    <mergeCell ref="A43:B43"/>
    <mergeCell ref="A28:B28"/>
    <mergeCell ref="H9:J9"/>
    <mergeCell ref="A39:B39"/>
    <mergeCell ref="A2:J2"/>
    <mergeCell ref="A31:B31"/>
    <mergeCell ref="H21:J21"/>
    <mergeCell ref="A40:B40"/>
  </mergeCells>
  <conditionalFormatting sqref="G10:G21">
    <cfRule type="expression" priority="1" dxfId="0">
      <formula>AND(ISNUMBER(G10),G10&gt;0)</formula>
    </cfRule>
  </conditionalFormatting>
  <conditionalFormatting sqref="C26:C33">
    <cfRule type="expression" priority="2" dxfId="0">
      <formula>AND(ISNUMBER(C26),C26&gt;0)</formula>
    </cfRule>
  </conditionalFormatting>
  <conditionalFormatting sqref="H26:H33">
    <cfRule type="expression" priority="3" dxfId="0">
      <formula>AND(ISNUMBER(H26),H26&gt;0)</formula>
    </cfRule>
  </conditionalFormatting>
  <conditionalFormatting sqref="A38:G43">
    <cfRule type="expression" priority="4" dxfId="1">
      <formula>$C38=0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4" customWidth="1" min="3" max="3"/>
    <col width="52" customWidth="1" min="4" max="4"/>
    <col width="4" customWidth="1" min="5" max="5"/>
    <col width="22" customWidth="1" min="6" max="6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Os itens cadastrados aqui viram as colunas da aba Checklist.</t>
        </is>
      </c>
    </row>
    <row r="4">
      <c r="A4" s="30" t="inlineStr">
        <is>
          <t>Clínica</t>
        </is>
      </c>
      <c r="B4" s="31" t="inlineStr">
        <is>
          <t>Clínica Vida Plena (exemplo fictício)</t>
        </is>
      </c>
    </row>
    <row r="5">
      <c r="A5" s="30" t="inlineStr">
        <is>
          <t>Data de referência (hoje)</t>
        </is>
      </c>
      <c r="B5" s="32" t="n">
        <v>46279</v>
      </c>
      <c r="C5" s="20" t="inlineStr">
        <is>
          <t>O exemplo está congelado em 14/09/2026, para os arquivos do kit mostrarem a mesma foto. Ao usar com os seus dados, troque por =HOJE().</t>
        </is>
      </c>
    </row>
    <row r="6">
      <c r="A6" s="30" t="inlineStr">
        <is>
          <t>Painel: olhar os últimos (dias registrados)</t>
        </is>
      </c>
      <c r="B6" s="33" t="n">
        <v>20</v>
      </c>
    </row>
    <row r="9">
      <c r="A9" s="30" t="inlineStr">
        <is>
          <t>Itens de abertura (até 8)</t>
        </is>
      </c>
      <c r="D9" s="30" t="inlineStr">
        <is>
          <t>Itens de fechamento (até 8)</t>
        </is>
      </c>
      <c r="F9" s="30" t="inlineStr">
        <is>
          <t>Responsáveis (até 10)</t>
        </is>
      </c>
    </row>
    <row r="10">
      <c r="B10" s="31" t="inlineStr">
        <is>
          <t>Agenda do dia confirmada (mensagens de véspera respondidas)</t>
        </is>
      </c>
      <c r="D10" s="31" t="inlineStr">
        <is>
          <t>Caixa do dia fechado e conferido (Pix, cartão, dinheiro)</t>
        </is>
      </c>
      <c r="F10" s="31" t="inlineStr">
        <is>
          <t>Bruna Carvalho</t>
        </is>
      </c>
    </row>
    <row r="11">
      <c r="B11" s="31" t="inlineStr">
        <is>
          <t>Faltas e cancelamentos de ontem registrados na agenda</t>
        </is>
      </c>
      <c r="D11" s="31" t="inlineStr">
        <is>
          <t>Fechamento do dia lançado no Caixa (09)</t>
        </is>
      </c>
      <c r="F11" s="31" t="inlineStr">
        <is>
          <t>Dra. Carolina Mendes</t>
        </is>
      </c>
    </row>
    <row r="12">
      <c r="B12" s="31" t="inlineStr">
        <is>
          <t>Salas e equipamentos prontos (ECG, MAPA, Holter)</t>
        </is>
      </c>
      <c r="D12" s="31" t="inlineStr">
        <is>
          <t>Situação de cada horário marcada (realizado, falta, cancelado)</t>
        </is>
      </c>
      <c r="F12" s="31" t="inlineStr">
        <is>
          <t>Dr. Paulo Andrade</t>
        </is>
      </c>
    </row>
    <row r="13">
      <c r="B13" s="31" t="inlineStr">
        <is>
          <t>Guias e autorizações de convênio do dia separadas</t>
        </is>
      </c>
      <c r="D13" s="31" t="inlineStr">
        <is>
          <t>Guias do dia conferidas e guardadas para o lote (13)</t>
        </is>
      </c>
      <c r="F13" s="31" t="n"/>
    </row>
    <row r="14">
      <c r="B14" s="31" t="inlineStr">
        <is>
          <t>Troco e maquininha conferidos</t>
        </is>
      </c>
      <c r="D14" s="31" t="inlineStr">
        <is>
          <t>Retornos e exames do dia agendados</t>
        </is>
      </c>
      <c r="F14" s="31" t="n"/>
    </row>
    <row r="15">
      <c r="B15" s="31" t="inlineStr">
        <is>
          <t>Orçamentos sem resposta revisados (lista da 15)</t>
        </is>
      </c>
      <c r="D15" s="31" t="inlineStr">
        <is>
          <t>Agenda de amanhã revisada e confirmações enviadas</t>
        </is>
      </c>
      <c r="F15" s="31" t="n"/>
    </row>
    <row r="16">
      <c r="B16" s="31" t="n"/>
      <c r="D16" s="31" t="n"/>
      <c r="F16" s="31" t="n"/>
    </row>
    <row r="17">
      <c r="B17" s="31" t="n"/>
      <c r="D17" s="31" t="n"/>
      <c r="F17" s="31" t="n"/>
    </row>
    <row r="18">
      <c r="F18" s="31" t="n"/>
    </row>
    <row r="19">
      <c r="A19" s="30" t="inlineStr">
        <is>
          <t>Itens cadastrados</t>
        </is>
      </c>
      <c r="B19" s="24">
        <f>COUNTA($B$10:$B$17)</f>
        <v>6</v>
      </c>
      <c r="D19" s="24">
        <f>COUNTA($D$10:$D$17)</f>
        <v>6</v>
      </c>
      <c r="F19" s="31" t="n"/>
    </row>
    <row r="21">
      <c r="A21" s="20" t="inlineStr">
        <is>
          <t>Preencha de cima para baixo, sem pular linha: as listas param na última linha preenchida e os itens vazios não contam no percentual.</t>
        </is>
      </c>
    </row>
    <row r="22">
      <c r="A22" s="20" t="inlineStr">
        <is>
          <t>Os itens são administrativos (o que precisa estar em ordem para o dia começar e terminar sem pendência). Nada clínico aqui. Ajuste ao jeito da clínica.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  <col width="12" customWidth="1" min="21" max="21"/>
    <col width="11" customWidth="1" min="22" max="22"/>
    <col width="12" customWidth="1" min="23" max="23"/>
    <col width="11" customWidth="1" min="24" max="24"/>
    <col width="60" customWidth="1" min="25" max="25"/>
    <col hidden="1" width="8" customWidth="1" min="26" max="26"/>
    <col hidden="1" width="6" customWidth="1" min="27" max="27"/>
    <col hidden="1" width="6" customWidth="1" min="28" max="28"/>
  </cols>
  <sheetData>
    <row r="1" ht="28" customHeight="1">
      <c r="A1" s="5" t="inlineStr">
        <is>
          <t>Checklist por dia</t>
        </is>
      </c>
    </row>
    <row r="2">
      <c r="A2" s="6" t="inlineStr">
        <is>
          <t>Uma linha por dia de atendimento. Em cada item marque Sim, Não ou N/A (não se aplica). Vazio conta como pendente. Quem fecha o dia é a recepção; quem confere é o sócio da semana.</t>
        </is>
      </c>
    </row>
    <row r="3">
      <c r="D3" s="34" t="inlineStr">
        <is>
          <t>Abertura</t>
        </is>
      </c>
      <c r="L3" s="34" t="inlineStr">
        <is>
          <t>Fechamento</t>
        </is>
      </c>
    </row>
    <row r="4" ht="72" customHeight="1">
      <c r="A4" s="21" t="inlineStr">
        <is>
          <t>Data</t>
        </is>
      </c>
      <c r="B4" s="21" t="inlineStr">
        <is>
          <t>Dia da semana</t>
        </is>
      </c>
      <c r="C4" s="21" t="inlineStr">
        <is>
          <t>Responsável</t>
        </is>
      </c>
      <c r="D4" s="35" t="str">
        <f>IF(Config!$B$10="","",Config!$B$10)</f>
        <v>Agenda do dia confirmada (mensagens de véspera respondidas)</v>
      </c>
      <c r="E4" s="35" t="str">
        <f>IF(Config!$B$11="","",Config!$B$11)</f>
        <v>Faltas e cancelamentos de ontem registrados na agenda</v>
      </c>
      <c r="F4" s="35" t="str">
        <f>IF(Config!$B$12="","",Config!$B$12)</f>
        <v>Salas e equipamentos prontos (ECG, MAPA, Holter)</v>
      </c>
      <c r="G4" s="35" t="str">
        <f>IF(Config!$B$13="","",Config!$B$13)</f>
        <v>Guias e autorizações de convênio do dia separadas</v>
      </c>
      <c r="H4" s="35" t="str">
        <f>IF(Config!$B$14="","",Config!$B$14)</f>
        <v>Troco e maquininha conferidos</v>
      </c>
      <c r="I4" s="35" t="str">
        <f>IF(Config!$B$15="","",Config!$B$15)</f>
        <v>Orçamentos sem resposta revisados (lista da 15)</v>
      </c>
      <c r="J4" s="35">
        <f>IF(Config!$B$16="","",Config!$B$16)</f>
        <v/>
      </c>
      <c r="K4" s="35">
        <f>IF(Config!$B$17="","",Config!$B$17)</f>
        <v/>
      </c>
      <c r="L4" s="36" t="str">
        <f>IF(Config!$D$10="","",Config!$D$10)</f>
        <v>Caixa do dia fechado e conferido (Pix, cartão, dinheiro)</v>
      </c>
      <c r="M4" s="36" t="str">
        <f>IF(Config!$D$11="","",Config!$D$11)</f>
        <v>Fechamento do dia lançado no Caixa (09)</v>
      </c>
      <c r="N4" s="36" t="str">
        <f>IF(Config!$D$12="","",Config!$D$12)</f>
        <v>Situação de cada horário marcada (realizado, falta, cancelado)</v>
      </c>
      <c r="O4" s="36" t="str">
        <f>IF(Config!$D$13="","",Config!$D$13)</f>
        <v>Guias do dia conferidas e guardadas para o lote (13)</v>
      </c>
      <c r="P4" s="36" t="str">
        <f>IF(Config!$D$14="","",Config!$D$14)</f>
        <v>Retornos e exames do dia agendados</v>
      </c>
      <c r="Q4" s="36" t="str">
        <f>IF(Config!$D$15="","",Config!$D$15)</f>
        <v>Agenda de amanhã revisada e confirmações enviadas</v>
      </c>
      <c r="R4" s="36">
        <f>IF(Config!$D$16="","",Config!$D$16)</f>
        <v/>
      </c>
      <c r="S4" s="36">
        <f>IF(Config!$D$17="","",Config!$D$17)</f>
        <v/>
      </c>
      <c r="T4" s="21" t="inlineStr">
        <is>
          <t>% abertura</t>
        </is>
      </c>
      <c r="U4" s="21" t="inlineStr">
        <is>
          <t>% fechamento</t>
        </is>
      </c>
      <c r="V4" s="21" t="inlineStr">
        <is>
          <t>Pendências de abertura</t>
        </is>
      </c>
      <c r="W4" s="21" t="inlineStr">
        <is>
          <t>Pendências de fechamento</t>
        </is>
      </c>
      <c r="X4" s="21" t="inlineStr">
        <is>
          <t>Pendências</t>
        </is>
      </c>
      <c r="Y4" s="21" t="inlineStr">
        <is>
          <t>O que faltou</t>
        </is>
      </c>
      <c r="Z4" s="21" t="inlineStr">
        <is>
          <t>Chave</t>
        </is>
      </c>
      <c r="AA4" s="21" t="inlineStr">
        <is>
          <t>Auxiliar</t>
        </is>
      </c>
    </row>
    <row r="5">
      <c r="A5" s="37" t="n">
        <v>46174</v>
      </c>
      <c r="B5" s="24" t="str">
        <f>IF(A5="","",CHOOSE(WEEKDAY(A5,2),"Segunda","Terça","Quarta","Quinta","Sexta","Sábado","Domingo"))</f>
        <v>Segunda</v>
      </c>
      <c r="C5" s="38" t="inlineStr">
        <is>
          <t>Bruna Carvalho</t>
        </is>
      </c>
      <c r="D5" s="38" t="inlineStr">
        <is>
          <t>Sim</t>
        </is>
      </c>
      <c r="E5" s="38" t="inlineStr">
        <is>
          <t>Sim</t>
        </is>
      </c>
      <c r="F5" s="38" t="inlineStr">
        <is>
          <t>Sim</t>
        </is>
      </c>
      <c r="G5" s="38" t="inlineStr">
        <is>
          <t>Sim</t>
        </is>
      </c>
      <c r="H5" s="38" t="inlineStr">
        <is>
          <t>Sim</t>
        </is>
      </c>
      <c r="I5" s="38" t="inlineStr">
        <is>
          <t>N/A</t>
        </is>
      </c>
      <c r="J5" s="38" t="n"/>
      <c r="K5" s="38" t="n"/>
      <c r="L5" s="38" t="inlineStr">
        <is>
          <t>Sim</t>
        </is>
      </c>
      <c r="M5" s="38" t="inlineStr">
        <is>
          <t>Sim</t>
        </is>
      </c>
      <c r="N5" s="38" t="inlineStr">
        <is>
          <t>Sim</t>
        </is>
      </c>
      <c r="O5" s="38" t="inlineStr">
        <is>
          <t>Sim</t>
        </is>
      </c>
      <c r="P5" s="38" t="inlineStr">
        <is>
          <t>Sim</t>
        </is>
      </c>
      <c r="Q5" s="38" t="inlineStr">
        <is>
          <t>Sim</t>
        </is>
      </c>
      <c r="R5" s="38" t="n"/>
      <c r="S5" s="38" t="n"/>
      <c r="T5" s="26">
        <f>IF(A5="","",IFERROR(COUNTIF(D5:K5,"Sim")/(Config!$B$19-COUNTIF(D5:K5,"N/A")),""))</f>
        <v>1</v>
      </c>
      <c r="U5" s="26">
        <f>IF(A5="","",IFERROR(COUNTIF(L5:S5,"Sim")/(Config!$D$19-COUNTIF(L5:S5,"N/A")),""))</f>
        <v>1</v>
      </c>
      <c r="V5" s="24">
        <f>IF(A5="","",MAX(0,Config!$B$19-COUNTIF(D5:K5,"Sim")-COUNTIF(D5:K5,"N/A")))</f>
        <v>0</v>
      </c>
      <c r="W5" s="24">
        <f>IF(A5="","",MAX(0,Config!$D$19-COUNTIF(L5:S5,"Sim")-COUNTIF(L5:S5,"N/A")))</f>
        <v>0</v>
      </c>
      <c r="X5" s="24">
        <f>IF(A5="","",V5+W5)</f>
        <v>0</v>
      </c>
      <c r="Y5" s="29">
        <f>IF(OR(A5="",AA5=""),"",LEFT(AA5,LEN(AA5)-2))</f>
        <v/>
      </c>
      <c r="Z5" s="39">
        <f>IF(OR(A5="",X5=0),0,X5*100000+A5/100000)</f>
        <v>0</v>
      </c>
      <c r="AA5" s="39">
        <f>IF(A5="","",IF(AND(Config!$B$10&lt;&gt;"",D5&lt;&gt;"Sim",D5&lt;&gt;"N/A"),Config!$B$10&amp;"; ","")&amp;IF(AND(Config!$B$11&lt;&gt;"",E5&lt;&gt;"Sim",E5&lt;&gt;"N/A"),Config!$B$11&amp;"; ","")&amp;IF(AND(Config!$B$12&lt;&gt;"",F5&lt;&gt;"Sim",F5&lt;&gt;"N/A"),Config!$B$12&amp;"; ","")&amp;IF(AND(Config!$B$13&lt;&gt;"",G5&lt;&gt;"Sim",G5&lt;&gt;"N/A"),Config!$B$13&amp;"; ","")&amp;IF(AND(Config!$B$14&lt;&gt;"",H5&lt;&gt;"Sim",H5&lt;&gt;"N/A"),Config!$B$14&amp;"; ","")&amp;IF(AND(Config!$B$15&lt;&gt;"",I5&lt;&gt;"Sim",I5&lt;&gt;"N/A"),Config!$B$15&amp;"; ","")&amp;IF(AND(Config!$B$16&lt;&gt;"",J5&lt;&gt;"Sim",J5&lt;&gt;"N/A"),Config!$B$16&amp;"; ","")&amp;IF(AND(Config!$B$17&lt;&gt;"",K5&lt;&gt;"Sim",K5&lt;&gt;"N/A"),Config!$B$17&amp;"; ","")&amp;IF(AND(Config!$D$10&lt;&gt;"",L5&lt;&gt;"Sim",L5&lt;&gt;"N/A"),Config!$D$10&amp;"; ","")&amp;IF(AND(Config!$D$11&lt;&gt;"",M5&lt;&gt;"Sim",M5&lt;&gt;"N/A"),Config!$D$11&amp;"; ","")&amp;IF(AND(Config!$D$12&lt;&gt;"",N5&lt;&gt;"Sim",N5&lt;&gt;"N/A"),Config!$D$12&amp;"; ","")&amp;IF(AND(Config!$D$13&lt;&gt;"",O5&lt;&gt;"Sim",O5&lt;&gt;"N/A"),Config!$D$13&amp;"; ","")&amp;IF(AND(Config!$D$14&lt;&gt;"",P5&lt;&gt;"Sim",P5&lt;&gt;"N/A"),Config!$D$14&amp;"; ","")&amp;IF(AND(Config!$D$15&lt;&gt;"",Q5&lt;&gt;"Sim",Q5&lt;&gt;"N/A"),Config!$D$15&amp;"; ","")&amp;IF(AND(Config!$D$16&lt;&gt;"",R5&lt;&gt;"Sim",R5&lt;&gt;"N/A"),Config!$D$16&amp;"; ","")&amp;IF(AND(Config!$D$17&lt;&gt;"",S5&lt;&gt;"Sim",S5&lt;&gt;"N/A"),Config!$D$17&amp;"; ",""))</f>
        <v/>
      </c>
      <c r="AB5" s="39">
        <f>IF(A5="",0,COUNTIF($A$5:$A$304,"&gt;"&amp;A5)+1)</f>
        <v>73</v>
      </c>
    </row>
    <row r="6">
      <c r="A6" s="37" t="n">
        <v>46175</v>
      </c>
      <c r="B6" s="24" t="str">
        <f>IF(A6="","",CHOOSE(WEEKDAY(A6,2),"Segunda","Terça","Quarta","Quinta","Sexta","Sábado","Domingo"))</f>
        <v>Terça</v>
      </c>
      <c r="C6" s="38" t="inlineStr">
        <is>
          <t>Bruna Carvalho</t>
        </is>
      </c>
      <c r="D6" s="38" t="inlineStr">
        <is>
          <t>Sim</t>
        </is>
      </c>
      <c r="E6" s="38" t="inlineStr">
        <is>
          <t>Sim</t>
        </is>
      </c>
      <c r="F6" s="38" t="inlineStr">
        <is>
          <t>Sim</t>
        </is>
      </c>
      <c r="G6" s="38" t="inlineStr">
        <is>
          <t>Sim</t>
        </is>
      </c>
      <c r="H6" s="38" t="inlineStr">
        <is>
          <t>Sim</t>
        </is>
      </c>
      <c r="I6" s="38" t="inlineStr">
        <is>
          <t>N/A</t>
        </is>
      </c>
      <c r="J6" s="38" t="n"/>
      <c r="K6" s="38" t="n"/>
      <c r="L6" s="38" t="inlineStr">
        <is>
          <t>Sim</t>
        </is>
      </c>
      <c r="M6" s="38" t="inlineStr">
        <is>
          <t>Sim</t>
        </is>
      </c>
      <c r="N6" s="38" t="inlineStr">
        <is>
          <t>Sim</t>
        </is>
      </c>
      <c r="O6" s="38" t="inlineStr">
        <is>
          <t>Sim</t>
        </is>
      </c>
      <c r="P6" s="38" t="inlineStr">
        <is>
          <t>Sim</t>
        </is>
      </c>
      <c r="Q6" s="38" t="inlineStr">
        <is>
          <t>Sim</t>
        </is>
      </c>
      <c r="R6" s="38" t="n"/>
      <c r="S6" s="38" t="n"/>
      <c r="T6" s="26">
        <f>IF(A6="","",IFERROR(COUNTIF(D6:K6,"Sim")/(Config!$B$19-COUNTIF(D6:K6,"N/A")),""))</f>
        <v>1</v>
      </c>
      <c r="U6" s="26">
        <f>IF(A6="","",IFERROR(COUNTIF(L6:S6,"Sim")/(Config!$D$19-COUNTIF(L6:S6,"N/A")),""))</f>
        <v>1</v>
      </c>
      <c r="V6" s="24">
        <f>IF(A6="","",MAX(0,Config!$B$19-COUNTIF(D6:K6,"Sim")-COUNTIF(D6:K6,"N/A")))</f>
        <v>0</v>
      </c>
      <c r="W6" s="24">
        <f>IF(A6="","",MAX(0,Config!$D$19-COUNTIF(L6:S6,"Sim")-COUNTIF(L6:S6,"N/A")))</f>
        <v>0</v>
      </c>
      <c r="X6" s="24">
        <f>IF(A6="","",V6+W6)</f>
        <v>0</v>
      </c>
      <c r="Y6" s="29">
        <f>IF(OR(A6="",AA6=""),"",LEFT(AA6,LEN(AA6)-2))</f>
        <v/>
      </c>
      <c r="Z6" s="39">
        <f>IF(OR(A6="",X6=0),0,X6*100000+A6/100000)</f>
        <v>0</v>
      </c>
      <c r="AA6" s="39">
        <f>IF(A6="","",IF(AND(Config!$B$10&lt;&gt;"",D6&lt;&gt;"Sim",D6&lt;&gt;"N/A"),Config!$B$10&amp;"; ","")&amp;IF(AND(Config!$B$11&lt;&gt;"",E6&lt;&gt;"Sim",E6&lt;&gt;"N/A"),Config!$B$11&amp;"; ","")&amp;IF(AND(Config!$B$12&lt;&gt;"",F6&lt;&gt;"Sim",F6&lt;&gt;"N/A"),Config!$B$12&amp;"; ","")&amp;IF(AND(Config!$B$13&lt;&gt;"",G6&lt;&gt;"Sim",G6&lt;&gt;"N/A"),Config!$B$13&amp;"; ","")&amp;IF(AND(Config!$B$14&lt;&gt;"",H6&lt;&gt;"Sim",H6&lt;&gt;"N/A"),Config!$B$14&amp;"; ","")&amp;IF(AND(Config!$B$15&lt;&gt;"",I6&lt;&gt;"Sim",I6&lt;&gt;"N/A"),Config!$B$15&amp;"; ","")&amp;IF(AND(Config!$B$16&lt;&gt;"",J6&lt;&gt;"Sim",J6&lt;&gt;"N/A"),Config!$B$16&amp;"; ","")&amp;IF(AND(Config!$B$17&lt;&gt;"",K6&lt;&gt;"Sim",K6&lt;&gt;"N/A"),Config!$B$17&amp;"; ","")&amp;IF(AND(Config!$D$10&lt;&gt;"",L6&lt;&gt;"Sim",L6&lt;&gt;"N/A"),Config!$D$10&amp;"; ","")&amp;IF(AND(Config!$D$11&lt;&gt;"",M6&lt;&gt;"Sim",M6&lt;&gt;"N/A"),Config!$D$11&amp;"; ","")&amp;IF(AND(Config!$D$12&lt;&gt;"",N6&lt;&gt;"Sim",N6&lt;&gt;"N/A"),Config!$D$12&amp;"; ","")&amp;IF(AND(Config!$D$13&lt;&gt;"",O6&lt;&gt;"Sim",O6&lt;&gt;"N/A"),Config!$D$13&amp;"; ","")&amp;IF(AND(Config!$D$14&lt;&gt;"",P6&lt;&gt;"Sim",P6&lt;&gt;"N/A"),Config!$D$14&amp;"; ","")&amp;IF(AND(Config!$D$15&lt;&gt;"",Q6&lt;&gt;"Sim",Q6&lt;&gt;"N/A"),Config!$D$15&amp;"; ","")&amp;IF(AND(Config!$D$16&lt;&gt;"",R6&lt;&gt;"Sim",R6&lt;&gt;"N/A"),Config!$D$16&amp;"; ","")&amp;IF(AND(Config!$D$17&lt;&gt;"",S6&lt;&gt;"Sim",S6&lt;&gt;"N/A"),Config!$D$17&amp;"; ",""))</f>
        <v/>
      </c>
      <c r="AB6" s="39">
        <f>IF(A6="",0,COUNTIF($A$5:$A$304,"&gt;"&amp;A6)+1)</f>
        <v>72</v>
      </c>
    </row>
    <row r="7">
      <c r="A7" s="37" t="n">
        <v>46176</v>
      </c>
      <c r="B7" s="24" t="str">
        <f>IF(A7="","",CHOOSE(WEEKDAY(A7,2),"Segunda","Terça","Quarta","Quinta","Sexta","Sábado","Domingo"))</f>
        <v>Quarta</v>
      </c>
      <c r="C7" s="38" t="inlineStr">
        <is>
          <t>Bruna Carvalho</t>
        </is>
      </c>
      <c r="D7" s="38" t="inlineStr">
        <is>
          <t>Sim</t>
        </is>
      </c>
      <c r="E7" s="38" t="inlineStr">
        <is>
          <t>Sim</t>
        </is>
      </c>
      <c r="F7" s="38" t="inlineStr">
        <is>
          <t>Sim</t>
        </is>
      </c>
      <c r="G7" s="38" t="inlineStr">
        <is>
          <t>Sim</t>
        </is>
      </c>
      <c r="H7" s="38" t="inlineStr">
        <is>
          <t>Sim</t>
        </is>
      </c>
      <c r="I7" s="38" t="inlineStr">
        <is>
          <t>N/A</t>
        </is>
      </c>
      <c r="J7" s="38" t="n"/>
      <c r="K7" s="38" t="n"/>
      <c r="L7" s="38" t="inlineStr">
        <is>
          <t>Sim</t>
        </is>
      </c>
      <c r="M7" s="38" t="inlineStr">
        <is>
          <t>Sim</t>
        </is>
      </c>
      <c r="N7" s="38" t="inlineStr">
        <is>
          <t>Sim</t>
        </is>
      </c>
      <c r="O7" s="38" t="inlineStr">
        <is>
          <t>Sim</t>
        </is>
      </c>
      <c r="P7" s="38" t="inlineStr">
        <is>
          <t>Sim</t>
        </is>
      </c>
      <c r="Q7" s="38" t="inlineStr">
        <is>
          <t>Sim</t>
        </is>
      </c>
      <c r="R7" s="38" t="n"/>
      <c r="S7" s="38" t="n"/>
      <c r="T7" s="26">
        <f>IF(A7="","",IFERROR(COUNTIF(D7:K7,"Sim")/(Config!$B$19-COUNTIF(D7:K7,"N/A")),""))</f>
        <v>1</v>
      </c>
      <c r="U7" s="26">
        <f>IF(A7="","",IFERROR(COUNTIF(L7:S7,"Sim")/(Config!$D$19-COUNTIF(L7:S7,"N/A")),""))</f>
        <v>1</v>
      </c>
      <c r="V7" s="24">
        <f>IF(A7="","",MAX(0,Config!$B$19-COUNTIF(D7:K7,"Sim")-COUNTIF(D7:K7,"N/A")))</f>
        <v>0</v>
      </c>
      <c r="W7" s="24">
        <f>IF(A7="","",MAX(0,Config!$D$19-COUNTIF(L7:S7,"Sim")-COUNTIF(L7:S7,"N/A")))</f>
        <v>0</v>
      </c>
      <c r="X7" s="24">
        <f>IF(A7="","",V7+W7)</f>
        <v>0</v>
      </c>
      <c r="Y7" s="29">
        <f>IF(OR(A7="",AA7=""),"",LEFT(AA7,LEN(AA7)-2))</f>
        <v/>
      </c>
      <c r="Z7" s="39">
        <f>IF(OR(A7="",X7=0),0,X7*100000+A7/100000)</f>
        <v>0</v>
      </c>
      <c r="AA7" s="39">
        <f>IF(A7="","",IF(AND(Config!$B$10&lt;&gt;"",D7&lt;&gt;"Sim",D7&lt;&gt;"N/A"),Config!$B$10&amp;"; ","")&amp;IF(AND(Config!$B$11&lt;&gt;"",E7&lt;&gt;"Sim",E7&lt;&gt;"N/A"),Config!$B$11&amp;"; ","")&amp;IF(AND(Config!$B$12&lt;&gt;"",F7&lt;&gt;"Sim",F7&lt;&gt;"N/A"),Config!$B$12&amp;"; ","")&amp;IF(AND(Config!$B$13&lt;&gt;"",G7&lt;&gt;"Sim",G7&lt;&gt;"N/A"),Config!$B$13&amp;"; ","")&amp;IF(AND(Config!$B$14&lt;&gt;"",H7&lt;&gt;"Sim",H7&lt;&gt;"N/A"),Config!$B$14&amp;"; ","")&amp;IF(AND(Config!$B$15&lt;&gt;"",I7&lt;&gt;"Sim",I7&lt;&gt;"N/A"),Config!$B$15&amp;"; ","")&amp;IF(AND(Config!$B$16&lt;&gt;"",J7&lt;&gt;"Sim",J7&lt;&gt;"N/A"),Config!$B$16&amp;"; ","")&amp;IF(AND(Config!$B$17&lt;&gt;"",K7&lt;&gt;"Sim",K7&lt;&gt;"N/A"),Config!$B$17&amp;"; ","")&amp;IF(AND(Config!$D$10&lt;&gt;"",L7&lt;&gt;"Sim",L7&lt;&gt;"N/A"),Config!$D$10&amp;"; ","")&amp;IF(AND(Config!$D$11&lt;&gt;"",M7&lt;&gt;"Sim",M7&lt;&gt;"N/A"),Config!$D$11&amp;"; ","")&amp;IF(AND(Config!$D$12&lt;&gt;"",N7&lt;&gt;"Sim",N7&lt;&gt;"N/A"),Config!$D$12&amp;"; ","")&amp;IF(AND(Config!$D$13&lt;&gt;"",O7&lt;&gt;"Sim",O7&lt;&gt;"N/A"),Config!$D$13&amp;"; ","")&amp;IF(AND(Config!$D$14&lt;&gt;"",P7&lt;&gt;"Sim",P7&lt;&gt;"N/A"),Config!$D$14&amp;"; ","")&amp;IF(AND(Config!$D$15&lt;&gt;"",Q7&lt;&gt;"Sim",Q7&lt;&gt;"N/A"),Config!$D$15&amp;"; ","")&amp;IF(AND(Config!$D$16&lt;&gt;"",R7&lt;&gt;"Sim",R7&lt;&gt;"N/A"),Config!$D$16&amp;"; ","")&amp;IF(AND(Config!$D$17&lt;&gt;"",S7&lt;&gt;"Sim",S7&lt;&gt;"N/A"),Config!$D$17&amp;"; ",""))</f>
        <v/>
      </c>
      <c r="AB7" s="39">
        <f>IF(A7="",0,COUNTIF($A$5:$A$304,"&gt;"&amp;A7)+1)</f>
        <v>71</v>
      </c>
    </row>
    <row r="8">
      <c r="A8" s="37" t="n">
        <v>46178</v>
      </c>
      <c r="B8" s="24" t="str">
        <f>IF(A8="","",CHOOSE(WEEKDAY(A8,2),"Segunda","Terça","Quarta","Quinta","Sexta","Sábado","Domingo"))</f>
        <v>Sexta</v>
      </c>
      <c r="C8" s="38" t="inlineStr">
        <is>
          <t>Bruna Carvalho</t>
        </is>
      </c>
      <c r="D8" s="38" t="inlineStr">
        <is>
          <t>Sim</t>
        </is>
      </c>
      <c r="E8" s="38" t="inlineStr">
        <is>
          <t>Sim</t>
        </is>
      </c>
      <c r="F8" s="38" t="inlineStr">
        <is>
          <t>Sim</t>
        </is>
      </c>
      <c r="G8" s="38" t="inlineStr">
        <is>
          <t>Sim</t>
        </is>
      </c>
      <c r="H8" s="38" t="inlineStr">
        <is>
          <t>Sim</t>
        </is>
      </c>
      <c r="I8" s="38" t="inlineStr">
        <is>
          <t>Sim</t>
        </is>
      </c>
      <c r="J8" s="38" t="n"/>
      <c r="K8" s="38" t="n"/>
      <c r="L8" s="38" t="inlineStr">
        <is>
          <t>Sim</t>
        </is>
      </c>
      <c r="M8" s="38" t="inlineStr">
        <is>
          <t>Sim</t>
        </is>
      </c>
      <c r="N8" s="38" t="inlineStr">
        <is>
          <t>Sim</t>
        </is>
      </c>
      <c r="O8" s="38" t="inlineStr">
        <is>
          <t>Sim</t>
        </is>
      </c>
      <c r="P8" s="38" t="inlineStr">
        <is>
          <t>Sim</t>
        </is>
      </c>
      <c r="Q8" s="38" t="inlineStr">
        <is>
          <t>Sim</t>
        </is>
      </c>
      <c r="R8" s="38" t="n"/>
      <c r="S8" s="38" t="n"/>
      <c r="T8" s="26">
        <f>IF(A8="","",IFERROR(COUNTIF(D8:K8,"Sim")/(Config!$B$19-COUNTIF(D8:K8,"N/A")),""))</f>
        <v>1</v>
      </c>
      <c r="U8" s="26">
        <f>IF(A8="","",IFERROR(COUNTIF(L8:S8,"Sim")/(Config!$D$19-COUNTIF(L8:S8,"N/A")),""))</f>
        <v>1</v>
      </c>
      <c r="V8" s="24">
        <f>IF(A8="","",MAX(0,Config!$B$19-COUNTIF(D8:K8,"Sim")-COUNTIF(D8:K8,"N/A")))</f>
        <v>0</v>
      </c>
      <c r="W8" s="24">
        <f>IF(A8="","",MAX(0,Config!$D$19-COUNTIF(L8:S8,"Sim")-COUNTIF(L8:S8,"N/A")))</f>
        <v>0</v>
      </c>
      <c r="X8" s="24">
        <f>IF(A8="","",V8+W8)</f>
        <v>0</v>
      </c>
      <c r="Y8" s="29">
        <f>IF(OR(A8="",AA8=""),"",LEFT(AA8,LEN(AA8)-2))</f>
        <v/>
      </c>
      <c r="Z8" s="39">
        <f>IF(OR(A8="",X8=0),0,X8*100000+A8/100000)</f>
        <v>0</v>
      </c>
      <c r="AA8" s="39">
        <f>IF(A8="","",IF(AND(Config!$B$10&lt;&gt;"",D8&lt;&gt;"Sim",D8&lt;&gt;"N/A"),Config!$B$10&amp;"; ","")&amp;IF(AND(Config!$B$11&lt;&gt;"",E8&lt;&gt;"Sim",E8&lt;&gt;"N/A"),Config!$B$11&amp;"; ","")&amp;IF(AND(Config!$B$12&lt;&gt;"",F8&lt;&gt;"Sim",F8&lt;&gt;"N/A"),Config!$B$12&amp;"; ","")&amp;IF(AND(Config!$B$13&lt;&gt;"",G8&lt;&gt;"Sim",G8&lt;&gt;"N/A"),Config!$B$13&amp;"; ","")&amp;IF(AND(Config!$B$14&lt;&gt;"",H8&lt;&gt;"Sim",H8&lt;&gt;"N/A"),Config!$B$14&amp;"; ","")&amp;IF(AND(Config!$B$15&lt;&gt;"",I8&lt;&gt;"Sim",I8&lt;&gt;"N/A"),Config!$B$15&amp;"; ","")&amp;IF(AND(Config!$B$16&lt;&gt;"",J8&lt;&gt;"Sim",J8&lt;&gt;"N/A"),Config!$B$16&amp;"; ","")&amp;IF(AND(Config!$B$17&lt;&gt;"",K8&lt;&gt;"Sim",K8&lt;&gt;"N/A"),Config!$B$17&amp;"; ","")&amp;IF(AND(Config!$D$10&lt;&gt;"",L8&lt;&gt;"Sim",L8&lt;&gt;"N/A"),Config!$D$10&amp;"; ","")&amp;IF(AND(Config!$D$11&lt;&gt;"",M8&lt;&gt;"Sim",M8&lt;&gt;"N/A"),Config!$D$11&amp;"; ","")&amp;IF(AND(Config!$D$12&lt;&gt;"",N8&lt;&gt;"Sim",N8&lt;&gt;"N/A"),Config!$D$12&amp;"; ","")&amp;IF(AND(Config!$D$13&lt;&gt;"",O8&lt;&gt;"Sim",O8&lt;&gt;"N/A"),Config!$D$13&amp;"; ","")&amp;IF(AND(Config!$D$14&lt;&gt;"",P8&lt;&gt;"Sim",P8&lt;&gt;"N/A"),Config!$D$14&amp;"; ","")&amp;IF(AND(Config!$D$15&lt;&gt;"",Q8&lt;&gt;"Sim",Q8&lt;&gt;"N/A"),Config!$D$15&amp;"; ","")&amp;IF(AND(Config!$D$16&lt;&gt;"",R8&lt;&gt;"Sim",R8&lt;&gt;"N/A"),Config!$D$16&amp;"; ","")&amp;IF(AND(Config!$D$17&lt;&gt;"",S8&lt;&gt;"Sim",S8&lt;&gt;"N/A"),Config!$D$17&amp;"; ",""))</f>
        <v/>
      </c>
      <c r="AB8" s="39">
        <f>IF(A8="",0,COUNTIF($A$5:$A$304,"&gt;"&amp;A8)+1)</f>
        <v>70</v>
      </c>
    </row>
    <row r="9">
      <c r="A9" s="37" t="n">
        <v>46181</v>
      </c>
      <c r="B9" s="24" t="str">
        <f>IF(A9="","",CHOOSE(WEEKDAY(A9,2),"Segunda","Terça","Quarta","Quinta","Sexta","Sábado","Domingo"))</f>
        <v>Segunda</v>
      </c>
      <c r="C9" s="38" t="inlineStr">
        <is>
          <t>Bruna Carvalho</t>
        </is>
      </c>
      <c r="D9" s="38" t="inlineStr">
        <is>
          <t>Sim</t>
        </is>
      </c>
      <c r="E9" s="38" t="inlineStr">
        <is>
          <t>Sim</t>
        </is>
      </c>
      <c r="F9" s="38" t="inlineStr">
        <is>
          <t>Sim</t>
        </is>
      </c>
      <c r="G9" s="38" t="inlineStr">
        <is>
          <t>Sim</t>
        </is>
      </c>
      <c r="H9" s="38" t="inlineStr">
        <is>
          <t>Sim</t>
        </is>
      </c>
      <c r="I9" s="38" t="inlineStr">
        <is>
          <t>N/A</t>
        </is>
      </c>
      <c r="J9" s="38" t="n"/>
      <c r="K9" s="38" t="n"/>
      <c r="L9" s="38" t="inlineStr">
        <is>
          <t>Sim</t>
        </is>
      </c>
      <c r="M9" s="38" t="inlineStr">
        <is>
          <t>Sim</t>
        </is>
      </c>
      <c r="N9" s="38" t="inlineStr">
        <is>
          <t>Sim</t>
        </is>
      </c>
      <c r="O9" s="38" t="inlineStr">
        <is>
          <t>Sim</t>
        </is>
      </c>
      <c r="P9" s="38" t="inlineStr">
        <is>
          <t>Sim</t>
        </is>
      </c>
      <c r="Q9" s="38" t="inlineStr">
        <is>
          <t>Sim</t>
        </is>
      </c>
      <c r="R9" s="38" t="n"/>
      <c r="S9" s="38" t="n"/>
      <c r="T9" s="26">
        <f>IF(A9="","",IFERROR(COUNTIF(D9:K9,"Sim")/(Config!$B$19-COUNTIF(D9:K9,"N/A")),""))</f>
        <v>1</v>
      </c>
      <c r="U9" s="26">
        <f>IF(A9="","",IFERROR(COUNTIF(L9:S9,"Sim")/(Config!$D$19-COUNTIF(L9:S9,"N/A")),""))</f>
        <v>1</v>
      </c>
      <c r="V9" s="24">
        <f>IF(A9="","",MAX(0,Config!$B$19-COUNTIF(D9:K9,"Sim")-COUNTIF(D9:K9,"N/A")))</f>
        <v>0</v>
      </c>
      <c r="W9" s="24">
        <f>IF(A9="","",MAX(0,Config!$D$19-COUNTIF(L9:S9,"Sim")-COUNTIF(L9:S9,"N/A")))</f>
        <v>0</v>
      </c>
      <c r="X9" s="24">
        <f>IF(A9="","",V9+W9)</f>
        <v>0</v>
      </c>
      <c r="Y9" s="29">
        <f>IF(OR(A9="",AA9=""),"",LEFT(AA9,LEN(AA9)-2))</f>
        <v/>
      </c>
      <c r="Z9" s="39">
        <f>IF(OR(A9="",X9=0),0,X9*100000+A9/100000)</f>
        <v>0</v>
      </c>
      <c r="AA9" s="39">
        <f>IF(A9="","",IF(AND(Config!$B$10&lt;&gt;"",D9&lt;&gt;"Sim",D9&lt;&gt;"N/A"),Config!$B$10&amp;"; ","")&amp;IF(AND(Config!$B$11&lt;&gt;"",E9&lt;&gt;"Sim",E9&lt;&gt;"N/A"),Config!$B$11&amp;"; ","")&amp;IF(AND(Config!$B$12&lt;&gt;"",F9&lt;&gt;"Sim",F9&lt;&gt;"N/A"),Config!$B$12&amp;"; ","")&amp;IF(AND(Config!$B$13&lt;&gt;"",G9&lt;&gt;"Sim",G9&lt;&gt;"N/A"),Config!$B$13&amp;"; ","")&amp;IF(AND(Config!$B$14&lt;&gt;"",H9&lt;&gt;"Sim",H9&lt;&gt;"N/A"),Config!$B$14&amp;"; ","")&amp;IF(AND(Config!$B$15&lt;&gt;"",I9&lt;&gt;"Sim",I9&lt;&gt;"N/A"),Config!$B$15&amp;"; ","")&amp;IF(AND(Config!$B$16&lt;&gt;"",J9&lt;&gt;"Sim",J9&lt;&gt;"N/A"),Config!$B$16&amp;"; ","")&amp;IF(AND(Config!$B$17&lt;&gt;"",K9&lt;&gt;"Sim",K9&lt;&gt;"N/A"),Config!$B$17&amp;"; ","")&amp;IF(AND(Config!$D$10&lt;&gt;"",L9&lt;&gt;"Sim",L9&lt;&gt;"N/A"),Config!$D$10&amp;"; ","")&amp;IF(AND(Config!$D$11&lt;&gt;"",M9&lt;&gt;"Sim",M9&lt;&gt;"N/A"),Config!$D$11&amp;"; ","")&amp;IF(AND(Config!$D$12&lt;&gt;"",N9&lt;&gt;"Sim",N9&lt;&gt;"N/A"),Config!$D$12&amp;"; ","")&amp;IF(AND(Config!$D$13&lt;&gt;"",O9&lt;&gt;"Sim",O9&lt;&gt;"N/A"),Config!$D$13&amp;"; ","")&amp;IF(AND(Config!$D$14&lt;&gt;"",P9&lt;&gt;"Sim",P9&lt;&gt;"N/A"),Config!$D$14&amp;"; ","")&amp;IF(AND(Config!$D$15&lt;&gt;"",Q9&lt;&gt;"Sim",Q9&lt;&gt;"N/A"),Config!$D$15&amp;"; ","")&amp;IF(AND(Config!$D$16&lt;&gt;"",R9&lt;&gt;"Sim",R9&lt;&gt;"N/A"),Config!$D$16&amp;"; ","")&amp;IF(AND(Config!$D$17&lt;&gt;"",S9&lt;&gt;"Sim",S9&lt;&gt;"N/A"),Config!$D$17&amp;"; ",""))</f>
        <v/>
      </c>
      <c r="AB9" s="39">
        <f>IF(A9="",0,COUNTIF($A$5:$A$304,"&gt;"&amp;A9)+1)</f>
        <v>69</v>
      </c>
    </row>
    <row r="10">
      <c r="A10" s="37" t="n">
        <v>46182</v>
      </c>
      <c r="B10" s="24" t="str">
        <f>IF(A10="","",CHOOSE(WEEKDAY(A10,2),"Segunda","Terça","Quarta","Quinta","Sexta","Sábado","Domingo"))</f>
        <v>Terça</v>
      </c>
      <c r="C10" s="38" t="inlineStr">
        <is>
          <t>Bruna Carvalho</t>
        </is>
      </c>
      <c r="D10" s="38" t="inlineStr">
        <is>
          <t>Sim</t>
        </is>
      </c>
      <c r="E10" s="38" t="inlineStr">
        <is>
          <t>Sim</t>
        </is>
      </c>
      <c r="F10" s="38" t="inlineStr">
        <is>
          <t>Sim</t>
        </is>
      </c>
      <c r="G10" s="38" t="inlineStr">
        <is>
          <t>Sim</t>
        </is>
      </c>
      <c r="H10" s="38" t="inlineStr">
        <is>
          <t>Sim</t>
        </is>
      </c>
      <c r="I10" s="38" t="inlineStr">
        <is>
          <t>N/A</t>
        </is>
      </c>
      <c r="J10" s="38" t="n"/>
      <c r="K10" s="38" t="n"/>
      <c r="L10" s="38" t="inlineStr">
        <is>
          <t>Sim</t>
        </is>
      </c>
      <c r="M10" s="38" t="inlineStr">
        <is>
          <t>Sim</t>
        </is>
      </c>
      <c r="N10" s="38" t="inlineStr">
        <is>
          <t>Sim</t>
        </is>
      </c>
      <c r="O10" s="38" t="inlineStr">
        <is>
          <t>Sim</t>
        </is>
      </c>
      <c r="P10" s="38" t="inlineStr">
        <is>
          <t>Sim</t>
        </is>
      </c>
      <c r="Q10" s="38" t="inlineStr">
        <is>
          <t>Sim</t>
        </is>
      </c>
      <c r="R10" s="38" t="n"/>
      <c r="S10" s="38" t="n"/>
      <c r="T10" s="26">
        <f>IF(A10="","",IFERROR(COUNTIF(D10:K10,"Sim")/(Config!$B$19-COUNTIF(D10:K10,"N/A")),""))</f>
        <v>1</v>
      </c>
      <c r="U10" s="26">
        <f>IF(A10="","",IFERROR(COUNTIF(L10:S10,"Sim")/(Config!$D$19-COUNTIF(L10:S10,"N/A")),""))</f>
        <v>1</v>
      </c>
      <c r="V10" s="24">
        <f>IF(A10="","",MAX(0,Config!$B$19-COUNTIF(D10:K10,"Sim")-COUNTIF(D10:K10,"N/A")))</f>
        <v>0</v>
      </c>
      <c r="W10" s="24">
        <f>IF(A10="","",MAX(0,Config!$D$19-COUNTIF(L10:S10,"Sim")-COUNTIF(L10:S10,"N/A")))</f>
        <v>0</v>
      </c>
      <c r="X10" s="24">
        <f>IF(A10="","",V10+W10)</f>
        <v>0</v>
      </c>
      <c r="Y10" s="29">
        <f>IF(OR(A10="",AA10=""),"",LEFT(AA10,LEN(AA10)-2))</f>
        <v/>
      </c>
      <c r="Z10" s="39">
        <f>IF(OR(A10="",X10=0),0,X10*100000+A10/100000)</f>
        <v>0</v>
      </c>
      <c r="AA10" s="39">
        <f>IF(A10="","",IF(AND(Config!$B$10&lt;&gt;"",D10&lt;&gt;"Sim",D10&lt;&gt;"N/A"),Config!$B$10&amp;"; ","")&amp;IF(AND(Config!$B$11&lt;&gt;"",E10&lt;&gt;"Sim",E10&lt;&gt;"N/A"),Config!$B$11&amp;"; ","")&amp;IF(AND(Config!$B$12&lt;&gt;"",F10&lt;&gt;"Sim",F10&lt;&gt;"N/A"),Config!$B$12&amp;"; ","")&amp;IF(AND(Config!$B$13&lt;&gt;"",G10&lt;&gt;"Sim",G10&lt;&gt;"N/A"),Config!$B$13&amp;"; ","")&amp;IF(AND(Config!$B$14&lt;&gt;"",H10&lt;&gt;"Sim",H10&lt;&gt;"N/A"),Config!$B$14&amp;"; ","")&amp;IF(AND(Config!$B$15&lt;&gt;"",I10&lt;&gt;"Sim",I10&lt;&gt;"N/A"),Config!$B$15&amp;"; ","")&amp;IF(AND(Config!$B$16&lt;&gt;"",J10&lt;&gt;"Sim",J10&lt;&gt;"N/A"),Config!$B$16&amp;"; ","")&amp;IF(AND(Config!$B$17&lt;&gt;"",K10&lt;&gt;"Sim",K10&lt;&gt;"N/A"),Config!$B$17&amp;"; ","")&amp;IF(AND(Config!$D$10&lt;&gt;"",L10&lt;&gt;"Sim",L10&lt;&gt;"N/A"),Config!$D$10&amp;"; ","")&amp;IF(AND(Config!$D$11&lt;&gt;"",M10&lt;&gt;"Sim",M10&lt;&gt;"N/A"),Config!$D$11&amp;"; ","")&amp;IF(AND(Config!$D$12&lt;&gt;"",N10&lt;&gt;"Sim",N10&lt;&gt;"N/A"),Config!$D$12&amp;"; ","")&amp;IF(AND(Config!$D$13&lt;&gt;"",O10&lt;&gt;"Sim",O10&lt;&gt;"N/A"),Config!$D$13&amp;"; ","")&amp;IF(AND(Config!$D$14&lt;&gt;"",P10&lt;&gt;"Sim",P10&lt;&gt;"N/A"),Config!$D$14&amp;"; ","")&amp;IF(AND(Config!$D$15&lt;&gt;"",Q10&lt;&gt;"Sim",Q10&lt;&gt;"N/A"),Config!$D$15&amp;"; ","")&amp;IF(AND(Config!$D$16&lt;&gt;"",R10&lt;&gt;"Sim",R10&lt;&gt;"N/A"),Config!$D$16&amp;"; ","")&amp;IF(AND(Config!$D$17&lt;&gt;"",S10&lt;&gt;"Sim",S10&lt;&gt;"N/A"),Config!$D$17&amp;"; ",""))</f>
        <v/>
      </c>
      <c r="AB10" s="39">
        <f>IF(A10="",0,COUNTIF($A$5:$A$304,"&gt;"&amp;A10)+1)</f>
        <v>68</v>
      </c>
    </row>
    <row r="11">
      <c r="A11" s="37" t="n">
        <v>46183</v>
      </c>
      <c r="B11" s="24" t="str">
        <f>IF(A11="","",CHOOSE(WEEKDAY(A11,2),"Segunda","Terça","Quarta","Quinta","Sexta","Sábado","Domingo"))</f>
        <v>Quarta</v>
      </c>
      <c r="C11" s="38" t="inlineStr">
        <is>
          <t>Bruna Carvalho</t>
        </is>
      </c>
      <c r="D11" s="38" t="inlineStr">
        <is>
          <t>Sim</t>
        </is>
      </c>
      <c r="E11" s="38" t="inlineStr">
        <is>
          <t>Sim</t>
        </is>
      </c>
      <c r="F11" s="38" t="inlineStr">
        <is>
          <t>Sim</t>
        </is>
      </c>
      <c r="G11" s="38" t="inlineStr">
        <is>
          <t>Sim</t>
        </is>
      </c>
      <c r="H11" s="38" t="inlineStr">
        <is>
          <t>Sim</t>
        </is>
      </c>
      <c r="I11" s="38" t="inlineStr">
        <is>
          <t>N/A</t>
        </is>
      </c>
      <c r="J11" s="38" t="n"/>
      <c r="K11" s="38" t="n"/>
      <c r="L11" s="38" t="inlineStr">
        <is>
          <t>Sim</t>
        </is>
      </c>
      <c r="M11" s="38" t="inlineStr">
        <is>
          <t>Sim</t>
        </is>
      </c>
      <c r="N11" s="38" t="inlineStr">
        <is>
          <t>Sim</t>
        </is>
      </c>
      <c r="O11" s="38" t="inlineStr">
        <is>
          <t>Sim</t>
        </is>
      </c>
      <c r="P11" s="38" t="inlineStr">
        <is>
          <t>Sim</t>
        </is>
      </c>
      <c r="Q11" s="38" t="inlineStr">
        <is>
          <t>Sim</t>
        </is>
      </c>
      <c r="R11" s="38" t="n"/>
      <c r="S11" s="38" t="n"/>
      <c r="T11" s="26">
        <f>IF(A11="","",IFERROR(COUNTIF(D11:K11,"Sim")/(Config!$B$19-COUNTIF(D11:K11,"N/A")),""))</f>
        <v>1</v>
      </c>
      <c r="U11" s="26">
        <f>IF(A11="","",IFERROR(COUNTIF(L11:S11,"Sim")/(Config!$D$19-COUNTIF(L11:S11,"N/A")),""))</f>
        <v>1</v>
      </c>
      <c r="V11" s="24">
        <f>IF(A11="","",MAX(0,Config!$B$19-COUNTIF(D11:K11,"Sim")-COUNTIF(D11:K11,"N/A")))</f>
        <v>0</v>
      </c>
      <c r="W11" s="24">
        <f>IF(A11="","",MAX(0,Config!$D$19-COUNTIF(L11:S11,"Sim")-COUNTIF(L11:S11,"N/A")))</f>
        <v>0</v>
      </c>
      <c r="X11" s="24">
        <f>IF(A11="","",V11+W11)</f>
        <v>0</v>
      </c>
      <c r="Y11" s="29">
        <f>IF(OR(A11="",AA11=""),"",LEFT(AA11,LEN(AA11)-2))</f>
        <v/>
      </c>
      <c r="Z11" s="39">
        <f>IF(OR(A11="",X11=0),0,X11*100000+A11/100000)</f>
        <v>0</v>
      </c>
      <c r="AA11" s="39">
        <f>IF(A11="","",IF(AND(Config!$B$10&lt;&gt;"",D11&lt;&gt;"Sim",D11&lt;&gt;"N/A"),Config!$B$10&amp;"; ","")&amp;IF(AND(Config!$B$11&lt;&gt;"",E11&lt;&gt;"Sim",E11&lt;&gt;"N/A"),Config!$B$11&amp;"; ","")&amp;IF(AND(Config!$B$12&lt;&gt;"",F11&lt;&gt;"Sim",F11&lt;&gt;"N/A"),Config!$B$12&amp;"; ","")&amp;IF(AND(Config!$B$13&lt;&gt;"",G11&lt;&gt;"Sim",G11&lt;&gt;"N/A"),Config!$B$13&amp;"; ","")&amp;IF(AND(Config!$B$14&lt;&gt;"",H11&lt;&gt;"Sim",H11&lt;&gt;"N/A"),Config!$B$14&amp;"; ","")&amp;IF(AND(Config!$B$15&lt;&gt;"",I11&lt;&gt;"Sim",I11&lt;&gt;"N/A"),Config!$B$15&amp;"; ","")&amp;IF(AND(Config!$B$16&lt;&gt;"",J11&lt;&gt;"Sim",J11&lt;&gt;"N/A"),Config!$B$16&amp;"; ","")&amp;IF(AND(Config!$B$17&lt;&gt;"",K11&lt;&gt;"Sim",K11&lt;&gt;"N/A"),Config!$B$17&amp;"; ","")&amp;IF(AND(Config!$D$10&lt;&gt;"",L11&lt;&gt;"Sim",L11&lt;&gt;"N/A"),Config!$D$10&amp;"; ","")&amp;IF(AND(Config!$D$11&lt;&gt;"",M11&lt;&gt;"Sim",M11&lt;&gt;"N/A"),Config!$D$11&amp;"; ","")&amp;IF(AND(Config!$D$12&lt;&gt;"",N11&lt;&gt;"Sim",N11&lt;&gt;"N/A"),Config!$D$12&amp;"; ","")&amp;IF(AND(Config!$D$13&lt;&gt;"",O11&lt;&gt;"Sim",O11&lt;&gt;"N/A"),Config!$D$13&amp;"; ","")&amp;IF(AND(Config!$D$14&lt;&gt;"",P11&lt;&gt;"Sim",P11&lt;&gt;"N/A"),Config!$D$14&amp;"; ","")&amp;IF(AND(Config!$D$15&lt;&gt;"",Q11&lt;&gt;"Sim",Q11&lt;&gt;"N/A"),Config!$D$15&amp;"; ","")&amp;IF(AND(Config!$D$16&lt;&gt;"",R11&lt;&gt;"Sim",R11&lt;&gt;"N/A"),Config!$D$16&amp;"; ","")&amp;IF(AND(Config!$D$17&lt;&gt;"",S11&lt;&gt;"Sim",S11&lt;&gt;"N/A"),Config!$D$17&amp;"; ",""))</f>
        <v/>
      </c>
      <c r="AB11" s="39">
        <f>IF(A11="",0,COUNTIF($A$5:$A$304,"&gt;"&amp;A11)+1)</f>
        <v>67</v>
      </c>
    </row>
    <row r="12">
      <c r="A12" s="37" t="n">
        <v>46184</v>
      </c>
      <c r="B12" s="24" t="str">
        <f>IF(A12="","",CHOOSE(WEEKDAY(A12,2),"Segunda","Terça","Quarta","Quinta","Sexta","Sábado","Domingo"))</f>
        <v>Quinta</v>
      </c>
      <c r="C12" s="38" t="inlineStr">
        <is>
          <t>Bruna Carvalho</t>
        </is>
      </c>
      <c r="D12" s="38" t="inlineStr">
        <is>
          <t>Sim</t>
        </is>
      </c>
      <c r="E12" s="38" t="inlineStr">
        <is>
          <t>Sim</t>
        </is>
      </c>
      <c r="F12" s="38" t="inlineStr">
        <is>
          <t>Não</t>
        </is>
      </c>
      <c r="G12" s="38" t="inlineStr">
        <is>
          <t>Sim</t>
        </is>
      </c>
      <c r="H12" s="38" t="inlineStr">
        <is>
          <t>Sim</t>
        </is>
      </c>
      <c r="I12" s="38" t="inlineStr">
        <is>
          <t>N/A</t>
        </is>
      </c>
      <c r="J12" s="38" t="n"/>
      <c r="K12" s="38" t="n"/>
      <c r="L12" s="38" t="inlineStr">
        <is>
          <t>Sim</t>
        </is>
      </c>
      <c r="M12" s="38" t="inlineStr">
        <is>
          <t>Sim</t>
        </is>
      </c>
      <c r="N12" s="38" t="inlineStr">
        <is>
          <t>Sim</t>
        </is>
      </c>
      <c r="O12" s="38" t="inlineStr">
        <is>
          <t>Sim</t>
        </is>
      </c>
      <c r="P12" s="38" t="inlineStr">
        <is>
          <t>Sim</t>
        </is>
      </c>
      <c r="Q12" s="38" t="inlineStr">
        <is>
          <t>Sim</t>
        </is>
      </c>
      <c r="R12" s="38" t="n"/>
      <c r="S12" s="38" t="n"/>
      <c r="T12" s="26">
        <f>IF(A12="","",IFERROR(COUNTIF(D12:K12,"Sim")/(Config!$B$19-COUNTIF(D12:K12,"N/A")),""))</f>
        <v>0.8</v>
      </c>
      <c r="U12" s="26">
        <f>IF(A12="","",IFERROR(COUNTIF(L12:S12,"Sim")/(Config!$D$19-COUNTIF(L12:S12,"N/A")),""))</f>
        <v>1</v>
      </c>
      <c r="V12" s="24">
        <f>IF(A12="","",MAX(0,Config!$B$19-COUNTIF(D12:K12,"Sim")-COUNTIF(D12:K12,"N/A")))</f>
        <v>1</v>
      </c>
      <c r="W12" s="24">
        <f>IF(A12="","",MAX(0,Config!$D$19-COUNTIF(L12:S12,"Sim")-COUNTIF(L12:S12,"N/A")))</f>
        <v>0</v>
      </c>
      <c r="X12" s="24">
        <f>IF(A12="","",V12+W12)</f>
        <v>1</v>
      </c>
      <c r="Y12" s="29" t="str">
        <f>IF(OR(A12="",AA12=""),"",LEFT(AA12,LEN(AA12)-2))</f>
        <v>Salas e equipamentos prontos (ECG, MAPA, Holter)</v>
      </c>
      <c r="Z12" s="39">
        <f>IF(OR(A12="",X12=0),0,X12*100000+A12/100000)</f>
        <v>100000.46184</v>
      </c>
      <c r="AA12" s="39" t="str">
        <f>IF(A12="","",IF(AND(Config!$B$10&lt;&gt;"",D12&lt;&gt;"Sim",D12&lt;&gt;"N/A"),Config!$B$10&amp;"; ","")&amp;IF(AND(Config!$B$11&lt;&gt;"",E12&lt;&gt;"Sim",E12&lt;&gt;"N/A"),Config!$B$11&amp;"; ","")&amp;IF(AND(Config!$B$12&lt;&gt;"",F12&lt;&gt;"Sim",F12&lt;&gt;"N/A"),Config!$B$12&amp;"; ","")&amp;IF(AND(Config!$B$13&lt;&gt;"",G12&lt;&gt;"Sim",G12&lt;&gt;"N/A"),Config!$B$13&amp;"; ","")&amp;IF(AND(Config!$B$14&lt;&gt;"",H12&lt;&gt;"Sim",H12&lt;&gt;"N/A"),Config!$B$14&amp;"; ","")&amp;IF(AND(Config!$B$15&lt;&gt;"",I12&lt;&gt;"Sim",I12&lt;&gt;"N/A"),Config!$B$15&amp;"; ","")&amp;IF(AND(Config!$B$16&lt;&gt;"",J12&lt;&gt;"Sim",J12&lt;&gt;"N/A"),Config!$B$16&amp;"; ","")&amp;IF(AND(Config!$B$17&lt;&gt;"",K12&lt;&gt;"Sim",K12&lt;&gt;"N/A"),Config!$B$17&amp;"; ","")&amp;IF(AND(Config!$D$10&lt;&gt;"",L12&lt;&gt;"Sim",L12&lt;&gt;"N/A"),Config!$D$10&amp;"; ","")&amp;IF(AND(Config!$D$11&lt;&gt;"",M12&lt;&gt;"Sim",M12&lt;&gt;"N/A"),Config!$D$11&amp;"; ","")&amp;IF(AND(Config!$D$12&lt;&gt;"",N12&lt;&gt;"Sim",N12&lt;&gt;"N/A"),Config!$D$12&amp;"; ","")&amp;IF(AND(Config!$D$13&lt;&gt;"",O12&lt;&gt;"Sim",O12&lt;&gt;"N/A"),Config!$D$13&amp;"; ","")&amp;IF(AND(Config!$D$14&lt;&gt;"",P12&lt;&gt;"Sim",P12&lt;&gt;"N/A"),Config!$D$14&amp;"; ","")&amp;IF(AND(Config!$D$15&lt;&gt;"",Q12&lt;&gt;"Sim",Q12&lt;&gt;"N/A"),Config!$D$15&amp;"; ","")&amp;IF(AND(Config!$D$16&lt;&gt;"",R12&lt;&gt;"Sim",R12&lt;&gt;"N/A"),Config!$D$16&amp;"; ","")&amp;IF(AND(Config!$D$17&lt;&gt;"",S12&lt;&gt;"Sim",S12&lt;&gt;"N/A"),Config!$D$17&amp;"; ",""))</f>
        <v>Salas e equipamentos prontos (ECG, MAPA, Holter); </v>
      </c>
      <c r="AB12" s="39">
        <f>IF(A12="",0,COUNTIF($A$5:$A$304,"&gt;"&amp;A12)+1)</f>
        <v>66</v>
      </c>
    </row>
    <row r="13">
      <c r="A13" s="37" t="n">
        <v>46185</v>
      </c>
      <c r="B13" s="24" t="str">
        <f>IF(A13="","",CHOOSE(WEEKDAY(A13,2),"Segunda","Terça","Quarta","Quinta","Sexta","Sábado","Domingo"))</f>
        <v>Sexta</v>
      </c>
      <c r="C13" s="38" t="inlineStr">
        <is>
          <t>Bruna Carvalho</t>
        </is>
      </c>
      <c r="D13" s="38" t="inlineStr">
        <is>
          <t>Sim</t>
        </is>
      </c>
      <c r="E13" s="38" t="inlineStr">
        <is>
          <t>Sim</t>
        </is>
      </c>
      <c r="F13" s="38" t="inlineStr">
        <is>
          <t>Sim</t>
        </is>
      </c>
      <c r="G13" s="38" t="inlineStr">
        <is>
          <t>Sim</t>
        </is>
      </c>
      <c r="H13" s="38" t="inlineStr">
        <is>
          <t>Sim</t>
        </is>
      </c>
      <c r="I13" s="38" t="inlineStr">
        <is>
          <t>Sim</t>
        </is>
      </c>
      <c r="J13" s="38" t="n"/>
      <c r="K13" s="38" t="n"/>
      <c r="L13" s="38" t="inlineStr">
        <is>
          <t>Não</t>
        </is>
      </c>
      <c r="M13" s="38" t="inlineStr">
        <is>
          <t>Não</t>
        </is>
      </c>
      <c r="N13" s="38" t="inlineStr">
        <is>
          <t>Sim</t>
        </is>
      </c>
      <c r="O13" s="38" t="inlineStr">
        <is>
          <t>Sim</t>
        </is>
      </c>
      <c r="P13" s="38" t="inlineStr">
        <is>
          <t>Sim</t>
        </is>
      </c>
      <c r="Q13" s="38" t="inlineStr">
        <is>
          <t>Sim</t>
        </is>
      </c>
      <c r="R13" s="38" t="n"/>
      <c r="S13" s="38" t="n"/>
      <c r="T13" s="26">
        <f>IF(A13="","",IFERROR(COUNTIF(D13:K13,"Sim")/(Config!$B$19-COUNTIF(D13:K13,"N/A")),""))</f>
        <v>1</v>
      </c>
      <c r="U13" s="26">
        <f>IF(A13="","",IFERROR(COUNTIF(L13:S13,"Sim")/(Config!$D$19-COUNTIF(L13:S13,"N/A")),""))</f>
        <v>0.666666666666667</v>
      </c>
      <c r="V13" s="24">
        <f>IF(A13="","",MAX(0,Config!$B$19-COUNTIF(D13:K13,"Sim")-COUNTIF(D13:K13,"N/A")))</f>
        <v>0</v>
      </c>
      <c r="W13" s="24">
        <f>IF(A13="","",MAX(0,Config!$D$19-COUNTIF(L13:S13,"Sim")-COUNTIF(L13:S13,"N/A")))</f>
        <v>2</v>
      </c>
      <c r="X13" s="24">
        <f>IF(A13="","",V13+W13)</f>
        <v>2</v>
      </c>
      <c r="Y13" s="29" t="str">
        <f>IF(OR(A13="",AA13=""),"",LEFT(AA13,LEN(AA13)-2))</f>
        <v>Caixa do dia fechado e conferido (Pix, cartão, dinheiro); Fechamento do dia lançado no Caixa (09)</v>
      </c>
      <c r="Z13" s="39">
        <f>IF(OR(A13="",X13=0),0,X13*100000+A13/100000)</f>
        <v>200000.46185</v>
      </c>
      <c r="AA13" s="39" t="str">
        <f>IF(A13="","",IF(AND(Config!$B$10&lt;&gt;"",D13&lt;&gt;"Sim",D13&lt;&gt;"N/A"),Config!$B$10&amp;"; ","")&amp;IF(AND(Config!$B$11&lt;&gt;"",E13&lt;&gt;"Sim",E13&lt;&gt;"N/A"),Config!$B$11&amp;"; ","")&amp;IF(AND(Config!$B$12&lt;&gt;"",F13&lt;&gt;"Sim",F13&lt;&gt;"N/A"),Config!$B$12&amp;"; ","")&amp;IF(AND(Config!$B$13&lt;&gt;"",G13&lt;&gt;"Sim",G13&lt;&gt;"N/A"),Config!$B$13&amp;"; ","")&amp;IF(AND(Config!$B$14&lt;&gt;"",H13&lt;&gt;"Sim",H13&lt;&gt;"N/A"),Config!$B$14&amp;"; ","")&amp;IF(AND(Config!$B$15&lt;&gt;"",I13&lt;&gt;"Sim",I13&lt;&gt;"N/A"),Config!$B$15&amp;"; ","")&amp;IF(AND(Config!$B$16&lt;&gt;"",J13&lt;&gt;"Sim",J13&lt;&gt;"N/A"),Config!$B$16&amp;"; ","")&amp;IF(AND(Config!$B$17&lt;&gt;"",K13&lt;&gt;"Sim",K13&lt;&gt;"N/A"),Config!$B$17&amp;"; ","")&amp;IF(AND(Config!$D$10&lt;&gt;"",L13&lt;&gt;"Sim",L13&lt;&gt;"N/A"),Config!$D$10&amp;"; ","")&amp;IF(AND(Config!$D$11&lt;&gt;"",M13&lt;&gt;"Sim",M13&lt;&gt;"N/A"),Config!$D$11&amp;"; ","")&amp;IF(AND(Config!$D$12&lt;&gt;"",N13&lt;&gt;"Sim",N13&lt;&gt;"N/A"),Config!$D$12&amp;"; ","")&amp;IF(AND(Config!$D$13&lt;&gt;"",O13&lt;&gt;"Sim",O13&lt;&gt;"N/A"),Config!$D$13&amp;"; ","")&amp;IF(AND(Config!$D$14&lt;&gt;"",P13&lt;&gt;"Sim",P13&lt;&gt;"N/A"),Config!$D$14&amp;"; ","")&amp;IF(AND(Config!$D$15&lt;&gt;"",Q13&lt;&gt;"Sim",Q13&lt;&gt;"N/A"),Config!$D$15&amp;"; ","")&amp;IF(AND(Config!$D$16&lt;&gt;"",R13&lt;&gt;"Sim",R13&lt;&gt;"N/A"),Config!$D$16&amp;"; ","")&amp;IF(AND(Config!$D$17&lt;&gt;"",S13&lt;&gt;"Sim",S13&lt;&gt;"N/A"),Config!$D$17&amp;"; ",""))</f>
        <v>Caixa do dia fechado e conferido (Pix, cartão, dinheiro); Fechamento do dia lançado no Caixa (09); </v>
      </c>
      <c r="AB13" s="39">
        <f>IF(A13="",0,COUNTIF($A$5:$A$304,"&gt;"&amp;A13)+1)</f>
        <v>65</v>
      </c>
    </row>
    <row r="14">
      <c r="A14" s="37" t="n">
        <v>46188</v>
      </c>
      <c r="B14" s="24" t="str">
        <f>IF(A14="","",CHOOSE(WEEKDAY(A14,2),"Segunda","Terça","Quarta","Quinta","Sexta","Sábado","Domingo"))</f>
        <v>Segunda</v>
      </c>
      <c r="C14" s="38" t="inlineStr">
        <is>
          <t>Bruna Carvalho</t>
        </is>
      </c>
      <c r="D14" s="38" t="inlineStr">
        <is>
          <t>Sim</t>
        </is>
      </c>
      <c r="E14" s="38" t="inlineStr">
        <is>
          <t>Sim</t>
        </is>
      </c>
      <c r="F14" s="38" t="inlineStr">
        <is>
          <t>Sim</t>
        </is>
      </c>
      <c r="G14" s="38" t="inlineStr">
        <is>
          <t>Sim</t>
        </is>
      </c>
      <c r="H14" s="38" t="inlineStr">
        <is>
          <t>Sim</t>
        </is>
      </c>
      <c r="I14" s="38" t="inlineStr">
        <is>
          <t>N/A</t>
        </is>
      </c>
      <c r="J14" s="38" t="n"/>
      <c r="K14" s="38" t="n"/>
      <c r="L14" s="38" t="inlineStr">
        <is>
          <t>Sim</t>
        </is>
      </c>
      <c r="M14" s="38" t="inlineStr">
        <is>
          <t>Sim</t>
        </is>
      </c>
      <c r="N14" s="38" t="inlineStr">
        <is>
          <t>Sim</t>
        </is>
      </c>
      <c r="O14" s="38" t="inlineStr">
        <is>
          <t>Sim</t>
        </is>
      </c>
      <c r="P14" s="38" t="inlineStr">
        <is>
          <t>Sim</t>
        </is>
      </c>
      <c r="Q14" s="38" t="inlineStr">
        <is>
          <t>Sim</t>
        </is>
      </c>
      <c r="R14" s="38" t="n"/>
      <c r="S14" s="38" t="n"/>
      <c r="T14" s="26">
        <f>IF(A14="","",IFERROR(COUNTIF(D14:K14,"Sim")/(Config!$B$19-COUNTIF(D14:K14,"N/A")),""))</f>
        <v>1</v>
      </c>
      <c r="U14" s="26">
        <f>IF(A14="","",IFERROR(COUNTIF(L14:S14,"Sim")/(Config!$D$19-COUNTIF(L14:S14,"N/A")),""))</f>
        <v>1</v>
      </c>
      <c r="V14" s="24">
        <f>IF(A14="","",MAX(0,Config!$B$19-COUNTIF(D14:K14,"Sim")-COUNTIF(D14:K14,"N/A")))</f>
        <v>0</v>
      </c>
      <c r="W14" s="24">
        <f>IF(A14="","",MAX(0,Config!$D$19-COUNTIF(L14:S14,"Sim")-COUNTIF(L14:S14,"N/A")))</f>
        <v>0</v>
      </c>
      <c r="X14" s="24">
        <f>IF(A14="","",V14+W14)</f>
        <v>0</v>
      </c>
      <c r="Y14" s="29">
        <f>IF(OR(A14="",AA14=""),"",LEFT(AA14,LEN(AA14)-2))</f>
        <v/>
      </c>
      <c r="Z14" s="39">
        <f>IF(OR(A14="",X14=0),0,X14*100000+A14/100000)</f>
        <v>0</v>
      </c>
      <c r="AA14" s="39">
        <f>IF(A14="","",IF(AND(Config!$B$10&lt;&gt;"",D14&lt;&gt;"Sim",D14&lt;&gt;"N/A"),Config!$B$10&amp;"; ","")&amp;IF(AND(Config!$B$11&lt;&gt;"",E14&lt;&gt;"Sim",E14&lt;&gt;"N/A"),Config!$B$11&amp;"; ","")&amp;IF(AND(Config!$B$12&lt;&gt;"",F14&lt;&gt;"Sim",F14&lt;&gt;"N/A"),Config!$B$12&amp;"; ","")&amp;IF(AND(Config!$B$13&lt;&gt;"",G14&lt;&gt;"Sim",G14&lt;&gt;"N/A"),Config!$B$13&amp;"; ","")&amp;IF(AND(Config!$B$14&lt;&gt;"",H14&lt;&gt;"Sim",H14&lt;&gt;"N/A"),Config!$B$14&amp;"; ","")&amp;IF(AND(Config!$B$15&lt;&gt;"",I14&lt;&gt;"Sim",I14&lt;&gt;"N/A"),Config!$B$15&amp;"; ","")&amp;IF(AND(Config!$B$16&lt;&gt;"",J14&lt;&gt;"Sim",J14&lt;&gt;"N/A"),Config!$B$16&amp;"; ","")&amp;IF(AND(Config!$B$17&lt;&gt;"",K14&lt;&gt;"Sim",K14&lt;&gt;"N/A"),Config!$B$17&amp;"; ","")&amp;IF(AND(Config!$D$10&lt;&gt;"",L14&lt;&gt;"Sim",L14&lt;&gt;"N/A"),Config!$D$10&amp;"; ","")&amp;IF(AND(Config!$D$11&lt;&gt;"",M14&lt;&gt;"Sim",M14&lt;&gt;"N/A"),Config!$D$11&amp;"; ","")&amp;IF(AND(Config!$D$12&lt;&gt;"",N14&lt;&gt;"Sim",N14&lt;&gt;"N/A"),Config!$D$12&amp;"; ","")&amp;IF(AND(Config!$D$13&lt;&gt;"",O14&lt;&gt;"Sim",O14&lt;&gt;"N/A"),Config!$D$13&amp;"; ","")&amp;IF(AND(Config!$D$14&lt;&gt;"",P14&lt;&gt;"Sim",P14&lt;&gt;"N/A"),Config!$D$14&amp;"; ","")&amp;IF(AND(Config!$D$15&lt;&gt;"",Q14&lt;&gt;"Sim",Q14&lt;&gt;"N/A"),Config!$D$15&amp;"; ","")&amp;IF(AND(Config!$D$16&lt;&gt;"",R14&lt;&gt;"Sim",R14&lt;&gt;"N/A"),Config!$D$16&amp;"; ","")&amp;IF(AND(Config!$D$17&lt;&gt;"",S14&lt;&gt;"Sim",S14&lt;&gt;"N/A"),Config!$D$17&amp;"; ",""))</f>
        <v/>
      </c>
      <c r="AB14" s="39">
        <f>IF(A14="",0,COUNTIF($A$5:$A$304,"&gt;"&amp;A14)+1)</f>
        <v>64</v>
      </c>
    </row>
    <row r="15">
      <c r="A15" s="37" t="n">
        <v>46189</v>
      </c>
      <c r="B15" s="24" t="str">
        <f>IF(A15="","",CHOOSE(WEEKDAY(A15,2),"Segunda","Terça","Quarta","Quinta","Sexta","Sábado","Domingo"))</f>
        <v>Terça</v>
      </c>
      <c r="C15" s="38" t="inlineStr">
        <is>
          <t>Bruna Carvalho</t>
        </is>
      </c>
      <c r="D15" s="38" t="inlineStr">
        <is>
          <t>Sim</t>
        </is>
      </c>
      <c r="E15" s="38" t="inlineStr">
        <is>
          <t>Sim</t>
        </is>
      </c>
      <c r="F15" s="38" t="inlineStr">
        <is>
          <t>Sim</t>
        </is>
      </c>
      <c r="G15" s="38" t="inlineStr">
        <is>
          <t>Sim</t>
        </is>
      </c>
      <c r="H15" s="38" t="inlineStr">
        <is>
          <t>Sim</t>
        </is>
      </c>
      <c r="I15" s="38" t="inlineStr">
        <is>
          <t>N/A</t>
        </is>
      </c>
      <c r="J15" s="38" t="n"/>
      <c r="K15" s="38" t="n"/>
      <c r="L15" s="38" t="inlineStr">
        <is>
          <t>Sim</t>
        </is>
      </c>
      <c r="M15" s="38" t="inlineStr">
        <is>
          <t>Sim</t>
        </is>
      </c>
      <c r="N15" s="38" t="inlineStr">
        <is>
          <t>Sim</t>
        </is>
      </c>
      <c r="O15" s="38" t="inlineStr">
        <is>
          <t>Sim</t>
        </is>
      </c>
      <c r="P15" s="38" t="inlineStr">
        <is>
          <t>Sim</t>
        </is>
      </c>
      <c r="Q15" s="38" t="inlineStr">
        <is>
          <t>Não</t>
        </is>
      </c>
      <c r="R15" s="38" t="n"/>
      <c r="S15" s="38" t="n"/>
      <c r="T15" s="26">
        <f>IF(A15="","",IFERROR(COUNTIF(D15:K15,"Sim")/(Config!$B$19-COUNTIF(D15:K15,"N/A")),""))</f>
        <v>1</v>
      </c>
      <c r="U15" s="26">
        <f>IF(A15="","",IFERROR(COUNTIF(L15:S15,"Sim")/(Config!$D$19-COUNTIF(L15:S15,"N/A")),""))</f>
        <v>0.833333333333333</v>
      </c>
      <c r="V15" s="24">
        <f>IF(A15="","",MAX(0,Config!$B$19-COUNTIF(D15:K15,"Sim")-COUNTIF(D15:K15,"N/A")))</f>
        <v>0</v>
      </c>
      <c r="W15" s="24">
        <f>IF(A15="","",MAX(0,Config!$D$19-COUNTIF(L15:S15,"Sim")-COUNTIF(L15:S15,"N/A")))</f>
        <v>1</v>
      </c>
      <c r="X15" s="24">
        <f>IF(A15="","",V15+W15)</f>
        <v>1</v>
      </c>
      <c r="Y15" s="29" t="str">
        <f>IF(OR(A15="",AA15=""),"",LEFT(AA15,LEN(AA15)-2))</f>
        <v>Agenda de amanhã revisada e confirmações enviadas</v>
      </c>
      <c r="Z15" s="39">
        <f>IF(OR(A15="",X15=0),0,X15*100000+A15/100000)</f>
        <v>100000.46189</v>
      </c>
      <c r="AA15" s="39" t="str">
        <f>IF(A15="","",IF(AND(Config!$B$10&lt;&gt;"",D15&lt;&gt;"Sim",D15&lt;&gt;"N/A"),Config!$B$10&amp;"; ","")&amp;IF(AND(Config!$B$11&lt;&gt;"",E15&lt;&gt;"Sim",E15&lt;&gt;"N/A"),Config!$B$11&amp;"; ","")&amp;IF(AND(Config!$B$12&lt;&gt;"",F15&lt;&gt;"Sim",F15&lt;&gt;"N/A"),Config!$B$12&amp;"; ","")&amp;IF(AND(Config!$B$13&lt;&gt;"",G15&lt;&gt;"Sim",G15&lt;&gt;"N/A"),Config!$B$13&amp;"; ","")&amp;IF(AND(Config!$B$14&lt;&gt;"",H15&lt;&gt;"Sim",H15&lt;&gt;"N/A"),Config!$B$14&amp;"; ","")&amp;IF(AND(Config!$B$15&lt;&gt;"",I15&lt;&gt;"Sim",I15&lt;&gt;"N/A"),Config!$B$15&amp;"; ","")&amp;IF(AND(Config!$B$16&lt;&gt;"",J15&lt;&gt;"Sim",J15&lt;&gt;"N/A"),Config!$B$16&amp;"; ","")&amp;IF(AND(Config!$B$17&lt;&gt;"",K15&lt;&gt;"Sim",K15&lt;&gt;"N/A"),Config!$B$17&amp;"; ","")&amp;IF(AND(Config!$D$10&lt;&gt;"",L15&lt;&gt;"Sim",L15&lt;&gt;"N/A"),Config!$D$10&amp;"; ","")&amp;IF(AND(Config!$D$11&lt;&gt;"",M15&lt;&gt;"Sim",M15&lt;&gt;"N/A"),Config!$D$11&amp;"; ","")&amp;IF(AND(Config!$D$12&lt;&gt;"",N15&lt;&gt;"Sim",N15&lt;&gt;"N/A"),Config!$D$12&amp;"; ","")&amp;IF(AND(Config!$D$13&lt;&gt;"",O15&lt;&gt;"Sim",O15&lt;&gt;"N/A"),Config!$D$13&amp;"; ","")&amp;IF(AND(Config!$D$14&lt;&gt;"",P15&lt;&gt;"Sim",P15&lt;&gt;"N/A"),Config!$D$14&amp;"; ","")&amp;IF(AND(Config!$D$15&lt;&gt;"",Q15&lt;&gt;"Sim",Q15&lt;&gt;"N/A"),Config!$D$15&amp;"; ","")&amp;IF(AND(Config!$D$16&lt;&gt;"",R15&lt;&gt;"Sim",R15&lt;&gt;"N/A"),Config!$D$16&amp;"; ","")&amp;IF(AND(Config!$D$17&lt;&gt;"",S15&lt;&gt;"Sim",S15&lt;&gt;"N/A"),Config!$D$17&amp;"; ",""))</f>
        <v>Agenda de amanhã revisada e confirmações enviadas; </v>
      </c>
      <c r="AB15" s="39">
        <f>IF(A15="",0,COUNTIF($A$5:$A$304,"&gt;"&amp;A15)+1)</f>
        <v>63</v>
      </c>
    </row>
    <row r="16">
      <c r="A16" s="37" t="n">
        <v>46190</v>
      </c>
      <c r="B16" s="24" t="str">
        <f>IF(A16="","",CHOOSE(WEEKDAY(A16,2),"Segunda","Terça","Quarta","Quinta","Sexta","Sábado","Domingo"))</f>
        <v>Quarta</v>
      </c>
      <c r="C16" s="38" t="inlineStr">
        <is>
          <t>Bruna Carvalho</t>
        </is>
      </c>
      <c r="D16" s="38" t="inlineStr">
        <is>
          <t>Sim</t>
        </is>
      </c>
      <c r="E16" s="38" t="inlineStr">
        <is>
          <t>Sim</t>
        </is>
      </c>
      <c r="F16" s="38" t="inlineStr">
        <is>
          <t>Sim</t>
        </is>
      </c>
      <c r="G16" s="38" t="inlineStr">
        <is>
          <t>Sim</t>
        </is>
      </c>
      <c r="H16" s="38" t="inlineStr">
        <is>
          <t>Sim</t>
        </is>
      </c>
      <c r="I16" s="38" t="inlineStr">
        <is>
          <t>N/A</t>
        </is>
      </c>
      <c r="J16" s="38" t="n"/>
      <c r="K16" s="38" t="n"/>
      <c r="L16" s="38" t="inlineStr">
        <is>
          <t>Não</t>
        </is>
      </c>
      <c r="M16" s="38" t="inlineStr">
        <is>
          <t>Sim</t>
        </is>
      </c>
      <c r="N16" s="38" t="inlineStr">
        <is>
          <t>Sim</t>
        </is>
      </c>
      <c r="O16" s="38" t="inlineStr">
        <is>
          <t>Sim</t>
        </is>
      </c>
      <c r="P16" s="38" t="inlineStr">
        <is>
          <t>Sim</t>
        </is>
      </c>
      <c r="Q16" s="38" t="inlineStr">
        <is>
          <t>Sim</t>
        </is>
      </c>
      <c r="R16" s="38" t="n"/>
      <c r="S16" s="38" t="n"/>
      <c r="T16" s="26">
        <f>IF(A16="","",IFERROR(COUNTIF(D16:K16,"Sim")/(Config!$B$19-COUNTIF(D16:K16,"N/A")),""))</f>
        <v>1</v>
      </c>
      <c r="U16" s="26">
        <f>IF(A16="","",IFERROR(COUNTIF(L16:S16,"Sim")/(Config!$D$19-COUNTIF(L16:S16,"N/A")),""))</f>
        <v>0.833333333333333</v>
      </c>
      <c r="V16" s="24">
        <f>IF(A16="","",MAX(0,Config!$B$19-COUNTIF(D16:K16,"Sim")-COUNTIF(D16:K16,"N/A")))</f>
        <v>0</v>
      </c>
      <c r="W16" s="24">
        <f>IF(A16="","",MAX(0,Config!$D$19-COUNTIF(L16:S16,"Sim")-COUNTIF(L16:S16,"N/A")))</f>
        <v>1</v>
      </c>
      <c r="X16" s="24">
        <f>IF(A16="","",V16+W16)</f>
        <v>1</v>
      </c>
      <c r="Y16" s="29" t="str">
        <f>IF(OR(A16="",AA16=""),"",LEFT(AA16,LEN(AA16)-2))</f>
        <v>Caixa do dia fechado e conferido (Pix, cartão, dinheiro)</v>
      </c>
      <c r="Z16" s="39">
        <f>IF(OR(A16="",X16=0),0,X16*100000+A16/100000)</f>
        <v>100000.4619</v>
      </c>
      <c r="AA16" s="39" t="str">
        <f>IF(A16="","",IF(AND(Config!$B$10&lt;&gt;"",D16&lt;&gt;"Sim",D16&lt;&gt;"N/A"),Config!$B$10&amp;"; ","")&amp;IF(AND(Config!$B$11&lt;&gt;"",E16&lt;&gt;"Sim",E16&lt;&gt;"N/A"),Config!$B$11&amp;"; ","")&amp;IF(AND(Config!$B$12&lt;&gt;"",F16&lt;&gt;"Sim",F16&lt;&gt;"N/A"),Config!$B$12&amp;"; ","")&amp;IF(AND(Config!$B$13&lt;&gt;"",G16&lt;&gt;"Sim",G16&lt;&gt;"N/A"),Config!$B$13&amp;"; ","")&amp;IF(AND(Config!$B$14&lt;&gt;"",H16&lt;&gt;"Sim",H16&lt;&gt;"N/A"),Config!$B$14&amp;"; ","")&amp;IF(AND(Config!$B$15&lt;&gt;"",I16&lt;&gt;"Sim",I16&lt;&gt;"N/A"),Config!$B$15&amp;"; ","")&amp;IF(AND(Config!$B$16&lt;&gt;"",J16&lt;&gt;"Sim",J16&lt;&gt;"N/A"),Config!$B$16&amp;"; ","")&amp;IF(AND(Config!$B$17&lt;&gt;"",K16&lt;&gt;"Sim",K16&lt;&gt;"N/A"),Config!$B$17&amp;"; ","")&amp;IF(AND(Config!$D$10&lt;&gt;"",L16&lt;&gt;"Sim",L16&lt;&gt;"N/A"),Config!$D$10&amp;"; ","")&amp;IF(AND(Config!$D$11&lt;&gt;"",M16&lt;&gt;"Sim",M16&lt;&gt;"N/A"),Config!$D$11&amp;"; ","")&amp;IF(AND(Config!$D$12&lt;&gt;"",N16&lt;&gt;"Sim",N16&lt;&gt;"N/A"),Config!$D$12&amp;"; ","")&amp;IF(AND(Config!$D$13&lt;&gt;"",O16&lt;&gt;"Sim",O16&lt;&gt;"N/A"),Config!$D$13&amp;"; ","")&amp;IF(AND(Config!$D$14&lt;&gt;"",P16&lt;&gt;"Sim",P16&lt;&gt;"N/A"),Config!$D$14&amp;"; ","")&amp;IF(AND(Config!$D$15&lt;&gt;"",Q16&lt;&gt;"Sim",Q16&lt;&gt;"N/A"),Config!$D$15&amp;"; ","")&amp;IF(AND(Config!$D$16&lt;&gt;"",R16&lt;&gt;"Sim",R16&lt;&gt;"N/A"),Config!$D$16&amp;"; ","")&amp;IF(AND(Config!$D$17&lt;&gt;"",S16&lt;&gt;"Sim",S16&lt;&gt;"N/A"),Config!$D$17&amp;"; ",""))</f>
        <v>Caixa do dia fechado e conferido (Pix, cartão, dinheiro); </v>
      </c>
      <c r="AB16" s="39">
        <f>IF(A16="",0,COUNTIF($A$5:$A$304,"&gt;"&amp;A16)+1)</f>
        <v>62</v>
      </c>
    </row>
    <row r="17">
      <c r="A17" s="37" t="n">
        <v>46191</v>
      </c>
      <c r="B17" s="24" t="str">
        <f>IF(A17="","",CHOOSE(WEEKDAY(A17,2),"Segunda","Terça","Quarta","Quinta","Sexta","Sábado","Domingo"))</f>
        <v>Quinta</v>
      </c>
      <c r="C17" s="38" t="inlineStr">
        <is>
          <t>Bruna Carvalho</t>
        </is>
      </c>
      <c r="D17" s="38" t="inlineStr">
        <is>
          <t>Sim</t>
        </is>
      </c>
      <c r="E17" s="38" t="inlineStr">
        <is>
          <t>Sim</t>
        </is>
      </c>
      <c r="F17" s="38" t="inlineStr">
        <is>
          <t>Sim</t>
        </is>
      </c>
      <c r="G17" s="38" t="inlineStr">
        <is>
          <t>Sim</t>
        </is>
      </c>
      <c r="H17" s="38" t="inlineStr">
        <is>
          <t>Sim</t>
        </is>
      </c>
      <c r="I17" s="38" t="inlineStr">
        <is>
          <t>N/A</t>
        </is>
      </c>
      <c r="J17" s="38" t="n"/>
      <c r="K17" s="38" t="n"/>
      <c r="L17" s="38" t="inlineStr">
        <is>
          <t>Sim</t>
        </is>
      </c>
      <c r="M17" s="38" t="inlineStr">
        <is>
          <t>Sim</t>
        </is>
      </c>
      <c r="N17" s="38" t="inlineStr">
        <is>
          <t>Sim</t>
        </is>
      </c>
      <c r="O17" s="38" t="inlineStr">
        <is>
          <t>Sim</t>
        </is>
      </c>
      <c r="P17" s="38" t="inlineStr">
        <is>
          <t>Sim</t>
        </is>
      </c>
      <c r="Q17" s="38" t="inlineStr">
        <is>
          <t>Sim</t>
        </is>
      </c>
      <c r="R17" s="38" t="n"/>
      <c r="S17" s="38" t="n"/>
      <c r="T17" s="26">
        <f>IF(A17="","",IFERROR(COUNTIF(D17:K17,"Sim")/(Config!$B$19-COUNTIF(D17:K17,"N/A")),""))</f>
        <v>1</v>
      </c>
      <c r="U17" s="26">
        <f>IF(A17="","",IFERROR(COUNTIF(L17:S17,"Sim")/(Config!$D$19-COUNTIF(L17:S17,"N/A")),""))</f>
        <v>1</v>
      </c>
      <c r="V17" s="24">
        <f>IF(A17="","",MAX(0,Config!$B$19-COUNTIF(D17:K17,"Sim")-COUNTIF(D17:K17,"N/A")))</f>
        <v>0</v>
      </c>
      <c r="W17" s="24">
        <f>IF(A17="","",MAX(0,Config!$D$19-COUNTIF(L17:S17,"Sim")-COUNTIF(L17:S17,"N/A")))</f>
        <v>0</v>
      </c>
      <c r="X17" s="24">
        <f>IF(A17="","",V17+W17)</f>
        <v>0</v>
      </c>
      <c r="Y17" s="29">
        <f>IF(OR(A17="",AA17=""),"",LEFT(AA17,LEN(AA17)-2))</f>
        <v/>
      </c>
      <c r="Z17" s="39">
        <f>IF(OR(A17="",X17=0),0,X17*100000+A17/100000)</f>
        <v>0</v>
      </c>
      <c r="AA17" s="39">
        <f>IF(A17="","",IF(AND(Config!$B$10&lt;&gt;"",D17&lt;&gt;"Sim",D17&lt;&gt;"N/A"),Config!$B$10&amp;"; ","")&amp;IF(AND(Config!$B$11&lt;&gt;"",E17&lt;&gt;"Sim",E17&lt;&gt;"N/A"),Config!$B$11&amp;"; ","")&amp;IF(AND(Config!$B$12&lt;&gt;"",F17&lt;&gt;"Sim",F17&lt;&gt;"N/A"),Config!$B$12&amp;"; ","")&amp;IF(AND(Config!$B$13&lt;&gt;"",G17&lt;&gt;"Sim",G17&lt;&gt;"N/A"),Config!$B$13&amp;"; ","")&amp;IF(AND(Config!$B$14&lt;&gt;"",H17&lt;&gt;"Sim",H17&lt;&gt;"N/A"),Config!$B$14&amp;"; ","")&amp;IF(AND(Config!$B$15&lt;&gt;"",I17&lt;&gt;"Sim",I17&lt;&gt;"N/A"),Config!$B$15&amp;"; ","")&amp;IF(AND(Config!$B$16&lt;&gt;"",J17&lt;&gt;"Sim",J17&lt;&gt;"N/A"),Config!$B$16&amp;"; ","")&amp;IF(AND(Config!$B$17&lt;&gt;"",K17&lt;&gt;"Sim",K17&lt;&gt;"N/A"),Config!$B$17&amp;"; ","")&amp;IF(AND(Config!$D$10&lt;&gt;"",L17&lt;&gt;"Sim",L17&lt;&gt;"N/A"),Config!$D$10&amp;"; ","")&amp;IF(AND(Config!$D$11&lt;&gt;"",M17&lt;&gt;"Sim",M17&lt;&gt;"N/A"),Config!$D$11&amp;"; ","")&amp;IF(AND(Config!$D$12&lt;&gt;"",N17&lt;&gt;"Sim",N17&lt;&gt;"N/A"),Config!$D$12&amp;"; ","")&amp;IF(AND(Config!$D$13&lt;&gt;"",O17&lt;&gt;"Sim",O17&lt;&gt;"N/A"),Config!$D$13&amp;"; ","")&amp;IF(AND(Config!$D$14&lt;&gt;"",P17&lt;&gt;"Sim",P17&lt;&gt;"N/A"),Config!$D$14&amp;"; ","")&amp;IF(AND(Config!$D$15&lt;&gt;"",Q17&lt;&gt;"Sim",Q17&lt;&gt;"N/A"),Config!$D$15&amp;"; ","")&amp;IF(AND(Config!$D$16&lt;&gt;"",R17&lt;&gt;"Sim",R17&lt;&gt;"N/A"),Config!$D$16&amp;"; ","")&amp;IF(AND(Config!$D$17&lt;&gt;"",S17&lt;&gt;"Sim",S17&lt;&gt;"N/A"),Config!$D$17&amp;"; ",""))</f>
        <v/>
      </c>
      <c r="AB17" s="39">
        <f>IF(A17="",0,COUNTIF($A$5:$A$304,"&gt;"&amp;A17)+1)</f>
        <v>61</v>
      </c>
    </row>
    <row r="18">
      <c r="A18" s="37" t="n">
        <v>46192</v>
      </c>
      <c r="B18" s="24" t="str">
        <f>IF(A18="","",CHOOSE(WEEKDAY(A18,2),"Segunda","Terça","Quarta","Quinta","Sexta","Sábado","Domingo"))</f>
        <v>Sexta</v>
      </c>
      <c r="C18" s="38" t="inlineStr">
        <is>
          <t>Bruna Carvalho</t>
        </is>
      </c>
      <c r="D18" s="38" t="inlineStr">
        <is>
          <t>Sim</t>
        </is>
      </c>
      <c r="E18" s="38" t="inlineStr">
        <is>
          <t>Sim</t>
        </is>
      </c>
      <c r="F18" s="38" t="inlineStr">
        <is>
          <t>Sim</t>
        </is>
      </c>
      <c r="G18" s="38" t="inlineStr">
        <is>
          <t>Sim</t>
        </is>
      </c>
      <c r="H18" s="38" t="inlineStr">
        <is>
          <t>Sim</t>
        </is>
      </c>
      <c r="I18" s="38" t="inlineStr">
        <is>
          <t>Sim</t>
        </is>
      </c>
      <c r="J18" s="38" t="n"/>
      <c r="K18" s="38" t="n"/>
      <c r="L18" s="38" t="inlineStr">
        <is>
          <t>Sim</t>
        </is>
      </c>
      <c r="M18" s="38" t="inlineStr">
        <is>
          <t>Sim</t>
        </is>
      </c>
      <c r="N18" s="38" t="inlineStr">
        <is>
          <t>Sim</t>
        </is>
      </c>
      <c r="O18" s="38" t="inlineStr">
        <is>
          <t>Sim</t>
        </is>
      </c>
      <c r="P18" s="38" t="inlineStr">
        <is>
          <t>Sim</t>
        </is>
      </c>
      <c r="Q18" s="38" t="inlineStr">
        <is>
          <t>Sim</t>
        </is>
      </c>
      <c r="R18" s="38" t="n"/>
      <c r="S18" s="38" t="n"/>
      <c r="T18" s="26">
        <f>IF(A18="","",IFERROR(COUNTIF(D18:K18,"Sim")/(Config!$B$19-COUNTIF(D18:K18,"N/A")),""))</f>
        <v>1</v>
      </c>
      <c r="U18" s="26">
        <f>IF(A18="","",IFERROR(COUNTIF(L18:S18,"Sim")/(Config!$D$19-COUNTIF(L18:S18,"N/A")),""))</f>
        <v>1</v>
      </c>
      <c r="V18" s="24">
        <f>IF(A18="","",MAX(0,Config!$B$19-COUNTIF(D18:K18,"Sim")-COUNTIF(D18:K18,"N/A")))</f>
        <v>0</v>
      </c>
      <c r="W18" s="24">
        <f>IF(A18="","",MAX(0,Config!$D$19-COUNTIF(L18:S18,"Sim")-COUNTIF(L18:S18,"N/A")))</f>
        <v>0</v>
      </c>
      <c r="X18" s="24">
        <f>IF(A18="","",V18+W18)</f>
        <v>0</v>
      </c>
      <c r="Y18" s="29">
        <f>IF(OR(A18="",AA18=""),"",LEFT(AA18,LEN(AA18)-2))</f>
        <v/>
      </c>
      <c r="Z18" s="39">
        <f>IF(OR(A18="",X18=0),0,X18*100000+A18/100000)</f>
        <v>0</v>
      </c>
      <c r="AA18" s="39">
        <f>IF(A18="","",IF(AND(Config!$B$10&lt;&gt;"",D18&lt;&gt;"Sim",D18&lt;&gt;"N/A"),Config!$B$10&amp;"; ","")&amp;IF(AND(Config!$B$11&lt;&gt;"",E18&lt;&gt;"Sim",E18&lt;&gt;"N/A"),Config!$B$11&amp;"; ","")&amp;IF(AND(Config!$B$12&lt;&gt;"",F18&lt;&gt;"Sim",F18&lt;&gt;"N/A"),Config!$B$12&amp;"; ","")&amp;IF(AND(Config!$B$13&lt;&gt;"",G18&lt;&gt;"Sim",G18&lt;&gt;"N/A"),Config!$B$13&amp;"; ","")&amp;IF(AND(Config!$B$14&lt;&gt;"",H18&lt;&gt;"Sim",H18&lt;&gt;"N/A"),Config!$B$14&amp;"; ","")&amp;IF(AND(Config!$B$15&lt;&gt;"",I18&lt;&gt;"Sim",I18&lt;&gt;"N/A"),Config!$B$15&amp;"; ","")&amp;IF(AND(Config!$B$16&lt;&gt;"",J18&lt;&gt;"Sim",J18&lt;&gt;"N/A"),Config!$B$16&amp;"; ","")&amp;IF(AND(Config!$B$17&lt;&gt;"",K18&lt;&gt;"Sim",K18&lt;&gt;"N/A"),Config!$B$17&amp;"; ","")&amp;IF(AND(Config!$D$10&lt;&gt;"",L18&lt;&gt;"Sim",L18&lt;&gt;"N/A"),Config!$D$10&amp;"; ","")&amp;IF(AND(Config!$D$11&lt;&gt;"",M18&lt;&gt;"Sim",M18&lt;&gt;"N/A"),Config!$D$11&amp;"; ","")&amp;IF(AND(Config!$D$12&lt;&gt;"",N18&lt;&gt;"Sim",N18&lt;&gt;"N/A"),Config!$D$12&amp;"; ","")&amp;IF(AND(Config!$D$13&lt;&gt;"",O18&lt;&gt;"Sim",O18&lt;&gt;"N/A"),Config!$D$13&amp;"; ","")&amp;IF(AND(Config!$D$14&lt;&gt;"",P18&lt;&gt;"Sim",P18&lt;&gt;"N/A"),Config!$D$14&amp;"; ","")&amp;IF(AND(Config!$D$15&lt;&gt;"",Q18&lt;&gt;"Sim",Q18&lt;&gt;"N/A"),Config!$D$15&amp;"; ","")&amp;IF(AND(Config!$D$16&lt;&gt;"",R18&lt;&gt;"Sim",R18&lt;&gt;"N/A"),Config!$D$16&amp;"; ","")&amp;IF(AND(Config!$D$17&lt;&gt;"",S18&lt;&gt;"Sim",S18&lt;&gt;"N/A"),Config!$D$17&amp;"; ",""))</f>
        <v/>
      </c>
      <c r="AB18" s="39">
        <f>IF(A18="",0,COUNTIF($A$5:$A$304,"&gt;"&amp;A18)+1)</f>
        <v>60</v>
      </c>
    </row>
    <row r="19">
      <c r="A19" s="37" t="n">
        <v>46195</v>
      </c>
      <c r="B19" s="24" t="str">
        <f>IF(A19="","",CHOOSE(WEEKDAY(A19,2),"Segunda","Terça","Quarta","Quinta","Sexta","Sábado","Domingo"))</f>
        <v>Segunda</v>
      </c>
      <c r="C19" s="38" t="inlineStr">
        <is>
          <t>Bruna Carvalho</t>
        </is>
      </c>
      <c r="D19" s="38" t="inlineStr">
        <is>
          <t>Sim</t>
        </is>
      </c>
      <c r="E19" s="38" t="inlineStr">
        <is>
          <t>Sim</t>
        </is>
      </c>
      <c r="F19" s="38" t="inlineStr">
        <is>
          <t>Sim</t>
        </is>
      </c>
      <c r="G19" s="38" t="inlineStr">
        <is>
          <t>Sim</t>
        </is>
      </c>
      <c r="H19" s="38" t="inlineStr">
        <is>
          <t>Sim</t>
        </is>
      </c>
      <c r="I19" s="38" t="inlineStr">
        <is>
          <t>N/A</t>
        </is>
      </c>
      <c r="J19" s="38" t="n"/>
      <c r="K19" s="38" t="n"/>
      <c r="L19" s="38" t="inlineStr">
        <is>
          <t>Sim</t>
        </is>
      </c>
      <c r="M19" s="38" t="inlineStr">
        <is>
          <t>Sim</t>
        </is>
      </c>
      <c r="N19" s="38" t="inlineStr">
        <is>
          <t>Sim</t>
        </is>
      </c>
      <c r="O19" s="38" t="inlineStr">
        <is>
          <t>Sim</t>
        </is>
      </c>
      <c r="P19" s="38" t="inlineStr">
        <is>
          <t>Sim</t>
        </is>
      </c>
      <c r="Q19" s="38" t="inlineStr">
        <is>
          <t>Sim</t>
        </is>
      </c>
      <c r="R19" s="38" t="n"/>
      <c r="S19" s="38" t="n"/>
      <c r="T19" s="26">
        <f>IF(A19="","",IFERROR(COUNTIF(D19:K19,"Sim")/(Config!$B$19-COUNTIF(D19:K19,"N/A")),""))</f>
        <v>1</v>
      </c>
      <c r="U19" s="26">
        <f>IF(A19="","",IFERROR(COUNTIF(L19:S19,"Sim")/(Config!$D$19-COUNTIF(L19:S19,"N/A")),""))</f>
        <v>1</v>
      </c>
      <c r="V19" s="24">
        <f>IF(A19="","",MAX(0,Config!$B$19-COUNTIF(D19:K19,"Sim")-COUNTIF(D19:K19,"N/A")))</f>
        <v>0</v>
      </c>
      <c r="W19" s="24">
        <f>IF(A19="","",MAX(0,Config!$D$19-COUNTIF(L19:S19,"Sim")-COUNTIF(L19:S19,"N/A")))</f>
        <v>0</v>
      </c>
      <c r="X19" s="24">
        <f>IF(A19="","",V19+W19)</f>
        <v>0</v>
      </c>
      <c r="Y19" s="29">
        <f>IF(OR(A19="",AA19=""),"",LEFT(AA19,LEN(AA19)-2))</f>
        <v/>
      </c>
      <c r="Z19" s="39">
        <f>IF(OR(A19="",X19=0),0,X19*100000+A19/100000)</f>
        <v>0</v>
      </c>
      <c r="AA19" s="39">
        <f>IF(A19="","",IF(AND(Config!$B$10&lt;&gt;"",D19&lt;&gt;"Sim",D19&lt;&gt;"N/A"),Config!$B$10&amp;"; ","")&amp;IF(AND(Config!$B$11&lt;&gt;"",E19&lt;&gt;"Sim",E19&lt;&gt;"N/A"),Config!$B$11&amp;"; ","")&amp;IF(AND(Config!$B$12&lt;&gt;"",F19&lt;&gt;"Sim",F19&lt;&gt;"N/A"),Config!$B$12&amp;"; ","")&amp;IF(AND(Config!$B$13&lt;&gt;"",G19&lt;&gt;"Sim",G19&lt;&gt;"N/A"),Config!$B$13&amp;"; ","")&amp;IF(AND(Config!$B$14&lt;&gt;"",H19&lt;&gt;"Sim",H19&lt;&gt;"N/A"),Config!$B$14&amp;"; ","")&amp;IF(AND(Config!$B$15&lt;&gt;"",I19&lt;&gt;"Sim",I19&lt;&gt;"N/A"),Config!$B$15&amp;"; ","")&amp;IF(AND(Config!$B$16&lt;&gt;"",J19&lt;&gt;"Sim",J19&lt;&gt;"N/A"),Config!$B$16&amp;"; ","")&amp;IF(AND(Config!$B$17&lt;&gt;"",K19&lt;&gt;"Sim",K19&lt;&gt;"N/A"),Config!$B$17&amp;"; ","")&amp;IF(AND(Config!$D$10&lt;&gt;"",L19&lt;&gt;"Sim",L19&lt;&gt;"N/A"),Config!$D$10&amp;"; ","")&amp;IF(AND(Config!$D$11&lt;&gt;"",M19&lt;&gt;"Sim",M19&lt;&gt;"N/A"),Config!$D$11&amp;"; ","")&amp;IF(AND(Config!$D$12&lt;&gt;"",N19&lt;&gt;"Sim",N19&lt;&gt;"N/A"),Config!$D$12&amp;"; ","")&amp;IF(AND(Config!$D$13&lt;&gt;"",O19&lt;&gt;"Sim",O19&lt;&gt;"N/A"),Config!$D$13&amp;"; ","")&amp;IF(AND(Config!$D$14&lt;&gt;"",P19&lt;&gt;"Sim",P19&lt;&gt;"N/A"),Config!$D$14&amp;"; ","")&amp;IF(AND(Config!$D$15&lt;&gt;"",Q19&lt;&gt;"Sim",Q19&lt;&gt;"N/A"),Config!$D$15&amp;"; ","")&amp;IF(AND(Config!$D$16&lt;&gt;"",R19&lt;&gt;"Sim",R19&lt;&gt;"N/A"),Config!$D$16&amp;"; ","")&amp;IF(AND(Config!$D$17&lt;&gt;"",S19&lt;&gt;"Sim",S19&lt;&gt;"N/A"),Config!$D$17&amp;"; ",""))</f>
        <v/>
      </c>
      <c r="AB19" s="39">
        <f>IF(A19="",0,COUNTIF($A$5:$A$304,"&gt;"&amp;A19)+1)</f>
        <v>59</v>
      </c>
    </row>
    <row r="20">
      <c r="A20" s="37" t="n">
        <v>46196</v>
      </c>
      <c r="B20" s="24" t="str">
        <f>IF(A20="","",CHOOSE(WEEKDAY(A20,2),"Segunda","Terça","Quarta","Quinta","Sexta","Sábado","Domingo"))</f>
        <v>Terça</v>
      </c>
      <c r="C20" s="38" t="inlineStr">
        <is>
          <t>Bruna Carvalho</t>
        </is>
      </c>
      <c r="D20" s="38" t="inlineStr">
        <is>
          <t>Sim</t>
        </is>
      </c>
      <c r="E20" s="38" t="inlineStr">
        <is>
          <t>Sim</t>
        </is>
      </c>
      <c r="F20" s="38" t="inlineStr">
        <is>
          <t>Sim</t>
        </is>
      </c>
      <c r="G20" s="38" t="inlineStr">
        <is>
          <t>Sim</t>
        </is>
      </c>
      <c r="H20" s="38" t="inlineStr">
        <is>
          <t>Sim</t>
        </is>
      </c>
      <c r="I20" s="38" t="inlineStr">
        <is>
          <t>N/A</t>
        </is>
      </c>
      <c r="J20" s="38" t="n"/>
      <c r="K20" s="38" t="n"/>
      <c r="L20" s="38" t="inlineStr">
        <is>
          <t>Sim</t>
        </is>
      </c>
      <c r="M20" s="38" t="inlineStr">
        <is>
          <t>Sim</t>
        </is>
      </c>
      <c r="N20" s="38" t="inlineStr">
        <is>
          <t>Sim</t>
        </is>
      </c>
      <c r="O20" s="38" t="inlineStr">
        <is>
          <t>Sim</t>
        </is>
      </c>
      <c r="P20" s="38" t="inlineStr">
        <is>
          <t>Não</t>
        </is>
      </c>
      <c r="Q20" s="38" t="inlineStr">
        <is>
          <t>Sim</t>
        </is>
      </c>
      <c r="R20" s="38" t="n"/>
      <c r="S20" s="38" t="n"/>
      <c r="T20" s="26">
        <f>IF(A20="","",IFERROR(COUNTIF(D20:K20,"Sim")/(Config!$B$19-COUNTIF(D20:K20,"N/A")),""))</f>
        <v>1</v>
      </c>
      <c r="U20" s="26">
        <f>IF(A20="","",IFERROR(COUNTIF(L20:S20,"Sim")/(Config!$D$19-COUNTIF(L20:S20,"N/A")),""))</f>
        <v>0.833333333333333</v>
      </c>
      <c r="V20" s="24">
        <f>IF(A20="","",MAX(0,Config!$B$19-COUNTIF(D20:K20,"Sim")-COUNTIF(D20:K20,"N/A")))</f>
        <v>0</v>
      </c>
      <c r="W20" s="24">
        <f>IF(A20="","",MAX(0,Config!$D$19-COUNTIF(L20:S20,"Sim")-COUNTIF(L20:S20,"N/A")))</f>
        <v>1</v>
      </c>
      <c r="X20" s="24">
        <f>IF(A20="","",V20+W20)</f>
        <v>1</v>
      </c>
      <c r="Y20" s="29" t="str">
        <f>IF(OR(A20="",AA20=""),"",LEFT(AA20,LEN(AA20)-2))</f>
        <v>Retornos e exames do dia agendados</v>
      </c>
      <c r="Z20" s="39">
        <f>IF(OR(A20="",X20=0),0,X20*100000+A20/100000)</f>
        <v>100000.46196</v>
      </c>
      <c r="AA20" s="39" t="str">
        <f>IF(A20="","",IF(AND(Config!$B$10&lt;&gt;"",D20&lt;&gt;"Sim",D20&lt;&gt;"N/A"),Config!$B$10&amp;"; ","")&amp;IF(AND(Config!$B$11&lt;&gt;"",E20&lt;&gt;"Sim",E20&lt;&gt;"N/A"),Config!$B$11&amp;"; ","")&amp;IF(AND(Config!$B$12&lt;&gt;"",F20&lt;&gt;"Sim",F20&lt;&gt;"N/A"),Config!$B$12&amp;"; ","")&amp;IF(AND(Config!$B$13&lt;&gt;"",G20&lt;&gt;"Sim",G20&lt;&gt;"N/A"),Config!$B$13&amp;"; ","")&amp;IF(AND(Config!$B$14&lt;&gt;"",H20&lt;&gt;"Sim",H20&lt;&gt;"N/A"),Config!$B$14&amp;"; ","")&amp;IF(AND(Config!$B$15&lt;&gt;"",I20&lt;&gt;"Sim",I20&lt;&gt;"N/A"),Config!$B$15&amp;"; ","")&amp;IF(AND(Config!$B$16&lt;&gt;"",J20&lt;&gt;"Sim",J20&lt;&gt;"N/A"),Config!$B$16&amp;"; ","")&amp;IF(AND(Config!$B$17&lt;&gt;"",K20&lt;&gt;"Sim",K20&lt;&gt;"N/A"),Config!$B$17&amp;"; ","")&amp;IF(AND(Config!$D$10&lt;&gt;"",L20&lt;&gt;"Sim",L20&lt;&gt;"N/A"),Config!$D$10&amp;"; ","")&amp;IF(AND(Config!$D$11&lt;&gt;"",M20&lt;&gt;"Sim",M20&lt;&gt;"N/A"),Config!$D$11&amp;"; ","")&amp;IF(AND(Config!$D$12&lt;&gt;"",N20&lt;&gt;"Sim",N20&lt;&gt;"N/A"),Config!$D$12&amp;"; ","")&amp;IF(AND(Config!$D$13&lt;&gt;"",O20&lt;&gt;"Sim",O20&lt;&gt;"N/A"),Config!$D$13&amp;"; ","")&amp;IF(AND(Config!$D$14&lt;&gt;"",P20&lt;&gt;"Sim",P20&lt;&gt;"N/A"),Config!$D$14&amp;"; ","")&amp;IF(AND(Config!$D$15&lt;&gt;"",Q20&lt;&gt;"Sim",Q20&lt;&gt;"N/A"),Config!$D$15&amp;"; ","")&amp;IF(AND(Config!$D$16&lt;&gt;"",R20&lt;&gt;"Sim",R20&lt;&gt;"N/A"),Config!$D$16&amp;"; ","")&amp;IF(AND(Config!$D$17&lt;&gt;"",S20&lt;&gt;"Sim",S20&lt;&gt;"N/A"),Config!$D$17&amp;"; ",""))</f>
        <v>Retornos e exames do dia agendados; </v>
      </c>
      <c r="AB20" s="39">
        <f>IF(A20="",0,COUNTIF($A$5:$A$304,"&gt;"&amp;A20)+1)</f>
        <v>58</v>
      </c>
    </row>
    <row r="21">
      <c r="A21" s="37" t="n">
        <v>46197</v>
      </c>
      <c r="B21" s="24" t="str">
        <f>IF(A21="","",CHOOSE(WEEKDAY(A21,2),"Segunda","Terça","Quarta","Quinta","Sexta","Sábado","Domingo"))</f>
        <v>Quarta</v>
      </c>
      <c r="C21" s="38" t="inlineStr">
        <is>
          <t>Bruna Carvalho</t>
        </is>
      </c>
      <c r="D21" s="38" t="inlineStr">
        <is>
          <t>Não</t>
        </is>
      </c>
      <c r="E21" s="38" t="inlineStr">
        <is>
          <t>Sim</t>
        </is>
      </c>
      <c r="F21" s="38" t="inlineStr">
        <is>
          <t>Sim</t>
        </is>
      </c>
      <c r="G21" s="38" t="inlineStr">
        <is>
          <t>Sim</t>
        </is>
      </c>
      <c r="H21" s="38" t="inlineStr">
        <is>
          <t>Sim</t>
        </is>
      </c>
      <c r="I21" s="38" t="inlineStr">
        <is>
          <t>N/A</t>
        </is>
      </c>
      <c r="J21" s="38" t="n"/>
      <c r="K21" s="38" t="n"/>
      <c r="L21" s="38" t="inlineStr">
        <is>
          <t>Sim</t>
        </is>
      </c>
      <c r="M21" s="38" t="inlineStr">
        <is>
          <t>Sim</t>
        </is>
      </c>
      <c r="N21" s="38" t="inlineStr">
        <is>
          <t>Sim</t>
        </is>
      </c>
      <c r="O21" s="38" t="inlineStr">
        <is>
          <t>Sim</t>
        </is>
      </c>
      <c r="P21" s="38" t="inlineStr">
        <is>
          <t>Sim</t>
        </is>
      </c>
      <c r="Q21" s="38" t="inlineStr">
        <is>
          <t>Sim</t>
        </is>
      </c>
      <c r="R21" s="38" t="n"/>
      <c r="S21" s="38" t="n"/>
      <c r="T21" s="26">
        <f>IF(A21="","",IFERROR(COUNTIF(D21:K21,"Sim")/(Config!$B$19-COUNTIF(D21:K21,"N/A")),""))</f>
        <v>0.8</v>
      </c>
      <c r="U21" s="26">
        <f>IF(A21="","",IFERROR(COUNTIF(L21:S21,"Sim")/(Config!$D$19-COUNTIF(L21:S21,"N/A")),""))</f>
        <v>1</v>
      </c>
      <c r="V21" s="24">
        <f>IF(A21="","",MAX(0,Config!$B$19-COUNTIF(D21:K21,"Sim")-COUNTIF(D21:K21,"N/A")))</f>
        <v>1</v>
      </c>
      <c r="W21" s="24">
        <f>IF(A21="","",MAX(0,Config!$D$19-COUNTIF(L21:S21,"Sim")-COUNTIF(L21:S21,"N/A")))</f>
        <v>0</v>
      </c>
      <c r="X21" s="24">
        <f>IF(A21="","",V21+W21)</f>
        <v>1</v>
      </c>
      <c r="Y21" s="29" t="str">
        <f>IF(OR(A21="",AA21=""),"",LEFT(AA21,LEN(AA21)-2))</f>
        <v>Agenda do dia confirmada (mensagens de véspera respondidas)</v>
      </c>
      <c r="Z21" s="39">
        <f>IF(OR(A21="",X21=0),0,X21*100000+A21/100000)</f>
        <v>100000.46197</v>
      </c>
      <c r="AA21" s="39" t="str">
        <f>IF(A21="","",IF(AND(Config!$B$10&lt;&gt;"",D21&lt;&gt;"Sim",D21&lt;&gt;"N/A"),Config!$B$10&amp;"; ","")&amp;IF(AND(Config!$B$11&lt;&gt;"",E21&lt;&gt;"Sim",E21&lt;&gt;"N/A"),Config!$B$11&amp;"; ","")&amp;IF(AND(Config!$B$12&lt;&gt;"",F21&lt;&gt;"Sim",F21&lt;&gt;"N/A"),Config!$B$12&amp;"; ","")&amp;IF(AND(Config!$B$13&lt;&gt;"",G21&lt;&gt;"Sim",G21&lt;&gt;"N/A"),Config!$B$13&amp;"; ","")&amp;IF(AND(Config!$B$14&lt;&gt;"",H21&lt;&gt;"Sim",H21&lt;&gt;"N/A"),Config!$B$14&amp;"; ","")&amp;IF(AND(Config!$B$15&lt;&gt;"",I21&lt;&gt;"Sim",I21&lt;&gt;"N/A"),Config!$B$15&amp;"; ","")&amp;IF(AND(Config!$B$16&lt;&gt;"",J21&lt;&gt;"Sim",J21&lt;&gt;"N/A"),Config!$B$16&amp;"; ","")&amp;IF(AND(Config!$B$17&lt;&gt;"",K21&lt;&gt;"Sim",K21&lt;&gt;"N/A"),Config!$B$17&amp;"; ","")&amp;IF(AND(Config!$D$10&lt;&gt;"",L21&lt;&gt;"Sim",L21&lt;&gt;"N/A"),Config!$D$10&amp;"; ","")&amp;IF(AND(Config!$D$11&lt;&gt;"",M21&lt;&gt;"Sim",M21&lt;&gt;"N/A"),Config!$D$11&amp;"; ","")&amp;IF(AND(Config!$D$12&lt;&gt;"",N21&lt;&gt;"Sim",N21&lt;&gt;"N/A"),Config!$D$12&amp;"; ","")&amp;IF(AND(Config!$D$13&lt;&gt;"",O21&lt;&gt;"Sim",O21&lt;&gt;"N/A"),Config!$D$13&amp;"; ","")&amp;IF(AND(Config!$D$14&lt;&gt;"",P21&lt;&gt;"Sim",P21&lt;&gt;"N/A"),Config!$D$14&amp;"; ","")&amp;IF(AND(Config!$D$15&lt;&gt;"",Q21&lt;&gt;"Sim",Q21&lt;&gt;"N/A"),Config!$D$15&amp;"; ","")&amp;IF(AND(Config!$D$16&lt;&gt;"",R21&lt;&gt;"Sim",R21&lt;&gt;"N/A"),Config!$D$16&amp;"; ","")&amp;IF(AND(Config!$D$17&lt;&gt;"",S21&lt;&gt;"Sim",S21&lt;&gt;"N/A"),Config!$D$17&amp;"; ",""))</f>
        <v>Agenda do dia confirmada (mensagens de véspera respondidas); </v>
      </c>
      <c r="AB21" s="39">
        <f>IF(A21="",0,COUNTIF($A$5:$A$304,"&gt;"&amp;A21)+1)</f>
        <v>57</v>
      </c>
    </row>
    <row r="22">
      <c r="A22" s="37" t="n">
        <v>46198</v>
      </c>
      <c r="B22" s="24" t="str">
        <f>IF(A22="","",CHOOSE(WEEKDAY(A22,2),"Segunda","Terça","Quarta","Quinta","Sexta","Sábado","Domingo"))</f>
        <v>Quinta</v>
      </c>
      <c r="C22" s="38" t="inlineStr">
        <is>
          <t>Bruna Carvalho</t>
        </is>
      </c>
      <c r="D22" s="38" t="inlineStr">
        <is>
          <t>Sim</t>
        </is>
      </c>
      <c r="E22" s="38" t="inlineStr">
        <is>
          <t>Sim</t>
        </is>
      </c>
      <c r="F22" s="38" t="inlineStr">
        <is>
          <t>Sim</t>
        </is>
      </c>
      <c r="G22" s="38" t="inlineStr">
        <is>
          <t>Sim</t>
        </is>
      </c>
      <c r="H22" s="38" t="inlineStr">
        <is>
          <t>Não</t>
        </is>
      </c>
      <c r="I22" s="38" t="inlineStr">
        <is>
          <t>N/A</t>
        </is>
      </c>
      <c r="J22" s="38" t="n"/>
      <c r="K22" s="38" t="n"/>
      <c r="L22" s="38" t="inlineStr">
        <is>
          <t>Não</t>
        </is>
      </c>
      <c r="M22" s="38" t="inlineStr">
        <is>
          <t>Sim</t>
        </is>
      </c>
      <c r="N22" s="38" t="inlineStr">
        <is>
          <t>Sim</t>
        </is>
      </c>
      <c r="O22" s="38" t="inlineStr">
        <is>
          <t>Sim</t>
        </is>
      </c>
      <c r="P22" s="38" t="inlineStr">
        <is>
          <t>Sim</t>
        </is>
      </c>
      <c r="Q22" s="38" t="inlineStr">
        <is>
          <t>Sim</t>
        </is>
      </c>
      <c r="R22" s="38" t="n"/>
      <c r="S22" s="38" t="n"/>
      <c r="T22" s="26">
        <f>IF(A22="","",IFERROR(COUNTIF(D22:K22,"Sim")/(Config!$B$19-COUNTIF(D22:K22,"N/A")),""))</f>
        <v>0.8</v>
      </c>
      <c r="U22" s="26">
        <f>IF(A22="","",IFERROR(COUNTIF(L22:S22,"Sim")/(Config!$D$19-COUNTIF(L22:S22,"N/A")),""))</f>
        <v>0.833333333333333</v>
      </c>
      <c r="V22" s="24">
        <f>IF(A22="","",MAX(0,Config!$B$19-COUNTIF(D22:K22,"Sim")-COUNTIF(D22:K22,"N/A")))</f>
        <v>1</v>
      </c>
      <c r="W22" s="24">
        <f>IF(A22="","",MAX(0,Config!$D$19-COUNTIF(L22:S22,"Sim")-COUNTIF(L22:S22,"N/A")))</f>
        <v>1</v>
      </c>
      <c r="X22" s="24">
        <f>IF(A22="","",V22+W22)</f>
        <v>2</v>
      </c>
      <c r="Y22" s="29" t="str">
        <f>IF(OR(A22="",AA22=""),"",LEFT(AA22,LEN(AA22)-2))</f>
        <v>Troco e maquininha conferidos; Caixa do dia fechado e conferido (Pix, cartão, dinheiro)</v>
      </c>
      <c r="Z22" s="39">
        <f>IF(OR(A22="",X22=0),0,X22*100000+A22/100000)</f>
        <v>200000.46198</v>
      </c>
      <c r="AA22" s="39" t="str">
        <f>IF(A22="","",IF(AND(Config!$B$10&lt;&gt;"",D22&lt;&gt;"Sim",D22&lt;&gt;"N/A"),Config!$B$10&amp;"; ","")&amp;IF(AND(Config!$B$11&lt;&gt;"",E22&lt;&gt;"Sim",E22&lt;&gt;"N/A"),Config!$B$11&amp;"; ","")&amp;IF(AND(Config!$B$12&lt;&gt;"",F22&lt;&gt;"Sim",F22&lt;&gt;"N/A"),Config!$B$12&amp;"; ","")&amp;IF(AND(Config!$B$13&lt;&gt;"",G22&lt;&gt;"Sim",G22&lt;&gt;"N/A"),Config!$B$13&amp;"; ","")&amp;IF(AND(Config!$B$14&lt;&gt;"",H22&lt;&gt;"Sim",H22&lt;&gt;"N/A"),Config!$B$14&amp;"; ","")&amp;IF(AND(Config!$B$15&lt;&gt;"",I22&lt;&gt;"Sim",I22&lt;&gt;"N/A"),Config!$B$15&amp;"; ","")&amp;IF(AND(Config!$B$16&lt;&gt;"",J22&lt;&gt;"Sim",J22&lt;&gt;"N/A"),Config!$B$16&amp;"; ","")&amp;IF(AND(Config!$B$17&lt;&gt;"",K22&lt;&gt;"Sim",K22&lt;&gt;"N/A"),Config!$B$17&amp;"; ","")&amp;IF(AND(Config!$D$10&lt;&gt;"",L22&lt;&gt;"Sim",L22&lt;&gt;"N/A"),Config!$D$10&amp;"; ","")&amp;IF(AND(Config!$D$11&lt;&gt;"",M22&lt;&gt;"Sim",M22&lt;&gt;"N/A"),Config!$D$11&amp;"; ","")&amp;IF(AND(Config!$D$12&lt;&gt;"",N22&lt;&gt;"Sim",N22&lt;&gt;"N/A"),Config!$D$12&amp;"; ","")&amp;IF(AND(Config!$D$13&lt;&gt;"",O22&lt;&gt;"Sim",O22&lt;&gt;"N/A"),Config!$D$13&amp;"; ","")&amp;IF(AND(Config!$D$14&lt;&gt;"",P22&lt;&gt;"Sim",P22&lt;&gt;"N/A"),Config!$D$14&amp;"; ","")&amp;IF(AND(Config!$D$15&lt;&gt;"",Q22&lt;&gt;"Sim",Q22&lt;&gt;"N/A"),Config!$D$15&amp;"; ","")&amp;IF(AND(Config!$D$16&lt;&gt;"",R22&lt;&gt;"Sim",R22&lt;&gt;"N/A"),Config!$D$16&amp;"; ","")&amp;IF(AND(Config!$D$17&lt;&gt;"",S22&lt;&gt;"Sim",S22&lt;&gt;"N/A"),Config!$D$17&amp;"; ",""))</f>
        <v>Troco e maquininha conferidos; Caixa do dia fechado e conferido (Pix, cartão, dinheiro); </v>
      </c>
      <c r="AB22" s="39">
        <f>IF(A22="",0,COUNTIF($A$5:$A$304,"&gt;"&amp;A22)+1)</f>
        <v>56</v>
      </c>
    </row>
    <row r="23">
      <c r="A23" s="37" t="n">
        <v>46199</v>
      </c>
      <c r="B23" s="24" t="str">
        <f>IF(A23="","",CHOOSE(WEEKDAY(A23,2),"Segunda","Terça","Quarta","Quinta","Sexta","Sábado","Domingo"))</f>
        <v>Sexta</v>
      </c>
      <c r="C23" s="38" t="inlineStr">
        <is>
          <t>Bruna Carvalho</t>
        </is>
      </c>
      <c r="D23" s="38" t="inlineStr">
        <is>
          <t>Sim</t>
        </is>
      </c>
      <c r="E23" s="38" t="inlineStr">
        <is>
          <t>Sim</t>
        </is>
      </c>
      <c r="F23" s="38" t="inlineStr">
        <is>
          <t>Sim</t>
        </is>
      </c>
      <c r="G23" s="38" t="inlineStr">
        <is>
          <t>Não</t>
        </is>
      </c>
      <c r="H23" s="38" t="inlineStr">
        <is>
          <t>Sim</t>
        </is>
      </c>
      <c r="I23" s="38" t="inlineStr">
        <is>
          <t>Sim</t>
        </is>
      </c>
      <c r="J23" s="38" t="n"/>
      <c r="K23" s="38" t="n"/>
      <c r="L23" s="38" t="inlineStr">
        <is>
          <t>Sim</t>
        </is>
      </c>
      <c r="M23" s="38" t="inlineStr">
        <is>
          <t>Sim</t>
        </is>
      </c>
      <c r="N23" s="38" t="inlineStr">
        <is>
          <t>Sim</t>
        </is>
      </c>
      <c r="O23" s="38" t="inlineStr">
        <is>
          <t>Sim</t>
        </is>
      </c>
      <c r="P23" s="38" t="inlineStr">
        <is>
          <t>Sim</t>
        </is>
      </c>
      <c r="Q23" s="38" t="inlineStr">
        <is>
          <t>Sim</t>
        </is>
      </c>
      <c r="R23" s="38" t="n"/>
      <c r="S23" s="38" t="n"/>
      <c r="T23" s="26">
        <f>IF(A23="","",IFERROR(COUNTIF(D23:K23,"Sim")/(Config!$B$19-COUNTIF(D23:K23,"N/A")),""))</f>
        <v>0.833333333333333</v>
      </c>
      <c r="U23" s="26">
        <f>IF(A23="","",IFERROR(COUNTIF(L23:S23,"Sim")/(Config!$D$19-COUNTIF(L23:S23,"N/A")),""))</f>
        <v>1</v>
      </c>
      <c r="V23" s="24">
        <f>IF(A23="","",MAX(0,Config!$B$19-COUNTIF(D23:K23,"Sim")-COUNTIF(D23:K23,"N/A")))</f>
        <v>1</v>
      </c>
      <c r="W23" s="24">
        <f>IF(A23="","",MAX(0,Config!$D$19-COUNTIF(L23:S23,"Sim")-COUNTIF(L23:S23,"N/A")))</f>
        <v>0</v>
      </c>
      <c r="X23" s="24">
        <f>IF(A23="","",V23+W23)</f>
        <v>1</v>
      </c>
      <c r="Y23" s="29" t="str">
        <f>IF(OR(A23="",AA23=""),"",LEFT(AA23,LEN(AA23)-2))</f>
        <v>Guias e autorizações de convênio do dia separadas</v>
      </c>
      <c r="Z23" s="39">
        <f>IF(OR(A23="",X23=0),0,X23*100000+A23/100000)</f>
        <v>100000.46199</v>
      </c>
      <c r="AA23" s="39" t="str">
        <f>IF(A23="","",IF(AND(Config!$B$10&lt;&gt;"",D23&lt;&gt;"Sim",D23&lt;&gt;"N/A"),Config!$B$10&amp;"; ","")&amp;IF(AND(Config!$B$11&lt;&gt;"",E23&lt;&gt;"Sim",E23&lt;&gt;"N/A"),Config!$B$11&amp;"; ","")&amp;IF(AND(Config!$B$12&lt;&gt;"",F23&lt;&gt;"Sim",F23&lt;&gt;"N/A"),Config!$B$12&amp;"; ","")&amp;IF(AND(Config!$B$13&lt;&gt;"",G23&lt;&gt;"Sim",G23&lt;&gt;"N/A"),Config!$B$13&amp;"; ","")&amp;IF(AND(Config!$B$14&lt;&gt;"",H23&lt;&gt;"Sim",H23&lt;&gt;"N/A"),Config!$B$14&amp;"; ","")&amp;IF(AND(Config!$B$15&lt;&gt;"",I23&lt;&gt;"Sim",I23&lt;&gt;"N/A"),Config!$B$15&amp;"; ","")&amp;IF(AND(Config!$B$16&lt;&gt;"",J23&lt;&gt;"Sim",J23&lt;&gt;"N/A"),Config!$B$16&amp;"; ","")&amp;IF(AND(Config!$B$17&lt;&gt;"",K23&lt;&gt;"Sim",K23&lt;&gt;"N/A"),Config!$B$17&amp;"; ","")&amp;IF(AND(Config!$D$10&lt;&gt;"",L23&lt;&gt;"Sim",L23&lt;&gt;"N/A"),Config!$D$10&amp;"; ","")&amp;IF(AND(Config!$D$11&lt;&gt;"",M23&lt;&gt;"Sim",M23&lt;&gt;"N/A"),Config!$D$11&amp;"; ","")&amp;IF(AND(Config!$D$12&lt;&gt;"",N23&lt;&gt;"Sim",N23&lt;&gt;"N/A"),Config!$D$12&amp;"; ","")&amp;IF(AND(Config!$D$13&lt;&gt;"",O23&lt;&gt;"Sim",O23&lt;&gt;"N/A"),Config!$D$13&amp;"; ","")&amp;IF(AND(Config!$D$14&lt;&gt;"",P23&lt;&gt;"Sim",P23&lt;&gt;"N/A"),Config!$D$14&amp;"; ","")&amp;IF(AND(Config!$D$15&lt;&gt;"",Q23&lt;&gt;"Sim",Q23&lt;&gt;"N/A"),Config!$D$15&amp;"; ","")&amp;IF(AND(Config!$D$16&lt;&gt;"",R23&lt;&gt;"Sim",R23&lt;&gt;"N/A"),Config!$D$16&amp;"; ","")&amp;IF(AND(Config!$D$17&lt;&gt;"",S23&lt;&gt;"Sim",S23&lt;&gt;"N/A"),Config!$D$17&amp;"; ",""))</f>
        <v>Guias e autorizações de convênio do dia separadas; </v>
      </c>
      <c r="AB23" s="39">
        <f>IF(A23="",0,COUNTIF($A$5:$A$304,"&gt;"&amp;A23)+1)</f>
        <v>55</v>
      </c>
    </row>
    <row r="24">
      <c r="A24" s="37" t="n">
        <v>46202</v>
      </c>
      <c r="B24" s="24" t="str">
        <f>IF(A24="","",CHOOSE(WEEKDAY(A24,2),"Segunda","Terça","Quarta","Quinta","Sexta","Sábado","Domingo"))</f>
        <v>Segunda</v>
      </c>
      <c r="C24" s="38" t="inlineStr">
        <is>
          <t>Bruna Carvalho</t>
        </is>
      </c>
      <c r="D24" s="38" t="inlineStr">
        <is>
          <t>Sim</t>
        </is>
      </c>
      <c r="E24" s="38" t="inlineStr">
        <is>
          <t>Sim</t>
        </is>
      </c>
      <c r="F24" s="38" t="inlineStr">
        <is>
          <t>Sim</t>
        </is>
      </c>
      <c r="G24" s="38" t="inlineStr">
        <is>
          <t>Sim</t>
        </is>
      </c>
      <c r="H24" s="38" t="inlineStr">
        <is>
          <t>Sim</t>
        </is>
      </c>
      <c r="I24" s="38" t="inlineStr">
        <is>
          <t>N/A</t>
        </is>
      </c>
      <c r="J24" s="38" t="n"/>
      <c r="K24" s="38" t="n"/>
      <c r="L24" s="38" t="inlineStr">
        <is>
          <t>Sim</t>
        </is>
      </c>
      <c r="M24" s="38" t="inlineStr">
        <is>
          <t>Sim</t>
        </is>
      </c>
      <c r="N24" s="38" t="inlineStr">
        <is>
          <t>Sim</t>
        </is>
      </c>
      <c r="O24" s="38" t="inlineStr">
        <is>
          <t>Sim</t>
        </is>
      </c>
      <c r="P24" s="38" t="inlineStr">
        <is>
          <t>Sim</t>
        </is>
      </c>
      <c r="Q24" s="38" t="inlineStr">
        <is>
          <t>Sim</t>
        </is>
      </c>
      <c r="R24" s="38" t="n"/>
      <c r="S24" s="38" t="n"/>
      <c r="T24" s="26">
        <f>IF(A24="","",IFERROR(COUNTIF(D24:K24,"Sim")/(Config!$B$19-COUNTIF(D24:K24,"N/A")),""))</f>
        <v>1</v>
      </c>
      <c r="U24" s="26">
        <f>IF(A24="","",IFERROR(COUNTIF(L24:S24,"Sim")/(Config!$D$19-COUNTIF(L24:S24,"N/A")),""))</f>
        <v>1</v>
      </c>
      <c r="V24" s="24">
        <f>IF(A24="","",MAX(0,Config!$B$19-COUNTIF(D24:K24,"Sim")-COUNTIF(D24:K24,"N/A")))</f>
        <v>0</v>
      </c>
      <c r="W24" s="24">
        <f>IF(A24="","",MAX(0,Config!$D$19-COUNTIF(L24:S24,"Sim")-COUNTIF(L24:S24,"N/A")))</f>
        <v>0</v>
      </c>
      <c r="X24" s="24">
        <f>IF(A24="","",V24+W24)</f>
        <v>0</v>
      </c>
      <c r="Y24" s="29">
        <f>IF(OR(A24="",AA24=""),"",LEFT(AA24,LEN(AA24)-2))</f>
        <v/>
      </c>
      <c r="Z24" s="39">
        <f>IF(OR(A24="",X24=0),0,X24*100000+A24/100000)</f>
        <v>0</v>
      </c>
      <c r="AA24" s="39">
        <f>IF(A24="","",IF(AND(Config!$B$10&lt;&gt;"",D24&lt;&gt;"Sim",D24&lt;&gt;"N/A"),Config!$B$10&amp;"; ","")&amp;IF(AND(Config!$B$11&lt;&gt;"",E24&lt;&gt;"Sim",E24&lt;&gt;"N/A"),Config!$B$11&amp;"; ","")&amp;IF(AND(Config!$B$12&lt;&gt;"",F24&lt;&gt;"Sim",F24&lt;&gt;"N/A"),Config!$B$12&amp;"; ","")&amp;IF(AND(Config!$B$13&lt;&gt;"",G24&lt;&gt;"Sim",G24&lt;&gt;"N/A"),Config!$B$13&amp;"; ","")&amp;IF(AND(Config!$B$14&lt;&gt;"",H24&lt;&gt;"Sim",H24&lt;&gt;"N/A"),Config!$B$14&amp;"; ","")&amp;IF(AND(Config!$B$15&lt;&gt;"",I24&lt;&gt;"Sim",I24&lt;&gt;"N/A"),Config!$B$15&amp;"; ","")&amp;IF(AND(Config!$B$16&lt;&gt;"",J24&lt;&gt;"Sim",J24&lt;&gt;"N/A"),Config!$B$16&amp;"; ","")&amp;IF(AND(Config!$B$17&lt;&gt;"",K24&lt;&gt;"Sim",K24&lt;&gt;"N/A"),Config!$B$17&amp;"; ","")&amp;IF(AND(Config!$D$10&lt;&gt;"",L24&lt;&gt;"Sim",L24&lt;&gt;"N/A"),Config!$D$10&amp;"; ","")&amp;IF(AND(Config!$D$11&lt;&gt;"",M24&lt;&gt;"Sim",M24&lt;&gt;"N/A"),Config!$D$11&amp;"; ","")&amp;IF(AND(Config!$D$12&lt;&gt;"",N24&lt;&gt;"Sim",N24&lt;&gt;"N/A"),Config!$D$12&amp;"; ","")&amp;IF(AND(Config!$D$13&lt;&gt;"",O24&lt;&gt;"Sim",O24&lt;&gt;"N/A"),Config!$D$13&amp;"; ","")&amp;IF(AND(Config!$D$14&lt;&gt;"",P24&lt;&gt;"Sim",P24&lt;&gt;"N/A"),Config!$D$14&amp;"; ","")&amp;IF(AND(Config!$D$15&lt;&gt;"",Q24&lt;&gt;"Sim",Q24&lt;&gt;"N/A"),Config!$D$15&amp;"; ","")&amp;IF(AND(Config!$D$16&lt;&gt;"",R24&lt;&gt;"Sim",R24&lt;&gt;"N/A"),Config!$D$16&amp;"; ","")&amp;IF(AND(Config!$D$17&lt;&gt;"",S24&lt;&gt;"Sim",S24&lt;&gt;"N/A"),Config!$D$17&amp;"; ",""))</f>
        <v/>
      </c>
      <c r="AB24" s="39">
        <f>IF(A24="",0,COUNTIF($A$5:$A$304,"&gt;"&amp;A24)+1)</f>
        <v>54</v>
      </c>
    </row>
    <row r="25">
      <c r="A25" s="37" t="n">
        <v>46203</v>
      </c>
      <c r="B25" s="24" t="str">
        <f>IF(A25="","",CHOOSE(WEEKDAY(A25,2),"Segunda","Terça","Quarta","Quinta","Sexta","Sábado","Domingo"))</f>
        <v>Terça</v>
      </c>
      <c r="C25" s="38" t="inlineStr">
        <is>
          <t>Bruna Carvalho</t>
        </is>
      </c>
      <c r="D25" s="38" t="inlineStr">
        <is>
          <t>Sim</t>
        </is>
      </c>
      <c r="E25" s="38" t="inlineStr">
        <is>
          <t>Sim</t>
        </is>
      </c>
      <c r="F25" s="38" t="inlineStr">
        <is>
          <t>Sim</t>
        </is>
      </c>
      <c r="G25" s="38" t="inlineStr">
        <is>
          <t>Sim</t>
        </is>
      </c>
      <c r="H25" s="38" t="inlineStr">
        <is>
          <t>Sim</t>
        </is>
      </c>
      <c r="I25" s="38" t="inlineStr">
        <is>
          <t>N/A</t>
        </is>
      </c>
      <c r="J25" s="38" t="n"/>
      <c r="K25" s="38" t="n"/>
      <c r="L25" s="38" t="inlineStr">
        <is>
          <t>Sim</t>
        </is>
      </c>
      <c r="M25" s="38" t="inlineStr">
        <is>
          <t>Sim</t>
        </is>
      </c>
      <c r="N25" s="38" t="inlineStr">
        <is>
          <t>Sim</t>
        </is>
      </c>
      <c r="O25" s="38" t="inlineStr">
        <is>
          <t>Sim</t>
        </is>
      </c>
      <c r="P25" s="38" t="inlineStr">
        <is>
          <t>Sim</t>
        </is>
      </c>
      <c r="Q25" s="38" t="inlineStr">
        <is>
          <t>Sim</t>
        </is>
      </c>
      <c r="R25" s="38" t="n"/>
      <c r="S25" s="38" t="n"/>
      <c r="T25" s="26">
        <f>IF(A25="","",IFERROR(COUNTIF(D25:K25,"Sim")/(Config!$B$19-COUNTIF(D25:K25,"N/A")),""))</f>
        <v>1</v>
      </c>
      <c r="U25" s="26">
        <f>IF(A25="","",IFERROR(COUNTIF(L25:S25,"Sim")/(Config!$D$19-COUNTIF(L25:S25,"N/A")),""))</f>
        <v>1</v>
      </c>
      <c r="V25" s="24">
        <f>IF(A25="","",MAX(0,Config!$B$19-COUNTIF(D25:K25,"Sim")-COUNTIF(D25:K25,"N/A")))</f>
        <v>0</v>
      </c>
      <c r="W25" s="24">
        <f>IF(A25="","",MAX(0,Config!$D$19-COUNTIF(L25:S25,"Sim")-COUNTIF(L25:S25,"N/A")))</f>
        <v>0</v>
      </c>
      <c r="X25" s="24">
        <f>IF(A25="","",V25+W25)</f>
        <v>0</v>
      </c>
      <c r="Y25" s="29">
        <f>IF(OR(A25="",AA25=""),"",LEFT(AA25,LEN(AA25)-2))</f>
        <v/>
      </c>
      <c r="Z25" s="39">
        <f>IF(OR(A25="",X25=0),0,X25*100000+A25/100000)</f>
        <v>0</v>
      </c>
      <c r="AA25" s="39">
        <f>IF(A25="","",IF(AND(Config!$B$10&lt;&gt;"",D25&lt;&gt;"Sim",D25&lt;&gt;"N/A"),Config!$B$10&amp;"; ","")&amp;IF(AND(Config!$B$11&lt;&gt;"",E25&lt;&gt;"Sim",E25&lt;&gt;"N/A"),Config!$B$11&amp;"; ","")&amp;IF(AND(Config!$B$12&lt;&gt;"",F25&lt;&gt;"Sim",F25&lt;&gt;"N/A"),Config!$B$12&amp;"; ","")&amp;IF(AND(Config!$B$13&lt;&gt;"",G25&lt;&gt;"Sim",G25&lt;&gt;"N/A"),Config!$B$13&amp;"; ","")&amp;IF(AND(Config!$B$14&lt;&gt;"",H25&lt;&gt;"Sim",H25&lt;&gt;"N/A"),Config!$B$14&amp;"; ","")&amp;IF(AND(Config!$B$15&lt;&gt;"",I25&lt;&gt;"Sim",I25&lt;&gt;"N/A"),Config!$B$15&amp;"; ","")&amp;IF(AND(Config!$B$16&lt;&gt;"",J25&lt;&gt;"Sim",J25&lt;&gt;"N/A"),Config!$B$16&amp;"; ","")&amp;IF(AND(Config!$B$17&lt;&gt;"",K25&lt;&gt;"Sim",K25&lt;&gt;"N/A"),Config!$B$17&amp;"; ","")&amp;IF(AND(Config!$D$10&lt;&gt;"",L25&lt;&gt;"Sim",L25&lt;&gt;"N/A"),Config!$D$10&amp;"; ","")&amp;IF(AND(Config!$D$11&lt;&gt;"",M25&lt;&gt;"Sim",M25&lt;&gt;"N/A"),Config!$D$11&amp;"; ","")&amp;IF(AND(Config!$D$12&lt;&gt;"",N25&lt;&gt;"Sim",N25&lt;&gt;"N/A"),Config!$D$12&amp;"; ","")&amp;IF(AND(Config!$D$13&lt;&gt;"",O25&lt;&gt;"Sim",O25&lt;&gt;"N/A"),Config!$D$13&amp;"; ","")&amp;IF(AND(Config!$D$14&lt;&gt;"",P25&lt;&gt;"Sim",P25&lt;&gt;"N/A"),Config!$D$14&amp;"; ","")&amp;IF(AND(Config!$D$15&lt;&gt;"",Q25&lt;&gt;"Sim",Q25&lt;&gt;"N/A"),Config!$D$15&amp;"; ","")&amp;IF(AND(Config!$D$16&lt;&gt;"",R25&lt;&gt;"Sim",R25&lt;&gt;"N/A"),Config!$D$16&amp;"; ","")&amp;IF(AND(Config!$D$17&lt;&gt;"",S25&lt;&gt;"Sim",S25&lt;&gt;"N/A"),Config!$D$17&amp;"; ",""))</f>
        <v/>
      </c>
      <c r="AB25" s="39">
        <f>IF(A25="",0,COUNTIF($A$5:$A$304,"&gt;"&amp;A25)+1)</f>
        <v>53</v>
      </c>
    </row>
    <row r="26">
      <c r="A26" s="37" t="n">
        <v>46204</v>
      </c>
      <c r="B26" s="24" t="str">
        <f>IF(A26="","",CHOOSE(WEEKDAY(A26,2),"Segunda","Terça","Quarta","Quinta","Sexta","Sábado","Domingo"))</f>
        <v>Quarta</v>
      </c>
      <c r="C26" s="38" t="inlineStr">
        <is>
          <t>Bruna Carvalho</t>
        </is>
      </c>
      <c r="D26" s="38" t="inlineStr">
        <is>
          <t>Sim</t>
        </is>
      </c>
      <c r="E26" s="38" t="inlineStr">
        <is>
          <t>Sim</t>
        </is>
      </c>
      <c r="F26" s="38" t="inlineStr">
        <is>
          <t>Sim</t>
        </is>
      </c>
      <c r="G26" s="38" t="inlineStr">
        <is>
          <t>Sim</t>
        </is>
      </c>
      <c r="H26" s="38" t="inlineStr">
        <is>
          <t>Não</t>
        </is>
      </c>
      <c r="I26" s="38" t="inlineStr">
        <is>
          <t>N/A</t>
        </is>
      </c>
      <c r="J26" s="38" t="n"/>
      <c r="K26" s="38" t="n"/>
      <c r="L26" s="38" t="inlineStr">
        <is>
          <t>Sim</t>
        </is>
      </c>
      <c r="M26" s="38" t="inlineStr">
        <is>
          <t>Sim</t>
        </is>
      </c>
      <c r="N26" s="38" t="inlineStr">
        <is>
          <t>Sim</t>
        </is>
      </c>
      <c r="O26" s="38" t="inlineStr">
        <is>
          <t>Sim</t>
        </is>
      </c>
      <c r="P26" s="38" t="inlineStr">
        <is>
          <t>Sim</t>
        </is>
      </c>
      <c r="Q26" s="38" t="inlineStr">
        <is>
          <t>Sim</t>
        </is>
      </c>
      <c r="R26" s="38" t="n"/>
      <c r="S26" s="38" t="n"/>
      <c r="T26" s="26">
        <f>IF(A26="","",IFERROR(COUNTIF(D26:K26,"Sim")/(Config!$B$19-COUNTIF(D26:K26,"N/A")),""))</f>
        <v>0.8</v>
      </c>
      <c r="U26" s="26">
        <f>IF(A26="","",IFERROR(COUNTIF(L26:S26,"Sim")/(Config!$D$19-COUNTIF(L26:S26,"N/A")),""))</f>
        <v>1</v>
      </c>
      <c r="V26" s="24">
        <f>IF(A26="","",MAX(0,Config!$B$19-COUNTIF(D26:K26,"Sim")-COUNTIF(D26:K26,"N/A")))</f>
        <v>1</v>
      </c>
      <c r="W26" s="24">
        <f>IF(A26="","",MAX(0,Config!$D$19-COUNTIF(L26:S26,"Sim")-COUNTIF(L26:S26,"N/A")))</f>
        <v>0</v>
      </c>
      <c r="X26" s="24">
        <f>IF(A26="","",V26+W26)</f>
        <v>1</v>
      </c>
      <c r="Y26" s="29" t="str">
        <f>IF(OR(A26="",AA26=""),"",LEFT(AA26,LEN(AA26)-2))</f>
        <v>Troco e maquininha conferidos</v>
      </c>
      <c r="Z26" s="39">
        <f>IF(OR(A26="",X26=0),0,X26*100000+A26/100000)</f>
        <v>100000.46204</v>
      </c>
      <c r="AA26" s="39" t="str">
        <f>IF(A26="","",IF(AND(Config!$B$10&lt;&gt;"",D26&lt;&gt;"Sim",D26&lt;&gt;"N/A"),Config!$B$10&amp;"; ","")&amp;IF(AND(Config!$B$11&lt;&gt;"",E26&lt;&gt;"Sim",E26&lt;&gt;"N/A"),Config!$B$11&amp;"; ","")&amp;IF(AND(Config!$B$12&lt;&gt;"",F26&lt;&gt;"Sim",F26&lt;&gt;"N/A"),Config!$B$12&amp;"; ","")&amp;IF(AND(Config!$B$13&lt;&gt;"",G26&lt;&gt;"Sim",G26&lt;&gt;"N/A"),Config!$B$13&amp;"; ","")&amp;IF(AND(Config!$B$14&lt;&gt;"",H26&lt;&gt;"Sim",H26&lt;&gt;"N/A"),Config!$B$14&amp;"; ","")&amp;IF(AND(Config!$B$15&lt;&gt;"",I26&lt;&gt;"Sim",I26&lt;&gt;"N/A"),Config!$B$15&amp;"; ","")&amp;IF(AND(Config!$B$16&lt;&gt;"",J26&lt;&gt;"Sim",J26&lt;&gt;"N/A"),Config!$B$16&amp;"; ","")&amp;IF(AND(Config!$B$17&lt;&gt;"",K26&lt;&gt;"Sim",K26&lt;&gt;"N/A"),Config!$B$17&amp;"; ","")&amp;IF(AND(Config!$D$10&lt;&gt;"",L26&lt;&gt;"Sim",L26&lt;&gt;"N/A"),Config!$D$10&amp;"; ","")&amp;IF(AND(Config!$D$11&lt;&gt;"",M26&lt;&gt;"Sim",M26&lt;&gt;"N/A"),Config!$D$11&amp;"; ","")&amp;IF(AND(Config!$D$12&lt;&gt;"",N26&lt;&gt;"Sim",N26&lt;&gt;"N/A"),Config!$D$12&amp;"; ","")&amp;IF(AND(Config!$D$13&lt;&gt;"",O26&lt;&gt;"Sim",O26&lt;&gt;"N/A"),Config!$D$13&amp;"; ","")&amp;IF(AND(Config!$D$14&lt;&gt;"",P26&lt;&gt;"Sim",P26&lt;&gt;"N/A"),Config!$D$14&amp;"; ","")&amp;IF(AND(Config!$D$15&lt;&gt;"",Q26&lt;&gt;"Sim",Q26&lt;&gt;"N/A"),Config!$D$15&amp;"; ","")&amp;IF(AND(Config!$D$16&lt;&gt;"",R26&lt;&gt;"Sim",R26&lt;&gt;"N/A"),Config!$D$16&amp;"; ","")&amp;IF(AND(Config!$D$17&lt;&gt;"",S26&lt;&gt;"Sim",S26&lt;&gt;"N/A"),Config!$D$17&amp;"; ",""))</f>
        <v>Troco e maquininha conferidos; </v>
      </c>
      <c r="AB26" s="39">
        <f>IF(A26="",0,COUNTIF($A$5:$A$304,"&gt;"&amp;A26)+1)</f>
        <v>52</v>
      </c>
    </row>
    <row r="27">
      <c r="A27" s="37" t="n">
        <v>46205</v>
      </c>
      <c r="B27" s="24" t="str">
        <f>IF(A27="","",CHOOSE(WEEKDAY(A27,2),"Segunda","Terça","Quarta","Quinta","Sexta","Sábado","Domingo"))</f>
        <v>Quinta</v>
      </c>
      <c r="C27" s="38" t="inlineStr">
        <is>
          <t>Bruna Carvalho</t>
        </is>
      </c>
      <c r="D27" s="38" t="inlineStr">
        <is>
          <t>Sim</t>
        </is>
      </c>
      <c r="E27" s="38" t="inlineStr">
        <is>
          <t>Sim</t>
        </is>
      </c>
      <c r="F27" s="38" t="inlineStr">
        <is>
          <t>Sim</t>
        </is>
      </c>
      <c r="G27" s="38" t="inlineStr">
        <is>
          <t>Sim</t>
        </is>
      </c>
      <c r="H27" s="38" t="inlineStr">
        <is>
          <t>Sim</t>
        </is>
      </c>
      <c r="I27" s="38" t="inlineStr">
        <is>
          <t>N/A</t>
        </is>
      </c>
      <c r="J27" s="38" t="n"/>
      <c r="K27" s="38" t="n"/>
      <c r="L27" s="38" t="inlineStr">
        <is>
          <t>Sim</t>
        </is>
      </c>
      <c r="M27" s="38" t="inlineStr">
        <is>
          <t>Sim</t>
        </is>
      </c>
      <c r="N27" s="38" t="inlineStr">
        <is>
          <t>Sim</t>
        </is>
      </c>
      <c r="O27" s="38" t="inlineStr">
        <is>
          <t>Sim</t>
        </is>
      </c>
      <c r="P27" s="38" t="inlineStr">
        <is>
          <t>Sim</t>
        </is>
      </c>
      <c r="Q27" s="38" t="inlineStr">
        <is>
          <t>Sim</t>
        </is>
      </c>
      <c r="R27" s="38" t="n"/>
      <c r="S27" s="38" t="n"/>
      <c r="T27" s="26">
        <f>IF(A27="","",IFERROR(COUNTIF(D27:K27,"Sim")/(Config!$B$19-COUNTIF(D27:K27,"N/A")),""))</f>
        <v>1</v>
      </c>
      <c r="U27" s="26">
        <f>IF(A27="","",IFERROR(COUNTIF(L27:S27,"Sim")/(Config!$D$19-COUNTIF(L27:S27,"N/A")),""))</f>
        <v>1</v>
      </c>
      <c r="V27" s="24">
        <f>IF(A27="","",MAX(0,Config!$B$19-COUNTIF(D27:K27,"Sim")-COUNTIF(D27:K27,"N/A")))</f>
        <v>0</v>
      </c>
      <c r="W27" s="24">
        <f>IF(A27="","",MAX(0,Config!$D$19-COUNTIF(L27:S27,"Sim")-COUNTIF(L27:S27,"N/A")))</f>
        <v>0</v>
      </c>
      <c r="X27" s="24">
        <f>IF(A27="","",V27+W27)</f>
        <v>0</v>
      </c>
      <c r="Y27" s="29">
        <f>IF(OR(A27="",AA27=""),"",LEFT(AA27,LEN(AA27)-2))</f>
        <v/>
      </c>
      <c r="Z27" s="39">
        <f>IF(OR(A27="",X27=0),0,X27*100000+A27/100000)</f>
        <v>0</v>
      </c>
      <c r="AA27" s="39">
        <f>IF(A27="","",IF(AND(Config!$B$10&lt;&gt;"",D27&lt;&gt;"Sim",D27&lt;&gt;"N/A"),Config!$B$10&amp;"; ","")&amp;IF(AND(Config!$B$11&lt;&gt;"",E27&lt;&gt;"Sim",E27&lt;&gt;"N/A"),Config!$B$11&amp;"; ","")&amp;IF(AND(Config!$B$12&lt;&gt;"",F27&lt;&gt;"Sim",F27&lt;&gt;"N/A"),Config!$B$12&amp;"; ","")&amp;IF(AND(Config!$B$13&lt;&gt;"",G27&lt;&gt;"Sim",G27&lt;&gt;"N/A"),Config!$B$13&amp;"; ","")&amp;IF(AND(Config!$B$14&lt;&gt;"",H27&lt;&gt;"Sim",H27&lt;&gt;"N/A"),Config!$B$14&amp;"; ","")&amp;IF(AND(Config!$B$15&lt;&gt;"",I27&lt;&gt;"Sim",I27&lt;&gt;"N/A"),Config!$B$15&amp;"; ","")&amp;IF(AND(Config!$B$16&lt;&gt;"",J27&lt;&gt;"Sim",J27&lt;&gt;"N/A"),Config!$B$16&amp;"; ","")&amp;IF(AND(Config!$B$17&lt;&gt;"",K27&lt;&gt;"Sim",K27&lt;&gt;"N/A"),Config!$B$17&amp;"; ","")&amp;IF(AND(Config!$D$10&lt;&gt;"",L27&lt;&gt;"Sim",L27&lt;&gt;"N/A"),Config!$D$10&amp;"; ","")&amp;IF(AND(Config!$D$11&lt;&gt;"",M27&lt;&gt;"Sim",M27&lt;&gt;"N/A"),Config!$D$11&amp;"; ","")&amp;IF(AND(Config!$D$12&lt;&gt;"",N27&lt;&gt;"Sim",N27&lt;&gt;"N/A"),Config!$D$12&amp;"; ","")&amp;IF(AND(Config!$D$13&lt;&gt;"",O27&lt;&gt;"Sim",O27&lt;&gt;"N/A"),Config!$D$13&amp;"; ","")&amp;IF(AND(Config!$D$14&lt;&gt;"",P27&lt;&gt;"Sim",P27&lt;&gt;"N/A"),Config!$D$14&amp;"; ","")&amp;IF(AND(Config!$D$15&lt;&gt;"",Q27&lt;&gt;"Sim",Q27&lt;&gt;"N/A"),Config!$D$15&amp;"; ","")&amp;IF(AND(Config!$D$16&lt;&gt;"",R27&lt;&gt;"Sim",R27&lt;&gt;"N/A"),Config!$D$16&amp;"; ","")&amp;IF(AND(Config!$D$17&lt;&gt;"",S27&lt;&gt;"Sim",S27&lt;&gt;"N/A"),Config!$D$17&amp;"; ",""))</f>
        <v/>
      </c>
      <c r="AB27" s="39">
        <f>IF(A27="",0,COUNTIF($A$5:$A$304,"&gt;"&amp;A27)+1)</f>
        <v>51</v>
      </c>
    </row>
    <row r="28">
      <c r="A28" s="37" t="n">
        <v>46206</v>
      </c>
      <c r="B28" s="24" t="str">
        <f>IF(A28="","",CHOOSE(WEEKDAY(A28,2),"Segunda","Terça","Quarta","Quinta","Sexta","Sábado","Domingo"))</f>
        <v>Sexta</v>
      </c>
      <c r="C28" s="38" t="inlineStr">
        <is>
          <t>Bruna Carvalho</t>
        </is>
      </c>
      <c r="D28" s="38" t="inlineStr">
        <is>
          <t>Sim</t>
        </is>
      </c>
      <c r="E28" s="38" t="inlineStr">
        <is>
          <t>Sim</t>
        </is>
      </c>
      <c r="F28" s="38" t="inlineStr">
        <is>
          <t>Sim</t>
        </is>
      </c>
      <c r="G28" s="38" t="inlineStr">
        <is>
          <t>Sim</t>
        </is>
      </c>
      <c r="H28" s="38" t="inlineStr">
        <is>
          <t>Sim</t>
        </is>
      </c>
      <c r="I28" s="38" t="inlineStr">
        <is>
          <t>Sim</t>
        </is>
      </c>
      <c r="J28" s="38" t="n"/>
      <c r="K28" s="38" t="n"/>
      <c r="L28" s="38" t="inlineStr">
        <is>
          <t>Sim</t>
        </is>
      </c>
      <c r="M28" s="38" t="inlineStr">
        <is>
          <t>Sim</t>
        </is>
      </c>
      <c r="N28" s="38" t="inlineStr">
        <is>
          <t>Sim</t>
        </is>
      </c>
      <c r="O28" s="38" t="inlineStr">
        <is>
          <t>Sim</t>
        </is>
      </c>
      <c r="P28" s="38" t="inlineStr">
        <is>
          <t>Sim</t>
        </is>
      </c>
      <c r="Q28" s="38" t="inlineStr">
        <is>
          <t>Sim</t>
        </is>
      </c>
      <c r="R28" s="38" t="n"/>
      <c r="S28" s="38" t="n"/>
      <c r="T28" s="26">
        <f>IF(A28="","",IFERROR(COUNTIF(D28:K28,"Sim")/(Config!$B$19-COUNTIF(D28:K28,"N/A")),""))</f>
        <v>1</v>
      </c>
      <c r="U28" s="26">
        <f>IF(A28="","",IFERROR(COUNTIF(L28:S28,"Sim")/(Config!$D$19-COUNTIF(L28:S28,"N/A")),""))</f>
        <v>1</v>
      </c>
      <c r="V28" s="24">
        <f>IF(A28="","",MAX(0,Config!$B$19-COUNTIF(D28:K28,"Sim")-COUNTIF(D28:K28,"N/A")))</f>
        <v>0</v>
      </c>
      <c r="W28" s="24">
        <f>IF(A28="","",MAX(0,Config!$D$19-COUNTIF(L28:S28,"Sim")-COUNTIF(L28:S28,"N/A")))</f>
        <v>0</v>
      </c>
      <c r="X28" s="24">
        <f>IF(A28="","",V28+W28)</f>
        <v>0</v>
      </c>
      <c r="Y28" s="29">
        <f>IF(OR(A28="",AA28=""),"",LEFT(AA28,LEN(AA28)-2))</f>
        <v/>
      </c>
      <c r="Z28" s="39">
        <f>IF(OR(A28="",X28=0),0,X28*100000+A28/100000)</f>
        <v>0</v>
      </c>
      <c r="AA28" s="39">
        <f>IF(A28="","",IF(AND(Config!$B$10&lt;&gt;"",D28&lt;&gt;"Sim",D28&lt;&gt;"N/A"),Config!$B$10&amp;"; ","")&amp;IF(AND(Config!$B$11&lt;&gt;"",E28&lt;&gt;"Sim",E28&lt;&gt;"N/A"),Config!$B$11&amp;"; ","")&amp;IF(AND(Config!$B$12&lt;&gt;"",F28&lt;&gt;"Sim",F28&lt;&gt;"N/A"),Config!$B$12&amp;"; ","")&amp;IF(AND(Config!$B$13&lt;&gt;"",G28&lt;&gt;"Sim",G28&lt;&gt;"N/A"),Config!$B$13&amp;"; ","")&amp;IF(AND(Config!$B$14&lt;&gt;"",H28&lt;&gt;"Sim",H28&lt;&gt;"N/A"),Config!$B$14&amp;"; ","")&amp;IF(AND(Config!$B$15&lt;&gt;"",I28&lt;&gt;"Sim",I28&lt;&gt;"N/A"),Config!$B$15&amp;"; ","")&amp;IF(AND(Config!$B$16&lt;&gt;"",J28&lt;&gt;"Sim",J28&lt;&gt;"N/A"),Config!$B$16&amp;"; ","")&amp;IF(AND(Config!$B$17&lt;&gt;"",K28&lt;&gt;"Sim",K28&lt;&gt;"N/A"),Config!$B$17&amp;"; ","")&amp;IF(AND(Config!$D$10&lt;&gt;"",L28&lt;&gt;"Sim",L28&lt;&gt;"N/A"),Config!$D$10&amp;"; ","")&amp;IF(AND(Config!$D$11&lt;&gt;"",M28&lt;&gt;"Sim",M28&lt;&gt;"N/A"),Config!$D$11&amp;"; ","")&amp;IF(AND(Config!$D$12&lt;&gt;"",N28&lt;&gt;"Sim",N28&lt;&gt;"N/A"),Config!$D$12&amp;"; ","")&amp;IF(AND(Config!$D$13&lt;&gt;"",O28&lt;&gt;"Sim",O28&lt;&gt;"N/A"),Config!$D$13&amp;"; ","")&amp;IF(AND(Config!$D$14&lt;&gt;"",P28&lt;&gt;"Sim",P28&lt;&gt;"N/A"),Config!$D$14&amp;"; ","")&amp;IF(AND(Config!$D$15&lt;&gt;"",Q28&lt;&gt;"Sim",Q28&lt;&gt;"N/A"),Config!$D$15&amp;"; ","")&amp;IF(AND(Config!$D$16&lt;&gt;"",R28&lt;&gt;"Sim",R28&lt;&gt;"N/A"),Config!$D$16&amp;"; ","")&amp;IF(AND(Config!$D$17&lt;&gt;"",S28&lt;&gt;"Sim",S28&lt;&gt;"N/A"),Config!$D$17&amp;"; ",""))</f>
        <v/>
      </c>
      <c r="AB28" s="39">
        <f>IF(A28="",0,COUNTIF($A$5:$A$304,"&gt;"&amp;A28)+1)</f>
        <v>50</v>
      </c>
    </row>
    <row r="29">
      <c r="A29" s="37" t="n">
        <v>46209</v>
      </c>
      <c r="B29" s="24" t="str">
        <f>IF(A29="","",CHOOSE(WEEKDAY(A29,2),"Segunda","Terça","Quarta","Quinta","Sexta","Sábado","Domingo"))</f>
        <v>Segunda</v>
      </c>
      <c r="C29" s="38" t="inlineStr">
        <is>
          <t>Bruna Carvalho</t>
        </is>
      </c>
      <c r="D29" s="38" t="inlineStr">
        <is>
          <t>Sim</t>
        </is>
      </c>
      <c r="E29" s="38" t="inlineStr">
        <is>
          <t>Sim</t>
        </is>
      </c>
      <c r="F29" s="38" t="inlineStr">
        <is>
          <t>Sim</t>
        </is>
      </c>
      <c r="G29" s="38" t="inlineStr">
        <is>
          <t>Sim</t>
        </is>
      </c>
      <c r="H29" s="38" t="inlineStr">
        <is>
          <t>Sim</t>
        </is>
      </c>
      <c r="I29" s="38" t="inlineStr">
        <is>
          <t>N/A</t>
        </is>
      </c>
      <c r="J29" s="38" t="n"/>
      <c r="K29" s="38" t="n"/>
      <c r="L29" s="38" t="inlineStr">
        <is>
          <t>Sim</t>
        </is>
      </c>
      <c r="M29" s="38" t="inlineStr">
        <is>
          <t>Sim</t>
        </is>
      </c>
      <c r="N29" s="38" t="inlineStr">
        <is>
          <t>Sim</t>
        </is>
      </c>
      <c r="O29" s="38" t="inlineStr">
        <is>
          <t>Sim</t>
        </is>
      </c>
      <c r="P29" s="38" t="inlineStr">
        <is>
          <t>Sim</t>
        </is>
      </c>
      <c r="Q29" s="38" t="inlineStr">
        <is>
          <t>Sim</t>
        </is>
      </c>
      <c r="R29" s="38" t="n"/>
      <c r="S29" s="38" t="n"/>
      <c r="T29" s="26">
        <f>IF(A29="","",IFERROR(COUNTIF(D29:K29,"Sim")/(Config!$B$19-COUNTIF(D29:K29,"N/A")),""))</f>
        <v>1</v>
      </c>
      <c r="U29" s="26">
        <f>IF(A29="","",IFERROR(COUNTIF(L29:S29,"Sim")/(Config!$D$19-COUNTIF(L29:S29,"N/A")),""))</f>
        <v>1</v>
      </c>
      <c r="V29" s="24">
        <f>IF(A29="","",MAX(0,Config!$B$19-COUNTIF(D29:K29,"Sim")-COUNTIF(D29:K29,"N/A")))</f>
        <v>0</v>
      </c>
      <c r="W29" s="24">
        <f>IF(A29="","",MAX(0,Config!$D$19-COUNTIF(L29:S29,"Sim")-COUNTIF(L29:S29,"N/A")))</f>
        <v>0</v>
      </c>
      <c r="X29" s="24">
        <f>IF(A29="","",V29+W29)</f>
        <v>0</v>
      </c>
      <c r="Y29" s="29">
        <f>IF(OR(A29="",AA29=""),"",LEFT(AA29,LEN(AA29)-2))</f>
        <v/>
      </c>
      <c r="Z29" s="39">
        <f>IF(OR(A29="",X29=0),0,X29*100000+A29/100000)</f>
        <v>0</v>
      </c>
      <c r="AA29" s="39">
        <f>IF(A29="","",IF(AND(Config!$B$10&lt;&gt;"",D29&lt;&gt;"Sim",D29&lt;&gt;"N/A"),Config!$B$10&amp;"; ","")&amp;IF(AND(Config!$B$11&lt;&gt;"",E29&lt;&gt;"Sim",E29&lt;&gt;"N/A"),Config!$B$11&amp;"; ","")&amp;IF(AND(Config!$B$12&lt;&gt;"",F29&lt;&gt;"Sim",F29&lt;&gt;"N/A"),Config!$B$12&amp;"; ","")&amp;IF(AND(Config!$B$13&lt;&gt;"",G29&lt;&gt;"Sim",G29&lt;&gt;"N/A"),Config!$B$13&amp;"; ","")&amp;IF(AND(Config!$B$14&lt;&gt;"",H29&lt;&gt;"Sim",H29&lt;&gt;"N/A"),Config!$B$14&amp;"; ","")&amp;IF(AND(Config!$B$15&lt;&gt;"",I29&lt;&gt;"Sim",I29&lt;&gt;"N/A"),Config!$B$15&amp;"; ","")&amp;IF(AND(Config!$B$16&lt;&gt;"",J29&lt;&gt;"Sim",J29&lt;&gt;"N/A"),Config!$B$16&amp;"; ","")&amp;IF(AND(Config!$B$17&lt;&gt;"",K29&lt;&gt;"Sim",K29&lt;&gt;"N/A"),Config!$B$17&amp;"; ","")&amp;IF(AND(Config!$D$10&lt;&gt;"",L29&lt;&gt;"Sim",L29&lt;&gt;"N/A"),Config!$D$10&amp;"; ","")&amp;IF(AND(Config!$D$11&lt;&gt;"",M29&lt;&gt;"Sim",M29&lt;&gt;"N/A"),Config!$D$11&amp;"; ","")&amp;IF(AND(Config!$D$12&lt;&gt;"",N29&lt;&gt;"Sim",N29&lt;&gt;"N/A"),Config!$D$12&amp;"; ","")&amp;IF(AND(Config!$D$13&lt;&gt;"",O29&lt;&gt;"Sim",O29&lt;&gt;"N/A"),Config!$D$13&amp;"; ","")&amp;IF(AND(Config!$D$14&lt;&gt;"",P29&lt;&gt;"Sim",P29&lt;&gt;"N/A"),Config!$D$14&amp;"; ","")&amp;IF(AND(Config!$D$15&lt;&gt;"",Q29&lt;&gt;"Sim",Q29&lt;&gt;"N/A"),Config!$D$15&amp;"; ","")&amp;IF(AND(Config!$D$16&lt;&gt;"",R29&lt;&gt;"Sim",R29&lt;&gt;"N/A"),Config!$D$16&amp;"; ","")&amp;IF(AND(Config!$D$17&lt;&gt;"",S29&lt;&gt;"Sim",S29&lt;&gt;"N/A"),Config!$D$17&amp;"; ",""))</f>
        <v/>
      </c>
      <c r="AB29" s="39">
        <f>IF(A29="",0,COUNTIF($A$5:$A$304,"&gt;"&amp;A29)+1)</f>
        <v>49</v>
      </c>
    </row>
    <row r="30">
      <c r="A30" s="37" t="n">
        <v>46210</v>
      </c>
      <c r="B30" s="24" t="str">
        <f>IF(A30="","",CHOOSE(WEEKDAY(A30,2),"Segunda","Terça","Quarta","Quinta","Sexta","Sábado","Domingo"))</f>
        <v>Terça</v>
      </c>
      <c r="C30" s="38" t="inlineStr">
        <is>
          <t>Bruna Carvalho</t>
        </is>
      </c>
      <c r="D30" s="38" t="inlineStr">
        <is>
          <t>Sim</t>
        </is>
      </c>
      <c r="E30" s="38" t="inlineStr">
        <is>
          <t>Sim</t>
        </is>
      </c>
      <c r="F30" s="38" t="inlineStr">
        <is>
          <t>Sim</t>
        </is>
      </c>
      <c r="G30" s="38" t="inlineStr">
        <is>
          <t>Sim</t>
        </is>
      </c>
      <c r="H30" s="38" t="inlineStr">
        <is>
          <t>Não</t>
        </is>
      </c>
      <c r="I30" s="38" t="inlineStr">
        <is>
          <t>N/A</t>
        </is>
      </c>
      <c r="J30" s="38" t="n"/>
      <c r="K30" s="38" t="n"/>
      <c r="L30" s="38" t="inlineStr">
        <is>
          <t>Não</t>
        </is>
      </c>
      <c r="M30" s="38" t="inlineStr">
        <is>
          <t>Sim</t>
        </is>
      </c>
      <c r="N30" s="38" t="inlineStr">
        <is>
          <t>Sim</t>
        </is>
      </c>
      <c r="O30" s="38" t="inlineStr">
        <is>
          <t>Sim</t>
        </is>
      </c>
      <c r="P30" s="38" t="inlineStr">
        <is>
          <t>Sim</t>
        </is>
      </c>
      <c r="Q30" s="38" t="inlineStr">
        <is>
          <t>Sim</t>
        </is>
      </c>
      <c r="R30" s="38" t="n"/>
      <c r="S30" s="38" t="n"/>
      <c r="T30" s="26">
        <f>IF(A30="","",IFERROR(COUNTIF(D30:K30,"Sim")/(Config!$B$19-COUNTIF(D30:K30,"N/A")),""))</f>
        <v>0.8</v>
      </c>
      <c r="U30" s="26">
        <f>IF(A30="","",IFERROR(COUNTIF(L30:S30,"Sim")/(Config!$D$19-COUNTIF(L30:S30,"N/A")),""))</f>
        <v>0.833333333333333</v>
      </c>
      <c r="V30" s="24">
        <f>IF(A30="","",MAX(0,Config!$B$19-COUNTIF(D30:K30,"Sim")-COUNTIF(D30:K30,"N/A")))</f>
        <v>1</v>
      </c>
      <c r="W30" s="24">
        <f>IF(A30="","",MAX(0,Config!$D$19-COUNTIF(L30:S30,"Sim")-COUNTIF(L30:S30,"N/A")))</f>
        <v>1</v>
      </c>
      <c r="X30" s="24">
        <f>IF(A30="","",V30+W30)</f>
        <v>2</v>
      </c>
      <c r="Y30" s="29" t="str">
        <f>IF(OR(A30="",AA30=""),"",LEFT(AA30,LEN(AA30)-2))</f>
        <v>Troco e maquininha conferidos; Caixa do dia fechado e conferido (Pix, cartão, dinheiro)</v>
      </c>
      <c r="Z30" s="39">
        <f>IF(OR(A30="",X30=0),0,X30*100000+A30/100000)</f>
        <v>200000.4621</v>
      </c>
      <c r="AA30" s="39" t="str">
        <f>IF(A30="","",IF(AND(Config!$B$10&lt;&gt;"",D30&lt;&gt;"Sim",D30&lt;&gt;"N/A"),Config!$B$10&amp;"; ","")&amp;IF(AND(Config!$B$11&lt;&gt;"",E30&lt;&gt;"Sim",E30&lt;&gt;"N/A"),Config!$B$11&amp;"; ","")&amp;IF(AND(Config!$B$12&lt;&gt;"",F30&lt;&gt;"Sim",F30&lt;&gt;"N/A"),Config!$B$12&amp;"; ","")&amp;IF(AND(Config!$B$13&lt;&gt;"",G30&lt;&gt;"Sim",G30&lt;&gt;"N/A"),Config!$B$13&amp;"; ","")&amp;IF(AND(Config!$B$14&lt;&gt;"",H30&lt;&gt;"Sim",H30&lt;&gt;"N/A"),Config!$B$14&amp;"; ","")&amp;IF(AND(Config!$B$15&lt;&gt;"",I30&lt;&gt;"Sim",I30&lt;&gt;"N/A"),Config!$B$15&amp;"; ","")&amp;IF(AND(Config!$B$16&lt;&gt;"",J30&lt;&gt;"Sim",J30&lt;&gt;"N/A"),Config!$B$16&amp;"; ","")&amp;IF(AND(Config!$B$17&lt;&gt;"",K30&lt;&gt;"Sim",K30&lt;&gt;"N/A"),Config!$B$17&amp;"; ","")&amp;IF(AND(Config!$D$10&lt;&gt;"",L30&lt;&gt;"Sim",L30&lt;&gt;"N/A"),Config!$D$10&amp;"; ","")&amp;IF(AND(Config!$D$11&lt;&gt;"",M30&lt;&gt;"Sim",M30&lt;&gt;"N/A"),Config!$D$11&amp;"; ","")&amp;IF(AND(Config!$D$12&lt;&gt;"",N30&lt;&gt;"Sim",N30&lt;&gt;"N/A"),Config!$D$12&amp;"; ","")&amp;IF(AND(Config!$D$13&lt;&gt;"",O30&lt;&gt;"Sim",O30&lt;&gt;"N/A"),Config!$D$13&amp;"; ","")&amp;IF(AND(Config!$D$14&lt;&gt;"",P30&lt;&gt;"Sim",P30&lt;&gt;"N/A"),Config!$D$14&amp;"; ","")&amp;IF(AND(Config!$D$15&lt;&gt;"",Q30&lt;&gt;"Sim",Q30&lt;&gt;"N/A"),Config!$D$15&amp;"; ","")&amp;IF(AND(Config!$D$16&lt;&gt;"",R30&lt;&gt;"Sim",R30&lt;&gt;"N/A"),Config!$D$16&amp;"; ","")&amp;IF(AND(Config!$D$17&lt;&gt;"",S30&lt;&gt;"Sim",S30&lt;&gt;"N/A"),Config!$D$17&amp;"; ",""))</f>
        <v>Troco e maquininha conferidos; Caixa do dia fechado e conferido (Pix, cartão, dinheiro); </v>
      </c>
      <c r="AB30" s="39">
        <f>IF(A30="",0,COUNTIF($A$5:$A$304,"&gt;"&amp;A30)+1)</f>
        <v>48</v>
      </c>
    </row>
    <row r="31">
      <c r="A31" s="37" t="n">
        <v>46211</v>
      </c>
      <c r="B31" s="24" t="str">
        <f>IF(A31="","",CHOOSE(WEEKDAY(A31,2),"Segunda","Terça","Quarta","Quinta","Sexta","Sábado","Domingo"))</f>
        <v>Quarta</v>
      </c>
      <c r="C31" s="38" t="inlineStr">
        <is>
          <t>Bruna Carvalho</t>
        </is>
      </c>
      <c r="D31" s="38" t="inlineStr">
        <is>
          <t>Sim</t>
        </is>
      </c>
      <c r="E31" s="38" t="inlineStr">
        <is>
          <t>Sim</t>
        </is>
      </c>
      <c r="F31" s="38" t="inlineStr">
        <is>
          <t>Sim</t>
        </is>
      </c>
      <c r="G31" s="38" t="inlineStr">
        <is>
          <t>Sim</t>
        </is>
      </c>
      <c r="H31" s="38" t="inlineStr">
        <is>
          <t>Sim</t>
        </is>
      </c>
      <c r="I31" s="38" t="inlineStr">
        <is>
          <t>N/A</t>
        </is>
      </c>
      <c r="J31" s="38" t="n"/>
      <c r="K31" s="38" t="n"/>
      <c r="L31" s="38" t="inlineStr">
        <is>
          <t>Sim</t>
        </is>
      </c>
      <c r="M31" s="38" t="inlineStr">
        <is>
          <t>Sim</t>
        </is>
      </c>
      <c r="N31" s="38" t="inlineStr">
        <is>
          <t>Sim</t>
        </is>
      </c>
      <c r="O31" s="38" t="inlineStr">
        <is>
          <t>Sim</t>
        </is>
      </c>
      <c r="P31" s="38" t="inlineStr">
        <is>
          <t>Sim</t>
        </is>
      </c>
      <c r="Q31" s="38" t="inlineStr">
        <is>
          <t>Sim</t>
        </is>
      </c>
      <c r="R31" s="38" t="n"/>
      <c r="S31" s="38" t="n"/>
      <c r="T31" s="26">
        <f>IF(A31="","",IFERROR(COUNTIF(D31:K31,"Sim")/(Config!$B$19-COUNTIF(D31:K31,"N/A")),""))</f>
        <v>1</v>
      </c>
      <c r="U31" s="26">
        <f>IF(A31="","",IFERROR(COUNTIF(L31:S31,"Sim")/(Config!$D$19-COUNTIF(L31:S31,"N/A")),""))</f>
        <v>1</v>
      </c>
      <c r="V31" s="24">
        <f>IF(A31="","",MAX(0,Config!$B$19-COUNTIF(D31:K31,"Sim")-COUNTIF(D31:K31,"N/A")))</f>
        <v>0</v>
      </c>
      <c r="W31" s="24">
        <f>IF(A31="","",MAX(0,Config!$D$19-COUNTIF(L31:S31,"Sim")-COUNTIF(L31:S31,"N/A")))</f>
        <v>0</v>
      </c>
      <c r="X31" s="24">
        <f>IF(A31="","",V31+W31)</f>
        <v>0</v>
      </c>
      <c r="Y31" s="29">
        <f>IF(OR(A31="",AA31=""),"",LEFT(AA31,LEN(AA31)-2))</f>
        <v/>
      </c>
      <c r="Z31" s="39">
        <f>IF(OR(A31="",X31=0),0,X31*100000+A31/100000)</f>
        <v>0</v>
      </c>
      <c r="AA31" s="39">
        <f>IF(A31="","",IF(AND(Config!$B$10&lt;&gt;"",D31&lt;&gt;"Sim",D31&lt;&gt;"N/A"),Config!$B$10&amp;"; ","")&amp;IF(AND(Config!$B$11&lt;&gt;"",E31&lt;&gt;"Sim",E31&lt;&gt;"N/A"),Config!$B$11&amp;"; ","")&amp;IF(AND(Config!$B$12&lt;&gt;"",F31&lt;&gt;"Sim",F31&lt;&gt;"N/A"),Config!$B$12&amp;"; ","")&amp;IF(AND(Config!$B$13&lt;&gt;"",G31&lt;&gt;"Sim",G31&lt;&gt;"N/A"),Config!$B$13&amp;"; ","")&amp;IF(AND(Config!$B$14&lt;&gt;"",H31&lt;&gt;"Sim",H31&lt;&gt;"N/A"),Config!$B$14&amp;"; ","")&amp;IF(AND(Config!$B$15&lt;&gt;"",I31&lt;&gt;"Sim",I31&lt;&gt;"N/A"),Config!$B$15&amp;"; ","")&amp;IF(AND(Config!$B$16&lt;&gt;"",J31&lt;&gt;"Sim",J31&lt;&gt;"N/A"),Config!$B$16&amp;"; ","")&amp;IF(AND(Config!$B$17&lt;&gt;"",K31&lt;&gt;"Sim",K31&lt;&gt;"N/A"),Config!$B$17&amp;"; ","")&amp;IF(AND(Config!$D$10&lt;&gt;"",L31&lt;&gt;"Sim",L31&lt;&gt;"N/A"),Config!$D$10&amp;"; ","")&amp;IF(AND(Config!$D$11&lt;&gt;"",M31&lt;&gt;"Sim",M31&lt;&gt;"N/A"),Config!$D$11&amp;"; ","")&amp;IF(AND(Config!$D$12&lt;&gt;"",N31&lt;&gt;"Sim",N31&lt;&gt;"N/A"),Config!$D$12&amp;"; ","")&amp;IF(AND(Config!$D$13&lt;&gt;"",O31&lt;&gt;"Sim",O31&lt;&gt;"N/A"),Config!$D$13&amp;"; ","")&amp;IF(AND(Config!$D$14&lt;&gt;"",P31&lt;&gt;"Sim",P31&lt;&gt;"N/A"),Config!$D$14&amp;"; ","")&amp;IF(AND(Config!$D$15&lt;&gt;"",Q31&lt;&gt;"Sim",Q31&lt;&gt;"N/A"),Config!$D$15&amp;"; ","")&amp;IF(AND(Config!$D$16&lt;&gt;"",R31&lt;&gt;"Sim",R31&lt;&gt;"N/A"),Config!$D$16&amp;"; ","")&amp;IF(AND(Config!$D$17&lt;&gt;"",S31&lt;&gt;"Sim",S31&lt;&gt;"N/A"),Config!$D$17&amp;"; ",""))</f>
        <v/>
      </c>
      <c r="AB31" s="39">
        <f>IF(A31="",0,COUNTIF($A$5:$A$304,"&gt;"&amp;A31)+1)</f>
        <v>47</v>
      </c>
    </row>
    <row r="32">
      <c r="A32" s="37" t="n">
        <v>46212</v>
      </c>
      <c r="B32" s="24" t="str">
        <f>IF(A32="","",CHOOSE(WEEKDAY(A32,2),"Segunda","Terça","Quarta","Quinta","Sexta","Sábado","Domingo"))</f>
        <v>Quinta</v>
      </c>
      <c r="C32" s="38" t="inlineStr">
        <is>
          <t>Bruna Carvalho</t>
        </is>
      </c>
      <c r="D32" s="38" t="inlineStr">
        <is>
          <t>Sim</t>
        </is>
      </c>
      <c r="E32" s="38" t="inlineStr">
        <is>
          <t>Sim</t>
        </is>
      </c>
      <c r="F32" s="38" t="inlineStr">
        <is>
          <t>Sim</t>
        </is>
      </c>
      <c r="G32" s="38" t="inlineStr">
        <is>
          <t>Sim</t>
        </is>
      </c>
      <c r="H32" s="38" t="inlineStr">
        <is>
          <t>Sim</t>
        </is>
      </c>
      <c r="I32" s="38" t="inlineStr">
        <is>
          <t>N/A</t>
        </is>
      </c>
      <c r="J32" s="38" t="n"/>
      <c r="K32" s="38" t="n"/>
      <c r="L32" s="38" t="inlineStr">
        <is>
          <t>Sim</t>
        </is>
      </c>
      <c r="M32" s="38" t="inlineStr">
        <is>
          <t>Sim</t>
        </is>
      </c>
      <c r="N32" s="38" t="inlineStr">
        <is>
          <t>Sim</t>
        </is>
      </c>
      <c r="O32" s="38" t="inlineStr">
        <is>
          <t>Sim</t>
        </is>
      </c>
      <c r="P32" s="38" t="inlineStr">
        <is>
          <t>Sim</t>
        </is>
      </c>
      <c r="Q32" s="38" t="inlineStr">
        <is>
          <t>Sim</t>
        </is>
      </c>
      <c r="R32" s="38" t="n"/>
      <c r="S32" s="38" t="n"/>
      <c r="T32" s="26">
        <f>IF(A32="","",IFERROR(COUNTIF(D32:K32,"Sim")/(Config!$B$19-COUNTIF(D32:K32,"N/A")),""))</f>
        <v>1</v>
      </c>
      <c r="U32" s="26">
        <f>IF(A32="","",IFERROR(COUNTIF(L32:S32,"Sim")/(Config!$D$19-COUNTIF(L32:S32,"N/A")),""))</f>
        <v>1</v>
      </c>
      <c r="V32" s="24">
        <f>IF(A32="","",MAX(0,Config!$B$19-COUNTIF(D32:K32,"Sim")-COUNTIF(D32:K32,"N/A")))</f>
        <v>0</v>
      </c>
      <c r="W32" s="24">
        <f>IF(A32="","",MAX(0,Config!$D$19-COUNTIF(L32:S32,"Sim")-COUNTIF(L32:S32,"N/A")))</f>
        <v>0</v>
      </c>
      <c r="X32" s="24">
        <f>IF(A32="","",V32+W32)</f>
        <v>0</v>
      </c>
      <c r="Y32" s="29">
        <f>IF(OR(A32="",AA32=""),"",LEFT(AA32,LEN(AA32)-2))</f>
        <v/>
      </c>
      <c r="Z32" s="39">
        <f>IF(OR(A32="",X32=0),0,X32*100000+A32/100000)</f>
        <v>0</v>
      </c>
      <c r="AA32" s="39">
        <f>IF(A32="","",IF(AND(Config!$B$10&lt;&gt;"",D32&lt;&gt;"Sim",D32&lt;&gt;"N/A"),Config!$B$10&amp;"; ","")&amp;IF(AND(Config!$B$11&lt;&gt;"",E32&lt;&gt;"Sim",E32&lt;&gt;"N/A"),Config!$B$11&amp;"; ","")&amp;IF(AND(Config!$B$12&lt;&gt;"",F32&lt;&gt;"Sim",F32&lt;&gt;"N/A"),Config!$B$12&amp;"; ","")&amp;IF(AND(Config!$B$13&lt;&gt;"",G32&lt;&gt;"Sim",G32&lt;&gt;"N/A"),Config!$B$13&amp;"; ","")&amp;IF(AND(Config!$B$14&lt;&gt;"",H32&lt;&gt;"Sim",H32&lt;&gt;"N/A"),Config!$B$14&amp;"; ","")&amp;IF(AND(Config!$B$15&lt;&gt;"",I32&lt;&gt;"Sim",I32&lt;&gt;"N/A"),Config!$B$15&amp;"; ","")&amp;IF(AND(Config!$B$16&lt;&gt;"",J32&lt;&gt;"Sim",J32&lt;&gt;"N/A"),Config!$B$16&amp;"; ","")&amp;IF(AND(Config!$B$17&lt;&gt;"",K32&lt;&gt;"Sim",K32&lt;&gt;"N/A"),Config!$B$17&amp;"; ","")&amp;IF(AND(Config!$D$10&lt;&gt;"",L32&lt;&gt;"Sim",L32&lt;&gt;"N/A"),Config!$D$10&amp;"; ","")&amp;IF(AND(Config!$D$11&lt;&gt;"",M32&lt;&gt;"Sim",M32&lt;&gt;"N/A"),Config!$D$11&amp;"; ","")&amp;IF(AND(Config!$D$12&lt;&gt;"",N32&lt;&gt;"Sim",N32&lt;&gt;"N/A"),Config!$D$12&amp;"; ","")&amp;IF(AND(Config!$D$13&lt;&gt;"",O32&lt;&gt;"Sim",O32&lt;&gt;"N/A"),Config!$D$13&amp;"; ","")&amp;IF(AND(Config!$D$14&lt;&gt;"",P32&lt;&gt;"Sim",P32&lt;&gt;"N/A"),Config!$D$14&amp;"; ","")&amp;IF(AND(Config!$D$15&lt;&gt;"",Q32&lt;&gt;"Sim",Q32&lt;&gt;"N/A"),Config!$D$15&amp;"; ","")&amp;IF(AND(Config!$D$16&lt;&gt;"",R32&lt;&gt;"Sim",R32&lt;&gt;"N/A"),Config!$D$16&amp;"; ","")&amp;IF(AND(Config!$D$17&lt;&gt;"",S32&lt;&gt;"Sim",S32&lt;&gt;"N/A"),Config!$D$17&amp;"; ",""))</f>
        <v/>
      </c>
      <c r="AB32" s="39">
        <f>IF(A32="",0,COUNTIF($A$5:$A$304,"&gt;"&amp;A32)+1)</f>
        <v>46</v>
      </c>
    </row>
    <row r="33">
      <c r="A33" s="37" t="n">
        <v>46213</v>
      </c>
      <c r="B33" s="24" t="str">
        <f>IF(A33="","",CHOOSE(WEEKDAY(A33,2),"Segunda","Terça","Quarta","Quinta","Sexta","Sábado","Domingo"))</f>
        <v>Sexta</v>
      </c>
      <c r="C33" s="38" t="inlineStr">
        <is>
          <t>Bruna Carvalho</t>
        </is>
      </c>
      <c r="D33" s="38" t="inlineStr">
        <is>
          <t>Sim</t>
        </is>
      </c>
      <c r="E33" s="38" t="inlineStr">
        <is>
          <t>Sim</t>
        </is>
      </c>
      <c r="F33" s="38" t="inlineStr">
        <is>
          <t>Sim</t>
        </is>
      </c>
      <c r="G33" s="38" t="inlineStr">
        <is>
          <t>Sim</t>
        </is>
      </c>
      <c r="H33" s="38" t="inlineStr">
        <is>
          <t>Sim</t>
        </is>
      </c>
      <c r="I33" s="38" t="inlineStr">
        <is>
          <t>Sim</t>
        </is>
      </c>
      <c r="J33" s="38" t="n"/>
      <c r="K33" s="38" t="n"/>
      <c r="L33" s="38" t="inlineStr">
        <is>
          <t>Sim</t>
        </is>
      </c>
      <c r="M33" s="38" t="inlineStr">
        <is>
          <t>Sim</t>
        </is>
      </c>
      <c r="N33" s="38" t="inlineStr">
        <is>
          <t>Não</t>
        </is>
      </c>
      <c r="O33" s="38" t="inlineStr">
        <is>
          <t>Sim</t>
        </is>
      </c>
      <c r="P33" s="38" t="inlineStr">
        <is>
          <t>Sim</t>
        </is>
      </c>
      <c r="Q33" s="38" t="inlineStr">
        <is>
          <t>Sim</t>
        </is>
      </c>
      <c r="R33" s="38" t="n"/>
      <c r="S33" s="38" t="n"/>
      <c r="T33" s="26">
        <f>IF(A33="","",IFERROR(COUNTIF(D33:K33,"Sim")/(Config!$B$19-COUNTIF(D33:K33,"N/A")),""))</f>
        <v>1</v>
      </c>
      <c r="U33" s="26">
        <f>IF(A33="","",IFERROR(COUNTIF(L33:S33,"Sim")/(Config!$D$19-COUNTIF(L33:S33,"N/A")),""))</f>
        <v>0.833333333333333</v>
      </c>
      <c r="V33" s="24">
        <f>IF(A33="","",MAX(0,Config!$B$19-COUNTIF(D33:K33,"Sim")-COUNTIF(D33:K33,"N/A")))</f>
        <v>0</v>
      </c>
      <c r="W33" s="24">
        <f>IF(A33="","",MAX(0,Config!$D$19-COUNTIF(L33:S33,"Sim")-COUNTIF(L33:S33,"N/A")))</f>
        <v>1</v>
      </c>
      <c r="X33" s="24">
        <f>IF(A33="","",V33+W33)</f>
        <v>1</v>
      </c>
      <c r="Y33" s="29" t="str">
        <f>IF(OR(A33="",AA33=""),"",LEFT(AA33,LEN(AA33)-2))</f>
        <v>Situação de cada horário marcada (realizado, falta, cancelado)</v>
      </c>
      <c r="Z33" s="39">
        <f>IF(OR(A33="",X33=0),0,X33*100000+A33/100000)</f>
        <v>100000.46213</v>
      </c>
      <c r="AA33" s="39" t="str">
        <f>IF(A33="","",IF(AND(Config!$B$10&lt;&gt;"",D33&lt;&gt;"Sim",D33&lt;&gt;"N/A"),Config!$B$10&amp;"; ","")&amp;IF(AND(Config!$B$11&lt;&gt;"",E33&lt;&gt;"Sim",E33&lt;&gt;"N/A"),Config!$B$11&amp;"; ","")&amp;IF(AND(Config!$B$12&lt;&gt;"",F33&lt;&gt;"Sim",F33&lt;&gt;"N/A"),Config!$B$12&amp;"; ","")&amp;IF(AND(Config!$B$13&lt;&gt;"",G33&lt;&gt;"Sim",G33&lt;&gt;"N/A"),Config!$B$13&amp;"; ","")&amp;IF(AND(Config!$B$14&lt;&gt;"",H33&lt;&gt;"Sim",H33&lt;&gt;"N/A"),Config!$B$14&amp;"; ","")&amp;IF(AND(Config!$B$15&lt;&gt;"",I33&lt;&gt;"Sim",I33&lt;&gt;"N/A"),Config!$B$15&amp;"; ","")&amp;IF(AND(Config!$B$16&lt;&gt;"",J33&lt;&gt;"Sim",J33&lt;&gt;"N/A"),Config!$B$16&amp;"; ","")&amp;IF(AND(Config!$B$17&lt;&gt;"",K33&lt;&gt;"Sim",K33&lt;&gt;"N/A"),Config!$B$17&amp;"; ","")&amp;IF(AND(Config!$D$10&lt;&gt;"",L33&lt;&gt;"Sim",L33&lt;&gt;"N/A"),Config!$D$10&amp;"; ","")&amp;IF(AND(Config!$D$11&lt;&gt;"",M33&lt;&gt;"Sim",M33&lt;&gt;"N/A"),Config!$D$11&amp;"; ","")&amp;IF(AND(Config!$D$12&lt;&gt;"",N33&lt;&gt;"Sim",N33&lt;&gt;"N/A"),Config!$D$12&amp;"; ","")&amp;IF(AND(Config!$D$13&lt;&gt;"",O33&lt;&gt;"Sim",O33&lt;&gt;"N/A"),Config!$D$13&amp;"; ","")&amp;IF(AND(Config!$D$14&lt;&gt;"",P33&lt;&gt;"Sim",P33&lt;&gt;"N/A"),Config!$D$14&amp;"; ","")&amp;IF(AND(Config!$D$15&lt;&gt;"",Q33&lt;&gt;"Sim",Q33&lt;&gt;"N/A"),Config!$D$15&amp;"; ","")&amp;IF(AND(Config!$D$16&lt;&gt;"",R33&lt;&gt;"Sim",R33&lt;&gt;"N/A"),Config!$D$16&amp;"; ","")&amp;IF(AND(Config!$D$17&lt;&gt;"",S33&lt;&gt;"Sim",S33&lt;&gt;"N/A"),Config!$D$17&amp;"; ",""))</f>
        <v>Situação de cada horário marcada (realizado, falta, cancelado); </v>
      </c>
      <c r="AB33" s="39">
        <f>IF(A33="",0,COUNTIF($A$5:$A$304,"&gt;"&amp;A33)+1)</f>
        <v>45</v>
      </c>
    </row>
    <row r="34">
      <c r="A34" s="37" t="n">
        <v>46216</v>
      </c>
      <c r="B34" s="24" t="str">
        <f>IF(A34="","",CHOOSE(WEEKDAY(A34,2),"Segunda","Terça","Quarta","Quinta","Sexta","Sábado","Domingo"))</f>
        <v>Segunda</v>
      </c>
      <c r="C34" s="38" t="inlineStr">
        <is>
          <t>Bruna Carvalho</t>
        </is>
      </c>
      <c r="D34" s="38" t="inlineStr">
        <is>
          <t>Sim</t>
        </is>
      </c>
      <c r="E34" s="38" t="inlineStr">
        <is>
          <t>Sim</t>
        </is>
      </c>
      <c r="F34" s="38" t="inlineStr">
        <is>
          <t>Sim</t>
        </is>
      </c>
      <c r="G34" s="38" t="inlineStr">
        <is>
          <t>Sim</t>
        </is>
      </c>
      <c r="H34" s="38" t="inlineStr">
        <is>
          <t>Sim</t>
        </is>
      </c>
      <c r="I34" s="38" t="inlineStr">
        <is>
          <t>N/A</t>
        </is>
      </c>
      <c r="J34" s="38" t="n"/>
      <c r="K34" s="38" t="n"/>
      <c r="L34" s="38" t="inlineStr">
        <is>
          <t>Sim</t>
        </is>
      </c>
      <c r="M34" s="38" t="inlineStr">
        <is>
          <t>Sim</t>
        </is>
      </c>
      <c r="N34" s="38" t="inlineStr">
        <is>
          <t>Sim</t>
        </is>
      </c>
      <c r="O34" s="38" t="inlineStr">
        <is>
          <t>Sim</t>
        </is>
      </c>
      <c r="P34" s="38" t="inlineStr">
        <is>
          <t>Sim</t>
        </is>
      </c>
      <c r="Q34" s="38" t="inlineStr">
        <is>
          <t>Sim</t>
        </is>
      </c>
      <c r="R34" s="38" t="n"/>
      <c r="S34" s="38" t="n"/>
      <c r="T34" s="26">
        <f>IF(A34="","",IFERROR(COUNTIF(D34:K34,"Sim")/(Config!$B$19-COUNTIF(D34:K34,"N/A")),""))</f>
        <v>1</v>
      </c>
      <c r="U34" s="26">
        <f>IF(A34="","",IFERROR(COUNTIF(L34:S34,"Sim")/(Config!$D$19-COUNTIF(L34:S34,"N/A")),""))</f>
        <v>1</v>
      </c>
      <c r="V34" s="24">
        <f>IF(A34="","",MAX(0,Config!$B$19-COUNTIF(D34:K34,"Sim")-COUNTIF(D34:K34,"N/A")))</f>
        <v>0</v>
      </c>
      <c r="W34" s="24">
        <f>IF(A34="","",MAX(0,Config!$D$19-COUNTIF(L34:S34,"Sim")-COUNTIF(L34:S34,"N/A")))</f>
        <v>0</v>
      </c>
      <c r="X34" s="24">
        <f>IF(A34="","",V34+W34)</f>
        <v>0</v>
      </c>
      <c r="Y34" s="29">
        <f>IF(OR(A34="",AA34=""),"",LEFT(AA34,LEN(AA34)-2))</f>
        <v/>
      </c>
      <c r="Z34" s="39">
        <f>IF(OR(A34="",X34=0),0,X34*100000+A34/100000)</f>
        <v>0</v>
      </c>
      <c r="AA34" s="39">
        <f>IF(A34="","",IF(AND(Config!$B$10&lt;&gt;"",D34&lt;&gt;"Sim",D34&lt;&gt;"N/A"),Config!$B$10&amp;"; ","")&amp;IF(AND(Config!$B$11&lt;&gt;"",E34&lt;&gt;"Sim",E34&lt;&gt;"N/A"),Config!$B$11&amp;"; ","")&amp;IF(AND(Config!$B$12&lt;&gt;"",F34&lt;&gt;"Sim",F34&lt;&gt;"N/A"),Config!$B$12&amp;"; ","")&amp;IF(AND(Config!$B$13&lt;&gt;"",G34&lt;&gt;"Sim",G34&lt;&gt;"N/A"),Config!$B$13&amp;"; ","")&amp;IF(AND(Config!$B$14&lt;&gt;"",H34&lt;&gt;"Sim",H34&lt;&gt;"N/A"),Config!$B$14&amp;"; ","")&amp;IF(AND(Config!$B$15&lt;&gt;"",I34&lt;&gt;"Sim",I34&lt;&gt;"N/A"),Config!$B$15&amp;"; ","")&amp;IF(AND(Config!$B$16&lt;&gt;"",J34&lt;&gt;"Sim",J34&lt;&gt;"N/A"),Config!$B$16&amp;"; ","")&amp;IF(AND(Config!$B$17&lt;&gt;"",K34&lt;&gt;"Sim",K34&lt;&gt;"N/A"),Config!$B$17&amp;"; ","")&amp;IF(AND(Config!$D$10&lt;&gt;"",L34&lt;&gt;"Sim",L34&lt;&gt;"N/A"),Config!$D$10&amp;"; ","")&amp;IF(AND(Config!$D$11&lt;&gt;"",M34&lt;&gt;"Sim",M34&lt;&gt;"N/A"),Config!$D$11&amp;"; ","")&amp;IF(AND(Config!$D$12&lt;&gt;"",N34&lt;&gt;"Sim",N34&lt;&gt;"N/A"),Config!$D$12&amp;"; ","")&amp;IF(AND(Config!$D$13&lt;&gt;"",O34&lt;&gt;"Sim",O34&lt;&gt;"N/A"),Config!$D$13&amp;"; ","")&amp;IF(AND(Config!$D$14&lt;&gt;"",P34&lt;&gt;"Sim",P34&lt;&gt;"N/A"),Config!$D$14&amp;"; ","")&amp;IF(AND(Config!$D$15&lt;&gt;"",Q34&lt;&gt;"Sim",Q34&lt;&gt;"N/A"),Config!$D$15&amp;"; ","")&amp;IF(AND(Config!$D$16&lt;&gt;"",R34&lt;&gt;"Sim",R34&lt;&gt;"N/A"),Config!$D$16&amp;"; ","")&amp;IF(AND(Config!$D$17&lt;&gt;"",S34&lt;&gt;"Sim",S34&lt;&gt;"N/A"),Config!$D$17&amp;"; ",""))</f>
        <v/>
      </c>
      <c r="AB34" s="39">
        <f>IF(A34="",0,COUNTIF($A$5:$A$304,"&gt;"&amp;A34)+1)</f>
        <v>44</v>
      </c>
    </row>
    <row r="35">
      <c r="A35" s="37" t="n">
        <v>46217</v>
      </c>
      <c r="B35" s="24" t="str">
        <f>IF(A35="","",CHOOSE(WEEKDAY(A35,2),"Segunda","Terça","Quarta","Quinta","Sexta","Sábado","Domingo"))</f>
        <v>Terça</v>
      </c>
      <c r="C35" s="38" t="inlineStr">
        <is>
          <t>Bruna Carvalho</t>
        </is>
      </c>
      <c r="D35" s="38" t="inlineStr">
        <is>
          <t>Sim</t>
        </is>
      </c>
      <c r="E35" s="38" t="inlineStr">
        <is>
          <t>Sim</t>
        </is>
      </c>
      <c r="F35" s="38" t="inlineStr">
        <is>
          <t>Sim</t>
        </is>
      </c>
      <c r="G35" s="38" t="inlineStr">
        <is>
          <t>Sim</t>
        </is>
      </c>
      <c r="H35" s="38" t="inlineStr">
        <is>
          <t>Sim</t>
        </is>
      </c>
      <c r="I35" s="38" t="inlineStr">
        <is>
          <t>N/A</t>
        </is>
      </c>
      <c r="J35" s="38" t="n"/>
      <c r="K35" s="38" t="n"/>
      <c r="L35" s="38" t="inlineStr">
        <is>
          <t>Sim</t>
        </is>
      </c>
      <c r="M35" s="38" t="inlineStr">
        <is>
          <t>Sim</t>
        </is>
      </c>
      <c r="N35" s="38" t="inlineStr">
        <is>
          <t>Sim</t>
        </is>
      </c>
      <c r="O35" s="38" t="inlineStr">
        <is>
          <t>Sim</t>
        </is>
      </c>
      <c r="P35" s="38" t="inlineStr">
        <is>
          <t>Sim</t>
        </is>
      </c>
      <c r="Q35" s="38" t="inlineStr">
        <is>
          <t>Sim</t>
        </is>
      </c>
      <c r="R35" s="38" t="n"/>
      <c r="S35" s="38" t="n"/>
      <c r="T35" s="26">
        <f>IF(A35="","",IFERROR(COUNTIF(D35:K35,"Sim")/(Config!$B$19-COUNTIF(D35:K35,"N/A")),""))</f>
        <v>1</v>
      </c>
      <c r="U35" s="26">
        <f>IF(A35="","",IFERROR(COUNTIF(L35:S35,"Sim")/(Config!$D$19-COUNTIF(L35:S35,"N/A")),""))</f>
        <v>1</v>
      </c>
      <c r="V35" s="24">
        <f>IF(A35="","",MAX(0,Config!$B$19-COUNTIF(D35:K35,"Sim")-COUNTIF(D35:K35,"N/A")))</f>
        <v>0</v>
      </c>
      <c r="W35" s="24">
        <f>IF(A35="","",MAX(0,Config!$D$19-COUNTIF(L35:S35,"Sim")-COUNTIF(L35:S35,"N/A")))</f>
        <v>0</v>
      </c>
      <c r="X35" s="24">
        <f>IF(A35="","",V35+W35)</f>
        <v>0</v>
      </c>
      <c r="Y35" s="29">
        <f>IF(OR(A35="",AA35=""),"",LEFT(AA35,LEN(AA35)-2))</f>
        <v/>
      </c>
      <c r="Z35" s="39">
        <f>IF(OR(A35="",X35=0),0,X35*100000+A35/100000)</f>
        <v>0</v>
      </c>
      <c r="AA35" s="39">
        <f>IF(A35="","",IF(AND(Config!$B$10&lt;&gt;"",D35&lt;&gt;"Sim",D35&lt;&gt;"N/A"),Config!$B$10&amp;"; ","")&amp;IF(AND(Config!$B$11&lt;&gt;"",E35&lt;&gt;"Sim",E35&lt;&gt;"N/A"),Config!$B$11&amp;"; ","")&amp;IF(AND(Config!$B$12&lt;&gt;"",F35&lt;&gt;"Sim",F35&lt;&gt;"N/A"),Config!$B$12&amp;"; ","")&amp;IF(AND(Config!$B$13&lt;&gt;"",G35&lt;&gt;"Sim",G35&lt;&gt;"N/A"),Config!$B$13&amp;"; ","")&amp;IF(AND(Config!$B$14&lt;&gt;"",H35&lt;&gt;"Sim",H35&lt;&gt;"N/A"),Config!$B$14&amp;"; ","")&amp;IF(AND(Config!$B$15&lt;&gt;"",I35&lt;&gt;"Sim",I35&lt;&gt;"N/A"),Config!$B$15&amp;"; ","")&amp;IF(AND(Config!$B$16&lt;&gt;"",J35&lt;&gt;"Sim",J35&lt;&gt;"N/A"),Config!$B$16&amp;"; ","")&amp;IF(AND(Config!$B$17&lt;&gt;"",K35&lt;&gt;"Sim",K35&lt;&gt;"N/A"),Config!$B$17&amp;"; ","")&amp;IF(AND(Config!$D$10&lt;&gt;"",L35&lt;&gt;"Sim",L35&lt;&gt;"N/A"),Config!$D$10&amp;"; ","")&amp;IF(AND(Config!$D$11&lt;&gt;"",M35&lt;&gt;"Sim",M35&lt;&gt;"N/A"),Config!$D$11&amp;"; ","")&amp;IF(AND(Config!$D$12&lt;&gt;"",N35&lt;&gt;"Sim",N35&lt;&gt;"N/A"),Config!$D$12&amp;"; ","")&amp;IF(AND(Config!$D$13&lt;&gt;"",O35&lt;&gt;"Sim",O35&lt;&gt;"N/A"),Config!$D$13&amp;"; ","")&amp;IF(AND(Config!$D$14&lt;&gt;"",P35&lt;&gt;"Sim",P35&lt;&gt;"N/A"),Config!$D$14&amp;"; ","")&amp;IF(AND(Config!$D$15&lt;&gt;"",Q35&lt;&gt;"Sim",Q35&lt;&gt;"N/A"),Config!$D$15&amp;"; ","")&amp;IF(AND(Config!$D$16&lt;&gt;"",R35&lt;&gt;"Sim",R35&lt;&gt;"N/A"),Config!$D$16&amp;"; ","")&amp;IF(AND(Config!$D$17&lt;&gt;"",S35&lt;&gt;"Sim",S35&lt;&gt;"N/A"),Config!$D$17&amp;"; ",""))</f>
        <v/>
      </c>
      <c r="AB35" s="39">
        <f>IF(A35="",0,COUNTIF($A$5:$A$304,"&gt;"&amp;A35)+1)</f>
        <v>43</v>
      </c>
    </row>
    <row r="36">
      <c r="A36" s="37" t="n">
        <v>46218</v>
      </c>
      <c r="B36" s="24" t="str">
        <f>IF(A36="","",CHOOSE(WEEKDAY(A36,2),"Segunda","Terça","Quarta","Quinta","Sexta","Sábado","Domingo"))</f>
        <v>Quarta</v>
      </c>
      <c r="C36" s="38" t="inlineStr">
        <is>
          <t>Bruna Carvalho</t>
        </is>
      </c>
      <c r="D36" s="38" t="inlineStr">
        <is>
          <t>Sim</t>
        </is>
      </c>
      <c r="E36" s="38" t="inlineStr">
        <is>
          <t>Sim</t>
        </is>
      </c>
      <c r="F36" s="38" t="inlineStr">
        <is>
          <t>Sim</t>
        </is>
      </c>
      <c r="G36" s="38" t="inlineStr">
        <is>
          <t>Sim</t>
        </is>
      </c>
      <c r="H36" s="38" t="inlineStr">
        <is>
          <t>Sim</t>
        </is>
      </c>
      <c r="I36" s="38" t="inlineStr">
        <is>
          <t>N/A</t>
        </is>
      </c>
      <c r="J36" s="38" t="n"/>
      <c r="K36" s="38" t="n"/>
      <c r="L36" s="38" t="inlineStr">
        <is>
          <t>Sim</t>
        </is>
      </c>
      <c r="M36" s="38" t="inlineStr">
        <is>
          <t>Sim</t>
        </is>
      </c>
      <c r="N36" s="38" t="inlineStr">
        <is>
          <t>Sim</t>
        </is>
      </c>
      <c r="O36" s="38" t="inlineStr">
        <is>
          <t>Não</t>
        </is>
      </c>
      <c r="P36" s="38" t="inlineStr">
        <is>
          <t>Sim</t>
        </is>
      </c>
      <c r="Q36" s="38" t="inlineStr">
        <is>
          <t>Sim</t>
        </is>
      </c>
      <c r="R36" s="38" t="n"/>
      <c r="S36" s="38" t="n"/>
      <c r="T36" s="26">
        <f>IF(A36="","",IFERROR(COUNTIF(D36:K36,"Sim")/(Config!$B$19-COUNTIF(D36:K36,"N/A")),""))</f>
        <v>1</v>
      </c>
      <c r="U36" s="26">
        <f>IF(A36="","",IFERROR(COUNTIF(L36:S36,"Sim")/(Config!$D$19-COUNTIF(L36:S36,"N/A")),""))</f>
        <v>0.833333333333333</v>
      </c>
      <c r="V36" s="24">
        <f>IF(A36="","",MAX(0,Config!$B$19-COUNTIF(D36:K36,"Sim")-COUNTIF(D36:K36,"N/A")))</f>
        <v>0</v>
      </c>
      <c r="W36" s="24">
        <f>IF(A36="","",MAX(0,Config!$D$19-COUNTIF(L36:S36,"Sim")-COUNTIF(L36:S36,"N/A")))</f>
        <v>1</v>
      </c>
      <c r="X36" s="24">
        <f>IF(A36="","",V36+W36)</f>
        <v>1</v>
      </c>
      <c r="Y36" s="29" t="str">
        <f>IF(OR(A36="",AA36=""),"",LEFT(AA36,LEN(AA36)-2))</f>
        <v>Guias do dia conferidas e guardadas para o lote (13)</v>
      </c>
      <c r="Z36" s="39">
        <f>IF(OR(A36="",X36=0),0,X36*100000+A36/100000)</f>
        <v>100000.46218</v>
      </c>
      <c r="AA36" s="39" t="str">
        <f>IF(A36="","",IF(AND(Config!$B$10&lt;&gt;"",D36&lt;&gt;"Sim",D36&lt;&gt;"N/A"),Config!$B$10&amp;"; ","")&amp;IF(AND(Config!$B$11&lt;&gt;"",E36&lt;&gt;"Sim",E36&lt;&gt;"N/A"),Config!$B$11&amp;"; ","")&amp;IF(AND(Config!$B$12&lt;&gt;"",F36&lt;&gt;"Sim",F36&lt;&gt;"N/A"),Config!$B$12&amp;"; ","")&amp;IF(AND(Config!$B$13&lt;&gt;"",G36&lt;&gt;"Sim",G36&lt;&gt;"N/A"),Config!$B$13&amp;"; ","")&amp;IF(AND(Config!$B$14&lt;&gt;"",H36&lt;&gt;"Sim",H36&lt;&gt;"N/A"),Config!$B$14&amp;"; ","")&amp;IF(AND(Config!$B$15&lt;&gt;"",I36&lt;&gt;"Sim",I36&lt;&gt;"N/A"),Config!$B$15&amp;"; ","")&amp;IF(AND(Config!$B$16&lt;&gt;"",J36&lt;&gt;"Sim",J36&lt;&gt;"N/A"),Config!$B$16&amp;"; ","")&amp;IF(AND(Config!$B$17&lt;&gt;"",K36&lt;&gt;"Sim",K36&lt;&gt;"N/A"),Config!$B$17&amp;"; ","")&amp;IF(AND(Config!$D$10&lt;&gt;"",L36&lt;&gt;"Sim",L36&lt;&gt;"N/A"),Config!$D$10&amp;"; ","")&amp;IF(AND(Config!$D$11&lt;&gt;"",M36&lt;&gt;"Sim",M36&lt;&gt;"N/A"),Config!$D$11&amp;"; ","")&amp;IF(AND(Config!$D$12&lt;&gt;"",N36&lt;&gt;"Sim",N36&lt;&gt;"N/A"),Config!$D$12&amp;"; ","")&amp;IF(AND(Config!$D$13&lt;&gt;"",O36&lt;&gt;"Sim",O36&lt;&gt;"N/A"),Config!$D$13&amp;"; ","")&amp;IF(AND(Config!$D$14&lt;&gt;"",P36&lt;&gt;"Sim",P36&lt;&gt;"N/A"),Config!$D$14&amp;"; ","")&amp;IF(AND(Config!$D$15&lt;&gt;"",Q36&lt;&gt;"Sim",Q36&lt;&gt;"N/A"),Config!$D$15&amp;"; ","")&amp;IF(AND(Config!$D$16&lt;&gt;"",R36&lt;&gt;"Sim",R36&lt;&gt;"N/A"),Config!$D$16&amp;"; ","")&amp;IF(AND(Config!$D$17&lt;&gt;"",S36&lt;&gt;"Sim",S36&lt;&gt;"N/A"),Config!$D$17&amp;"; ",""))</f>
        <v>Guias do dia conferidas e guardadas para o lote (13); </v>
      </c>
      <c r="AB36" s="39">
        <f>IF(A36="",0,COUNTIF($A$5:$A$304,"&gt;"&amp;A36)+1)</f>
        <v>42</v>
      </c>
    </row>
    <row r="37">
      <c r="A37" s="37" t="n">
        <v>46219</v>
      </c>
      <c r="B37" s="24" t="str">
        <f>IF(A37="","",CHOOSE(WEEKDAY(A37,2),"Segunda","Terça","Quarta","Quinta","Sexta","Sábado","Domingo"))</f>
        <v>Quinta</v>
      </c>
      <c r="C37" s="38" t="inlineStr">
        <is>
          <t>Bruna Carvalho</t>
        </is>
      </c>
      <c r="D37" s="38" t="inlineStr">
        <is>
          <t>Sim</t>
        </is>
      </c>
      <c r="E37" s="38" t="inlineStr">
        <is>
          <t>Sim</t>
        </is>
      </c>
      <c r="F37" s="38" t="inlineStr">
        <is>
          <t>Sim</t>
        </is>
      </c>
      <c r="G37" s="38" t="inlineStr">
        <is>
          <t>Sim</t>
        </is>
      </c>
      <c r="H37" s="38" t="inlineStr">
        <is>
          <t>Sim</t>
        </is>
      </c>
      <c r="I37" s="38" t="inlineStr">
        <is>
          <t>N/A</t>
        </is>
      </c>
      <c r="J37" s="38" t="n"/>
      <c r="K37" s="38" t="n"/>
      <c r="L37" s="38" t="inlineStr">
        <is>
          <t>Sim</t>
        </is>
      </c>
      <c r="M37" s="38" t="inlineStr">
        <is>
          <t>Sim</t>
        </is>
      </c>
      <c r="N37" s="38" t="inlineStr">
        <is>
          <t>Sim</t>
        </is>
      </c>
      <c r="O37" s="38" t="inlineStr">
        <is>
          <t>Sim</t>
        </is>
      </c>
      <c r="P37" s="38" t="inlineStr">
        <is>
          <t>Sim</t>
        </is>
      </c>
      <c r="Q37" s="38" t="inlineStr">
        <is>
          <t>Sim</t>
        </is>
      </c>
      <c r="R37" s="38" t="n"/>
      <c r="S37" s="38" t="n"/>
      <c r="T37" s="26">
        <f>IF(A37="","",IFERROR(COUNTIF(D37:K37,"Sim")/(Config!$B$19-COUNTIF(D37:K37,"N/A")),""))</f>
        <v>1</v>
      </c>
      <c r="U37" s="26">
        <f>IF(A37="","",IFERROR(COUNTIF(L37:S37,"Sim")/(Config!$D$19-COUNTIF(L37:S37,"N/A")),""))</f>
        <v>1</v>
      </c>
      <c r="V37" s="24">
        <f>IF(A37="","",MAX(0,Config!$B$19-COUNTIF(D37:K37,"Sim")-COUNTIF(D37:K37,"N/A")))</f>
        <v>0</v>
      </c>
      <c r="W37" s="24">
        <f>IF(A37="","",MAX(0,Config!$D$19-COUNTIF(L37:S37,"Sim")-COUNTIF(L37:S37,"N/A")))</f>
        <v>0</v>
      </c>
      <c r="X37" s="24">
        <f>IF(A37="","",V37+W37)</f>
        <v>0</v>
      </c>
      <c r="Y37" s="29">
        <f>IF(OR(A37="",AA37=""),"",LEFT(AA37,LEN(AA37)-2))</f>
        <v/>
      </c>
      <c r="Z37" s="39">
        <f>IF(OR(A37="",X37=0),0,X37*100000+A37/100000)</f>
        <v>0</v>
      </c>
      <c r="AA37" s="39">
        <f>IF(A37="","",IF(AND(Config!$B$10&lt;&gt;"",D37&lt;&gt;"Sim",D37&lt;&gt;"N/A"),Config!$B$10&amp;"; ","")&amp;IF(AND(Config!$B$11&lt;&gt;"",E37&lt;&gt;"Sim",E37&lt;&gt;"N/A"),Config!$B$11&amp;"; ","")&amp;IF(AND(Config!$B$12&lt;&gt;"",F37&lt;&gt;"Sim",F37&lt;&gt;"N/A"),Config!$B$12&amp;"; ","")&amp;IF(AND(Config!$B$13&lt;&gt;"",G37&lt;&gt;"Sim",G37&lt;&gt;"N/A"),Config!$B$13&amp;"; ","")&amp;IF(AND(Config!$B$14&lt;&gt;"",H37&lt;&gt;"Sim",H37&lt;&gt;"N/A"),Config!$B$14&amp;"; ","")&amp;IF(AND(Config!$B$15&lt;&gt;"",I37&lt;&gt;"Sim",I37&lt;&gt;"N/A"),Config!$B$15&amp;"; ","")&amp;IF(AND(Config!$B$16&lt;&gt;"",J37&lt;&gt;"Sim",J37&lt;&gt;"N/A"),Config!$B$16&amp;"; ","")&amp;IF(AND(Config!$B$17&lt;&gt;"",K37&lt;&gt;"Sim",K37&lt;&gt;"N/A"),Config!$B$17&amp;"; ","")&amp;IF(AND(Config!$D$10&lt;&gt;"",L37&lt;&gt;"Sim",L37&lt;&gt;"N/A"),Config!$D$10&amp;"; ","")&amp;IF(AND(Config!$D$11&lt;&gt;"",M37&lt;&gt;"Sim",M37&lt;&gt;"N/A"),Config!$D$11&amp;"; ","")&amp;IF(AND(Config!$D$12&lt;&gt;"",N37&lt;&gt;"Sim",N37&lt;&gt;"N/A"),Config!$D$12&amp;"; ","")&amp;IF(AND(Config!$D$13&lt;&gt;"",O37&lt;&gt;"Sim",O37&lt;&gt;"N/A"),Config!$D$13&amp;"; ","")&amp;IF(AND(Config!$D$14&lt;&gt;"",P37&lt;&gt;"Sim",P37&lt;&gt;"N/A"),Config!$D$14&amp;"; ","")&amp;IF(AND(Config!$D$15&lt;&gt;"",Q37&lt;&gt;"Sim",Q37&lt;&gt;"N/A"),Config!$D$15&amp;"; ","")&amp;IF(AND(Config!$D$16&lt;&gt;"",R37&lt;&gt;"Sim",R37&lt;&gt;"N/A"),Config!$D$16&amp;"; ","")&amp;IF(AND(Config!$D$17&lt;&gt;"",S37&lt;&gt;"Sim",S37&lt;&gt;"N/A"),Config!$D$17&amp;"; ",""))</f>
        <v/>
      </c>
      <c r="AB37" s="39">
        <f>IF(A37="",0,COUNTIF($A$5:$A$304,"&gt;"&amp;A37)+1)</f>
        <v>41</v>
      </c>
    </row>
    <row r="38">
      <c r="A38" s="37" t="n">
        <v>46220</v>
      </c>
      <c r="B38" s="24" t="str">
        <f>IF(A38="","",CHOOSE(WEEKDAY(A38,2),"Segunda","Terça","Quarta","Quinta","Sexta","Sábado","Domingo"))</f>
        <v>Sexta</v>
      </c>
      <c r="C38" s="38" t="inlineStr">
        <is>
          <t>Bruna Carvalho</t>
        </is>
      </c>
      <c r="D38" s="38" t="inlineStr">
        <is>
          <t>Sim</t>
        </is>
      </c>
      <c r="E38" s="38" t="inlineStr">
        <is>
          <t>Sim</t>
        </is>
      </c>
      <c r="F38" s="38" t="inlineStr">
        <is>
          <t>Sim</t>
        </is>
      </c>
      <c r="G38" s="38" t="inlineStr">
        <is>
          <t>Sim</t>
        </is>
      </c>
      <c r="H38" s="38" t="inlineStr">
        <is>
          <t>Sim</t>
        </is>
      </c>
      <c r="I38" s="38" t="inlineStr">
        <is>
          <t>Sim</t>
        </is>
      </c>
      <c r="J38" s="38" t="n"/>
      <c r="K38" s="38" t="n"/>
      <c r="L38" s="38" t="inlineStr">
        <is>
          <t>Sim</t>
        </is>
      </c>
      <c r="M38" s="38" t="inlineStr">
        <is>
          <t>Não</t>
        </is>
      </c>
      <c r="N38" s="38" t="inlineStr">
        <is>
          <t>Sim</t>
        </is>
      </c>
      <c r="O38" s="38" t="inlineStr">
        <is>
          <t>Sim</t>
        </is>
      </c>
      <c r="P38" s="38" t="inlineStr">
        <is>
          <t>Sim</t>
        </is>
      </c>
      <c r="Q38" s="38" t="inlineStr">
        <is>
          <t>Sim</t>
        </is>
      </c>
      <c r="R38" s="38" t="n"/>
      <c r="S38" s="38" t="n"/>
      <c r="T38" s="26">
        <f>IF(A38="","",IFERROR(COUNTIF(D38:K38,"Sim")/(Config!$B$19-COUNTIF(D38:K38,"N/A")),""))</f>
        <v>1</v>
      </c>
      <c r="U38" s="26">
        <f>IF(A38="","",IFERROR(COUNTIF(L38:S38,"Sim")/(Config!$D$19-COUNTIF(L38:S38,"N/A")),""))</f>
        <v>0.833333333333333</v>
      </c>
      <c r="V38" s="24">
        <f>IF(A38="","",MAX(0,Config!$B$19-COUNTIF(D38:K38,"Sim")-COUNTIF(D38:K38,"N/A")))</f>
        <v>0</v>
      </c>
      <c r="W38" s="24">
        <f>IF(A38="","",MAX(0,Config!$D$19-COUNTIF(L38:S38,"Sim")-COUNTIF(L38:S38,"N/A")))</f>
        <v>1</v>
      </c>
      <c r="X38" s="24">
        <f>IF(A38="","",V38+W38)</f>
        <v>1</v>
      </c>
      <c r="Y38" s="29" t="str">
        <f>IF(OR(A38="",AA38=""),"",LEFT(AA38,LEN(AA38)-2))</f>
        <v>Fechamento do dia lançado no Caixa (09)</v>
      </c>
      <c r="Z38" s="39">
        <f>IF(OR(A38="",X38=0),0,X38*100000+A38/100000)</f>
        <v>100000.4622</v>
      </c>
      <c r="AA38" s="39" t="str">
        <f>IF(A38="","",IF(AND(Config!$B$10&lt;&gt;"",D38&lt;&gt;"Sim",D38&lt;&gt;"N/A"),Config!$B$10&amp;"; ","")&amp;IF(AND(Config!$B$11&lt;&gt;"",E38&lt;&gt;"Sim",E38&lt;&gt;"N/A"),Config!$B$11&amp;"; ","")&amp;IF(AND(Config!$B$12&lt;&gt;"",F38&lt;&gt;"Sim",F38&lt;&gt;"N/A"),Config!$B$12&amp;"; ","")&amp;IF(AND(Config!$B$13&lt;&gt;"",G38&lt;&gt;"Sim",G38&lt;&gt;"N/A"),Config!$B$13&amp;"; ","")&amp;IF(AND(Config!$B$14&lt;&gt;"",H38&lt;&gt;"Sim",H38&lt;&gt;"N/A"),Config!$B$14&amp;"; ","")&amp;IF(AND(Config!$B$15&lt;&gt;"",I38&lt;&gt;"Sim",I38&lt;&gt;"N/A"),Config!$B$15&amp;"; ","")&amp;IF(AND(Config!$B$16&lt;&gt;"",J38&lt;&gt;"Sim",J38&lt;&gt;"N/A"),Config!$B$16&amp;"; ","")&amp;IF(AND(Config!$B$17&lt;&gt;"",K38&lt;&gt;"Sim",K38&lt;&gt;"N/A"),Config!$B$17&amp;"; ","")&amp;IF(AND(Config!$D$10&lt;&gt;"",L38&lt;&gt;"Sim",L38&lt;&gt;"N/A"),Config!$D$10&amp;"; ","")&amp;IF(AND(Config!$D$11&lt;&gt;"",M38&lt;&gt;"Sim",M38&lt;&gt;"N/A"),Config!$D$11&amp;"; ","")&amp;IF(AND(Config!$D$12&lt;&gt;"",N38&lt;&gt;"Sim",N38&lt;&gt;"N/A"),Config!$D$12&amp;"; ","")&amp;IF(AND(Config!$D$13&lt;&gt;"",O38&lt;&gt;"Sim",O38&lt;&gt;"N/A"),Config!$D$13&amp;"; ","")&amp;IF(AND(Config!$D$14&lt;&gt;"",P38&lt;&gt;"Sim",P38&lt;&gt;"N/A"),Config!$D$14&amp;"; ","")&amp;IF(AND(Config!$D$15&lt;&gt;"",Q38&lt;&gt;"Sim",Q38&lt;&gt;"N/A"),Config!$D$15&amp;"; ","")&amp;IF(AND(Config!$D$16&lt;&gt;"",R38&lt;&gt;"Sim",R38&lt;&gt;"N/A"),Config!$D$16&amp;"; ","")&amp;IF(AND(Config!$D$17&lt;&gt;"",S38&lt;&gt;"Sim",S38&lt;&gt;"N/A"),Config!$D$17&amp;"; ",""))</f>
        <v>Fechamento do dia lançado no Caixa (09); </v>
      </c>
      <c r="AB38" s="39">
        <f>IF(A38="",0,COUNTIF($A$5:$A$304,"&gt;"&amp;A38)+1)</f>
        <v>40</v>
      </c>
    </row>
    <row r="39">
      <c r="A39" s="37" t="n">
        <v>46223</v>
      </c>
      <c r="B39" s="24" t="str">
        <f>IF(A39="","",CHOOSE(WEEKDAY(A39,2),"Segunda","Terça","Quarta","Quinta","Sexta","Sábado","Domingo"))</f>
        <v>Segunda</v>
      </c>
      <c r="C39" s="38" t="inlineStr">
        <is>
          <t>Bruna Carvalho</t>
        </is>
      </c>
      <c r="D39" s="38" t="inlineStr">
        <is>
          <t>Sim</t>
        </is>
      </c>
      <c r="E39" s="38" t="inlineStr">
        <is>
          <t>Sim</t>
        </is>
      </c>
      <c r="F39" s="38" t="inlineStr">
        <is>
          <t>Sim</t>
        </is>
      </c>
      <c r="G39" s="38" t="inlineStr">
        <is>
          <t>Sim</t>
        </is>
      </c>
      <c r="H39" s="38" t="inlineStr">
        <is>
          <t>Sim</t>
        </is>
      </c>
      <c r="I39" s="38" t="inlineStr">
        <is>
          <t>N/A</t>
        </is>
      </c>
      <c r="J39" s="38" t="n"/>
      <c r="K39" s="38" t="n"/>
      <c r="L39" s="38" t="inlineStr">
        <is>
          <t>Não</t>
        </is>
      </c>
      <c r="M39" s="38" t="inlineStr">
        <is>
          <t>Sim</t>
        </is>
      </c>
      <c r="N39" s="38" t="inlineStr">
        <is>
          <t>Não</t>
        </is>
      </c>
      <c r="O39" s="38" t="inlineStr">
        <is>
          <t>Sim</t>
        </is>
      </c>
      <c r="P39" s="38" t="inlineStr">
        <is>
          <t>Sim</t>
        </is>
      </c>
      <c r="Q39" s="38" t="inlineStr">
        <is>
          <t>Sim</t>
        </is>
      </c>
      <c r="R39" s="38" t="n"/>
      <c r="S39" s="38" t="n"/>
      <c r="T39" s="26">
        <f>IF(A39="","",IFERROR(COUNTIF(D39:K39,"Sim")/(Config!$B$19-COUNTIF(D39:K39,"N/A")),""))</f>
        <v>1</v>
      </c>
      <c r="U39" s="26">
        <f>IF(A39="","",IFERROR(COUNTIF(L39:S39,"Sim")/(Config!$D$19-COUNTIF(L39:S39,"N/A")),""))</f>
        <v>0.666666666666667</v>
      </c>
      <c r="V39" s="24">
        <f>IF(A39="","",MAX(0,Config!$B$19-COUNTIF(D39:K39,"Sim")-COUNTIF(D39:K39,"N/A")))</f>
        <v>0</v>
      </c>
      <c r="W39" s="24">
        <f>IF(A39="","",MAX(0,Config!$D$19-COUNTIF(L39:S39,"Sim")-COUNTIF(L39:S39,"N/A")))</f>
        <v>2</v>
      </c>
      <c r="X39" s="24">
        <f>IF(A39="","",V39+W39)</f>
        <v>2</v>
      </c>
      <c r="Y39" s="29" t="str">
        <f>IF(OR(A39="",AA39=""),"",LEFT(AA39,LEN(AA39)-2))</f>
        <v>Caixa do dia fechado e conferido (Pix, cartão, dinheiro); Situação de cada horário marcada (realizado, falta, cancelado)</v>
      </c>
      <c r="Z39" s="39">
        <f>IF(OR(A39="",X39=0),0,X39*100000+A39/100000)</f>
        <v>200000.46223</v>
      </c>
      <c r="AA39" s="39" t="str">
        <f>IF(A39="","",IF(AND(Config!$B$10&lt;&gt;"",D39&lt;&gt;"Sim",D39&lt;&gt;"N/A"),Config!$B$10&amp;"; ","")&amp;IF(AND(Config!$B$11&lt;&gt;"",E39&lt;&gt;"Sim",E39&lt;&gt;"N/A"),Config!$B$11&amp;"; ","")&amp;IF(AND(Config!$B$12&lt;&gt;"",F39&lt;&gt;"Sim",F39&lt;&gt;"N/A"),Config!$B$12&amp;"; ","")&amp;IF(AND(Config!$B$13&lt;&gt;"",G39&lt;&gt;"Sim",G39&lt;&gt;"N/A"),Config!$B$13&amp;"; ","")&amp;IF(AND(Config!$B$14&lt;&gt;"",H39&lt;&gt;"Sim",H39&lt;&gt;"N/A"),Config!$B$14&amp;"; ","")&amp;IF(AND(Config!$B$15&lt;&gt;"",I39&lt;&gt;"Sim",I39&lt;&gt;"N/A"),Config!$B$15&amp;"; ","")&amp;IF(AND(Config!$B$16&lt;&gt;"",J39&lt;&gt;"Sim",J39&lt;&gt;"N/A"),Config!$B$16&amp;"; ","")&amp;IF(AND(Config!$B$17&lt;&gt;"",K39&lt;&gt;"Sim",K39&lt;&gt;"N/A"),Config!$B$17&amp;"; ","")&amp;IF(AND(Config!$D$10&lt;&gt;"",L39&lt;&gt;"Sim",L39&lt;&gt;"N/A"),Config!$D$10&amp;"; ","")&amp;IF(AND(Config!$D$11&lt;&gt;"",M39&lt;&gt;"Sim",M39&lt;&gt;"N/A"),Config!$D$11&amp;"; ","")&amp;IF(AND(Config!$D$12&lt;&gt;"",N39&lt;&gt;"Sim",N39&lt;&gt;"N/A"),Config!$D$12&amp;"; ","")&amp;IF(AND(Config!$D$13&lt;&gt;"",O39&lt;&gt;"Sim",O39&lt;&gt;"N/A"),Config!$D$13&amp;"; ","")&amp;IF(AND(Config!$D$14&lt;&gt;"",P39&lt;&gt;"Sim",P39&lt;&gt;"N/A"),Config!$D$14&amp;"; ","")&amp;IF(AND(Config!$D$15&lt;&gt;"",Q39&lt;&gt;"Sim",Q39&lt;&gt;"N/A"),Config!$D$15&amp;"; ","")&amp;IF(AND(Config!$D$16&lt;&gt;"",R39&lt;&gt;"Sim",R39&lt;&gt;"N/A"),Config!$D$16&amp;"; ","")&amp;IF(AND(Config!$D$17&lt;&gt;"",S39&lt;&gt;"Sim",S39&lt;&gt;"N/A"),Config!$D$17&amp;"; ",""))</f>
        <v>Caixa do dia fechado e conferido (Pix, cartão, dinheiro); Situação de cada horário marcada (realizado, falta, cancelado); </v>
      </c>
      <c r="AB39" s="39">
        <f>IF(A39="",0,COUNTIF($A$5:$A$304,"&gt;"&amp;A39)+1)</f>
        <v>39</v>
      </c>
    </row>
    <row r="40">
      <c r="A40" s="37" t="n">
        <v>46224</v>
      </c>
      <c r="B40" s="24" t="str">
        <f>IF(A40="","",CHOOSE(WEEKDAY(A40,2),"Segunda","Terça","Quarta","Quinta","Sexta","Sábado","Domingo"))</f>
        <v>Terça</v>
      </c>
      <c r="C40" s="38" t="inlineStr">
        <is>
          <t>Bruna Carvalho</t>
        </is>
      </c>
      <c r="D40" s="38" t="inlineStr">
        <is>
          <t>Sim</t>
        </is>
      </c>
      <c r="E40" s="38" t="inlineStr">
        <is>
          <t>Sim</t>
        </is>
      </c>
      <c r="F40" s="38" t="inlineStr">
        <is>
          <t>Sim</t>
        </is>
      </c>
      <c r="G40" s="38" t="inlineStr">
        <is>
          <t>Sim</t>
        </is>
      </c>
      <c r="H40" s="38" t="inlineStr">
        <is>
          <t>Sim</t>
        </is>
      </c>
      <c r="I40" s="38" t="inlineStr">
        <is>
          <t>N/A</t>
        </is>
      </c>
      <c r="J40" s="38" t="n"/>
      <c r="K40" s="38" t="n"/>
      <c r="L40" s="38" t="inlineStr">
        <is>
          <t>Sim</t>
        </is>
      </c>
      <c r="M40" s="38" t="inlineStr">
        <is>
          <t>Sim</t>
        </is>
      </c>
      <c r="N40" s="38" t="inlineStr">
        <is>
          <t>Sim</t>
        </is>
      </c>
      <c r="O40" s="38" t="inlineStr">
        <is>
          <t>Sim</t>
        </is>
      </c>
      <c r="P40" s="38" t="inlineStr">
        <is>
          <t>Sim</t>
        </is>
      </c>
      <c r="Q40" s="38" t="inlineStr">
        <is>
          <t>Sim</t>
        </is>
      </c>
      <c r="R40" s="38" t="n"/>
      <c r="S40" s="38" t="n"/>
      <c r="T40" s="26">
        <f>IF(A40="","",IFERROR(COUNTIF(D40:K40,"Sim")/(Config!$B$19-COUNTIF(D40:K40,"N/A")),""))</f>
        <v>1</v>
      </c>
      <c r="U40" s="26">
        <f>IF(A40="","",IFERROR(COUNTIF(L40:S40,"Sim")/(Config!$D$19-COUNTIF(L40:S40,"N/A")),""))</f>
        <v>1</v>
      </c>
      <c r="V40" s="24">
        <f>IF(A40="","",MAX(0,Config!$B$19-COUNTIF(D40:K40,"Sim")-COUNTIF(D40:K40,"N/A")))</f>
        <v>0</v>
      </c>
      <c r="W40" s="24">
        <f>IF(A40="","",MAX(0,Config!$D$19-COUNTIF(L40:S40,"Sim")-COUNTIF(L40:S40,"N/A")))</f>
        <v>0</v>
      </c>
      <c r="X40" s="24">
        <f>IF(A40="","",V40+W40)</f>
        <v>0</v>
      </c>
      <c r="Y40" s="29">
        <f>IF(OR(A40="",AA40=""),"",LEFT(AA40,LEN(AA40)-2))</f>
        <v/>
      </c>
      <c r="Z40" s="39">
        <f>IF(OR(A40="",X40=0),0,X40*100000+A40/100000)</f>
        <v>0</v>
      </c>
      <c r="AA40" s="39">
        <f>IF(A40="","",IF(AND(Config!$B$10&lt;&gt;"",D40&lt;&gt;"Sim",D40&lt;&gt;"N/A"),Config!$B$10&amp;"; ","")&amp;IF(AND(Config!$B$11&lt;&gt;"",E40&lt;&gt;"Sim",E40&lt;&gt;"N/A"),Config!$B$11&amp;"; ","")&amp;IF(AND(Config!$B$12&lt;&gt;"",F40&lt;&gt;"Sim",F40&lt;&gt;"N/A"),Config!$B$12&amp;"; ","")&amp;IF(AND(Config!$B$13&lt;&gt;"",G40&lt;&gt;"Sim",G40&lt;&gt;"N/A"),Config!$B$13&amp;"; ","")&amp;IF(AND(Config!$B$14&lt;&gt;"",H40&lt;&gt;"Sim",H40&lt;&gt;"N/A"),Config!$B$14&amp;"; ","")&amp;IF(AND(Config!$B$15&lt;&gt;"",I40&lt;&gt;"Sim",I40&lt;&gt;"N/A"),Config!$B$15&amp;"; ","")&amp;IF(AND(Config!$B$16&lt;&gt;"",J40&lt;&gt;"Sim",J40&lt;&gt;"N/A"),Config!$B$16&amp;"; ","")&amp;IF(AND(Config!$B$17&lt;&gt;"",K40&lt;&gt;"Sim",K40&lt;&gt;"N/A"),Config!$B$17&amp;"; ","")&amp;IF(AND(Config!$D$10&lt;&gt;"",L40&lt;&gt;"Sim",L40&lt;&gt;"N/A"),Config!$D$10&amp;"; ","")&amp;IF(AND(Config!$D$11&lt;&gt;"",M40&lt;&gt;"Sim",M40&lt;&gt;"N/A"),Config!$D$11&amp;"; ","")&amp;IF(AND(Config!$D$12&lt;&gt;"",N40&lt;&gt;"Sim",N40&lt;&gt;"N/A"),Config!$D$12&amp;"; ","")&amp;IF(AND(Config!$D$13&lt;&gt;"",O40&lt;&gt;"Sim",O40&lt;&gt;"N/A"),Config!$D$13&amp;"; ","")&amp;IF(AND(Config!$D$14&lt;&gt;"",P40&lt;&gt;"Sim",P40&lt;&gt;"N/A"),Config!$D$14&amp;"; ","")&amp;IF(AND(Config!$D$15&lt;&gt;"",Q40&lt;&gt;"Sim",Q40&lt;&gt;"N/A"),Config!$D$15&amp;"; ","")&amp;IF(AND(Config!$D$16&lt;&gt;"",R40&lt;&gt;"Sim",R40&lt;&gt;"N/A"),Config!$D$16&amp;"; ","")&amp;IF(AND(Config!$D$17&lt;&gt;"",S40&lt;&gt;"Sim",S40&lt;&gt;"N/A"),Config!$D$17&amp;"; ",""))</f>
        <v/>
      </c>
      <c r="AB40" s="39">
        <f>IF(A40="",0,COUNTIF($A$5:$A$304,"&gt;"&amp;A40)+1)</f>
        <v>38</v>
      </c>
    </row>
    <row r="41">
      <c r="A41" s="37" t="n">
        <v>46225</v>
      </c>
      <c r="B41" s="24" t="str">
        <f>IF(A41="","",CHOOSE(WEEKDAY(A41,2),"Segunda","Terça","Quarta","Quinta","Sexta","Sábado","Domingo"))</f>
        <v>Quarta</v>
      </c>
      <c r="C41" s="38" t="inlineStr">
        <is>
          <t>Bruna Carvalho</t>
        </is>
      </c>
      <c r="D41" s="38" t="inlineStr">
        <is>
          <t>Sim</t>
        </is>
      </c>
      <c r="E41" s="38" t="inlineStr">
        <is>
          <t>Sim</t>
        </is>
      </c>
      <c r="F41" s="38" t="inlineStr">
        <is>
          <t>Sim</t>
        </is>
      </c>
      <c r="G41" s="38" t="inlineStr">
        <is>
          <t>Sim</t>
        </is>
      </c>
      <c r="H41" s="38" t="inlineStr">
        <is>
          <t>Sim</t>
        </is>
      </c>
      <c r="I41" s="38" t="inlineStr">
        <is>
          <t>N/A</t>
        </is>
      </c>
      <c r="J41" s="38" t="n"/>
      <c r="K41" s="38" t="n"/>
      <c r="L41" s="38" t="inlineStr">
        <is>
          <t>Sim</t>
        </is>
      </c>
      <c r="M41" s="38" t="inlineStr">
        <is>
          <t>Sim</t>
        </is>
      </c>
      <c r="N41" s="38" t="inlineStr">
        <is>
          <t>Sim</t>
        </is>
      </c>
      <c r="O41" s="38" t="inlineStr">
        <is>
          <t>Sim</t>
        </is>
      </c>
      <c r="P41" s="38" t="inlineStr">
        <is>
          <t>Sim</t>
        </is>
      </c>
      <c r="Q41" s="38" t="inlineStr">
        <is>
          <t>Sim</t>
        </is>
      </c>
      <c r="R41" s="38" t="n"/>
      <c r="S41" s="38" t="n"/>
      <c r="T41" s="26">
        <f>IF(A41="","",IFERROR(COUNTIF(D41:K41,"Sim")/(Config!$B$19-COUNTIF(D41:K41,"N/A")),""))</f>
        <v>1</v>
      </c>
      <c r="U41" s="26">
        <f>IF(A41="","",IFERROR(COUNTIF(L41:S41,"Sim")/(Config!$D$19-COUNTIF(L41:S41,"N/A")),""))</f>
        <v>1</v>
      </c>
      <c r="V41" s="24">
        <f>IF(A41="","",MAX(0,Config!$B$19-COUNTIF(D41:K41,"Sim")-COUNTIF(D41:K41,"N/A")))</f>
        <v>0</v>
      </c>
      <c r="W41" s="24">
        <f>IF(A41="","",MAX(0,Config!$D$19-COUNTIF(L41:S41,"Sim")-COUNTIF(L41:S41,"N/A")))</f>
        <v>0</v>
      </c>
      <c r="X41" s="24">
        <f>IF(A41="","",V41+W41)</f>
        <v>0</v>
      </c>
      <c r="Y41" s="29">
        <f>IF(OR(A41="",AA41=""),"",LEFT(AA41,LEN(AA41)-2))</f>
        <v/>
      </c>
      <c r="Z41" s="39">
        <f>IF(OR(A41="",X41=0),0,X41*100000+A41/100000)</f>
        <v>0</v>
      </c>
      <c r="AA41" s="39">
        <f>IF(A41="","",IF(AND(Config!$B$10&lt;&gt;"",D41&lt;&gt;"Sim",D41&lt;&gt;"N/A"),Config!$B$10&amp;"; ","")&amp;IF(AND(Config!$B$11&lt;&gt;"",E41&lt;&gt;"Sim",E41&lt;&gt;"N/A"),Config!$B$11&amp;"; ","")&amp;IF(AND(Config!$B$12&lt;&gt;"",F41&lt;&gt;"Sim",F41&lt;&gt;"N/A"),Config!$B$12&amp;"; ","")&amp;IF(AND(Config!$B$13&lt;&gt;"",G41&lt;&gt;"Sim",G41&lt;&gt;"N/A"),Config!$B$13&amp;"; ","")&amp;IF(AND(Config!$B$14&lt;&gt;"",H41&lt;&gt;"Sim",H41&lt;&gt;"N/A"),Config!$B$14&amp;"; ","")&amp;IF(AND(Config!$B$15&lt;&gt;"",I41&lt;&gt;"Sim",I41&lt;&gt;"N/A"),Config!$B$15&amp;"; ","")&amp;IF(AND(Config!$B$16&lt;&gt;"",J41&lt;&gt;"Sim",J41&lt;&gt;"N/A"),Config!$B$16&amp;"; ","")&amp;IF(AND(Config!$B$17&lt;&gt;"",K41&lt;&gt;"Sim",K41&lt;&gt;"N/A"),Config!$B$17&amp;"; ","")&amp;IF(AND(Config!$D$10&lt;&gt;"",L41&lt;&gt;"Sim",L41&lt;&gt;"N/A"),Config!$D$10&amp;"; ","")&amp;IF(AND(Config!$D$11&lt;&gt;"",M41&lt;&gt;"Sim",M41&lt;&gt;"N/A"),Config!$D$11&amp;"; ","")&amp;IF(AND(Config!$D$12&lt;&gt;"",N41&lt;&gt;"Sim",N41&lt;&gt;"N/A"),Config!$D$12&amp;"; ","")&amp;IF(AND(Config!$D$13&lt;&gt;"",O41&lt;&gt;"Sim",O41&lt;&gt;"N/A"),Config!$D$13&amp;"; ","")&amp;IF(AND(Config!$D$14&lt;&gt;"",P41&lt;&gt;"Sim",P41&lt;&gt;"N/A"),Config!$D$14&amp;"; ","")&amp;IF(AND(Config!$D$15&lt;&gt;"",Q41&lt;&gt;"Sim",Q41&lt;&gt;"N/A"),Config!$D$15&amp;"; ","")&amp;IF(AND(Config!$D$16&lt;&gt;"",R41&lt;&gt;"Sim",R41&lt;&gt;"N/A"),Config!$D$16&amp;"; ","")&amp;IF(AND(Config!$D$17&lt;&gt;"",S41&lt;&gt;"Sim",S41&lt;&gt;"N/A"),Config!$D$17&amp;"; ",""))</f>
        <v/>
      </c>
      <c r="AB41" s="39">
        <f>IF(A41="",0,COUNTIF($A$5:$A$304,"&gt;"&amp;A41)+1)</f>
        <v>37</v>
      </c>
    </row>
    <row r="42">
      <c r="A42" s="37" t="n">
        <v>46226</v>
      </c>
      <c r="B42" s="24" t="str">
        <f>IF(A42="","",CHOOSE(WEEKDAY(A42,2),"Segunda","Terça","Quarta","Quinta","Sexta","Sábado","Domingo"))</f>
        <v>Quinta</v>
      </c>
      <c r="C42" s="38" t="inlineStr">
        <is>
          <t>Bruna Carvalho</t>
        </is>
      </c>
      <c r="D42" s="38" t="inlineStr">
        <is>
          <t>Sim</t>
        </is>
      </c>
      <c r="E42" s="38" t="inlineStr">
        <is>
          <t>Não</t>
        </is>
      </c>
      <c r="F42" s="38" t="inlineStr">
        <is>
          <t>Sim</t>
        </is>
      </c>
      <c r="G42" s="38" t="inlineStr">
        <is>
          <t>Sim</t>
        </is>
      </c>
      <c r="H42" s="38" t="inlineStr">
        <is>
          <t>Sim</t>
        </is>
      </c>
      <c r="I42" s="38" t="inlineStr">
        <is>
          <t>N/A</t>
        </is>
      </c>
      <c r="J42" s="38" t="n"/>
      <c r="K42" s="38" t="n"/>
      <c r="L42" s="38" t="inlineStr">
        <is>
          <t>Sim</t>
        </is>
      </c>
      <c r="M42" s="38" t="inlineStr">
        <is>
          <t>Sim</t>
        </is>
      </c>
      <c r="N42" s="38" t="inlineStr">
        <is>
          <t>Sim</t>
        </is>
      </c>
      <c r="O42" s="38" t="inlineStr">
        <is>
          <t>Sim</t>
        </is>
      </c>
      <c r="P42" s="38" t="inlineStr">
        <is>
          <t>Sim</t>
        </is>
      </c>
      <c r="Q42" s="38" t="inlineStr">
        <is>
          <t>Sim</t>
        </is>
      </c>
      <c r="R42" s="38" t="n"/>
      <c r="S42" s="38" t="n"/>
      <c r="T42" s="26">
        <f>IF(A42="","",IFERROR(COUNTIF(D42:K42,"Sim")/(Config!$B$19-COUNTIF(D42:K42,"N/A")),""))</f>
        <v>0.8</v>
      </c>
      <c r="U42" s="26">
        <f>IF(A42="","",IFERROR(COUNTIF(L42:S42,"Sim")/(Config!$D$19-COUNTIF(L42:S42,"N/A")),""))</f>
        <v>1</v>
      </c>
      <c r="V42" s="24">
        <f>IF(A42="","",MAX(0,Config!$B$19-COUNTIF(D42:K42,"Sim")-COUNTIF(D42:K42,"N/A")))</f>
        <v>1</v>
      </c>
      <c r="W42" s="24">
        <f>IF(A42="","",MAX(0,Config!$D$19-COUNTIF(L42:S42,"Sim")-COUNTIF(L42:S42,"N/A")))</f>
        <v>0</v>
      </c>
      <c r="X42" s="24">
        <f>IF(A42="","",V42+W42)</f>
        <v>1</v>
      </c>
      <c r="Y42" s="29" t="str">
        <f>IF(OR(A42="",AA42=""),"",LEFT(AA42,LEN(AA42)-2))</f>
        <v>Faltas e cancelamentos de ontem registrados na agenda</v>
      </c>
      <c r="Z42" s="39">
        <f>IF(OR(A42="",X42=0),0,X42*100000+A42/100000)</f>
        <v>100000.46226</v>
      </c>
      <c r="AA42" s="39" t="str">
        <f>IF(A42="","",IF(AND(Config!$B$10&lt;&gt;"",D42&lt;&gt;"Sim",D42&lt;&gt;"N/A"),Config!$B$10&amp;"; ","")&amp;IF(AND(Config!$B$11&lt;&gt;"",E42&lt;&gt;"Sim",E42&lt;&gt;"N/A"),Config!$B$11&amp;"; ","")&amp;IF(AND(Config!$B$12&lt;&gt;"",F42&lt;&gt;"Sim",F42&lt;&gt;"N/A"),Config!$B$12&amp;"; ","")&amp;IF(AND(Config!$B$13&lt;&gt;"",G42&lt;&gt;"Sim",G42&lt;&gt;"N/A"),Config!$B$13&amp;"; ","")&amp;IF(AND(Config!$B$14&lt;&gt;"",H42&lt;&gt;"Sim",H42&lt;&gt;"N/A"),Config!$B$14&amp;"; ","")&amp;IF(AND(Config!$B$15&lt;&gt;"",I42&lt;&gt;"Sim",I42&lt;&gt;"N/A"),Config!$B$15&amp;"; ","")&amp;IF(AND(Config!$B$16&lt;&gt;"",J42&lt;&gt;"Sim",J42&lt;&gt;"N/A"),Config!$B$16&amp;"; ","")&amp;IF(AND(Config!$B$17&lt;&gt;"",K42&lt;&gt;"Sim",K42&lt;&gt;"N/A"),Config!$B$17&amp;"; ","")&amp;IF(AND(Config!$D$10&lt;&gt;"",L42&lt;&gt;"Sim",L42&lt;&gt;"N/A"),Config!$D$10&amp;"; ","")&amp;IF(AND(Config!$D$11&lt;&gt;"",M42&lt;&gt;"Sim",M42&lt;&gt;"N/A"),Config!$D$11&amp;"; ","")&amp;IF(AND(Config!$D$12&lt;&gt;"",N42&lt;&gt;"Sim",N42&lt;&gt;"N/A"),Config!$D$12&amp;"; ","")&amp;IF(AND(Config!$D$13&lt;&gt;"",O42&lt;&gt;"Sim",O42&lt;&gt;"N/A"),Config!$D$13&amp;"; ","")&amp;IF(AND(Config!$D$14&lt;&gt;"",P42&lt;&gt;"Sim",P42&lt;&gt;"N/A"),Config!$D$14&amp;"; ","")&amp;IF(AND(Config!$D$15&lt;&gt;"",Q42&lt;&gt;"Sim",Q42&lt;&gt;"N/A"),Config!$D$15&amp;"; ","")&amp;IF(AND(Config!$D$16&lt;&gt;"",R42&lt;&gt;"Sim",R42&lt;&gt;"N/A"),Config!$D$16&amp;"; ","")&amp;IF(AND(Config!$D$17&lt;&gt;"",S42&lt;&gt;"Sim",S42&lt;&gt;"N/A"),Config!$D$17&amp;"; ",""))</f>
        <v>Faltas e cancelamentos de ontem registrados na agenda; </v>
      </c>
      <c r="AB42" s="39">
        <f>IF(A42="",0,COUNTIF($A$5:$A$304,"&gt;"&amp;A42)+1)</f>
        <v>36</v>
      </c>
    </row>
    <row r="43">
      <c r="A43" s="37" t="n">
        <v>46227</v>
      </c>
      <c r="B43" s="24" t="str">
        <f>IF(A43="","",CHOOSE(WEEKDAY(A43,2),"Segunda","Terça","Quarta","Quinta","Sexta","Sábado","Domingo"))</f>
        <v>Sexta</v>
      </c>
      <c r="C43" s="38" t="inlineStr">
        <is>
          <t>Bruna Carvalho</t>
        </is>
      </c>
      <c r="D43" s="38" t="inlineStr">
        <is>
          <t>Sim</t>
        </is>
      </c>
      <c r="E43" s="38" t="inlineStr">
        <is>
          <t>Sim</t>
        </is>
      </c>
      <c r="F43" s="38" t="inlineStr">
        <is>
          <t>Sim</t>
        </is>
      </c>
      <c r="G43" s="38" t="inlineStr">
        <is>
          <t>Sim</t>
        </is>
      </c>
      <c r="H43" s="38" t="inlineStr">
        <is>
          <t>Sim</t>
        </is>
      </c>
      <c r="I43" s="38" t="inlineStr">
        <is>
          <t>Sim</t>
        </is>
      </c>
      <c r="J43" s="38" t="n"/>
      <c r="K43" s="38" t="n"/>
      <c r="L43" s="38" t="inlineStr">
        <is>
          <t>Sim</t>
        </is>
      </c>
      <c r="M43" s="38" t="inlineStr">
        <is>
          <t>Sim</t>
        </is>
      </c>
      <c r="N43" s="38" t="inlineStr">
        <is>
          <t>Sim</t>
        </is>
      </c>
      <c r="O43" s="38" t="inlineStr">
        <is>
          <t>Sim</t>
        </is>
      </c>
      <c r="P43" s="38" t="inlineStr">
        <is>
          <t>Sim</t>
        </is>
      </c>
      <c r="Q43" s="38" t="inlineStr">
        <is>
          <t>Sim</t>
        </is>
      </c>
      <c r="R43" s="38" t="n"/>
      <c r="S43" s="38" t="n"/>
      <c r="T43" s="26">
        <f>IF(A43="","",IFERROR(COUNTIF(D43:K43,"Sim")/(Config!$B$19-COUNTIF(D43:K43,"N/A")),""))</f>
        <v>1</v>
      </c>
      <c r="U43" s="26">
        <f>IF(A43="","",IFERROR(COUNTIF(L43:S43,"Sim")/(Config!$D$19-COUNTIF(L43:S43,"N/A")),""))</f>
        <v>1</v>
      </c>
      <c r="V43" s="24">
        <f>IF(A43="","",MAX(0,Config!$B$19-COUNTIF(D43:K43,"Sim")-COUNTIF(D43:K43,"N/A")))</f>
        <v>0</v>
      </c>
      <c r="W43" s="24">
        <f>IF(A43="","",MAX(0,Config!$D$19-COUNTIF(L43:S43,"Sim")-COUNTIF(L43:S43,"N/A")))</f>
        <v>0</v>
      </c>
      <c r="X43" s="24">
        <f>IF(A43="","",V43+W43)</f>
        <v>0</v>
      </c>
      <c r="Y43" s="29">
        <f>IF(OR(A43="",AA43=""),"",LEFT(AA43,LEN(AA43)-2))</f>
        <v/>
      </c>
      <c r="Z43" s="39">
        <f>IF(OR(A43="",X43=0),0,X43*100000+A43/100000)</f>
        <v>0</v>
      </c>
      <c r="AA43" s="39">
        <f>IF(A43="","",IF(AND(Config!$B$10&lt;&gt;"",D43&lt;&gt;"Sim",D43&lt;&gt;"N/A"),Config!$B$10&amp;"; ","")&amp;IF(AND(Config!$B$11&lt;&gt;"",E43&lt;&gt;"Sim",E43&lt;&gt;"N/A"),Config!$B$11&amp;"; ","")&amp;IF(AND(Config!$B$12&lt;&gt;"",F43&lt;&gt;"Sim",F43&lt;&gt;"N/A"),Config!$B$12&amp;"; ","")&amp;IF(AND(Config!$B$13&lt;&gt;"",G43&lt;&gt;"Sim",G43&lt;&gt;"N/A"),Config!$B$13&amp;"; ","")&amp;IF(AND(Config!$B$14&lt;&gt;"",H43&lt;&gt;"Sim",H43&lt;&gt;"N/A"),Config!$B$14&amp;"; ","")&amp;IF(AND(Config!$B$15&lt;&gt;"",I43&lt;&gt;"Sim",I43&lt;&gt;"N/A"),Config!$B$15&amp;"; ","")&amp;IF(AND(Config!$B$16&lt;&gt;"",J43&lt;&gt;"Sim",J43&lt;&gt;"N/A"),Config!$B$16&amp;"; ","")&amp;IF(AND(Config!$B$17&lt;&gt;"",K43&lt;&gt;"Sim",K43&lt;&gt;"N/A"),Config!$B$17&amp;"; ","")&amp;IF(AND(Config!$D$10&lt;&gt;"",L43&lt;&gt;"Sim",L43&lt;&gt;"N/A"),Config!$D$10&amp;"; ","")&amp;IF(AND(Config!$D$11&lt;&gt;"",M43&lt;&gt;"Sim",M43&lt;&gt;"N/A"),Config!$D$11&amp;"; ","")&amp;IF(AND(Config!$D$12&lt;&gt;"",N43&lt;&gt;"Sim",N43&lt;&gt;"N/A"),Config!$D$12&amp;"; ","")&amp;IF(AND(Config!$D$13&lt;&gt;"",O43&lt;&gt;"Sim",O43&lt;&gt;"N/A"),Config!$D$13&amp;"; ","")&amp;IF(AND(Config!$D$14&lt;&gt;"",P43&lt;&gt;"Sim",P43&lt;&gt;"N/A"),Config!$D$14&amp;"; ","")&amp;IF(AND(Config!$D$15&lt;&gt;"",Q43&lt;&gt;"Sim",Q43&lt;&gt;"N/A"),Config!$D$15&amp;"; ","")&amp;IF(AND(Config!$D$16&lt;&gt;"",R43&lt;&gt;"Sim",R43&lt;&gt;"N/A"),Config!$D$16&amp;"; ","")&amp;IF(AND(Config!$D$17&lt;&gt;"",S43&lt;&gt;"Sim",S43&lt;&gt;"N/A"),Config!$D$17&amp;"; ",""))</f>
        <v/>
      </c>
      <c r="AB43" s="39">
        <f>IF(A43="",0,COUNTIF($A$5:$A$304,"&gt;"&amp;A43)+1)</f>
        <v>35</v>
      </c>
    </row>
    <row r="44">
      <c r="A44" s="37" t="n">
        <v>46230</v>
      </c>
      <c r="B44" s="24" t="str">
        <f>IF(A44="","",CHOOSE(WEEKDAY(A44,2),"Segunda","Terça","Quarta","Quinta","Sexta","Sábado","Domingo"))</f>
        <v>Segunda</v>
      </c>
      <c r="C44" s="38" t="inlineStr">
        <is>
          <t>Bruna Carvalho</t>
        </is>
      </c>
      <c r="D44" s="38" t="inlineStr">
        <is>
          <t>Sim</t>
        </is>
      </c>
      <c r="E44" s="38" t="inlineStr">
        <is>
          <t>Sim</t>
        </is>
      </c>
      <c r="F44" s="38" t="inlineStr">
        <is>
          <t>Sim</t>
        </is>
      </c>
      <c r="G44" s="38" t="inlineStr">
        <is>
          <t>Sim</t>
        </is>
      </c>
      <c r="H44" s="38" t="inlineStr">
        <is>
          <t>Sim</t>
        </is>
      </c>
      <c r="I44" s="38" t="inlineStr">
        <is>
          <t>N/A</t>
        </is>
      </c>
      <c r="J44" s="38" t="n"/>
      <c r="K44" s="38" t="n"/>
      <c r="L44" s="38" t="inlineStr">
        <is>
          <t>Sim</t>
        </is>
      </c>
      <c r="M44" s="38" t="inlineStr">
        <is>
          <t>Sim</t>
        </is>
      </c>
      <c r="N44" s="38" t="inlineStr">
        <is>
          <t>Sim</t>
        </is>
      </c>
      <c r="O44" s="38" t="inlineStr">
        <is>
          <t>Sim</t>
        </is>
      </c>
      <c r="P44" s="38" t="inlineStr">
        <is>
          <t>Sim</t>
        </is>
      </c>
      <c r="Q44" s="38" t="inlineStr">
        <is>
          <t>Sim</t>
        </is>
      </c>
      <c r="R44" s="38" t="n"/>
      <c r="S44" s="38" t="n"/>
      <c r="T44" s="26">
        <f>IF(A44="","",IFERROR(COUNTIF(D44:K44,"Sim")/(Config!$B$19-COUNTIF(D44:K44,"N/A")),""))</f>
        <v>1</v>
      </c>
      <c r="U44" s="26">
        <f>IF(A44="","",IFERROR(COUNTIF(L44:S44,"Sim")/(Config!$D$19-COUNTIF(L44:S44,"N/A")),""))</f>
        <v>1</v>
      </c>
      <c r="V44" s="24">
        <f>IF(A44="","",MAX(0,Config!$B$19-COUNTIF(D44:K44,"Sim")-COUNTIF(D44:K44,"N/A")))</f>
        <v>0</v>
      </c>
      <c r="W44" s="24">
        <f>IF(A44="","",MAX(0,Config!$D$19-COUNTIF(L44:S44,"Sim")-COUNTIF(L44:S44,"N/A")))</f>
        <v>0</v>
      </c>
      <c r="X44" s="24">
        <f>IF(A44="","",V44+W44)</f>
        <v>0</v>
      </c>
      <c r="Y44" s="29">
        <f>IF(OR(A44="",AA44=""),"",LEFT(AA44,LEN(AA44)-2))</f>
        <v/>
      </c>
      <c r="Z44" s="39">
        <f>IF(OR(A44="",X44=0),0,X44*100000+A44/100000)</f>
        <v>0</v>
      </c>
      <c r="AA44" s="39">
        <f>IF(A44="","",IF(AND(Config!$B$10&lt;&gt;"",D44&lt;&gt;"Sim",D44&lt;&gt;"N/A"),Config!$B$10&amp;"; ","")&amp;IF(AND(Config!$B$11&lt;&gt;"",E44&lt;&gt;"Sim",E44&lt;&gt;"N/A"),Config!$B$11&amp;"; ","")&amp;IF(AND(Config!$B$12&lt;&gt;"",F44&lt;&gt;"Sim",F44&lt;&gt;"N/A"),Config!$B$12&amp;"; ","")&amp;IF(AND(Config!$B$13&lt;&gt;"",G44&lt;&gt;"Sim",G44&lt;&gt;"N/A"),Config!$B$13&amp;"; ","")&amp;IF(AND(Config!$B$14&lt;&gt;"",H44&lt;&gt;"Sim",H44&lt;&gt;"N/A"),Config!$B$14&amp;"; ","")&amp;IF(AND(Config!$B$15&lt;&gt;"",I44&lt;&gt;"Sim",I44&lt;&gt;"N/A"),Config!$B$15&amp;"; ","")&amp;IF(AND(Config!$B$16&lt;&gt;"",J44&lt;&gt;"Sim",J44&lt;&gt;"N/A"),Config!$B$16&amp;"; ","")&amp;IF(AND(Config!$B$17&lt;&gt;"",K44&lt;&gt;"Sim",K44&lt;&gt;"N/A"),Config!$B$17&amp;"; ","")&amp;IF(AND(Config!$D$10&lt;&gt;"",L44&lt;&gt;"Sim",L44&lt;&gt;"N/A"),Config!$D$10&amp;"; ","")&amp;IF(AND(Config!$D$11&lt;&gt;"",M44&lt;&gt;"Sim",M44&lt;&gt;"N/A"),Config!$D$11&amp;"; ","")&amp;IF(AND(Config!$D$12&lt;&gt;"",N44&lt;&gt;"Sim",N44&lt;&gt;"N/A"),Config!$D$12&amp;"; ","")&amp;IF(AND(Config!$D$13&lt;&gt;"",O44&lt;&gt;"Sim",O44&lt;&gt;"N/A"),Config!$D$13&amp;"; ","")&amp;IF(AND(Config!$D$14&lt;&gt;"",P44&lt;&gt;"Sim",P44&lt;&gt;"N/A"),Config!$D$14&amp;"; ","")&amp;IF(AND(Config!$D$15&lt;&gt;"",Q44&lt;&gt;"Sim",Q44&lt;&gt;"N/A"),Config!$D$15&amp;"; ","")&amp;IF(AND(Config!$D$16&lt;&gt;"",R44&lt;&gt;"Sim",R44&lt;&gt;"N/A"),Config!$D$16&amp;"; ","")&amp;IF(AND(Config!$D$17&lt;&gt;"",S44&lt;&gt;"Sim",S44&lt;&gt;"N/A"),Config!$D$17&amp;"; ",""))</f>
        <v/>
      </c>
      <c r="AB44" s="39">
        <f>IF(A44="",0,COUNTIF($A$5:$A$304,"&gt;"&amp;A44)+1)</f>
        <v>34</v>
      </c>
    </row>
    <row r="45">
      <c r="A45" s="37" t="n">
        <v>46231</v>
      </c>
      <c r="B45" s="24" t="str">
        <f>IF(A45="","",CHOOSE(WEEKDAY(A45,2),"Segunda","Terça","Quarta","Quinta","Sexta","Sábado","Domingo"))</f>
        <v>Terça</v>
      </c>
      <c r="C45" s="38" t="inlineStr">
        <is>
          <t>Bruna Carvalho</t>
        </is>
      </c>
      <c r="D45" s="38" t="inlineStr">
        <is>
          <t>Sim</t>
        </is>
      </c>
      <c r="E45" s="38" t="inlineStr">
        <is>
          <t>Não</t>
        </is>
      </c>
      <c r="F45" s="38" t="inlineStr">
        <is>
          <t>Sim</t>
        </is>
      </c>
      <c r="G45" s="38" t="inlineStr">
        <is>
          <t>Sim</t>
        </is>
      </c>
      <c r="H45" s="38" t="inlineStr">
        <is>
          <t>Sim</t>
        </is>
      </c>
      <c r="I45" s="38" t="inlineStr">
        <is>
          <t>N/A</t>
        </is>
      </c>
      <c r="J45" s="38" t="n"/>
      <c r="K45" s="38" t="n"/>
      <c r="L45" s="38" t="inlineStr">
        <is>
          <t>Não</t>
        </is>
      </c>
      <c r="M45" s="38" t="inlineStr">
        <is>
          <t>Sim</t>
        </is>
      </c>
      <c r="N45" s="38" t="inlineStr">
        <is>
          <t>Não</t>
        </is>
      </c>
      <c r="O45" s="38" t="inlineStr">
        <is>
          <t>Sim</t>
        </is>
      </c>
      <c r="P45" s="38" t="inlineStr">
        <is>
          <t>Sim</t>
        </is>
      </c>
      <c r="Q45" s="38" t="inlineStr">
        <is>
          <t>Sim</t>
        </is>
      </c>
      <c r="R45" s="38" t="n"/>
      <c r="S45" s="38" t="n"/>
      <c r="T45" s="26">
        <f>IF(A45="","",IFERROR(COUNTIF(D45:K45,"Sim")/(Config!$B$19-COUNTIF(D45:K45,"N/A")),""))</f>
        <v>0.8</v>
      </c>
      <c r="U45" s="26">
        <f>IF(A45="","",IFERROR(COUNTIF(L45:S45,"Sim")/(Config!$D$19-COUNTIF(L45:S45,"N/A")),""))</f>
        <v>0.666666666666667</v>
      </c>
      <c r="V45" s="24">
        <f>IF(A45="","",MAX(0,Config!$B$19-COUNTIF(D45:K45,"Sim")-COUNTIF(D45:K45,"N/A")))</f>
        <v>1</v>
      </c>
      <c r="W45" s="24">
        <f>IF(A45="","",MAX(0,Config!$D$19-COUNTIF(L45:S45,"Sim")-COUNTIF(L45:S45,"N/A")))</f>
        <v>2</v>
      </c>
      <c r="X45" s="24">
        <f>IF(A45="","",V45+W45)</f>
        <v>3</v>
      </c>
      <c r="Y45" s="29" t="str">
        <f>IF(OR(A45="",AA45=""),"",LEFT(AA45,LEN(AA45)-2))</f>
        <v>Faltas e cancelamentos de ontem registrados na agenda; Caixa do dia fechado e conferido (Pix, cartão, dinheiro); Situação de cada horário marcada (realizado, falta, cancelado)</v>
      </c>
      <c r="Z45" s="39">
        <f>IF(OR(A45="",X45=0),0,X45*100000+A45/100000)</f>
        <v>300000.46231</v>
      </c>
      <c r="AA45" s="39" t="str">
        <f>IF(A45="","",IF(AND(Config!$B$10&lt;&gt;"",D45&lt;&gt;"Sim",D45&lt;&gt;"N/A"),Config!$B$10&amp;"; ","")&amp;IF(AND(Config!$B$11&lt;&gt;"",E45&lt;&gt;"Sim",E45&lt;&gt;"N/A"),Config!$B$11&amp;"; ","")&amp;IF(AND(Config!$B$12&lt;&gt;"",F45&lt;&gt;"Sim",F45&lt;&gt;"N/A"),Config!$B$12&amp;"; ","")&amp;IF(AND(Config!$B$13&lt;&gt;"",G45&lt;&gt;"Sim",G45&lt;&gt;"N/A"),Config!$B$13&amp;"; ","")&amp;IF(AND(Config!$B$14&lt;&gt;"",H45&lt;&gt;"Sim",H45&lt;&gt;"N/A"),Config!$B$14&amp;"; ","")&amp;IF(AND(Config!$B$15&lt;&gt;"",I45&lt;&gt;"Sim",I45&lt;&gt;"N/A"),Config!$B$15&amp;"; ","")&amp;IF(AND(Config!$B$16&lt;&gt;"",J45&lt;&gt;"Sim",J45&lt;&gt;"N/A"),Config!$B$16&amp;"; ","")&amp;IF(AND(Config!$B$17&lt;&gt;"",K45&lt;&gt;"Sim",K45&lt;&gt;"N/A"),Config!$B$17&amp;"; ","")&amp;IF(AND(Config!$D$10&lt;&gt;"",L45&lt;&gt;"Sim",L45&lt;&gt;"N/A"),Config!$D$10&amp;"; ","")&amp;IF(AND(Config!$D$11&lt;&gt;"",M45&lt;&gt;"Sim",M45&lt;&gt;"N/A"),Config!$D$11&amp;"; ","")&amp;IF(AND(Config!$D$12&lt;&gt;"",N45&lt;&gt;"Sim",N45&lt;&gt;"N/A"),Config!$D$12&amp;"; ","")&amp;IF(AND(Config!$D$13&lt;&gt;"",O45&lt;&gt;"Sim",O45&lt;&gt;"N/A"),Config!$D$13&amp;"; ","")&amp;IF(AND(Config!$D$14&lt;&gt;"",P45&lt;&gt;"Sim",P45&lt;&gt;"N/A"),Config!$D$14&amp;"; ","")&amp;IF(AND(Config!$D$15&lt;&gt;"",Q45&lt;&gt;"Sim",Q45&lt;&gt;"N/A"),Config!$D$15&amp;"; ","")&amp;IF(AND(Config!$D$16&lt;&gt;"",R45&lt;&gt;"Sim",R45&lt;&gt;"N/A"),Config!$D$16&amp;"; ","")&amp;IF(AND(Config!$D$17&lt;&gt;"",S45&lt;&gt;"Sim",S45&lt;&gt;"N/A"),Config!$D$17&amp;"; ",""))</f>
        <v>Faltas e cancelamentos de ontem registrados na agenda; Caixa do dia fechado e conferido (Pix, cartão, dinheiro); Situação de cada horário marcada (realizado, falta, cancelado); </v>
      </c>
      <c r="AB45" s="39">
        <f>IF(A45="",0,COUNTIF($A$5:$A$304,"&gt;"&amp;A45)+1)</f>
        <v>33</v>
      </c>
    </row>
    <row r="46">
      <c r="A46" s="37" t="n">
        <v>46232</v>
      </c>
      <c r="B46" s="24" t="str">
        <f>IF(A46="","",CHOOSE(WEEKDAY(A46,2),"Segunda","Terça","Quarta","Quinta","Sexta","Sábado","Domingo"))</f>
        <v>Quarta</v>
      </c>
      <c r="C46" s="38" t="inlineStr">
        <is>
          <t>Bruna Carvalho</t>
        </is>
      </c>
      <c r="D46" s="38" t="inlineStr">
        <is>
          <t>Sim</t>
        </is>
      </c>
      <c r="E46" s="38" t="inlineStr">
        <is>
          <t>Sim</t>
        </is>
      </c>
      <c r="F46" s="38" t="inlineStr">
        <is>
          <t>Sim</t>
        </is>
      </c>
      <c r="G46" s="38" t="inlineStr">
        <is>
          <t>Sim</t>
        </is>
      </c>
      <c r="H46" s="38" t="inlineStr">
        <is>
          <t>Sim</t>
        </is>
      </c>
      <c r="I46" s="38" t="inlineStr">
        <is>
          <t>N/A</t>
        </is>
      </c>
      <c r="J46" s="38" t="n"/>
      <c r="K46" s="38" t="n"/>
      <c r="L46" s="38" t="inlineStr">
        <is>
          <t>Sim</t>
        </is>
      </c>
      <c r="M46" s="38" t="inlineStr">
        <is>
          <t>Não</t>
        </is>
      </c>
      <c r="N46" s="38" t="inlineStr">
        <is>
          <t>Sim</t>
        </is>
      </c>
      <c r="O46" s="38" t="inlineStr">
        <is>
          <t>Sim</t>
        </is>
      </c>
      <c r="P46" s="38" t="inlineStr">
        <is>
          <t>Sim</t>
        </is>
      </c>
      <c r="Q46" s="38" t="inlineStr">
        <is>
          <t>Sim</t>
        </is>
      </c>
      <c r="R46" s="38" t="n"/>
      <c r="S46" s="38" t="n"/>
      <c r="T46" s="26">
        <f>IF(A46="","",IFERROR(COUNTIF(D46:K46,"Sim")/(Config!$B$19-COUNTIF(D46:K46,"N/A")),""))</f>
        <v>1</v>
      </c>
      <c r="U46" s="26">
        <f>IF(A46="","",IFERROR(COUNTIF(L46:S46,"Sim")/(Config!$D$19-COUNTIF(L46:S46,"N/A")),""))</f>
        <v>0.833333333333333</v>
      </c>
      <c r="V46" s="24">
        <f>IF(A46="","",MAX(0,Config!$B$19-COUNTIF(D46:K46,"Sim")-COUNTIF(D46:K46,"N/A")))</f>
        <v>0</v>
      </c>
      <c r="W46" s="24">
        <f>IF(A46="","",MAX(0,Config!$D$19-COUNTIF(L46:S46,"Sim")-COUNTIF(L46:S46,"N/A")))</f>
        <v>1</v>
      </c>
      <c r="X46" s="24">
        <f>IF(A46="","",V46+W46)</f>
        <v>1</v>
      </c>
      <c r="Y46" s="29" t="str">
        <f>IF(OR(A46="",AA46=""),"",LEFT(AA46,LEN(AA46)-2))</f>
        <v>Fechamento do dia lançado no Caixa (09)</v>
      </c>
      <c r="Z46" s="39">
        <f>IF(OR(A46="",X46=0),0,X46*100000+A46/100000)</f>
        <v>100000.46232</v>
      </c>
      <c r="AA46" s="39" t="str">
        <f>IF(A46="","",IF(AND(Config!$B$10&lt;&gt;"",D46&lt;&gt;"Sim",D46&lt;&gt;"N/A"),Config!$B$10&amp;"; ","")&amp;IF(AND(Config!$B$11&lt;&gt;"",E46&lt;&gt;"Sim",E46&lt;&gt;"N/A"),Config!$B$11&amp;"; ","")&amp;IF(AND(Config!$B$12&lt;&gt;"",F46&lt;&gt;"Sim",F46&lt;&gt;"N/A"),Config!$B$12&amp;"; ","")&amp;IF(AND(Config!$B$13&lt;&gt;"",G46&lt;&gt;"Sim",G46&lt;&gt;"N/A"),Config!$B$13&amp;"; ","")&amp;IF(AND(Config!$B$14&lt;&gt;"",H46&lt;&gt;"Sim",H46&lt;&gt;"N/A"),Config!$B$14&amp;"; ","")&amp;IF(AND(Config!$B$15&lt;&gt;"",I46&lt;&gt;"Sim",I46&lt;&gt;"N/A"),Config!$B$15&amp;"; ","")&amp;IF(AND(Config!$B$16&lt;&gt;"",J46&lt;&gt;"Sim",J46&lt;&gt;"N/A"),Config!$B$16&amp;"; ","")&amp;IF(AND(Config!$B$17&lt;&gt;"",K46&lt;&gt;"Sim",K46&lt;&gt;"N/A"),Config!$B$17&amp;"; ","")&amp;IF(AND(Config!$D$10&lt;&gt;"",L46&lt;&gt;"Sim",L46&lt;&gt;"N/A"),Config!$D$10&amp;"; ","")&amp;IF(AND(Config!$D$11&lt;&gt;"",M46&lt;&gt;"Sim",M46&lt;&gt;"N/A"),Config!$D$11&amp;"; ","")&amp;IF(AND(Config!$D$12&lt;&gt;"",N46&lt;&gt;"Sim",N46&lt;&gt;"N/A"),Config!$D$12&amp;"; ","")&amp;IF(AND(Config!$D$13&lt;&gt;"",O46&lt;&gt;"Sim",O46&lt;&gt;"N/A"),Config!$D$13&amp;"; ","")&amp;IF(AND(Config!$D$14&lt;&gt;"",P46&lt;&gt;"Sim",P46&lt;&gt;"N/A"),Config!$D$14&amp;"; ","")&amp;IF(AND(Config!$D$15&lt;&gt;"",Q46&lt;&gt;"Sim",Q46&lt;&gt;"N/A"),Config!$D$15&amp;"; ","")&amp;IF(AND(Config!$D$16&lt;&gt;"",R46&lt;&gt;"Sim",R46&lt;&gt;"N/A"),Config!$D$16&amp;"; ","")&amp;IF(AND(Config!$D$17&lt;&gt;"",S46&lt;&gt;"Sim",S46&lt;&gt;"N/A"),Config!$D$17&amp;"; ",""))</f>
        <v>Fechamento do dia lançado no Caixa (09); </v>
      </c>
      <c r="AB46" s="39">
        <f>IF(A46="",0,COUNTIF($A$5:$A$304,"&gt;"&amp;A46)+1)</f>
        <v>32</v>
      </c>
    </row>
    <row r="47">
      <c r="A47" s="37" t="n">
        <v>46233</v>
      </c>
      <c r="B47" s="24" t="str">
        <f>IF(A47="","",CHOOSE(WEEKDAY(A47,2),"Segunda","Terça","Quarta","Quinta","Sexta","Sábado","Domingo"))</f>
        <v>Quinta</v>
      </c>
      <c r="C47" s="38" t="inlineStr">
        <is>
          <t>Bruna Carvalho</t>
        </is>
      </c>
      <c r="D47" s="38" t="inlineStr">
        <is>
          <t>Sim</t>
        </is>
      </c>
      <c r="E47" s="38" t="inlineStr">
        <is>
          <t>Sim</t>
        </is>
      </c>
      <c r="F47" s="38" t="inlineStr">
        <is>
          <t>Sim</t>
        </is>
      </c>
      <c r="G47" s="38" t="inlineStr">
        <is>
          <t>Sim</t>
        </is>
      </c>
      <c r="H47" s="38" t="inlineStr">
        <is>
          <t>Sim</t>
        </is>
      </c>
      <c r="I47" s="38" t="inlineStr">
        <is>
          <t>N/A</t>
        </is>
      </c>
      <c r="J47" s="38" t="n"/>
      <c r="K47" s="38" t="n"/>
      <c r="L47" s="38" t="inlineStr">
        <is>
          <t>Sim</t>
        </is>
      </c>
      <c r="M47" s="38" t="inlineStr">
        <is>
          <t>Não</t>
        </is>
      </c>
      <c r="N47" s="38" t="inlineStr">
        <is>
          <t>Sim</t>
        </is>
      </c>
      <c r="O47" s="38" t="inlineStr">
        <is>
          <t>Sim</t>
        </is>
      </c>
      <c r="P47" s="38" t="inlineStr">
        <is>
          <t>Sim</t>
        </is>
      </c>
      <c r="Q47" s="38" t="inlineStr">
        <is>
          <t>Sim</t>
        </is>
      </c>
      <c r="R47" s="38" t="n"/>
      <c r="S47" s="38" t="n"/>
      <c r="T47" s="26">
        <f>IF(A47="","",IFERROR(COUNTIF(D47:K47,"Sim")/(Config!$B$19-COUNTIF(D47:K47,"N/A")),""))</f>
        <v>1</v>
      </c>
      <c r="U47" s="26">
        <f>IF(A47="","",IFERROR(COUNTIF(L47:S47,"Sim")/(Config!$D$19-COUNTIF(L47:S47,"N/A")),""))</f>
        <v>0.833333333333333</v>
      </c>
      <c r="V47" s="24">
        <f>IF(A47="","",MAX(0,Config!$B$19-COUNTIF(D47:K47,"Sim")-COUNTIF(D47:K47,"N/A")))</f>
        <v>0</v>
      </c>
      <c r="W47" s="24">
        <f>IF(A47="","",MAX(0,Config!$D$19-COUNTIF(L47:S47,"Sim")-COUNTIF(L47:S47,"N/A")))</f>
        <v>1</v>
      </c>
      <c r="X47" s="24">
        <f>IF(A47="","",V47+W47)</f>
        <v>1</v>
      </c>
      <c r="Y47" s="29" t="str">
        <f>IF(OR(A47="",AA47=""),"",LEFT(AA47,LEN(AA47)-2))</f>
        <v>Fechamento do dia lançado no Caixa (09)</v>
      </c>
      <c r="Z47" s="39">
        <f>IF(OR(A47="",X47=0),0,X47*100000+A47/100000)</f>
        <v>100000.46233</v>
      </c>
      <c r="AA47" s="39" t="str">
        <f>IF(A47="","",IF(AND(Config!$B$10&lt;&gt;"",D47&lt;&gt;"Sim",D47&lt;&gt;"N/A"),Config!$B$10&amp;"; ","")&amp;IF(AND(Config!$B$11&lt;&gt;"",E47&lt;&gt;"Sim",E47&lt;&gt;"N/A"),Config!$B$11&amp;"; ","")&amp;IF(AND(Config!$B$12&lt;&gt;"",F47&lt;&gt;"Sim",F47&lt;&gt;"N/A"),Config!$B$12&amp;"; ","")&amp;IF(AND(Config!$B$13&lt;&gt;"",G47&lt;&gt;"Sim",G47&lt;&gt;"N/A"),Config!$B$13&amp;"; ","")&amp;IF(AND(Config!$B$14&lt;&gt;"",H47&lt;&gt;"Sim",H47&lt;&gt;"N/A"),Config!$B$14&amp;"; ","")&amp;IF(AND(Config!$B$15&lt;&gt;"",I47&lt;&gt;"Sim",I47&lt;&gt;"N/A"),Config!$B$15&amp;"; ","")&amp;IF(AND(Config!$B$16&lt;&gt;"",J47&lt;&gt;"Sim",J47&lt;&gt;"N/A"),Config!$B$16&amp;"; ","")&amp;IF(AND(Config!$B$17&lt;&gt;"",K47&lt;&gt;"Sim",K47&lt;&gt;"N/A"),Config!$B$17&amp;"; ","")&amp;IF(AND(Config!$D$10&lt;&gt;"",L47&lt;&gt;"Sim",L47&lt;&gt;"N/A"),Config!$D$10&amp;"; ","")&amp;IF(AND(Config!$D$11&lt;&gt;"",M47&lt;&gt;"Sim",M47&lt;&gt;"N/A"),Config!$D$11&amp;"; ","")&amp;IF(AND(Config!$D$12&lt;&gt;"",N47&lt;&gt;"Sim",N47&lt;&gt;"N/A"),Config!$D$12&amp;"; ","")&amp;IF(AND(Config!$D$13&lt;&gt;"",O47&lt;&gt;"Sim",O47&lt;&gt;"N/A"),Config!$D$13&amp;"; ","")&amp;IF(AND(Config!$D$14&lt;&gt;"",P47&lt;&gt;"Sim",P47&lt;&gt;"N/A"),Config!$D$14&amp;"; ","")&amp;IF(AND(Config!$D$15&lt;&gt;"",Q47&lt;&gt;"Sim",Q47&lt;&gt;"N/A"),Config!$D$15&amp;"; ","")&amp;IF(AND(Config!$D$16&lt;&gt;"",R47&lt;&gt;"Sim",R47&lt;&gt;"N/A"),Config!$D$16&amp;"; ","")&amp;IF(AND(Config!$D$17&lt;&gt;"",S47&lt;&gt;"Sim",S47&lt;&gt;"N/A"),Config!$D$17&amp;"; ",""))</f>
        <v>Fechamento do dia lançado no Caixa (09); </v>
      </c>
      <c r="AB47" s="39">
        <f>IF(A47="",0,COUNTIF($A$5:$A$304,"&gt;"&amp;A47)+1)</f>
        <v>31</v>
      </c>
    </row>
    <row r="48">
      <c r="A48" s="37" t="n">
        <v>46234</v>
      </c>
      <c r="B48" s="24" t="str">
        <f>IF(A48="","",CHOOSE(WEEKDAY(A48,2),"Segunda","Terça","Quarta","Quinta","Sexta","Sábado","Domingo"))</f>
        <v>Sexta</v>
      </c>
      <c r="C48" s="38" t="inlineStr">
        <is>
          <t>Bruna Carvalho</t>
        </is>
      </c>
      <c r="D48" s="38" t="inlineStr">
        <is>
          <t>Sim</t>
        </is>
      </c>
      <c r="E48" s="38" t="inlineStr">
        <is>
          <t>Sim</t>
        </is>
      </c>
      <c r="F48" s="38" t="inlineStr">
        <is>
          <t>Sim</t>
        </is>
      </c>
      <c r="G48" s="38" t="inlineStr">
        <is>
          <t>Sim</t>
        </is>
      </c>
      <c r="H48" s="38" t="inlineStr">
        <is>
          <t>Sim</t>
        </is>
      </c>
      <c r="I48" s="38" t="inlineStr">
        <is>
          <t>Sim</t>
        </is>
      </c>
      <c r="J48" s="38" t="n"/>
      <c r="K48" s="38" t="n"/>
      <c r="L48" s="38" t="inlineStr">
        <is>
          <t>Sim</t>
        </is>
      </c>
      <c r="M48" s="38" t="inlineStr">
        <is>
          <t>Não</t>
        </is>
      </c>
      <c r="N48" s="38" t="inlineStr">
        <is>
          <t>Sim</t>
        </is>
      </c>
      <c r="O48" s="38" t="inlineStr">
        <is>
          <t>Sim</t>
        </is>
      </c>
      <c r="P48" s="38" t="inlineStr">
        <is>
          <t>Sim</t>
        </is>
      </c>
      <c r="Q48" s="38" t="inlineStr">
        <is>
          <t>Sim</t>
        </is>
      </c>
      <c r="R48" s="38" t="n"/>
      <c r="S48" s="38" t="n"/>
      <c r="T48" s="26">
        <f>IF(A48="","",IFERROR(COUNTIF(D48:K48,"Sim")/(Config!$B$19-COUNTIF(D48:K48,"N/A")),""))</f>
        <v>1</v>
      </c>
      <c r="U48" s="26">
        <f>IF(A48="","",IFERROR(COUNTIF(L48:S48,"Sim")/(Config!$D$19-COUNTIF(L48:S48,"N/A")),""))</f>
        <v>0.833333333333333</v>
      </c>
      <c r="V48" s="24">
        <f>IF(A48="","",MAX(0,Config!$B$19-COUNTIF(D48:K48,"Sim")-COUNTIF(D48:K48,"N/A")))</f>
        <v>0</v>
      </c>
      <c r="W48" s="24">
        <f>IF(A48="","",MAX(0,Config!$D$19-COUNTIF(L48:S48,"Sim")-COUNTIF(L48:S48,"N/A")))</f>
        <v>1</v>
      </c>
      <c r="X48" s="24">
        <f>IF(A48="","",V48+W48)</f>
        <v>1</v>
      </c>
      <c r="Y48" s="29" t="str">
        <f>IF(OR(A48="",AA48=""),"",LEFT(AA48,LEN(AA48)-2))</f>
        <v>Fechamento do dia lançado no Caixa (09)</v>
      </c>
      <c r="Z48" s="39">
        <f>IF(OR(A48="",X48=0),0,X48*100000+A48/100000)</f>
        <v>100000.46234</v>
      </c>
      <c r="AA48" s="39" t="str">
        <f>IF(A48="","",IF(AND(Config!$B$10&lt;&gt;"",D48&lt;&gt;"Sim",D48&lt;&gt;"N/A"),Config!$B$10&amp;"; ","")&amp;IF(AND(Config!$B$11&lt;&gt;"",E48&lt;&gt;"Sim",E48&lt;&gt;"N/A"),Config!$B$11&amp;"; ","")&amp;IF(AND(Config!$B$12&lt;&gt;"",F48&lt;&gt;"Sim",F48&lt;&gt;"N/A"),Config!$B$12&amp;"; ","")&amp;IF(AND(Config!$B$13&lt;&gt;"",G48&lt;&gt;"Sim",G48&lt;&gt;"N/A"),Config!$B$13&amp;"; ","")&amp;IF(AND(Config!$B$14&lt;&gt;"",H48&lt;&gt;"Sim",H48&lt;&gt;"N/A"),Config!$B$14&amp;"; ","")&amp;IF(AND(Config!$B$15&lt;&gt;"",I48&lt;&gt;"Sim",I48&lt;&gt;"N/A"),Config!$B$15&amp;"; ","")&amp;IF(AND(Config!$B$16&lt;&gt;"",J48&lt;&gt;"Sim",J48&lt;&gt;"N/A"),Config!$B$16&amp;"; ","")&amp;IF(AND(Config!$B$17&lt;&gt;"",K48&lt;&gt;"Sim",K48&lt;&gt;"N/A"),Config!$B$17&amp;"; ","")&amp;IF(AND(Config!$D$10&lt;&gt;"",L48&lt;&gt;"Sim",L48&lt;&gt;"N/A"),Config!$D$10&amp;"; ","")&amp;IF(AND(Config!$D$11&lt;&gt;"",M48&lt;&gt;"Sim",M48&lt;&gt;"N/A"),Config!$D$11&amp;"; ","")&amp;IF(AND(Config!$D$12&lt;&gt;"",N48&lt;&gt;"Sim",N48&lt;&gt;"N/A"),Config!$D$12&amp;"; ","")&amp;IF(AND(Config!$D$13&lt;&gt;"",O48&lt;&gt;"Sim",O48&lt;&gt;"N/A"),Config!$D$13&amp;"; ","")&amp;IF(AND(Config!$D$14&lt;&gt;"",P48&lt;&gt;"Sim",P48&lt;&gt;"N/A"),Config!$D$14&amp;"; ","")&amp;IF(AND(Config!$D$15&lt;&gt;"",Q48&lt;&gt;"Sim",Q48&lt;&gt;"N/A"),Config!$D$15&amp;"; ","")&amp;IF(AND(Config!$D$16&lt;&gt;"",R48&lt;&gt;"Sim",R48&lt;&gt;"N/A"),Config!$D$16&amp;"; ","")&amp;IF(AND(Config!$D$17&lt;&gt;"",S48&lt;&gt;"Sim",S48&lt;&gt;"N/A"),Config!$D$17&amp;"; ",""))</f>
        <v>Fechamento do dia lançado no Caixa (09); </v>
      </c>
      <c r="AB48" s="39">
        <f>IF(A48="",0,COUNTIF($A$5:$A$304,"&gt;"&amp;A48)+1)</f>
        <v>30</v>
      </c>
    </row>
    <row r="49">
      <c r="A49" s="37" t="n">
        <v>46237</v>
      </c>
      <c r="B49" s="24" t="str">
        <f>IF(A49="","",CHOOSE(WEEKDAY(A49,2),"Segunda","Terça","Quarta","Quinta","Sexta","Sábado","Domingo"))</f>
        <v>Segunda</v>
      </c>
      <c r="C49" s="38" t="inlineStr">
        <is>
          <t>Bruna Carvalho</t>
        </is>
      </c>
      <c r="D49" s="38" t="inlineStr">
        <is>
          <t>Sim</t>
        </is>
      </c>
      <c r="E49" s="38" t="inlineStr">
        <is>
          <t>Sim</t>
        </is>
      </c>
      <c r="F49" s="38" t="inlineStr">
        <is>
          <t>Sim</t>
        </is>
      </c>
      <c r="G49" s="38" t="inlineStr">
        <is>
          <t>Sim</t>
        </is>
      </c>
      <c r="H49" s="38" t="inlineStr">
        <is>
          <t>Sim</t>
        </is>
      </c>
      <c r="I49" s="38" t="inlineStr">
        <is>
          <t>N/A</t>
        </is>
      </c>
      <c r="J49" s="38" t="n"/>
      <c r="K49" s="38" t="n"/>
      <c r="L49" s="38" t="inlineStr">
        <is>
          <t>Sim</t>
        </is>
      </c>
      <c r="M49" s="38" t="inlineStr">
        <is>
          <t>Sim</t>
        </is>
      </c>
      <c r="N49" s="38" t="inlineStr">
        <is>
          <t>Sim</t>
        </is>
      </c>
      <c r="O49" s="38" t="inlineStr">
        <is>
          <t>Sim</t>
        </is>
      </c>
      <c r="P49" s="38" t="inlineStr">
        <is>
          <t>Sim</t>
        </is>
      </c>
      <c r="Q49" s="38" t="inlineStr">
        <is>
          <t>Sim</t>
        </is>
      </c>
      <c r="R49" s="38" t="n"/>
      <c r="S49" s="38" t="n"/>
      <c r="T49" s="26">
        <f>IF(A49="","",IFERROR(COUNTIF(D49:K49,"Sim")/(Config!$B$19-COUNTIF(D49:K49,"N/A")),""))</f>
        <v>1</v>
      </c>
      <c r="U49" s="26">
        <f>IF(A49="","",IFERROR(COUNTIF(L49:S49,"Sim")/(Config!$D$19-COUNTIF(L49:S49,"N/A")),""))</f>
        <v>1</v>
      </c>
      <c r="V49" s="24">
        <f>IF(A49="","",MAX(0,Config!$B$19-COUNTIF(D49:K49,"Sim")-COUNTIF(D49:K49,"N/A")))</f>
        <v>0</v>
      </c>
      <c r="W49" s="24">
        <f>IF(A49="","",MAX(0,Config!$D$19-COUNTIF(L49:S49,"Sim")-COUNTIF(L49:S49,"N/A")))</f>
        <v>0</v>
      </c>
      <c r="X49" s="24">
        <f>IF(A49="","",V49+W49)</f>
        <v>0</v>
      </c>
      <c r="Y49" s="29">
        <f>IF(OR(A49="",AA49=""),"",LEFT(AA49,LEN(AA49)-2))</f>
        <v/>
      </c>
      <c r="Z49" s="39">
        <f>IF(OR(A49="",X49=0),0,X49*100000+A49/100000)</f>
        <v>0</v>
      </c>
      <c r="AA49" s="39">
        <f>IF(A49="","",IF(AND(Config!$B$10&lt;&gt;"",D49&lt;&gt;"Sim",D49&lt;&gt;"N/A"),Config!$B$10&amp;"; ","")&amp;IF(AND(Config!$B$11&lt;&gt;"",E49&lt;&gt;"Sim",E49&lt;&gt;"N/A"),Config!$B$11&amp;"; ","")&amp;IF(AND(Config!$B$12&lt;&gt;"",F49&lt;&gt;"Sim",F49&lt;&gt;"N/A"),Config!$B$12&amp;"; ","")&amp;IF(AND(Config!$B$13&lt;&gt;"",G49&lt;&gt;"Sim",G49&lt;&gt;"N/A"),Config!$B$13&amp;"; ","")&amp;IF(AND(Config!$B$14&lt;&gt;"",H49&lt;&gt;"Sim",H49&lt;&gt;"N/A"),Config!$B$14&amp;"; ","")&amp;IF(AND(Config!$B$15&lt;&gt;"",I49&lt;&gt;"Sim",I49&lt;&gt;"N/A"),Config!$B$15&amp;"; ","")&amp;IF(AND(Config!$B$16&lt;&gt;"",J49&lt;&gt;"Sim",J49&lt;&gt;"N/A"),Config!$B$16&amp;"; ","")&amp;IF(AND(Config!$B$17&lt;&gt;"",K49&lt;&gt;"Sim",K49&lt;&gt;"N/A"),Config!$B$17&amp;"; ","")&amp;IF(AND(Config!$D$10&lt;&gt;"",L49&lt;&gt;"Sim",L49&lt;&gt;"N/A"),Config!$D$10&amp;"; ","")&amp;IF(AND(Config!$D$11&lt;&gt;"",M49&lt;&gt;"Sim",M49&lt;&gt;"N/A"),Config!$D$11&amp;"; ","")&amp;IF(AND(Config!$D$12&lt;&gt;"",N49&lt;&gt;"Sim",N49&lt;&gt;"N/A"),Config!$D$12&amp;"; ","")&amp;IF(AND(Config!$D$13&lt;&gt;"",O49&lt;&gt;"Sim",O49&lt;&gt;"N/A"),Config!$D$13&amp;"; ","")&amp;IF(AND(Config!$D$14&lt;&gt;"",P49&lt;&gt;"Sim",P49&lt;&gt;"N/A"),Config!$D$14&amp;"; ","")&amp;IF(AND(Config!$D$15&lt;&gt;"",Q49&lt;&gt;"Sim",Q49&lt;&gt;"N/A"),Config!$D$15&amp;"; ","")&amp;IF(AND(Config!$D$16&lt;&gt;"",R49&lt;&gt;"Sim",R49&lt;&gt;"N/A"),Config!$D$16&amp;"; ","")&amp;IF(AND(Config!$D$17&lt;&gt;"",S49&lt;&gt;"Sim",S49&lt;&gt;"N/A"),Config!$D$17&amp;"; ",""))</f>
        <v/>
      </c>
      <c r="AB49" s="39">
        <f>IF(A49="",0,COUNTIF($A$5:$A$304,"&gt;"&amp;A49)+1)</f>
        <v>29</v>
      </c>
    </row>
    <row r="50">
      <c r="A50" s="37" t="n">
        <v>46238</v>
      </c>
      <c r="B50" s="24" t="str">
        <f>IF(A50="","",CHOOSE(WEEKDAY(A50,2),"Segunda","Terça","Quarta","Quinta","Sexta","Sábado","Domingo"))</f>
        <v>Terça</v>
      </c>
      <c r="C50" s="38" t="inlineStr">
        <is>
          <t>Bruna Carvalho</t>
        </is>
      </c>
      <c r="D50" s="38" t="inlineStr">
        <is>
          <t>Sim</t>
        </is>
      </c>
      <c r="E50" s="38" t="inlineStr">
        <is>
          <t>Sim</t>
        </is>
      </c>
      <c r="F50" s="38" t="inlineStr">
        <is>
          <t>Sim</t>
        </is>
      </c>
      <c r="G50" s="38" t="inlineStr">
        <is>
          <t>Sim</t>
        </is>
      </c>
      <c r="H50" s="38" t="inlineStr">
        <is>
          <t>Sim</t>
        </is>
      </c>
      <c r="I50" s="38" t="inlineStr">
        <is>
          <t>N/A</t>
        </is>
      </c>
      <c r="J50" s="38" t="n"/>
      <c r="K50" s="38" t="n"/>
      <c r="L50" s="38" t="inlineStr">
        <is>
          <t>Sim</t>
        </is>
      </c>
      <c r="M50" s="38" t="inlineStr">
        <is>
          <t>Sim</t>
        </is>
      </c>
      <c r="N50" s="38" t="inlineStr">
        <is>
          <t>Sim</t>
        </is>
      </c>
      <c r="O50" s="38" t="inlineStr">
        <is>
          <t>Sim</t>
        </is>
      </c>
      <c r="P50" s="38" t="inlineStr">
        <is>
          <t>Sim</t>
        </is>
      </c>
      <c r="Q50" s="38" t="inlineStr">
        <is>
          <t>Sim</t>
        </is>
      </c>
      <c r="R50" s="38" t="n"/>
      <c r="S50" s="38" t="n"/>
      <c r="T50" s="26">
        <f>IF(A50="","",IFERROR(COUNTIF(D50:K50,"Sim")/(Config!$B$19-COUNTIF(D50:K50,"N/A")),""))</f>
        <v>1</v>
      </c>
      <c r="U50" s="26">
        <f>IF(A50="","",IFERROR(COUNTIF(L50:S50,"Sim")/(Config!$D$19-COUNTIF(L50:S50,"N/A")),""))</f>
        <v>1</v>
      </c>
      <c r="V50" s="24">
        <f>IF(A50="","",MAX(0,Config!$B$19-COUNTIF(D50:K50,"Sim")-COUNTIF(D50:K50,"N/A")))</f>
        <v>0</v>
      </c>
      <c r="W50" s="24">
        <f>IF(A50="","",MAX(0,Config!$D$19-COUNTIF(L50:S50,"Sim")-COUNTIF(L50:S50,"N/A")))</f>
        <v>0</v>
      </c>
      <c r="X50" s="24">
        <f>IF(A50="","",V50+W50)</f>
        <v>0</v>
      </c>
      <c r="Y50" s="29">
        <f>IF(OR(A50="",AA50=""),"",LEFT(AA50,LEN(AA50)-2))</f>
        <v/>
      </c>
      <c r="Z50" s="39">
        <f>IF(OR(A50="",X50=0),0,X50*100000+A50/100000)</f>
        <v>0</v>
      </c>
      <c r="AA50" s="39">
        <f>IF(A50="","",IF(AND(Config!$B$10&lt;&gt;"",D50&lt;&gt;"Sim",D50&lt;&gt;"N/A"),Config!$B$10&amp;"; ","")&amp;IF(AND(Config!$B$11&lt;&gt;"",E50&lt;&gt;"Sim",E50&lt;&gt;"N/A"),Config!$B$11&amp;"; ","")&amp;IF(AND(Config!$B$12&lt;&gt;"",F50&lt;&gt;"Sim",F50&lt;&gt;"N/A"),Config!$B$12&amp;"; ","")&amp;IF(AND(Config!$B$13&lt;&gt;"",G50&lt;&gt;"Sim",G50&lt;&gt;"N/A"),Config!$B$13&amp;"; ","")&amp;IF(AND(Config!$B$14&lt;&gt;"",H50&lt;&gt;"Sim",H50&lt;&gt;"N/A"),Config!$B$14&amp;"; ","")&amp;IF(AND(Config!$B$15&lt;&gt;"",I50&lt;&gt;"Sim",I50&lt;&gt;"N/A"),Config!$B$15&amp;"; ","")&amp;IF(AND(Config!$B$16&lt;&gt;"",J50&lt;&gt;"Sim",J50&lt;&gt;"N/A"),Config!$B$16&amp;"; ","")&amp;IF(AND(Config!$B$17&lt;&gt;"",K50&lt;&gt;"Sim",K50&lt;&gt;"N/A"),Config!$B$17&amp;"; ","")&amp;IF(AND(Config!$D$10&lt;&gt;"",L50&lt;&gt;"Sim",L50&lt;&gt;"N/A"),Config!$D$10&amp;"; ","")&amp;IF(AND(Config!$D$11&lt;&gt;"",M50&lt;&gt;"Sim",M50&lt;&gt;"N/A"),Config!$D$11&amp;"; ","")&amp;IF(AND(Config!$D$12&lt;&gt;"",N50&lt;&gt;"Sim",N50&lt;&gt;"N/A"),Config!$D$12&amp;"; ","")&amp;IF(AND(Config!$D$13&lt;&gt;"",O50&lt;&gt;"Sim",O50&lt;&gt;"N/A"),Config!$D$13&amp;"; ","")&amp;IF(AND(Config!$D$14&lt;&gt;"",P50&lt;&gt;"Sim",P50&lt;&gt;"N/A"),Config!$D$14&amp;"; ","")&amp;IF(AND(Config!$D$15&lt;&gt;"",Q50&lt;&gt;"Sim",Q50&lt;&gt;"N/A"),Config!$D$15&amp;"; ","")&amp;IF(AND(Config!$D$16&lt;&gt;"",R50&lt;&gt;"Sim",R50&lt;&gt;"N/A"),Config!$D$16&amp;"; ","")&amp;IF(AND(Config!$D$17&lt;&gt;"",S50&lt;&gt;"Sim",S50&lt;&gt;"N/A"),Config!$D$17&amp;"; ",""))</f>
        <v/>
      </c>
      <c r="AB50" s="39">
        <f>IF(A50="",0,COUNTIF($A$5:$A$304,"&gt;"&amp;A50)+1)</f>
        <v>28</v>
      </c>
    </row>
    <row r="51">
      <c r="A51" s="37" t="n">
        <v>46239</v>
      </c>
      <c r="B51" s="24" t="str">
        <f>IF(A51="","",CHOOSE(WEEKDAY(A51,2),"Segunda","Terça","Quarta","Quinta","Sexta","Sábado","Domingo"))</f>
        <v>Quarta</v>
      </c>
      <c r="C51" s="38" t="inlineStr">
        <is>
          <t>Bruna Carvalho</t>
        </is>
      </c>
      <c r="D51" s="38" t="inlineStr">
        <is>
          <t>Sim</t>
        </is>
      </c>
      <c r="E51" s="38" t="inlineStr">
        <is>
          <t>Sim</t>
        </is>
      </c>
      <c r="F51" s="38" t="inlineStr">
        <is>
          <t>Sim</t>
        </is>
      </c>
      <c r="G51" s="38" t="inlineStr">
        <is>
          <t>Sim</t>
        </is>
      </c>
      <c r="H51" s="38" t="inlineStr">
        <is>
          <t>Sim</t>
        </is>
      </c>
      <c r="I51" s="38" t="inlineStr">
        <is>
          <t>N/A</t>
        </is>
      </c>
      <c r="J51" s="38" t="n"/>
      <c r="K51" s="38" t="n"/>
      <c r="L51" s="38" t="inlineStr">
        <is>
          <t>Não</t>
        </is>
      </c>
      <c r="M51" s="38" t="inlineStr">
        <is>
          <t>Sim</t>
        </is>
      </c>
      <c r="N51" s="38" t="inlineStr">
        <is>
          <t>Sim</t>
        </is>
      </c>
      <c r="O51" s="38" t="inlineStr">
        <is>
          <t>Sim</t>
        </is>
      </c>
      <c r="P51" s="38" t="inlineStr">
        <is>
          <t>Não</t>
        </is>
      </c>
      <c r="Q51" s="38" t="inlineStr">
        <is>
          <t>Sim</t>
        </is>
      </c>
      <c r="R51" s="38" t="n"/>
      <c r="S51" s="38" t="n"/>
      <c r="T51" s="26">
        <f>IF(A51="","",IFERROR(COUNTIF(D51:K51,"Sim")/(Config!$B$19-COUNTIF(D51:K51,"N/A")),""))</f>
        <v>1</v>
      </c>
      <c r="U51" s="26">
        <f>IF(A51="","",IFERROR(COUNTIF(L51:S51,"Sim")/(Config!$D$19-COUNTIF(L51:S51,"N/A")),""))</f>
        <v>0.666666666666667</v>
      </c>
      <c r="V51" s="24">
        <f>IF(A51="","",MAX(0,Config!$B$19-COUNTIF(D51:K51,"Sim")-COUNTIF(D51:K51,"N/A")))</f>
        <v>0</v>
      </c>
      <c r="W51" s="24">
        <f>IF(A51="","",MAX(0,Config!$D$19-COUNTIF(L51:S51,"Sim")-COUNTIF(L51:S51,"N/A")))</f>
        <v>2</v>
      </c>
      <c r="X51" s="24">
        <f>IF(A51="","",V51+W51)</f>
        <v>2</v>
      </c>
      <c r="Y51" s="29" t="str">
        <f>IF(OR(A51="",AA51=""),"",LEFT(AA51,LEN(AA51)-2))</f>
        <v>Caixa do dia fechado e conferido (Pix, cartão, dinheiro); Retornos e exames do dia agendados</v>
      </c>
      <c r="Z51" s="39">
        <f>IF(OR(A51="",X51=0),0,X51*100000+A51/100000)</f>
        <v>200000.46239</v>
      </c>
      <c r="AA51" s="39" t="str">
        <f>IF(A51="","",IF(AND(Config!$B$10&lt;&gt;"",D51&lt;&gt;"Sim",D51&lt;&gt;"N/A"),Config!$B$10&amp;"; ","")&amp;IF(AND(Config!$B$11&lt;&gt;"",E51&lt;&gt;"Sim",E51&lt;&gt;"N/A"),Config!$B$11&amp;"; ","")&amp;IF(AND(Config!$B$12&lt;&gt;"",F51&lt;&gt;"Sim",F51&lt;&gt;"N/A"),Config!$B$12&amp;"; ","")&amp;IF(AND(Config!$B$13&lt;&gt;"",G51&lt;&gt;"Sim",G51&lt;&gt;"N/A"),Config!$B$13&amp;"; ","")&amp;IF(AND(Config!$B$14&lt;&gt;"",H51&lt;&gt;"Sim",H51&lt;&gt;"N/A"),Config!$B$14&amp;"; ","")&amp;IF(AND(Config!$B$15&lt;&gt;"",I51&lt;&gt;"Sim",I51&lt;&gt;"N/A"),Config!$B$15&amp;"; ","")&amp;IF(AND(Config!$B$16&lt;&gt;"",J51&lt;&gt;"Sim",J51&lt;&gt;"N/A"),Config!$B$16&amp;"; ","")&amp;IF(AND(Config!$B$17&lt;&gt;"",K51&lt;&gt;"Sim",K51&lt;&gt;"N/A"),Config!$B$17&amp;"; ","")&amp;IF(AND(Config!$D$10&lt;&gt;"",L51&lt;&gt;"Sim",L51&lt;&gt;"N/A"),Config!$D$10&amp;"; ","")&amp;IF(AND(Config!$D$11&lt;&gt;"",M51&lt;&gt;"Sim",M51&lt;&gt;"N/A"),Config!$D$11&amp;"; ","")&amp;IF(AND(Config!$D$12&lt;&gt;"",N51&lt;&gt;"Sim",N51&lt;&gt;"N/A"),Config!$D$12&amp;"; ","")&amp;IF(AND(Config!$D$13&lt;&gt;"",O51&lt;&gt;"Sim",O51&lt;&gt;"N/A"),Config!$D$13&amp;"; ","")&amp;IF(AND(Config!$D$14&lt;&gt;"",P51&lt;&gt;"Sim",P51&lt;&gt;"N/A"),Config!$D$14&amp;"; ","")&amp;IF(AND(Config!$D$15&lt;&gt;"",Q51&lt;&gt;"Sim",Q51&lt;&gt;"N/A"),Config!$D$15&amp;"; ","")&amp;IF(AND(Config!$D$16&lt;&gt;"",R51&lt;&gt;"Sim",R51&lt;&gt;"N/A"),Config!$D$16&amp;"; ","")&amp;IF(AND(Config!$D$17&lt;&gt;"",S51&lt;&gt;"Sim",S51&lt;&gt;"N/A"),Config!$D$17&amp;"; ",""))</f>
        <v>Caixa do dia fechado e conferido (Pix, cartão, dinheiro); Retornos e exames do dia agendados; </v>
      </c>
      <c r="AB51" s="39">
        <f>IF(A51="",0,COUNTIF($A$5:$A$304,"&gt;"&amp;A51)+1)</f>
        <v>27</v>
      </c>
    </row>
    <row r="52">
      <c r="A52" s="37" t="n">
        <v>46240</v>
      </c>
      <c r="B52" s="24" t="str">
        <f>IF(A52="","",CHOOSE(WEEKDAY(A52,2),"Segunda","Terça","Quarta","Quinta","Sexta","Sábado","Domingo"))</f>
        <v>Quinta</v>
      </c>
      <c r="C52" s="38" t="inlineStr">
        <is>
          <t>Bruna Carvalho</t>
        </is>
      </c>
      <c r="D52" s="38" t="inlineStr">
        <is>
          <t>Sim</t>
        </is>
      </c>
      <c r="E52" s="38" t="inlineStr">
        <is>
          <t>Sim</t>
        </is>
      </c>
      <c r="F52" s="38" t="inlineStr">
        <is>
          <t>Sim</t>
        </is>
      </c>
      <c r="G52" s="38" t="inlineStr">
        <is>
          <t>Sim</t>
        </is>
      </c>
      <c r="H52" s="38" t="inlineStr">
        <is>
          <t>Sim</t>
        </is>
      </c>
      <c r="I52" s="38" t="inlineStr">
        <is>
          <t>N/A</t>
        </is>
      </c>
      <c r="J52" s="38" t="n"/>
      <c r="K52" s="38" t="n"/>
      <c r="L52" s="38" t="inlineStr">
        <is>
          <t>Sim</t>
        </is>
      </c>
      <c r="M52" s="38" t="inlineStr">
        <is>
          <t>Sim</t>
        </is>
      </c>
      <c r="N52" s="38" t="inlineStr">
        <is>
          <t>Sim</t>
        </is>
      </c>
      <c r="O52" s="38" t="inlineStr">
        <is>
          <t>Sim</t>
        </is>
      </c>
      <c r="P52" s="38" t="inlineStr">
        <is>
          <t>Sim</t>
        </is>
      </c>
      <c r="Q52" s="38" t="inlineStr">
        <is>
          <t>Sim</t>
        </is>
      </c>
      <c r="R52" s="38" t="n"/>
      <c r="S52" s="38" t="n"/>
      <c r="T52" s="26">
        <f>IF(A52="","",IFERROR(COUNTIF(D52:K52,"Sim")/(Config!$B$19-COUNTIF(D52:K52,"N/A")),""))</f>
        <v>1</v>
      </c>
      <c r="U52" s="26">
        <f>IF(A52="","",IFERROR(COUNTIF(L52:S52,"Sim")/(Config!$D$19-COUNTIF(L52:S52,"N/A")),""))</f>
        <v>1</v>
      </c>
      <c r="V52" s="24">
        <f>IF(A52="","",MAX(0,Config!$B$19-COUNTIF(D52:K52,"Sim")-COUNTIF(D52:K52,"N/A")))</f>
        <v>0</v>
      </c>
      <c r="W52" s="24">
        <f>IF(A52="","",MAX(0,Config!$D$19-COUNTIF(L52:S52,"Sim")-COUNTIF(L52:S52,"N/A")))</f>
        <v>0</v>
      </c>
      <c r="X52" s="24">
        <f>IF(A52="","",V52+W52)</f>
        <v>0</v>
      </c>
      <c r="Y52" s="29">
        <f>IF(OR(A52="",AA52=""),"",LEFT(AA52,LEN(AA52)-2))</f>
        <v/>
      </c>
      <c r="Z52" s="39">
        <f>IF(OR(A52="",X52=0),0,X52*100000+A52/100000)</f>
        <v>0</v>
      </c>
      <c r="AA52" s="39">
        <f>IF(A52="","",IF(AND(Config!$B$10&lt;&gt;"",D52&lt;&gt;"Sim",D52&lt;&gt;"N/A"),Config!$B$10&amp;"; ","")&amp;IF(AND(Config!$B$11&lt;&gt;"",E52&lt;&gt;"Sim",E52&lt;&gt;"N/A"),Config!$B$11&amp;"; ","")&amp;IF(AND(Config!$B$12&lt;&gt;"",F52&lt;&gt;"Sim",F52&lt;&gt;"N/A"),Config!$B$12&amp;"; ","")&amp;IF(AND(Config!$B$13&lt;&gt;"",G52&lt;&gt;"Sim",G52&lt;&gt;"N/A"),Config!$B$13&amp;"; ","")&amp;IF(AND(Config!$B$14&lt;&gt;"",H52&lt;&gt;"Sim",H52&lt;&gt;"N/A"),Config!$B$14&amp;"; ","")&amp;IF(AND(Config!$B$15&lt;&gt;"",I52&lt;&gt;"Sim",I52&lt;&gt;"N/A"),Config!$B$15&amp;"; ","")&amp;IF(AND(Config!$B$16&lt;&gt;"",J52&lt;&gt;"Sim",J52&lt;&gt;"N/A"),Config!$B$16&amp;"; ","")&amp;IF(AND(Config!$B$17&lt;&gt;"",K52&lt;&gt;"Sim",K52&lt;&gt;"N/A"),Config!$B$17&amp;"; ","")&amp;IF(AND(Config!$D$10&lt;&gt;"",L52&lt;&gt;"Sim",L52&lt;&gt;"N/A"),Config!$D$10&amp;"; ","")&amp;IF(AND(Config!$D$11&lt;&gt;"",M52&lt;&gt;"Sim",M52&lt;&gt;"N/A"),Config!$D$11&amp;"; ","")&amp;IF(AND(Config!$D$12&lt;&gt;"",N52&lt;&gt;"Sim",N52&lt;&gt;"N/A"),Config!$D$12&amp;"; ","")&amp;IF(AND(Config!$D$13&lt;&gt;"",O52&lt;&gt;"Sim",O52&lt;&gt;"N/A"),Config!$D$13&amp;"; ","")&amp;IF(AND(Config!$D$14&lt;&gt;"",P52&lt;&gt;"Sim",P52&lt;&gt;"N/A"),Config!$D$14&amp;"; ","")&amp;IF(AND(Config!$D$15&lt;&gt;"",Q52&lt;&gt;"Sim",Q52&lt;&gt;"N/A"),Config!$D$15&amp;"; ","")&amp;IF(AND(Config!$D$16&lt;&gt;"",R52&lt;&gt;"Sim",R52&lt;&gt;"N/A"),Config!$D$16&amp;"; ","")&amp;IF(AND(Config!$D$17&lt;&gt;"",S52&lt;&gt;"Sim",S52&lt;&gt;"N/A"),Config!$D$17&amp;"; ",""))</f>
        <v/>
      </c>
      <c r="AB52" s="39">
        <f>IF(A52="",0,COUNTIF($A$5:$A$304,"&gt;"&amp;A52)+1)</f>
        <v>26</v>
      </c>
    </row>
    <row r="53">
      <c r="A53" s="37" t="n">
        <v>46241</v>
      </c>
      <c r="B53" s="24" t="str">
        <f>IF(A53="","",CHOOSE(WEEKDAY(A53,2),"Segunda","Terça","Quarta","Quinta","Sexta","Sábado","Domingo"))</f>
        <v>Sexta</v>
      </c>
      <c r="C53" s="38" t="inlineStr">
        <is>
          <t>Bruna Carvalho</t>
        </is>
      </c>
      <c r="D53" s="38" t="inlineStr">
        <is>
          <t>Sim</t>
        </is>
      </c>
      <c r="E53" s="38" t="inlineStr">
        <is>
          <t>Sim</t>
        </is>
      </c>
      <c r="F53" s="38" t="inlineStr">
        <is>
          <t>Sim</t>
        </is>
      </c>
      <c r="G53" s="38" t="inlineStr">
        <is>
          <t>Sim</t>
        </is>
      </c>
      <c r="H53" s="38" t="inlineStr">
        <is>
          <t>Sim</t>
        </is>
      </c>
      <c r="I53" s="38" t="inlineStr">
        <is>
          <t>Sim</t>
        </is>
      </c>
      <c r="J53" s="38" t="n"/>
      <c r="K53" s="38" t="n"/>
      <c r="L53" s="38" t="inlineStr">
        <is>
          <t>Sim</t>
        </is>
      </c>
      <c r="M53" s="38" t="inlineStr">
        <is>
          <t>Sim</t>
        </is>
      </c>
      <c r="N53" s="38" t="inlineStr">
        <is>
          <t>Sim</t>
        </is>
      </c>
      <c r="O53" s="38" t="inlineStr">
        <is>
          <t>Sim</t>
        </is>
      </c>
      <c r="P53" s="38" t="inlineStr">
        <is>
          <t>Sim</t>
        </is>
      </c>
      <c r="Q53" s="38" t="inlineStr">
        <is>
          <t>Sim</t>
        </is>
      </c>
      <c r="R53" s="38" t="n"/>
      <c r="S53" s="38" t="n"/>
      <c r="T53" s="26">
        <f>IF(A53="","",IFERROR(COUNTIF(D53:K53,"Sim")/(Config!$B$19-COUNTIF(D53:K53,"N/A")),""))</f>
        <v>1</v>
      </c>
      <c r="U53" s="26">
        <f>IF(A53="","",IFERROR(COUNTIF(L53:S53,"Sim")/(Config!$D$19-COUNTIF(L53:S53,"N/A")),""))</f>
        <v>1</v>
      </c>
      <c r="V53" s="24">
        <f>IF(A53="","",MAX(0,Config!$B$19-COUNTIF(D53:K53,"Sim")-COUNTIF(D53:K53,"N/A")))</f>
        <v>0</v>
      </c>
      <c r="W53" s="24">
        <f>IF(A53="","",MAX(0,Config!$D$19-COUNTIF(L53:S53,"Sim")-COUNTIF(L53:S53,"N/A")))</f>
        <v>0</v>
      </c>
      <c r="X53" s="24">
        <f>IF(A53="","",V53+W53)</f>
        <v>0</v>
      </c>
      <c r="Y53" s="29">
        <f>IF(OR(A53="",AA53=""),"",LEFT(AA53,LEN(AA53)-2))</f>
        <v/>
      </c>
      <c r="Z53" s="39">
        <f>IF(OR(A53="",X53=0),0,X53*100000+A53/100000)</f>
        <v>0</v>
      </c>
      <c r="AA53" s="39">
        <f>IF(A53="","",IF(AND(Config!$B$10&lt;&gt;"",D53&lt;&gt;"Sim",D53&lt;&gt;"N/A"),Config!$B$10&amp;"; ","")&amp;IF(AND(Config!$B$11&lt;&gt;"",E53&lt;&gt;"Sim",E53&lt;&gt;"N/A"),Config!$B$11&amp;"; ","")&amp;IF(AND(Config!$B$12&lt;&gt;"",F53&lt;&gt;"Sim",F53&lt;&gt;"N/A"),Config!$B$12&amp;"; ","")&amp;IF(AND(Config!$B$13&lt;&gt;"",G53&lt;&gt;"Sim",G53&lt;&gt;"N/A"),Config!$B$13&amp;"; ","")&amp;IF(AND(Config!$B$14&lt;&gt;"",H53&lt;&gt;"Sim",H53&lt;&gt;"N/A"),Config!$B$14&amp;"; ","")&amp;IF(AND(Config!$B$15&lt;&gt;"",I53&lt;&gt;"Sim",I53&lt;&gt;"N/A"),Config!$B$15&amp;"; ","")&amp;IF(AND(Config!$B$16&lt;&gt;"",J53&lt;&gt;"Sim",J53&lt;&gt;"N/A"),Config!$B$16&amp;"; ","")&amp;IF(AND(Config!$B$17&lt;&gt;"",K53&lt;&gt;"Sim",K53&lt;&gt;"N/A"),Config!$B$17&amp;"; ","")&amp;IF(AND(Config!$D$10&lt;&gt;"",L53&lt;&gt;"Sim",L53&lt;&gt;"N/A"),Config!$D$10&amp;"; ","")&amp;IF(AND(Config!$D$11&lt;&gt;"",M53&lt;&gt;"Sim",M53&lt;&gt;"N/A"),Config!$D$11&amp;"; ","")&amp;IF(AND(Config!$D$12&lt;&gt;"",N53&lt;&gt;"Sim",N53&lt;&gt;"N/A"),Config!$D$12&amp;"; ","")&amp;IF(AND(Config!$D$13&lt;&gt;"",O53&lt;&gt;"Sim",O53&lt;&gt;"N/A"),Config!$D$13&amp;"; ","")&amp;IF(AND(Config!$D$14&lt;&gt;"",P53&lt;&gt;"Sim",P53&lt;&gt;"N/A"),Config!$D$14&amp;"; ","")&amp;IF(AND(Config!$D$15&lt;&gt;"",Q53&lt;&gt;"Sim",Q53&lt;&gt;"N/A"),Config!$D$15&amp;"; ","")&amp;IF(AND(Config!$D$16&lt;&gt;"",R53&lt;&gt;"Sim",R53&lt;&gt;"N/A"),Config!$D$16&amp;"; ","")&amp;IF(AND(Config!$D$17&lt;&gt;"",S53&lt;&gt;"Sim",S53&lt;&gt;"N/A"),Config!$D$17&amp;"; ",""))</f>
        <v/>
      </c>
      <c r="AB53" s="39">
        <f>IF(A53="",0,COUNTIF($A$5:$A$304,"&gt;"&amp;A53)+1)</f>
        <v>25</v>
      </c>
    </row>
    <row r="54">
      <c r="A54" s="37" t="n">
        <v>46244</v>
      </c>
      <c r="B54" s="24" t="str">
        <f>IF(A54="","",CHOOSE(WEEKDAY(A54,2),"Segunda","Terça","Quarta","Quinta","Sexta","Sábado","Domingo"))</f>
        <v>Segunda</v>
      </c>
      <c r="C54" s="38" t="inlineStr">
        <is>
          <t>Bruna Carvalho</t>
        </is>
      </c>
      <c r="D54" s="38" t="inlineStr">
        <is>
          <t>Sim</t>
        </is>
      </c>
      <c r="E54" s="38" t="inlineStr">
        <is>
          <t>Sim</t>
        </is>
      </c>
      <c r="F54" s="38" t="inlineStr">
        <is>
          <t>Sim</t>
        </is>
      </c>
      <c r="G54" s="38" t="inlineStr">
        <is>
          <t>Não</t>
        </is>
      </c>
      <c r="H54" s="38" t="inlineStr">
        <is>
          <t>Sim</t>
        </is>
      </c>
      <c r="I54" s="38" t="inlineStr">
        <is>
          <t>N/A</t>
        </is>
      </c>
      <c r="J54" s="38" t="n"/>
      <c r="K54" s="38" t="n"/>
      <c r="L54" s="38" t="inlineStr">
        <is>
          <t>Sim</t>
        </is>
      </c>
      <c r="M54" s="38" t="inlineStr">
        <is>
          <t>Sim</t>
        </is>
      </c>
      <c r="N54" s="38" t="inlineStr">
        <is>
          <t>Sim</t>
        </is>
      </c>
      <c r="O54" s="38" t="inlineStr">
        <is>
          <t>Sim</t>
        </is>
      </c>
      <c r="P54" s="38" t="inlineStr">
        <is>
          <t>Sim</t>
        </is>
      </c>
      <c r="Q54" s="38" t="inlineStr">
        <is>
          <t>Sim</t>
        </is>
      </c>
      <c r="R54" s="38" t="n"/>
      <c r="S54" s="38" t="n"/>
      <c r="T54" s="26">
        <f>IF(A54="","",IFERROR(COUNTIF(D54:K54,"Sim")/(Config!$B$19-COUNTIF(D54:K54,"N/A")),""))</f>
        <v>0.8</v>
      </c>
      <c r="U54" s="26">
        <f>IF(A54="","",IFERROR(COUNTIF(L54:S54,"Sim")/(Config!$D$19-COUNTIF(L54:S54,"N/A")),""))</f>
        <v>1</v>
      </c>
      <c r="V54" s="24">
        <f>IF(A54="","",MAX(0,Config!$B$19-COUNTIF(D54:K54,"Sim")-COUNTIF(D54:K54,"N/A")))</f>
        <v>1</v>
      </c>
      <c r="W54" s="24">
        <f>IF(A54="","",MAX(0,Config!$D$19-COUNTIF(L54:S54,"Sim")-COUNTIF(L54:S54,"N/A")))</f>
        <v>0</v>
      </c>
      <c r="X54" s="24">
        <f>IF(A54="","",V54+W54)</f>
        <v>1</v>
      </c>
      <c r="Y54" s="29" t="str">
        <f>IF(OR(A54="",AA54=""),"",LEFT(AA54,LEN(AA54)-2))</f>
        <v>Guias e autorizações de convênio do dia separadas</v>
      </c>
      <c r="Z54" s="39">
        <f>IF(OR(A54="",X54=0),0,X54*100000+A54/100000)</f>
        <v>100000.46244</v>
      </c>
      <c r="AA54" s="39" t="str">
        <f>IF(A54="","",IF(AND(Config!$B$10&lt;&gt;"",D54&lt;&gt;"Sim",D54&lt;&gt;"N/A"),Config!$B$10&amp;"; ","")&amp;IF(AND(Config!$B$11&lt;&gt;"",E54&lt;&gt;"Sim",E54&lt;&gt;"N/A"),Config!$B$11&amp;"; ","")&amp;IF(AND(Config!$B$12&lt;&gt;"",F54&lt;&gt;"Sim",F54&lt;&gt;"N/A"),Config!$B$12&amp;"; ","")&amp;IF(AND(Config!$B$13&lt;&gt;"",G54&lt;&gt;"Sim",G54&lt;&gt;"N/A"),Config!$B$13&amp;"; ","")&amp;IF(AND(Config!$B$14&lt;&gt;"",H54&lt;&gt;"Sim",H54&lt;&gt;"N/A"),Config!$B$14&amp;"; ","")&amp;IF(AND(Config!$B$15&lt;&gt;"",I54&lt;&gt;"Sim",I54&lt;&gt;"N/A"),Config!$B$15&amp;"; ","")&amp;IF(AND(Config!$B$16&lt;&gt;"",J54&lt;&gt;"Sim",J54&lt;&gt;"N/A"),Config!$B$16&amp;"; ","")&amp;IF(AND(Config!$B$17&lt;&gt;"",K54&lt;&gt;"Sim",K54&lt;&gt;"N/A"),Config!$B$17&amp;"; ","")&amp;IF(AND(Config!$D$10&lt;&gt;"",L54&lt;&gt;"Sim",L54&lt;&gt;"N/A"),Config!$D$10&amp;"; ","")&amp;IF(AND(Config!$D$11&lt;&gt;"",M54&lt;&gt;"Sim",M54&lt;&gt;"N/A"),Config!$D$11&amp;"; ","")&amp;IF(AND(Config!$D$12&lt;&gt;"",N54&lt;&gt;"Sim",N54&lt;&gt;"N/A"),Config!$D$12&amp;"; ","")&amp;IF(AND(Config!$D$13&lt;&gt;"",O54&lt;&gt;"Sim",O54&lt;&gt;"N/A"),Config!$D$13&amp;"; ","")&amp;IF(AND(Config!$D$14&lt;&gt;"",P54&lt;&gt;"Sim",P54&lt;&gt;"N/A"),Config!$D$14&amp;"; ","")&amp;IF(AND(Config!$D$15&lt;&gt;"",Q54&lt;&gt;"Sim",Q54&lt;&gt;"N/A"),Config!$D$15&amp;"; ","")&amp;IF(AND(Config!$D$16&lt;&gt;"",R54&lt;&gt;"Sim",R54&lt;&gt;"N/A"),Config!$D$16&amp;"; ","")&amp;IF(AND(Config!$D$17&lt;&gt;"",S54&lt;&gt;"Sim",S54&lt;&gt;"N/A"),Config!$D$17&amp;"; ",""))</f>
        <v>Guias e autorizações de convênio do dia separadas; </v>
      </c>
      <c r="AB54" s="39">
        <f>IF(A54="",0,COUNTIF($A$5:$A$304,"&gt;"&amp;A54)+1)</f>
        <v>24</v>
      </c>
    </row>
    <row r="55">
      <c r="A55" s="37" t="n">
        <v>46245</v>
      </c>
      <c r="B55" s="24" t="str">
        <f>IF(A55="","",CHOOSE(WEEKDAY(A55,2),"Segunda","Terça","Quarta","Quinta","Sexta","Sábado","Domingo"))</f>
        <v>Terça</v>
      </c>
      <c r="C55" s="38" t="inlineStr">
        <is>
          <t>Bruna Carvalho</t>
        </is>
      </c>
      <c r="D55" s="38" t="inlineStr">
        <is>
          <t>Sim</t>
        </is>
      </c>
      <c r="E55" s="38" t="inlineStr">
        <is>
          <t>Sim</t>
        </is>
      </c>
      <c r="F55" s="38" t="inlineStr">
        <is>
          <t>Sim</t>
        </is>
      </c>
      <c r="G55" s="38" t="inlineStr">
        <is>
          <t>Sim</t>
        </is>
      </c>
      <c r="H55" s="38" t="inlineStr">
        <is>
          <t>Sim</t>
        </is>
      </c>
      <c r="I55" s="38" t="inlineStr">
        <is>
          <t>N/A</t>
        </is>
      </c>
      <c r="J55" s="38" t="n"/>
      <c r="K55" s="38" t="n"/>
      <c r="L55" s="38" t="inlineStr">
        <is>
          <t>Sim</t>
        </is>
      </c>
      <c r="M55" s="38" t="inlineStr">
        <is>
          <t>Sim</t>
        </is>
      </c>
      <c r="N55" s="38" t="inlineStr">
        <is>
          <t>Não</t>
        </is>
      </c>
      <c r="O55" s="38" t="inlineStr">
        <is>
          <t>Sim</t>
        </is>
      </c>
      <c r="P55" s="38" t="inlineStr">
        <is>
          <t>Sim</t>
        </is>
      </c>
      <c r="Q55" s="38" t="inlineStr">
        <is>
          <t>Sim</t>
        </is>
      </c>
      <c r="R55" s="38" t="n"/>
      <c r="S55" s="38" t="n"/>
      <c r="T55" s="26">
        <f>IF(A55="","",IFERROR(COUNTIF(D55:K55,"Sim")/(Config!$B$19-COUNTIF(D55:K55,"N/A")),""))</f>
        <v>1</v>
      </c>
      <c r="U55" s="26">
        <f>IF(A55="","",IFERROR(COUNTIF(L55:S55,"Sim")/(Config!$D$19-COUNTIF(L55:S55,"N/A")),""))</f>
        <v>0.833333333333333</v>
      </c>
      <c r="V55" s="24">
        <f>IF(A55="","",MAX(0,Config!$B$19-COUNTIF(D55:K55,"Sim")-COUNTIF(D55:K55,"N/A")))</f>
        <v>0</v>
      </c>
      <c r="W55" s="24">
        <f>IF(A55="","",MAX(0,Config!$D$19-COUNTIF(L55:S55,"Sim")-COUNTIF(L55:S55,"N/A")))</f>
        <v>1</v>
      </c>
      <c r="X55" s="24">
        <f>IF(A55="","",V55+W55)</f>
        <v>1</v>
      </c>
      <c r="Y55" s="29" t="str">
        <f>IF(OR(A55="",AA55=""),"",LEFT(AA55,LEN(AA55)-2))</f>
        <v>Situação de cada horário marcada (realizado, falta, cancelado)</v>
      </c>
      <c r="Z55" s="39">
        <f>IF(OR(A55="",X55=0),0,X55*100000+A55/100000)</f>
        <v>100000.46245</v>
      </c>
      <c r="AA55" s="39" t="str">
        <f>IF(A55="","",IF(AND(Config!$B$10&lt;&gt;"",D55&lt;&gt;"Sim",D55&lt;&gt;"N/A"),Config!$B$10&amp;"; ","")&amp;IF(AND(Config!$B$11&lt;&gt;"",E55&lt;&gt;"Sim",E55&lt;&gt;"N/A"),Config!$B$11&amp;"; ","")&amp;IF(AND(Config!$B$12&lt;&gt;"",F55&lt;&gt;"Sim",F55&lt;&gt;"N/A"),Config!$B$12&amp;"; ","")&amp;IF(AND(Config!$B$13&lt;&gt;"",G55&lt;&gt;"Sim",G55&lt;&gt;"N/A"),Config!$B$13&amp;"; ","")&amp;IF(AND(Config!$B$14&lt;&gt;"",H55&lt;&gt;"Sim",H55&lt;&gt;"N/A"),Config!$B$14&amp;"; ","")&amp;IF(AND(Config!$B$15&lt;&gt;"",I55&lt;&gt;"Sim",I55&lt;&gt;"N/A"),Config!$B$15&amp;"; ","")&amp;IF(AND(Config!$B$16&lt;&gt;"",J55&lt;&gt;"Sim",J55&lt;&gt;"N/A"),Config!$B$16&amp;"; ","")&amp;IF(AND(Config!$B$17&lt;&gt;"",K55&lt;&gt;"Sim",K55&lt;&gt;"N/A"),Config!$B$17&amp;"; ","")&amp;IF(AND(Config!$D$10&lt;&gt;"",L55&lt;&gt;"Sim",L55&lt;&gt;"N/A"),Config!$D$10&amp;"; ","")&amp;IF(AND(Config!$D$11&lt;&gt;"",M55&lt;&gt;"Sim",M55&lt;&gt;"N/A"),Config!$D$11&amp;"; ","")&amp;IF(AND(Config!$D$12&lt;&gt;"",N55&lt;&gt;"Sim",N55&lt;&gt;"N/A"),Config!$D$12&amp;"; ","")&amp;IF(AND(Config!$D$13&lt;&gt;"",O55&lt;&gt;"Sim",O55&lt;&gt;"N/A"),Config!$D$13&amp;"; ","")&amp;IF(AND(Config!$D$14&lt;&gt;"",P55&lt;&gt;"Sim",P55&lt;&gt;"N/A"),Config!$D$14&amp;"; ","")&amp;IF(AND(Config!$D$15&lt;&gt;"",Q55&lt;&gt;"Sim",Q55&lt;&gt;"N/A"),Config!$D$15&amp;"; ","")&amp;IF(AND(Config!$D$16&lt;&gt;"",R55&lt;&gt;"Sim",R55&lt;&gt;"N/A"),Config!$D$16&amp;"; ","")&amp;IF(AND(Config!$D$17&lt;&gt;"",S55&lt;&gt;"Sim",S55&lt;&gt;"N/A"),Config!$D$17&amp;"; ",""))</f>
        <v>Situação de cada horário marcada (realizado, falta, cancelado); </v>
      </c>
      <c r="AB55" s="39">
        <f>IF(A55="",0,COUNTIF($A$5:$A$304,"&gt;"&amp;A55)+1)</f>
        <v>23</v>
      </c>
    </row>
    <row r="56">
      <c r="A56" s="37" t="n">
        <v>46246</v>
      </c>
      <c r="B56" s="24" t="str">
        <f>IF(A56="","",CHOOSE(WEEKDAY(A56,2),"Segunda","Terça","Quarta","Quinta","Sexta","Sábado","Domingo"))</f>
        <v>Quarta</v>
      </c>
      <c r="C56" s="38" t="inlineStr">
        <is>
          <t>Bruna Carvalho</t>
        </is>
      </c>
      <c r="D56" s="38" t="inlineStr">
        <is>
          <t>Sim</t>
        </is>
      </c>
      <c r="E56" s="38" t="inlineStr">
        <is>
          <t>Sim</t>
        </is>
      </c>
      <c r="F56" s="38" t="inlineStr">
        <is>
          <t>Sim</t>
        </is>
      </c>
      <c r="G56" s="38" t="inlineStr">
        <is>
          <t>Sim</t>
        </is>
      </c>
      <c r="H56" s="38" t="inlineStr">
        <is>
          <t>Sim</t>
        </is>
      </c>
      <c r="I56" s="38" t="inlineStr">
        <is>
          <t>N/A</t>
        </is>
      </c>
      <c r="J56" s="38" t="n"/>
      <c r="K56" s="38" t="n"/>
      <c r="L56" s="38" t="inlineStr">
        <is>
          <t>Sim</t>
        </is>
      </c>
      <c r="M56" s="38" t="inlineStr">
        <is>
          <t>Sim</t>
        </is>
      </c>
      <c r="N56" s="38" t="inlineStr">
        <is>
          <t>Sim</t>
        </is>
      </c>
      <c r="O56" s="38" t="inlineStr">
        <is>
          <t>Sim</t>
        </is>
      </c>
      <c r="P56" s="38" t="inlineStr">
        <is>
          <t>Sim</t>
        </is>
      </c>
      <c r="Q56" s="38" t="inlineStr">
        <is>
          <t>Sim</t>
        </is>
      </c>
      <c r="R56" s="38" t="n"/>
      <c r="S56" s="38" t="n"/>
      <c r="T56" s="26">
        <f>IF(A56="","",IFERROR(COUNTIF(D56:K56,"Sim")/(Config!$B$19-COUNTIF(D56:K56,"N/A")),""))</f>
        <v>1</v>
      </c>
      <c r="U56" s="26">
        <f>IF(A56="","",IFERROR(COUNTIF(L56:S56,"Sim")/(Config!$D$19-COUNTIF(L56:S56,"N/A")),""))</f>
        <v>1</v>
      </c>
      <c r="V56" s="24">
        <f>IF(A56="","",MAX(0,Config!$B$19-COUNTIF(D56:K56,"Sim")-COUNTIF(D56:K56,"N/A")))</f>
        <v>0</v>
      </c>
      <c r="W56" s="24">
        <f>IF(A56="","",MAX(0,Config!$D$19-COUNTIF(L56:S56,"Sim")-COUNTIF(L56:S56,"N/A")))</f>
        <v>0</v>
      </c>
      <c r="X56" s="24">
        <f>IF(A56="","",V56+W56)</f>
        <v>0</v>
      </c>
      <c r="Y56" s="29">
        <f>IF(OR(A56="",AA56=""),"",LEFT(AA56,LEN(AA56)-2))</f>
        <v/>
      </c>
      <c r="Z56" s="39">
        <f>IF(OR(A56="",X56=0),0,X56*100000+A56/100000)</f>
        <v>0</v>
      </c>
      <c r="AA56" s="39">
        <f>IF(A56="","",IF(AND(Config!$B$10&lt;&gt;"",D56&lt;&gt;"Sim",D56&lt;&gt;"N/A"),Config!$B$10&amp;"; ","")&amp;IF(AND(Config!$B$11&lt;&gt;"",E56&lt;&gt;"Sim",E56&lt;&gt;"N/A"),Config!$B$11&amp;"; ","")&amp;IF(AND(Config!$B$12&lt;&gt;"",F56&lt;&gt;"Sim",F56&lt;&gt;"N/A"),Config!$B$12&amp;"; ","")&amp;IF(AND(Config!$B$13&lt;&gt;"",G56&lt;&gt;"Sim",G56&lt;&gt;"N/A"),Config!$B$13&amp;"; ","")&amp;IF(AND(Config!$B$14&lt;&gt;"",H56&lt;&gt;"Sim",H56&lt;&gt;"N/A"),Config!$B$14&amp;"; ","")&amp;IF(AND(Config!$B$15&lt;&gt;"",I56&lt;&gt;"Sim",I56&lt;&gt;"N/A"),Config!$B$15&amp;"; ","")&amp;IF(AND(Config!$B$16&lt;&gt;"",J56&lt;&gt;"Sim",J56&lt;&gt;"N/A"),Config!$B$16&amp;"; ","")&amp;IF(AND(Config!$B$17&lt;&gt;"",K56&lt;&gt;"Sim",K56&lt;&gt;"N/A"),Config!$B$17&amp;"; ","")&amp;IF(AND(Config!$D$10&lt;&gt;"",L56&lt;&gt;"Sim",L56&lt;&gt;"N/A"),Config!$D$10&amp;"; ","")&amp;IF(AND(Config!$D$11&lt;&gt;"",M56&lt;&gt;"Sim",M56&lt;&gt;"N/A"),Config!$D$11&amp;"; ","")&amp;IF(AND(Config!$D$12&lt;&gt;"",N56&lt;&gt;"Sim",N56&lt;&gt;"N/A"),Config!$D$12&amp;"; ","")&amp;IF(AND(Config!$D$13&lt;&gt;"",O56&lt;&gt;"Sim",O56&lt;&gt;"N/A"),Config!$D$13&amp;"; ","")&amp;IF(AND(Config!$D$14&lt;&gt;"",P56&lt;&gt;"Sim",P56&lt;&gt;"N/A"),Config!$D$14&amp;"; ","")&amp;IF(AND(Config!$D$15&lt;&gt;"",Q56&lt;&gt;"Sim",Q56&lt;&gt;"N/A"),Config!$D$15&amp;"; ","")&amp;IF(AND(Config!$D$16&lt;&gt;"",R56&lt;&gt;"Sim",R56&lt;&gt;"N/A"),Config!$D$16&amp;"; ","")&amp;IF(AND(Config!$D$17&lt;&gt;"",S56&lt;&gt;"Sim",S56&lt;&gt;"N/A"),Config!$D$17&amp;"; ",""))</f>
        <v/>
      </c>
      <c r="AB56" s="39">
        <f>IF(A56="",0,COUNTIF($A$5:$A$304,"&gt;"&amp;A56)+1)</f>
        <v>22</v>
      </c>
    </row>
    <row r="57">
      <c r="A57" s="37" t="n">
        <v>46247</v>
      </c>
      <c r="B57" s="24" t="str">
        <f>IF(A57="","",CHOOSE(WEEKDAY(A57,2),"Segunda","Terça","Quarta","Quinta","Sexta","Sábado","Domingo"))</f>
        <v>Quinta</v>
      </c>
      <c r="C57" s="38" t="inlineStr">
        <is>
          <t>Bruna Carvalho</t>
        </is>
      </c>
      <c r="D57" s="38" t="inlineStr">
        <is>
          <t>Sim</t>
        </is>
      </c>
      <c r="E57" s="38" t="inlineStr">
        <is>
          <t>Não</t>
        </is>
      </c>
      <c r="F57" s="38" t="inlineStr">
        <is>
          <t>Sim</t>
        </is>
      </c>
      <c r="G57" s="38" t="inlineStr">
        <is>
          <t>Sim</t>
        </is>
      </c>
      <c r="H57" s="38" t="inlineStr">
        <is>
          <t>Sim</t>
        </is>
      </c>
      <c r="I57" s="38" t="inlineStr">
        <is>
          <t>N/A</t>
        </is>
      </c>
      <c r="J57" s="38" t="n"/>
      <c r="K57" s="38" t="n"/>
      <c r="L57" s="38" t="inlineStr">
        <is>
          <t>Sim</t>
        </is>
      </c>
      <c r="M57" s="38" t="inlineStr">
        <is>
          <t>Sim</t>
        </is>
      </c>
      <c r="N57" s="38" t="inlineStr">
        <is>
          <t>Sim</t>
        </is>
      </c>
      <c r="O57" s="38" t="inlineStr">
        <is>
          <t>Sim</t>
        </is>
      </c>
      <c r="P57" s="38" t="inlineStr">
        <is>
          <t>Sim</t>
        </is>
      </c>
      <c r="Q57" s="38" t="inlineStr">
        <is>
          <t>Sim</t>
        </is>
      </c>
      <c r="R57" s="38" t="n"/>
      <c r="S57" s="38" t="n"/>
      <c r="T57" s="26">
        <f>IF(A57="","",IFERROR(COUNTIF(D57:K57,"Sim")/(Config!$B$19-COUNTIF(D57:K57,"N/A")),""))</f>
        <v>0.8</v>
      </c>
      <c r="U57" s="26">
        <f>IF(A57="","",IFERROR(COUNTIF(L57:S57,"Sim")/(Config!$D$19-COUNTIF(L57:S57,"N/A")),""))</f>
        <v>1</v>
      </c>
      <c r="V57" s="24">
        <f>IF(A57="","",MAX(0,Config!$B$19-COUNTIF(D57:K57,"Sim")-COUNTIF(D57:K57,"N/A")))</f>
        <v>1</v>
      </c>
      <c r="W57" s="24">
        <f>IF(A57="","",MAX(0,Config!$D$19-COUNTIF(L57:S57,"Sim")-COUNTIF(L57:S57,"N/A")))</f>
        <v>0</v>
      </c>
      <c r="X57" s="24">
        <f>IF(A57="","",V57+W57)</f>
        <v>1</v>
      </c>
      <c r="Y57" s="29" t="str">
        <f>IF(OR(A57="",AA57=""),"",LEFT(AA57,LEN(AA57)-2))</f>
        <v>Faltas e cancelamentos de ontem registrados na agenda</v>
      </c>
      <c r="Z57" s="39">
        <f>IF(OR(A57="",X57=0),0,X57*100000+A57/100000)</f>
        <v>100000.46247</v>
      </c>
      <c r="AA57" s="39" t="str">
        <f>IF(A57="","",IF(AND(Config!$B$10&lt;&gt;"",D57&lt;&gt;"Sim",D57&lt;&gt;"N/A"),Config!$B$10&amp;"; ","")&amp;IF(AND(Config!$B$11&lt;&gt;"",E57&lt;&gt;"Sim",E57&lt;&gt;"N/A"),Config!$B$11&amp;"; ","")&amp;IF(AND(Config!$B$12&lt;&gt;"",F57&lt;&gt;"Sim",F57&lt;&gt;"N/A"),Config!$B$12&amp;"; ","")&amp;IF(AND(Config!$B$13&lt;&gt;"",G57&lt;&gt;"Sim",G57&lt;&gt;"N/A"),Config!$B$13&amp;"; ","")&amp;IF(AND(Config!$B$14&lt;&gt;"",H57&lt;&gt;"Sim",H57&lt;&gt;"N/A"),Config!$B$14&amp;"; ","")&amp;IF(AND(Config!$B$15&lt;&gt;"",I57&lt;&gt;"Sim",I57&lt;&gt;"N/A"),Config!$B$15&amp;"; ","")&amp;IF(AND(Config!$B$16&lt;&gt;"",J57&lt;&gt;"Sim",J57&lt;&gt;"N/A"),Config!$B$16&amp;"; ","")&amp;IF(AND(Config!$B$17&lt;&gt;"",K57&lt;&gt;"Sim",K57&lt;&gt;"N/A"),Config!$B$17&amp;"; ","")&amp;IF(AND(Config!$D$10&lt;&gt;"",L57&lt;&gt;"Sim",L57&lt;&gt;"N/A"),Config!$D$10&amp;"; ","")&amp;IF(AND(Config!$D$11&lt;&gt;"",M57&lt;&gt;"Sim",M57&lt;&gt;"N/A"),Config!$D$11&amp;"; ","")&amp;IF(AND(Config!$D$12&lt;&gt;"",N57&lt;&gt;"Sim",N57&lt;&gt;"N/A"),Config!$D$12&amp;"; ","")&amp;IF(AND(Config!$D$13&lt;&gt;"",O57&lt;&gt;"Sim",O57&lt;&gt;"N/A"),Config!$D$13&amp;"; ","")&amp;IF(AND(Config!$D$14&lt;&gt;"",P57&lt;&gt;"Sim",P57&lt;&gt;"N/A"),Config!$D$14&amp;"; ","")&amp;IF(AND(Config!$D$15&lt;&gt;"",Q57&lt;&gt;"Sim",Q57&lt;&gt;"N/A"),Config!$D$15&amp;"; ","")&amp;IF(AND(Config!$D$16&lt;&gt;"",R57&lt;&gt;"Sim",R57&lt;&gt;"N/A"),Config!$D$16&amp;"; ","")&amp;IF(AND(Config!$D$17&lt;&gt;"",S57&lt;&gt;"Sim",S57&lt;&gt;"N/A"),Config!$D$17&amp;"; ",""))</f>
        <v>Faltas e cancelamentos de ontem registrados na agenda; </v>
      </c>
      <c r="AB57" s="39">
        <f>IF(A57="",0,COUNTIF($A$5:$A$304,"&gt;"&amp;A57)+1)</f>
        <v>21</v>
      </c>
    </row>
    <row r="58">
      <c r="A58" s="37" t="n">
        <v>46248</v>
      </c>
      <c r="B58" s="24" t="str">
        <f>IF(A58="","",CHOOSE(WEEKDAY(A58,2),"Segunda","Terça","Quarta","Quinta","Sexta","Sábado","Domingo"))</f>
        <v>Sexta</v>
      </c>
      <c r="C58" s="38" t="inlineStr">
        <is>
          <t>Bruna Carvalho</t>
        </is>
      </c>
      <c r="D58" s="38" t="inlineStr">
        <is>
          <t>Sim</t>
        </is>
      </c>
      <c r="E58" s="38" t="inlineStr">
        <is>
          <t>Sim</t>
        </is>
      </c>
      <c r="F58" s="38" t="inlineStr">
        <is>
          <t>Sim</t>
        </is>
      </c>
      <c r="G58" s="38" t="inlineStr">
        <is>
          <t>Sim</t>
        </is>
      </c>
      <c r="H58" s="38" t="inlineStr">
        <is>
          <t>Sim</t>
        </is>
      </c>
      <c r="I58" s="38" t="inlineStr">
        <is>
          <t>Sim</t>
        </is>
      </c>
      <c r="J58" s="38" t="n"/>
      <c r="K58" s="38" t="n"/>
      <c r="L58" s="38" t="inlineStr">
        <is>
          <t>Não</t>
        </is>
      </c>
      <c r="M58" s="38" t="inlineStr">
        <is>
          <t>Sim</t>
        </is>
      </c>
      <c r="N58" s="38" t="inlineStr">
        <is>
          <t>Sim</t>
        </is>
      </c>
      <c r="O58" s="38" t="inlineStr">
        <is>
          <t>Sim</t>
        </is>
      </c>
      <c r="P58" s="38" t="inlineStr">
        <is>
          <t>Sim</t>
        </is>
      </c>
      <c r="Q58" s="38" t="inlineStr">
        <is>
          <t>Sim</t>
        </is>
      </c>
      <c r="R58" s="38" t="n"/>
      <c r="S58" s="38" t="n"/>
      <c r="T58" s="26">
        <f>IF(A58="","",IFERROR(COUNTIF(D58:K58,"Sim")/(Config!$B$19-COUNTIF(D58:K58,"N/A")),""))</f>
        <v>1</v>
      </c>
      <c r="U58" s="26">
        <f>IF(A58="","",IFERROR(COUNTIF(L58:S58,"Sim")/(Config!$D$19-COUNTIF(L58:S58,"N/A")),""))</f>
        <v>0.833333333333333</v>
      </c>
      <c r="V58" s="24">
        <f>IF(A58="","",MAX(0,Config!$B$19-COUNTIF(D58:K58,"Sim")-COUNTIF(D58:K58,"N/A")))</f>
        <v>0</v>
      </c>
      <c r="W58" s="24">
        <f>IF(A58="","",MAX(0,Config!$D$19-COUNTIF(L58:S58,"Sim")-COUNTIF(L58:S58,"N/A")))</f>
        <v>1</v>
      </c>
      <c r="X58" s="24">
        <f>IF(A58="","",V58+W58)</f>
        <v>1</v>
      </c>
      <c r="Y58" s="29" t="str">
        <f>IF(OR(A58="",AA58=""),"",LEFT(AA58,LEN(AA58)-2))</f>
        <v>Caixa do dia fechado e conferido (Pix, cartão, dinheiro)</v>
      </c>
      <c r="Z58" s="39">
        <f>IF(OR(A58="",X58=0),0,X58*100000+A58/100000)</f>
        <v>100000.46248</v>
      </c>
      <c r="AA58" s="39" t="str">
        <f>IF(A58="","",IF(AND(Config!$B$10&lt;&gt;"",D58&lt;&gt;"Sim",D58&lt;&gt;"N/A"),Config!$B$10&amp;"; ","")&amp;IF(AND(Config!$B$11&lt;&gt;"",E58&lt;&gt;"Sim",E58&lt;&gt;"N/A"),Config!$B$11&amp;"; ","")&amp;IF(AND(Config!$B$12&lt;&gt;"",F58&lt;&gt;"Sim",F58&lt;&gt;"N/A"),Config!$B$12&amp;"; ","")&amp;IF(AND(Config!$B$13&lt;&gt;"",G58&lt;&gt;"Sim",G58&lt;&gt;"N/A"),Config!$B$13&amp;"; ","")&amp;IF(AND(Config!$B$14&lt;&gt;"",H58&lt;&gt;"Sim",H58&lt;&gt;"N/A"),Config!$B$14&amp;"; ","")&amp;IF(AND(Config!$B$15&lt;&gt;"",I58&lt;&gt;"Sim",I58&lt;&gt;"N/A"),Config!$B$15&amp;"; ","")&amp;IF(AND(Config!$B$16&lt;&gt;"",J58&lt;&gt;"Sim",J58&lt;&gt;"N/A"),Config!$B$16&amp;"; ","")&amp;IF(AND(Config!$B$17&lt;&gt;"",K58&lt;&gt;"Sim",K58&lt;&gt;"N/A"),Config!$B$17&amp;"; ","")&amp;IF(AND(Config!$D$10&lt;&gt;"",L58&lt;&gt;"Sim",L58&lt;&gt;"N/A"),Config!$D$10&amp;"; ","")&amp;IF(AND(Config!$D$11&lt;&gt;"",M58&lt;&gt;"Sim",M58&lt;&gt;"N/A"),Config!$D$11&amp;"; ","")&amp;IF(AND(Config!$D$12&lt;&gt;"",N58&lt;&gt;"Sim",N58&lt;&gt;"N/A"),Config!$D$12&amp;"; ","")&amp;IF(AND(Config!$D$13&lt;&gt;"",O58&lt;&gt;"Sim",O58&lt;&gt;"N/A"),Config!$D$13&amp;"; ","")&amp;IF(AND(Config!$D$14&lt;&gt;"",P58&lt;&gt;"Sim",P58&lt;&gt;"N/A"),Config!$D$14&amp;"; ","")&amp;IF(AND(Config!$D$15&lt;&gt;"",Q58&lt;&gt;"Sim",Q58&lt;&gt;"N/A"),Config!$D$15&amp;"; ","")&amp;IF(AND(Config!$D$16&lt;&gt;"",R58&lt;&gt;"Sim",R58&lt;&gt;"N/A"),Config!$D$16&amp;"; ","")&amp;IF(AND(Config!$D$17&lt;&gt;"",S58&lt;&gt;"Sim",S58&lt;&gt;"N/A"),Config!$D$17&amp;"; ",""))</f>
        <v>Caixa do dia fechado e conferido (Pix, cartão, dinheiro); </v>
      </c>
      <c r="AB58" s="39">
        <f>IF(A58="",0,COUNTIF($A$5:$A$304,"&gt;"&amp;A58)+1)</f>
        <v>20</v>
      </c>
    </row>
    <row r="59">
      <c r="A59" s="37" t="n">
        <v>46251</v>
      </c>
      <c r="B59" s="24" t="str">
        <f>IF(A59="","",CHOOSE(WEEKDAY(A59,2),"Segunda","Terça","Quarta","Quinta","Sexta","Sábado","Domingo"))</f>
        <v>Segunda</v>
      </c>
      <c r="C59" s="38" t="inlineStr">
        <is>
          <t>Bruna Carvalho</t>
        </is>
      </c>
      <c r="D59" s="38" t="inlineStr">
        <is>
          <t>Sim</t>
        </is>
      </c>
      <c r="E59" s="38" t="inlineStr">
        <is>
          <t>Sim</t>
        </is>
      </c>
      <c r="F59" s="38" t="inlineStr">
        <is>
          <t>Sim</t>
        </is>
      </c>
      <c r="G59" s="38" t="inlineStr">
        <is>
          <t>Sim</t>
        </is>
      </c>
      <c r="H59" s="38" t="inlineStr">
        <is>
          <t>Sim</t>
        </is>
      </c>
      <c r="I59" s="38" t="inlineStr">
        <is>
          <t>N/A</t>
        </is>
      </c>
      <c r="J59" s="38" t="n"/>
      <c r="K59" s="38" t="n"/>
      <c r="L59" s="38" t="inlineStr">
        <is>
          <t>Sim</t>
        </is>
      </c>
      <c r="M59" s="38" t="inlineStr">
        <is>
          <t>Sim</t>
        </is>
      </c>
      <c r="N59" s="38" t="inlineStr">
        <is>
          <t>Sim</t>
        </is>
      </c>
      <c r="O59" s="38" t="inlineStr">
        <is>
          <t>Sim</t>
        </is>
      </c>
      <c r="P59" s="38" t="inlineStr">
        <is>
          <t>Sim</t>
        </is>
      </c>
      <c r="Q59" s="38" t="inlineStr">
        <is>
          <t>Sim</t>
        </is>
      </c>
      <c r="R59" s="38" t="n"/>
      <c r="S59" s="38" t="n"/>
      <c r="T59" s="26">
        <f>IF(A59="","",IFERROR(COUNTIF(D59:K59,"Sim")/(Config!$B$19-COUNTIF(D59:K59,"N/A")),""))</f>
        <v>1</v>
      </c>
      <c r="U59" s="26">
        <f>IF(A59="","",IFERROR(COUNTIF(L59:S59,"Sim")/(Config!$D$19-COUNTIF(L59:S59,"N/A")),""))</f>
        <v>1</v>
      </c>
      <c r="V59" s="24">
        <f>IF(A59="","",MAX(0,Config!$B$19-COUNTIF(D59:K59,"Sim")-COUNTIF(D59:K59,"N/A")))</f>
        <v>0</v>
      </c>
      <c r="W59" s="24">
        <f>IF(A59="","",MAX(0,Config!$D$19-COUNTIF(L59:S59,"Sim")-COUNTIF(L59:S59,"N/A")))</f>
        <v>0</v>
      </c>
      <c r="X59" s="24">
        <f>IF(A59="","",V59+W59)</f>
        <v>0</v>
      </c>
      <c r="Y59" s="29">
        <f>IF(OR(A59="",AA59=""),"",LEFT(AA59,LEN(AA59)-2))</f>
        <v/>
      </c>
      <c r="Z59" s="39">
        <f>IF(OR(A59="",X59=0),0,X59*100000+A59/100000)</f>
        <v>0</v>
      </c>
      <c r="AA59" s="39">
        <f>IF(A59="","",IF(AND(Config!$B$10&lt;&gt;"",D59&lt;&gt;"Sim",D59&lt;&gt;"N/A"),Config!$B$10&amp;"; ","")&amp;IF(AND(Config!$B$11&lt;&gt;"",E59&lt;&gt;"Sim",E59&lt;&gt;"N/A"),Config!$B$11&amp;"; ","")&amp;IF(AND(Config!$B$12&lt;&gt;"",F59&lt;&gt;"Sim",F59&lt;&gt;"N/A"),Config!$B$12&amp;"; ","")&amp;IF(AND(Config!$B$13&lt;&gt;"",G59&lt;&gt;"Sim",G59&lt;&gt;"N/A"),Config!$B$13&amp;"; ","")&amp;IF(AND(Config!$B$14&lt;&gt;"",H59&lt;&gt;"Sim",H59&lt;&gt;"N/A"),Config!$B$14&amp;"; ","")&amp;IF(AND(Config!$B$15&lt;&gt;"",I59&lt;&gt;"Sim",I59&lt;&gt;"N/A"),Config!$B$15&amp;"; ","")&amp;IF(AND(Config!$B$16&lt;&gt;"",J59&lt;&gt;"Sim",J59&lt;&gt;"N/A"),Config!$B$16&amp;"; ","")&amp;IF(AND(Config!$B$17&lt;&gt;"",K59&lt;&gt;"Sim",K59&lt;&gt;"N/A"),Config!$B$17&amp;"; ","")&amp;IF(AND(Config!$D$10&lt;&gt;"",L59&lt;&gt;"Sim",L59&lt;&gt;"N/A"),Config!$D$10&amp;"; ","")&amp;IF(AND(Config!$D$11&lt;&gt;"",M59&lt;&gt;"Sim",M59&lt;&gt;"N/A"),Config!$D$11&amp;"; ","")&amp;IF(AND(Config!$D$12&lt;&gt;"",N59&lt;&gt;"Sim",N59&lt;&gt;"N/A"),Config!$D$12&amp;"; ","")&amp;IF(AND(Config!$D$13&lt;&gt;"",O59&lt;&gt;"Sim",O59&lt;&gt;"N/A"),Config!$D$13&amp;"; ","")&amp;IF(AND(Config!$D$14&lt;&gt;"",P59&lt;&gt;"Sim",P59&lt;&gt;"N/A"),Config!$D$14&amp;"; ","")&amp;IF(AND(Config!$D$15&lt;&gt;"",Q59&lt;&gt;"Sim",Q59&lt;&gt;"N/A"),Config!$D$15&amp;"; ","")&amp;IF(AND(Config!$D$16&lt;&gt;"",R59&lt;&gt;"Sim",R59&lt;&gt;"N/A"),Config!$D$16&amp;"; ","")&amp;IF(AND(Config!$D$17&lt;&gt;"",S59&lt;&gt;"Sim",S59&lt;&gt;"N/A"),Config!$D$17&amp;"; ",""))</f>
        <v/>
      </c>
      <c r="AB59" s="39">
        <f>IF(A59="",0,COUNTIF($A$5:$A$304,"&gt;"&amp;A59)+1)</f>
        <v>19</v>
      </c>
    </row>
    <row r="60">
      <c r="A60" s="37" t="n">
        <v>46252</v>
      </c>
      <c r="B60" s="24" t="str">
        <f>IF(A60="","",CHOOSE(WEEKDAY(A60,2),"Segunda","Terça","Quarta","Quinta","Sexta","Sábado","Domingo"))</f>
        <v>Terça</v>
      </c>
      <c r="C60" s="38" t="inlineStr">
        <is>
          <t>Bruna Carvalho</t>
        </is>
      </c>
      <c r="D60" s="38" t="inlineStr">
        <is>
          <t>Sim</t>
        </is>
      </c>
      <c r="E60" s="38" t="inlineStr">
        <is>
          <t>Sim</t>
        </is>
      </c>
      <c r="F60" s="38" t="inlineStr">
        <is>
          <t>Sim</t>
        </is>
      </c>
      <c r="G60" s="38" t="inlineStr">
        <is>
          <t>Sim</t>
        </is>
      </c>
      <c r="H60" s="38" t="inlineStr">
        <is>
          <t>Sim</t>
        </is>
      </c>
      <c r="I60" s="38" t="inlineStr">
        <is>
          <t>N/A</t>
        </is>
      </c>
      <c r="J60" s="38" t="n"/>
      <c r="K60" s="38" t="n"/>
      <c r="L60" s="38" t="inlineStr">
        <is>
          <t>Sim</t>
        </is>
      </c>
      <c r="M60" s="38" t="inlineStr">
        <is>
          <t>Sim</t>
        </is>
      </c>
      <c r="N60" s="38" t="inlineStr">
        <is>
          <t>Sim</t>
        </is>
      </c>
      <c r="O60" s="38" t="inlineStr">
        <is>
          <t>Sim</t>
        </is>
      </c>
      <c r="P60" s="38" t="inlineStr">
        <is>
          <t>Sim</t>
        </is>
      </c>
      <c r="Q60" s="38" t="inlineStr">
        <is>
          <t>Sim</t>
        </is>
      </c>
      <c r="R60" s="38" t="n"/>
      <c r="S60" s="38" t="n"/>
      <c r="T60" s="26">
        <f>IF(A60="","",IFERROR(COUNTIF(D60:K60,"Sim")/(Config!$B$19-COUNTIF(D60:K60,"N/A")),""))</f>
        <v>1</v>
      </c>
      <c r="U60" s="26">
        <f>IF(A60="","",IFERROR(COUNTIF(L60:S60,"Sim")/(Config!$D$19-COUNTIF(L60:S60,"N/A")),""))</f>
        <v>1</v>
      </c>
      <c r="V60" s="24">
        <f>IF(A60="","",MAX(0,Config!$B$19-COUNTIF(D60:K60,"Sim")-COUNTIF(D60:K60,"N/A")))</f>
        <v>0</v>
      </c>
      <c r="W60" s="24">
        <f>IF(A60="","",MAX(0,Config!$D$19-COUNTIF(L60:S60,"Sim")-COUNTIF(L60:S60,"N/A")))</f>
        <v>0</v>
      </c>
      <c r="X60" s="24">
        <f>IF(A60="","",V60+W60)</f>
        <v>0</v>
      </c>
      <c r="Y60" s="29">
        <f>IF(OR(A60="",AA60=""),"",LEFT(AA60,LEN(AA60)-2))</f>
        <v/>
      </c>
      <c r="Z60" s="39">
        <f>IF(OR(A60="",X60=0),0,X60*100000+A60/100000)</f>
        <v>0</v>
      </c>
      <c r="AA60" s="39">
        <f>IF(A60="","",IF(AND(Config!$B$10&lt;&gt;"",D60&lt;&gt;"Sim",D60&lt;&gt;"N/A"),Config!$B$10&amp;"; ","")&amp;IF(AND(Config!$B$11&lt;&gt;"",E60&lt;&gt;"Sim",E60&lt;&gt;"N/A"),Config!$B$11&amp;"; ","")&amp;IF(AND(Config!$B$12&lt;&gt;"",F60&lt;&gt;"Sim",F60&lt;&gt;"N/A"),Config!$B$12&amp;"; ","")&amp;IF(AND(Config!$B$13&lt;&gt;"",G60&lt;&gt;"Sim",G60&lt;&gt;"N/A"),Config!$B$13&amp;"; ","")&amp;IF(AND(Config!$B$14&lt;&gt;"",H60&lt;&gt;"Sim",H60&lt;&gt;"N/A"),Config!$B$14&amp;"; ","")&amp;IF(AND(Config!$B$15&lt;&gt;"",I60&lt;&gt;"Sim",I60&lt;&gt;"N/A"),Config!$B$15&amp;"; ","")&amp;IF(AND(Config!$B$16&lt;&gt;"",J60&lt;&gt;"Sim",J60&lt;&gt;"N/A"),Config!$B$16&amp;"; ","")&amp;IF(AND(Config!$B$17&lt;&gt;"",K60&lt;&gt;"Sim",K60&lt;&gt;"N/A"),Config!$B$17&amp;"; ","")&amp;IF(AND(Config!$D$10&lt;&gt;"",L60&lt;&gt;"Sim",L60&lt;&gt;"N/A"),Config!$D$10&amp;"; ","")&amp;IF(AND(Config!$D$11&lt;&gt;"",M60&lt;&gt;"Sim",M60&lt;&gt;"N/A"),Config!$D$11&amp;"; ","")&amp;IF(AND(Config!$D$12&lt;&gt;"",N60&lt;&gt;"Sim",N60&lt;&gt;"N/A"),Config!$D$12&amp;"; ","")&amp;IF(AND(Config!$D$13&lt;&gt;"",O60&lt;&gt;"Sim",O60&lt;&gt;"N/A"),Config!$D$13&amp;"; ","")&amp;IF(AND(Config!$D$14&lt;&gt;"",P60&lt;&gt;"Sim",P60&lt;&gt;"N/A"),Config!$D$14&amp;"; ","")&amp;IF(AND(Config!$D$15&lt;&gt;"",Q60&lt;&gt;"Sim",Q60&lt;&gt;"N/A"),Config!$D$15&amp;"; ","")&amp;IF(AND(Config!$D$16&lt;&gt;"",R60&lt;&gt;"Sim",R60&lt;&gt;"N/A"),Config!$D$16&amp;"; ","")&amp;IF(AND(Config!$D$17&lt;&gt;"",S60&lt;&gt;"Sim",S60&lt;&gt;"N/A"),Config!$D$17&amp;"; ",""))</f>
        <v/>
      </c>
      <c r="AB60" s="39">
        <f>IF(A60="",0,COUNTIF($A$5:$A$304,"&gt;"&amp;A60)+1)</f>
        <v>18</v>
      </c>
    </row>
    <row r="61">
      <c r="A61" s="37" t="n">
        <v>46253</v>
      </c>
      <c r="B61" s="24" t="str">
        <f>IF(A61="","",CHOOSE(WEEKDAY(A61,2),"Segunda","Terça","Quarta","Quinta","Sexta","Sábado","Domingo"))</f>
        <v>Quarta</v>
      </c>
      <c r="C61" s="38" t="inlineStr">
        <is>
          <t>Bruna Carvalho</t>
        </is>
      </c>
      <c r="D61" s="38" t="inlineStr">
        <is>
          <t>Sim</t>
        </is>
      </c>
      <c r="E61" s="38" t="inlineStr">
        <is>
          <t>Sim</t>
        </is>
      </c>
      <c r="F61" s="38" t="inlineStr">
        <is>
          <t>Sim</t>
        </is>
      </c>
      <c r="G61" s="38" t="inlineStr">
        <is>
          <t>Sim</t>
        </is>
      </c>
      <c r="H61" s="38" t="inlineStr">
        <is>
          <t>Sim</t>
        </is>
      </c>
      <c r="I61" s="38" t="inlineStr">
        <is>
          <t>N/A</t>
        </is>
      </c>
      <c r="J61" s="38" t="n"/>
      <c r="K61" s="38" t="n"/>
      <c r="L61" s="38" t="inlineStr">
        <is>
          <t>Sim</t>
        </is>
      </c>
      <c r="M61" s="38" t="inlineStr">
        <is>
          <t>Não</t>
        </is>
      </c>
      <c r="N61" s="38" t="inlineStr">
        <is>
          <t>Sim</t>
        </is>
      </c>
      <c r="O61" s="38" t="inlineStr">
        <is>
          <t>Sim</t>
        </is>
      </c>
      <c r="P61" s="38" t="inlineStr">
        <is>
          <t>Sim</t>
        </is>
      </c>
      <c r="Q61" s="38" t="inlineStr">
        <is>
          <t>Sim</t>
        </is>
      </c>
      <c r="R61" s="38" t="n"/>
      <c r="S61" s="38" t="n"/>
      <c r="T61" s="26">
        <f>IF(A61="","",IFERROR(COUNTIF(D61:K61,"Sim")/(Config!$B$19-COUNTIF(D61:K61,"N/A")),""))</f>
        <v>1</v>
      </c>
      <c r="U61" s="26">
        <f>IF(A61="","",IFERROR(COUNTIF(L61:S61,"Sim")/(Config!$D$19-COUNTIF(L61:S61,"N/A")),""))</f>
        <v>0.833333333333333</v>
      </c>
      <c r="V61" s="24">
        <f>IF(A61="","",MAX(0,Config!$B$19-COUNTIF(D61:K61,"Sim")-COUNTIF(D61:K61,"N/A")))</f>
        <v>0</v>
      </c>
      <c r="W61" s="24">
        <f>IF(A61="","",MAX(0,Config!$D$19-COUNTIF(L61:S61,"Sim")-COUNTIF(L61:S61,"N/A")))</f>
        <v>1</v>
      </c>
      <c r="X61" s="24">
        <f>IF(A61="","",V61+W61)</f>
        <v>1</v>
      </c>
      <c r="Y61" s="29" t="str">
        <f>IF(OR(A61="",AA61=""),"",LEFT(AA61,LEN(AA61)-2))</f>
        <v>Fechamento do dia lançado no Caixa (09)</v>
      </c>
      <c r="Z61" s="39">
        <f>IF(OR(A61="",X61=0),0,X61*100000+A61/100000)</f>
        <v>100000.46253</v>
      </c>
      <c r="AA61" s="39" t="str">
        <f>IF(A61="","",IF(AND(Config!$B$10&lt;&gt;"",D61&lt;&gt;"Sim",D61&lt;&gt;"N/A"),Config!$B$10&amp;"; ","")&amp;IF(AND(Config!$B$11&lt;&gt;"",E61&lt;&gt;"Sim",E61&lt;&gt;"N/A"),Config!$B$11&amp;"; ","")&amp;IF(AND(Config!$B$12&lt;&gt;"",F61&lt;&gt;"Sim",F61&lt;&gt;"N/A"),Config!$B$12&amp;"; ","")&amp;IF(AND(Config!$B$13&lt;&gt;"",G61&lt;&gt;"Sim",G61&lt;&gt;"N/A"),Config!$B$13&amp;"; ","")&amp;IF(AND(Config!$B$14&lt;&gt;"",H61&lt;&gt;"Sim",H61&lt;&gt;"N/A"),Config!$B$14&amp;"; ","")&amp;IF(AND(Config!$B$15&lt;&gt;"",I61&lt;&gt;"Sim",I61&lt;&gt;"N/A"),Config!$B$15&amp;"; ","")&amp;IF(AND(Config!$B$16&lt;&gt;"",J61&lt;&gt;"Sim",J61&lt;&gt;"N/A"),Config!$B$16&amp;"; ","")&amp;IF(AND(Config!$B$17&lt;&gt;"",K61&lt;&gt;"Sim",K61&lt;&gt;"N/A"),Config!$B$17&amp;"; ","")&amp;IF(AND(Config!$D$10&lt;&gt;"",L61&lt;&gt;"Sim",L61&lt;&gt;"N/A"),Config!$D$10&amp;"; ","")&amp;IF(AND(Config!$D$11&lt;&gt;"",M61&lt;&gt;"Sim",M61&lt;&gt;"N/A"),Config!$D$11&amp;"; ","")&amp;IF(AND(Config!$D$12&lt;&gt;"",N61&lt;&gt;"Sim",N61&lt;&gt;"N/A"),Config!$D$12&amp;"; ","")&amp;IF(AND(Config!$D$13&lt;&gt;"",O61&lt;&gt;"Sim",O61&lt;&gt;"N/A"),Config!$D$13&amp;"; ","")&amp;IF(AND(Config!$D$14&lt;&gt;"",P61&lt;&gt;"Sim",P61&lt;&gt;"N/A"),Config!$D$14&amp;"; ","")&amp;IF(AND(Config!$D$15&lt;&gt;"",Q61&lt;&gt;"Sim",Q61&lt;&gt;"N/A"),Config!$D$15&amp;"; ","")&amp;IF(AND(Config!$D$16&lt;&gt;"",R61&lt;&gt;"Sim",R61&lt;&gt;"N/A"),Config!$D$16&amp;"; ","")&amp;IF(AND(Config!$D$17&lt;&gt;"",S61&lt;&gt;"Sim",S61&lt;&gt;"N/A"),Config!$D$17&amp;"; ",""))</f>
        <v>Fechamento do dia lançado no Caixa (09); </v>
      </c>
      <c r="AB61" s="39">
        <f>IF(A61="",0,COUNTIF($A$5:$A$304,"&gt;"&amp;A61)+1)</f>
        <v>17</v>
      </c>
    </row>
    <row r="62">
      <c r="A62" s="37" t="n">
        <v>46254</v>
      </c>
      <c r="B62" s="24" t="str">
        <f>IF(A62="","",CHOOSE(WEEKDAY(A62,2),"Segunda","Terça","Quarta","Quinta","Sexta","Sábado","Domingo"))</f>
        <v>Quinta</v>
      </c>
      <c r="C62" s="38" t="inlineStr">
        <is>
          <t>Bruna Carvalho</t>
        </is>
      </c>
      <c r="D62" s="38" t="inlineStr">
        <is>
          <t>Sim</t>
        </is>
      </c>
      <c r="E62" s="38" t="inlineStr">
        <is>
          <t>Sim</t>
        </is>
      </c>
      <c r="F62" s="38" t="inlineStr">
        <is>
          <t>Sim</t>
        </is>
      </c>
      <c r="G62" s="38" t="inlineStr">
        <is>
          <t>Sim</t>
        </is>
      </c>
      <c r="H62" s="38" t="inlineStr">
        <is>
          <t>Sim</t>
        </is>
      </c>
      <c r="I62" s="38" t="inlineStr">
        <is>
          <t>N/A</t>
        </is>
      </c>
      <c r="J62" s="38" t="n"/>
      <c r="K62" s="38" t="n"/>
      <c r="L62" s="38" t="inlineStr">
        <is>
          <t>Sim</t>
        </is>
      </c>
      <c r="M62" s="38" t="inlineStr">
        <is>
          <t>Sim</t>
        </is>
      </c>
      <c r="N62" s="38" t="inlineStr">
        <is>
          <t>Sim</t>
        </is>
      </c>
      <c r="O62" s="38" t="inlineStr">
        <is>
          <t>Sim</t>
        </is>
      </c>
      <c r="P62" s="38" t="inlineStr">
        <is>
          <t>Sim</t>
        </is>
      </c>
      <c r="Q62" s="38" t="inlineStr">
        <is>
          <t>Sim</t>
        </is>
      </c>
      <c r="R62" s="38" t="n"/>
      <c r="S62" s="38" t="n"/>
      <c r="T62" s="26">
        <f>IF(A62="","",IFERROR(COUNTIF(D62:K62,"Sim")/(Config!$B$19-COUNTIF(D62:K62,"N/A")),""))</f>
        <v>1</v>
      </c>
      <c r="U62" s="26">
        <f>IF(A62="","",IFERROR(COUNTIF(L62:S62,"Sim")/(Config!$D$19-COUNTIF(L62:S62,"N/A")),""))</f>
        <v>1</v>
      </c>
      <c r="V62" s="24">
        <f>IF(A62="","",MAX(0,Config!$B$19-COUNTIF(D62:K62,"Sim")-COUNTIF(D62:K62,"N/A")))</f>
        <v>0</v>
      </c>
      <c r="W62" s="24">
        <f>IF(A62="","",MAX(0,Config!$D$19-COUNTIF(L62:S62,"Sim")-COUNTIF(L62:S62,"N/A")))</f>
        <v>0</v>
      </c>
      <c r="X62" s="24">
        <f>IF(A62="","",V62+W62)</f>
        <v>0</v>
      </c>
      <c r="Y62" s="29">
        <f>IF(OR(A62="",AA62=""),"",LEFT(AA62,LEN(AA62)-2))</f>
        <v/>
      </c>
      <c r="Z62" s="39">
        <f>IF(OR(A62="",X62=0),0,X62*100000+A62/100000)</f>
        <v>0</v>
      </c>
      <c r="AA62" s="39">
        <f>IF(A62="","",IF(AND(Config!$B$10&lt;&gt;"",D62&lt;&gt;"Sim",D62&lt;&gt;"N/A"),Config!$B$10&amp;"; ","")&amp;IF(AND(Config!$B$11&lt;&gt;"",E62&lt;&gt;"Sim",E62&lt;&gt;"N/A"),Config!$B$11&amp;"; ","")&amp;IF(AND(Config!$B$12&lt;&gt;"",F62&lt;&gt;"Sim",F62&lt;&gt;"N/A"),Config!$B$12&amp;"; ","")&amp;IF(AND(Config!$B$13&lt;&gt;"",G62&lt;&gt;"Sim",G62&lt;&gt;"N/A"),Config!$B$13&amp;"; ","")&amp;IF(AND(Config!$B$14&lt;&gt;"",H62&lt;&gt;"Sim",H62&lt;&gt;"N/A"),Config!$B$14&amp;"; ","")&amp;IF(AND(Config!$B$15&lt;&gt;"",I62&lt;&gt;"Sim",I62&lt;&gt;"N/A"),Config!$B$15&amp;"; ","")&amp;IF(AND(Config!$B$16&lt;&gt;"",J62&lt;&gt;"Sim",J62&lt;&gt;"N/A"),Config!$B$16&amp;"; ","")&amp;IF(AND(Config!$B$17&lt;&gt;"",K62&lt;&gt;"Sim",K62&lt;&gt;"N/A"),Config!$B$17&amp;"; ","")&amp;IF(AND(Config!$D$10&lt;&gt;"",L62&lt;&gt;"Sim",L62&lt;&gt;"N/A"),Config!$D$10&amp;"; ","")&amp;IF(AND(Config!$D$11&lt;&gt;"",M62&lt;&gt;"Sim",M62&lt;&gt;"N/A"),Config!$D$11&amp;"; ","")&amp;IF(AND(Config!$D$12&lt;&gt;"",N62&lt;&gt;"Sim",N62&lt;&gt;"N/A"),Config!$D$12&amp;"; ","")&amp;IF(AND(Config!$D$13&lt;&gt;"",O62&lt;&gt;"Sim",O62&lt;&gt;"N/A"),Config!$D$13&amp;"; ","")&amp;IF(AND(Config!$D$14&lt;&gt;"",P62&lt;&gt;"Sim",P62&lt;&gt;"N/A"),Config!$D$14&amp;"; ","")&amp;IF(AND(Config!$D$15&lt;&gt;"",Q62&lt;&gt;"Sim",Q62&lt;&gt;"N/A"),Config!$D$15&amp;"; ","")&amp;IF(AND(Config!$D$16&lt;&gt;"",R62&lt;&gt;"Sim",R62&lt;&gt;"N/A"),Config!$D$16&amp;"; ","")&amp;IF(AND(Config!$D$17&lt;&gt;"",S62&lt;&gt;"Sim",S62&lt;&gt;"N/A"),Config!$D$17&amp;"; ",""))</f>
        <v/>
      </c>
      <c r="AB62" s="39">
        <f>IF(A62="",0,COUNTIF($A$5:$A$304,"&gt;"&amp;A62)+1)</f>
        <v>16</v>
      </c>
    </row>
    <row r="63">
      <c r="A63" s="37" t="n">
        <v>46255</v>
      </c>
      <c r="B63" s="24" t="str">
        <f>IF(A63="","",CHOOSE(WEEKDAY(A63,2),"Segunda","Terça","Quarta","Quinta","Sexta","Sábado","Domingo"))</f>
        <v>Sexta</v>
      </c>
      <c r="C63" s="38" t="inlineStr">
        <is>
          <t>Bruna Carvalho</t>
        </is>
      </c>
      <c r="D63" s="38" t="inlineStr">
        <is>
          <t>Sim</t>
        </is>
      </c>
      <c r="E63" s="38" t="inlineStr">
        <is>
          <t>Não</t>
        </is>
      </c>
      <c r="F63" s="38" t="inlineStr">
        <is>
          <t>Sim</t>
        </is>
      </c>
      <c r="G63" s="38" t="inlineStr">
        <is>
          <t>Sim</t>
        </is>
      </c>
      <c r="H63" s="38" t="inlineStr">
        <is>
          <t>Sim</t>
        </is>
      </c>
      <c r="I63" s="38" t="inlineStr">
        <is>
          <t>Sim</t>
        </is>
      </c>
      <c r="J63" s="38" t="n"/>
      <c r="K63" s="38" t="n"/>
      <c r="L63" s="38" t="inlineStr">
        <is>
          <t>Sim</t>
        </is>
      </c>
      <c r="M63" s="38" t="inlineStr">
        <is>
          <t>Não</t>
        </is>
      </c>
      <c r="N63" s="38" t="inlineStr">
        <is>
          <t>Sim</t>
        </is>
      </c>
      <c r="O63" s="38" t="inlineStr">
        <is>
          <t>Sim</t>
        </is>
      </c>
      <c r="P63" s="38" t="inlineStr">
        <is>
          <t>Sim</t>
        </is>
      </c>
      <c r="Q63" s="38" t="inlineStr">
        <is>
          <t>Sim</t>
        </is>
      </c>
      <c r="R63" s="38" t="n"/>
      <c r="S63" s="38" t="n"/>
      <c r="T63" s="26">
        <f>IF(A63="","",IFERROR(COUNTIF(D63:K63,"Sim")/(Config!$B$19-COUNTIF(D63:K63,"N/A")),""))</f>
        <v>0.833333333333333</v>
      </c>
      <c r="U63" s="26">
        <f>IF(A63="","",IFERROR(COUNTIF(L63:S63,"Sim")/(Config!$D$19-COUNTIF(L63:S63,"N/A")),""))</f>
        <v>0.833333333333333</v>
      </c>
      <c r="V63" s="24">
        <f>IF(A63="","",MAX(0,Config!$B$19-COUNTIF(D63:K63,"Sim")-COUNTIF(D63:K63,"N/A")))</f>
        <v>1</v>
      </c>
      <c r="W63" s="24">
        <f>IF(A63="","",MAX(0,Config!$D$19-COUNTIF(L63:S63,"Sim")-COUNTIF(L63:S63,"N/A")))</f>
        <v>1</v>
      </c>
      <c r="X63" s="24">
        <f>IF(A63="","",V63+W63)</f>
        <v>2</v>
      </c>
      <c r="Y63" s="29" t="str">
        <f>IF(OR(A63="",AA63=""),"",LEFT(AA63,LEN(AA63)-2))</f>
        <v>Faltas e cancelamentos de ontem registrados na agenda; Fechamento do dia lançado no Caixa (09)</v>
      </c>
      <c r="Z63" s="39">
        <f>IF(OR(A63="",X63=0),0,X63*100000+A63/100000)</f>
        <v>200000.46255</v>
      </c>
      <c r="AA63" s="39" t="str">
        <f>IF(A63="","",IF(AND(Config!$B$10&lt;&gt;"",D63&lt;&gt;"Sim",D63&lt;&gt;"N/A"),Config!$B$10&amp;"; ","")&amp;IF(AND(Config!$B$11&lt;&gt;"",E63&lt;&gt;"Sim",E63&lt;&gt;"N/A"),Config!$B$11&amp;"; ","")&amp;IF(AND(Config!$B$12&lt;&gt;"",F63&lt;&gt;"Sim",F63&lt;&gt;"N/A"),Config!$B$12&amp;"; ","")&amp;IF(AND(Config!$B$13&lt;&gt;"",G63&lt;&gt;"Sim",G63&lt;&gt;"N/A"),Config!$B$13&amp;"; ","")&amp;IF(AND(Config!$B$14&lt;&gt;"",H63&lt;&gt;"Sim",H63&lt;&gt;"N/A"),Config!$B$14&amp;"; ","")&amp;IF(AND(Config!$B$15&lt;&gt;"",I63&lt;&gt;"Sim",I63&lt;&gt;"N/A"),Config!$B$15&amp;"; ","")&amp;IF(AND(Config!$B$16&lt;&gt;"",J63&lt;&gt;"Sim",J63&lt;&gt;"N/A"),Config!$B$16&amp;"; ","")&amp;IF(AND(Config!$B$17&lt;&gt;"",K63&lt;&gt;"Sim",K63&lt;&gt;"N/A"),Config!$B$17&amp;"; ","")&amp;IF(AND(Config!$D$10&lt;&gt;"",L63&lt;&gt;"Sim",L63&lt;&gt;"N/A"),Config!$D$10&amp;"; ","")&amp;IF(AND(Config!$D$11&lt;&gt;"",M63&lt;&gt;"Sim",M63&lt;&gt;"N/A"),Config!$D$11&amp;"; ","")&amp;IF(AND(Config!$D$12&lt;&gt;"",N63&lt;&gt;"Sim",N63&lt;&gt;"N/A"),Config!$D$12&amp;"; ","")&amp;IF(AND(Config!$D$13&lt;&gt;"",O63&lt;&gt;"Sim",O63&lt;&gt;"N/A"),Config!$D$13&amp;"; ","")&amp;IF(AND(Config!$D$14&lt;&gt;"",P63&lt;&gt;"Sim",P63&lt;&gt;"N/A"),Config!$D$14&amp;"; ","")&amp;IF(AND(Config!$D$15&lt;&gt;"",Q63&lt;&gt;"Sim",Q63&lt;&gt;"N/A"),Config!$D$15&amp;"; ","")&amp;IF(AND(Config!$D$16&lt;&gt;"",R63&lt;&gt;"Sim",R63&lt;&gt;"N/A"),Config!$D$16&amp;"; ","")&amp;IF(AND(Config!$D$17&lt;&gt;"",S63&lt;&gt;"Sim",S63&lt;&gt;"N/A"),Config!$D$17&amp;"; ",""))</f>
        <v>Faltas e cancelamentos de ontem registrados na agenda; Fechamento do dia lançado no Caixa (09); </v>
      </c>
      <c r="AB63" s="39">
        <f>IF(A63="",0,COUNTIF($A$5:$A$304,"&gt;"&amp;A63)+1)</f>
        <v>15</v>
      </c>
    </row>
    <row r="64">
      <c r="A64" s="37" t="n">
        <v>46258</v>
      </c>
      <c r="B64" s="24" t="str">
        <f>IF(A64="","",CHOOSE(WEEKDAY(A64,2),"Segunda","Terça","Quarta","Quinta","Sexta","Sábado","Domingo"))</f>
        <v>Segunda</v>
      </c>
      <c r="C64" s="38" t="inlineStr">
        <is>
          <t>Bruna Carvalho</t>
        </is>
      </c>
      <c r="D64" s="38" t="inlineStr">
        <is>
          <t>Sim</t>
        </is>
      </c>
      <c r="E64" s="38" t="inlineStr">
        <is>
          <t>Sim</t>
        </is>
      </c>
      <c r="F64" s="38" t="inlineStr">
        <is>
          <t>Sim</t>
        </is>
      </c>
      <c r="G64" s="38" t="inlineStr">
        <is>
          <t>Sim</t>
        </is>
      </c>
      <c r="H64" s="38" t="inlineStr">
        <is>
          <t>Sim</t>
        </is>
      </c>
      <c r="I64" s="38" t="inlineStr">
        <is>
          <t>N/A</t>
        </is>
      </c>
      <c r="J64" s="38" t="n"/>
      <c r="K64" s="38" t="n"/>
      <c r="L64" s="38" t="inlineStr">
        <is>
          <t>Sim</t>
        </is>
      </c>
      <c r="M64" s="38" t="inlineStr">
        <is>
          <t>Não</t>
        </is>
      </c>
      <c r="N64" s="38" t="inlineStr">
        <is>
          <t>Não</t>
        </is>
      </c>
      <c r="O64" s="38" t="inlineStr">
        <is>
          <t>Sim</t>
        </is>
      </c>
      <c r="P64" s="38" t="inlineStr">
        <is>
          <t>Sim</t>
        </is>
      </c>
      <c r="Q64" s="38" t="inlineStr">
        <is>
          <t>Sim</t>
        </is>
      </c>
      <c r="R64" s="38" t="n"/>
      <c r="S64" s="38" t="n"/>
      <c r="T64" s="26">
        <f>IF(A64="","",IFERROR(COUNTIF(D64:K64,"Sim")/(Config!$B$19-COUNTIF(D64:K64,"N/A")),""))</f>
        <v>1</v>
      </c>
      <c r="U64" s="26">
        <f>IF(A64="","",IFERROR(COUNTIF(L64:S64,"Sim")/(Config!$D$19-COUNTIF(L64:S64,"N/A")),""))</f>
        <v>0.666666666666667</v>
      </c>
      <c r="V64" s="24">
        <f>IF(A64="","",MAX(0,Config!$B$19-COUNTIF(D64:K64,"Sim")-COUNTIF(D64:K64,"N/A")))</f>
        <v>0</v>
      </c>
      <c r="W64" s="24">
        <f>IF(A64="","",MAX(0,Config!$D$19-COUNTIF(L64:S64,"Sim")-COUNTIF(L64:S64,"N/A")))</f>
        <v>2</v>
      </c>
      <c r="X64" s="24">
        <f>IF(A64="","",V64+W64)</f>
        <v>2</v>
      </c>
      <c r="Y64" s="29" t="str">
        <f>IF(OR(A64="",AA64=""),"",LEFT(AA64,LEN(AA64)-2))</f>
        <v>Fechamento do dia lançado no Caixa (09); Situação de cada horário marcada (realizado, falta, cancelado)</v>
      </c>
      <c r="Z64" s="39">
        <f>IF(OR(A64="",X64=0),0,X64*100000+A64/100000)</f>
        <v>200000.46258</v>
      </c>
      <c r="AA64" s="39" t="str">
        <f>IF(A64="","",IF(AND(Config!$B$10&lt;&gt;"",D64&lt;&gt;"Sim",D64&lt;&gt;"N/A"),Config!$B$10&amp;"; ","")&amp;IF(AND(Config!$B$11&lt;&gt;"",E64&lt;&gt;"Sim",E64&lt;&gt;"N/A"),Config!$B$11&amp;"; ","")&amp;IF(AND(Config!$B$12&lt;&gt;"",F64&lt;&gt;"Sim",F64&lt;&gt;"N/A"),Config!$B$12&amp;"; ","")&amp;IF(AND(Config!$B$13&lt;&gt;"",G64&lt;&gt;"Sim",G64&lt;&gt;"N/A"),Config!$B$13&amp;"; ","")&amp;IF(AND(Config!$B$14&lt;&gt;"",H64&lt;&gt;"Sim",H64&lt;&gt;"N/A"),Config!$B$14&amp;"; ","")&amp;IF(AND(Config!$B$15&lt;&gt;"",I64&lt;&gt;"Sim",I64&lt;&gt;"N/A"),Config!$B$15&amp;"; ","")&amp;IF(AND(Config!$B$16&lt;&gt;"",J64&lt;&gt;"Sim",J64&lt;&gt;"N/A"),Config!$B$16&amp;"; ","")&amp;IF(AND(Config!$B$17&lt;&gt;"",K64&lt;&gt;"Sim",K64&lt;&gt;"N/A"),Config!$B$17&amp;"; ","")&amp;IF(AND(Config!$D$10&lt;&gt;"",L64&lt;&gt;"Sim",L64&lt;&gt;"N/A"),Config!$D$10&amp;"; ","")&amp;IF(AND(Config!$D$11&lt;&gt;"",M64&lt;&gt;"Sim",M64&lt;&gt;"N/A"),Config!$D$11&amp;"; ","")&amp;IF(AND(Config!$D$12&lt;&gt;"",N64&lt;&gt;"Sim",N64&lt;&gt;"N/A"),Config!$D$12&amp;"; ","")&amp;IF(AND(Config!$D$13&lt;&gt;"",O64&lt;&gt;"Sim",O64&lt;&gt;"N/A"),Config!$D$13&amp;"; ","")&amp;IF(AND(Config!$D$14&lt;&gt;"",P64&lt;&gt;"Sim",P64&lt;&gt;"N/A"),Config!$D$14&amp;"; ","")&amp;IF(AND(Config!$D$15&lt;&gt;"",Q64&lt;&gt;"Sim",Q64&lt;&gt;"N/A"),Config!$D$15&amp;"; ","")&amp;IF(AND(Config!$D$16&lt;&gt;"",R64&lt;&gt;"Sim",R64&lt;&gt;"N/A"),Config!$D$16&amp;"; ","")&amp;IF(AND(Config!$D$17&lt;&gt;"",S64&lt;&gt;"Sim",S64&lt;&gt;"N/A"),Config!$D$17&amp;"; ",""))</f>
        <v>Fechamento do dia lançado no Caixa (09); Situação de cada horário marcada (realizado, falta, cancelado); </v>
      </c>
      <c r="AB64" s="39">
        <f>IF(A64="",0,COUNTIF($A$5:$A$304,"&gt;"&amp;A64)+1)</f>
        <v>14</v>
      </c>
    </row>
    <row r="65">
      <c r="A65" s="37" t="n">
        <v>46259</v>
      </c>
      <c r="B65" s="24" t="str">
        <f>IF(A65="","",CHOOSE(WEEKDAY(A65,2),"Segunda","Terça","Quarta","Quinta","Sexta","Sábado","Domingo"))</f>
        <v>Terça</v>
      </c>
      <c r="C65" s="38" t="inlineStr">
        <is>
          <t>Bruna Carvalho</t>
        </is>
      </c>
      <c r="D65" s="38" t="inlineStr">
        <is>
          <t>Sim</t>
        </is>
      </c>
      <c r="E65" s="38" t="inlineStr">
        <is>
          <t>Sim</t>
        </is>
      </c>
      <c r="F65" s="38" t="inlineStr">
        <is>
          <t>Sim</t>
        </is>
      </c>
      <c r="G65" s="38" t="inlineStr">
        <is>
          <t>Sim</t>
        </is>
      </c>
      <c r="H65" s="38" t="inlineStr">
        <is>
          <t>Sim</t>
        </is>
      </c>
      <c r="I65" s="38" t="inlineStr">
        <is>
          <t>N/A</t>
        </is>
      </c>
      <c r="J65" s="38" t="n"/>
      <c r="K65" s="38" t="n"/>
      <c r="L65" s="38" t="inlineStr">
        <is>
          <t>Sim</t>
        </is>
      </c>
      <c r="M65" s="38" t="inlineStr">
        <is>
          <t>Sim</t>
        </is>
      </c>
      <c r="N65" s="38" t="inlineStr">
        <is>
          <t>Sim</t>
        </is>
      </c>
      <c r="O65" s="38" t="inlineStr">
        <is>
          <t>Sim</t>
        </is>
      </c>
      <c r="P65" s="38" t="inlineStr">
        <is>
          <t>Sim</t>
        </is>
      </c>
      <c r="Q65" s="38" t="inlineStr">
        <is>
          <t>Sim</t>
        </is>
      </c>
      <c r="R65" s="38" t="n"/>
      <c r="S65" s="38" t="n"/>
      <c r="T65" s="26">
        <f>IF(A65="","",IFERROR(COUNTIF(D65:K65,"Sim")/(Config!$B$19-COUNTIF(D65:K65,"N/A")),""))</f>
        <v>1</v>
      </c>
      <c r="U65" s="26">
        <f>IF(A65="","",IFERROR(COUNTIF(L65:S65,"Sim")/(Config!$D$19-COUNTIF(L65:S65,"N/A")),""))</f>
        <v>1</v>
      </c>
      <c r="V65" s="24">
        <f>IF(A65="","",MAX(0,Config!$B$19-COUNTIF(D65:K65,"Sim")-COUNTIF(D65:K65,"N/A")))</f>
        <v>0</v>
      </c>
      <c r="W65" s="24">
        <f>IF(A65="","",MAX(0,Config!$D$19-COUNTIF(L65:S65,"Sim")-COUNTIF(L65:S65,"N/A")))</f>
        <v>0</v>
      </c>
      <c r="X65" s="24">
        <f>IF(A65="","",V65+W65)</f>
        <v>0</v>
      </c>
      <c r="Y65" s="29">
        <f>IF(OR(A65="",AA65=""),"",LEFT(AA65,LEN(AA65)-2))</f>
        <v/>
      </c>
      <c r="Z65" s="39">
        <f>IF(OR(A65="",X65=0),0,X65*100000+A65/100000)</f>
        <v>0</v>
      </c>
      <c r="AA65" s="39">
        <f>IF(A65="","",IF(AND(Config!$B$10&lt;&gt;"",D65&lt;&gt;"Sim",D65&lt;&gt;"N/A"),Config!$B$10&amp;"; ","")&amp;IF(AND(Config!$B$11&lt;&gt;"",E65&lt;&gt;"Sim",E65&lt;&gt;"N/A"),Config!$B$11&amp;"; ","")&amp;IF(AND(Config!$B$12&lt;&gt;"",F65&lt;&gt;"Sim",F65&lt;&gt;"N/A"),Config!$B$12&amp;"; ","")&amp;IF(AND(Config!$B$13&lt;&gt;"",G65&lt;&gt;"Sim",G65&lt;&gt;"N/A"),Config!$B$13&amp;"; ","")&amp;IF(AND(Config!$B$14&lt;&gt;"",H65&lt;&gt;"Sim",H65&lt;&gt;"N/A"),Config!$B$14&amp;"; ","")&amp;IF(AND(Config!$B$15&lt;&gt;"",I65&lt;&gt;"Sim",I65&lt;&gt;"N/A"),Config!$B$15&amp;"; ","")&amp;IF(AND(Config!$B$16&lt;&gt;"",J65&lt;&gt;"Sim",J65&lt;&gt;"N/A"),Config!$B$16&amp;"; ","")&amp;IF(AND(Config!$B$17&lt;&gt;"",K65&lt;&gt;"Sim",K65&lt;&gt;"N/A"),Config!$B$17&amp;"; ","")&amp;IF(AND(Config!$D$10&lt;&gt;"",L65&lt;&gt;"Sim",L65&lt;&gt;"N/A"),Config!$D$10&amp;"; ","")&amp;IF(AND(Config!$D$11&lt;&gt;"",M65&lt;&gt;"Sim",M65&lt;&gt;"N/A"),Config!$D$11&amp;"; ","")&amp;IF(AND(Config!$D$12&lt;&gt;"",N65&lt;&gt;"Sim",N65&lt;&gt;"N/A"),Config!$D$12&amp;"; ","")&amp;IF(AND(Config!$D$13&lt;&gt;"",O65&lt;&gt;"Sim",O65&lt;&gt;"N/A"),Config!$D$13&amp;"; ","")&amp;IF(AND(Config!$D$14&lt;&gt;"",P65&lt;&gt;"Sim",P65&lt;&gt;"N/A"),Config!$D$14&amp;"; ","")&amp;IF(AND(Config!$D$15&lt;&gt;"",Q65&lt;&gt;"Sim",Q65&lt;&gt;"N/A"),Config!$D$15&amp;"; ","")&amp;IF(AND(Config!$D$16&lt;&gt;"",R65&lt;&gt;"Sim",R65&lt;&gt;"N/A"),Config!$D$16&amp;"; ","")&amp;IF(AND(Config!$D$17&lt;&gt;"",S65&lt;&gt;"Sim",S65&lt;&gt;"N/A"),Config!$D$17&amp;"; ",""))</f>
        <v/>
      </c>
      <c r="AB65" s="39">
        <f>IF(A65="",0,COUNTIF($A$5:$A$304,"&gt;"&amp;A65)+1)</f>
        <v>13</v>
      </c>
    </row>
    <row r="66">
      <c r="A66" s="37" t="n">
        <v>46260</v>
      </c>
      <c r="B66" s="24" t="str">
        <f>IF(A66="","",CHOOSE(WEEKDAY(A66,2),"Segunda","Terça","Quarta","Quinta","Sexta","Sábado","Domingo"))</f>
        <v>Quarta</v>
      </c>
      <c r="C66" s="38" t="inlineStr">
        <is>
          <t>Bruna Carvalho</t>
        </is>
      </c>
      <c r="D66" s="38" t="inlineStr">
        <is>
          <t>Sim</t>
        </is>
      </c>
      <c r="E66" s="38" t="inlineStr">
        <is>
          <t>Sim</t>
        </is>
      </c>
      <c r="F66" s="38" t="inlineStr">
        <is>
          <t>Sim</t>
        </is>
      </c>
      <c r="G66" s="38" t="inlineStr">
        <is>
          <t>Sim</t>
        </is>
      </c>
      <c r="H66" s="38" t="inlineStr">
        <is>
          <t>Sim</t>
        </is>
      </c>
      <c r="I66" s="38" t="inlineStr">
        <is>
          <t>N/A</t>
        </is>
      </c>
      <c r="J66" s="38" t="n"/>
      <c r="K66" s="38" t="n"/>
      <c r="L66" s="38" t="inlineStr">
        <is>
          <t>Sim</t>
        </is>
      </c>
      <c r="M66" s="38" t="inlineStr">
        <is>
          <t>Sim</t>
        </is>
      </c>
      <c r="N66" s="38" t="inlineStr">
        <is>
          <t>Sim</t>
        </is>
      </c>
      <c r="O66" s="38" t="inlineStr">
        <is>
          <t>Sim</t>
        </is>
      </c>
      <c r="P66" s="38" t="inlineStr">
        <is>
          <t>Sim</t>
        </is>
      </c>
      <c r="Q66" s="38" t="inlineStr">
        <is>
          <t>Sim</t>
        </is>
      </c>
      <c r="R66" s="38" t="n"/>
      <c r="S66" s="38" t="n"/>
      <c r="T66" s="26">
        <f>IF(A66="","",IFERROR(COUNTIF(D66:K66,"Sim")/(Config!$B$19-COUNTIF(D66:K66,"N/A")),""))</f>
        <v>1</v>
      </c>
      <c r="U66" s="26">
        <f>IF(A66="","",IFERROR(COUNTIF(L66:S66,"Sim")/(Config!$D$19-COUNTIF(L66:S66,"N/A")),""))</f>
        <v>1</v>
      </c>
      <c r="V66" s="24">
        <f>IF(A66="","",MAX(0,Config!$B$19-COUNTIF(D66:K66,"Sim")-COUNTIF(D66:K66,"N/A")))</f>
        <v>0</v>
      </c>
      <c r="W66" s="24">
        <f>IF(A66="","",MAX(0,Config!$D$19-COUNTIF(L66:S66,"Sim")-COUNTIF(L66:S66,"N/A")))</f>
        <v>0</v>
      </c>
      <c r="X66" s="24">
        <f>IF(A66="","",V66+W66)</f>
        <v>0</v>
      </c>
      <c r="Y66" s="29">
        <f>IF(OR(A66="",AA66=""),"",LEFT(AA66,LEN(AA66)-2))</f>
        <v/>
      </c>
      <c r="Z66" s="39">
        <f>IF(OR(A66="",X66=0),0,X66*100000+A66/100000)</f>
        <v>0</v>
      </c>
      <c r="AA66" s="39">
        <f>IF(A66="","",IF(AND(Config!$B$10&lt;&gt;"",D66&lt;&gt;"Sim",D66&lt;&gt;"N/A"),Config!$B$10&amp;"; ","")&amp;IF(AND(Config!$B$11&lt;&gt;"",E66&lt;&gt;"Sim",E66&lt;&gt;"N/A"),Config!$B$11&amp;"; ","")&amp;IF(AND(Config!$B$12&lt;&gt;"",F66&lt;&gt;"Sim",F66&lt;&gt;"N/A"),Config!$B$12&amp;"; ","")&amp;IF(AND(Config!$B$13&lt;&gt;"",G66&lt;&gt;"Sim",G66&lt;&gt;"N/A"),Config!$B$13&amp;"; ","")&amp;IF(AND(Config!$B$14&lt;&gt;"",H66&lt;&gt;"Sim",H66&lt;&gt;"N/A"),Config!$B$14&amp;"; ","")&amp;IF(AND(Config!$B$15&lt;&gt;"",I66&lt;&gt;"Sim",I66&lt;&gt;"N/A"),Config!$B$15&amp;"; ","")&amp;IF(AND(Config!$B$16&lt;&gt;"",J66&lt;&gt;"Sim",J66&lt;&gt;"N/A"),Config!$B$16&amp;"; ","")&amp;IF(AND(Config!$B$17&lt;&gt;"",K66&lt;&gt;"Sim",K66&lt;&gt;"N/A"),Config!$B$17&amp;"; ","")&amp;IF(AND(Config!$D$10&lt;&gt;"",L66&lt;&gt;"Sim",L66&lt;&gt;"N/A"),Config!$D$10&amp;"; ","")&amp;IF(AND(Config!$D$11&lt;&gt;"",M66&lt;&gt;"Sim",M66&lt;&gt;"N/A"),Config!$D$11&amp;"; ","")&amp;IF(AND(Config!$D$12&lt;&gt;"",N66&lt;&gt;"Sim",N66&lt;&gt;"N/A"),Config!$D$12&amp;"; ","")&amp;IF(AND(Config!$D$13&lt;&gt;"",O66&lt;&gt;"Sim",O66&lt;&gt;"N/A"),Config!$D$13&amp;"; ","")&amp;IF(AND(Config!$D$14&lt;&gt;"",P66&lt;&gt;"Sim",P66&lt;&gt;"N/A"),Config!$D$14&amp;"; ","")&amp;IF(AND(Config!$D$15&lt;&gt;"",Q66&lt;&gt;"Sim",Q66&lt;&gt;"N/A"),Config!$D$15&amp;"; ","")&amp;IF(AND(Config!$D$16&lt;&gt;"",R66&lt;&gt;"Sim",R66&lt;&gt;"N/A"),Config!$D$16&amp;"; ","")&amp;IF(AND(Config!$D$17&lt;&gt;"",S66&lt;&gt;"Sim",S66&lt;&gt;"N/A"),Config!$D$17&amp;"; ",""))</f>
        <v/>
      </c>
      <c r="AB66" s="39">
        <f>IF(A66="",0,COUNTIF($A$5:$A$304,"&gt;"&amp;A66)+1)</f>
        <v>12</v>
      </c>
    </row>
    <row r="67">
      <c r="A67" s="37" t="n">
        <v>46261</v>
      </c>
      <c r="B67" s="24" t="str">
        <f>IF(A67="","",CHOOSE(WEEKDAY(A67,2),"Segunda","Terça","Quarta","Quinta","Sexta","Sábado","Domingo"))</f>
        <v>Quinta</v>
      </c>
      <c r="C67" s="38" t="inlineStr">
        <is>
          <t>Bruna Carvalho</t>
        </is>
      </c>
      <c r="D67" s="38" t="inlineStr">
        <is>
          <t>Sim</t>
        </is>
      </c>
      <c r="E67" s="38" t="inlineStr">
        <is>
          <t>Sim</t>
        </is>
      </c>
      <c r="F67" s="38" t="inlineStr">
        <is>
          <t>Sim</t>
        </is>
      </c>
      <c r="G67" s="38" t="inlineStr">
        <is>
          <t>Sim</t>
        </is>
      </c>
      <c r="H67" s="38" t="inlineStr">
        <is>
          <t>Sim</t>
        </is>
      </c>
      <c r="I67" s="38" t="inlineStr">
        <is>
          <t>N/A</t>
        </is>
      </c>
      <c r="J67" s="38" t="n"/>
      <c r="K67" s="38" t="n"/>
      <c r="L67" s="38" t="inlineStr">
        <is>
          <t>Sim</t>
        </is>
      </c>
      <c r="M67" s="38" t="inlineStr">
        <is>
          <t>Sim</t>
        </is>
      </c>
      <c r="N67" s="38" t="inlineStr">
        <is>
          <t>Sim</t>
        </is>
      </c>
      <c r="O67" s="38" t="inlineStr">
        <is>
          <t>Sim</t>
        </is>
      </c>
      <c r="P67" s="38" t="inlineStr">
        <is>
          <t>Sim</t>
        </is>
      </c>
      <c r="Q67" s="38" t="inlineStr">
        <is>
          <t>Sim</t>
        </is>
      </c>
      <c r="R67" s="38" t="n"/>
      <c r="S67" s="38" t="n"/>
      <c r="T67" s="26">
        <f>IF(A67="","",IFERROR(COUNTIF(D67:K67,"Sim")/(Config!$B$19-COUNTIF(D67:K67,"N/A")),""))</f>
        <v>1</v>
      </c>
      <c r="U67" s="26">
        <f>IF(A67="","",IFERROR(COUNTIF(L67:S67,"Sim")/(Config!$D$19-COUNTIF(L67:S67,"N/A")),""))</f>
        <v>1</v>
      </c>
      <c r="V67" s="24">
        <f>IF(A67="","",MAX(0,Config!$B$19-COUNTIF(D67:K67,"Sim")-COUNTIF(D67:K67,"N/A")))</f>
        <v>0</v>
      </c>
      <c r="W67" s="24">
        <f>IF(A67="","",MAX(0,Config!$D$19-COUNTIF(L67:S67,"Sim")-COUNTIF(L67:S67,"N/A")))</f>
        <v>0</v>
      </c>
      <c r="X67" s="24">
        <f>IF(A67="","",V67+W67)</f>
        <v>0</v>
      </c>
      <c r="Y67" s="29">
        <f>IF(OR(A67="",AA67=""),"",LEFT(AA67,LEN(AA67)-2))</f>
        <v/>
      </c>
      <c r="Z67" s="39">
        <f>IF(OR(A67="",X67=0),0,X67*100000+A67/100000)</f>
        <v>0</v>
      </c>
      <c r="AA67" s="39">
        <f>IF(A67="","",IF(AND(Config!$B$10&lt;&gt;"",D67&lt;&gt;"Sim",D67&lt;&gt;"N/A"),Config!$B$10&amp;"; ","")&amp;IF(AND(Config!$B$11&lt;&gt;"",E67&lt;&gt;"Sim",E67&lt;&gt;"N/A"),Config!$B$11&amp;"; ","")&amp;IF(AND(Config!$B$12&lt;&gt;"",F67&lt;&gt;"Sim",F67&lt;&gt;"N/A"),Config!$B$12&amp;"; ","")&amp;IF(AND(Config!$B$13&lt;&gt;"",G67&lt;&gt;"Sim",G67&lt;&gt;"N/A"),Config!$B$13&amp;"; ","")&amp;IF(AND(Config!$B$14&lt;&gt;"",H67&lt;&gt;"Sim",H67&lt;&gt;"N/A"),Config!$B$14&amp;"; ","")&amp;IF(AND(Config!$B$15&lt;&gt;"",I67&lt;&gt;"Sim",I67&lt;&gt;"N/A"),Config!$B$15&amp;"; ","")&amp;IF(AND(Config!$B$16&lt;&gt;"",J67&lt;&gt;"Sim",J67&lt;&gt;"N/A"),Config!$B$16&amp;"; ","")&amp;IF(AND(Config!$B$17&lt;&gt;"",K67&lt;&gt;"Sim",K67&lt;&gt;"N/A"),Config!$B$17&amp;"; ","")&amp;IF(AND(Config!$D$10&lt;&gt;"",L67&lt;&gt;"Sim",L67&lt;&gt;"N/A"),Config!$D$10&amp;"; ","")&amp;IF(AND(Config!$D$11&lt;&gt;"",M67&lt;&gt;"Sim",M67&lt;&gt;"N/A"),Config!$D$11&amp;"; ","")&amp;IF(AND(Config!$D$12&lt;&gt;"",N67&lt;&gt;"Sim",N67&lt;&gt;"N/A"),Config!$D$12&amp;"; ","")&amp;IF(AND(Config!$D$13&lt;&gt;"",O67&lt;&gt;"Sim",O67&lt;&gt;"N/A"),Config!$D$13&amp;"; ","")&amp;IF(AND(Config!$D$14&lt;&gt;"",P67&lt;&gt;"Sim",P67&lt;&gt;"N/A"),Config!$D$14&amp;"; ","")&amp;IF(AND(Config!$D$15&lt;&gt;"",Q67&lt;&gt;"Sim",Q67&lt;&gt;"N/A"),Config!$D$15&amp;"; ","")&amp;IF(AND(Config!$D$16&lt;&gt;"",R67&lt;&gt;"Sim",R67&lt;&gt;"N/A"),Config!$D$16&amp;"; ","")&amp;IF(AND(Config!$D$17&lt;&gt;"",S67&lt;&gt;"Sim",S67&lt;&gt;"N/A"),Config!$D$17&amp;"; ",""))</f>
        <v/>
      </c>
      <c r="AB67" s="39">
        <f>IF(A67="",0,COUNTIF($A$5:$A$304,"&gt;"&amp;A67)+1)</f>
        <v>11</v>
      </c>
    </row>
    <row r="68">
      <c r="A68" s="37" t="n">
        <v>46262</v>
      </c>
      <c r="B68" s="24" t="str">
        <f>IF(A68="","",CHOOSE(WEEKDAY(A68,2),"Segunda","Terça","Quarta","Quinta","Sexta","Sábado","Domingo"))</f>
        <v>Sexta</v>
      </c>
      <c r="C68" s="38" t="inlineStr">
        <is>
          <t>Bruna Carvalho</t>
        </is>
      </c>
      <c r="D68" s="38" t="inlineStr">
        <is>
          <t>Sim</t>
        </is>
      </c>
      <c r="E68" s="38" t="inlineStr">
        <is>
          <t>Sim</t>
        </is>
      </c>
      <c r="F68" s="38" t="inlineStr">
        <is>
          <t>Sim</t>
        </is>
      </c>
      <c r="G68" s="38" t="inlineStr">
        <is>
          <t>Sim</t>
        </is>
      </c>
      <c r="H68" s="38" t="inlineStr">
        <is>
          <t>Sim</t>
        </is>
      </c>
      <c r="I68" s="38" t="inlineStr">
        <is>
          <t>Sim</t>
        </is>
      </c>
      <c r="J68" s="38" t="n"/>
      <c r="K68" s="38" t="n"/>
      <c r="L68" s="38" t="inlineStr">
        <is>
          <t>Sim</t>
        </is>
      </c>
      <c r="M68" s="38" t="inlineStr">
        <is>
          <t>Sim</t>
        </is>
      </c>
      <c r="N68" s="38" t="inlineStr">
        <is>
          <t>Sim</t>
        </is>
      </c>
      <c r="O68" s="38" t="inlineStr">
        <is>
          <t>Sim</t>
        </is>
      </c>
      <c r="P68" s="38" t="inlineStr">
        <is>
          <t>Sim</t>
        </is>
      </c>
      <c r="Q68" s="38" t="inlineStr">
        <is>
          <t>Sim</t>
        </is>
      </c>
      <c r="R68" s="38" t="n"/>
      <c r="S68" s="38" t="n"/>
      <c r="T68" s="26">
        <f>IF(A68="","",IFERROR(COUNTIF(D68:K68,"Sim")/(Config!$B$19-COUNTIF(D68:K68,"N/A")),""))</f>
        <v>1</v>
      </c>
      <c r="U68" s="26">
        <f>IF(A68="","",IFERROR(COUNTIF(L68:S68,"Sim")/(Config!$D$19-COUNTIF(L68:S68,"N/A")),""))</f>
        <v>1</v>
      </c>
      <c r="V68" s="24">
        <f>IF(A68="","",MAX(0,Config!$B$19-COUNTIF(D68:K68,"Sim")-COUNTIF(D68:K68,"N/A")))</f>
        <v>0</v>
      </c>
      <c r="W68" s="24">
        <f>IF(A68="","",MAX(0,Config!$D$19-COUNTIF(L68:S68,"Sim")-COUNTIF(L68:S68,"N/A")))</f>
        <v>0</v>
      </c>
      <c r="X68" s="24">
        <f>IF(A68="","",V68+W68)</f>
        <v>0</v>
      </c>
      <c r="Y68" s="29">
        <f>IF(OR(A68="",AA68=""),"",LEFT(AA68,LEN(AA68)-2))</f>
        <v/>
      </c>
      <c r="Z68" s="39">
        <f>IF(OR(A68="",X68=0),0,X68*100000+A68/100000)</f>
        <v>0</v>
      </c>
      <c r="AA68" s="39">
        <f>IF(A68="","",IF(AND(Config!$B$10&lt;&gt;"",D68&lt;&gt;"Sim",D68&lt;&gt;"N/A"),Config!$B$10&amp;"; ","")&amp;IF(AND(Config!$B$11&lt;&gt;"",E68&lt;&gt;"Sim",E68&lt;&gt;"N/A"),Config!$B$11&amp;"; ","")&amp;IF(AND(Config!$B$12&lt;&gt;"",F68&lt;&gt;"Sim",F68&lt;&gt;"N/A"),Config!$B$12&amp;"; ","")&amp;IF(AND(Config!$B$13&lt;&gt;"",G68&lt;&gt;"Sim",G68&lt;&gt;"N/A"),Config!$B$13&amp;"; ","")&amp;IF(AND(Config!$B$14&lt;&gt;"",H68&lt;&gt;"Sim",H68&lt;&gt;"N/A"),Config!$B$14&amp;"; ","")&amp;IF(AND(Config!$B$15&lt;&gt;"",I68&lt;&gt;"Sim",I68&lt;&gt;"N/A"),Config!$B$15&amp;"; ","")&amp;IF(AND(Config!$B$16&lt;&gt;"",J68&lt;&gt;"Sim",J68&lt;&gt;"N/A"),Config!$B$16&amp;"; ","")&amp;IF(AND(Config!$B$17&lt;&gt;"",K68&lt;&gt;"Sim",K68&lt;&gt;"N/A"),Config!$B$17&amp;"; ","")&amp;IF(AND(Config!$D$10&lt;&gt;"",L68&lt;&gt;"Sim",L68&lt;&gt;"N/A"),Config!$D$10&amp;"; ","")&amp;IF(AND(Config!$D$11&lt;&gt;"",M68&lt;&gt;"Sim",M68&lt;&gt;"N/A"),Config!$D$11&amp;"; ","")&amp;IF(AND(Config!$D$12&lt;&gt;"",N68&lt;&gt;"Sim",N68&lt;&gt;"N/A"),Config!$D$12&amp;"; ","")&amp;IF(AND(Config!$D$13&lt;&gt;"",O68&lt;&gt;"Sim",O68&lt;&gt;"N/A"),Config!$D$13&amp;"; ","")&amp;IF(AND(Config!$D$14&lt;&gt;"",P68&lt;&gt;"Sim",P68&lt;&gt;"N/A"),Config!$D$14&amp;"; ","")&amp;IF(AND(Config!$D$15&lt;&gt;"",Q68&lt;&gt;"Sim",Q68&lt;&gt;"N/A"),Config!$D$15&amp;"; ","")&amp;IF(AND(Config!$D$16&lt;&gt;"",R68&lt;&gt;"Sim",R68&lt;&gt;"N/A"),Config!$D$16&amp;"; ","")&amp;IF(AND(Config!$D$17&lt;&gt;"",S68&lt;&gt;"Sim",S68&lt;&gt;"N/A"),Config!$D$17&amp;"; ",""))</f>
        <v/>
      </c>
      <c r="AB68" s="39">
        <f>IF(A68="",0,COUNTIF($A$5:$A$304,"&gt;"&amp;A68)+1)</f>
        <v>10</v>
      </c>
    </row>
    <row r="69">
      <c r="A69" s="37" t="n">
        <v>46265</v>
      </c>
      <c r="B69" s="24" t="str">
        <f>IF(A69="","",CHOOSE(WEEKDAY(A69,2),"Segunda","Terça","Quarta","Quinta","Sexta","Sábado","Domingo"))</f>
        <v>Segunda</v>
      </c>
      <c r="C69" s="38" t="inlineStr">
        <is>
          <t>Bruna Carvalho</t>
        </is>
      </c>
      <c r="D69" s="38" t="inlineStr">
        <is>
          <t>Sim</t>
        </is>
      </c>
      <c r="E69" s="38" t="inlineStr">
        <is>
          <t>Sim</t>
        </is>
      </c>
      <c r="F69" s="38" t="inlineStr">
        <is>
          <t>Sim</t>
        </is>
      </c>
      <c r="G69" s="38" t="inlineStr">
        <is>
          <t>Sim</t>
        </is>
      </c>
      <c r="H69" s="38" t="inlineStr">
        <is>
          <t>Sim</t>
        </is>
      </c>
      <c r="I69" s="38" t="inlineStr">
        <is>
          <t>N/A</t>
        </is>
      </c>
      <c r="J69" s="38" t="n"/>
      <c r="K69" s="38" t="n"/>
      <c r="L69" s="38" t="inlineStr">
        <is>
          <t>Sim</t>
        </is>
      </c>
      <c r="M69" s="38" t="inlineStr">
        <is>
          <t>Sim</t>
        </is>
      </c>
      <c r="N69" s="38" t="inlineStr">
        <is>
          <t>Sim</t>
        </is>
      </c>
      <c r="O69" s="38" t="inlineStr">
        <is>
          <t>Sim</t>
        </is>
      </c>
      <c r="P69" s="38" t="inlineStr">
        <is>
          <t>Sim</t>
        </is>
      </c>
      <c r="Q69" s="38" t="inlineStr">
        <is>
          <t>Sim</t>
        </is>
      </c>
      <c r="R69" s="38" t="n"/>
      <c r="S69" s="38" t="n"/>
      <c r="T69" s="26">
        <f>IF(A69="","",IFERROR(COUNTIF(D69:K69,"Sim")/(Config!$B$19-COUNTIF(D69:K69,"N/A")),""))</f>
        <v>1</v>
      </c>
      <c r="U69" s="26">
        <f>IF(A69="","",IFERROR(COUNTIF(L69:S69,"Sim")/(Config!$D$19-COUNTIF(L69:S69,"N/A")),""))</f>
        <v>1</v>
      </c>
      <c r="V69" s="24">
        <f>IF(A69="","",MAX(0,Config!$B$19-COUNTIF(D69:K69,"Sim")-COUNTIF(D69:K69,"N/A")))</f>
        <v>0</v>
      </c>
      <c r="W69" s="24">
        <f>IF(A69="","",MAX(0,Config!$D$19-COUNTIF(L69:S69,"Sim")-COUNTIF(L69:S69,"N/A")))</f>
        <v>0</v>
      </c>
      <c r="X69" s="24">
        <f>IF(A69="","",V69+W69)</f>
        <v>0</v>
      </c>
      <c r="Y69" s="29">
        <f>IF(OR(A69="",AA69=""),"",LEFT(AA69,LEN(AA69)-2))</f>
        <v/>
      </c>
      <c r="Z69" s="39">
        <f>IF(OR(A69="",X69=0),0,X69*100000+A69/100000)</f>
        <v>0</v>
      </c>
      <c r="AA69" s="39">
        <f>IF(A69="","",IF(AND(Config!$B$10&lt;&gt;"",D69&lt;&gt;"Sim",D69&lt;&gt;"N/A"),Config!$B$10&amp;"; ","")&amp;IF(AND(Config!$B$11&lt;&gt;"",E69&lt;&gt;"Sim",E69&lt;&gt;"N/A"),Config!$B$11&amp;"; ","")&amp;IF(AND(Config!$B$12&lt;&gt;"",F69&lt;&gt;"Sim",F69&lt;&gt;"N/A"),Config!$B$12&amp;"; ","")&amp;IF(AND(Config!$B$13&lt;&gt;"",G69&lt;&gt;"Sim",G69&lt;&gt;"N/A"),Config!$B$13&amp;"; ","")&amp;IF(AND(Config!$B$14&lt;&gt;"",H69&lt;&gt;"Sim",H69&lt;&gt;"N/A"),Config!$B$14&amp;"; ","")&amp;IF(AND(Config!$B$15&lt;&gt;"",I69&lt;&gt;"Sim",I69&lt;&gt;"N/A"),Config!$B$15&amp;"; ","")&amp;IF(AND(Config!$B$16&lt;&gt;"",J69&lt;&gt;"Sim",J69&lt;&gt;"N/A"),Config!$B$16&amp;"; ","")&amp;IF(AND(Config!$B$17&lt;&gt;"",K69&lt;&gt;"Sim",K69&lt;&gt;"N/A"),Config!$B$17&amp;"; ","")&amp;IF(AND(Config!$D$10&lt;&gt;"",L69&lt;&gt;"Sim",L69&lt;&gt;"N/A"),Config!$D$10&amp;"; ","")&amp;IF(AND(Config!$D$11&lt;&gt;"",M69&lt;&gt;"Sim",M69&lt;&gt;"N/A"),Config!$D$11&amp;"; ","")&amp;IF(AND(Config!$D$12&lt;&gt;"",N69&lt;&gt;"Sim",N69&lt;&gt;"N/A"),Config!$D$12&amp;"; ","")&amp;IF(AND(Config!$D$13&lt;&gt;"",O69&lt;&gt;"Sim",O69&lt;&gt;"N/A"),Config!$D$13&amp;"; ","")&amp;IF(AND(Config!$D$14&lt;&gt;"",P69&lt;&gt;"Sim",P69&lt;&gt;"N/A"),Config!$D$14&amp;"; ","")&amp;IF(AND(Config!$D$15&lt;&gt;"",Q69&lt;&gt;"Sim",Q69&lt;&gt;"N/A"),Config!$D$15&amp;"; ","")&amp;IF(AND(Config!$D$16&lt;&gt;"",R69&lt;&gt;"Sim",R69&lt;&gt;"N/A"),Config!$D$16&amp;"; ","")&amp;IF(AND(Config!$D$17&lt;&gt;"",S69&lt;&gt;"Sim",S69&lt;&gt;"N/A"),Config!$D$17&amp;"; ",""))</f>
        <v/>
      </c>
      <c r="AB69" s="39">
        <f>IF(A69="",0,COUNTIF($A$5:$A$304,"&gt;"&amp;A69)+1)</f>
        <v>9</v>
      </c>
    </row>
    <row r="70">
      <c r="A70" s="37" t="n">
        <v>46266</v>
      </c>
      <c r="B70" s="24" t="str">
        <f>IF(A70="","",CHOOSE(WEEKDAY(A70,2),"Segunda","Terça","Quarta","Quinta","Sexta","Sábado","Domingo"))</f>
        <v>Terça</v>
      </c>
      <c r="C70" s="38" t="inlineStr">
        <is>
          <t>Bruna Carvalho</t>
        </is>
      </c>
      <c r="D70" s="38" t="inlineStr">
        <is>
          <t>Sim</t>
        </is>
      </c>
      <c r="E70" s="38" t="inlineStr">
        <is>
          <t>Sim</t>
        </is>
      </c>
      <c r="F70" s="38" t="inlineStr">
        <is>
          <t>Sim</t>
        </is>
      </c>
      <c r="G70" s="38" t="inlineStr">
        <is>
          <t>Sim</t>
        </is>
      </c>
      <c r="H70" s="38" t="inlineStr">
        <is>
          <t>Sim</t>
        </is>
      </c>
      <c r="I70" s="38" t="inlineStr">
        <is>
          <t>N/A</t>
        </is>
      </c>
      <c r="J70" s="38" t="n"/>
      <c r="K70" s="38" t="n"/>
      <c r="L70" s="38" t="inlineStr">
        <is>
          <t>Não</t>
        </is>
      </c>
      <c r="M70" s="38" t="inlineStr">
        <is>
          <t>Não</t>
        </is>
      </c>
      <c r="N70" s="38" t="inlineStr">
        <is>
          <t>Sim</t>
        </is>
      </c>
      <c r="O70" s="38" t="inlineStr">
        <is>
          <t>Não</t>
        </is>
      </c>
      <c r="P70" s="38" t="inlineStr">
        <is>
          <t>Sim</t>
        </is>
      </c>
      <c r="Q70" s="38" t="inlineStr">
        <is>
          <t>Sim</t>
        </is>
      </c>
      <c r="R70" s="38" t="n"/>
      <c r="S70" s="38" t="n"/>
      <c r="T70" s="26">
        <f>IF(A70="","",IFERROR(COUNTIF(D70:K70,"Sim")/(Config!$B$19-COUNTIF(D70:K70,"N/A")),""))</f>
        <v>1</v>
      </c>
      <c r="U70" s="26">
        <f>IF(A70="","",IFERROR(COUNTIF(L70:S70,"Sim")/(Config!$D$19-COUNTIF(L70:S70,"N/A")),""))</f>
        <v>0.5</v>
      </c>
      <c r="V70" s="24">
        <f>IF(A70="","",MAX(0,Config!$B$19-COUNTIF(D70:K70,"Sim")-COUNTIF(D70:K70,"N/A")))</f>
        <v>0</v>
      </c>
      <c r="W70" s="24">
        <f>IF(A70="","",MAX(0,Config!$D$19-COUNTIF(L70:S70,"Sim")-COUNTIF(L70:S70,"N/A")))</f>
        <v>3</v>
      </c>
      <c r="X70" s="24">
        <f>IF(A70="","",V70+W70)</f>
        <v>3</v>
      </c>
      <c r="Y70" s="29" t="str">
        <f>IF(OR(A70="",AA70=""),"",LEFT(AA70,LEN(AA70)-2))</f>
        <v>Caixa do dia fechado e conferido (Pix, cartão, dinheiro); Fechamento do dia lançado no Caixa (09); Guias do dia conferidas e guardadas para o lote (13)</v>
      </c>
      <c r="Z70" s="39">
        <f>IF(OR(A70="",X70=0),0,X70*100000+A70/100000)</f>
        <v>300000.46266</v>
      </c>
      <c r="AA70" s="39" t="str">
        <f>IF(A70="","",IF(AND(Config!$B$10&lt;&gt;"",D70&lt;&gt;"Sim",D70&lt;&gt;"N/A"),Config!$B$10&amp;"; ","")&amp;IF(AND(Config!$B$11&lt;&gt;"",E70&lt;&gt;"Sim",E70&lt;&gt;"N/A"),Config!$B$11&amp;"; ","")&amp;IF(AND(Config!$B$12&lt;&gt;"",F70&lt;&gt;"Sim",F70&lt;&gt;"N/A"),Config!$B$12&amp;"; ","")&amp;IF(AND(Config!$B$13&lt;&gt;"",G70&lt;&gt;"Sim",G70&lt;&gt;"N/A"),Config!$B$13&amp;"; ","")&amp;IF(AND(Config!$B$14&lt;&gt;"",H70&lt;&gt;"Sim",H70&lt;&gt;"N/A"),Config!$B$14&amp;"; ","")&amp;IF(AND(Config!$B$15&lt;&gt;"",I70&lt;&gt;"Sim",I70&lt;&gt;"N/A"),Config!$B$15&amp;"; ","")&amp;IF(AND(Config!$B$16&lt;&gt;"",J70&lt;&gt;"Sim",J70&lt;&gt;"N/A"),Config!$B$16&amp;"; ","")&amp;IF(AND(Config!$B$17&lt;&gt;"",K70&lt;&gt;"Sim",K70&lt;&gt;"N/A"),Config!$B$17&amp;"; ","")&amp;IF(AND(Config!$D$10&lt;&gt;"",L70&lt;&gt;"Sim",L70&lt;&gt;"N/A"),Config!$D$10&amp;"; ","")&amp;IF(AND(Config!$D$11&lt;&gt;"",M70&lt;&gt;"Sim",M70&lt;&gt;"N/A"),Config!$D$11&amp;"; ","")&amp;IF(AND(Config!$D$12&lt;&gt;"",N70&lt;&gt;"Sim",N70&lt;&gt;"N/A"),Config!$D$12&amp;"; ","")&amp;IF(AND(Config!$D$13&lt;&gt;"",O70&lt;&gt;"Sim",O70&lt;&gt;"N/A"),Config!$D$13&amp;"; ","")&amp;IF(AND(Config!$D$14&lt;&gt;"",P70&lt;&gt;"Sim",P70&lt;&gt;"N/A"),Config!$D$14&amp;"; ","")&amp;IF(AND(Config!$D$15&lt;&gt;"",Q70&lt;&gt;"Sim",Q70&lt;&gt;"N/A"),Config!$D$15&amp;"; ","")&amp;IF(AND(Config!$D$16&lt;&gt;"",R70&lt;&gt;"Sim",R70&lt;&gt;"N/A"),Config!$D$16&amp;"; ","")&amp;IF(AND(Config!$D$17&lt;&gt;"",S70&lt;&gt;"Sim",S70&lt;&gt;"N/A"),Config!$D$17&amp;"; ",""))</f>
        <v>Caixa do dia fechado e conferido (Pix, cartão, dinheiro); Fechamento do dia lançado no Caixa (09); Guias do dia conferidas e guardadas para o lote (13); </v>
      </c>
      <c r="AB70" s="39">
        <f>IF(A70="",0,COUNTIF($A$5:$A$304,"&gt;"&amp;A70)+1)</f>
        <v>8</v>
      </c>
    </row>
    <row r="71">
      <c r="A71" s="37" t="n">
        <v>46267</v>
      </c>
      <c r="B71" s="24" t="str">
        <f>IF(A71="","",CHOOSE(WEEKDAY(A71,2),"Segunda","Terça","Quarta","Quinta","Sexta","Sábado","Domingo"))</f>
        <v>Quarta</v>
      </c>
      <c r="C71" s="38" t="inlineStr">
        <is>
          <t>Bruna Carvalho</t>
        </is>
      </c>
      <c r="D71" s="38" t="inlineStr">
        <is>
          <t>Sim</t>
        </is>
      </c>
      <c r="E71" s="38" t="inlineStr">
        <is>
          <t>Sim</t>
        </is>
      </c>
      <c r="F71" s="38" t="inlineStr">
        <is>
          <t>Sim</t>
        </is>
      </c>
      <c r="G71" s="38" t="inlineStr">
        <is>
          <t>Sim</t>
        </is>
      </c>
      <c r="H71" s="38" t="inlineStr">
        <is>
          <t>Sim</t>
        </is>
      </c>
      <c r="I71" s="38" t="inlineStr">
        <is>
          <t>N/A</t>
        </is>
      </c>
      <c r="J71" s="38" t="n"/>
      <c r="K71" s="38" t="n"/>
      <c r="L71" s="38" t="inlineStr">
        <is>
          <t>Sim</t>
        </is>
      </c>
      <c r="M71" s="38" t="inlineStr">
        <is>
          <t>Sim</t>
        </is>
      </c>
      <c r="N71" s="38" t="inlineStr">
        <is>
          <t>Sim</t>
        </is>
      </c>
      <c r="O71" s="38" t="inlineStr">
        <is>
          <t>Sim</t>
        </is>
      </c>
      <c r="P71" s="38" t="inlineStr">
        <is>
          <t>Sim</t>
        </is>
      </c>
      <c r="Q71" s="38" t="inlineStr">
        <is>
          <t>Sim</t>
        </is>
      </c>
      <c r="R71" s="38" t="n"/>
      <c r="S71" s="38" t="n"/>
      <c r="T71" s="26">
        <f>IF(A71="","",IFERROR(COUNTIF(D71:K71,"Sim")/(Config!$B$19-COUNTIF(D71:K71,"N/A")),""))</f>
        <v>1</v>
      </c>
      <c r="U71" s="26">
        <f>IF(A71="","",IFERROR(COUNTIF(L71:S71,"Sim")/(Config!$D$19-COUNTIF(L71:S71,"N/A")),""))</f>
        <v>1</v>
      </c>
      <c r="V71" s="24">
        <f>IF(A71="","",MAX(0,Config!$B$19-COUNTIF(D71:K71,"Sim")-COUNTIF(D71:K71,"N/A")))</f>
        <v>0</v>
      </c>
      <c r="W71" s="24">
        <f>IF(A71="","",MAX(0,Config!$D$19-COUNTIF(L71:S71,"Sim")-COUNTIF(L71:S71,"N/A")))</f>
        <v>0</v>
      </c>
      <c r="X71" s="24">
        <f>IF(A71="","",V71+W71)</f>
        <v>0</v>
      </c>
      <c r="Y71" s="29">
        <f>IF(OR(A71="",AA71=""),"",LEFT(AA71,LEN(AA71)-2))</f>
        <v/>
      </c>
      <c r="Z71" s="39">
        <f>IF(OR(A71="",X71=0),0,X71*100000+A71/100000)</f>
        <v>0</v>
      </c>
      <c r="AA71" s="39">
        <f>IF(A71="","",IF(AND(Config!$B$10&lt;&gt;"",D71&lt;&gt;"Sim",D71&lt;&gt;"N/A"),Config!$B$10&amp;"; ","")&amp;IF(AND(Config!$B$11&lt;&gt;"",E71&lt;&gt;"Sim",E71&lt;&gt;"N/A"),Config!$B$11&amp;"; ","")&amp;IF(AND(Config!$B$12&lt;&gt;"",F71&lt;&gt;"Sim",F71&lt;&gt;"N/A"),Config!$B$12&amp;"; ","")&amp;IF(AND(Config!$B$13&lt;&gt;"",G71&lt;&gt;"Sim",G71&lt;&gt;"N/A"),Config!$B$13&amp;"; ","")&amp;IF(AND(Config!$B$14&lt;&gt;"",H71&lt;&gt;"Sim",H71&lt;&gt;"N/A"),Config!$B$14&amp;"; ","")&amp;IF(AND(Config!$B$15&lt;&gt;"",I71&lt;&gt;"Sim",I71&lt;&gt;"N/A"),Config!$B$15&amp;"; ","")&amp;IF(AND(Config!$B$16&lt;&gt;"",J71&lt;&gt;"Sim",J71&lt;&gt;"N/A"),Config!$B$16&amp;"; ","")&amp;IF(AND(Config!$B$17&lt;&gt;"",K71&lt;&gt;"Sim",K71&lt;&gt;"N/A"),Config!$B$17&amp;"; ","")&amp;IF(AND(Config!$D$10&lt;&gt;"",L71&lt;&gt;"Sim",L71&lt;&gt;"N/A"),Config!$D$10&amp;"; ","")&amp;IF(AND(Config!$D$11&lt;&gt;"",M71&lt;&gt;"Sim",M71&lt;&gt;"N/A"),Config!$D$11&amp;"; ","")&amp;IF(AND(Config!$D$12&lt;&gt;"",N71&lt;&gt;"Sim",N71&lt;&gt;"N/A"),Config!$D$12&amp;"; ","")&amp;IF(AND(Config!$D$13&lt;&gt;"",O71&lt;&gt;"Sim",O71&lt;&gt;"N/A"),Config!$D$13&amp;"; ","")&amp;IF(AND(Config!$D$14&lt;&gt;"",P71&lt;&gt;"Sim",P71&lt;&gt;"N/A"),Config!$D$14&amp;"; ","")&amp;IF(AND(Config!$D$15&lt;&gt;"",Q71&lt;&gt;"Sim",Q71&lt;&gt;"N/A"),Config!$D$15&amp;"; ","")&amp;IF(AND(Config!$D$16&lt;&gt;"",R71&lt;&gt;"Sim",R71&lt;&gt;"N/A"),Config!$D$16&amp;"; ","")&amp;IF(AND(Config!$D$17&lt;&gt;"",S71&lt;&gt;"Sim",S71&lt;&gt;"N/A"),Config!$D$17&amp;"; ",""))</f>
        <v/>
      </c>
      <c r="AB71" s="39">
        <f>IF(A71="",0,COUNTIF($A$5:$A$304,"&gt;"&amp;A71)+1)</f>
        <v>7</v>
      </c>
    </row>
    <row r="72">
      <c r="A72" s="37" t="n">
        <v>46268</v>
      </c>
      <c r="B72" s="24" t="str">
        <f>IF(A72="","",CHOOSE(WEEKDAY(A72,2),"Segunda","Terça","Quarta","Quinta","Sexta","Sábado","Domingo"))</f>
        <v>Quinta</v>
      </c>
      <c r="C72" s="38" t="inlineStr">
        <is>
          <t>Bruna Carvalho</t>
        </is>
      </c>
      <c r="D72" s="38" t="inlineStr">
        <is>
          <t>Sim</t>
        </is>
      </c>
      <c r="E72" s="38" t="inlineStr">
        <is>
          <t>Não</t>
        </is>
      </c>
      <c r="F72" s="38" t="inlineStr">
        <is>
          <t>Sim</t>
        </is>
      </c>
      <c r="G72" s="38" t="inlineStr">
        <is>
          <t>Sim</t>
        </is>
      </c>
      <c r="H72" s="38" t="inlineStr">
        <is>
          <t>Sim</t>
        </is>
      </c>
      <c r="I72" s="38" t="inlineStr">
        <is>
          <t>N/A</t>
        </is>
      </c>
      <c r="J72" s="38" t="n"/>
      <c r="K72" s="38" t="n"/>
      <c r="L72" s="38" t="inlineStr">
        <is>
          <t>Sim</t>
        </is>
      </c>
      <c r="M72" s="38" t="inlineStr">
        <is>
          <t>Sim</t>
        </is>
      </c>
      <c r="N72" s="38" t="inlineStr">
        <is>
          <t>Sim</t>
        </is>
      </c>
      <c r="O72" s="38" t="inlineStr">
        <is>
          <t>Sim</t>
        </is>
      </c>
      <c r="P72" s="38" t="inlineStr">
        <is>
          <t>Sim</t>
        </is>
      </c>
      <c r="Q72" s="38" t="inlineStr">
        <is>
          <t>Não</t>
        </is>
      </c>
      <c r="R72" s="38" t="n"/>
      <c r="S72" s="38" t="n"/>
      <c r="T72" s="26">
        <f>IF(A72="","",IFERROR(COUNTIF(D72:K72,"Sim")/(Config!$B$19-COUNTIF(D72:K72,"N/A")),""))</f>
        <v>0.8</v>
      </c>
      <c r="U72" s="26">
        <f>IF(A72="","",IFERROR(COUNTIF(L72:S72,"Sim")/(Config!$D$19-COUNTIF(L72:S72,"N/A")),""))</f>
        <v>0.833333333333333</v>
      </c>
      <c r="V72" s="24">
        <f>IF(A72="","",MAX(0,Config!$B$19-COUNTIF(D72:K72,"Sim")-COUNTIF(D72:K72,"N/A")))</f>
        <v>1</v>
      </c>
      <c r="W72" s="24">
        <f>IF(A72="","",MAX(0,Config!$D$19-COUNTIF(L72:S72,"Sim")-COUNTIF(L72:S72,"N/A")))</f>
        <v>1</v>
      </c>
      <c r="X72" s="24">
        <f>IF(A72="","",V72+W72)</f>
        <v>2</v>
      </c>
      <c r="Y72" s="29" t="str">
        <f>IF(OR(A72="",AA72=""),"",LEFT(AA72,LEN(AA72)-2))</f>
        <v>Faltas e cancelamentos de ontem registrados na agenda; Agenda de amanhã revisada e confirmações enviadas</v>
      </c>
      <c r="Z72" s="39">
        <f>IF(OR(A72="",X72=0),0,X72*100000+A72/100000)</f>
        <v>200000.46268</v>
      </c>
      <c r="AA72" s="39" t="str">
        <f>IF(A72="","",IF(AND(Config!$B$10&lt;&gt;"",D72&lt;&gt;"Sim",D72&lt;&gt;"N/A"),Config!$B$10&amp;"; ","")&amp;IF(AND(Config!$B$11&lt;&gt;"",E72&lt;&gt;"Sim",E72&lt;&gt;"N/A"),Config!$B$11&amp;"; ","")&amp;IF(AND(Config!$B$12&lt;&gt;"",F72&lt;&gt;"Sim",F72&lt;&gt;"N/A"),Config!$B$12&amp;"; ","")&amp;IF(AND(Config!$B$13&lt;&gt;"",G72&lt;&gt;"Sim",G72&lt;&gt;"N/A"),Config!$B$13&amp;"; ","")&amp;IF(AND(Config!$B$14&lt;&gt;"",H72&lt;&gt;"Sim",H72&lt;&gt;"N/A"),Config!$B$14&amp;"; ","")&amp;IF(AND(Config!$B$15&lt;&gt;"",I72&lt;&gt;"Sim",I72&lt;&gt;"N/A"),Config!$B$15&amp;"; ","")&amp;IF(AND(Config!$B$16&lt;&gt;"",J72&lt;&gt;"Sim",J72&lt;&gt;"N/A"),Config!$B$16&amp;"; ","")&amp;IF(AND(Config!$B$17&lt;&gt;"",K72&lt;&gt;"Sim",K72&lt;&gt;"N/A"),Config!$B$17&amp;"; ","")&amp;IF(AND(Config!$D$10&lt;&gt;"",L72&lt;&gt;"Sim",L72&lt;&gt;"N/A"),Config!$D$10&amp;"; ","")&amp;IF(AND(Config!$D$11&lt;&gt;"",M72&lt;&gt;"Sim",M72&lt;&gt;"N/A"),Config!$D$11&amp;"; ","")&amp;IF(AND(Config!$D$12&lt;&gt;"",N72&lt;&gt;"Sim",N72&lt;&gt;"N/A"),Config!$D$12&amp;"; ","")&amp;IF(AND(Config!$D$13&lt;&gt;"",O72&lt;&gt;"Sim",O72&lt;&gt;"N/A"),Config!$D$13&amp;"; ","")&amp;IF(AND(Config!$D$14&lt;&gt;"",P72&lt;&gt;"Sim",P72&lt;&gt;"N/A"),Config!$D$14&amp;"; ","")&amp;IF(AND(Config!$D$15&lt;&gt;"",Q72&lt;&gt;"Sim",Q72&lt;&gt;"N/A"),Config!$D$15&amp;"; ","")&amp;IF(AND(Config!$D$16&lt;&gt;"",R72&lt;&gt;"Sim",R72&lt;&gt;"N/A"),Config!$D$16&amp;"; ","")&amp;IF(AND(Config!$D$17&lt;&gt;"",S72&lt;&gt;"Sim",S72&lt;&gt;"N/A"),Config!$D$17&amp;"; ",""))</f>
        <v>Faltas e cancelamentos de ontem registrados na agenda; Agenda de amanhã revisada e confirmações enviadas; </v>
      </c>
      <c r="AB72" s="39">
        <f>IF(A72="",0,COUNTIF($A$5:$A$304,"&gt;"&amp;A72)+1)</f>
        <v>6</v>
      </c>
    </row>
    <row r="73">
      <c r="A73" s="37" t="n">
        <v>46269</v>
      </c>
      <c r="B73" s="24" t="str">
        <f>IF(A73="","",CHOOSE(WEEKDAY(A73,2),"Segunda","Terça","Quarta","Quinta","Sexta","Sábado","Domingo"))</f>
        <v>Sexta</v>
      </c>
      <c r="C73" s="38" t="inlineStr">
        <is>
          <t>Bruna Carvalho</t>
        </is>
      </c>
      <c r="D73" s="38" t="inlineStr">
        <is>
          <t>Sim</t>
        </is>
      </c>
      <c r="E73" s="38" t="inlineStr">
        <is>
          <t>Sim</t>
        </is>
      </c>
      <c r="F73" s="38" t="inlineStr">
        <is>
          <t>Sim</t>
        </is>
      </c>
      <c r="G73" s="38" t="inlineStr">
        <is>
          <t>Sim</t>
        </is>
      </c>
      <c r="H73" s="38" t="inlineStr">
        <is>
          <t>Sim</t>
        </is>
      </c>
      <c r="I73" s="38" t="inlineStr">
        <is>
          <t>Sim</t>
        </is>
      </c>
      <c r="J73" s="38" t="n"/>
      <c r="K73" s="38" t="n"/>
      <c r="L73" s="38" t="inlineStr">
        <is>
          <t>Sim</t>
        </is>
      </c>
      <c r="M73" s="38" t="inlineStr">
        <is>
          <t>Sim</t>
        </is>
      </c>
      <c r="N73" s="38" t="inlineStr">
        <is>
          <t>Sim</t>
        </is>
      </c>
      <c r="O73" s="38" t="inlineStr">
        <is>
          <t>Sim</t>
        </is>
      </c>
      <c r="P73" s="38" t="inlineStr">
        <is>
          <t>Sim</t>
        </is>
      </c>
      <c r="Q73" s="38" t="inlineStr">
        <is>
          <t>Não</t>
        </is>
      </c>
      <c r="R73" s="38" t="n"/>
      <c r="S73" s="38" t="n"/>
      <c r="T73" s="26">
        <f>IF(A73="","",IFERROR(COUNTIF(D73:K73,"Sim")/(Config!$B$19-COUNTIF(D73:K73,"N/A")),""))</f>
        <v>1</v>
      </c>
      <c r="U73" s="26">
        <f>IF(A73="","",IFERROR(COUNTIF(L73:S73,"Sim")/(Config!$D$19-COUNTIF(L73:S73,"N/A")),""))</f>
        <v>0.833333333333333</v>
      </c>
      <c r="V73" s="24">
        <f>IF(A73="","",MAX(0,Config!$B$19-COUNTIF(D73:K73,"Sim")-COUNTIF(D73:K73,"N/A")))</f>
        <v>0</v>
      </c>
      <c r="W73" s="24">
        <f>IF(A73="","",MAX(0,Config!$D$19-COUNTIF(L73:S73,"Sim")-COUNTIF(L73:S73,"N/A")))</f>
        <v>1</v>
      </c>
      <c r="X73" s="24">
        <f>IF(A73="","",V73+W73)</f>
        <v>1</v>
      </c>
      <c r="Y73" s="29" t="str">
        <f>IF(OR(A73="",AA73=""),"",LEFT(AA73,LEN(AA73)-2))</f>
        <v>Agenda de amanhã revisada e confirmações enviadas</v>
      </c>
      <c r="Z73" s="39">
        <f>IF(OR(A73="",X73=0),0,X73*100000+A73/100000)</f>
        <v>100000.46269</v>
      </c>
      <c r="AA73" s="39" t="str">
        <f>IF(A73="","",IF(AND(Config!$B$10&lt;&gt;"",D73&lt;&gt;"Sim",D73&lt;&gt;"N/A"),Config!$B$10&amp;"; ","")&amp;IF(AND(Config!$B$11&lt;&gt;"",E73&lt;&gt;"Sim",E73&lt;&gt;"N/A"),Config!$B$11&amp;"; ","")&amp;IF(AND(Config!$B$12&lt;&gt;"",F73&lt;&gt;"Sim",F73&lt;&gt;"N/A"),Config!$B$12&amp;"; ","")&amp;IF(AND(Config!$B$13&lt;&gt;"",G73&lt;&gt;"Sim",G73&lt;&gt;"N/A"),Config!$B$13&amp;"; ","")&amp;IF(AND(Config!$B$14&lt;&gt;"",H73&lt;&gt;"Sim",H73&lt;&gt;"N/A"),Config!$B$14&amp;"; ","")&amp;IF(AND(Config!$B$15&lt;&gt;"",I73&lt;&gt;"Sim",I73&lt;&gt;"N/A"),Config!$B$15&amp;"; ","")&amp;IF(AND(Config!$B$16&lt;&gt;"",J73&lt;&gt;"Sim",J73&lt;&gt;"N/A"),Config!$B$16&amp;"; ","")&amp;IF(AND(Config!$B$17&lt;&gt;"",K73&lt;&gt;"Sim",K73&lt;&gt;"N/A"),Config!$B$17&amp;"; ","")&amp;IF(AND(Config!$D$10&lt;&gt;"",L73&lt;&gt;"Sim",L73&lt;&gt;"N/A"),Config!$D$10&amp;"; ","")&amp;IF(AND(Config!$D$11&lt;&gt;"",M73&lt;&gt;"Sim",M73&lt;&gt;"N/A"),Config!$D$11&amp;"; ","")&amp;IF(AND(Config!$D$12&lt;&gt;"",N73&lt;&gt;"Sim",N73&lt;&gt;"N/A"),Config!$D$12&amp;"; ","")&amp;IF(AND(Config!$D$13&lt;&gt;"",O73&lt;&gt;"Sim",O73&lt;&gt;"N/A"),Config!$D$13&amp;"; ","")&amp;IF(AND(Config!$D$14&lt;&gt;"",P73&lt;&gt;"Sim",P73&lt;&gt;"N/A"),Config!$D$14&amp;"; ","")&amp;IF(AND(Config!$D$15&lt;&gt;"",Q73&lt;&gt;"Sim",Q73&lt;&gt;"N/A"),Config!$D$15&amp;"; ","")&amp;IF(AND(Config!$D$16&lt;&gt;"",R73&lt;&gt;"Sim",R73&lt;&gt;"N/A"),Config!$D$16&amp;"; ","")&amp;IF(AND(Config!$D$17&lt;&gt;"",S73&lt;&gt;"Sim",S73&lt;&gt;"N/A"),Config!$D$17&amp;"; ",""))</f>
        <v>Agenda de amanhã revisada e confirmações enviadas; </v>
      </c>
      <c r="AB73" s="39">
        <f>IF(A73="",0,COUNTIF($A$5:$A$304,"&gt;"&amp;A73)+1)</f>
        <v>5</v>
      </c>
    </row>
    <row r="74">
      <c r="A74" s="37" t="n">
        <v>46273</v>
      </c>
      <c r="B74" s="24" t="str">
        <f>IF(A74="","",CHOOSE(WEEKDAY(A74,2),"Segunda","Terça","Quarta","Quinta","Sexta","Sábado","Domingo"))</f>
        <v>Terça</v>
      </c>
      <c r="C74" s="38" t="inlineStr">
        <is>
          <t>Bruna Carvalho</t>
        </is>
      </c>
      <c r="D74" s="38" t="inlineStr">
        <is>
          <t>Sim</t>
        </is>
      </c>
      <c r="E74" s="38" t="inlineStr">
        <is>
          <t>Sim</t>
        </is>
      </c>
      <c r="F74" s="38" t="inlineStr">
        <is>
          <t>Sim</t>
        </is>
      </c>
      <c r="G74" s="38" t="inlineStr">
        <is>
          <t>Sim</t>
        </is>
      </c>
      <c r="H74" s="38" t="inlineStr">
        <is>
          <t>Sim</t>
        </is>
      </c>
      <c r="I74" s="38" t="inlineStr">
        <is>
          <t>N/A</t>
        </is>
      </c>
      <c r="J74" s="38" t="n"/>
      <c r="K74" s="38" t="n"/>
      <c r="L74" s="38" t="inlineStr">
        <is>
          <t>Sim</t>
        </is>
      </c>
      <c r="M74" s="38" t="inlineStr">
        <is>
          <t>Sim</t>
        </is>
      </c>
      <c r="N74" s="38" t="inlineStr">
        <is>
          <t>Sim</t>
        </is>
      </c>
      <c r="O74" s="38" t="inlineStr">
        <is>
          <t>Sim</t>
        </is>
      </c>
      <c r="P74" s="38" t="inlineStr">
        <is>
          <t>Sim</t>
        </is>
      </c>
      <c r="Q74" s="38" t="inlineStr">
        <is>
          <t>Sim</t>
        </is>
      </c>
      <c r="R74" s="38" t="n"/>
      <c r="S74" s="38" t="n"/>
      <c r="T74" s="26">
        <f>IF(A74="","",IFERROR(COUNTIF(D74:K74,"Sim")/(Config!$B$19-COUNTIF(D74:K74,"N/A")),""))</f>
        <v>1</v>
      </c>
      <c r="U74" s="26">
        <f>IF(A74="","",IFERROR(COUNTIF(L74:S74,"Sim")/(Config!$D$19-COUNTIF(L74:S74,"N/A")),""))</f>
        <v>1</v>
      </c>
      <c r="V74" s="24">
        <f>IF(A74="","",MAX(0,Config!$B$19-COUNTIF(D74:K74,"Sim")-COUNTIF(D74:K74,"N/A")))</f>
        <v>0</v>
      </c>
      <c r="W74" s="24">
        <f>IF(A74="","",MAX(0,Config!$D$19-COUNTIF(L74:S74,"Sim")-COUNTIF(L74:S74,"N/A")))</f>
        <v>0</v>
      </c>
      <c r="X74" s="24">
        <f>IF(A74="","",V74+W74)</f>
        <v>0</v>
      </c>
      <c r="Y74" s="29">
        <f>IF(OR(A74="",AA74=""),"",LEFT(AA74,LEN(AA74)-2))</f>
        <v/>
      </c>
      <c r="Z74" s="39">
        <f>IF(OR(A74="",X74=0),0,X74*100000+A74/100000)</f>
        <v>0</v>
      </c>
      <c r="AA74" s="39">
        <f>IF(A74="","",IF(AND(Config!$B$10&lt;&gt;"",D74&lt;&gt;"Sim",D74&lt;&gt;"N/A"),Config!$B$10&amp;"; ","")&amp;IF(AND(Config!$B$11&lt;&gt;"",E74&lt;&gt;"Sim",E74&lt;&gt;"N/A"),Config!$B$11&amp;"; ","")&amp;IF(AND(Config!$B$12&lt;&gt;"",F74&lt;&gt;"Sim",F74&lt;&gt;"N/A"),Config!$B$12&amp;"; ","")&amp;IF(AND(Config!$B$13&lt;&gt;"",G74&lt;&gt;"Sim",G74&lt;&gt;"N/A"),Config!$B$13&amp;"; ","")&amp;IF(AND(Config!$B$14&lt;&gt;"",H74&lt;&gt;"Sim",H74&lt;&gt;"N/A"),Config!$B$14&amp;"; ","")&amp;IF(AND(Config!$B$15&lt;&gt;"",I74&lt;&gt;"Sim",I74&lt;&gt;"N/A"),Config!$B$15&amp;"; ","")&amp;IF(AND(Config!$B$16&lt;&gt;"",J74&lt;&gt;"Sim",J74&lt;&gt;"N/A"),Config!$B$16&amp;"; ","")&amp;IF(AND(Config!$B$17&lt;&gt;"",K74&lt;&gt;"Sim",K74&lt;&gt;"N/A"),Config!$B$17&amp;"; ","")&amp;IF(AND(Config!$D$10&lt;&gt;"",L74&lt;&gt;"Sim",L74&lt;&gt;"N/A"),Config!$D$10&amp;"; ","")&amp;IF(AND(Config!$D$11&lt;&gt;"",M74&lt;&gt;"Sim",M74&lt;&gt;"N/A"),Config!$D$11&amp;"; ","")&amp;IF(AND(Config!$D$12&lt;&gt;"",N74&lt;&gt;"Sim",N74&lt;&gt;"N/A"),Config!$D$12&amp;"; ","")&amp;IF(AND(Config!$D$13&lt;&gt;"",O74&lt;&gt;"Sim",O74&lt;&gt;"N/A"),Config!$D$13&amp;"; ","")&amp;IF(AND(Config!$D$14&lt;&gt;"",P74&lt;&gt;"Sim",P74&lt;&gt;"N/A"),Config!$D$14&amp;"; ","")&amp;IF(AND(Config!$D$15&lt;&gt;"",Q74&lt;&gt;"Sim",Q74&lt;&gt;"N/A"),Config!$D$15&amp;"; ","")&amp;IF(AND(Config!$D$16&lt;&gt;"",R74&lt;&gt;"Sim",R74&lt;&gt;"N/A"),Config!$D$16&amp;"; ","")&amp;IF(AND(Config!$D$17&lt;&gt;"",S74&lt;&gt;"Sim",S74&lt;&gt;"N/A"),Config!$D$17&amp;"; ",""))</f>
        <v/>
      </c>
      <c r="AB74" s="39">
        <f>IF(A74="",0,COUNTIF($A$5:$A$304,"&gt;"&amp;A74)+1)</f>
        <v>4</v>
      </c>
    </row>
    <row r="75">
      <c r="A75" s="37" t="n">
        <v>46274</v>
      </c>
      <c r="B75" s="24" t="str">
        <f>IF(A75="","",CHOOSE(WEEKDAY(A75,2),"Segunda","Terça","Quarta","Quinta","Sexta","Sábado","Domingo"))</f>
        <v>Quarta</v>
      </c>
      <c r="C75" s="38" t="inlineStr">
        <is>
          <t>Bruna Carvalho</t>
        </is>
      </c>
      <c r="D75" s="38" t="inlineStr">
        <is>
          <t>Sim</t>
        </is>
      </c>
      <c r="E75" s="38" t="inlineStr">
        <is>
          <t>Sim</t>
        </is>
      </c>
      <c r="F75" s="38" t="inlineStr">
        <is>
          <t>Sim</t>
        </is>
      </c>
      <c r="G75" s="38" t="inlineStr">
        <is>
          <t>Sim</t>
        </is>
      </c>
      <c r="H75" s="38" t="inlineStr">
        <is>
          <t>Sim</t>
        </is>
      </c>
      <c r="I75" s="38" t="inlineStr">
        <is>
          <t>N/A</t>
        </is>
      </c>
      <c r="J75" s="38" t="n"/>
      <c r="K75" s="38" t="n"/>
      <c r="L75" s="38" t="inlineStr">
        <is>
          <t>Sim</t>
        </is>
      </c>
      <c r="M75" s="38" t="inlineStr">
        <is>
          <t>Sim</t>
        </is>
      </c>
      <c r="N75" s="38" t="inlineStr">
        <is>
          <t>Sim</t>
        </is>
      </c>
      <c r="O75" s="38" t="inlineStr">
        <is>
          <t>Sim</t>
        </is>
      </c>
      <c r="P75" s="38" t="inlineStr">
        <is>
          <t>Sim</t>
        </is>
      </c>
      <c r="Q75" s="38" t="inlineStr">
        <is>
          <t>Sim</t>
        </is>
      </c>
      <c r="R75" s="38" t="n"/>
      <c r="S75" s="38" t="n"/>
      <c r="T75" s="26">
        <f>IF(A75="","",IFERROR(COUNTIF(D75:K75,"Sim")/(Config!$B$19-COUNTIF(D75:K75,"N/A")),""))</f>
        <v>1</v>
      </c>
      <c r="U75" s="26">
        <f>IF(A75="","",IFERROR(COUNTIF(L75:S75,"Sim")/(Config!$D$19-COUNTIF(L75:S75,"N/A")),""))</f>
        <v>1</v>
      </c>
      <c r="V75" s="24">
        <f>IF(A75="","",MAX(0,Config!$B$19-COUNTIF(D75:K75,"Sim")-COUNTIF(D75:K75,"N/A")))</f>
        <v>0</v>
      </c>
      <c r="W75" s="24">
        <f>IF(A75="","",MAX(0,Config!$D$19-COUNTIF(L75:S75,"Sim")-COUNTIF(L75:S75,"N/A")))</f>
        <v>0</v>
      </c>
      <c r="X75" s="24">
        <f>IF(A75="","",V75+W75)</f>
        <v>0</v>
      </c>
      <c r="Y75" s="29">
        <f>IF(OR(A75="",AA75=""),"",LEFT(AA75,LEN(AA75)-2))</f>
        <v/>
      </c>
      <c r="Z75" s="39">
        <f>IF(OR(A75="",X75=0),0,X75*100000+A75/100000)</f>
        <v>0</v>
      </c>
      <c r="AA75" s="39">
        <f>IF(A75="","",IF(AND(Config!$B$10&lt;&gt;"",D75&lt;&gt;"Sim",D75&lt;&gt;"N/A"),Config!$B$10&amp;"; ","")&amp;IF(AND(Config!$B$11&lt;&gt;"",E75&lt;&gt;"Sim",E75&lt;&gt;"N/A"),Config!$B$11&amp;"; ","")&amp;IF(AND(Config!$B$12&lt;&gt;"",F75&lt;&gt;"Sim",F75&lt;&gt;"N/A"),Config!$B$12&amp;"; ","")&amp;IF(AND(Config!$B$13&lt;&gt;"",G75&lt;&gt;"Sim",G75&lt;&gt;"N/A"),Config!$B$13&amp;"; ","")&amp;IF(AND(Config!$B$14&lt;&gt;"",H75&lt;&gt;"Sim",H75&lt;&gt;"N/A"),Config!$B$14&amp;"; ","")&amp;IF(AND(Config!$B$15&lt;&gt;"",I75&lt;&gt;"Sim",I75&lt;&gt;"N/A"),Config!$B$15&amp;"; ","")&amp;IF(AND(Config!$B$16&lt;&gt;"",J75&lt;&gt;"Sim",J75&lt;&gt;"N/A"),Config!$B$16&amp;"; ","")&amp;IF(AND(Config!$B$17&lt;&gt;"",K75&lt;&gt;"Sim",K75&lt;&gt;"N/A"),Config!$B$17&amp;"; ","")&amp;IF(AND(Config!$D$10&lt;&gt;"",L75&lt;&gt;"Sim",L75&lt;&gt;"N/A"),Config!$D$10&amp;"; ","")&amp;IF(AND(Config!$D$11&lt;&gt;"",M75&lt;&gt;"Sim",M75&lt;&gt;"N/A"),Config!$D$11&amp;"; ","")&amp;IF(AND(Config!$D$12&lt;&gt;"",N75&lt;&gt;"Sim",N75&lt;&gt;"N/A"),Config!$D$12&amp;"; ","")&amp;IF(AND(Config!$D$13&lt;&gt;"",O75&lt;&gt;"Sim",O75&lt;&gt;"N/A"),Config!$D$13&amp;"; ","")&amp;IF(AND(Config!$D$14&lt;&gt;"",P75&lt;&gt;"Sim",P75&lt;&gt;"N/A"),Config!$D$14&amp;"; ","")&amp;IF(AND(Config!$D$15&lt;&gt;"",Q75&lt;&gt;"Sim",Q75&lt;&gt;"N/A"),Config!$D$15&amp;"; ","")&amp;IF(AND(Config!$D$16&lt;&gt;"",R75&lt;&gt;"Sim",R75&lt;&gt;"N/A"),Config!$D$16&amp;"; ","")&amp;IF(AND(Config!$D$17&lt;&gt;"",S75&lt;&gt;"Sim",S75&lt;&gt;"N/A"),Config!$D$17&amp;"; ",""))</f>
        <v/>
      </c>
      <c r="AB75" s="39">
        <f>IF(A75="",0,COUNTIF($A$5:$A$304,"&gt;"&amp;A75)+1)</f>
        <v>3</v>
      </c>
    </row>
    <row r="76">
      <c r="A76" s="37" t="n">
        <v>46275</v>
      </c>
      <c r="B76" s="24" t="str">
        <f>IF(A76="","",CHOOSE(WEEKDAY(A76,2),"Segunda","Terça","Quarta","Quinta","Sexta","Sábado","Domingo"))</f>
        <v>Quinta</v>
      </c>
      <c r="C76" s="38" t="inlineStr">
        <is>
          <t>Bruna Carvalho</t>
        </is>
      </c>
      <c r="D76" s="38" t="inlineStr">
        <is>
          <t>Sim</t>
        </is>
      </c>
      <c r="E76" s="38" t="inlineStr">
        <is>
          <t>Sim</t>
        </is>
      </c>
      <c r="F76" s="38" t="inlineStr">
        <is>
          <t>Sim</t>
        </is>
      </c>
      <c r="G76" s="38" t="inlineStr">
        <is>
          <t>Não</t>
        </is>
      </c>
      <c r="H76" s="38" t="inlineStr">
        <is>
          <t>Sim</t>
        </is>
      </c>
      <c r="I76" s="38" t="inlineStr">
        <is>
          <t>N/A</t>
        </is>
      </c>
      <c r="J76" s="38" t="n"/>
      <c r="K76" s="38" t="n"/>
      <c r="L76" s="38" t="inlineStr">
        <is>
          <t>Sim</t>
        </is>
      </c>
      <c r="M76" s="38" t="n"/>
      <c r="N76" s="38" t="inlineStr">
        <is>
          <t>Sim</t>
        </is>
      </c>
      <c r="O76" s="38" t="inlineStr">
        <is>
          <t>Sim</t>
        </is>
      </c>
      <c r="P76" s="38" t="inlineStr">
        <is>
          <t>Sim</t>
        </is>
      </c>
      <c r="Q76" s="38" t="inlineStr">
        <is>
          <t>Sim</t>
        </is>
      </c>
      <c r="R76" s="38" t="n"/>
      <c r="S76" s="38" t="n"/>
      <c r="T76" s="26">
        <f>IF(A76="","",IFERROR(COUNTIF(D76:K76,"Sim")/(Config!$B$19-COUNTIF(D76:K76,"N/A")),""))</f>
        <v>0.8</v>
      </c>
      <c r="U76" s="26">
        <f>IF(A76="","",IFERROR(COUNTIF(L76:S76,"Sim")/(Config!$D$19-COUNTIF(L76:S76,"N/A")),""))</f>
        <v>0.833333333333333</v>
      </c>
      <c r="V76" s="24">
        <f>IF(A76="","",MAX(0,Config!$B$19-COUNTIF(D76:K76,"Sim")-COUNTIF(D76:K76,"N/A")))</f>
        <v>1</v>
      </c>
      <c r="W76" s="24">
        <f>IF(A76="","",MAX(0,Config!$D$19-COUNTIF(L76:S76,"Sim")-COUNTIF(L76:S76,"N/A")))</f>
        <v>1</v>
      </c>
      <c r="X76" s="24">
        <f>IF(A76="","",V76+W76)</f>
        <v>2</v>
      </c>
      <c r="Y76" s="29" t="str">
        <f>IF(OR(A76="",AA76=""),"",LEFT(AA76,LEN(AA76)-2))</f>
        <v>Guias e autorizações de convênio do dia separadas; Fechamento do dia lançado no Caixa (09)</v>
      </c>
      <c r="Z76" s="39">
        <f>IF(OR(A76="",X76=0),0,X76*100000+A76/100000)</f>
        <v>200000.46275</v>
      </c>
      <c r="AA76" s="39" t="str">
        <f>IF(A76="","",IF(AND(Config!$B$10&lt;&gt;"",D76&lt;&gt;"Sim",D76&lt;&gt;"N/A"),Config!$B$10&amp;"; ","")&amp;IF(AND(Config!$B$11&lt;&gt;"",E76&lt;&gt;"Sim",E76&lt;&gt;"N/A"),Config!$B$11&amp;"; ","")&amp;IF(AND(Config!$B$12&lt;&gt;"",F76&lt;&gt;"Sim",F76&lt;&gt;"N/A"),Config!$B$12&amp;"; ","")&amp;IF(AND(Config!$B$13&lt;&gt;"",G76&lt;&gt;"Sim",G76&lt;&gt;"N/A"),Config!$B$13&amp;"; ","")&amp;IF(AND(Config!$B$14&lt;&gt;"",H76&lt;&gt;"Sim",H76&lt;&gt;"N/A"),Config!$B$14&amp;"; ","")&amp;IF(AND(Config!$B$15&lt;&gt;"",I76&lt;&gt;"Sim",I76&lt;&gt;"N/A"),Config!$B$15&amp;"; ","")&amp;IF(AND(Config!$B$16&lt;&gt;"",J76&lt;&gt;"Sim",J76&lt;&gt;"N/A"),Config!$B$16&amp;"; ","")&amp;IF(AND(Config!$B$17&lt;&gt;"",K76&lt;&gt;"Sim",K76&lt;&gt;"N/A"),Config!$B$17&amp;"; ","")&amp;IF(AND(Config!$D$10&lt;&gt;"",L76&lt;&gt;"Sim",L76&lt;&gt;"N/A"),Config!$D$10&amp;"; ","")&amp;IF(AND(Config!$D$11&lt;&gt;"",M76&lt;&gt;"Sim",M76&lt;&gt;"N/A"),Config!$D$11&amp;"; ","")&amp;IF(AND(Config!$D$12&lt;&gt;"",N76&lt;&gt;"Sim",N76&lt;&gt;"N/A"),Config!$D$12&amp;"; ","")&amp;IF(AND(Config!$D$13&lt;&gt;"",O76&lt;&gt;"Sim",O76&lt;&gt;"N/A"),Config!$D$13&amp;"; ","")&amp;IF(AND(Config!$D$14&lt;&gt;"",P76&lt;&gt;"Sim",P76&lt;&gt;"N/A"),Config!$D$14&amp;"; ","")&amp;IF(AND(Config!$D$15&lt;&gt;"",Q76&lt;&gt;"Sim",Q76&lt;&gt;"N/A"),Config!$D$15&amp;"; ","")&amp;IF(AND(Config!$D$16&lt;&gt;"",R76&lt;&gt;"Sim",R76&lt;&gt;"N/A"),Config!$D$16&amp;"; ","")&amp;IF(AND(Config!$D$17&lt;&gt;"",S76&lt;&gt;"Sim",S76&lt;&gt;"N/A"),Config!$D$17&amp;"; ",""))</f>
        <v>Guias e autorizações de convênio do dia separadas; Fechamento do dia lançado no Caixa (09); </v>
      </c>
      <c r="AB76" s="39">
        <f>IF(A76="",0,COUNTIF($A$5:$A$304,"&gt;"&amp;A76)+1)</f>
        <v>2</v>
      </c>
    </row>
    <row r="77">
      <c r="A77" s="37" t="n">
        <v>46276</v>
      </c>
      <c r="B77" s="24" t="str">
        <f>IF(A77="","",CHOOSE(WEEKDAY(A77,2),"Segunda","Terça","Quarta","Quinta","Sexta","Sábado","Domingo"))</f>
        <v>Sexta</v>
      </c>
      <c r="C77" s="38" t="inlineStr">
        <is>
          <t>Bruna Carvalho</t>
        </is>
      </c>
      <c r="D77" s="38" t="inlineStr">
        <is>
          <t>Sim</t>
        </is>
      </c>
      <c r="E77" s="38" t="inlineStr">
        <is>
          <t>Sim</t>
        </is>
      </c>
      <c r="F77" s="38" t="inlineStr">
        <is>
          <t>Sim</t>
        </is>
      </c>
      <c r="G77" s="38" t="inlineStr">
        <is>
          <t>Sim</t>
        </is>
      </c>
      <c r="H77" s="38" t="inlineStr">
        <is>
          <t>Não</t>
        </is>
      </c>
      <c r="I77" s="38" t="inlineStr">
        <is>
          <t>Sim</t>
        </is>
      </c>
      <c r="J77" s="38" t="n"/>
      <c r="K77" s="38" t="n"/>
      <c r="L77" s="38" t="inlineStr">
        <is>
          <t>Sim</t>
        </is>
      </c>
      <c r="M77" s="38" t="inlineStr">
        <is>
          <t>Sim</t>
        </is>
      </c>
      <c r="N77" s="38" t="inlineStr">
        <is>
          <t>Sim</t>
        </is>
      </c>
      <c r="O77" s="38" t="n"/>
      <c r="P77" s="38" t="inlineStr">
        <is>
          <t>Sim</t>
        </is>
      </c>
      <c r="Q77" s="38" t="inlineStr">
        <is>
          <t>Sim</t>
        </is>
      </c>
      <c r="R77" s="38" t="n"/>
      <c r="S77" s="38" t="n"/>
      <c r="T77" s="26">
        <f>IF(A77="","",IFERROR(COUNTIF(D77:K77,"Sim")/(Config!$B$19-COUNTIF(D77:K77,"N/A")),""))</f>
        <v>0.833333333333333</v>
      </c>
      <c r="U77" s="26">
        <f>IF(A77="","",IFERROR(COUNTIF(L77:S77,"Sim")/(Config!$D$19-COUNTIF(L77:S77,"N/A")),""))</f>
        <v>0.833333333333333</v>
      </c>
      <c r="V77" s="24">
        <f>IF(A77="","",MAX(0,Config!$B$19-COUNTIF(D77:K77,"Sim")-COUNTIF(D77:K77,"N/A")))</f>
        <v>1</v>
      </c>
      <c r="W77" s="24">
        <f>IF(A77="","",MAX(0,Config!$D$19-COUNTIF(L77:S77,"Sim")-COUNTIF(L77:S77,"N/A")))</f>
        <v>1</v>
      </c>
      <c r="X77" s="24">
        <f>IF(A77="","",V77+W77)</f>
        <v>2</v>
      </c>
      <c r="Y77" s="29" t="str">
        <f>IF(OR(A77="",AA77=""),"",LEFT(AA77,LEN(AA77)-2))</f>
        <v>Troco e maquininha conferidos; Guias do dia conferidas e guardadas para o lote (13)</v>
      </c>
      <c r="Z77" s="39">
        <f>IF(OR(A77="",X77=0),0,X77*100000+A77/100000)</f>
        <v>200000.46276</v>
      </c>
      <c r="AA77" s="39" t="str">
        <f>IF(A77="","",IF(AND(Config!$B$10&lt;&gt;"",D77&lt;&gt;"Sim",D77&lt;&gt;"N/A"),Config!$B$10&amp;"; ","")&amp;IF(AND(Config!$B$11&lt;&gt;"",E77&lt;&gt;"Sim",E77&lt;&gt;"N/A"),Config!$B$11&amp;"; ","")&amp;IF(AND(Config!$B$12&lt;&gt;"",F77&lt;&gt;"Sim",F77&lt;&gt;"N/A"),Config!$B$12&amp;"; ","")&amp;IF(AND(Config!$B$13&lt;&gt;"",G77&lt;&gt;"Sim",G77&lt;&gt;"N/A"),Config!$B$13&amp;"; ","")&amp;IF(AND(Config!$B$14&lt;&gt;"",H77&lt;&gt;"Sim",H77&lt;&gt;"N/A"),Config!$B$14&amp;"; ","")&amp;IF(AND(Config!$B$15&lt;&gt;"",I77&lt;&gt;"Sim",I77&lt;&gt;"N/A"),Config!$B$15&amp;"; ","")&amp;IF(AND(Config!$B$16&lt;&gt;"",J77&lt;&gt;"Sim",J77&lt;&gt;"N/A"),Config!$B$16&amp;"; ","")&amp;IF(AND(Config!$B$17&lt;&gt;"",K77&lt;&gt;"Sim",K77&lt;&gt;"N/A"),Config!$B$17&amp;"; ","")&amp;IF(AND(Config!$D$10&lt;&gt;"",L77&lt;&gt;"Sim",L77&lt;&gt;"N/A"),Config!$D$10&amp;"; ","")&amp;IF(AND(Config!$D$11&lt;&gt;"",M77&lt;&gt;"Sim",M77&lt;&gt;"N/A"),Config!$D$11&amp;"; ","")&amp;IF(AND(Config!$D$12&lt;&gt;"",N77&lt;&gt;"Sim",N77&lt;&gt;"N/A"),Config!$D$12&amp;"; ","")&amp;IF(AND(Config!$D$13&lt;&gt;"",O77&lt;&gt;"Sim",O77&lt;&gt;"N/A"),Config!$D$13&amp;"; ","")&amp;IF(AND(Config!$D$14&lt;&gt;"",P77&lt;&gt;"Sim",P77&lt;&gt;"N/A"),Config!$D$14&amp;"; ","")&amp;IF(AND(Config!$D$15&lt;&gt;"",Q77&lt;&gt;"Sim",Q77&lt;&gt;"N/A"),Config!$D$15&amp;"; ","")&amp;IF(AND(Config!$D$16&lt;&gt;"",R77&lt;&gt;"Sim",R77&lt;&gt;"N/A"),Config!$D$16&amp;"; ","")&amp;IF(AND(Config!$D$17&lt;&gt;"",S77&lt;&gt;"Sim",S77&lt;&gt;"N/A"),Config!$D$17&amp;"; ",""))</f>
        <v>Troco e maquininha conferidos; Guias do dia conferidas e guardadas para o lote (13); </v>
      </c>
      <c r="AB77" s="39">
        <f>IF(A77="",0,COUNTIF($A$5:$A$304,"&gt;"&amp;A77)+1)</f>
        <v>1</v>
      </c>
    </row>
    <row r="78">
      <c r="A78" s="37" t="n"/>
      <c r="B78" s="24">
        <f>IF(A78="","",CHOOSE(WEEKDAY(A78,2),"Segunda","Terça","Quarta","Quinta","Sexta","Sábado","Domingo"))</f>
        <v/>
      </c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26">
        <f>IF(A78="","",IFERROR(COUNTIF(D78:K78,"Sim")/(Config!$B$19-COUNTIF(D78:K78,"N/A")),""))</f>
        <v/>
      </c>
      <c r="U78" s="26">
        <f>IF(A78="","",IFERROR(COUNTIF(L78:S78,"Sim")/(Config!$D$19-COUNTIF(L78:S78,"N/A")),""))</f>
        <v/>
      </c>
      <c r="V78" s="24">
        <f>IF(A78="","",MAX(0,Config!$B$19-COUNTIF(D78:K78,"Sim")-COUNTIF(D78:K78,"N/A")))</f>
        <v/>
      </c>
      <c r="W78" s="24">
        <f>IF(A78="","",MAX(0,Config!$D$19-COUNTIF(L78:S78,"Sim")-COUNTIF(L78:S78,"N/A")))</f>
        <v/>
      </c>
      <c r="X78" s="24">
        <f>IF(A78="","",V78+W78)</f>
        <v/>
      </c>
      <c r="Y78" s="29">
        <f>IF(OR(A78="",AA78=""),"",LEFT(AA78,LEN(AA78)-2))</f>
        <v/>
      </c>
      <c r="Z78" s="39">
        <f>IF(OR(A78="",X78=0),0,X78*100000+A78/100000)</f>
        <v>0</v>
      </c>
      <c r="AA78" s="39">
        <f>IF(A78="","",IF(AND(Config!$B$10&lt;&gt;"",D78&lt;&gt;"Sim",D78&lt;&gt;"N/A"),Config!$B$10&amp;"; ","")&amp;IF(AND(Config!$B$11&lt;&gt;"",E78&lt;&gt;"Sim",E78&lt;&gt;"N/A"),Config!$B$11&amp;"; ","")&amp;IF(AND(Config!$B$12&lt;&gt;"",F78&lt;&gt;"Sim",F78&lt;&gt;"N/A"),Config!$B$12&amp;"; ","")&amp;IF(AND(Config!$B$13&lt;&gt;"",G78&lt;&gt;"Sim",G78&lt;&gt;"N/A"),Config!$B$13&amp;"; ","")&amp;IF(AND(Config!$B$14&lt;&gt;"",H78&lt;&gt;"Sim",H78&lt;&gt;"N/A"),Config!$B$14&amp;"; ","")&amp;IF(AND(Config!$B$15&lt;&gt;"",I78&lt;&gt;"Sim",I78&lt;&gt;"N/A"),Config!$B$15&amp;"; ","")&amp;IF(AND(Config!$B$16&lt;&gt;"",J78&lt;&gt;"Sim",J78&lt;&gt;"N/A"),Config!$B$16&amp;"; ","")&amp;IF(AND(Config!$B$17&lt;&gt;"",K78&lt;&gt;"Sim",K78&lt;&gt;"N/A"),Config!$B$17&amp;"; ","")&amp;IF(AND(Config!$D$10&lt;&gt;"",L78&lt;&gt;"Sim",L78&lt;&gt;"N/A"),Config!$D$10&amp;"; ","")&amp;IF(AND(Config!$D$11&lt;&gt;"",M78&lt;&gt;"Sim",M78&lt;&gt;"N/A"),Config!$D$11&amp;"; ","")&amp;IF(AND(Config!$D$12&lt;&gt;"",N78&lt;&gt;"Sim",N78&lt;&gt;"N/A"),Config!$D$12&amp;"; ","")&amp;IF(AND(Config!$D$13&lt;&gt;"",O78&lt;&gt;"Sim",O78&lt;&gt;"N/A"),Config!$D$13&amp;"; ","")&amp;IF(AND(Config!$D$14&lt;&gt;"",P78&lt;&gt;"Sim",P78&lt;&gt;"N/A"),Config!$D$14&amp;"; ","")&amp;IF(AND(Config!$D$15&lt;&gt;"",Q78&lt;&gt;"Sim",Q78&lt;&gt;"N/A"),Config!$D$15&amp;"; ","")&amp;IF(AND(Config!$D$16&lt;&gt;"",R78&lt;&gt;"Sim",R78&lt;&gt;"N/A"),Config!$D$16&amp;"; ","")&amp;IF(AND(Config!$D$17&lt;&gt;"",S78&lt;&gt;"Sim",S78&lt;&gt;"N/A"),Config!$D$17&amp;"; ",""))</f>
        <v/>
      </c>
      <c r="AB78" s="39">
        <f>IF(A78="",0,COUNTIF($A$5:$A$304,"&gt;"&amp;A78)+1)</f>
        <v>0</v>
      </c>
    </row>
    <row r="79">
      <c r="A79" s="37" t="n"/>
      <c r="B79" s="24">
        <f>IF(A79="","",CHOOSE(WEEKDAY(A79,2),"Segunda","Terça","Quarta","Quinta","Sexta","Sábado","Domingo"))</f>
        <v/>
      </c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26">
        <f>IF(A79="","",IFERROR(COUNTIF(D79:K79,"Sim")/(Config!$B$19-COUNTIF(D79:K79,"N/A")),""))</f>
        <v/>
      </c>
      <c r="U79" s="26">
        <f>IF(A79="","",IFERROR(COUNTIF(L79:S79,"Sim")/(Config!$D$19-COUNTIF(L79:S79,"N/A")),""))</f>
        <v/>
      </c>
      <c r="V79" s="24">
        <f>IF(A79="","",MAX(0,Config!$B$19-COUNTIF(D79:K79,"Sim")-COUNTIF(D79:K79,"N/A")))</f>
        <v/>
      </c>
      <c r="W79" s="24">
        <f>IF(A79="","",MAX(0,Config!$D$19-COUNTIF(L79:S79,"Sim")-COUNTIF(L79:S79,"N/A")))</f>
        <v/>
      </c>
      <c r="X79" s="24">
        <f>IF(A79="","",V79+W79)</f>
        <v/>
      </c>
      <c r="Y79" s="29">
        <f>IF(OR(A79="",AA79=""),"",LEFT(AA79,LEN(AA79)-2))</f>
        <v/>
      </c>
      <c r="Z79" s="39">
        <f>IF(OR(A79="",X79=0),0,X79*100000+A79/100000)</f>
        <v>0</v>
      </c>
      <c r="AA79" s="39">
        <f>IF(A79="","",IF(AND(Config!$B$10&lt;&gt;"",D79&lt;&gt;"Sim",D79&lt;&gt;"N/A"),Config!$B$10&amp;"; ","")&amp;IF(AND(Config!$B$11&lt;&gt;"",E79&lt;&gt;"Sim",E79&lt;&gt;"N/A"),Config!$B$11&amp;"; ","")&amp;IF(AND(Config!$B$12&lt;&gt;"",F79&lt;&gt;"Sim",F79&lt;&gt;"N/A"),Config!$B$12&amp;"; ","")&amp;IF(AND(Config!$B$13&lt;&gt;"",G79&lt;&gt;"Sim",G79&lt;&gt;"N/A"),Config!$B$13&amp;"; ","")&amp;IF(AND(Config!$B$14&lt;&gt;"",H79&lt;&gt;"Sim",H79&lt;&gt;"N/A"),Config!$B$14&amp;"; ","")&amp;IF(AND(Config!$B$15&lt;&gt;"",I79&lt;&gt;"Sim",I79&lt;&gt;"N/A"),Config!$B$15&amp;"; ","")&amp;IF(AND(Config!$B$16&lt;&gt;"",J79&lt;&gt;"Sim",J79&lt;&gt;"N/A"),Config!$B$16&amp;"; ","")&amp;IF(AND(Config!$B$17&lt;&gt;"",K79&lt;&gt;"Sim",K79&lt;&gt;"N/A"),Config!$B$17&amp;"; ","")&amp;IF(AND(Config!$D$10&lt;&gt;"",L79&lt;&gt;"Sim",L79&lt;&gt;"N/A"),Config!$D$10&amp;"; ","")&amp;IF(AND(Config!$D$11&lt;&gt;"",M79&lt;&gt;"Sim",M79&lt;&gt;"N/A"),Config!$D$11&amp;"; ","")&amp;IF(AND(Config!$D$12&lt;&gt;"",N79&lt;&gt;"Sim",N79&lt;&gt;"N/A"),Config!$D$12&amp;"; ","")&amp;IF(AND(Config!$D$13&lt;&gt;"",O79&lt;&gt;"Sim",O79&lt;&gt;"N/A"),Config!$D$13&amp;"; ","")&amp;IF(AND(Config!$D$14&lt;&gt;"",P79&lt;&gt;"Sim",P79&lt;&gt;"N/A"),Config!$D$14&amp;"; ","")&amp;IF(AND(Config!$D$15&lt;&gt;"",Q79&lt;&gt;"Sim",Q79&lt;&gt;"N/A"),Config!$D$15&amp;"; ","")&amp;IF(AND(Config!$D$16&lt;&gt;"",R79&lt;&gt;"Sim",R79&lt;&gt;"N/A"),Config!$D$16&amp;"; ","")&amp;IF(AND(Config!$D$17&lt;&gt;"",S79&lt;&gt;"Sim",S79&lt;&gt;"N/A"),Config!$D$17&amp;"; ",""))</f>
        <v/>
      </c>
      <c r="AB79" s="39">
        <f>IF(A79="",0,COUNTIF($A$5:$A$304,"&gt;"&amp;A79)+1)</f>
        <v>0</v>
      </c>
    </row>
    <row r="80">
      <c r="A80" s="37" t="n"/>
      <c r="B80" s="24">
        <f>IF(A80="","",CHOOSE(WEEKDAY(A80,2),"Segunda","Terça","Quarta","Quinta","Sexta","Sábado","Domingo"))</f>
        <v/>
      </c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26">
        <f>IF(A80="","",IFERROR(COUNTIF(D80:K80,"Sim")/(Config!$B$19-COUNTIF(D80:K80,"N/A")),""))</f>
        <v/>
      </c>
      <c r="U80" s="26">
        <f>IF(A80="","",IFERROR(COUNTIF(L80:S80,"Sim")/(Config!$D$19-COUNTIF(L80:S80,"N/A")),""))</f>
        <v/>
      </c>
      <c r="V80" s="24">
        <f>IF(A80="","",MAX(0,Config!$B$19-COUNTIF(D80:K80,"Sim")-COUNTIF(D80:K80,"N/A")))</f>
        <v/>
      </c>
      <c r="W80" s="24">
        <f>IF(A80="","",MAX(0,Config!$D$19-COUNTIF(L80:S80,"Sim")-COUNTIF(L80:S80,"N/A")))</f>
        <v/>
      </c>
      <c r="X80" s="24">
        <f>IF(A80="","",V80+W80)</f>
        <v/>
      </c>
      <c r="Y80" s="29">
        <f>IF(OR(A80="",AA80=""),"",LEFT(AA80,LEN(AA80)-2))</f>
        <v/>
      </c>
      <c r="Z80" s="39">
        <f>IF(OR(A80="",X80=0),0,X80*100000+A80/100000)</f>
        <v>0</v>
      </c>
      <c r="AA80" s="39">
        <f>IF(A80="","",IF(AND(Config!$B$10&lt;&gt;"",D80&lt;&gt;"Sim",D80&lt;&gt;"N/A"),Config!$B$10&amp;"; ","")&amp;IF(AND(Config!$B$11&lt;&gt;"",E80&lt;&gt;"Sim",E80&lt;&gt;"N/A"),Config!$B$11&amp;"; ","")&amp;IF(AND(Config!$B$12&lt;&gt;"",F80&lt;&gt;"Sim",F80&lt;&gt;"N/A"),Config!$B$12&amp;"; ","")&amp;IF(AND(Config!$B$13&lt;&gt;"",G80&lt;&gt;"Sim",G80&lt;&gt;"N/A"),Config!$B$13&amp;"; ","")&amp;IF(AND(Config!$B$14&lt;&gt;"",H80&lt;&gt;"Sim",H80&lt;&gt;"N/A"),Config!$B$14&amp;"; ","")&amp;IF(AND(Config!$B$15&lt;&gt;"",I80&lt;&gt;"Sim",I80&lt;&gt;"N/A"),Config!$B$15&amp;"; ","")&amp;IF(AND(Config!$B$16&lt;&gt;"",J80&lt;&gt;"Sim",J80&lt;&gt;"N/A"),Config!$B$16&amp;"; ","")&amp;IF(AND(Config!$B$17&lt;&gt;"",K80&lt;&gt;"Sim",K80&lt;&gt;"N/A"),Config!$B$17&amp;"; ","")&amp;IF(AND(Config!$D$10&lt;&gt;"",L80&lt;&gt;"Sim",L80&lt;&gt;"N/A"),Config!$D$10&amp;"; ","")&amp;IF(AND(Config!$D$11&lt;&gt;"",M80&lt;&gt;"Sim",M80&lt;&gt;"N/A"),Config!$D$11&amp;"; ","")&amp;IF(AND(Config!$D$12&lt;&gt;"",N80&lt;&gt;"Sim",N80&lt;&gt;"N/A"),Config!$D$12&amp;"; ","")&amp;IF(AND(Config!$D$13&lt;&gt;"",O80&lt;&gt;"Sim",O80&lt;&gt;"N/A"),Config!$D$13&amp;"; ","")&amp;IF(AND(Config!$D$14&lt;&gt;"",P80&lt;&gt;"Sim",P80&lt;&gt;"N/A"),Config!$D$14&amp;"; ","")&amp;IF(AND(Config!$D$15&lt;&gt;"",Q80&lt;&gt;"Sim",Q80&lt;&gt;"N/A"),Config!$D$15&amp;"; ","")&amp;IF(AND(Config!$D$16&lt;&gt;"",R80&lt;&gt;"Sim",R80&lt;&gt;"N/A"),Config!$D$16&amp;"; ","")&amp;IF(AND(Config!$D$17&lt;&gt;"",S80&lt;&gt;"Sim",S80&lt;&gt;"N/A"),Config!$D$17&amp;"; ",""))</f>
        <v/>
      </c>
      <c r="AB80" s="39">
        <f>IF(A80="",0,COUNTIF($A$5:$A$304,"&gt;"&amp;A80)+1)</f>
        <v>0</v>
      </c>
    </row>
    <row r="81">
      <c r="A81" s="37" t="n"/>
      <c r="B81" s="24">
        <f>IF(A81="","",CHOOSE(WEEKDAY(A81,2),"Segunda","Terça","Quarta","Quinta","Sexta","Sábado","Domingo"))</f>
        <v/>
      </c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26">
        <f>IF(A81="","",IFERROR(COUNTIF(D81:K81,"Sim")/(Config!$B$19-COUNTIF(D81:K81,"N/A")),""))</f>
        <v/>
      </c>
      <c r="U81" s="26">
        <f>IF(A81="","",IFERROR(COUNTIF(L81:S81,"Sim")/(Config!$D$19-COUNTIF(L81:S81,"N/A")),""))</f>
        <v/>
      </c>
      <c r="V81" s="24">
        <f>IF(A81="","",MAX(0,Config!$B$19-COUNTIF(D81:K81,"Sim")-COUNTIF(D81:K81,"N/A")))</f>
        <v/>
      </c>
      <c r="W81" s="24">
        <f>IF(A81="","",MAX(0,Config!$D$19-COUNTIF(L81:S81,"Sim")-COUNTIF(L81:S81,"N/A")))</f>
        <v/>
      </c>
      <c r="X81" s="24">
        <f>IF(A81="","",V81+W81)</f>
        <v/>
      </c>
      <c r="Y81" s="29">
        <f>IF(OR(A81="",AA81=""),"",LEFT(AA81,LEN(AA81)-2))</f>
        <v/>
      </c>
      <c r="Z81" s="39">
        <f>IF(OR(A81="",X81=0),0,X81*100000+A81/100000)</f>
        <v>0</v>
      </c>
      <c r="AA81" s="39">
        <f>IF(A81="","",IF(AND(Config!$B$10&lt;&gt;"",D81&lt;&gt;"Sim",D81&lt;&gt;"N/A"),Config!$B$10&amp;"; ","")&amp;IF(AND(Config!$B$11&lt;&gt;"",E81&lt;&gt;"Sim",E81&lt;&gt;"N/A"),Config!$B$11&amp;"; ","")&amp;IF(AND(Config!$B$12&lt;&gt;"",F81&lt;&gt;"Sim",F81&lt;&gt;"N/A"),Config!$B$12&amp;"; ","")&amp;IF(AND(Config!$B$13&lt;&gt;"",G81&lt;&gt;"Sim",G81&lt;&gt;"N/A"),Config!$B$13&amp;"; ","")&amp;IF(AND(Config!$B$14&lt;&gt;"",H81&lt;&gt;"Sim",H81&lt;&gt;"N/A"),Config!$B$14&amp;"; ","")&amp;IF(AND(Config!$B$15&lt;&gt;"",I81&lt;&gt;"Sim",I81&lt;&gt;"N/A"),Config!$B$15&amp;"; ","")&amp;IF(AND(Config!$B$16&lt;&gt;"",J81&lt;&gt;"Sim",J81&lt;&gt;"N/A"),Config!$B$16&amp;"; ","")&amp;IF(AND(Config!$B$17&lt;&gt;"",K81&lt;&gt;"Sim",K81&lt;&gt;"N/A"),Config!$B$17&amp;"; ","")&amp;IF(AND(Config!$D$10&lt;&gt;"",L81&lt;&gt;"Sim",L81&lt;&gt;"N/A"),Config!$D$10&amp;"; ","")&amp;IF(AND(Config!$D$11&lt;&gt;"",M81&lt;&gt;"Sim",M81&lt;&gt;"N/A"),Config!$D$11&amp;"; ","")&amp;IF(AND(Config!$D$12&lt;&gt;"",N81&lt;&gt;"Sim",N81&lt;&gt;"N/A"),Config!$D$12&amp;"; ","")&amp;IF(AND(Config!$D$13&lt;&gt;"",O81&lt;&gt;"Sim",O81&lt;&gt;"N/A"),Config!$D$13&amp;"; ","")&amp;IF(AND(Config!$D$14&lt;&gt;"",P81&lt;&gt;"Sim",P81&lt;&gt;"N/A"),Config!$D$14&amp;"; ","")&amp;IF(AND(Config!$D$15&lt;&gt;"",Q81&lt;&gt;"Sim",Q81&lt;&gt;"N/A"),Config!$D$15&amp;"; ","")&amp;IF(AND(Config!$D$16&lt;&gt;"",R81&lt;&gt;"Sim",R81&lt;&gt;"N/A"),Config!$D$16&amp;"; ","")&amp;IF(AND(Config!$D$17&lt;&gt;"",S81&lt;&gt;"Sim",S81&lt;&gt;"N/A"),Config!$D$17&amp;"; ",""))</f>
        <v/>
      </c>
      <c r="AB81" s="39">
        <f>IF(A81="",0,COUNTIF($A$5:$A$304,"&gt;"&amp;A81)+1)</f>
        <v>0</v>
      </c>
    </row>
    <row r="82">
      <c r="A82" s="37" t="n"/>
      <c r="B82" s="24">
        <f>IF(A82="","",CHOOSE(WEEKDAY(A82,2),"Segunda","Terça","Quarta","Quinta","Sexta","Sábado","Domingo"))</f>
        <v/>
      </c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26">
        <f>IF(A82="","",IFERROR(COUNTIF(D82:K82,"Sim")/(Config!$B$19-COUNTIF(D82:K82,"N/A")),""))</f>
        <v/>
      </c>
      <c r="U82" s="26">
        <f>IF(A82="","",IFERROR(COUNTIF(L82:S82,"Sim")/(Config!$D$19-COUNTIF(L82:S82,"N/A")),""))</f>
        <v/>
      </c>
      <c r="V82" s="24">
        <f>IF(A82="","",MAX(0,Config!$B$19-COUNTIF(D82:K82,"Sim")-COUNTIF(D82:K82,"N/A")))</f>
        <v/>
      </c>
      <c r="W82" s="24">
        <f>IF(A82="","",MAX(0,Config!$D$19-COUNTIF(L82:S82,"Sim")-COUNTIF(L82:S82,"N/A")))</f>
        <v/>
      </c>
      <c r="X82" s="24">
        <f>IF(A82="","",V82+W82)</f>
        <v/>
      </c>
      <c r="Y82" s="29">
        <f>IF(OR(A82="",AA82=""),"",LEFT(AA82,LEN(AA82)-2))</f>
        <v/>
      </c>
      <c r="Z82" s="39">
        <f>IF(OR(A82="",X82=0),0,X82*100000+A82/100000)</f>
        <v>0</v>
      </c>
      <c r="AA82" s="39">
        <f>IF(A82="","",IF(AND(Config!$B$10&lt;&gt;"",D82&lt;&gt;"Sim",D82&lt;&gt;"N/A"),Config!$B$10&amp;"; ","")&amp;IF(AND(Config!$B$11&lt;&gt;"",E82&lt;&gt;"Sim",E82&lt;&gt;"N/A"),Config!$B$11&amp;"; ","")&amp;IF(AND(Config!$B$12&lt;&gt;"",F82&lt;&gt;"Sim",F82&lt;&gt;"N/A"),Config!$B$12&amp;"; ","")&amp;IF(AND(Config!$B$13&lt;&gt;"",G82&lt;&gt;"Sim",G82&lt;&gt;"N/A"),Config!$B$13&amp;"; ","")&amp;IF(AND(Config!$B$14&lt;&gt;"",H82&lt;&gt;"Sim",H82&lt;&gt;"N/A"),Config!$B$14&amp;"; ","")&amp;IF(AND(Config!$B$15&lt;&gt;"",I82&lt;&gt;"Sim",I82&lt;&gt;"N/A"),Config!$B$15&amp;"; ","")&amp;IF(AND(Config!$B$16&lt;&gt;"",J82&lt;&gt;"Sim",J82&lt;&gt;"N/A"),Config!$B$16&amp;"; ","")&amp;IF(AND(Config!$B$17&lt;&gt;"",K82&lt;&gt;"Sim",K82&lt;&gt;"N/A"),Config!$B$17&amp;"; ","")&amp;IF(AND(Config!$D$10&lt;&gt;"",L82&lt;&gt;"Sim",L82&lt;&gt;"N/A"),Config!$D$10&amp;"; ","")&amp;IF(AND(Config!$D$11&lt;&gt;"",M82&lt;&gt;"Sim",M82&lt;&gt;"N/A"),Config!$D$11&amp;"; ","")&amp;IF(AND(Config!$D$12&lt;&gt;"",N82&lt;&gt;"Sim",N82&lt;&gt;"N/A"),Config!$D$12&amp;"; ","")&amp;IF(AND(Config!$D$13&lt;&gt;"",O82&lt;&gt;"Sim",O82&lt;&gt;"N/A"),Config!$D$13&amp;"; ","")&amp;IF(AND(Config!$D$14&lt;&gt;"",P82&lt;&gt;"Sim",P82&lt;&gt;"N/A"),Config!$D$14&amp;"; ","")&amp;IF(AND(Config!$D$15&lt;&gt;"",Q82&lt;&gt;"Sim",Q82&lt;&gt;"N/A"),Config!$D$15&amp;"; ","")&amp;IF(AND(Config!$D$16&lt;&gt;"",R82&lt;&gt;"Sim",R82&lt;&gt;"N/A"),Config!$D$16&amp;"; ","")&amp;IF(AND(Config!$D$17&lt;&gt;"",S82&lt;&gt;"Sim",S82&lt;&gt;"N/A"),Config!$D$17&amp;"; ",""))</f>
        <v/>
      </c>
      <c r="AB82" s="39">
        <f>IF(A82="",0,COUNTIF($A$5:$A$304,"&gt;"&amp;A82)+1)</f>
        <v>0</v>
      </c>
    </row>
    <row r="83">
      <c r="A83" s="37" t="n"/>
      <c r="B83" s="24">
        <f>IF(A83="","",CHOOSE(WEEKDAY(A83,2),"Segunda","Terça","Quarta","Quinta","Sexta","Sábado","Domingo"))</f>
        <v/>
      </c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26">
        <f>IF(A83="","",IFERROR(COUNTIF(D83:K83,"Sim")/(Config!$B$19-COUNTIF(D83:K83,"N/A")),""))</f>
        <v/>
      </c>
      <c r="U83" s="26">
        <f>IF(A83="","",IFERROR(COUNTIF(L83:S83,"Sim")/(Config!$D$19-COUNTIF(L83:S83,"N/A")),""))</f>
        <v/>
      </c>
      <c r="V83" s="24">
        <f>IF(A83="","",MAX(0,Config!$B$19-COUNTIF(D83:K83,"Sim")-COUNTIF(D83:K83,"N/A")))</f>
        <v/>
      </c>
      <c r="W83" s="24">
        <f>IF(A83="","",MAX(0,Config!$D$19-COUNTIF(L83:S83,"Sim")-COUNTIF(L83:S83,"N/A")))</f>
        <v/>
      </c>
      <c r="X83" s="24">
        <f>IF(A83="","",V83+W83)</f>
        <v/>
      </c>
      <c r="Y83" s="29">
        <f>IF(OR(A83="",AA83=""),"",LEFT(AA83,LEN(AA83)-2))</f>
        <v/>
      </c>
      <c r="Z83" s="39">
        <f>IF(OR(A83="",X83=0),0,X83*100000+A83/100000)</f>
        <v>0</v>
      </c>
      <c r="AA83" s="39">
        <f>IF(A83="","",IF(AND(Config!$B$10&lt;&gt;"",D83&lt;&gt;"Sim",D83&lt;&gt;"N/A"),Config!$B$10&amp;"; ","")&amp;IF(AND(Config!$B$11&lt;&gt;"",E83&lt;&gt;"Sim",E83&lt;&gt;"N/A"),Config!$B$11&amp;"; ","")&amp;IF(AND(Config!$B$12&lt;&gt;"",F83&lt;&gt;"Sim",F83&lt;&gt;"N/A"),Config!$B$12&amp;"; ","")&amp;IF(AND(Config!$B$13&lt;&gt;"",G83&lt;&gt;"Sim",G83&lt;&gt;"N/A"),Config!$B$13&amp;"; ","")&amp;IF(AND(Config!$B$14&lt;&gt;"",H83&lt;&gt;"Sim",H83&lt;&gt;"N/A"),Config!$B$14&amp;"; ","")&amp;IF(AND(Config!$B$15&lt;&gt;"",I83&lt;&gt;"Sim",I83&lt;&gt;"N/A"),Config!$B$15&amp;"; ","")&amp;IF(AND(Config!$B$16&lt;&gt;"",J83&lt;&gt;"Sim",J83&lt;&gt;"N/A"),Config!$B$16&amp;"; ","")&amp;IF(AND(Config!$B$17&lt;&gt;"",K83&lt;&gt;"Sim",K83&lt;&gt;"N/A"),Config!$B$17&amp;"; ","")&amp;IF(AND(Config!$D$10&lt;&gt;"",L83&lt;&gt;"Sim",L83&lt;&gt;"N/A"),Config!$D$10&amp;"; ","")&amp;IF(AND(Config!$D$11&lt;&gt;"",M83&lt;&gt;"Sim",M83&lt;&gt;"N/A"),Config!$D$11&amp;"; ","")&amp;IF(AND(Config!$D$12&lt;&gt;"",N83&lt;&gt;"Sim",N83&lt;&gt;"N/A"),Config!$D$12&amp;"; ","")&amp;IF(AND(Config!$D$13&lt;&gt;"",O83&lt;&gt;"Sim",O83&lt;&gt;"N/A"),Config!$D$13&amp;"; ","")&amp;IF(AND(Config!$D$14&lt;&gt;"",P83&lt;&gt;"Sim",P83&lt;&gt;"N/A"),Config!$D$14&amp;"; ","")&amp;IF(AND(Config!$D$15&lt;&gt;"",Q83&lt;&gt;"Sim",Q83&lt;&gt;"N/A"),Config!$D$15&amp;"; ","")&amp;IF(AND(Config!$D$16&lt;&gt;"",R83&lt;&gt;"Sim",R83&lt;&gt;"N/A"),Config!$D$16&amp;"; ","")&amp;IF(AND(Config!$D$17&lt;&gt;"",S83&lt;&gt;"Sim",S83&lt;&gt;"N/A"),Config!$D$17&amp;"; ",""))</f>
        <v/>
      </c>
      <c r="AB83" s="39">
        <f>IF(A83="",0,COUNTIF($A$5:$A$304,"&gt;"&amp;A83)+1)</f>
        <v>0</v>
      </c>
    </row>
    <row r="84">
      <c r="A84" s="37" t="n"/>
      <c r="B84" s="24">
        <f>IF(A84="","",CHOOSE(WEEKDAY(A84,2),"Segunda","Terça","Quarta","Quinta","Sexta","Sábado","Domingo"))</f>
        <v/>
      </c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26">
        <f>IF(A84="","",IFERROR(COUNTIF(D84:K84,"Sim")/(Config!$B$19-COUNTIF(D84:K84,"N/A")),""))</f>
        <v/>
      </c>
      <c r="U84" s="26">
        <f>IF(A84="","",IFERROR(COUNTIF(L84:S84,"Sim")/(Config!$D$19-COUNTIF(L84:S84,"N/A")),""))</f>
        <v/>
      </c>
      <c r="V84" s="24">
        <f>IF(A84="","",MAX(0,Config!$B$19-COUNTIF(D84:K84,"Sim")-COUNTIF(D84:K84,"N/A")))</f>
        <v/>
      </c>
      <c r="W84" s="24">
        <f>IF(A84="","",MAX(0,Config!$D$19-COUNTIF(L84:S84,"Sim")-COUNTIF(L84:S84,"N/A")))</f>
        <v/>
      </c>
      <c r="X84" s="24">
        <f>IF(A84="","",V84+W84)</f>
        <v/>
      </c>
      <c r="Y84" s="29">
        <f>IF(OR(A84="",AA84=""),"",LEFT(AA84,LEN(AA84)-2))</f>
        <v/>
      </c>
      <c r="Z84" s="39">
        <f>IF(OR(A84="",X84=0),0,X84*100000+A84/100000)</f>
        <v>0</v>
      </c>
      <c r="AA84" s="39">
        <f>IF(A84="","",IF(AND(Config!$B$10&lt;&gt;"",D84&lt;&gt;"Sim",D84&lt;&gt;"N/A"),Config!$B$10&amp;"; ","")&amp;IF(AND(Config!$B$11&lt;&gt;"",E84&lt;&gt;"Sim",E84&lt;&gt;"N/A"),Config!$B$11&amp;"; ","")&amp;IF(AND(Config!$B$12&lt;&gt;"",F84&lt;&gt;"Sim",F84&lt;&gt;"N/A"),Config!$B$12&amp;"; ","")&amp;IF(AND(Config!$B$13&lt;&gt;"",G84&lt;&gt;"Sim",G84&lt;&gt;"N/A"),Config!$B$13&amp;"; ","")&amp;IF(AND(Config!$B$14&lt;&gt;"",H84&lt;&gt;"Sim",H84&lt;&gt;"N/A"),Config!$B$14&amp;"; ","")&amp;IF(AND(Config!$B$15&lt;&gt;"",I84&lt;&gt;"Sim",I84&lt;&gt;"N/A"),Config!$B$15&amp;"; ","")&amp;IF(AND(Config!$B$16&lt;&gt;"",J84&lt;&gt;"Sim",J84&lt;&gt;"N/A"),Config!$B$16&amp;"; ","")&amp;IF(AND(Config!$B$17&lt;&gt;"",K84&lt;&gt;"Sim",K84&lt;&gt;"N/A"),Config!$B$17&amp;"; ","")&amp;IF(AND(Config!$D$10&lt;&gt;"",L84&lt;&gt;"Sim",L84&lt;&gt;"N/A"),Config!$D$10&amp;"; ","")&amp;IF(AND(Config!$D$11&lt;&gt;"",M84&lt;&gt;"Sim",M84&lt;&gt;"N/A"),Config!$D$11&amp;"; ","")&amp;IF(AND(Config!$D$12&lt;&gt;"",N84&lt;&gt;"Sim",N84&lt;&gt;"N/A"),Config!$D$12&amp;"; ","")&amp;IF(AND(Config!$D$13&lt;&gt;"",O84&lt;&gt;"Sim",O84&lt;&gt;"N/A"),Config!$D$13&amp;"; ","")&amp;IF(AND(Config!$D$14&lt;&gt;"",P84&lt;&gt;"Sim",P84&lt;&gt;"N/A"),Config!$D$14&amp;"; ","")&amp;IF(AND(Config!$D$15&lt;&gt;"",Q84&lt;&gt;"Sim",Q84&lt;&gt;"N/A"),Config!$D$15&amp;"; ","")&amp;IF(AND(Config!$D$16&lt;&gt;"",R84&lt;&gt;"Sim",R84&lt;&gt;"N/A"),Config!$D$16&amp;"; ","")&amp;IF(AND(Config!$D$17&lt;&gt;"",S84&lt;&gt;"Sim",S84&lt;&gt;"N/A"),Config!$D$17&amp;"; ",""))</f>
        <v/>
      </c>
      <c r="AB84" s="39">
        <f>IF(A84="",0,COUNTIF($A$5:$A$304,"&gt;"&amp;A84)+1)</f>
        <v>0</v>
      </c>
    </row>
    <row r="85">
      <c r="A85" s="37" t="n"/>
      <c r="B85" s="24">
        <f>IF(A85="","",CHOOSE(WEEKDAY(A85,2),"Segunda","Terça","Quarta","Quinta","Sexta","Sábado","Domingo"))</f>
        <v/>
      </c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26">
        <f>IF(A85="","",IFERROR(COUNTIF(D85:K85,"Sim")/(Config!$B$19-COUNTIF(D85:K85,"N/A")),""))</f>
        <v/>
      </c>
      <c r="U85" s="26">
        <f>IF(A85="","",IFERROR(COUNTIF(L85:S85,"Sim")/(Config!$D$19-COUNTIF(L85:S85,"N/A")),""))</f>
        <v/>
      </c>
      <c r="V85" s="24">
        <f>IF(A85="","",MAX(0,Config!$B$19-COUNTIF(D85:K85,"Sim")-COUNTIF(D85:K85,"N/A")))</f>
        <v/>
      </c>
      <c r="W85" s="24">
        <f>IF(A85="","",MAX(0,Config!$D$19-COUNTIF(L85:S85,"Sim")-COUNTIF(L85:S85,"N/A")))</f>
        <v/>
      </c>
      <c r="X85" s="24">
        <f>IF(A85="","",V85+W85)</f>
        <v/>
      </c>
      <c r="Y85" s="29">
        <f>IF(OR(A85="",AA85=""),"",LEFT(AA85,LEN(AA85)-2))</f>
        <v/>
      </c>
      <c r="Z85" s="39">
        <f>IF(OR(A85="",X85=0),0,X85*100000+A85/100000)</f>
        <v>0</v>
      </c>
      <c r="AA85" s="39">
        <f>IF(A85="","",IF(AND(Config!$B$10&lt;&gt;"",D85&lt;&gt;"Sim",D85&lt;&gt;"N/A"),Config!$B$10&amp;"; ","")&amp;IF(AND(Config!$B$11&lt;&gt;"",E85&lt;&gt;"Sim",E85&lt;&gt;"N/A"),Config!$B$11&amp;"; ","")&amp;IF(AND(Config!$B$12&lt;&gt;"",F85&lt;&gt;"Sim",F85&lt;&gt;"N/A"),Config!$B$12&amp;"; ","")&amp;IF(AND(Config!$B$13&lt;&gt;"",G85&lt;&gt;"Sim",G85&lt;&gt;"N/A"),Config!$B$13&amp;"; ","")&amp;IF(AND(Config!$B$14&lt;&gt;"",H85&lt;&gt;"Sim",H85&lt;&gt;"N/A"),Config!$B$14&amp;"; ","")&amp;IF(AND(Config!$B$15&lt;&gt;"",I85&lt;&gt;"Sim",I85&lt;&gt;"N/A"),Config!$B$15&amp;"; ","")&amp;IF(AND(Config!$B$16&lt;&gt;"",J85&lt;&gt;"Sim",J85&lt;&gt;"N/A"),Config!$B$16&amp;"; ","")&amp;IF(AND(Config!$B$17&lt;&gt;"",K85&lt;&gt;"Sim",K85&lt;&gt;"N/A"),Config!$B$17&amp;"; ","")&amp;IF(AND(Config!$D$10&lt;&gt;"",L85&lt;&gt;"Sim",L85&lt;&gt;"N/A"),Config!$D$10&amp;"; ","")&amp;IF(AND(Config!$D$11&lt;&gt;"",M85&lt;&gt;"Sim",M85&lt;&gt;"N/A"),Config!$D$11&amp;"; ","")&amp;IF(AND(Config!$D$12&lt;&gt;"",N85&lt;&gt;"Sim",N85&lt;&gt;"N/A"),Config!$D$12&amp;"; ","")&amp;IF(AND(Config!$D$13&lt;&gt;"",O85&lt;&gt;"Sim",O85&lt;&gt;"N/A"),Config!$D$13&amp;"; ","")&amp;IF(AND(Config!$D$14&lt;&gt;"",P85&lt;&gt;"Sim",P85&lt;&gt;"N/A"),Config!$D$14&amp;"; ","")&amp;IF(AND(Config!$D$15&lt;&gt;"",Q85&lt;&gt;"Sim",Q85&lt;&gt;"N/A"),Config!$D$15&amp;"; ","")&amp;IF(AND(Config!$D$16&lt;&gt;"",R85&lt;&gt;"Sim",R85&lt;&gt;"N/A"),Config!$D$16&amp;"; ","")&amp;IF(AND(Config!$D$17&lt;&gt;"",S85&lt;&gt;"Sim",S85&lt;&gt;"N/A"),Config!$D$17&amp;"; ",""))</f>
        <v/>
      </c>
      <c r="AB85" s="39">
        <f>IF(A85="",0,COUNTIF($A$5:$A$304,"&gt;"&amp;A85)+1)</f>
        <v>0</v>
      </c>
    </row>
    <row r="86">
      <c r="A86" s="37" t="n"/>
      <c r="B86" s="24">
        <f>IF(A86="","",CHOOSE(WEEKDAY(A86,2),"Segunda","Terça","Quarta","Quinta","Sexta","Sábado","Domingo"))</f>
        <v/>
      </c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26">
        <f>IF(A86="","",IFERROR(COUNTIF(D86:K86,"Sim")/(Config!$B$19-COUNTIF(D86:K86,"N/A")),""))</f>
        <v/>
      </c>
      <c r="U86" s="26">
        <f>IF(A86="","",IFERROR(COUNTIF(L86:S86,"Sim")/(Config!$D$19-COUNTIF(L86:S86,"N/A")),""))</f>
        <v/>
      </c>
      <c r="V86" s="24">
        <f>IF(A86="","",MAX(0,Config!$B$19-COUNTIF(D86:K86,"Sim")-COUNTIF(D86:K86,"N/A")))</f>
        <v/>
      </c>
      <c r="W86" s="24">
        <f>IF(A86="","",MAX(0,Config!$D$19-COUNTIF(L86:S86,"Sim")-COUNTIF(L86:S86,"N/A")))</f>
        <v/>
      </c>
      <c r="X86" s="24">
        <f>IF(A86="","",V86+W86)</f>
        <v/>
      </c>
      <c r="Y86" s="29">
        <f>IF(OR(A86="",AA86=""),"",LEFT(AA86,LEN(AA86)-2))</f>
        <v/>
      </c>
      <c r="Z86" s="39">
        <f>IF(OR(A86="",X86=0),0,X86*100000+A86/100000)</f>
        <v>0</v>
      </c>
      <c r="AA86" s="39">
        <f>IF(A86="","",IF(AND(Config!$B$10&lt;&gt;"",D86&lt;&gt;"Sim",D86&lt;&gt;"N/A"),Config!$B$10&amp;"; ","")&amp;IF(AND(Config!$B$11&lt;&gt;"",E86&lt;&gt;"Sim",E86&lt;&gt;"N/A"),Config!$B$11&amp;"; ","")&amp;IF(AND(Config!$B$12&lt;&gt;"",F86&lt;&gt;"Sim",F86&lt;&gt;"N/A"),Config!$B$12&amp;"; ","")&amp;IF(AND(Config!$B$13&lt;&gt;"",G86&lt;&gt;"Sim",G86&lt;&gt;"N/A"),Config!$B$13&amp;"; ","")&amp;IF(AND(Config!$B$14&lt;&gt;"",H86&lt;&gt;"Sim",H86&lt;&gt;"N/A"),Config!$B$14&amp;"; ","")&amp;IF(AND(Config!$B$15&lt;&gt;"",I86&lt;&gt;"Sim",I86&lt;&gt;"N/A"),Config!$B$15&amp;"; ","")&amp;IF(AND(Config!$B$16&lt;&gt;"",J86&lt;&gt;"Sim",J86&lt;&gt;"N/A"),Config!$B$16&amp;"; ","")&amp;IF(AND(Config!$B$17&lt;&gt;"",K86&lt;&gt;"Sim",K86&lt;&gt;"N/A"),Config!$B$17&amp;"; ","")&amp;IF(AND(Config!$D$10&lt;&gt;"",L86&lt;&gt;"Sim",L86&lt;&gt;"N/A"),Config!$D$10&amp;"; ","")&amp;IF(AND(Config!$D$11&lt;&gt;"",M86&lt;&gt;"Sim",M86&lt;&gt;"N/A"),Config!$D$11&amp;"; ","")&amp;IF(AND(Config!$D$12&lt;&gt;"",N86&lt;&gt;"Sim",N86&lt;&gt;"N/A"),Config!$D$12&amp;"; ","")&amp;IF(AND(Config!$D$13&lt;&gt;"",O86&lt;&gt;"Sim",O86&lt;&gt;"N/A"),Config!$D$13&amp;"; ","")&amp;IF(AND(Config!$D$14&lt;&gt;"",P86&lt;&gt;"Sim",P86&lt;&gt;"N/A"),Config!$D$14&amp;"; ","")&amp;IF(AND(Config!$D$15&lt;&gt;"",Q86&lt;&gt;"Sim",Q86&lt;&gt;"N/A"),Config!$D$15&amp;"; ","")&amp;IF(AND(Config!$D$16&lt;&gt;"",R86&lt;&gt;"Sim",R86&lt;&gt;"N/A"),Config!$D$16&amp;"; ","")&amp;IF(AND(Config!$D$17&lt;&gt;"",S86&lt;&gt;"Sim",S86&lt;&gt;"N/A"),Config!$D$17&amp;"; ",""))</f>
        <v/>
      </c>
      <c r="AB86" s="39">
        <f>IF(A86="",0,COUNTIF($A$5:$A$304,"&gt;"&amp;A86)+1)</f>
        <v>0</v>
      </c>
    </row>
    <row r="87">
      <c r="A87" s="37" t="n"/>
      <c r="B87" s="24">
        <f>IF(A87="","",CHOOSE(WEEKDAY(A87,2),"Segunda","Terça","Quarta","Quinta","Sexta","Sábado","Domingo"))</f>
        <v/>
      </c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26">
        <f>IF(A87="","",IFERROR(COUNTIF(D87:K87,"Sim")/(Config!$B$19-COUNTIF(D87:K87,"N/A")),""))</f>
        <v/>
      </c>
      <c r="U87" s="26">
        <f>IF(A87="","",IFERROR(COUNTIF(L87:S87,"Sim")/(Config!$D$19-COUNTIF(L87:S87,"N/A")),""))</f>
        <v/>
      </c>
      <c r="V87" s="24">
        <f>IF(A87="","",MAX(0,Config!$B$19-COUNTIF(D87:K87,"Sim")-COUNTIF(D87:K87,"N/A")))</f>
        <v/>
      </c>
      <c r="W87" s="24">
        <f>IF(A87="","",MAX(0,Config!$D$19-COUNTIF(L87:S87,"Sim")-COUNTIF(L87:S87,"N/A")))</f>
        <v/>
      </c>
      <c r="X87" s="24">
        <f>IF(A87="","",V87+W87)</f>
        <v/>
      </c>
      <c r="Y87" s="29">
        <f>IF(OR(A87="",AA87=""),"",LEFT(AA87,LEN(AA87)-2))</f>
        <v/>
      </c>
      <c r="Z87" s="39">
        <f>IF(OR(A87="",X87=0),0,X87*100000+A87/100000)</f>
        <v>0</v>
      </c>
      <c r="AA87" s="39">
        <f>IF(A87="","",IF(AND(Config!$B$10&lt;&gt;"",D87&lt;&gt;"Sim",D87&lt;&gt;"N/A"),Config!$B$10&amp;"; ","")&amp;IF(AND(Config!$B$11&lt;&gt;"",E87&lt;&gt;"Sim",E87&lt;&gt;"N/A"),Config!$B$11&amp;"; ","")&amp;IF(AND(Config!$B$12&lt;&gt;"",F87&lt;&gt;"Sim",F87&lt;&gt;"N/A"),Config!$B$12&amp;"; ","")&amp;IF(AND(Config!$B$13&lt;&gt;"",G87&lt;&gt;"Sim",G87&lt;&gt;"N/A"),Config!$B$13&amp;"; ","")&amp;IF(AND(Config!$B$14&lt;&gt;"",H87&lt;&gt;"Sim",H87&lt;&gt;"N/A"),Config!$B$14&amp;"; ","")&amp;IF(AND(Config!$B$15&lt;&gt;"",I87&lt;&gt;"Sim",I87&lt;&gt;"N/A"),Config!$B$15&amp;"; ","")&amp;IF(AND(Config!$B$16&lt;&gt;"",J87&lt;&gt;"Sim",J87&lt;&gt;"N/A"),Config!$B$16&amp;"; ","")&amp;IF(AND(Config!$B$17&lt;&gt;"",K87&lt;&gt;"Sim",K87&lt;&gt;"N/A"),Config!$B$17&amp;"; ","")&amp;IF(AND(Config!$D$10&lt;&gt;"",L87&lt;&gt;"Sim",L87&lt;&gt;"N/A"),Config!$D$10&amp;"; ","")&amp;IF(AND(Config!$D$11&lt;&gt;"",M87&lt;&gt;"Sim",M87&lt;&gt;"N/A"),Config!$D$11&amp;"; ","")&amp;IF(AND(Config!$D$12&lt;&gt;"",N87&lt;&gt;"Sim",N87&lt;&gt;"N/A"),Config!$D$12&amp;"; ","")&amp;IF(AND(Config!$D$13&lt;&gt;"",O87&lt;&gt;"Sim",O87&lt;&gt;"N/A"),Config!$D$13&amp;"; ","")&amp;IF(AND(Config!$D$14&lt;&gt;"",P87&lt;&gt;"Sim",P87&lt;&gt;"N/A"),Config!$D$14&amp;"; ","")&amp;IF(AND(Config!$D$15&lt;&gt;"",Q87&lt;&gt;"Sim",Q87&lt;&gt;"N/A"),Config!$D$15&amp;"; ","")&amp;IF(AND(Config!$D$16&lt;&gt;"",R87&lt;&gt;"Sim",R87&lt;&gt;"N/A"),Config!$D$16&amp;"; ","")&amp;IF(AND(Config!$D$17&lt;&gt;"",S87&lt;&gt;"Sim",S87&lt;&gt;"N/A"),Config!$D$17&amp;"; ",""))</f>
        <v/>
      </c>
      <c r="AB87" s="39">
        <f>IF(A87="",0,COUNTIF($A$5:$A$304,"&gt;"&amp;A87)+1)</f>
        <v>0</v>
      </c>
    </row>
    <row r="88">
      <c r="A88" s="37" t="n"/>
      <c r="B88" s="24">
        <f>IF(A88="","",CHOOSE(WEEKDAY(A88,2),"Segunda","Terça","Quarta","Quinta","Sexta","Sábado","Domingo"))</f>
        <v/>
      </c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26">
        <f>IF(A88="","",IFERROR(COUNTIF(D88:K88,"Sim")/(Config!$B$19-COUNTIF(D88:K88,"N/A")),""))</f>
        <v/>
      </c>
      <c r="U88" s="26">
        <f>IF(A88="","",IFERROR(COUNTIF(L88:S88,"Sim")/(Config!$D$19-COUNTIF(L88:S88,"N/A")),""))</f>
        <v/>
      </c>
      <c r="V88" s="24">
        <f>IF(A88="","",MAX(0,Config!$B$19-COUNTIF(D88:K88,"Sim")-COUNTIF(D88:K88,"N/A")))</f>
        <v/>
      </c>
      <c r="W88" s="24">
        <f>IF(A88="","",MAX(0,Config!$D$19-COUNTIF(L88:S88,"Sim")-COUNTIF(L88:S88,"N/A")))</f>
        <v/>
      </c>
      <c r="X88" s="24">
        <f>IF(A88="","",V88+W88)</f>
        <v/>
      </c>
      <c r="Y88" s="29">
        <f>IF(OR(A88="",AA88=""),"",LEFT(AA88,LEN(AA88)-2))</f>
        <v/>
      </c>
      <c r="Z88" s="39">
        <f>IF(OR(A88="",X88=0),0,X88*100000+A88/100000)</f>
        <v>0</v>
      </c>
      <c r="AA88" s="39">
        <f>IF(A88="","",IF(AND(Config!$B$10&lt;&gt;"",D88&lt;&gt;"Sim",D88&lt;&gt;"N/A"),Config!$B$10&amp;"; ","")&amp;IF(AND(Config!$B$11&lt;&gt;"",E88&lt;&gt;"Sim",E88&lt;&gt;"N/A"),Config!$B$11&amp;"; ","")&amp;IF(AND(Config!$B$12&lt;&gt;"",F88&lt;&gt;"Sim",F88&lt;&gt;"N/A"),Config!$B$12&amp;"; ","")&amp;IF(AND(Config!$B$13&lt;&gt;"",G88&lt;&gt;"Sim",G88&lt;&gt;"N/A"),Config!$B$13&amp;"; ","")&amp;IF(AND(Config!$B$14&lt;&gt;"",H88&lt;&gt;"Sim",H88&lt;&gt;"N/A"),Config!$B$14&amp;"; ","")&amp;IF(AND(Config!$B$15&lt;&gt;"",I88&lt;&gt;"Sim",I88&lt;&gt;"N/A"),Config!$B$15&amp;"; ","")&amp;IF(AND(Config!$B$16&lt;&gt;"",J88&lt;&gt;"Sim",J88&lt;&gt;"N/A"),Config!$B$16&amp;"; ","")&amp;IF(AND(Config!$B$17&lt;&gt;"",K88&lt;&gt;"Sim",K88&lt;&gt;"N/A"),Config!$B$17&amp;"; ","")&amp;IF(AND(Config!$D$10&lt;&gt;"",L88&lt;&gt;"Sim",L88&lt;&gt;"N/A"),Config!$D$10&amp;"; ","")&amp;IF(AND(Config!$D$11&lt;&gt;"",M88&lt;&gt;"Sim",M88&lt;&gt;"N/A"),Config!$D$11&amp;"; ","")&amp;IF(AND(Config!$D$12&lt;&gt;"",N88&lt;&gt;"Sim",N88&lt;&gt;"N/A"),Config!$D$12&amp;"; ","")&amp;IF(AND(Config!$D$13&lt;&gt;"",O88&lt;&gt;"Sim",O88&lt;&gt;"N/A"),Config!$D$13&amp;"; ","")&amp;IF(AND(Config!$D$14&lt;&gt;"",P88&lt;&gt;"Sim",P88&lt;&gt;"N/A"),Config!$D$14&amp;"; ","")&amp;IF(AND(Config!$D$15&lt;&gt;"",Q88&lt;&gt;"Sim",Q88&lt;&gt;"N/A"),Config!$D$15&amp;"; ","")&amp;IF(AND(Config!$D$16&lt;&gt;"",R88&lt;&gt;"Sim",R88&lt;&gt;"N/A"),Config!$D$16&amp;"; ","")&amp;IF(AND(Config!$D$17&lt;&gt;"",S88&lt;&gt;"Sim",S88&lt;&gt;"N/A"),Config!$D$17&amp;"; ",""))</f>
        <v/>
      </c>
      <c r="AB88" s="39">
        <f>IF(A88="",0,COUNTIF($A$5:$A$304,"&gt;"&amp;A88)+1)</f>
        <v>0</v>
      </c>
    </row>
    <row r="89">
      <c r="A89" s="37" t="n"/>
      <c r="B89" s="24">
        <f>IF(A89="","",CHOOSE(WEEKDAY(A89,2),"Segunda","Terça","Quarta","Quinta","Sexta","Sábado","Domingo"))</f>
        <v/>
      </c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26">
        <f>IF(A89="","",IFERROR(COUNTIF(D89:K89,"Sim")/(Config!$B$19-COUNTIF(D89:K89,"N/A")),""))</f>
        <v/>
      </c>
      <c r="U89" s="26">
        <f>IF(A89="","",IFERROR(COUNTIF(L89:S89,"Sim")/(Config!$D$19-COUNTIF(L89:S89,"N/A")),""))</f>
        <v/>
      </c>
      <c r="V89" s="24">
        <f>IF(A89="","",MAX(0,Config!$B$19-COUNTIF(D89:K89,"Sim")-COUNTIF(D89:K89,"N/A")))</f>
        <v/>
      </c>
      <c r="W89" s="24">
        <f>IF(A89="","",MAX(0,Config!$D$19-COUNTIF(L89:S89,"Sim")-COUNTIF(L89:S89,"N/A")))</f>
        <v/>
      </c>
      <c r="X89" s="24">
        <f>IF(A89="","",V89+W89)</f>
        <v/>
      </c>
      <c r="Y89" s="29">
        <f>IF(OR(A89="",AA89=""),"",LEFT(AA89,LEN(AA89)-2))</f>
        <v/>
      </c>
      <c r="Z89" s="39">
        <f>IF(OR(A89="",X89=0),0,X89*100000+A89/100000)</f>
        <v>0</v>
      </c>
      <c r="AA89" s="39">
        <f>IF(A89="","",IF(AND(Config!$B$10&lt;&gt;"",D89&lt;&gt;"Sim",D89&lt;&gt;"N/A"),Config!$B$10&amp;"; ","")&amp;IF(AND(Config!$B$11&lt;&gt;"",E89&lt;&gt;"Sim",E89&lt;&gt;"N/A"),Config!$B$11&amp;"; ","")&amp;IF(AND(Config!$B$12&lt;&gt;"",F89&lt;&gt;"Sim",F89&lt;&gt;"N/A"),Config!$B$12&amp;"; ","")&amp;IF(AND(Config!$B$13&lt;&gt;"",G89&lt;&gt;"Sim",G89&lt;&gt;"N/A"),Config!$B$13&amp;"; ","")&amp;IF(AND(Config!$B$14&lt;&gt;"",H89&lt;&gt;"Sim",H89&lt;&gt;"N/A"),Config!$B$14&amp;"; ","")&amp;IF(AND(Config!$B$15&lt;&gt;"",I89&lt;&gt;"Sim",I89&lt;&gt;"N/A"),Config!$B$15&amp;"; ","")&amp;IF(AND(Config!$B$16&lt;&gt;"",J89&lt;&gt;"Sim",J89&lt;&gt;"N/A"),Config!$B$16&amp;"; ","")&amp;IF(AND(Config!$B$17&lt;&gt;"",K89&lt;&gt;"Sim",K89&lt;&gt;"N/A"),Config!$B$17&amp;"; ","")&amp;IF(AND(Config!$D$10&lt;&gt;"",L89&lt;&gt;"Sim",L89&lt;&gt;"N/A"),Config!$D$10&amp;"; ","")&amp;IF(AND(Config!$D$11&lt;&gt;"",M89&lt;&gt;"Sim",M89&lt;&gt;"N/A"),Config!$D$11&amp;"; ","")&amp;IF(AND(Config!$D$12&lt;&gt;"",N89&lt;&gt;"Sim",N89&lt;&gt;"N/A"),Config!$D$12&amp;"; ","")&amp;IF(AND(Config!$D$13&lt;&gt;"",O89&lt;&gt;"Sim",O89&lt;&gt;"N/A"),Config!$D$13&amp;"; ","")&amp;IF(AND(Config!$D$14&lt;&gt;"",P89&lt;&gt;"Sim",P89&lt;&gt;"N/A"),Config!$D$14&amp;"; ","")&amp;IF(AND(Config!$D$15&lt;&gt;"",Q89&lt;&gt;"Sim",Q89&lt;&gt;"N/A"),Config!$D$15&amp;"; ","")&amp;IF(AND(Config!$D$16&lt;&gt;"",R89&lt;&gt;"Sim",R89&lt;&gt;"N/A"),Config!$D$16&amp;"; ","")&amp;IF(AND(Config!$D$17&lt;&gt;"",S89&lt;&gt;"Sim",S89&lt;&gt;"N/A"),Config!$D$17&amp;"; ",""))</f>
        <v/>
      </c>
      <c r="AB89" s="39">
        <f>IF(A89="",0,COUNTIF($A$5:$A$304,"&gt;"&amp;A89)+1)</f>
        <v>0</v>
      </c>
    </row>
    <row r="90">
      <c r="A90" s="37" t="n"/>
      <c r="B90" s="24">
        <f>IF(A90="","",CHOOSE(WEEKDAY(A90,2),"Segunda","Terça","Quarta","Quinta","Sexta","Sábado","Domingo"))</f>
        <v/>
      </c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26">
        <f>IF(A90="","",IFERROR(COUNTIF(D90:K90,"Sim")/(Config!$B$19-COUNTIF(D90:K90,"N/A")),""))</f>
        <v/>
      </c>
      <c r="U90" s="26">
        <f>IF(A90="","",IFERROR(COUNTIF(L90:S90,"Sim")/(Config!$D$19-COUNTIF(L90:S90,"N/A")),""))</f>
        <v/>
      </c>
      <c r="V90" s="24">
        <f>IF(A90="","",MAX(0,Config!$B$19-COUNTIF(D90:K90,"Sim")-COUNTIF(D90:K90,"N/A")))</f>
        <v/>
      </c>
      <c r="W90" s="24">
        <f>IF(A90="","",MAX(0,Config!$D$19-COUNTIF(L90:S90,"Sim")-COUNTIF(L90:S90,"N/A")))</f>
        <v/>
      </c>
      <c r="X90" s="24">
        <f>IF(A90="","",V90+W90)</f>
        <v/>
      </c>
      <c r="Y90" s="29">
        <f>IF(OR(A90="",AA90=""),"",LEFT(AA90,LEN(AA90)-2))</f>
        <v/>
      </c>
      <c r="Z90" s="39">
        <f>IF(OR(A90="",X90=0),0,X90*100000+A90/100000)</f>
        <v>0</v>
      </c>
      <c r="AA90" s="39">
        <f>IF(A90="","",IF(AND(Config!$B$10&lt;&gt;"",D90&lt;&gt;"Sim",D90&lt;&gt;"N/A"),Config!$B$10&amp;"; ","")&amp;IF(AND(Config!$B$11&lt;&gt;"",E90&lt;&gt;"Sim",E90&lt;&gt;"N/A"),Config!$B$11&amp;"; ","")&amp;IF(AND(Config!$B$12&lt;&gt;"",F90&lt;&gt;"Sim",F90&lt;&gt;"N/A"),Config!$B$12&amp;"; ","")&amp;IF(AND(Config!$B$13&lt;&gt;"",G90&lt;&gt;"Sim",G90&lt;&gt;"N/A"),Config!$B$13&amp;"; ","")&amp;IF(AND(Config!$B$14&lt;&gt;"",H90&lt;&gt;"Sim",H90&lt;&gt;"N/A"),Config!$B$14&amp;"; ","")&amp;IF(AND(Config!$B$15&lt;&gt;"",I90&lt;&gt;"Sim",I90&lt;&gt;"N/A"),Config!$B$15&amp;"; ","")&amp;IF(AND(Config!$B$16&lt;&gt;"",J90&lt;&gt;"Sim",J90&lt;&gt;"N/A"),Config!$B$16&amp;"; ","")&amp;IF(AND(Config!$B$17&lt;&gt;"",K90&lt;&gt;"Sim",K90&lt;&gt;"N/A"),Config!$B$17&amp;"; ","")&amp;IF(AND(Config!$D$10&lt;&gt;"",L90&lt;&gt;"Sim",L90&lt;&gt;"N/A"),Config!$D$10&amp;"; ","")&amp;IF(AND(Config!$D$11&lt;&gt;"",M90&lt;&gt;"Sim",M90&lt;&gt;"N/A"),Config!$D$11&amp;"; ","")&amp;IF(AND(Config!$D$12&lt;&gt;"",N90&lt;&gt;"Sim",N90&lt;&gt;"N/A"),Config!$D$12&amp;"; ","")&amp;IF(AND(Config!$D$13&lt;&gt;"",O90&lt;&gt;"Sim",O90&lt;&gt;"N/A"),Config!$D$13&amp;"; ","")&amp;IF(AND(Config!$D$14&lt;&gt;"",P90&lt;&gt;"Sim",P90&lt;&gt;"N/A"),Config!$D$14&amp;"; ","")&amp;IF(AND(Config!$D$15&lt;&gt;"",Q90&lt;&gt;"Sim",Q90&lt;&gt;"N/A"),Config!$D$15&amp;"; ","")&amp;IF(AND(Config!$D$16&lt;&gt;"",R90&lt;&gt;"Sim",R90&lt;&gt;"N/A"),Config!$D$16&amp;"; ","")&amp;IF(AND(Config!$D$17&lt;&gt;"",S90&lt;&gt;"Sim",S90&lt;&gt;"N/A"),Config!$D$17&amp;"; ",""))</f>
        <v/>
      </c>
      <c r="AB90" s="39">
        <f>IF(A90="",0,COUNTIF($A$5:$A$304,"&gt;"&amp;A90)+1)</f>
        <v>0</v>
      </c>
    </row>
    <row r="91">
      <c r="A91" s="37" t="n"/>
      <c r="B91" s="24">
        <f>IF(A91="","",CHOOSE(WEEKDAY(A91,2),"Segunda","Terça","Quarta","Quinta","Sexta","Sábado","Domingo"))</f>
        <v/>
      </c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26">
        <f>IF(A91="","",IFERROR(COUNTIF(D91:K91,"Sim")/(Config!$B$19-COUNTIF(D91:K91,"N/A")),""))</f>
        <v/>
      </c>
      <c r="U91" s="26">
        <f>IF(A91="","",IFERROR(COUNTIF(L91:S91,"Sim")/(Config!$D$19-COUNTIF(L91:S91,"N/A")),""))</f>
        <v/>
      </c>
      <c r="V91" s="24">
        <f>IF(A91="","",MAX(0,Config!$B$19-COUNTIF(D91:K91,"Sim")-COUNTIF(D91:K91,"N/A")))</f>
        <v/>
      </c>
      <c r="W91" s="24">
        <f>IF(A91="","",MAX(0,Config!$D$19-COUNTIF(L91:S91,"Sim")-COUNTIF(L91:S91,"N/A")))</f>
        <v/>
      </c>
      <c r="X91" s="24">
        <f>IF(A91="","",V91+W91)</f>
        <v/>
      </c>
      <c r="Y91" s="29">
        <f>IF(OR(A91="",AA91=""),"",LEFT(AA91,LEN(AA91)-2))</f>
        <v/>
      </c>
      <c r="Z91" s="39">
        <f>IF(OR(A91="",X91=0),0,X91*100000+A91/100000)</f>
        <v>0</v>
      </c>
      <c r="AA91" s="39">
        <f>IF(A91="","",IF(AND(Config!$B$10&lt;&gt;"",D91&lt;&gt;"Sim",D91&lt;&gt;"N/A"),Config!$B$10&amp;"; ","")&amp;IF(AND(Config!$B$11&lt;&gt;"",E91&lt;&gt;"Sim",E91&lt;&gt;"N/A"),Config!$B$11&amp;"; ","")&amp;IF(AND(Config!$B$12&lt;&gt;"",F91&lt;&gt;"Sim",F91&lt;&gt;"N/A"),Config!$B$12&amp;"; ","")&amp;IF(AND(Config!$B$13&lt;&gt;"",G91&lt;&gt;"Sim",G91&lt;&gt;"N/A"),Config!$B$13&amp;"; ","")&amp;IF(AND(Config!$B$14&lt;&gt;"",H91&lt;&gt;"Sim",H91&lt;&gt;"N/A"),Config!$B$14&amp;"; ","")&amp;IF(AND(Config!$B$15&lt;&gt;"",I91&lt;&gt;"Sim",I91&lt;&gt;"N/A"),Config!$B$15&amp;"; ","")&amp;IF(AND(Config!$B$16&lt;&gt;"",J91&lt;&gt;"Sim",J91&lt;&gt;"N/A"),Config!$B$16&amp;"; ","")&amp;IF(AND(Config!$B$17&lt;&gt;"",K91&lt;&gt;"Sim",K91&lt;&gt;"N/A"),Config!$B$17&amp;"; ","")&amp;IF(AND(Config!$D$10&lt;&gt;"",L91&lt;&gt;"Sim",L91&lt;&gt;"N/A"),Config!$D$10&amp;"; ","")&amp;IF(AND(Config!$D$11&lt;&gt;"",M91&lt;&gt;"Sim",M91&lt;&gt;"N/A"),Config!$D$11&amp;"; ","")&amp;IF(AND(Config!$D$12&lt;&gt;"",N91&lt;&gt;"Sim",N91&lt;&gt;"N/A"),Config!$D$12&amp;"; ","")&amp;IF(AND(Config!$D$13&lt;&gt;"",O91&lt;&gt;"Sim",O91&lt;&gt;"N/A"),Config!$D$13&amp;"; ","")&amp;IF(AND(Config!$D$14&lt;&gt;"",P91&lt;&gt;"Sim",P91&lt;&gt;"N/A"),Config!$D$14&amp;"; ","")&amp;IF(AND(Config!$D$15&lt;&gt;"",Q91&lt;&gt;"Sim",Q91&lt;&gt;"N/A"),Config!$D$15&amp;"; ","")&amp;IF(AND(Config!$D$16&lt;&gt;"",R91&lt;&gt;"Sim",R91&lt;&gt;"N/A"),Config!$D$16&amp;"; ","")&amp;IF(AND(Config!$D$17&lt;&gt;"",S91&lt;&gt;"Sim",S91&lt;&gt;"N/A"),Config!$D$17&amp;"; ",""))</f>
        <v/>
      </c>
      <c r="AB91" s="39">
        <f>IF(A91="",0,COUNTIF($A$5:$A$304,"&gt;"&amp;A91)+1)</f>
        <v>0</v>
      </c>
    </row>
    <row r="92">
      <c r="A92" s="37" t="n"/>
      <c r="B92" s="24">
        <f>IF(A92="","",CHOOSE(WEEKDAY(A92,2),"Segunda","Terça","Quarta","Quinta","Sexta","Sábado","Domingo"))</f>
        <v/>
      </c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26">
        <f>IF(A92="","",IFERROR(COUNTIF(D92:K92,"Sim")/(Config!$B$19-COUNTIF(D92:K92,"N/A")),""))</f>
        <v/>
      </c>
      <c r="U92" s="26">
        <f>IF(A92="","",IFERROR(COUNTIF(L92:S92,"Sim")/(Config!$D$19-COUNTIF(L92:S92,"N/A")),""))</f>
        <v/>
      </c>
      <c r="V92" s="24">
        <f>IF(A92="","",MAX(0,Config!$B$19-COUNTIF(D92:K92,"Sim")-COUNTIF(D92:K92,"N/A")))</f>
        <v/>
      </c>
      <c r="W92" s="24">
        <f>IF(A92="","",MAX(0,Config!$D$19-COUNTIF(L92:S92,"Sim")-COUNTIF(L92:S92,"N/A")))</f>
        <v/>
      </c>
      <c r="X92" s="24">
        <f>IF(A92="","",V92+W92)</f>
        <v/>
      </c>
      <c r="Y92" s="29">
        <f>IF(OR(A92="",AA92=""),"",LEFT(AA92,LEN(AA92)-2))</f>
        <v/>
      </c>
      <c r="Z92" s="39">
        <f>IF(OR(A92="",X92=0),0,X92*100000+A92/100000)</f>
        <v>0</v>
      </c>
      <c r="AA92" s="39">
        <f>IF(A92="","",IF(AND(Config!$B$10&lt;&gt;"",D92&lt;&gt;"Sim",D92&lt;&gt;"N/A"),Config!$B$10&amp;"; ","")&amp;IF(AND(Config!$B$11&lt;&gt;"",E92&lt;&gt;"Sim",E92&lt;&gt;"N/A"),Config!$B$11&amp;"; ","")&amp;IF(AND(Config!$B$12&lt;&gt;"",F92&lt;&gt;"Sim",F92&lt;&gt;"N/A"),Config!$B$12&amp;"; ","")&amp;IF(AND(Config!$B$13&lt;&gt;"",G92&lt;&gt;"Sim",G92&lt;&gt;"N/A"),Config!$B$13&amp;"; ","")&amp;IF(AND(Config!$B$14&lt;&gt;"",H92&lt;&gt;"Sim",H92&lt;&gt;"N/A"),Config!$B$14&amp;"; ","")&amp;IF(AND(Config!$B$15&lt;&gt;"",I92&lt;&gt;"Sim",I92&lt;&gt;"N/A"),Config!$B$15&amp;"; ","")&amp;IF(AND(Config!$B$16&lt;&gt;"",J92&lt;&gt;"Sim",J92&lt;&gt;"N/A"),Config!$B$16&amp;"; ","")&amp;IF(AND(Config!$B$17&lt;&gt;"",K92&lt;&gt;"Sim",K92&lt;&gt;"N/A"),Config!$B$17&amp;"; ","")&amp;IF(AND(Config!$D$10&lt;&gt;"",L92&lt;&gt;"Sim",L92&lt;&gt;"N/A"),Config!$D$10&amp;"; ","")&amp;IF(AND(Config!$D$11&lt;&gt;"",M92&lt;&gt;"Sim",M92&lt;&gt;"N/A"),Config!$D$11&amp;"; ","")&amp;IF(AND(Config!$D$12&lt;&gt;"",N92&lt;&gt;"Sim",N92&lt;&gt;"N/A"),Config!$D$12&amp;"; ","")&amp;IF(AND(Config!$D$13&lt;&gt;"",O92&lt;&gt;"Sim",O92&lt;&gt;"N/A"),Config!$D$13&amp;"; ","")&amp;IF(AND(Config!$D$14&lt;&gt;"",P92&lt;&gt;"Sim",P92&lt;&gt;"N/A"),Config!$D$14&amp;"; ","")&amp;IF(AND(Config!$D$15&lt;&gt;"",Q92&lt;&gt;"Sim",Q92&lt;&gt;"N/A"),Config!$D$15&amp;"; ","")&amp;IF(AND(Config!$D$16&lt;&gt;"",R92&lt;&gt;"Sim",R92&lt;&gt;"N/A"),Config!$D$16&amp;"; ","")&amp;IF(AND(Config!$D$17&lt;&gt;"",S92&lt;&gt;"Sim",S92&lt;&gt;"N/A"),Config!$D$17&amp;"; ",""))</f>
        <v/>
      </c>
      <c r="AB92" s="39">
        <f>IF(A92="",0,COUNTIF($A$5:$A$304,"&gt;"&amp;A92)+1)</f>
        <v>0</v>
      </c>
    </row>
    <row r="93">
      <c r="A93" s="37" t="n"/>
      <c r="B93" s="24">
        <f>IF(A93="","",CHOOSE(WEEKDAY(A93,2),"Segunda","Terça","Quarta","Quinta","Sexta","Sábado","Domingo"))</f>
        <v/>
      </c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26">
        <f>IF(A93="","",IFERROR(COUNTIF(D93:K93,"Sim")/(Config!$B$19-COUNTIF(D93:K93,"N/A")),""))</f>
        <v/>
      </c>
      <c r="U93" s="26">
        <f>IF(A93="","",IFERROR(COUNTIF(L93:S93,"Sim")/(Config!$D$19-COUNTIF(L93:S93,"N/A")),""))</f>
        <v/>
      </c>
      <c r="V93" s="24">
        <f>IF(A93="","",MAX(0,Config!$B$19-COUNTIF(D93:K93,"Sim")-COUNTIF(D93:K93,"N/A")))</f>
        <v/>
      </c>
      <c r="W93" s="24">
        <f>IF(A93="","",MAX(0,Config!$D$19-COUNTIF(L93:S93,"Sim")-COUNTIF(L93:S93,"N/A")))</f>
        <v/>
      </c>
      <c r="X93" s="24">
        <f>IF(A93="","",V93+W93)</f>
        <v/>
      </c>
      <c r="Y93" s="29">
        <f>IF(OR(A93="",AA93=""),"",LEFT(AA93,LEN(AA93)-2))</f>
        <v/>
      </c>
      <c r="Z93" s="39">
        <f>IF(OR(A93="",X93=0),0,X93*100000+A93/100000)</f>
        <v>0</v>
      </c>
      <c r="AA93" s="39">
        <f>IF(A93="","",IF(AND(Config!$B$10&lt;&gt;"",D93&lt;&gt;"Sim",D93&lt;&gt;"N/A"),Config!$B$10&amp;"; ","")&amp;IF(AND(Config!$B$11&lt;&gt;"",E93&lt;&gt;"Sim",E93&lt;&gt;"N/A"),Config!$B$11&amp;"; ","")&amp;IF(AND(Config!$B$12&lt;&gt;"",F93&lt;&gt;"Sim",F93&lt;&gt;"N/A"),Config!$B$12&amp;"; ","")&amp;IF(AND(Config!$B$13&lt;&gt;"",G93&lt;&gt;"Sim",G93&lt;&gt;"N/A"),Config!$B$13&amp;"; ","")&amp;IF(AND(Config!$B$14&lt;&gt;"",H93&lt;&gt;"Sim",H93&lt;&gt;"N/A"),Config!$B$14&amp;"; ","")&amp;IF(AND(Config!$B$15&lt;&gt;"",I93&lt;&gt;"Sim",I93&lt;&gt;"N/A"),Config!$B$15&amp;"; ","")&amp;IF(AND(Config!$B$16&lt;&gt;"",J93&lt;&gt;"Sim",J93&lt;&gt;"N/A"),Config!$B$16&amp;"; ","")&amp;IF(AND(Config!$B$17&lt;&gt;"",K93&lt;&gt;"Sim",K93&lt;&gt;"N/A"),Config!$B$17&amp;"; ","")&amp;IF(AND(Config!$D$10&lt;&gt;"",L93&lt;&gt;"Sim",L93&lt;&gt;"N/A"),Config!$D$10&amp;"; ","")&amp;IF(AND(Config!$D$11&lt;&gt;"",M93&lt;&gt;"Sim",M93&lt;&gt;"N/A"),Config!$D$11&amp;"; ","")&amp;IF(AND(Config!$D$12&lt;&gt;"",N93&lt;&gt;"Sim",N93&lt;&gt;"N/A"),Config!$D$12&amp;"; ","")&amp;IF(AND(Config!$D$13&lt;&gt;"",O93&lt;&gt;"Sim",O93&lt;&gt;"N/A"),Config!$D$13&amp;"; ","")&amp;IF(AND(Config!$D$14&lt;&gt;"",P93&lt;&gt;"Sim",P93&lt;&gt;"N/A"),Config!$D$14&amp;"; ","")&amp;IF(AND(Config!$D$15&lt;&gt;"",Q93&lt;&gt;"Sim",Q93&lt;&gt;"N/A"),Config!$D$15&amp;"; ","")&amp;IF(AND(Config!$D$16&lt;&gt;"",R93&lt;&gt;"Sim",R93&lt;&gt;"N/A"),Config!$D$16&amp;"; ","")&amp;IF(AND(Config!$D$17&lt;&gt;"",S93&lt;&gt;"Sim",S93&lt;&gt;"N/A"),Config!$D$17&amp;"; ",""))</f>
        <v/>
      </c>
      <c r="AB93" s="39">
        <f>IF(A93="",0,COUNTIF($A$5:$A$304,"&gt;"&amp;A93)+1)</f>
        <v>0</v>
      </c>
    </row>
    <row r="94">
      <c r="A94" s="37" t="n"/>
      <c r="B94" s="24">
        <f>IF(A94="","",CHOOSE(WEEKDAY(A94,2),"Segunda","Terça","Quarta","Quinta","Sexta","Sábado","Domingo"))</f>
        <v/>
      </c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26">
        <f>IF(A94="","",IFERROR(COUNTIF(D94:K94,"Sim")/(Config!$B$19-COUNTIF(D94:K94,"N/A")),""))</f>
        <v/>
      </c>
      <c r="U94" s="26">
        <f>IF(A94="","",IFERROR(COUNTIF(L94:S94,"Sim")/(Config!$D$19-COUNTIF(L94:S94,"N/A")),""))</f>
        <v/>
      </c>
      <c r="V94" s="24">
        <f>IF(A94="","",MAX(0,Config!$B$19-COUNTIF(D94:K94,"Sim")-COUNTIF(D94:K94,"N/A")))</f>
        <v/>
      </c>
      <c r="W94" s="24">
        <f>IF(A94="","",MAX(0,Config!$D$19-COUNTIF(L94:S94,"Sim")-COUNTIF(L94:S94,"N/A")))</f>
        <v/>
      </c>
      <c r="X94" s="24">
        <f>IF(A94="","",V94+W94)</f>
        <v/>
      </c>
      <c r="Y94" s="29">
        <f>IF(OR(A94="",AA94=""),"",LEFT(AA94,LEN(AA94)-2))</f>
        <v/>
      </c>
      <c r="Z94" s="39">
        <f>IF(OR(A94="",X94=0),0,X94*100000+A94/100000)</f>
        <v>0</v>
      </c>
      <c r="AA94" s="39">
        <f>IF(A94="","",IF(AND(Config!$B$10&lt;&gt;"",D94&lt;&gt;"Sim",D94&lt;&gt;"N/A"),Config!$B$10&amp;"; ","")&amp;IF(AND(Config!$B$11&lt;&gt;"",E94&lt;&gt;"Sim",E94&lt;&gt;"N/A"),Config!$B$11&amp;"; ","")&amp;IF(AND(Config!$B$12&lt;&gt;"",F94&lt;&gt;"Sim",F94&lt;&gt;"N/A"),Config!$B$12&amp;"; ","")&amp;IF(AND(Config!$B$13&lt;&gt;"",G94&lt;&gt;"Sim",G94&lt;&gt;"N/A"),Config!$B$13&amp;"; ","")&amp;IF(AND(Config!$B$14&lt;&gt;"",H94&lt;&gt;"Sim",H94&lt;&gt;"N/A"),Config!$B$14&amp;"; ","")&amp;IF(AND(Config!$B$15&lt;&gt;"",I94&lt;&gt;"Sim",I94&lt;&gt;"N/A"),Config!$B$15&amp;"; ","")&amp;IF(AND(Config!$B$16&lt;&gt;"",J94&lt;&gt;"Sim",J94&lt;&gt;"N/A"),Config!$B$16&amp;"; ","")&amp;IF(AND(Config!$B$17&lt;&gt;"",K94&lt;&gt;"Sim",K94&lt;&gt;"N/A"),Config!$B$17&amp;"; ","")&amp;IF(AND(Config!$D$10&lt;&gt;"",L94&lt;&gt;"Sim",L94&lt;&gt;"N/A"),Config!$D$10&amp;"; ","")&amp;IF(AND(Config!$D$11&lt;&gt;"",M94&lt;&gt;"Sim",M94&lt;&gt;"N/A"),Config!$D$11&amp;"; ","")&amp;IF(AND(Config!$D$12&lt;&gt;"",N94&lt;&gt;"Sim",N94&lt;&gt;"N/A"),Config!$D$12&amp;"; ","")&amp;IF(AND(Config!$D$13&lt;&gt;"",O94&lt;&gt;"Sim",O94&lt;&gt;"N/A"),Config!$D$13&amp;"; ","")&amp;IF(AND(Config!$D$14&lt;&gt;"",P94&lt;&gt;"Sim",P94&lt;&gt;"N/A"),Config!$D$14&amp;"; ","")&amp;IF(AND(Config!$D$15&lt;&gt;"",Q94&lt;&gt;"Sim",Q94&lt;&gt;"N/A"),Config!$D$15&amp;"; ","")&amp;IF(AND(Config!$D$16&lt;&gt;"",R94&lt;&gt;"Sim",R94&lt;&gt;"N/A"),Config!$D$16&amp;"; ","")&amp;IF(AND(Config!$D$17&lt;&gt;"",S94&lt;&gt;"Sim",S94&lt;&gt;"N/A"),Config!$D$17&amp;"; ",""))</f>
        <v/>
      </c>
      <c r="AB94" s="39">
        <f>IF(A94="",0,COUNTIF($A$5:$A$304,"&gt;"&amp;A94)+1)</f>
        <v>0</v>
      </c>
    </row>
    <row r="95">
      <c r="A95" s="37" t="n"/>
      <c r="B95" s="24">
        <f>IF(A95="","",CHOOSE(WEEKDAY(A95,2),"Segunda","Terça","Quarta","Quinta","Sexta","Sábado","Domingo"))</f>
        <v/>
      </c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26">
        <f>IF(A95="","",IFERROR(COUNTIF(D95:K95,"Sim")/(Config!$B$19-COUNTIF(D95:K95,"N/A")),""))</f>
        <v/>
      </c>
      <c r="U95" s="26">
        <f>IF(A95="","",IFERROR(COUNTIF(L95:S95,"Sim")/(Config!$D$19-COUNTIF(L95:S95,"N/A")),""))</f>
        <v/>
      </c>
      <c r="V95" s="24">
        <f>IF(A95="","",MAX(0,Config!$B$19-COUNTIF(D95:K95,"Sim")-COUNTIF(D95:K95,"N/A")))</f>
        <v/>
      </c>
      <c r="W95" s="24">
        <f>IF(A95="","",MAX(0,Config!$D$19-COUNTIF(L95:S95,"Sim")-COUNTIF(L95:S95,"N/A")))</f>
        <v/>
      </c>
      <c r="X95" s="24">
        <f>IF(A95="","",V95+W95)</f>
        <v/>
      </c>
      <c r="Y95" s="29">
        <f>IF(OR(A95="",AA95=""),"",LEFT(AA95,LEN(AA95)-2))</f>
        <v/>
      </c>
      <c r="Z95" s="39">
        <f>IF(OR(A95="",X95=0),0,X95*100000+A95/100000)</f>
        <v>0</v>
      </c>
      <c r="AA95" s="39">
        <f>IF(A95="","",IF(AND(Config!$B$10&lt;&gt;"",D95&lt;&gt;"Sim",D95&lt;&gt;"N/A"),Config!$B$10&amp;"; ","")&amp;IF(AND(Config!$B$11&lt;&gt;"",E95&lt;&gt;"Sim",E95&lt;&gt;"N/A"),Config!$B$11&amp;"; ","")&amp;IF(AND(Config!$B$12&lt;&gt;"",F95&lt;&gt;"Sim",F95&lt;&gt;"N/A"),Config!$B$12&amp;"; ","")&amp;IF(AND(Config!$B$13&lt;&gt;"",G95&lt;&gt;"Sim",G95&lt;&gt;"N/A"),Config!$B$13&amp;"; ","")&amp;IF(AND(Config!$B$14&lt;&gt;"",H95&lt;&gt;"Sim",H95&lt;&gt;"N/A"),Config!$B$14&amp;"; ","")&amp;IF(AND(Config!$B$15&lt;&gt;"",I95&lt;&gt;"Sim",I95&lt;&gt;"N/A"),Config!$B$15&amp;"; ","")&amp;IF(AND(Config!$B$16&lt;&gt;"",J95&lt;&gt;"Sim",J95&lt;&gt;"N/A"),Config!$B$16&amp;"; ","")&amp;IF(AND(Config!$B$17&lt;&gt;"",K95&lt;&gt;"Sim",K95&lt;&gt;"N/A"),Config!$B$17&amp;"; ","")&amp;IF(AND(Config!$D$10&lt;&gt;"",L95&lt;&gt;"Sim",L95&lt;&gt;"N/A"),Config!$D$10&amp;"; ","")&amp;IF(AND(Config!$D$11&lt;&gt;"",M95&lt;&gt;"Sim",M95&lt;&gt;"N/A"),Config!$D$11&amp;"; ","")&amp;IF(AND(Config!$D$12&lt;&gt;"",N95&lt;&gt;"Sim",N95&lt;&gt;"N/A"),Config!$D$12&amp;"; ","")&amp;IF(AND(Config!$D$13&lt;&gt;"",O95&lt;&gt;"Sim",O95&lt;&gt;"N/A"),Config!$D$13&amp;"; ","")&amp;IF(AND(Config!$D$14&lt;&gt;"",P95&lt;&gt;"Sim",P95&lt;&gt;"N/A"),Config!$D$14&amp;"; ","")&amp;IF(AND(Config!$D$15&lt;&gt;"",Q95&lt;&gt;"Sim",Q95&lt;&gt;"N/A"),Config!$D$15&amp;"; ","")&amp;IF(AND(Config!$D$16&lt;&gt;"",R95&lt;&gt;"Sim",R95&lt;&gt;"N/A"),Config!$D$16&amp;"; ","")&amp;IF(AND(Config!$D$17&lt;&gt;"",S95&lt;&gt;"Sim",S95&lt;&gt;"N/A"),Config!$D$17&amp;"; ",""))</f>
        <v/>
      </c>
      <c r="AB95" s="39">
        <f>IF(A95="",0,COUNTIF($A$5:$A$304,"&gt;"&amp;A95)+1)</f>
        <v>0</v>
      </c>
    </row>
    <row r="96">
      <c r="A96" s="37" t="n"/>
      <c r="B96" s="24">
        <f>IF(A96="","",CHOOSE(WEEKDAY(A96,2),"Segunda","Terça","Quarta","Quinta","Sexta","Sábado","Domingo"))</f>
        <v/>
      </c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26">
        <f>IF(A96="","",IFERROR(COUNTIF(D96:K96,"Sim")/(Config!$B$19-COUNTIF(D96:K96,"N/A")),""))</f>
        <v/>
      </c>
      <c r="U96" s="26">
        <f>IF(A96="","",IFERROR(COUNTIF(L96:S96,"Sim")/(Config!$D$19-COUNTIF(L96:S96,"N/A")),""))</f>
        <v/>
      </c>
      <c r="V96" s="24">
        <f>IF(A96="","",MAX(0,Config!$B$19-COUNTIF(D96:K96,"Sim")-COUNTIF(D96:K96,"N/A")))</f>
        <v/>
      </c>
      <c r="W96" s="24">
        <f>IF(A96="","",MAX(0,Config!$D$19-COUNTIF(L96:S96,"Sim")-COUNTIF(L96:S96,"N/A")))</f>
        <v/>
      </c>
      <c r="X96" s="24">
        <f>IF(A96="","",V96+W96)</f>
        <v/>
      </c>
      <c r="Y96" s="29">
        <f>IF(OR(A96="",AA96=""),"",LEFT(AA96,LEN(AA96)-2))</f>
        <v/>
      </c>
      <c r="Z96" s="39">
        <f>IF(OR(A96="",X96=0),0,X96*100000+A96/100000)</f>
        <v>0</v>
      </c>
      <c r="AA96" s="39">
        <f>IF(A96="","",IF(AND(Config!$B$10&lt;&gt;"",D96&lt;&gt;"Sim",D96&lt;&gt;"N/A"),Config!$B$10&amp;"; ","")&amp;IF(AND(Config!$B$11&lt;&gt;"",E96&lt;&gt;"Sim",E96&lt;&gt;"N/A"),Config!$B$11&amp;"; ","")&amp;IF(AND(Config!$B$12&lt;&gt;"",F96&lt;&gt;"Sim",F96&lt;&gt;"N/A"),Config!$B$12&amp;"; ","")&amp;IF(AND(Config!$B$13&lt;&gt;"",G96&lt;&gt;"Sim",G96&lt;&gt;"N/A"),Config!$B$13&amp;"; ","")&amp;IF(AND(Config!$B$14&lt;&gt;"",H96&lt;&gt;"Sim",H96&lt;&gt;"N/A"),Config!$B$14&amp;"; ","")&amp;IF(AND(Config!$B$15&lt;&gt;"",I96&lt;&gt;"Sim",I96&lt;&gt;"N/A"),Config!$B$15&amp;"; ","")&amp;IF(AND(Config!$B$16&lt;&gt;"",J96&lt;&gt;"Sim",J96&lt;&gt;"N/A"),Config!$B$16&amp;"; ","")&amp;IF(AND(Config!$B$17&lt;&gt;"",K96&lt;&gt;"Sim",K96&lt;&gt;"N/A"),Config!$B$17&amp;"; ","")&amp;IF(AND(Config!$D$10&lt;&gt;"",L96&lt;&gt;"Sim",L96&lt;&gt;"N/A"),Config!$D$10&amp;"; ","")&amp;IF(AND(Config!$D$11&lt;&gt;"",M96&lt;&gt;"Sim",M96&lt;&gt;"N/A"),Config!$D$11&amp;"; ","")&amp;IF(AND(Config!$D$12&lt;&gt;"",N96&lt;&gt;"Sim",N96&lt;&gt;"N/A"),Config!$D$12&amp;"; ","")&amp;IF(AND(Config!$D$13&lt;&gt;"",O96&lt;&gt;"Sim",O96&lt;&gt;"N/A"),Config!$D$13&amp;"; ","")&amp;IF(AND(Config!$D$14&lt;&gt;"",P96&lt;&gt;"Sim",P96&lt;&gt;"N/A"),Config!$D$14&amp;"; ","")&amp;IF(AND(Config!$D$15&lt;&gt;"",Q96&lt;&gt;"Sim",Q96&lt;&gt;"N/A"),Config!$D$15&amp;"; ","")&amp;IF(AND(Config!$D$16&lt;&gt;"",R96&lt;&gt;"Sim",R96&lt;&gt;"N/A"),Config!$D$16&amp;"; ","")&amp;IF(AND(Config!$D$17&lt;&gt;"",S96&lt;&gt;"Sim",S96&lt;&gt;"N/A"),Config!$D$17&amp;"; ",""))</f>
        <v/>
      </c>
      <c r="AB96" s="39">
        <f>IF(A96="",0,COUNTIF($A$5:$A$304,"&gt;"&amp;A96)+1)</f>
        <v>0</v>
      </c>
    </row>
    <row r="97">
      <c r="A97" s="37" t="n"/>
      <c r="B97" s="24">
        <f>IF(A97="","",CHOOSE(WEEKDAY(A97,2),"Segunda","Terça","Quarta","Quinta","Sexta","Sábado","Domingo"))</f>
        <v/>
      </c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26">
        <f>IF(A97="","",IFERROR(COUNTIF(D97:K97,"Sim")/(Config!$B$19-COUNTIF(D97:K97,"N/A")),""))</f>
        <v/>
      </c>
      <c r="U97" s="26">
        <f>IF(A97="","",IFERROR(COUNTIF(L97:S97,"Sim")/(Config!$D$19-COUNTIF(L97:S97,"N/A")),""))</f>
        <v/>
      </c>
      <c r="V97" s="24">
        <f>IF(A97="","",MAX(0,Config!$B$19-COUNTIF(D97:K97,"Sim")-COUNTIF(D97:K97,"N/A")))</f>
        <v/>
      </c>
      <c r="W97" s="24">
        <f>IF(A97="","",MAX(0,Config!$D$19-COUNTIF(L97:S97,"Sim")-COUNTIF(L97:S97,"N/A")))</f>
        <v/>
      </c>
      <c r="X97" s="24">
        <f>IF(A97="","",V97+W97)</f>
        <v/>
      </c>
      <c r="Y97" s="29">
        <f>IF(OR(A97="",AA97=""),"",LEFT(AA97,LEN(AA97)-2))</f>
        <v/>
      </c>
      <c r="Z97" s="39">
        <f>IF(OR(A97="",X97=0),0,X97*100000+A97/100000)</f>
        <v>0</v>
      </c>
      <c r="AA97" s="39">
        <f>IF(A97="","",IF(AND(Config!$B$10&lt;&gt;"",D97&lt;&gt;"Sim",D97&lt;&gt;"N/A"),Config!$B$10&amp;"; ","")&amp;IF(AND(Config!$B$11&lt;&gt;"",E97&lt;&gt;"Sim",E97&lt;&gt;"N/A"),Config!$B$11&amp;"; ","")&amp;IF(AND(Config!$B$12&lt;&gt;"",F97&lt;&gt;"Sim",F97&lt;&gt;"N/A"),Config!$B$12&amp;"; ","")&amp;IF(AND(Config!$B$13&lt;&gt;"",G97&lt;&gt;"Sim",G97&lt;&gt;"N/A"),Config!$B$13&amp;"; ","")&amp;IF(AND(Config!$B$14&lt;&gt;"",H97&lt;&gt;"Sim",H97&lt;&gt;"N/A"),Config!$B$14&amp;"; ","")&amp;IF(AND(Config!$B$15&lt;&gt;"",I97&lt;&gt;"Sim",I97&lt;&gt;"N/A"),Config!$B$15&amp;"; ","")&amp;IF(AND(Config!$B$16&lt;&gt;"",J97&lt;&gt;"Sim",J97&lt;&gt;"N/A"),Config!$B$16&amp;"; ","")&amp;IF(AND(Config!$B$17&lt;&gt;"",K97&lt;&gt;"Sim",K97&lt;&gt;"N/A"),Config!$B$17&amp;"; ","")&amp;IF(AND(Config!$D$10&lt;&gt;"",L97&lt;&gt;"Sim",L97&lt;&gt;"N/A"),Config!$D$10&amp;"; ","")&amp;IF(AND(Config!$D$11&lt;&gt;"",M97&lt;&gt;"Sim",M97&lt;&gt;"N/A"),Config!$D$11&amp;"; ","")&amp;IF(AND(Config!$D$12&lt;&gt;"",N97&lt;&gt;"Sim",N97&lt;&gt;"N/A"),Config!$D$12&amp;"; ","")&amp;IF(AND(Config!$D$13&lt;&gt;"",O97&lt;&gt;"Sim",O97&lt;&gt;"N/A"),Config!$D$13&amp;"; ","")&amp;IF(AND(Config!$D$14&lt;&gt;"",P97&lt;&gt;"Sim",P97&lt;&gt;"N/A"),Config!$D$14&amp;"; ","")&amp;IF(AND(Config!$D$15&lt;&gt;"",Q97&lt;&gt;"Sim",Q97&lt;&gt;"N/A"),Config!$D$15&amp;"; ","")&amp;IF(AND(Config!$D$16&lt;&gt;"",R97&lt;&gt;"Sim",R97&lt;&gt;"N/A"),Config!$D$16&amp;"; ","")&amp;IF(AND(Config!$D$17&lt;&gt;"",S97&lt;&gt;"Sim",S97&lt;&gt;"N/A"),Config!$D$17&amp;"; ",""))</f>
        <v/>
      </c>
      <c r="AB97" s="39">
        <f>IF(A97="",0,COUNTIF($A$5:$A$304,"&gt;"&amp;A97)+1)</f>
        <v>0</v>
      </c>
    </row>
    <row r="98">
      <c r="A98" s="37" t="n"/>
      <c r="B98" s="24">
        <f>IF(A98="","",CHOOSE(WEEKDAY(A98,2),"Segunda","Terça","Quarta","Quinta","Sexta","Sábado","Domingo"))</f>
        <v/>
      </c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26">
        <f>IF(A98="","",IFERROR(COUNTIF(D98:K98,"Sim")/(Config!$B$19-COUNTIF(D98:K98,"N/A")),""))</f>
        <v/>
      </c>
      <c r="U98" s="26">
        <f>IF(A98="","",IFERROR(COUNTIF(L98:S98,"Sim")/(Config!$D$19-COUNTIF(L98:S98,"N/A")),""))</f>
        <v/>
      </c>
      <c r="V98" s="24">
        <f>IF(A98="","",MAX(0,Config!$B$19-COUNTIF(D98:K98,"Sim")-COUNTIF(D98:K98,"N/A")))</f>
        <v/>
      </c>
      <c r="W98" s="24">
        <f>IF(A98="","",MAX(0,Config!$D$19-COUNTIF(L98:S98,"Sim")-COUNTIF(L98:S98,"N/A")))</f>
        <v/>
      </c>
      <c r="X98" s="24">
        <f>IF(A98="","",V98+W98)</f>
        <v/>
      </c>
      <c r="Y98" s="29">
        <f>IF(OR(A98="",AA98=""),"",LEFT(AA98,LEN(AA98)-2))</f>
        <v/>
      </c>
      <c r="Z98" s="39">
        <f>IF(OR(A98="",X98=0),0,X98*100000+A98/100000)</f>
        <v>0</v>
      </c>
      <c r="AA98" s="39">
        <f>IF(A98="","",IF(AND(Config!$B$10&lt;&gt;"",D98&lt;&gt;"Sim",D98&lt;&gt;"N/A"),Config!$B$10&amp;"; ","")&amp;IF(AND(Config!$B$11&lt;&gt;"",E98&lt;&gt;"Sim",E98&lt;&gt;"N/A"),Config!$B$11&amp;"; ","")&amp;IF(AND(Config!$B$12&lt;&gt;"",F98&lt;&gt;"Sim",F98&lt;&gt;"N/A"),Config!$B$12&amp;"; ","")&amp;IF(AND(Config!$B$13&lt;&gt;"",G98&lt;&gt;"Sim",G98&lt;&gt;"N/A"),Config!$B$13&amp;"; ","")&amp;IF(AND(Config!$B$14&lt;&gt;"",H98&lt;&gt;"Sim",H98&lt;&gt;"N/A"),Config!$B$14&amp;"; ","")&amp;IF(AND(Config!$B$15&lt;&gt;"",I98&lt;&gt;"Sim",I98&lt;&gt;"N/A"),Config!$B$15&amp;"; ","")&amp;IF(AND(Config!$B$16&lt;&gt;"",J98&lt;&gt;"Sim",J98&lt;&gt;"N/A"),Config!$B$16&amp;"; ","")&amp;IF(AND(Config!$B$17&lt;&gt;"",K98&lt;&gt;"Sim",K98&lt;&gt;"N/A"),Config!$B$17&amp;"; ","")&amp;IF(AND(Config!$D$10&lt;&gt;"",L98&lt;&gt;"Sim",L98&lt;&gt;"N/A"),Config!$D$10&amp;"; ","")&amp;IF(AND(Config!$D$11&lt;&gt;"",M98&lt;&gt;"Sim",M98&lt;&gt;"N/A"),Config!$D$11&amp;"; ","")&amp;IF(AND(Config!$D$12&lt;&gt;"",N98&lt;&gt;"Sim",N98&lt;&gt;"N/A"),Config!$D$12&amp;"; ","")&amp;IF(AND(Config!$D$13&lt;&gt;"",O98&lt;&gt;"Sim",O98&lt;&gt;"N/A"),Config!$D$13&amp;"; ","")&amp;IF(AND(Config!$D$14&lt;&gt;"",P98&lt;&gt;"Sim",P98&lt;&gt;"N/A"),Config!$D$14&amp;"; ","")&amp;IF(AND(Config!$D$15&lt;&gt;"",Q98&lt;&gt;"Sim",Q98&lt;&gt;"N/A"),Config!$D$15&amp;"; ","")&amp;IF(AND(Config!$D$16&lt;&gt;"",R98&lt;&gt;"Sim",R98&lt;&gt;"N/A"),Config!$D$16&amp;"; ","")&amp;IF(AND(Config!$D$17&lt;&gt;"",S98&lt;&gt;"Sim",S98&lt;&gt;"N/A"),Config!$D$17&amp;"; ",""))</f>
        <v/>
      </c>
      <c r="AB98" s="39">
        <f>IF(A98="",0,COUNTIF($A$5:$A$304,"&gt;"&amp;A98)+1)</f>
        <v>0</v>
      </c>
    </row>
    <row r="99">
      <c r="A99" s="37" t="n"/>
      <c r="B99" s="24">
        <f>IF(A99="","",CHOOSE(WEEKDAY(A99,2),"Segunda","Terça","Quarta","Quinta","Sexta","Sábado","Domingo"))</f>
        <v/>
      </c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26">
        <f>IF(A99="","",IFERROR(COUNTIF(D99:K99,"Sim")/(Config!$B$19-COUNTIF(D99:K99,"N/A")),""))</f>
        <v/>
      </c>
      <c r="U99" s="26">
        <f>IF(A99="","",IFERROR(COUNTIF(L99:S99,"Sim")/(Config!$D$19-COUNTIF(L99:S99,"N/A")),""))</f>
        <v/>
      </c>
      <c r="V99" s="24">
        <f>IF(A99="","",MAX(0,Config!$B$19-COUNTIF(D99:K99,"Sim")-COUNTIF(D99:K99,"N/A")))</f>
        <v/>
      </c>
      <c r="W99" s="24">
        <f>IF(A99="","",MAX(0,Config!$D$19-COUNTIF(L99:S99,"Sim")-COUNTIF(L99:S99,"N/A")))</f>
        <v/>
      </c>
      <c r="X99" s="24">
        <f>IF(A99="","",V99+W99)</f>
        <v/>
      </c>
      <c r="Y99" s="29">
        <f>IF(OR(A99="",AA99=""),"",LEFT(AA99,LEN(AA99)-2))</f>
        <v/>
      </c>
      <c r="Z99" s="39">
        <f>IF(OR(A99="",X99=0),0,X99*100000+A99/100000)</f>
        <v>0</v>
      </c>
      <c r="AA99" s="39">
        <f>IF(A99="","",IF(AND(Config!$B$10&lt;&gt;"",D99&lt;&gt;"Sim",D99&lt;&gt;"N/A"),Config!$B$10&amp;"; ","")&amp;IF(AND(Config!$B$11&lt;&gt;"",E99&lt;&gt;"Sim",E99&lt;&gt;"N/A"),Config!$B$11&amp;"; ","")&amp;IF(AND(Config!$B$12&lt;&gt;"",F99&lt;&gt;"Sim",F99&lt;&gt;"N/A"),Config!$B$12&amp;"; ","")&amp;IF(AND(Config!$B$13&lt;&gt;"",G99&lt;&gt;"Sim",G99&lt;&gt;"N/A"),Config!$B$13&amp;"; ","")&amp;IF(AND(Config!$B$14&lt;&gt;"",H99&lt;&gt;"Sim",H99&lt;&gt;"N/A"),Config!$B$14&amp;"; ","")&amp;IF(AND(Config!$B$15&lt;&gt;"",I99&lt;&gt;"Sim",I99&lt;&gt;"N/A"),Config!$B$15&amp;"; ","")&amp;IF(AND(Config!$B$16&lt;&gt;"",J99&lt;&gt;"Sim",J99&lt;&gt;"N/A"),Config!$B$16&amp;"; ","")&amp;IF(AND(Config!$B$17&lt;&gt;"",K99&lt;&gt;"Sim",K99&lt;&gt;"N/A"),Config!$B$17&amp;"; ","")&amp;IF(AND(Config!$D$10&lt;&gt;"",L99&lt;&gt;"Sim",L99&lt;&gt;"N/A"),Config!$D$10&amp;"; ","")&amp;IF(AND(Config!$D$11&lt;&gt;"",M99&lt;&gt;"Sim",M99&lt;&gt;"N/A"),Config!$D$11&amp;"; ","")&amp;IF(AND(Config!$D$12&lt;&gt;"",N99&lt;&gt;"Sim",N99&lt;&gt;"N/A"),Config!$D$12&amp;"; ","")&amp;IF(AND(Config!$D$13&lt;&gt;"",O99&lt;&gt;"Sim",O99&lt;&gt;"N/A"),Config!$D$13&amp;"; ","")&amp;IF(AND(Config!$D$14&lt;&gt;"",P99&lt;&gt;"Sim",P99&lt;&gt;"N/A"),Config!$D$14&amp;"; ","")&amp;IF(AND(Config!$D$15&lt;&gt;"",Q99&lt;&gt;"Sim",Q99&lt;&gt;"N/A"),Config!$D$15&amp;"; ","")&amp;IF(AND(Config!$D$16&lt;&gt;"",R99&lt;&gt;"Sim",R99&lt;&gt;"N/A"),Config!$D$16&amp;"; ","")&amp;IF(AND(Config!$D$17&lt;&gt;"",S99&lt;&gt;"Sim",S99&lt;&gt;"N/A"),Config!$D$17&amp;"; ",""))</f>
        <v/>
      </c>
      <c r="AB99" s="39">
        <f>IF(A99="",0,COUNTIF($A$5:$A$304,"&gt;"&amp;A99)+1)</f>
        <v>0</v>
      </c>
    </row>
    <row r="100">
      <c r="A100" s="37" t="n"/>
      <c r="B100" s="24">
        <f>IF(A100="","",CHOOSE(WEEKDAY(A100,2),"Segunda","Terça","Quarta","Quinta","Sexta","Sábado","Domingo"))</f>
        <v/>
      </c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26">
        <f>IF(A100="","",IFERROR(COUNTIF(D100:K100,"Sim")/(Config!$B$19-COUNTIF(D100:K100,"N/A")),""))</f>
        <v/>
      </c>
      <c r="U100" s="26">
        <f>IF(A100="","",IFERROR(COUNTIF(L100:S100,"Sim")/(Config!$D$19-COUNTIF(L100:S100,"N/A")),""))</f>
        <v/>
      </c>
      <c r="V100" s="24">
        <f>IF(A100="","",MAX(0,Config!$B$19-COUNTIF(D100:K100,"Sim")-COUNTIF(D100:K100,"N/A")))</f>
        <v/>
      </c>
      <c r="W100" s="24">
        <f>IF(A100="","",MAX(0,Config!$D$19-COUNTIF(L100:S100,"Sim")-COUNTIF(L100:S100,"N/A")))</f>
        <v/>
      </c>
      <c r="X100" s="24">
        <f>IF(A100="","",V100+W100)</f>
        <v/>
      </c>
      <c r="Y100" s="29">
        <f>IF(OR(A100="",AA100=""),"",LEFT(AA100,LEN(AA100)-2))</f>
        <v/>
      </c>
      <c r="Z100" s="39">
        <f>IF(OR(A100="",X100=0),0,X100*100000+A100/100000)</f>
        <v>0</v>
      </c>
      <c r="AA100" s="39">
        <f>IF(A100="","",IF(AND(Config!$B$10&lt;&gt;"",D100&lt;&gt;"Sim",D100&lt;&gt;"N/A"),Config!$B$10&amp;"; ","")&amp;IF(AND(Config!$B$11&lt;&gt;"",E100&lt;&gt;"Sim",E100&lt;&gt;"N/A"),Config!$B$11&amp;"; ","")&amp;IF(AND(Config!$B$12&lt;&gt;"",F100&lt;&gt;"Sim",F100&lt;&gt;"N/A"),Config!$B$12&amp;"; ","")&amp;IF(AND(Config!$B$13&lt;&gt;"",G100&lt;&gt;"Sim",G100&lt;&gt;"N/A"),Config!$B$13&amp;"; ","")&amp;IF(AND(Config!$B$14&lt;&gt;"",H100&lt;&gt;"Sim",H100&lt;&gt;"N/A"),Config!$B$14&amp;"; ","")&amp;IF(AND(Config!$B$15&lt;&gt;"",I100&lt;&gt;"Sim",I100&lt;&gt;"N/A"),Config!$B$15&amp;"; ","")&amp;IF(AND(Config!$B$16&lt;&gt;"",J100&lt;&gt;"Sim",J100&lt;&gt;"N/A"),Config!$B$16&amp;"; ","")&amp;IF(AND(Config!$B$17&lt;&gt;"",K100&lt;&gt;"Sim",K100&lt;&gt;"N/A"),Config!$B$17&amp;"; ","")&amp;IF(AND(Config!$D$10&lt;&gt;"",L100&lt;&gt;"Sim",L100&lt;&gt;"N/A"),Config!$D$10&amp;"; ","")&amp;IF(AND(Config!$D$11&lt;&gt;"",M100&lt;&gt;"Sim",M100&lt;&gt;"N/A"),Config!$D$11&amp;"; ","")&amp;IF(AND(Config!$D$12&lt;&gt;"",N100&lt;&gt;"Sim",N100&lt;&gt;"N/A"),Config!$D$12&amp;"; ","")&amp;IF(AND(Config!$D$13&lt;&gt;"",O100&lt;&gt;"Sim",O100&lt;&gt;"N/A"),Config!$D$13&amp;"; ","")&amp;IF(AND(Config!$D$14&lt;&gt;"",P100&lt;&gt;"Sim",P100&lt;&gt;"N/A"),Config!$D$14&amp;"; ","")&amp;IF(AND(Config!$D$15&lt;&gt;"",Q100&lt;&gt;"Sim",Q100&lt;&gt;"N/A"),Config!$D$15&amp;"; ","")&amp;IF(AND(Config!$D$16&lt;&gt;"",R100&lt;&gt;"Sim",R100&lt;&gt;"N/A"),Config!$D$16&amp;"; ","")&amp;IF(AND(Config!$D$17&lt;&gt;"",S100&lt;&gt;"Sim",S100&lt;&gt;"N/A"),Config!$D$17&amp;"; ",""))</f>
        <v/>
      </c>
      <c r="AB100" s="39">
        <f>IF(A100="",0,COUNTIF($A$5:$A$304,"&gt;"&amp;A100)+1)</f>
        <v>0</v>
      </c>
    </row>
    <row r="101">
      <c r="A101" s="37" t="n"/>
      <c r="B101" s="24">
        <f>IF(A101="","",CHOOSE(WEEKDAY(A101,2),"Segunda","Terça","Quarta","Quinta","Sexta","Sábado","Domingo"))</f>
        <v/>
      </c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26">
        <f>IF(A101="","",IFERROR(COUNTIF(D101:K101,"Sim")/(Config!$B$19-COUNTIF(D101:K101,"N/A")),""))</f>
        <v/>
      </c>
      <c r="U101" s="26">
        <f>IF(A101="","",IFERROR(COUNTIF(L101:S101,"Sim")/(Config!$D$19-COUNTIF(L101:S101,"N/A")),""))</f>
        <v/>
      </c>
      <c r="V101" s="24">
        <f>IF(A101="","",MAX(0,Config!$B$19-COUNTIF(D101:K101,"Sim")-COUNTIF(D101:K101,"N/A")))</f>
        <v/>
      </c>
      <c r="W101" s="24">
        <f>IF(A101="","",MAX(0,Config!$D$19-COUNTIF(L101:S101,"Sim")-COUNTIF(L101:S101,"N/A")))</f>
        <v/>
      </c>
      <c r="X101" s="24">
        <f>IF(A101="","",V101+W101)</f>
        <v/>
      </c>
      <c r="Y101" s="29">
        <f>IF(OR(A101="",AA101=""),"",LEFT(AA101,LEN(AA101)-2))</f>
        <v/>
      </c>
      <c r="Z101" s="39">
        <f>IF(OR(A101="",X101=0),0,X101*100000+A101/100000)</f>
        <v>0</v>
      </c>
      <c r="AA101" s="39">
        <f>IF(A101="","",IF(AND(Config!$B$10&lt;&gt;"",D101&lt;&gt;"Sim",D101&lt;&gt;"N/A"),Config!$B$10&amp;"; ","")&amp;IF(AND(Config!$B$11&lt;&gt;"",E101&lt;&gt;"Sim",E101&lt;&gt;"N/A"),Config!$B$11&amp;"; ","")&amp;IF(AND(Config!$B$12&lt;&gt;"",F101&lt;&gt;"Sim",F101&lt;&gt;"N/A"),Config!$B$12&amp;"; ","")&amp;IF(AND(Config!$B$13&lt;&gt;"",G101&lt;&gt;"Sim",G101&lt;&gt;"N/A"),Config!$B$13&amp;"; ","")&amp;IF(AND(Config!$B$14&lt;&gt;"",H101&lt;&gt;"Sim",H101&lt;&gt;"N/A"),Config!$B$14&amp;"; ","")&amp;IF(AND(Config!$B$15&lt;&gt;"",I101&lt;&gt;"Sim",I101&lt;&gt;"N/A"),Config!$B$15&amp;"; ","")&amp;IF(AND(Config!$B$16&lt;&gt;"",J101&lt;&gt;"Sim",J101&lt;&gt;"N/A"),Config!$B$16&amp;"; ","")&amp;IF(AND(Config!$B$17&lt;&gt;"",K101&lt;&gt;"Sim",K101&lt;&gt;"N/A"),Config!$B$17&amp;"; ","")&amp;IF(AND(Config!$D$10&lt;&gt;"",L101&lt;&gt;"Sim",L101&lt;&gt;"N/A"),Config!$D$10&amp;"; ","")&amp;IF(AND(Config!$D$11&lt;&gt;"",M101&lt;&gt;"Sim",M101&lt;&gt;"N/A"),Config!$D$11&amp;"; ","")&amp;IF(AND(Config!$D$12&lt;&gt;"",N101&lt;&gt;"Sim",N101&lt;&gt;"N/A"),Config!$D$12&amp;"; ","")&amp;IF(AND(Config!$D$13&lt;&gt;"",O101&lt;&gt;"Sim",O101&lt;&gt;"N/A"),Config!$D$13&amp;"; ","")&amp;IF(AND(Config!$D$14&lt;&gt;"",P101&lt;&gt;"Sim",P101&lt;&gt;"N/A"),Config!$D$14&amp;"; ","")&amp;IF(AND(Config!$D$15&lt;&gt;"",Q101&lt;&gt;"Sim",Q101&lt;&gt;"N/A"),Config!$D$15&amp;"; ","")&amp;IF(AND(Config!$D$16&lt;&gt;"",R101&lt;&gt;"Sim",R101&lt;&gt;"N/A"),Config!$D$16&amp;"; ","")&amp;IF(AND(Config!$D$17&lt;&gt;"",S101&lt;&gt;"Sim",S101&lt;&gt;"N/A"),Config!$D$17&amp;"; ",""))</f>
        <v/>
      </c>
      <c r="AB101" s="39">
        <f>IF(A101="",0,COUNTIF($A$5:$A$304,"&gt;"&amp;A101)+1)</f>
        <v>0</v>
      </c>
    </row>
    <row r="102">
      <c r="A102" s="37" t="n"/>
      <c r="B102" s="24">
        <f>IF(A102="","",CHOOSE(WEEKDAY(A102,2),"Segunda","Terça","Quarta","Quinta","Sexta","Sábado","Domingo"))</f>
        <v/>
      </c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26">
        <f>IF(A102="","",IFERROR(COUNTIF(D102:K102,"Sim")/(Config!$B$19-COUNTIF(D102:K102,"N/A")),""))</f>
        <v/>
      </c>
      <c r="U102" s="26">
        <f>IF(A102="","",IFERROR(COUNTIF(L102:S102,"Sim")/(Config!$D$19-COUNTIF(L102:S102,"N/A")),""))</f>
        <v/>
      </c>
      <c r="V102" s="24">
        <f>IF(A102="","",MAX(0,Config!$B$19-COUNTIF(D102:K102,"Sim")-COUNTIF(D102:K102,"N/A")))</f>
        <v/>
      </c>
      <c r="W102" s="24">
        <f>IF(A102="","",MAX(0,Config!$D$19-COUNTIF(L102:S102,"Sim")-COUNTIF(L102:S102,"N/A")))</f>
        <v/>
      </c>
      <c r="X102" s="24">
        <f>IF(A102="","",V102+W102)</f>
        <v/>
      </c>
      <c r="Y102" s="29">
        <f>IF(OR(A102="",AA102=""),"",LEFT(AA102,LEN(AA102)-2))</f>
        <v/>
      </c>
      <c r="Z102" s="39">
        <f>IF(OR(A102="",X102=0),0,X102*100000+A102/100000)</f>
        <v>0</v>
      </c>
      <c r="AA102" s="39">
        <f>IF(A102="","",IF(AND(Config!$B$10&lt;&gt;"",D102&lt;&gt;"Sim",D102&lt;&gt;"N/A"),Config!$B$10&amp;"; ","")&amp;IF(AND(Config!$B$11&lt;&gt;"",E102&lt;&gt;"Sim",E102&lt;&gt;"N/A"),Config!$B$11&amp;"; ","")&amp;IF(AND(Config!$B$12&lt;&gt;"",F102&lt;&gt;"Sim",F102&lt;&gt;"N/A"),Config!$B$12&amp;"; ","")&amp;IF(AND(Config!$B$13&lt;&gt;"",G102&lt;&gt;"Sim",G102&lt;&gt;"N/A"),Config!$B$13&amp;"; ","")&amp;IF(AND(Config!$B$14&lt;&gt;"",H102&lt;&gt;"Sim",H102&lt;&gt;"N/A"),Config!$B$14&amp;"; ","")&amp;IF(AND(Config!$B$15&lt;&gt;"",I102&lt;&gt;"Sim",I102&lt;&gt;"N/A"),Config!$B$15&amp;"; ","")&amp;IF(AND(Config!$B$16&lt;&gt;"",J102&lt;&gt;"Sim",J102&lt;&gt;"N/A"),Config!$B$16&amp;"; ","")&amp;IF(AND(Config!$B$17&lt;&gt;"",K102&lt;&gt;"Sim",K102&lt;&gt;"N/A"),Config!$B$17&amp;"; ","")&amp;IF(AND(Config!$D$10&lt;&gt;"",L102&lt;&gt;"Sim",L102&lt;&gt;"N/A"),Config!$D$10&amp;"; ","")&amp;IF(AND(Config!$D$11&lt;&gt;"",M102&lt;&gt;"Sim",M102&lt;&gt;"N/A"),Config!$D$11&amp;"; ","")&amp;IF(AND(Config!$D$12&lt;&gt;"",N102&lt;&gt;"Sim",N102&lt;&gt;"N/A"),Config!$D$12&amp;"; ","")&amp;IF(AND(Config!$D$13&lt;&gt;"",O102&lt;&gt;"Sim",O102&lt;&gt;"N/A"),Config!$D$13&amp;"; ","")&amp;IF(AND(Config!$D$14&lt;&gt;"",P102&lt;&gt;"Sim",P102&lt;&gt;"N/A"),Config!$D$14&amp;"; ","")&amp;IF(AND(Config!$D$15&lt;&gt;"",Q102&lt;&gt;"Sim",Q102&lt;&gt;"N/A"),Config!$D$15&amp;"; ","")&amp;IF(AND(Config!$D$16&lt;&gt;"",R102&lt;&gt;"Sim",R102&lt;&gt;"N/A"),Config!$D$16&amp;"; ","")&amp;IF(AND(Config!$D$17&lt;&gt;"",S102&lt;&gt;"Sim",S102&lt;&gt;"N/A"),Config!$D$17&amp;"; ",""))</f>
        <v/>
      </c>
      <c r="AB102" s="39">
        <f>IF(A102="",0,COUNTIF($A$5:$A$304,"&gt;"&amp;A102)+1)</f>
        <v>0</v>
      </c>
    </row>
    <row r="103">
      <c r="A103" s="37" t="n"/>
      <c r="B103" s="24">
        <f>IF(A103="","",CHOOSE(WEEKDAY(A103,2),"Segunda","Terça","Quarta","Quinta","Sexta","Sábado","Domingo"))</f>
        <v/>
      </c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26">
        <f>IF(A103="","",IFERROR(COUNTIF(D103:K103,"Sim")/(Config!$B$19-COUNTIF(D103:K103,"N/A")),""))</f>
        <v/>
      </c>
      <c r="U103" s="26">
        <f>IF(A103="","",IFERROR(COUNTIF(L103:S103,"Sim")/(Config!$D$19-COUNTIF(L103:S103,"N/A")),""))</f>
        <v/>
      </c>
      <c r="V103" s="24">
        <f>IF(A103="","",MAX(0,Config!$B$19-COUNTIF(D103:K103,"Sim")-COUNTIF(D103:K103,"N/A")))</f>
        <v/>
      </c>
      <c r="W103" s="24">
        <f>IF(A103="","",MAX(0,Config!$D$19-COUNTIF(L103:S103,"Sim")-COUNTIF(L103:S103,"N/A")))</f>
        <v/>
      </c>
      <c r="X103" s="24">
        <f>IF(A103="","",V103+W103)</f>
        <v/>
      </c>
      <c r="Y103" s="29">
        <f>IF(OR(A103="",AA103=""),"",LEFT(AA103,LEN(AA103)-2))</f>
        <v/>
      </c>
      <c r="Z103" s="39">
        <f>IF(OR(A103="",X103=0),0,X103*100000+A103/100000)</f>
        <v>0</v>
      </c>
      <c r="AA103" s="39">
        <f>IF(A103="","",IF(AND(Config!$B$10&lt;&gt;"",D103&lt;&gt;"Sim",D103&lt;&gt;"N/A"),Config!$B$10&amp;"; ","")&amp;IF(AND(Config!$B$11&lt;&gt;"",E103&lt;&gt;"Sim",E103&lt;&gt;"N/A"),Config!$B$11&amp;"; ","")&amp;IF(AND(Config!$B$12&lt;&gt;"",F103&lt;&gt;"Sim",F103&lt;&gt;"N/A"),Config!$B$12&amp;"; ","")&amp;IF(AND(Config!$B$13&lt;&gt;"",G103&lt;&gt;"Sim",G103&lt;&gt;"N/A"),Config!$B$13&amp;"; ","")&amp;IF(AND(Config!$B$14&lt;&gt;"",H103&lt;&gt;"Sim",H103&lt;&gt;"N/A"),Config!$B$14&amp;"; ","")&amp;IF(AND(Config!$B$15&lt;&gt;"",I103&lt;&gt;"Sim",I103&lt;&gt;"N/A"),Config!$B$15&amp;"; ","")&amp;IF(AND(Config!$B$16&lt;&gt;"",J103&lt;&gt;"Sim",J103&lt;&gt;"N/A"),Config!$B$16&amp;"; ","")&amp;IF(AND(Config!$B$17&lt;&gt;"",K103&lt;&gt;"Sim",K103&lt;&gt;"N/A"),Config!$B$17&amp;"; ","")&amp;IF(AND(Config!$D$10&lt;&gt;"",L103&lt;&gt;"Sim",L103&lt;&gt;"N/A"),Config!$D$10&amp;"; ","")&amp;IF(AND(Config!$D$11&lt;&gt;"",M103&lt;&gt;"Sim",M103&lt;&gt;"N/A"),Config!$D$11&amp;"; ","")&amp;IF(AND(Config!$D$12&lt;&gt;"",N103&lt;&gt;"Sim",N103&lt;&gt;"N/A"),Config!$D$12&amp;"; ","")&amp;IF(AND(Config!$D$13&lt;&gt;"",O103&lt;&gt;"Sim",O103&lt;&gt;"N/A"),Config!$D$13&amp;"; ","")&amp;IF(AND(Config!$D$14&lt;&gt;"",P103&lt;&gt;"Sim",P103&lt;&gt;"N/A"),Config!$D$14&amp;"; ","")&amp;IF(AND(Config!$D$15&lt;&gt;"",Q103&lt;&gt;"Sim",Q103&lt;&gt;"N/A"),Config!$D$15&amp;"; ","")&amp;IF(AND(Config!$D$16&lt;&gt;"",R103&lt;&gt;"Sim",R103&lt;&gt;"N/A"),Config!$D$16&amp;"; ","")&amp;IF(AND(Config!$D$17&lt;&gt;"",S103&lt;&gt;"Sim",S103&lt;&gt;"N/A"),Config!$D$17&amp;"; ",""))</f>
        <v/>
      </c>
      <c r="AB103" s="39">
        <f>IF(A103="",0,COUNTIF($A$5:$A$304,"&gt;"&amp;A103)+1)</f>
        <v>0</v>
      </c>
    </row>
    <row r="104">
      <c r="A104" s="37" t="n"/>
      <c r="B104" s="24">
        <f>IF(A104="","",CHOOSE(WEEKDAY(A104,2),"Segunda","Terça","Quarta","Quinta","Sexta","Sábado","Domingo"))</f>
        <v/>
      </c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26">
        <f>IF(A104="","",IFERROR(COUNTIF(D104:K104,"Sim")/(Config!$B$19-COUNTIF(D104:K104,"N/A")),""))</f>
        <v/>
      </c>
      <c r="U104" s="26">
        <f>IF(A104="","",IFERROR(COUNTIF(L104:S104,"Sim")/(Config!$D$19-COUNTIF(L104:S104,"N/A")),""))</f>
        <v/>
      </c>
      <c r="V104" s="24">
        <f>IF(A104="","",MAX(0,Config!$B$19-COUNTIF(D104:K104,"Sim")-COUNTIF(D104:K104,"N/A")))</f>
        <v/>
      </c>
      <c r="W104" s="24">
        <f>IF(A104="","",MAX(0,Config!$D$19-COUNTIF(L104:S104,"Sim")-COUNTIF(L104:S104,"N/A")))</f>
        <v/>
      </c>
      <c r="X104" s="24">
        <f>IF(A104="","",V104+W104)</f>
        <v/>
      </c>
      <c r="Y104" s="29">
        <f>IF(OR(A104="",AA104=""),"",LEFT(AA104,LEN(AA104)-2))</f>
        <v/>
      </c>
      <c r="Z104" s="39">
        <f>IF(OR(A104="",X104=0),0,X104*100000+A104/100000)</f>
        <v>0</v>
      </c>
      <c r="AA104" s="39">
        <f>IF(A104="","",IF(AND(Config!$B$10&lt;&gt;"",D104&lt;&gt;"Sim",D104&lt;&gt;"N/A"),Config!$B$10&amp;"; ","")&amp;IF(AND(Config!$B$11&lt;&gt;"",E104&lt;&gt;"Sim",E104&lt;&gt;"N/A"),Config!$B$11&amp;"; ","")&amp;IF(AND(Config!$B$12&lt;&gt;"",F104&lt;&gt;"Sim",F104&lt;&gt;"N/A"),Config!$B$12&amp;"; ","")&amp;IF(AND(Config!$B$13&lt;&gt;"",G104&lt;&gt;"Sim",G104&lt;&gt;"N/A"),Config!$B$13&amp;"; ","")&amp;IF(AND(Config!$B$14&lt;&gt;"",H104&lt;&gt;"Sim",H104&lt;&gt;"N/A"),Config!$B$14&amp;"; ","")&amp;IF(AND(Config!$B$15&lt;&gt;"",I104&lt;&gt;"Sim",I104&lt;&gt;"N/A"),Config!$B$15&amp;"; ","")&amp;IF(AND(Config!$B$16&lt;&gt;"",J104&lt;&gt;"Sim",J104&lt;&gt;"N/A"),Config!$B$16&amp;"; ","")&amp;IF(AND(Config!$B$17&lt;&gt;"",K104&lt;&gt;"Sim",K104&lt;&gt;"N/A"),Config!$B$17&amp;"; ","")&amp;IF(AND(Config!$D$10&lt;&gt;"",L104&lt;&gt;"Sim",L104&lt;&gt;"N/A"),Config!$D$10&amp;"; ","")&amp;IF(AND(Config!$D$11&lt;&gt;"",M104&lt;&gt;"Sim",M104&lt;&gt;"N/A"),Config!$D$11&amp;"; ","")&amp;IF(AND(Config!$D$12&lt;&gt;"",N104&lt;&gt;"Sim",N104&lt;&gt;"N/A"),Config!$D$12&amp;"; ","")&amp;IF(AND(Config!$D$13&lt;&gt;"",O104&lt;&gt;"Sim",O104&lt;&gt;"N/A"),Config!$D$13&amp;"; ","")&amp;IF(AND(Config!$D$14&lt;&gt;"",P104&lt;&gt;"Sim",P104&lt;&gt;"N/A"),Config!$D$14&amp;"; ","")&amp;IF(AND(Config!$D$15&lt;&gt;"",Q104&lt;&gt;"Sim",Q104&lt;&gt;"N/A"),Config!$D$15&amp;"; ","")&amp;IF(AND(Config!$D$16&lt;&gt;"",R104&lt;&gt;"Sim",R104&lt;&gt;"N/A"),Config!$D$16&amp;"; ","")&amp;IF(AND(Config!$D$17&lt;&gt;"",S104&lt;&gt;"Sim",S104&lt;&gt;"N/A"),Config!$D$17&amp;"; ",""))</f>
        <v/>
      </c>
      <c r="AB104" s="39">
        <f>IF(A104="",0,COUNTIF($A$5:$A$304,"&gt;"&amp;A104)+1)</f>
        <v>0</v>
      </c>
    </row>
    <row r="105">
      <c r="A105" s="37" t="n"/>
      <c r="B105" s="24">
        <f>IF(A105="","",CHOOSE(WEEKDAY(A105,2),"Segunda","Terça","Quarta","Quinta","Sexta","Sábado","Domingo"))</f>
        <v/>
      </c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26">
        <f>IF(A105="","",IFERROR(COUNTIF(D105:K105,"Sim")/(Config!$B$19-COUNTIF(D105:K105,"N/A")),""))</f>
        <v/>
      </c>
      <c r="U105" s="26">
        <f>IF(A105="","",IFERROR(COUNTIF(L105:S105,"Sim")/(Config!$D$19-COUNTIF(L105:S105,"N/A")),""))</f>
        <v/>
      </c>
      <c r="V105" s="24">
        <f>IF(A105="","",MAX(0,Config!$B$19-COUNTIF(D105:K105,"Sim")-COUNTIF(D105:K105,"N/A")))</f>
        <v/>
      </c>
      <c r="W105" s="24">
        <f>IF(A105="","",MAX(0,Config!$D$19-COUNTIF(L105:S105,"Sim")-COUNTIF(L105:S105,"N/A")))</f>
        <v/>
      </c>
      <c r="X105" s="24">
        <f>IF(A105="","",V105+W105)</f>
        <v/>
      </c>
      <c r="Y105" s="29">
        <f>IF(OR(A105="",AA105=""),"",LEFT(AA105,LEN(AA105)-2))</f>
        <v/>
      </c>
      <c r="Z105" s="39">
        <f>IF(OR(A105="",X105=0),0,X105*100000+A105/100000)</f>
        <v>0</v>
      </c>
      <c r="AA105" s="39">
        <f>IF(A105="","",IF(AND(Config!$B$10&lt;&gt;"",D105&lt;&gt;"Sim",D105&lt;&gt;"N/A"),Config!$B$10&amp;"; ","")&amp;IF(AND(Config!$B$11&lt;&gt;"",E105&lt;&gt;"Sim",E105&lt;&gt;"N/A"),Config!$B$11&amp;"; ","")&amp;IF(AND(Config!$B$12&lt;&gt;"",F105&lt;&gt;"Sim",F105&lt;&gt;"N/A"),Config!$B$12&amp;"; ","")&amp;IF(AND(Config!$B$13&lt;&gt;"",G105&lt;&gt;"Sim",G105&lt;&gt;"N/A"),Config!$B$13&amp;"; ","")&amp;IF(AND(Config!$B$14&lt;&gt;"",H105&lt;&gt;"Sim",H105&lt;&gt;"N/A"),Config!$B$14&amp;"; ","")&amp;IF(AND(Config!$B$15&lt;&gt;"",I105&lt;&gt;"Sim",I105&lt;&gt;"N/A"),Config!$B$15&amp;"; ","")&amp;IF(AND(Config!$B$16&lt;&gt;"",J105&lt;&gt;"Sim",J105&lt;&gt;"N/A"),Config!$B$16&amp;"; ","")&amp;IF(AND(Config!$B$17&lt;&gt;"",K105&lt;&gt;"Sim",K105&lt;&gt;"N/A"),Config!$B$17&amp;"; ","")&amp;IF(AND(Config!$D$10&lt;&gt;"",L105&lt;&gt;"Sim",L105&lt;&gt;"N/A"),Config!$D$10&amp;"; ","")&amp;IF(AND(Config!$D$11&lt;&gt;"",M105&lt;&gt;"Sim",M105&lt;&gt;"N/A"),Config!$D$11&amp;"; ","")&amp;IF(AND(Config!$D$12&lt;&gt;"",N105&lt;&gt;"Sim",N105&lt;&gt;"N/A"),Config!$D$12&amp;"; ","")&amp;IF(AND(Config!$D$13&lt;&gt;"",O105&lt;&gt;"Sim",O105&lt;&gt;"N/A"),Config!$D$13&amp;"; ","")&amp;IF(AND(Config!$D$14&lt;&gt;"",P105&lt;&gt;"Sim",P105&lt;&gt;"N/A"),Config!$D$14&amp;"; ","")&amp;IF(AND(Config!$D$15&lt;&gt;"",Q105&lt;&gt;"Sim",Q105&lt;&gt;"N/A"),Config!$D$15&amp;"; ","")&amp;IF(AND(Config!$D$16&lt;&gt;"",R105&lt;&gt;"Sim",R105&lt;&gt;"N/A"),Config!$D$16&amp;"; ","")&amp;IF(AND(Config!$D$17&lt;&gt;"",S105&lt;&gt;"Sim",S105&lt;&gt;"N/A"),Config!$D$17&amp;"; ",""))</f>
        <v/>
      </c>
      <c r="AB105" s="39">
        <f>IF(A105="",0,COUNTIF($A$5:$A$304,"&gt;"&amp;A105)+1)</f>
        <v>0</v>
      </c>
    </row>
    <row r="106">
      <c r="A106" s="37" t="n"/>
      <c r="B106" s="24">
        <f>IF(A106="","",CHOOSE(WEEKDAY(A106,2),"Segunda","Terça","Quarta","Quinta","Sexta","Sábado","Domingo"))</f>
        <v/>
      </c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26">
        <f>IF(A106="","",IFERROR(COUNTIF(D106:K106,"Sim")/(Config!$B$19-COUNTIF(D106:K106,"N/A")),""))</f>
        <v/>
      </c>
      <c r="U106" s="26">
        <f>IF(A106="","",IFERROR(COUNTIF(L106:S106,"Sim")/(Config!$D$19-COUNTIF(L106:S106,"N/A")),""))</f>
        <v/>
      </c>
      <c r="V106" s="24">
        <f>IF(A106="","",MAX(0,Config!$B$19-COUNTIF(D106:K106,"Sim")-COUNTIF(D106:K106,"N/A")))</f>
        <v/>
      </c>
      <c r="W106" s="24">
        <f>IF(A106="","",MAX(0,Config!$D$19-COUNTIF(L106:S106,"Sim")-COUNTIF(L106:S106,"N/A")))</f>
        <v/>
      </c>
      <c r="X106" s="24">
        <f>IF(A106="","",V106+W106)</f>
        <v/>
      </c>
      <c r="Y106" s="29">
        <f>IF(OR(A106="",AA106=""),"",LEFT(AA106,LEN(AA106)-2))</f>
        <v/>
      </c>
      <c r="Z106" s="39">
        <f>IF(OR(A106="",X106=0),0,X106*100000+A106/100000)</f>
        <v>0</v>
      </c>
      <c r="AA106" s="39">
        <f>IF(A106="","",IF(AND(Config!$B$10&lt;&gt;"",D106&lt;&gt;"Sim",D106&lt;&gt;"N/A"),Config!$B$10&amp;"; ","")&amp;IF(AND(Config!$B$11&lt;&gt;"",E106&lt;&gt;"Sim",E106&lt;&gt;"N/A"),Config!$B$11&amp;"; ","")&amp;IF(AND(Config!$B$12&lt;&gt;"",F106&lt;&gt;"Sim",F106&lt;&gt;"N/A"),Config!$B$12&amp;"; ","")&amp;IF(AND(Config!$B$13&lt;&gt;"",G106&lt;&gt;"Sim",G106&lt;&gt;"N/A"),Config!$B$13&amp;"; ","")&amp;IF(AND(Config!$B$14&lt;&gt;"",H106&lt;&gt;"Sim",H106&lt;&gt;"N/A"),Config!$B$14&amp;"; ","")&amp;IF(AND(Config!$B$15&lt;&gt;"",I106&lt;&gt;"Sim",I106&lt;&gt;"N/A"),Config!$B$15&amp;"; ","")&amp;IF(AND(Config!$B$16&lt;&gt;"",J106&lt;&gt;"Sim",J106&lt;&gt;"N/A"),Config!$B$16&amp;"; ","")&amp;IF(AND(Config!$B$17&lt;&gt;"",K106&lt;&gt;"Sim",K106&lt;&gt;"N/A"),Config!$B$17&amp;"; ","")&amp;IF(AND(Config!$D$10&lt;&gt;"",L106&lt;&gt;"Sim",L106&lt;&gt;"N/A"),Config!$D$10&amp;"; ","")&amp;IF(AND(Config!$D$11&lt;&gt;"",M106&lt;&gt;"Sim",M106&lt;&gt;"N/A"),Config!$D$11&amp;"; ","")&amp;IF(AND(Config!$D$12&lt;&gt;"",N106&lt;&gt;"Sim",N106&lt;&gt;"N/A"),Config!$D$12&amp;"; ","")&amp;IF(AND(Config!$D$13&lt;&gt;"",O106&lt;&gt;"Sim",O106&lt;&gt;"N/A"),Config!$D$13&amp;"; ","")&amp;IF(AND(Config!$D$14&lt;&gt;"",P106&lt;&gt;"Sim",P106&lt;&gt;"N/A"),Config!$D$14&amp;"; ","")&amp;IF(AND(Config!$D$15&lt;&gt;"",Q106&lt;&gt;"Sim",Q106&lt;&gt;"N/A"),Config!$D$15&amp;"; ","")&amp;IF(AND(Config!$D$16&lt;&gt;"",R106&lt;&gt;"Sim",R106&lt;&gt;"N/A"),Config!$D$16&amp;"; ","")&amp;IF(AND(Config!$D$17&lt;&gt;"",S106&lt;&gt;"Sim",S106&lt;&gt;"N/A"),Config!$D$17&amp;"; ",""))</f>
        <v/>
      </c>
      <c r="AB106" s="39">
        <f>IF(A106="",0,COUNTIF($A$5:$A$304,"&gt;"&amp;A106)+1)</f>
        <v>0</v>
      </c>
    </row>
    <row r="107">
      <c r="A107" s="37" t="n"/>
      <c r="B107" s="24">
        <f>IF(A107="","",CHOOSE(WEEKDAY(A107,2),"Segunda","Terça","Quarta","Quinta","Sexta","Sábado","Domingo"))</f>
        <v/>
      </c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26">
        <f>IF(A107="","",IFERROR(COUNTIF(D107:K107,"Sim")/(Config!$B$19-COUNTIF(D107:K107,"N/A")),""))</f>
        <v/>
      </c>
      <c r="U107" s="26">
        <f>IF(A107="","",IFERROR(COUNTIF(L107:S107,"Sim")/(Config!$D$19-COUNTIF(L107:S107,"N/A")),""))</f>
        <v/>
      </c>
      <c r="V107" s="24">
        <f>IF(A107="","",MAX(0,Config!$B$19-COUNTIF(D107:K107,"Sim")-COUNTIF(D107:K107,"N/A")))</f>
        <v/>
      </c>
      <c r="W107" s="24">
        <f>IF(A107="","",MAX(0,Config!$D$19-COUNTIF(L107:S107,"Sim")-COUNTIF(L107:S107,"N/A")))</f>
        <v/>
      </c>
      <c r="X107" s="24">
        <f>IF(A107="","",V107+W107)</f>
        <v/>
      </c>
      <c r="Y107" s="29">
        <f>IF(OR(A107="",AA107=""),"",LEFT(AA107,LEN(AA107)-2))</f>
        <v/>
      </c>
      <c r="Z107" s="39">
        <f>IF(OR(A107="",X107=0),0,X107*100000+A107/100000)</f>
        <v>0</v>
      </c>
      <c r="AA107" s="39">
        <f>IF(A107="","",IF(AND(Config!$B$10&lt;&gt;"",D107&lt;&gt;"Sim",D107&lt;&gt;"N/A"),Config!$B$10&amp;"; ","")&amp;IF(AND(Config!$B$11&lt;&gt;"",E107&lt;&gt;"Sim",E107&lt;&gt;"N/A"),Config!$B$11&amp;"; ","")&amp;IF(AND(Config!$B$12&lt;&gt;"",F107&lt;&gt;"Sim",F107&lt;&gt;"N/A"),Config!$B$12&amp;"; ","")&amp;IF(AND(Config!$B$13&lt;&gt;"",G107&lt;&gt;"Sim",G107&lt;&gt;"N/A"),Config!$B$13&amp;"; ","")&amp;IF(AND(Config!$B$14&lt;&gt;"",H107&lt;&gt;"Sim",H107&lt;&gt;"N/A"),Config!$B$14&amp;"; ","")&amp;IF(AND(Config!$B$15&lt;&gt;"",I107&lt;&gt;"Sim",I107&lt;&gt;"N/A"),Config!$B$15&amp;"; ","")&amp;IF(AND(Config!$B$16&lt;&gt;"",J107&lt;&gt;"Sim",J107&lt;&gt;"N/A"),Config!$B$16&amp;"; ","")&amp;IF(AND(Config!$B$17&lt;&gt;"",K107&lt;&gt;"Sim",K107&lt;&gt;"N/A"),Config!$B$17&amp;"; ","")&amp;IF(AND(Config!$D$10&lt;&gt;"",L107&lt;&gt;"Sim",L107&lt;&gt;"N/A"),Config!$D$10&amp;"; ","")&amp;IF(AND(Config!$D$11&lt;&gt;"",M107&lt;&gt;"Sim",M107&lt;&gt;"N/A"),Config!$D$11&amp;"; ","")&amp;IF(AND(Config!$D$12&lt;&gt;"",N107&lt;&gt;"Sim",N107&lt;&gt;"N/A"),Config!$D$12&amp;"; ","")&amp;IF(AND(Config!$D$13&lt;&gt;"",O107&lt;&gt;"Sim",O107&lt;&gt;"N/A"),Config!$D$13&amp;"; ","")&amp;IF(AND(Config!$D$14&lt;&gt;"",P107&lt;&gt;"Sim",P107&lt;&gt;"N/A"),Config!$D$14&amp;"; ","")&amp;IF(AND(Config!$D$15&lt;&gt;"",Q107&lt;&gt;"Sim",Q107&lt;&gt;"N/A"),Config!$D$15&amp;"; ","")&amp;IF(AND(Config!$D$16&lt;&gt;"",R107&lt;&gt;"Sim",R107&lt;&gt;"N/A"),Config!$D$16&amp;"; ","")&amp;IF(AND(Config!$D$17&lt;&gt;"",S107&lt;&gt;"Sim",S107&lt;&gt;"N/A"),Config!$D$17&amp;"; ",""))</f>
        <v/>
      </c>
      <c r="AB107" s="39">
        <f>IF(A107="",0,COUNTIF($A$5:$A$304,"&gt;"&amp;A107)+1)</f>
        <v>0</v>
      </c>
    </row>
    <row r="108">
      <c r="A108" s="37" t="n"/>
      <c r="B108" s="24">
        <f>IF(A108="","",CHOOSE(WEEKDAY(A108,2),"Segunda","Terça","Quarta","Quinta","Sexta","Sábado","Domingo"))</f>
        <v/>
      </c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26">
        <f>IF(A108="","",IFERROR(COUNTIF(D108:K108,"Sim")/(Config!$B$19-COUNTIF(D108:K108,"N/A")),""))</f>
        <v/>
      </c>
      <c r="U108" s="26">
        <f>IF(A108="","",IFERROR(COUNTIF(L108:S108,"Sim")/(Config!$D$19-COUNTIF(L108:S108,"N/A")),""))</f>
        <v/>
      </c>
      <c r="V108" s="24">
        <f>IF(A108="","",MAX(0,Config!$B$19-COUNTIF(D108:K108,"Sim")-COUNTIF(D108:K108,"N/A")))</f>
        <v/>
      </c>
      <c r="W108" s="24">
        <f>IF(A108="","",MAX(0,Config!$D$19-COUNTIF(L108:S108,"Sim")-COUNTIF(L108:S108,"N/A")))</f>
        <v/>
      </c>
      <c r="X108" s="24">
        <f>IF(A108="","",V108+W108)</f>
        <v/>
      </c>
      <c r="Y108" s="29">
        <f>IF(OR(A108="",AA108=""),"",LEFT(AA108,LEN(AA108)-2))</f>
        <v/>
      </c>
      <c r="Z108" s="39">
        <f>IF(OR(A108="",X108=0),0,X108*100000+A108/100000)</f>
        <v>0</v>
      </c>
      <c r="AA108" s="39">
        <f>IF(A108="","",IF(AND(Config!$B$10&lt;&gt;"",D108&lt;&gt;"Sim",D108&lt;&gt;"N/A"),Config!$B$10&amp;"; ","")&amp;IF(AND(Config!$B$11&lt;&gt;"",E108&lt;&gt;"Sim",E108&lt;&gt;"N/A"),Config!$B$11&amp;"; ","")&amp;IF(AND(Config!$B$12&lt;&gt;"",F108&lt;&gt;"Sim",F108&lt;&gt;"N/A"),Config!$B$12&amp;"; ","")&amp;IF(AND(Config!$B$13&lt;&gt;"",G108&lt;&gt;"Sim",G108&lt;&gt;"N/A"),Config!$B$13&amp;"; ","")&amp;IF(AND(Config!$B$14&lt;&gt;"",H108&lt;&gt;"Sim",H108&lt;&gt;"N/A"),Config!$B$14&amp;"; ","")&amp;IF(AND(Config!$B$15&lt;&gt;"",I108&lt;&gt;"Sim",I108&lt;&gt;"N/A"),Config!$B$15&amp;"; ","")&amp;IF(AND(Config!$B$16&lt;&gt;"",J108&lt;&gt;"Sim",J108&lt;&gt;"N/A"),Config!$B$16&amp;"; ","")&amp;IF(AND(Config!$B$17&lt;&gt;"",K108&lt;&gt;"Sim",K108&lt;&gt;"N/A"),Config!$B$17&amp;"; ","")&amp;IF(AND(Config!$D$10&lt;&gt;"",L108&lt;&gt;"Sim",L108&lt;&gt;"N/A"),Config!$D$10&amp;"; ","")&amp;IF(AND(Config!$D$11&lt;&gt;"",M108&lt;&gt;"Sim",M108&lt;&gt;"N/A"),Config!$D$11&amp;"; ","")&amp;IF(AND(Config!$D$12&lt;&gt;"",N108&lt;&gt;"Sim",N108&lt;&gt;"N/A"),Config!$D$12&amp;"; ","")&amp;IF(AND(Config!$D$13&lt;&gt;"",O108&lt;&gt;"Sim",O108&lt;&gt;"N/A"),Config!$D$13&amp;"; ","")&amp;IF(AND(Config!$D$14&lt;&gt;"",P108&lt;&gt;"Sim",P108&lt;&gt;"N/A"),Config!$D$14&amp;"; ","")&amp;IF(AND(Config!$D$15&lt;&gt;"",Q108&lt;&gt;"Sim",Q108&lt;&gt;"N/A"),Config!$D$15&amp;"; ","")&amp;IF(AND(Config!$D$16&lt;&gt;"",R108&lt;&gt;"Sim",R108&lt;&gt;"N/A"),Config!$D$16&amp;"; ","")&amp;IF(AND(Config!$D$17&lt;&gt;"",S108&lt;&gt;"Sim",S108&lt;&gt;"N/A"),Config!$D$17&amp;"; ",""))</f>
        <v/>
      </c>
      <c r="AB108" s="39">
        <f>IF(A108="",0,COUNTIF($A$5:$A$304,"&gt;"&amp;A108)+1)</f>
        <v>0</v>
      </c>
    </row>
    <row r="109">
      <c r="A109" s="37" t="n"/>
      <c r="B109" s="24">
        <f>IF(A109="","",CHOOSE(WEEKDAY(A109,2),"Segunda","Terça","Quarta","Quinta","Sexta","Sábado","Domingo"))</f>
        <v/>
      </c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26">
        <f>IF(A109="","",IFERROR(COUNTIF(D109:K109,"Sim")/(Config!$B$19-COUNTIF(D109:K109,"N/A")),""))</f>
        <v/>
      </c>
      <c r="U109" s="26">
        <f>IF(A109="","",IFERROR(COUNTIF(L109:S109,"Sim")/(Config!$D$19-COUNTIF(L109:S109,"N/A")),""))</f>
        <v/>
      </c>
      <c r="V109" s="24">
        <f>IF(A109="","",MAX(0,Config!$B$19-COUNTIF(D109:K109,"Sim")-COUNTIF(D109:K109,"N/A")))</f>
        <v/>
      </c>
      <c r="W109" s="24">
        <f>IF(A109="","",MAX(0,Config!$D$19-COUNTIF(L109:S109,"Sim")-COUNTIF(L109:S109,"N/A")))</f>
        <v/>
      </c>
      <c r="X109" s="24">
        <f>IF(A109="","",V109+W109)</f>
        <v/>
      </c>
      <c r="Y109" s="29">
        <f>IF(OR(A109="",AA109=""),"",LEFT(AA109,LEN(AA109)-2))</f>
        <v/>
      </c>
      <c r="Z109" s="39">
        <f>IF(OR(A109="",X109=0),0,X109*100000+A109/100000)</f>
        <v>0</v>
      </c>
      <c r="AA109" s="39">
        <f>IF(A109="","",IF(AND(Config!$B$10&lt;&gt;"",D109&lt;&gt;"Sim",D109&lt;&gt;"N/A"),Config!$B$10&amp;"; ","")&amp;IF(AND(Config!$B$11&lt;&gt;"",E109&lt;&gt;"Sim",E109&lt;&gt;"N/A"),Config!$B$11&amp;"; ","")&amp;IF(AND(Config!$B$12&lt;&gt;"",F109&lt;&gt;"Sim",F109&lt;&gt;"N/A"),Config!$B$12&amp;"; ","")&amp;IF(AND(Config!$B$13&lt;&gt;"",G109&lt;&gt;"Sim",G109&lt;&gt;"N/A"),Config!$B$13&amp;"; ","")&amp;IF(AND(Config!$B$14&lt;&gt;"",H109&lt;&gt;"Sim",H109&lt;&gt;"N/A"),Config!$B$14&amp;"; ","")&amp;IF(AND(Config!$B$15&lt;&gt;"",I109&lt;&gt;"Sim",I109&lt;&gt;"N/A"),Config!$B$15&amp;"; ","")&amp;IF(AND(Config!$B$16&lt;&gt;"",J109&lt;&gt;"Sim",J109&lt;&gt;"N/A"),Config!$B$16&amp;"; ","")&amp;IF(AND(Config!$B$17&lt;&gt;"",K109&lt;&gt;"Sim",K109&lt;&gt;"N/A"),Config!$B$17&amp;"; ","")&amp;IF(AND(Config!$D$10&lt;&gt;"",L109&lt;&gt;"Sim",L109&lt;&gt;"N/A"),Config!$D$10&amp;"; ","")&amp;IF(AND(Config!$D$11&lt;&gt;"",M109&lt;&gt;"Sim",M109&lt;&gt;"N/A"),Config!$D$11&amp;"; ","")&amp;IF(AND(Config!$D$12&lt;&gt;"",N109&lt;&gt;"Sim",N109&lt;&gt;"N/A"),Config!$D$12&amp;"; ","")&amp;IF(AND(Config!$D$13&lt;&gt;"",O109&lt;&gt;"Sim",O109&lt;&gt;"N/A"),Config!$D$13&amp;"; ","")&amp;IF(AND(Config!$D$14&lt;&gt;"",P109&lt;&gt;"Sim",P109&lt;&gt;"N/A"),Config!$D$14&amp;"; ","")&amp;IF(AND(Config!$D$15&lt;&gt;"",Q109&lt;&gt;"Sim",Q109&lt;&gt;"N/A"),Config!$D$15&amp;"; ","")&amp;IF(AND(Config!$D$16&lt;&gt;"",R109&lt;&gt;"Sim",R109&lt;&gt;"N/A"),Config!$D$16&amp;"; ","")&amp;IF(AND(Config!$D$17&lt;&gt;"",S109&lt;&gt;"Sim",S109&lt;&gt;"N/A"),Config!$D$17&amp;"; ",""))</f>
        <v/>
      </c>
      <c r="AB109" s="39">
        <f>IF(A109="",0,COUNTIF($A$5:$A$304,"&gt;"&amp;A109)+1)</f>
        <v>0</v>
      </c>
    </row>
    <row r="110">
      <c r="A110" s="37" t="n"/>
      <c r="B110" s="24">
        <f>IF(A110="","",CHOOSE(WEEKDAY(A110,2),"Segunda","Terça","Quarta","Quinta","Sexta","Sábado","Domingo"))</f>
        <v/>
      </c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26">
        <f>IF(A110="","",IFERROR(COUNTIF(D110:K110,"Sim")/(Config!$B$19-COUNTIF(D110:K110,"N/A")),""))</f>
        <v/>
      </c>
      <c r="U110" s="26">
        <f>IF(A110="","",IFERROR(COUNTIF(L110:S110,"Sim")/(Config!$D$19-COUNTIF(L110:S110,"N/A")),""))</f>
        <v/>
      </c>
      <c r="V110" s="24">
        <f>IF(A110="","",MAX(0,Config!$B$19-COUNTIF(D110:K110,"Sim")-COUNTIF(D110:K110,"N/A")))</f>
        <v/>
      </c>
      <c r="W110" s="24">
        <f>IF(A110="","",MAX(0,Config!$D$19-COUNTIF(L110:S110,"Sim")-COUNTIF(L110:S110,"N/A")))</f>
        <v/>
      </c>
      <c r="X110" s="24">
        <f>IF(A110="","",V110+W110)</f>
        <v/>
      </c>
      <c r="Y110" s="29">
        <f>IF(OR(A110="",AA110=""),"",LEFT(AA110,LEN(AA110)-2))</f>
        <v/>
      </c>
      <c r="Z110" s="39">
        <f>IF(OR(A110="",X110=0),0,X110*100000+A110/100000)</f>
        <v>0</v>
      </c>
      <c r="AA110" s="39">
        <f>IF(A110="","",IF(AND(Config!$B$10&lt;&gt;"",D110&lt;&gt;"Sim",D110&lt;&gt;"N/A"),Config!$B$10&amp;"; ","")&amp;IF(AND(Config!$B$11&lt;&gt;"",E110&lt;&gt;"Sim",E110&lt;&gt;"N/A"),Config!$B$11&amp;"; ","")&amp;IF(AND(Config!$B$12&lt;&gt;"",F110&lt;&gt;"Sim",F110&lt;&gt;"N/A"),Config!$B$12&amp;"; ","")&amp;IF(AND(Config!$B$13&lt;&gt;"",G110&lt;&gt;"Sim",G110&lt;&gt;"N/A"),Config!$B$13&amp;"; ","")&amp;IF(AND(Config!$B$14&lt;&gt;"",H110&lt;&gt;"Sim",H110&lt;&gt;"N/A"),Config!$B$14&amp;"; ","")&amp;IF(AND(Config!$B$15&lt;&gt;"",I110&lt;&gt;"Sim",I110&lt;&gt;"N/A"),Config!$B$15&amp;"; ","")&amp;IF(AND(Config!$B$16&lt;&gt;"",J110&lt;&gt;"Sim",J110&lt;&gt;"N/A"),Config!$B$16&amp;"; ","")&amp;IF(AND(Config!$B$17&lt;&gt;"",K110&lt;&gt;"Sim",K110&lt;&gt;"N/A"),Config!$B$17&amp;"; ","")&amp;IF(AND(Config!$D$10&lt;&gt;"",L110&lt;&gt;"Sim",L110&lt;&gt;"N/A"),Config!$D$10&amp;"; ","")&amp;IF(AND(Config!$D$11&lt;&gt;"",M110&lt;&gt;"Sim",M110&lt;&gt;"N/A"),Config!$D$11&amp;"; ","")&amp;IF(AND(Config!$D$12&lt;&gt;"",N110&lt;&gt;"Sim",N110&lt;&gt;"N/A"),Config!$D$12&amp;"; ","")&amp;IF(AND(Config!$D$13&lt;&gt;"",O110&lt;&gt;"Sim",O110&lt;&gt;"N/A"),Config!$D$13&amp;"; ","")&amp;IF(AND(Config!$D$14&lt;&gt;"",P110&lt;&gt;"Sim",P110&lt;&gt;"N/A"),Config!$D$14&amp;"; ","")&amp;IF(AND(Config!$D$15&lt;&gt;"",Q110&lt;&gt;"Sim",Q110&lt;&gt;"N/A"),Config!$D$15&amp;"; ","")&amp;IF(AND(Config!$D$16&lt;&gt;"",R110&lt;&gt;"Sim",R110&lt;&gt;"N/A"),Config!$D$16&amp;"; ","")&amp;IF(AND(Config!$D$17&lt;&gt;"",S110&lt;&gt;"Sim",S110&lt;&gt;"N/A"),Config!$D$17&amp;"; ",""))</f>
        <v/>
      </c>
      <c r="AB110" s="39">
        <f>IF(A110="",0,COUNTIF($A$5:$A$304,"&gt;"&amp;A110)+1)</f>
        <v>0</v>
      </c>
    </row>
    <row r="111">
      <c r="A111" s="37" t="n"/>
      <c r="B111" s="24">
        <f>IF(A111="","",CHOOSE(WEEKDAY(A111,2),"Segunda","Terça","Quarta","Quinta","Sexta","Sábado","Domingo"))</f>
        <v/>
      </c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26">
        <f>IF(A111="","",IFERROR(COUNTIF(D111:K111,"Sim")/(Config!$B$19-COUNTIF(D111:K111,"N/A")),""))</f>
        <v/>
      </c>
      <c r="U111" s="26">
        <f>IF(A111="","",IFERROR(COUNTIF(L111:S111,"Sim")/(Config!$D$19-COUNTIF(L111:S111,"N/A")),""))</f>
        <v/>
      </c>
      <c r="V111" s="24">
        <f>IF(A111="","",MAX(0,Config!$B$19-COUNTIF(D111:K111,"Sim")-COUNTIF(D111:K111,"N/A")))</f>
        <v/>
      </c>
      <c r="W111" s="24">
        <f>IF(A111="","",MAX(0,Config!$D$19-COUNTIF(L111:S111,"Sim")-COUNTIF(L111:S111,"N/A")))</f>
        <v/>
      </c>
      <c r="X111" s="24">
        <f>IF(A111="","",V111+W111)</f>
        <v/>
      </c>
      <c r="Y111" s="29">
        <f>IF(OR(A111="",AA111=""),"",LEFT(AA111,LEN(AA111)-2))</f>
        <v/>
      </c>
      <c r="Z111" s="39">
        <f>IF(OR(A111="",X111=0),0,X111*100000+A111/100000)</f>
        <v>0</v>
      </c>
      <c r="AA111" s="39">
        <f>IF(A111="","",IF(AND(Config!$B$10&lt;&gt;"",D111&lt;&gt;"Sim",D111&lt;&gt;"N/A"),Config!$B$10&amp;"; ","")&amp;IF(AND(Config!$B$11&lt;&gt;"",E111&lt;&gt;"Sim",E111&lt;&gt;"N/A"),Config!$B$11&amp;"; ","")&amp;IF(AND(Config!$B$12&lt;&gt;"",F111&lt;&gt;"Sim",F111&lt;&gt;"N/A"),Config!$B$12&amp;"; ","")&amp;IF(AND(Config!$B$13&lt;&gt;"",G111&lt;&gt;"Sim",G111&lt;&gt;"N/A"),Config!$B$13&amp;"; ","")&amp;IF(AND(Config!$B$14&lt;&gt;"",H111&lt;&gt;"Sim",H111&lt;&gt;"N/A"),Config!$B$14&amp;"; ","")&amp;IF(AND(Config!$B$15&lt;&gt;"",I111&lt;&gt;"Sim",I111&lt;&gt;"N/A"),Config!$B$15&amp;"; ","")&amp;IF(AND(Config!$B$16&lt;&gt;"",J111&lt;&gt;"Sim",J111&lt;&gt;"N/A"),Config!$B$16&amp;"; ","")&amp;IF(AND(Config!$B$17&lt;&gt;"",K111&lt;&gt;"Sim",K111&lt;&gt;"N/A"),Config!$B$17&amp;"; ","")&amp;IF(AND(Config!$D$10&lt;&gt;"",L111&lt;&gt;"Sim",L111&lt;&gt;"N/A"),Config!$D$10&amp;"; ","")&amp;IF(AND(Config!$D$11&lt;&gt;"",M111&lt;&gt;"Sim",M111&lt;&gt;"N/A"),Config!$D$11&amp;"; ","")&amp;IF(AND(Config!$D$12&lt;&gt;"",N111&lt;&gt;"Sim",N111&lt;&gt;"N/A"),Config!$D$12&amp;"; ","")&amp;IF(AND(Config!$D$13&lt;&gt;"",O111&lt;&gt;"Sim",O111&lt;&gt;"N/A"),Config!$D$13&amp;"; ","")&amp;IF(AND(Config!$D$14&lt;&gt;"",P111&lt;&gt;"Sim",P111&lt;&gt;"N/A"),Config!$D$14&amp;"; ","")&amp;IF(AND(Config!$D$15&lt;&gt;"",Q111&lt;&gt;"Sim",Q111&lt;&gt;"N/A"),Config!$D$15&amp;"; ","")&amp;IF(AND(Config!$D$16&lt;&gt;"",R111&lt;&gt;"Sim",R111&lt;&gt;"N/A"),Config!$D$16&amp;"; ","")&amp;IF(AND(Config!$D$17&lt;&gt;"",S111&lt;&gt;"Sim",S111&lt;&gt;"N/A"),Config!$D$17&amp;"; ",""))</f>
        <v/>
      </c>
      <c r="AB111" s="39">
        <f>IF(A111="",0,COUNTIF($A$5:$A$304,"&gt;"&amp;A111)+1)</f>
        <v>0</v>
      </c>
    </row>
    <row r="112">
      <c r="A112" s="37" t="n"/>
      <c r="B112" s="24">
        <f>IF(A112="","",CHOOSE(WEEKDAY(A112,2),"Segunda","Terça","Quarta","Quinta","Sexta","Sábado","Domingo"))</f>
        <v/>
      </c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26">
        <f>IF(A112="","",IFERROR(COUNTIF(D112:K112,"Sim")/(Config!$B$19-COUNTIF(D112:K112,"N/A")),""))</f>
        <v/>
      </c>
      <c r="U112" s="26">
        <f>IF(A112="","",IFERROR(COUNTIF(L112:S112,"Sim")/(Config!$D$19-COUNTIF(L112:S112,"N/A")),""))</f>
        <v/>
      </c>
      <c r="V112" s="24">
        <f>IF(A112="","",MAX(0,Config!$B$19-COUNTIF(D112:K112,"Sim")-COUNTIF(D112:K112,"N/A")))</f>
        <v/>
      </c>
      <c r="W112" s="24">
        <f>IF(A112="","",MAX(0,Config!$D$19-COUNTIF(L112:S112,"Sim")-COUNTIF(L112:S112,"N/A")))</f>
        <v/>
      </c>
      <c r="X112" s="24">
        <f>IF(A112="","",V112+W112)</f>
        <v/>
      </c>
      <c r="Y112" s="29">
        <f>IF(OR(A112="",AA112=""),"",LEFT(AA112,LEN(AA112)-2))</f>
        <v/>
      </c>
      <c r="Z112" s="39">
        <f>IF(OR(A112="",X112=0),0,X112*100000+A112/100000)</f>
        <v>0</v>
      </c>
      <c r="AA112" s="39">
        <f>IF(A112="","",IF(AND(Config!$B$10&lt;&gt;"",D112&lt;&gt;"Sim",D112&lt;&gt;"N/A"),Config!$B$10&amp;"; ","")&amp;IF(AND(Config!$B$11&lt;&gt;"",E112&lt;&gt;"Sim",E112&lt;&gt;"N/A"),Config!$B$11&amp;"; ","")&amp;IF(AND(Config!$B$12&lt;&gt;"",F112&lt;&gt;"Sim",F112&lt;&gt;"N/A"),Config!$B$12&amp;"; ","")&amp;IF(AND(Config!$B$13&lt;&gt;"",G112&lt;&gt;"Sim",G112&lt;&gt;"N/A"),Config!$B$13&amp;"; ","")&amp;IF(AND(Config!$B$14&lt;&gt;"",H112&lt;&gt;"Sim",H112&lt;&gt;"N/A"),Config!$B$14&amp;"; ","")&amp;IF(AND(Config!$B$15&lt;&gt;"",I112&lt;&gt;"Sim",I112&lt;&gt;"N/A"),Config!$B$15&amp;"; ","")&amp;IF(AND(Config!$B$16&lt;&gt;"",J112&lt;&gt;"Sim",J112&lt;&gt;"N/A"),Config!$B$16&amp;"; ","")&amp;IF(AND(Config!$B$17&lt;&gt;"",K112&lt;&gt;"Sim",K112&lt;&gt;"N/A"),Config!$B$17&amp;"; ","")&amp;IF(AND(Config!$D$10&lt;&gt;"",L112&lt;&gt;"Sim",L112&lt;&gt;"N/A"),Config!$D$10&amp;"; ","")&amp;IF(AND(Config!$D$11&lt;&gt;"",M112&lt;&gt;"Sim",M112&lt;&gt;"N/A"),Config!$D$11&amp;"; ","")&amp;IF(AND(Config!$D$12&lt;&gt;"",N112&lt;&gt;"Sim",N112&lt;&gt;"N/A"),Config!$D$12&amp;"; ","")&amp;IF(AND(Config!$D$13&lt;&gt;"",O112&lt;&gt;"Sim",O112&lt;&gt;"N/A"),Config!$D$13&amp;"; ","")&amp;IF(AND(Config!$D$14&lt;&gt;"",P112&lt;&gt;"Sim",P112&lt;&gt;"N/A"),Config!$D$14&amp;"; ","")&amp;IF(AND(Config!$D$15&lt;&gt;"",Q112&lt;&gt;"Sim",Q112&lt;&gt;"N/A"),Config!$D$15&amp;"; ","")&amp;IF(AND(Config!$D$16&lt;&gt;"",R112&lt;&gt;"Sim",R112&lt;&gt;"N/A"),Config!$D$16&amp;"; ","")&amp;IF(AND(Config!$D$17&lt;&gt;"",S112&lt;&gt;"Sim",S112&lt;&gt;"N/A"),Config!$D$17&amp;"; ",""))</f>
        <v/>
      </c>
      <c r="AB112" s="39">
        <f>IF(A112="",0,COUNTIF($A$5:$A$304,"&gt;"&amp;A112)+1)</f>
        <v>0</v>
      </c>
    </row>
    <row r="113">
      <c r="A113" s="37" t="n"/>
      <c r="B113" s="24">
        <f>IF(A113="","",CHOOSE(WEEKDAY(A113,2),"Segunda","Terça","Quarta","Quinta","Sexta","Sábado","Domingo"))</f>
        <v/>
      </c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26">
        <f>IF(A113="","",IFERROR(COUNTIF(D113:K113,"Sim")/(Config!$B$19-COUNTIF(D113:K113,"N/A")),""))</f>
        <v/>
      </c>
      <c r="U113" s="26">
        <f>IF(A113="","",IFERROR(COUNTIF(L113:S113,"Sim")/(Config!$D$19-COUNTIF(L113:S113,"N/A")),""))</f>
        <v/>
      </c>
      <c r="V113" s="24">
        <f>IF(A113="","",MAX(0,Config!$B$19-COUNTIF(D113:K113,"Sim")-COUNTIF(D113:K113,"N/A")))</f>
        <v/>
      </c>
      <c r="W113" s="24">
        <f>IF(A113="","",MAX(0,Config!$D$19-COUNTIF(L113:S113,"Sim")-COUNTIF(L113:S113,"N/A")))</f>
        <v/>
      </c>
      <c r="X113" s="24">
        <f>IF(A113="","",V113+W113)</f>
        <v/>
      </c>
      <c r="Y113" s="29">
        <f>IF(OR(A113="",AA113=""),"",LEFT(AA113,LEN(AA113)-2))</f>
        <v/>
      </c>
      <c r="Z113" s="39">
        <f>IF(OR(A113="",X113=0),0,X113*100000+A113/100000)</f>
        <v>0</v>
      </c>
      <c r="AA113" s="39">
        <f>IF(A113="","",IF(AND(Config!$B$10&lt;&gt;"",D113&lt;&gt;"Sim",D113&lt;&gt;"N/A"),Config!$B$10&amp;"; ","")&amp;IF(AND(Config!$B$11&lt;&gt;"",E113&lt;&gt;"Sim",E113&lt;&gt;"N/A"),Config!$B$11&amp;"; ","")&amp;IF(AND(Config!$B$12&lt;&gt;"",F113&lt;&gt;"Sim",F113&lt;&gt;"N/A"),Config!$B$12&amp;"; ","")&amp;IF(AND(Config!$B$13&lt;&gt;"",G113&lt;&gt;"Sim",G113&lt;&gt;"N/A"),Config!$B$13&amp;"; ","")&amp;IF(AND(Config!$B$14&lt;&gt;"",H113&lt;&gt;"Sim",H113&lt;&gt;"N/A"),Config!$B$14&amp;"; ","")&amp;IF(AND(Config!$B$15&lt;&gt;"",I113&lt;&gt;"Sim",I113&lt;&gt;"N/A"),Config!$B$15&amp;"; ","")&amp;IF(AND(Config!$B$16&lt;&gt;"",J113&lt;&gt;"Sim",J113&lt;&gt;"N/A"),Config!$B$16&amp;"; ","")&amp;IF(AND(Config!$B$17&lt;&gt;"",K113&lt;&gt;"Sim",K113&lt;&gt;"N/A"),Config!$B$17&amp;"; ","")&amp;IF(AND(Config!$D$10&lt;&gt;"",L113&lt;&gt;"Sim",L113&lt;&gt;"N/A"),Config!$D$10&amp;"; ","")&amp;IF(AND(Config!$D$11&lt;&gt;"",M113&lt;&gt;"Sim",M113&lt;&gt;"N/A"),Config!$D$11&amp;"; ","")&amp;IF(AND(Config!$D$12&lt;&gt;"",N113&lt;&gt;"Sim",N113&lt;&gt;"N/A"),Config!$D$12&amp;"; ","")&amp;IF(AND(Config!$D$13&lt;&gt;"",O113&lt;&gt;"Sim",O113&lt;&gt;"N/A"),Config!$D$13&amp;"; ","")&amp;IF(AND(Config!$D$14&lt;&gt;"",P113&lt;&gt;"Sim",P113&lt;&gt;"N/A"),Config!$D$14&amp;"; ","")&amp;IF(AND(Config!$D$15&lt;&gt;"",Q113&lt;&gt;"Sim",Q113&lt;&gt;"N/A"),Config!$D$15&amp;"; ","")&amp;IF(AND(Config!$D$16&lt;&gt;"",R113&lt;&gt;"Sim",R113&lt;&gt;"N/A"),Config!$D$16&amp;"; ","")&amp;IF(AND(Config!$D$17&lt;&gt;"",S113&lt;&gt;"Sim",S113&lt;&gt;"N/A"),Config!$D$17&amp;"; ",""))</f>
        <v/>
      </c>
      <c r="AB113" s="39">
        <f>IF(A113="",0,COUNTIF($A$5:$A$304,"&gt;"&amp;A113)+1)</f>
        <v>0</v>
      </c>
    </row>
    <row r="114">
      <c r="A114" s="37" t="n"/>
      <c r="B114" s="24">
        <f>IF(A114="","",CHOOSE(WEEKDAY(A114,2),"Segunda","Terça","Quarta","Quinta","Sexta","Sábado","Domingo"))</f>
        <v/>
      </c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26">
        <f>IF(A114="","",IFERROR(COUNTIF(D114:K114,"Sim")/(Config!$B$19-COUNTIF(D114:K114,"N/A")),""))</f>
        <v/>
      </c>
      <c r="U114" s="26">
        <f>IF(A114="","",IFERROR(COUNTIF(L114:S114,"Sim")/(Config!$D$19-COUNTIF(L114:S114,"N/A")),""))</f>
        <v/>
      </c>
      <c r="V114" s="24">
        <f>IF(A114="","",MAX(0,Config!$B$19-COUNTIF(D114:K114,"Sim")-COUNTIF(D114:K114,"N/A")))</f>
        <v/>
      </c>
      <c r="W114" s="24">
        <f>IF(A114="","",MAX(0,Config!$D$19-COUNTIF(L114:S114,"Sim")-COUNTIF(L114:S114,"N/A")))</f>
        <v/>
      </c>
      <c r="X114" s="24">
        <f>IF(A114="","",V114+W114)</f>
        <v/>
      </c>
      <c r="Y114" s="29">
        <f>IF(OR(A114="",AA114=""),"",LEFT(AA114,LEN(AA114)-2))</f>
        <v/>
      </c>
      <c r="Z114" s="39">
        <f>IF(OR(A114="",X114=0),0,X114*100000+A114/100000)</f>
        <v>0</v>
      </c>
      <c r="AA114" s="39">
        <f>IF(A114="","",IF(AND(Config!$B$10&lt;&gt;"",D114&lt;&gt;"Sim",D114&lt;&gt;"N/A"),Config!$B$10&amp;"; ","")&amp;IF(AND(Config!$B$11&lt;&gt;"",E114&lt;&gt;"Sim",E114&lt;&gt;"N/A"),Config!$B$11&amp;"; ","")&amp;IF(AND(Config!$B$12&lt;&gt;"",F114&lt;&gt;"Sim",F114&lt;&gt;"N/A"),Config!$B$12&amp;"; ","")&amp;IF(AND(Config!$B$13&lt;&gt;"",G114&lt;&gt;"Sim",G114&lt;&gt;"N/A"),Config!$B$13&amp;"; ","")&amp;IF(AND(Config!$B$14&lt;&gt;"",H114&lt;&gt;"Sim",H114&lt;&gt;"N/A"),Config!$B$14&amp;"; ","")&amp;IF(AND(Config!$B$15&lt;&gt;"",I114&lt;&gt;"Sim",I114&lt;&gt;"N/A"),Config!$B$15&amp;"; ","")&amp;IF(AND(Config!$B$16&lt;&gt;"",J114&lt;&gt;"Sim",J114&lt;&gt;"N/A"),Config!$B$16&amp;"; ","")&amp;IF(AND(Config!$B$17&lt;&gt;"",K114&lt;&gt;"Sim",K114&lt;&gt;"N/A"),Config!$B$17&amp;"; ","")&amp;IF(AND(Config!$D$10&lt;&gt;"",L114&lt;&gt;"Sim",L114&lt;&gt;"N/A"),Config!$D$10&amp;"; ","")&amp;IF(AND(Config!$D$11&lt;&gt;"",M114&lt;&gt;"Sim",M114&lt;&gt;"N/A"),Config!$D$11&amp;"; ","")&amp;IF(AND(Config!$D$12&lt;&gt;"",N114&lt;&gt;"Sim",N114&lt;&gt;"N/A"),Config!$D$12&amp;"; ","")&amp;IF(AND(Config!$D$13&lt;&gt;"",O114&lt;&gt;"Sim",O114&lt;&gt;"N/A"),Config!$D$13&amp;"; ","")&amp;IF(AND(Config!$D$14&lt;&gt;"",P114&lt;&gt;"Sim",P114&lt;&gt;"N/A"),Config!$D$14&amp;"; ","")&amp;IF(AND(Config!$D$15&lt;&gt;"",Q114&lt;&gt;"Sim",Q114&lt;&gt;"N/A"),Config!$D$15&amp;"; ","")&amp;IF(AND(Config!$D$16&lt;&gt;"",R114&lt;&gt;"Sim",R114&lt;&gt;"N/A"),Config!$D$16&amp;"; ","")&amp;IF(AND(Config!$D$17&lt;&gt;"",S114&lt;&gt;"Sim",S114&lt;&gt;"N/A"),Config!$D$17&amp;"; ",""))</f>
        <v/>
      </c>
      <c r="AB114" s="39">
        <f>IF(A114="",0,COUNTIF($A$5:$A$304,"&gt;"&amp;A114)+1)</f>
        <v>0</v>
      </c>
    </row>
    <row r="115">
      <c r="A115" s="37" t="n"/>
      <c r="B115" s="24">
        <f>IF(A115="","",CHOOSE(WEEKDAY(A115,2),"Segunda","Terça","Quarta","Quinta","Sexta","Sábado","Domingo"))</f>
        <v/>
      </c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26">
        <f>IF(A115="","",IFERROR(COUNTIF(D115:K115,"Sim")/(Config!$B$19-COUNTIF(D115:K115,"N/A")),""))</f>
        <v/>
      </c>
      <c r="U115" s="26">
        <f>IF(A115="","",IFERROR(COUNTIF(L115:S115,"Sim")/(Config!$D$19-COUNTIF(L115:S115,"N/A")),""))</f>
        <v/>
      </c>
      <c r="V115" s="24">
        <f>IF(A115="","",MAX(0,Config!$B$19-COUNTIF(D115:K115,"Sim")-COUNTIF(D115:K115,"N/A")))</f>
        <v/>
      </c>
      <c r="W115" s="24">
        <f>IF(A115="","",MAX(0,Config!$D$19-COUNTIF(L115:S115,"Sim")-COUNTIF(L115:S115,"N/A")))</f>
        <v/>
      </c>
      <c r="X115" s="24">
        <f>IF(A115="","",V115+W115)</f>
        <v/>
      </c>
      <c r="Y115" s="29">
        <f>IF(OR(A115="",AA115=""),"",LEFT(AA115,LEN(AA115)-2))</f>
        <v/>
      </c>
      <c r="Z115" s="39">
        <f>IF(OR(A115="",X115=0),0,X115*100000+A115/100000)</f>
        <v>0</v>
      </c>
      <c r="AA115" s="39">
        <f>IF(A115="","",IF(AND(Config!$B$10&lt;&gt;"",D115&lt;&gt;"Sim",D115&lt;&gt;"N/A"),Config!$B$10&amp;"; ","")&amp;IF(AND(Config!$B$11&lt;&gt;"",E115&lt;&gt;"Sim",E115&lt;&gt;"N/A"),Config!$B$11&amp;"; ","")&amp;IF(AND(Config!$B$12&lt;&gt;"",F115&lt;&gt;"Sim",F115&lt;&gt;"N/A"),Config!$B$12&amp;"; ","")&amp;IF(AND(Config!$B$13&lt;&gt;"",G115&lt;&gt;"Sim",G115&lt;&gt;"N/A"),Config!$B$13&amp;"; ","")&amp;IF(AND(Config!$B$14&lt;&gt;"",H115&lt;&gt;"Sim",H115&lt;&gt;"N/A"),Config!$B$14&amp;"; ","")&amp;IF(AND(Config!$B$15&lt;&gt;"",I115&lt;&gt;"Sim",I115&lt;&gt;"N/A"),Config!$B$15&amp;"; ","")&amp;IF(AND(Config!$B$16&lt;&gt;"",J115&lt;&gt;"Sim",J115&lt;&gt;"N/A"),Config!$B$16&amp;"; ","")&amp;IF(AND(Config!$B$17&lt;&gt;"",K115&lt;&gt;"Sim",K115&lt;&gt;"N/A"),Config!$B$17&amp;"; ","")&amp;IF(AND(Config!$D$10&lt;&gt;"",L115&lt;&gt;"Sim",L115&lt;&gt;"N/A"),Config!$D$10&amp;"; ","")&amp;IF(AND(Config!$D$11&lt;&gt;"",M115&lt;&gt;"Sim",M115&lt;&gt;"N/A"),Config!$D$11&amp;"; ","")&amp;IF(AND(Config!$D$12&lt;&gt;"",N115&lt;&gt;"Sim",N115&lt;&gt;"N/A"),Config!$D$12&amp;"; ","")&amp;IF(AND(Config!$D$13&lt;&gt;"",O115&lt;&gt;"Sim",O115&lt;&gt;"N/A"),Config!$D$13&amp;"; ","")&amp;IF(AND(Config!$D$14&lt;&gt;"",P115&lt;&gt;"Sim",P115&lt;&gt;"N/A"),Config!$D$14&amp;"; ","")&amp;IF(AND(Config!$D$15&lt;&gt;"",Q115&lt;&gt;"Sim",Q115&lt;&gt;"N/A"),Config!$D$15&amp;"; ","")&amp;IF(AND(Config!$D$16&lt;&gt;"",R115&lt;&gt;"Sim",R115&lt;&gt;"N/A"),Config!$D$16&amp;"; ","")&amp;IF(AND(Config!$D$17&lt;&gt;"",S115&lt;&gt;"Sim",S115&lt;&gt;"N/A"),Config!$D$17&amp;"; ",""))</f>
        <v/>
      </c>
      <c r="AB115" s="39">
        <f>IF(A115="",0,COUNTIF($A$5:$A$304,"&gt;"&amp;A115)+1)</f>
        <v>0</v>
      </c>
    </row>
    <row r="116">
      <c r="A116" s="37" t="n"/>
      <c r="B116" s="24">
        <f>IF(A116="","",CHOOSE(WEEKDAY(A116,2),"Segunda","Terça","Quarta","Quinta","Sexta","Sábado","Domingo"))</f>
        <v/>
      </c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26">
        <f>IF(A116="","",IFERROR(COUNTIF(D116:K116,"Sim")/(Config!$B$19-COUNTIF(D116:K116,"N/A")),""))</f>
        <v/>
      </c>
      <c r="U116" s="26">
        <f>IF(A116="","",IFERROR(COUNTIF(L116:S116,"Sim")/(Config!$D$19-COUNTIF(L116:S116,"N/A")),""))</f>
        <v/>
      </c>
      <c r="V116" s="24">
        <f>IF(A116="","",MAX(0,Config!$B$19-COUNTIF(D116:K116,"Sim")-COUNTIF(D116:K116,"N/A")))</f>
        <v/>
      </c>
      <c r="W116" s="24">
        <f>IF(A116="","",MAX(0,Config!$D$19-COUNTIF(L116:S116,"Sim")-COUNTIF(L116:S116,"N/A")))</f>
        <v/>
      </c>
      <c r="X116" s="24">
        <f>IF(A116="","",V116+W116)</f>
        <v/>
      </c>
      <c r="Y116" s="29">
        <f>IF(OR(A116="",AA116=""),"",LEFT(AA116,LEN(AA116)-2))</f>
        <v/>
      </c>
      <c r="Z116" s="39">
        <f>IF(OR(A116="",X116=0),0,X116*100000+A116/100000)</f>
        <v>0</v>
      </c>
      <c r="AA116" s="39">
        <f>IF(A116="","",IF(AND(Config!$B$10&lt;&gt;"",D116&lt;&gt;"Sim",D116&lt;&gt;"N/A"),Config!$B$10&amp;"; ","")&amp;IF(AND(Config!$B$11&lt;&gt;"",E116&lt;&gt;"Sim",E116&lt;&gt;"N/A"),Config!$B$11&amp;"; ","")&amp;IF(AND(Config!$B$12&lt;&gt;"",F116&lt;&gt;"Sim",F116&lt;&gt;"N/A"),Config!$B$12&amp;"; ","")&amp;IF(AND(Config!$B$13&lt;&gt;"",G116&lt;&gt;"Sim",G116&lt;&gt;"N/A"),Config!$B$13&amp;"; ","")&amp;IF(AND(Config!$B$14&lt;&gt;"",H116&lt;&gt;"Sim",H116&lt;&gt;"N/A"),Config!$B$14&amp;"; ","")&amp;IF(AND(Config!$B$15&lt;&gt;"",I116&lt;&gt;"Sim",I116&lt;&gt;"N/A"),Config!$B$15&amp;"; ","")&amp;IF(AND(Config!$B$16&lt;&gt;"",J116&lt;&gt;"Sim",J116&lt;&gt;"N/A"),Config!$B$16&amp;"; ","")&amp;IF(AND(Config!$B$17&lt;&gt;"",K116&lt;&gt;"Sim",K116&lt;&gt;"N/A"),Config!$B$17&amp;"; ","")&amp;IF(AND(Config!$D$10&lt;&gt;"",L116&lt;&gt;"Sim",L116&lt;&gt;"N/A"),Config!$D$10&amp;"; ","")&amp;IF(AND(Config!$D$11&lt;&gt;"",M116&lt;&gt;"Sim",M116&lt;&gt;"N/A"),Config!$D$11&amp;"; ","")&amp;IF(AND(Config!$D$12&lt;&gt;"",N116&lt;&gt;"Sim",N116&lt;&gt;"N/A"),Config!$D$12&amp;"; ","")&amp;IF(AND(Config!$D$13&lt;&gt;"",O116&lt;&gt;"Sim",O116&lt;&gt;"N/A"),Config!$D$13&amp;"; ","")&amp;IF(AND(Config!$D$14&lt;&gt;"",P116&lt;&gt;"Sim",P116&lt;&gt;"N/A"),Config!$D$14&amp;"; ","")&amp;IF(AND(Config!$D$15&lt;&gt;"",Q116&lt;&gt;"Sim",Q116&lt;&gt;"N/A"),Config!$D$15&amp;"; ","")&amp;IF(AND(Config!$D$16&lt;&gt;"",R116&lt;&gt;"Sim",R116&lt;&gt;"N/A"),Config!$D$16&amp;"; ","")&amp;IF(AND(Config!$D$17&lt;&gt;"",S116&lt;&gt;"Sim",S116&lt;&gt;"N/A"),Config!$D$17&amp;"; ",""))</f>
        <v/>
      </c>
      <c r="AB116" s="39">
        <f>IF(A116="",0,COUNTIF($A$5:$A$304,"&gt;"&amp;A116)+1)</f>
        <v>0</v>
      </c>
    </row>
    <row r="117">
      <c r="A117" s="37" t="n"/>
      <c r="B117" s="24">
        <f>IF(A117="","",CHOOSE(WEEKDAY(A117,2),"Segunda","Terça","Quarta","Quinta","Sexta","Sábado","Domingo"))</f>
        <v/>
      </c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26">
        <f>IF(A117="","",IFERROR(COUNTIF(D117:K117,"Sim")/(Config!$B$19-COUNTIF(D117:K117,"N/A")),""))</f>
        <v/>
      </c>
      <c r="U117" s="26">
        <f>IF(A117="","",IFERROR(COUNTIF(L117:S117,"Sim")/(Config!$D$19-COUNTIF(L117:S117,"N/A")),""))</f>
        <v/>
      </c>
      <c r="V117" s="24">
        <f>IF(A117="","",MAX(0,Config!$B$19-COUNTIF(D117:K117,"Sim")-COUNTIF(D117:K117,"N/A")))</f>
        <v/>
      </c>
      <c r="W117" s="24">
        <f>IF(A117="","",MAX(0,Config!$D$19-COUNTIF(L117:S117,"Sim")-COUNTIF(L117:S117,"N/A")))</f>
        <v/>
      </c>
      <c r="X117" s="24">
        <f>IF(A117="","",V117+W117)</f>
        <v/>
      </c>
      <c r="Y117" s="29">
        <f>IF(OR(A117="",AA117=""),"",LEFT(AA117,LEN(AA117)-2))</f>
        <v/>
      </c>
      <c r="Z117" s="39">
        <f>IF(OR(A117="",X117=0),0,X117*100000+A117/100000)</f>
        <v>0</v>
      </c>
      <c r="AA117" s="39">
        <f>IF(A117="","",IF(AND(Config!$B$10&lt;&gt;"",D117&lt;&gt;"Sim",D117&lt;&gt;"N/A"),Config!$B$10&amp;"; ","")&amp;IF(AND(Config!$B$11&lt;&gt;"",E117&lt;&gt;"Sim",E117&lt;&gt;"N/A"),Config!$B$11&amp;"; ","")&amp;IF(AND(Config!$B$12&lt;&gt;"",F117&lt;&gt;"Sim",F117&lt;&gt;"N/A"),Config!$B$12&amp;"; ","")&amp;IF(AND(Config!$B$13&lt;&gt;"",G117&lt;&gt;"Sim",G117&lt;&gt;"N/A"),Config!$B$13&amp;"; ","")&amp;IF(AND(Config!$B$14&lt;&gt;"",H117&lt;&gt;"Sim",H117&lt;&gt;"N/A"),Config!$B$14&amp;"; ","")&amp;IF(AND(Config!$B$15&lt;&gt;"",I117&lt;&gt;"Sim",I117&lt;&gt;"N/A"),Config!$B$15&amp;"; ","")&amp;IF(AND(Config!$B$16&lt;&gt;"",J117&lt;&gt;"Sim",J117&lt;&gt;"N/A"),Config!$B$16&amp;"; ","")&amp;IF(AND(Config!$B$17&lt;&gt;"",K117&lt;&gt;"Sim",K117&lt;&gt;"N/A"),Config!$B$17&amp;"; ","")&amp;IF(AND(Config!$D$10&lt;&gt;"",L117&lt;&gt;"Sim",L117&lt;&gt;"N/A"),Config!$D$10&amp;"; ","")&amp;IF(AND(Config!$D$11&lt;&gt;"",M117&lt;&gt;"Sim",M117&lt;&gt;"N/A"),Config!$D$11&amp;"; ","")&amp;IF(AND(Config!$D$12&lt;&gt;"",N117&lt;&gt;"Sim",N117&lt;&gt;"N/A"),Config!$D$12&amp;"; ","")&amp;IF(AND(Config!$D$13&lt;&gt;"",O117&lt;&gt;"Sim",O117&lt;&gt;"N/A"),Config!$D$13&amp;"; ","")&amp;IF(AND(Config!$D$14&lt;&gt;"",P117&lt;&gt;"Sim",P117&lt;&gt;"N/A"),Config!$D$14&amp;"; ","")&amp;IF(AND(Config!$D$15&lt;&gt;"",Q117&lt;&gt;"Sim",Q117&lt;&gt;"N/A"),Config!$D$15&amp;"; ","")&amp;IF(AND(Config!$D$16&lt;&gt;"",R117&lt;&gt;"Sim",R117&lt;&gt;"N/A"),Config!$D$16&amp;"; ","")&amp;IF(AND(Config!$D$17&lt;&gt;"",S117&lt;&gt;"Sim",S117&lt;&gt;"N/A"),Config!$D$17&amp;"; ",""))</f>
        <v/>
      </c>
      <c r="AB117" s="39">
        <f>IF(A117="",0,COUNTIF($A$5:$A$304,"&gt;"&amp;A117)+1)</f>
        <v>0</v>
      </c>
    </row>
    <row r="118">
      <c r="A118" s="37" t="n"/>
      <c r="B118" s="24">
        <f>IF(A118="","",CHOOSE(WEEKDAY(A118,2),"Segunda","Terça","Quarta","Quinta","Sexta","Sábado","Domingo"))</f>
        <v/>
      </c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26">
        <f>IF(A118="","",IFERROR(COUNTIF(D118:K118,"Sim")/(Config!$B$19-COUNTIF(D118:K118,"N/A")),""))</f>
        <v/>
      </c>
      <c r="U118" s="26">
        <f>IF(A118="","",IFERROR(COUNTIF(L118:S118,"Sim")/(Config!$D$19-COUNTIF(L118:S118,"N/A")),""))</f>
        <v/>
      </c>
      <c r="V118" s="24">
        <f>IF(A118="","",MAX(0,Config!$B$19-COUNTIF(D118:K118,"Sim")-COUNTIF(D118:K118,"N/A")))</f>
        <v/>
      </c>
      <c r="W118" s="24">
        <f>IF(A118="","",MAX(0,Config!$D$19-COUNTIF(L118:S118,"Sim")-COUNTIF(L118:S118,"N/A")))</f>
        <v/>
      </c>
      <c r="X118" s="24">
        <f>IF(A118="","",V118+W118)</f>
        <v/>
      </c>
      <c r="Y118" s="29">
        <f>IF(OR(A118="",AA118=""),"",LEFT(AA118,LEN(AA118)-2))</f>
        <v/>
      </c>
      <c r="Z118" s="39">
        <f>IF(OR(A118="",X118=0),0,X118*100000+A118/100000)</f>
        <v>0</v>
      </c>
      <c r="AA118" s="39">
        <f>IF(A118="","",IF(AND(Config!$B$10&lt;&gt;"",D118&lt;&gt;"Sim",D118&lt;&gt;"N/A"),Config!$B$10&amp;"; ","")&amp;IF(AND(Config!$B$11&lt;&gt;"",E118&lt;&gt;"Sim",E118&lt;&gt;"N/A"),Config!$B$11&amp;"; ","")&amp;IF(AND(Config!$B$12&lt;&gt;"",F118&lt;&gt;"Sim",F118&lt;&gt;"N/A"),Config!$B$12&amp;"; ","")&amp;IF(AND(Config!$B$13&lt;&gt;"",G118&lt;&gt;"Sim",G118&lt;&gt;"N/A"),Config!$B$13&amp;"; ","")&amp;IF(AND(Config!$B$14&lt;&gt;"",H118&lt;&gt;"Sim",H118&lt;&gt;"N/A"),Config!$B$14&amp;"; ","")&amp;IF(AND(Config!$B$15&lt;&gt;"",I118&lt;&gt;"Sim",I118&lt;&gt;"N/A"),Config!$B$15&amp;"; ","")&amp;IF(AND(Config!$B$16&lt;&gt;"",J118&lt;&gt;"Sim",J118&lt;&gt;"N/A"),Config!$B$16&amp;"; ","")&amp;IF(AND(Config!$B$17&lt;&gt;"",K118&lt;&gt;"Sim",K118&lt;&gt;"N/A"),Config!$B$17&amp;"; ","")&amp;IF(AND(Config!$D$10&lt;&gt;"",L118&lt;&gt;"Sim",L118&lt;&gt;"N/A"),Config!$D$10&amp;"; ","")&amp;IF(AND(Config!$D$11&lt;&gt;"",M118&lt;&gt;"Sim",M118&lt;&gt;"N/A"),Config!$D$11&amp;"; ","")&amp;IF(AND(Config!$D$12&lt;&gt;"",N118&lt;&gt;"Sim",N118&lt;&gt;"N/A"),Config!$D$12&amp;"; ","")&amp;IF(AND(Config!$D$13&lt;&gt;"",O118&lt;&gt;"Sim",O118&lt;&gt;"N/A"),Config!$D$13&amp;"; ","")&amp;IF(AND(Config!$D$14&lt;&gt;"",P118&lt;&gt;"Sim",P118&lt;&gt;"N/A"),Config!$D$14&amp;"; ","")&amp;IF(AND(Config!$D$15&lt;&gt;"",Q118&lt;&gt;"Sim",Q118&lt;&gt;"N/A"),Config!$D$15&amp;"; ","")&amp;IF(AND(Config!$D$16&lt;&gt;"",R118&lt;&gt;"Sim",R118&lt;&gt;"N/A"),Config!$D$16&amp;"; ","")&amp;IF(AND(Config!$D$17&lt;&gt;"",S118&lt;&gt;"Sim",S118&lt;&gt;"N/A"),Config!$D$17&amp;"; ",""))</f>
        <v/>
      </c>
      <c r="AB118" s="39">
        <f>IF(A118="",0,COUNTIF($A$5:$A$304,"&gt;"&amp;A118)+1)</f>
        <v>0</v>
      </c>
    </row>
    <row r="119">
      <c r="A119" s="37" t="n"/>
      <c r="B119" s="24">
        <f>IF(A119="","",CHOOSE(WEEKDAY(A119,2),"Segunda","Terça","Quarta","Quinta","Sexta","Sábado","Domingo"))</f>
        <v/>
      </c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26">
        <f>IF(A119="","",IFERROR(COUNTIF(D119:K119,"Sim")/(Config!$B$19-COUNTIF(D119:K119,"N/A")),""))</f>
        <v/>
      </c>
      <c r="U119" s="26">
        <f>IF(A119="","",IFERROR(COUNTIF(L119:S119,"Sim")/(Config!$D$19-COUNTIF(L119:S119,"N/A")),""))</f>
        <v/>
      </c>
      <c r="V119" s="24">
        <f>IF(A119="","",MAX(0,Config!$B$19-COUNTIF(D119:K119,"Sim")-COUNTIF(D119:K119,"N/A")))</f>
        <v/>
      </c>
      <c r="W119" s="24">
        <f>IF(A119="","",MAX(0,Config!$D$19-COUNTIF(L119:S119,"Sim")-COUNTIF(L119:S119,"N/A")))</f>
        <v/>
      </c>
      <c r="X119" s="24">
        <f>IF(A119="","",V119+W119)</f>
        <v/>
      </c>
      <c r="Y119" s="29">
        <f>IF(OR(A119="",AA119=""),"",LEFT(AA119,LEN(AA119)-2))</f>
        <v/>
      </c>
      <c r="Z119" s="39">
        <f>IF(OR(A119="",X119=0),0,X119*100000+A119/100000)</f>
        <v>0</v>
      </c>
      <c r="AA119" s="39">
        <f>IF(A119="","",IF(AND(Config!$B$10&lt;&gt;"",D119&lt;&gt;"Sim",D119&lt;&gt;"N/A"),Config!$B$10&amp;"; ","")&amp;IF(AND(Config!$B$11&lt;&gt;"",E119&lt;&gt;"Sim",E119&lt;&gt;"N/A"),Config!$B$11&amp;"; ","")&amp;IF(AND(Config!$B$12&lt;&gt;"",F119&lt;&gt;"Sim",F119&lt;&gt;"N/A"),Config!$B$12&amp;"; ","")&amp;IF(AND(Config!$B$13&lt;&gt;"",G119&lt;&gt;"Sim",G119&lt;&gt;"N/A"),Config!$B$13&amp;"; ","")&amp;IF(AND(Config!$B$14&lt;&gt;"",H119&lt;&gt;"Sim",H119&lt;&gt;"N/A"),Config!$B$14&amp;"; ","")&amp;IF(AND(Config!$B$15&lt;&gt;"",I119&lt;&gt;"Sim",I119&lt;&gt;"N/A"),Config!$B$15&amp;"; ","")&amp;IF(AND(Config!$B$16&lt;&gt;"",J119&lt;&gt;"Sim",J119&lt;&gt;"N/A"),Config!$B$16&amp;"; ","")&amp;IF(AND(Config!$B$17&lt;&gt;"",K119&lt;&gt;"Sim",K119&lt;&gt;"N/A"),Config!$B$17&amp;"; ","")&amp;IF(AND(Config!$D$10&lt;&gt;"",L119&lt;&gt;"Sim",L119&lt;&gt;"N/A"),Config!$D$10&amp;"; ","")&amp;IF(AND(Config!$D$11&lt;&gt;"",M119&lt;&gt;"Sim",M119&lt;&gt;"N/A"),Config!$D$11&amp;"; ","")&amp;IF(AND(Config!$D$12&lt;&gt;"",N119&lt;&gt;"Sim",N119&lt;&gt;"N/A"),Config!$D$12&amp;"; ","")&amp;IF(AND(Config!$D$13&lt;&gt;"",O119&lt;&gt;"Sim",O119&lt;&gt;"N/A"),Config!$D$13&amp;"; ","")&amp;IF(AND(Config!$D$14&lt;&gt;"",P119&lt;&gt;"Sim",P119&lt;&gt;"N/A"),Config!$D$14&amp;"; ","")&amp;IF(AND(Config!$D$15&lt;&gt;"",Q119&lt;&gt;"Sim",Q119&lt;&gt;"N/A"),Config!$D$15&amp;"; ","")&amp;IF(AND(Config!$D$16&lt;&gt;"",R119&lt;&gt;"Sim",R119&lt;&gt;"N/A"),Config!$D$16&amp;"; ","")&amp;IF(AND(Config!$D$17&lt;&gt;"",S119&lt;&gt;"Sim",S119&lt;&gt;"N/A"),Config!$D$17&amp;"; ",""))</f>
        <v/>
      </c>
      <c r="AB119" s="39">
        <f>IF(A119="",0,COUNTIF($A$5:$A$304,"&gt;"&amp;A119)+1)</f>
        <v>0</v>
      </c>
    </row>
    <row r="120">
      <c r="A120" s="37" t="n"/>
      <c r="B120" s="24">
        <f>IF(A120="","",CHOOSE(WEEKDAY(A120,2),"Segunda","Terça","Quarta","Quinta","Sexta","Sábado","Domingo"))</f>
        <v/>
      </c>
      <c r="C120" s="38" t="n"/>
      <c r="D120" s="38" t="n"/>
      <c r="E120" s="38" t="n"/>
      <c r="F120" s="38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26">
        <f>IF(A120="","",IFERROR(COUNTIF(D120:K120,"Sim")/(Config!$B$19-COUNTIF(D120:K120,"N/A")),""))</f>
        <v/>
      </c>
      <c r="U120" s="26">
        <f>IF(A120="","",IFERROR(COUNTIF(L120:S120,"Sim")/(Config!$D$19-COUNTIF(L120:S120,"N/A")),""))</f>
        <v/>
      </c>
      <c r="V120" s="24">
        <f>IF(A120="","",MAX(0,Config!$B$19-COUNTIF(D120:K120,"Sim")-COUNTIF(D120:K120,"N/A")))</f>
        <v/>
      </c>
      <c r="W120" s="24">
        <f>IF(A120="","",MAX(0,Config!$D$19-COUNTIF(L120:S120,"Sim")-COUNTIF(L120:S120,"N/A")))</f>
        <v/>
      </c>
      <c r="X120" s="24">
        <f>IF(A120="","",V120+W120)</f>
        <v/>
      </c>
      <c r="Y120" s="29">
        <f>IF(OR(A120="",AA120=""),"",LEFT(AA120,LEN(AA120)-2))</f>
        <v/>
      </c>
      <c r="Z120" s="39">
        <f>IF(OR(A120="",X120=0),0,X120*100000+A120/100000)</f>
        <v>0</v>
      </c>
      <c r="AA120" s="39">
        <f>IF(A120="","",IF(AND(Config!$B$10&lt;&gt;"",D120&lt;&gt;"Sim",D120&lt;&gt;"N/A"),Config!$B$10&amp;"; ","")&amp;IF(AND(Config!$B$11&lt;&gt;"",E120&lt;&gt;"Sim",E120&lt;&gt;"N/A"),Config!$B$11&amp;"; ","")&amp;IF(AND(Config!$B$12&lt;&gt;"",F120&lt;&gt;"Sim",F120&lt;&gt;"N/A"),Config!$B$12&amp;"; ","")&amp;IF(AND(Config!$B$13&lt;&gt;"",G120&lt;&gt;"Sim",G120&lt;&gt;"N/A"),Config!$B$13&amp;"; ","")&amp;IF(AND(Config!$B$14&lt;&gt;"",H120&lt;&gt;"Sim",H120&lt;&gt;"N/A"),Config!$B$14&amp;"; ","")&amp;IF(AND(Config!$B$15&lt;&gt;"",I120&lt;&gt;"Sim",I120&lt;&gt;"N/A"),Config!$B$15&amp;"; ","")&amp;IF(AND(Config!$B$16&lt;&gt;"",J120&lt;&gt;"Sim",J120&lt;&gt;"N/A"),Config!$B$16&amp;"; ","")&amp;IF(AND(Config!$B$17&lt;&gt;"",K120&lt;&gt;"Sim",K120&lt;&gt;"N/A"),Config!$B$17&amp;"; ","")&amp;IF(AND(Config!$D$10&lt;&gt;"",L120&lt;&gt;"Sim",L120&lt;&gt;"N/A"),Config!$D$10&amp;"; ","")&amp;IF(AND(Config!$D$11&lt;&gt;"",M120&lt;&gt;"Sim",M120&lt;&gt;"N/A"),Config!$D$11&amp;"; ","")&amp;IF(AND(Config!$D$12&lt;&gt;"",N120&lt;&gt;"Sim",N120&lt;&gt;"N/A"),Config!$D$12&amp;"; ","")&amp;IF(AND(Config!$D$13&lt;&gt;"",O120&lt;&gt;"Sim",O120&lt;&gt;"N/A"),Config!$D$13&amp;"; ","")&amp;IF(AND(Config!$D$14&lt;&gt;"",P120&lt;&gt;"Sim",P120&lt;&gt;"N/A"),Config!$D$14&amp;"; ","")&amp;IF(AND(Config!$D$15&lt;&gt;"",Q120&lt;&gt;"Sim",Q120&lt;&gt;"N/A"),Config!$D$15&amp;"; ","")&amp;IF(AND(Config!$D$16&lt;&gt;"",R120&lt;&gt;"Sim",R120&lt;&gt;"N/A"),Config!$D$16&amp;"; ","")&amp;IF(AND(Config!$D$17&lt;&gt;"",S120&lt;&gt;"Sim",S120&lt;&gt;"N/A"),Config!$D$17&amp;"; ",""))</f>
        <v/>
      </c>
      <c r="AB120" s="39">
        <f>IF(A120="",0,COUNTIF($A$5:$A$304,"&gt;"&amp;A120)+1)</f>
        <v>0</v>
      </c>
    </row>
    <row r="121">
      <c r="A121" s="37" t="n"/>
      <c r="B121" s="24">
        <f>IF(A121="","",CHOOSE(WEEKDAY(A121,2),"Segunda","Terça","Quarta","Quinta","Sexta","Sábado","Domingo"))</f>
        <v/>
      </c>
      <c r="C121" s="38" t="n"/>
      <c r="D121" s="38" t="n"/>
      <c r="E121" s="38" t="n"/>
      <c r="F121" s="38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26">
        <f>IF(A121="","",IFERROR(COUNTIF(D121:K121,"Sim")/(Config!$B$19-COUNTIF(D121:K121,"N/A")),""))</f>
        <v/>
      </c>
      <c r="U121" s="26">
        <f>IF(A121="","",IFERROR(COUNTIF(L121:S121,"Sim")/(Config!$D$19-COUNTIF(L121:S121,"N/A")),""))</f>
        <v/>
      </c>
      <c r="V121" s="24">
        <f>IF(A121="","",MAX(0,Config!$B$19-COUNTIF(D121:K121,"Sim")-COUNTIF(D121:K121,"N/A")))</f>
        <v/>
      </c>
      <c r="W121" s="24">
        <f>IF(A121="","",MAX(0,Config!$D$19-COUNTIF(L121:S121,"Sim")-COUNTIF(L121:S121,"N/A")))</f>
        <v/>
      </c>
      <c r="X121" s="24">
        <f>IF(A121="","",V121+W121)</f>
        <v/>
      </c>
      <c r="Y121" s="29">
        <f>IF(OR(A121="",AA121=""),"",LEFT(AA121,LEN(AA121)-2))</f>
        <v/>
      </c>
      <c r="Z121" s="39">
        <f>IF(OR(A121="",X121=0),0,X121*100000+A121/100000)</f>
        <v>0</v>
      </c>
      <c r="AA121" s="39">
        <f>IF(A121="","",IF(AND(Config!$B$10&lt;&gt;"",D121&lt;&gt;"Sim",D121&lt;&gt;"N/A"),Config!$B$10&amp;"; ","")&amp;IF(AND(Config!$B$11&lt;&gt;"",E121&lt;&gt;"Sim",E121&lt;&gt;"N/A"),Config!$B$11&amp;"; ","")&amp;IF(AND(Config!$B$12&lt;&gt;"",F121&lt;&gt;"Sim",F121&lt;&gt;"N/A"),Config!$B$12&amp;"; ","")&amp;IF(AND(Config!$B$13&lt;&gt;"",G121&lt;&gt;"Sim",G121&lt;&gt;"N/A"),Config!$B$13&amp;"; ","")&amp;IF(AND(Config!$B$14&lt;&gt;"",H121&lt;&gt;"Sim",H121&lt;&gt;"N/A"),Config!$B$14&amp;"; ","")&amp;IF(AND(Config!$B$15&lt;&gt;"",I121&lt;&gt;"Sim",I121&lt;&gt;"N/A"),Config!$B$15&amp;"; ","")&amp;IF(AND(Config!$B$16&lt;&gt;"",J121&lt;&gt;"Sim",J121&lt;&gt;"N/A"),Config!$B$16&amp;"; ","")&amp;IF(AND(Config!$B$17&lt;&gt;"",K121&lt;&gt;"Sim",K121&lt;&gt;"N/A"),Config!$B$17&amp;"; ","")&amp;IF(AND(Config!$D$10&lt;&gt;"",L121&lt;&gt;"Sim",L121&lt;&gt;"N/A"),Config!$D$10&amp;"; ","")&amp;IF(AND(Config!$D$11&lt;&gt;"",M121&lt;&gt;"Sim",M121&lt;&gt;"N/A"),Config!$D$11&amp;"; ","")&amp;IF(AND(Config!$D$12&lt;&gt;"",N121&lt;&gt;"Sim",N121&lt;&gt;"N/A"),Config!$D$12&amp;"; ","")&amp;IF(AND(Config!$D$13&lt;&gt;"",O121&lt;&gt;"Sim",O121&lt;&gt;"N/A"),Config!$D$13&amp;"; ","")&amp;IF(AND(Config!$D$14&lt;&gt;"",P121&lt;&gt;"Sim",P121&lt;&gt;"N/A"),Config!$D$14&amp;"; ","")&amp;IF(AND(Config!$D$15&lt;&gt;"",Q121&lt;&gt;"Sim",Q121&lt;&gt;"N/A"),Config!$D$15&amp;"; ","")&amp;IF(AND(Config!$D$16&lt;&gt;"",R121&lt;&gt;"Sim",R121&lt;&gt;"N/A"),Config!$D$16&amp;"; ","")&amp;IF(AND(Config!$D$17&lt;&gt;"",S121&lt;&gt;"Sim",S121&lt;&gt;"N/A"),Config!$D$17&amp;"; ",""))</f>
        <v/>
      </c>
      <c r="AB121" s="39">
        <f>IF(A121="",0,COUNTIF($A$5:$A$304,"&gt;"&amp;A121)+1)</f>
        <v>0</v>
      </c>
    </row>
    <row r="122">
      <c r="A122" s="37" t="n"/>
      <c r="B122" s="24">
        <f>IF(A122="","",CHOOSE(WEEKDAY(A122,2),"Segunda","Terça","Quarta","Quinta","Sexta","Sábado","Domingo"))</f>
        <v/>
      </c>
      <c r="C122" s="38" t="n"/>
      <c r="D122" s="38" t="n"/>
      <c r="E122" s="38" t="n"/>
      <c r="F122" s="38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26">
        <f>IF(A122="","",IFERROR(COUNTIF(D122:K122,"Sim")/(Config!$B$19-COUNTIF(D122:K122,"N/A")),""))</f>
        <v/>
      </c>
      <c r="U122" s="26">
        <f>IF(A122="","",IFERROR(COUNTIF(L122:S122,"Sim")/(Config!$D$19-COUNTIF(L122:S122,"N/A")),""))</f>
        <v/>
      </c>
      <c r="V122" s="24">
        <f>IF(A122="","",MAX(0,Config!$B$19-COUNTIF(D122:K122,"Sim")-COUNTIF(D122:K122,"N/A")))</f>
        <v/>
      </c>
      <c r="W122" s="24">
        <f>IF(A122="","",MAX(0,Config!$D$19-COUNTIF(L122:S122,"Sim")-COUNTIF(L122:S122,"N/A")))</f>
        <v/>
      </c>
      <c r="X122" s="24">
        <f>IF(A122="","",V122+W122)</f>
        <v/>
      </c>
      <c r="Y122" s="29">
        <f>IF(OR(A122="",AA122=""),"",LEFT(AA122,LEN(AA122)-2))</f>
        <v/>
      </c>
      <c r="Z122" s="39">
        <f>IF(OR(A122="",X122=0),0,X122*100000+A122/100000)</f>
        <v>0</v>
      </c>
      <c r="AA122" s="39">
        <f>IF(A122="","",IF(AND(Config!$B$10&lt;&gt;"",D122&lt;&gt;"Sim",D122&lt;&gt;"N/A"),Config!$B$10&amp;"; ","")&amp;IF(AND(Config!$B$11&lt;&gt;"",E122&lt;&gt;"Sim",E122&lt;&gt;"N/A"),Config!$B$11&amp;"; ","")&amp;IF(AND(Config!$B$12&lt;&gt;"",F122&lt;&gt;"Sim",F122&lt;&gt;"N/A"),Config!$B$12&amp;"; ","")&amp;IF(AND(Config!$B$13&lt;&gt;"",G122&lt;&gt;"Sim",G122&lt;&gt;"N/A"),Config!$B$13&amp;"; ","")&amp;IF(AND(Config!$B$14&lt;&gt;"",H122&lt;&gt;"Sim",H122&lt;&gt;"N/A"),Config!$B$14&amp;"; ","")&amp;IF(AND(Config!$B$15&lt;&gt;"",I122&lt;&gt;"Sim",I122&lt;&gt;"N/A"),Config!$B$15&amp;"; ","")&amp;IF(AND(Config!$B$16&lt;&gt;"",J122&lt;&gt;"Sim",J122&lt;&gt;"N/A"),Config!$B$16&amp;"; ","")&amp;IF(AND(Config!$B$17&lt;&gt;"",K122&lt;&gt;"Sim",K122&lt;&gt;"N/A"),Config!$B$17&amp;"; ","")&amp;IF(AND(Config!$D$10&lt;&gt;"",L122&lt;&gt;"Sim",L122&lt;&gt;"N/A"),Config!$D$10&amp;"; ","")&amp;IF(AND(Config!$D$11&lt;&gt;"",M122&lt;&gt;"Sim",M122&lt;&gt;"N/A"),Config!$D$11&amp;"; ","")&amp;IF(AND(Config!$D$12&lt;&gt;"",N122&lt;&gt;"Sim",N122&lt;&gt;"N/A"),Config!$D$12&amp;"; ","")&amp;IF(AND(Config!$D$13&lt;&gt;"",O122&lt;&gt;"Sim",O122&lt;&gt;"N/A"),Config!$D$13&amp;"; ","")&amp;IF(AND(Config!$D$14&lt;&gt;"",P122&lt;&gt;"Sim",P122&lt;&gt;"N/A"),Config!$D$14&amp;"; ","")&amp;IF(AND(Config!$D$15&lt;&gt;"",Q122&lt;&gt;"Sim",Q122&lt;&gt;"N/A"),Config!$D$15&amp;"; ","")&amp;IF(AND(Config!$D$16&lt;&gt;"",R122&lt;&gt;"Sim",R122&lt;&gt;"N/A"),Config!$D$16&amp;"; ","")&amp;IF(AND(Config!$D$17&lt;&gt;"",S122&lt;&gt;"Sim",S122&lt;&gt;"N/A"),Config!$D$17&amp;"; ",""))</f>
        <v/>
      </c>
      <c r="AB122" s="39">
        <f>IF(A122="",0,COUNTIF($A$5:$A$304,"&gt;"&amp;A122)+1)</f>
        <v>0</v>
      </c>
    </row>
    <row r="123">
      <c r="A123" s="37" t="n"/>
      <c r="B123" s="24">
        <f>IF(A123="","",CHOOSE(WEEKDAY(A123,2),"Segunda","Terça","Quarta","Quinta","Sexta","Sábado","Domingo"))</f>
        <v/>
      </c>
      <c r="C123" s="38" t="n"/>
      <c r="D123" s="38" t="n"/>
      <c r="E123" s="38" t="n"/>
      <c r="F123" s="38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26">
        <f>IF(A123="","",IFERROR(COUNTIF(D123:K123,"Sim")/(Config!$B$19-COUNTIF(D123:K123,"N/A")),""))</f>
        <v/>
      </c>
      <c r="U123" s="26">
        <f>IF(A123="","",IFERROR(COUNTIF(L123:S123,"Sim")/(Config!$D$19-COUNTIF(L123:S123,"N/A")),""))</f>
        <v/>
      </c>
      <c r="V123" s="24">
        <f>IF(A123="","",MAX(0,Config!$B$19-COUNTIF(D123:K123,"Sim")-COUNTIF(D123:K123,"N/A")))</f>
        <v/>
      </c>
      <c r="W123" s="24">
        <f>IF(A123="","",MAX(0,Config!$D$19-COUNTIF(L123:S123,"Sim")-COUNTIF(L123:S123,"N/A")))</f>
        <v/>
      </c>
      <c r="X123" s="24">
        <f>IF(A123="","",V123+W123)</f>
        <v/>
      </c>
      <c r="Y123" s="29">
        <f>IF(OR(A123="",AA123=""),"",LEFT(AA123,LEN(AA123)-2))</f>
        <v/>
      </c>
      <c r="Z123" s="39">
        <f>IF(OR(A123="",X123=0),0,X123*100000+A123/100000)</f>
        <v>0</v>
      </c>
      <c r="AA123" s="39">
        <f>IF(A123="","",IF(AND(Config!$B$10&lt;&gt;"",D123&lt;&gt;"Sim",D123&lt;&gt;"N/A"),Config!$B$10&amp;"; ","")&amp;IF(AND(Config!$B$11&lt;&gt;"",E123&lt;&gt;"Sim",E123&lt;&gt;"N/A"),Config!$B$11&amp;"; ","")&amp;IF(AND(Config!$B$12&lt;&gt;"",F123&lt;&gt;"Sim",F123&lt;&gt;"N/A"),Config!$B$12&amp;"; ","")&amp;IF(AND(Config!$B$13&lt;&gt;"",G123&lt;&gt;"Sim",G123&lt;&gt;"N/A"),Config!$B$13&amp;"; ","")&amp;IF(AND(Config!$B$14&lt;&gt;"",H123&lt;&gt;"Sim",H123&lt;&gt;"N/A"),Config!$B$14&amp;"; ","")&amp;IF(AND(Config!$B$15&lt;&gt;"",I123&lt;&gt;"Sim",I123&lt;&gt;"N/A"),Config!$B$15&amp;"; ","")&amp;IF(AND(Config!$B$16&lt;&gt;"",J123&lt;&gt;"Sim",J123&lt;&gt;"N/A"),Config!$B$16&amp;"; ","")&amp;IF(AND(Config!$B$17&lt;&gt;"",K123&lt;&gt;"Sim",K123&lt;&gt;"N/A"),Config!$B$17&amp;"; ","")&amp;IF(AND(Config!$D$10&lt;&gt;"",L123&lt;&gt;"Sim",L123&lt;&gt;"N/A"),Config!$D$10&amp;"; ","")&amp;IF(AND(Config!$D$11&lt;&gt;"",M123&lt;&gt;"Sim",M123&lt;&gt;"N/A"),Config!$D$11&amp;"; ","")&amp;IF(AND(Config!$D$12&lt;&gt;"",N123&lt;&gt;"Sim",N123&lt;&gt;"N/A"),Config!$D$12&amp;"; ","")&amp;IF(AND(Config!$D$13&lt;&gt;"",O123&lt;&gt;"Sim",O123&lt;&gt;"N/A"),Config!$D$13&amp;"; ","")&amp;IF(AND(Config!$D$14&lt;&gt;"",P123&lt;&gt;"Sim",P123&lt;&gt;"N/A"),Config!$D$14&amp;"; ","")&amp;IF(AND(Config!$D$15&lt;&gt;"",Q123&lt;&gt;"Sim",Q123&lt;&gt;"N/A"),Config!$D$15&amp;"; ","")&amp;IF(AND(Config!$D$16&lt;&gt;"",R123&lt;&gt;"Sim",R123&lt;&gt;"N/A"),Config!$D$16&amp;"; ","")&amp;IF(AND(Config!$D$17&lt;&gt;"",S123&lt;&gt;"Sim",S123&lt;&gt;"N/A"),Config!$D$17&amp;"; ",""))</f>
        <v/>
      </c>
      <c r="AB123" s="39">
        <f>IF(A123="",0,COUNTIF($A$5:$A$304,"&gt;"&amp;A123)+1)</f>
        <v>0</v>
      </c>
    </row>
    <row r="124">
      <c r="A124" s="37" t="n"/>
      <c r="B124" s="24">
        <f>IF(A124="","",CHOOSE(WEEKDAY(A124,2),"Segunda","Terça","Quarta","Quinta","Sexta","Sábado","Domingo"))</f>
        <v/>
      </c>
      <c r="C124" s="38" t="n"/>
      <c r="D124" s="38" t="n"/>
      <c r="E124" s="38" t="n"/>
      <c r="F124" s="38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26">
        <f>IF(A124="","",IFERROR(COUNTIF(D124:K124,"Sim")/(Config!$B$19-COUNTIF(D124:K124,"N/A")),""))</f>
        <v/>
      </c>
      <c r="U124" s="26">
        <f>IF(A124="","",IFERROR(COUNTIF(L124:S124,"Sim")/(Config!$D$19-COUNTIF(L124:S124,"N/A")),""))</f>
        <v/>
      </c>
      <c r="V124" s="24">
        <f>IF(A124="","",MAX(0,Config!$B$19-COUNTIF(D124:K124,"Sim")-COUNTIF(D124:K124,"N/A")))</f>
        <v/>
      </c>
      <c r="W124" s="24">
        <f>IF(A124="","",MAX(0,Config!$D$19-COUNTIF(L124:S124,"Sim")-COUNTIF(L124:S124,"N/A")))</f>
        <v/>
      </c>
      <c r="X124" s="24">
        <f>IF(A124="","",V124+W124)</f>
        <v/>
      </c>
      <c r="Y124" s="29">
        <f>IF(OR(A124="",AA124=""),"",LEFT(AA124,LEN(AA124)-2))</f>
        <v/>
      </c>
      <c r="Z124" s="39">
        <f>IF(OR(A124="",X124=0),0,X124*100000+A124/100000)</f>
        <v>0</v>
      </c>
      <c r="AA124" s="39">
        <f>IF(A124="","",IF(AND(Config!$B$10&lt;&gt;"",D124&lt;&gt;"Sim",D124&lt;&gt;"N/A"),Config!$B$10&amp;"; ","")&amp;IF(AND(Config!$B$11&lt;&gt;"",E124&lt;&gt;"Sim",E124&lt;&gt;"N/A"),Config!$B$11&amp;"; ","")&amp;IF(AND(Config!$B$12&lt;&gt;"",F124&lt;&gt;"Sim",F124&lt;&gt;"N/A"),Config!$B$12&amp;"; ","")&amp;IF(AND(Config!$B$13&lt;&gt;"",G124&lt;&gt;"Sim",G124&lt;&gt;"N/A"),Config!$B$13&amp;"; ","")&amp;IF(AND(Config!$B$14&lt;&gt;"",H124&lt;&gt;"Sim",H124&lt;&gt;"N/A"),Config!$B$14&amp;"; ","")&amp;IF(AND(Config!$B$15&lt;&gt;"",I124&lt;&gt;"Sim",I124&lt;&gt;"N/A"),Config!$B$15&amp;"; ","")&amp;IF(AND(Config!$B$16&lt;&gt;"",J124&lt;&gt;"Sim",J124&lt;&gt;"N/A"),Config!$B$16&amp;"; ","")&amp;IF(AND(Config!$B$17&lt;&gt;"",K124&lt;&gt;"Sim",K124&lt;&gt;"N/A"),Config!$B$17&amp;"; ","")&amp;IF(AND(Config!$D$10&lt;&gt;"",L124&lt;&gt;"Sim",L124&lt;&gt;"N/A"),Config!$D$10&amp;"; ","")&amp;IF(AND(Config!$D$11&lt;&gt;"",M124&lt;&gt;"Sim",M124&lt;&gt;"N/A"),Config!$D$11&amp;"; ","")&amp;IF(AND(Config!$D$12&lt;&gt;"",N124&lt;&gt;"Sim",N124&lt;&gt;"N/A"),Config!$D$12&amp;"; ","")&amp;IF(AND(Config!$D$13&lt;&gt;"",O124&lt;&gt;"Sim",O124&lt;&gt;"N/A"),Config!$D$13&amp;"; ","")&amp;IF(AND(Config!$D$14&lt;&gt;"",P124&lt;&gt;"Sim",P124&lt;&gt;"N/A"),Config!$D$14&amp;"; ","")&amp;IF(AND(Config!$D$15&lt;&gt;"",Q124&lt;&gt;"Sim",Q124&lt;&gt;"N/A"),Config!$D$15&amp;"; ","")&amp;IF(AND(Config!$D$16&lt;&gt;"",R124&lt;&gt;"Sim",R124&lt;&gt;"N/A"),Config!$D$16&amp;"; ","")&amp;IF(AND(Config!$D$17&lt;&gt;"",S124&lt;&gt;"Sim",S124&lt;&gt;"N/A"),Config!$D$17&amp;"; ",""))</f>
        <v/>
      </c>
      <c r="AB124" s="39">
        <f>IF(A124="",0,COUNTIF($A$5:$A$304,"&gt;"&amp;A124)+1)</f>
        <v>0</v>
      </c>
    </row>
    <row r="125">
      <c r="A125" s="37" t="n"/>
      <c r="B125" s="24">
        <f>IF(A125="","",CHOOSE(WEEKDAY(A125,2),"Segunda","Terça","Quarta","Quinta","Sexta","Sábado","Domingo"))</f>
        <v/>
      </c>
      <c r="C125" s="38" t="n"/>
      <c r="D125" s="38" t="n"/>
      <c r="E125" s="38" t="n"/>
      <c r="F125" s="38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26">
        <f>IF(A125="","",IFERROR(COUNTIF(D125:K125,"Sim")/(Config!$B$19-COUNTIF(D125:K125,"N/A")),""))</f>
        <v/>
      </c>
      <c r="U125" s="26">
        <f>IF(A125="","",IFERROR(COUNTIF(L125:S125,"Sim")/(Config!$D$19-COUNTIF(L125:S125,"N/A")),""))</f>
        <v/>
      </c>
      <c r="V125" s="24">
        <f>IF(A125="","",MAX(0,Config!$B$19-COUNTIF(D125:K125,"Sim")-COUNTIF(D125:K125,"N/A")))</f>
        <v/>
      </c>
      <c r="W125" s="24">
        <f>IF(A125="","",MAX(0,Config!$D$19-COUNTIF(L125:S125,"Sim")-COUNTIF(L125:S125,"N/A")))</f>
        <v/>
      </c>
      <c r="X125" s="24">
        <f>IF(A125="","",V125+W125)</f>
        <v/>
      </c>
      <c r="Y125" s="29">
        <f>IF(OR(A125="",AA125=""),"",LEFT(AA125,LEN(AA125)-2))</f>
        <v/>
      </c>
      <c r="Z125" s="39">
        <f>IF(OR(A125="",X125=0),0,X125*100000+A125/100000)</f>
        <v>0</v>
      </c>
      <c r="AA125" s="39">
        <f>IF(A125="","",IF(AND(Config!$B$10&lt;&gt;"",D125&lt;&gt;"Sim",D125&lt;&gt;"N/A"),Config!$B$10&amp;"; ","")&amp;IF(AND(Config!$B$11&lt;&gt;"",E125&lt;&gt;"Sim",E125&lt;&gt;"N/A"),Config!$B$11&amp;"; ","")&amp;IF(AND(Config!$B$12&lt;&gt;"",F125&lt;&gt;"Sim",F125&lt;&gt;"N/A"),Config!$B$12&amp;"; ","")&amp;IF(AND(Config!$B$13&lt;&gt;"",G125&lt;&gt;"Sim",G125&lt;&gt;"N/A"),Config!$B$13&amp;"; ","")&amp;IF(AND(Config!$B$14&lt;&gt;"",H125&lt;&gt;"Sim",H125&lt;&gt;"N/A"),Config!$B$14&amp;"; ","")&amp;IF(AND(Config!$B$15&lt;&gt;"",I125&lt;&gt;"Sim",I125&lt;&gt;"N/A"),Config!$B$15&amp;"; ","")&amp;IF(AND(Config!$B$16&lt;&gt;"",J125&lt;&gt;"Sim",J125&lt;&gt;"N/A"),Config!$B$16&amp;"; ","")&amp;IF(AND(Config!$B$17&lt;&gt;"",K125&lt;&gt;"Sim",K125&lt;&gt;"N/A"),Config!$B$17&amp;"; ","")&amp;IF(AND(Config!$D$10&lt;&gt;"",L125&lt;&gt;"Sim",L125&lt;&gt;"N/A"),Config!$D$10&amp;"; ","")&amp;IF(AND(Config!$D$11&lt;&gt;"",M125&lt;&gt;"Sim",M125&lt;&gt;"N/A"),Config!$D$11&amp;"; ","")&amp;IF(AND(Config!$D$12&lt;&gt;"",N125&lt;&gt;"Sim",N125&lt;&gt;"N/A"),Config!$D$12&amp;"; ","")&amp;IF(AND(Config!$D$13&lt;&gt;"",O125&lt;&gt;"Sim",O125&lt;&gt;"N/A"),Config!$D$13&amp;"; ","")&amp;IF(AND(Config!$D$14&lt;&gt;"",P125&lt;&gt;"Sim",P125&lt;&gt;"N/A"),Config!$D$14&amp;"; ","")&amp;IF(AND(Config!$D$15&lt;&gt;"",Q125&lt;&gt;"Sim",Q125&lt;&gt;"N/A"),Config!$D$15&amp;"; ","")&amp;IF(AND(Config!$D$16&lt;&gt;"",R125&lt;&gt;"Sim",R125&lt;&gt;"N/A"),Config!$D$16&amp;"; ","")&amp;IF(AND(Config!$D$17&lt;&gt;"",S125&lt;&gt;"Sim",S125&lt;&gt;"N/A"),Config!$D$17&amp;"; ",""))</f>
        <v/>
      </c>
      <c r="AB125" s="39">
        <f>IF(A125="",0,COUNTIF($A$5:$A$304,"&gt;"&amp;A125)+1)</f>
        <v>0</v>
      </c>
    </row>
    <row r="126">
      <c r="A126" s="37" t="n"/>
      <c r="B126" s="24">
        <f>IF(A126="","",CHOOSE(WEEKDAY(A126,2),"Segunda","Terça","Quarta","Quinta","Sexta","Sábado","Domingo"))</f>
        <v/>
      </c>
      <c r="C126" s="38" t="n"/>
      <c r="D126" s="38" t="n"/>
      <c r="E126" s="38" t="n"/>
      <c r="F126" s="38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26">
        <f>IF(A126="","",IFERROR(COUNTIF(D126:K126,"Sim")/(Config!$B$19-COUNTIF(D126:K126,"N/A")),""))</f>
        <v/>
      </c>
      <c r="U126" s="26">
        <f>IF(A126="","",IFERROR(COUNTIF(L126:S126,"Sim")/(Config!$D$19-COUNTIF(L126:S126,"N/A")),""))</f>
        <v/>
      </c>
      <c r="V126" s="24">
        <f>IF(A126="","",MAX(0,Config!$B$19-COUNTIF(D126:K126,"Sim")-COUNTIF(D126:K126,"N/A")))</f>
        <v/>
      </c>
      <c r="W126" s="24">
        <f>IF(A126="","",MAX(0,Config!$D$19-COUNTIF(L126:S126,"Sim")-COUNTIF(L126:S126,"N/A")))</f>
        <v/>
      </c>
      <c r="X126" s="24">
        <f>IF(A126="","",V126+W126)</f>
        <v/>
      </c>
      <c r="Y126" s="29">
        <f>IF(OR(A126="",AA126=""),"",LEFT(AA126,LEN(AA126)-2))</f>
        <v/>
      </c>
      <c r="Z126" s="39">
        <f>IF(OR(A126="",X126=0),0,X126*100000+A126/100000)</f>
        <v>0</v>
      </c>
      <c r="AA126" s="39">
        <f>IF(A126="","",IF(AND(Config!$B$10&lt;&gt;"",D126&lt;&gt;"Sim",D126&lt;&gt;"N/A"),Config!$B$10&amp;"; ","")&amp;IF(AND(Config!$B$11&lt;&gt;"",E126&lt;&gt;"Sim",E126&lt;&gt;"N/A"),Config!$B$11&amp;"; ","")&amp;IF(AND(Config!$B$12&lt;&gt;"",F126&lt;&gt;"Sim",F126&lt;&gt;"N/A"),Config!$B$12&amp;"; ","")&amp;IF(AND(Config!$B$13&lt;&gt;"",G126&lt;&gt;"Sim",G126&lt;&gt;"N/A"),Config!$B$13&amp;"; ","")&amp;IF(AND(Config!$B$14&lt;&gt;"",H126&lt;&gt;"Sim",H126&lt;&gt;"N/A"),Config!$B$14&amp;"; ","")&amp;IF(AND(Config!$B$15&lt;&gt;"",I126&lt;&gt;"Sim",I126&lt;&gt;"N/A"),Config!$B$15&amp;"; ","")&amp;IF(AND(Config!$B$16&lt;&gt;"",J126&lt;&gt;"Sim",J126&lt;&gt;"N/A"),Config!$B$16&amp;"; ","")&amp;IF(AND(Config!$B$17&lt;&gt;"",K126&lt;&gt;"Sim",K126&lt;&gt;"N/A"),Config!$B$17&amp;"; ","")&amp;IF(AND(Config!$D$10&lt;&gt;"",L126&lt;&gt;"Sim",L126&lt;&gt;"N/A"),Config!$D$10&amp;"; ","")&amp;IF(AND(Config!$D$11&lt;&gt;"",M126&lt;&gt;"Sim",M126&lt;&gt;"N/A"),Config!$D$11&amp;"; ","")&amp;IF(AND(Config!$D$12&lt;&gt;"",N126&lt;&gt;"Sim",N126&lt;&gt;"N/A"),Config!$D$12&amp;"; ","")&amp;IF(AND(Config!$D$13&lt;&gt;"",O126&lt;&gt;"Sim",O126&lt;&gt;"N/A"),Config!$D$13&amp;"; ","")&amp;IF(AND(Config!$D$14&lt;&gt;"",P126&lt;&gt;"Sim",P126&lt;&gt;"N/A"),Config!$D$14&amp;"; ","")&amp;IF(AND(Config!$D$15&lt;&gt;"",Q126&lt;&gt;"Sim",Q126&lt;&gt;"N/A"),Config!$D$15&amp;"; ","")&amp;IF(AND(Config!$D$16&lt;&gt;"",R126&lt;&gt;"Sim",R126&lt;&gt;"N/A"),Config!$D$16&amp;"; ","")&amp;IF(AND(Config!$D$17&lt;&gt;"",S126&lt;&gt;"Sim",S126&lt;&gt;"N/A"),Config!$D$17&amp;"; ",""))</f>
        <v/>
      </c>
      <c r="AB126" s="39">
        <f>IF(A126="",0,COUNTIF($A$5:$A$304,"&gt;"&amp;A126)+1)</f>
        <v>0</v>
      </c>
    </row>
    <row r="127">
      <c r="A127" s="37" t="n"/>
      <c r="B127" s="24">
        <f>IF(A127="","",CHOOSE(WEEKDAY(A127,2),"Segunda","Terça","Quarta","Quinta","Sexta","Sábado","Domingo"))</f>
        <v/>
      </c>
      <c r="C127" s="38" t="n"/>
      <c r="D127" s="38" t="n"/>
      <c r="E127" s="38" t="n"/>
      <c r="F127" s="38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26">
        <f>IF(A127="","",IFERROR(COUNTIF(D127:K127,"Sim")/(Config!$B$19-COUNTIF(D127:K127,"N/A")),""))</f>
        <v/>
      </c>
      <c r="U127" s="26">
        <f>IF(A127="","",IFERROR(COUNTIF(L127:S127,"Sim")/(Config!$D$19-COUNTIF(L127:S127,"N/A")),""))</f>
        <v/>
      </c>
      <c r="V127" s="24">
        <f>IF(A127="","",MAX(0,Config!$B$19-COUNTIF(D127:K127,"Sim")-COUNTIF(D127:K127,"N/A")))</f>
        <v/>
      </c>
      <c r="W127" s="24">
        <f>IF(A127="","",MAX(0,Config!$D$19-COUNTIF(L127:S127,"Sim")-COUNTIF(L127:S127,"N/A")))</f>
        <v/>
      </c>
      <c r="X127" s="24">
        <f>IF(A127="","",V127+W127)</f>
        <v/>
      </c>
      <c r="Y127" s="29">
        <f>IF(OR(A127="",AA127=""),"",LEFT(AA127,LEN(AA127)-2))</f>
        <v/>
      </c>
      <c r="Z127" s="39">
        <f>IF(OR(A127="",X127=0),0,X127*100000+A127/100000)</f>
        <v>0</v>
      </c>
      <c r="AA127" s="39">
        <f>IF(A127="","",IF(AND(Config!$B$10&lt;&gt;"",D127&lt;&gt;"Sim",D127&lt;&gt;"N/A"),Config!$B$10&amp;"; ","")&amp;IF(AND(Config!$B$11&lt;&gt;"",E127&lt;&gt;"Sim",E127&lt;&gt;"N/A"),Config!$B$11&amp;"; ","")&amp;IF(AND(Config!$B$12&lt;&gt;"",F127&lt;&gt;"Sim",F127&lt;&gt;"N/A"),Config!$B$12&amp;"; ","")&amp;IF(AND(Config!$B$13&lt;&gt;"",G127&lt;&gt;"Sim",G127&lt;&gt;"N/A"),Config!$B$13&amp;"; ","")&amp;IF(AND(Config!$B$14&lt;&gt;"",H127&lt;&gt;"Sim",H127&lt;&gt;"N/A"),Config!$B$14&amp;"; ","")&amp;IF(AND(Config!$B$15&lt;&gt;"",I127&lt;&gt;"Sim",I127&lt;&gt;"N/A"),Config!$B$15&amp;"; ","")&amp;IF(AND(Config!$B$16&lt;&gt;"",J127&lt;&gt;"Sim",J127&lt;&gt;"N/A"),Config!$B$16&amp;"; ","")&amp;IF(AND(Config!$B$17&lt;&gt;"",K127&lt;&gt;"Sim",K127&lt;&gt;"N/A"),Config!$B$17&amp;"; ","")&amp;IF(AND(Config!$D$10&lt;&gt;"",L127&lt;&gt;"Sim",L127&lt;&gt;"N/A"),Config!$D$10&amp;"; ","")&amp;IF(AND(Config!$D$11&lt;&gt;"",M127&lt;&gt;"Sim",M127&lt;&gt;"N/A"),Config!$D$11&amp;"; ","")&amp;IF(AND(Config!$D$12&lt;&gt;"",N127&lt;&gt;"Sim",N127&lt;&gt;"N/A"),Config!$D$12&amp;"; ","")&amp;IF(AND(Config!$D$13&lt;&gt;"",O127&lt;&gt;"Sim",O127&lt;&gt;"N/A"),Config!$D$13&amp;"; ","")&amp;IF(AND(Config!$D$14&lt;&gt;"",P127&lt;&gt;"Sim",P127&lt;&gt;"N/A"),Config!$D$14&amp;"; ","")&amp;IF(AND(Config!$D$15&lt;&gt;"",Q127&lt;&gt;"Sim",Q127&lt;&gt;"N/A"),Config!$D$15&amp;"; ","")&amp;IF(AND(Config!$D$16&lt;&gt;"",R127&lt;&gt;"Sim",R127&lt;&gt;"N/A"),Config!$D$16&amp;"; ","")&amp;IF(AND(Config!$D$17&lt;&gt;"",S127&lt;&gt;"Sim",S127&lt;&gt;"N/A"),Config!$D$17&amp;"; ",""))</f>
        <v/>
      </c>
      <c r="AB127" s="39">
        <f>IF(A127="",0,COUNTIF($A$5:$A$304,"&gt;"&amp;A127)+1)</f>
        <v>0</v>
      </c>
    </row>
    <row r="128">
      <c r="A128" s="37" t="n"/>
      <c r="B128" s="24">
        <f>IF(A128="","",CHOOSE(WEEKDAY(A128,2),"Segunda","Terça","Quarta","Quinta","Sexta","Sábado","Domingo"))</f>
        <v/>
      </c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26">
        <f>IF(A128="","",IFERROR(COUNTIF(D128:K128,"Sim")/(Config!$B$19-COUNTIF(D128:K128,"N/A")),""))</f>
        <v/>
      </c>
      <c r="U128" s="26">
        <f>IF(A128="","",IFERROR(COUNTIF(L128:S128,"Sim")/(Config!$D$19-COUNTIF(L128:S128,"N/A")),""))</f>
        <v/>
      </c>
      <c r="V128" s="24">
        <f>IF(A128="","",MAX(0,Config!$B$19-COUNTIF(D128:K128,"Sim")-COUNTIF(D128:K128,"N/A")))</f>
        <v/>
      </c>
      <c r="W128" s="24">
        <f>IF(A128="","",MAX(0,Config!$D$19-COUNTIF(L128:S128,"Sim")-COUNTIF(L128:S128,"N/A")))</f>
        <v/>
      </c>
      <c r="X128" s="24">
        <f>IF(A128="","",V128+W128)</f>
        <v/>
      </c>
      <c r="Y128" s="29">
        <f>IF(OR(A128="",AA128=""),"",LEFT(AA128,LEN(AA128)-2))</f>
        <v/>
      </c>
      <c r="Z128" s="39">
        <f>IF(OR(A128="",X128=0),0,X128*100000+A128/100000)</f>
        <v>0</v>
      </c>
      <c r="AA128" s="39">
        <f>IF(A128="","",IF(AND(Config!$B$10&lt;&gt;"",D128&lt;&gt;"Sim",D128&lt;&gt;"N/A"),Config!$B$10&amp;"; ","")&amp;IF(AND(Config!$B$11&lt;&gt;"",E128&lt;&gt;"Sim",E128&lt;&gt;"N/A"),Config!$B$11&amp;"; ","")&amp;IF(AND(Config!$B$12&lt;&gt;"",F128&lt;&gt;"Sim",F128&lt;&gt;"N/A"),Config!$B$12&amp;"; ","")&amp;IF(AND(Config!$B$13&lt;&gt;"",G128&lt;&gt;"Sim",G128&lt;&gt;"N/A"),Config!$B$13&amp;"; ","")&amp;IF(AND(Config!$B$14&lt;&gt;"",H128&lt;&gt;"Sim",H128&lt;&gt;"N/A"),Config!$B$14&amp;"; ","")&amp;IF(AND(Config!$B$15&lt;&gt;"",I128&lt;&gt;"Sim",I128&lt;&gt;"N/A"),Config!$B$15&amp;"; ","")&amp;IF(AND(Config!$B$16&lt;&gt;"",J128&lt;&gt;"Sim",J128&lt;&gt;"N/A"),Config!$B$16&amp;"; ","")&amp;IF(AND(Config!$B$17&lt;&gt;"",K128&lt;&gt;"Sim",K128&lt;&gt;"N/A"),Config!$B$17&amp;"; ","")&amp;IF(AND(Config!$D$10&lt;&gt;"",L128&lt;&gt;"Sim",L128&lt;&gt;"N/A"),Config!$D$10&amp;"; ","")&amp;IF(AND(Config!$D$11&lt;&gt;"",M128&lt;&gt;"Sim",M128&lt;&gt;"N/A"),Config!$D$11&amp;"; ","")&amp;IF(AND(Config!$D$12&lt;&gt;"",N128&lt;&gt;"Sim",N128&lt;&gt;"N/A"),Config!$D$12&amp;"; ","")&amp;IF(AND(Config!$D$13&lt;&gt;"",O128&lt;&gt;"Sim",O128&lt;&gt;"N/A"),Config!$D$13&amp;"; ","")&amp;IF(AND(Config!$D$14&lt;&gt;"",P128&lt;&gt;"Sim",P128&lt;&gt;"N/A"),Config!$D$14&amp;"; ","")&amp;IF(AND(Config!$D$15&lt;&gt;"",Q128&lt;&gt;"Sim",Q128&lt;&gt;"N/A"),Config!$D$15&amp;"; ","")&amp;IF(AND(Config!$D$16&lt;&gt;"",R128&lt;&gt;"Sim",R128&lt;&gt;"N/A"),Config!$D$16&amp;"; ","")&amp;IF(AND(Config!$D$17&lt;&gt;"",S128&lt;&gt;"Sim",S128&lt;&gt;"N/A"),Config!$D$17&amp;"; ",""))</f>
        <v/>
      </c>
      <c r="AB128" s="39">
        <f>IF(A128="",0,COUNTIF($A$5:$A$304,"&gt;"&amp;A128)+1)</f>
        <v>0</v>
      </c>
    </row>
    <row r="129">
      <c r="A129" s="37" t="n"/>
      <c r="B129" s="24">
        <f>IF(A129="","",CHOOSE(WEEKDAY(A129,2),"Segunda","Terça","Quarta","Quinta","Sexta","Sábado","Domingo"))</f>
        <v/>
      </c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26">
        <f>IF(A129="","",IFERROR(COUNTIF(D129:K129,"Sim")/(Config!$B$19-COUNTIF(D129:K129,"N/A")),""))</f>
        <v/>
      </c>
      <c r="U129" s="26">
        <f>IF(A129="","",IFERROR(COUNTIF(L129:S129,"Sim")/(Config!$D$19-COUNTIF(L129:S129,"N/A")),""))</f>
        <v/>
      </c>
      <c r="V129" s="24">
        <f>IF(A129="","",MAX(0,Config!$B$19-COUNTIF(D129:K129,"Sim")-COUNTIF(D129:K129,"N/A")))</f>
        <v/>
      </c>
      <c r="W129" s="24">
        <f>IF(A129="","",MAX(0,Config!$D$19-COUNTIF(L129:S129,"Sim")-COUNTIF(L129:S129,"N/A")))</f>
        <v/>
      </c>
      <c r="X129" s="24">
        <f>IF(A129="","",V129+W129)</f>
        <v/>
      </c>
      <c r="Y129" s="29">
        <f>IF(OR(A129="",AA129=""),"",LEFT(AA129,LEN(AA129)-2))</f>
        <v/>
      </c>
      <c r="Z129" s="39">
        <f>IF(OR(A129="",X129=0),0,X129*100000+A129/100000)</f>
        <v>0</v>
      </c>
      <c r="AA129" s="39">
        <f>IF(A129="","",IF(AND(Config!$B$10&lt;&gt;"",D129&lt;&gt;"Sim",D129&lt;&gt;"N/A"),Config!$B$10&amp;"; ","")&amp;IF(AND(Config!$B$11&lt;&gt;"",E129&lt;&gt;"Sim",E129&lt;&gt;"N/A"),Config!$B$11&amp;"; ","")&amp;IF(AND(Config!$B$12&lt;&gt;"",F129&lt;&gt;"Sim",F129&lt;&gt;"N/A"),Config!$B$12&amp;"; ","")&amp;IF(AND(Config!$B$13&lt;&gt;"",G129&lt;&gt;"Sim",G129&lt;&gt;"N/A"),Config!$B$13&amp;"; ","")&amp;IF(AND(Config!$B$14&lt;&gt;"",H129&lt;&gt;"Sim",H129&lt;&gt;"N/A"),Config!$B$14&amp;"; ","")&amp;IF(AND(Config!$B$15&lt;&gt;"",I129&lt;&gt;"Sim",I129&lt;&gt;"N/A"),Config!$B$15&amp;"; ","")&amp;IF(AND(Config!$B$16&lt;&gt;"",J129&lt;&gt;"Sim",J129&lt;&gt;"N/A"),Config!$B$16&amp;"; ","")&amp;IF(AND(Config!$B$17&lt;&gt;"",K129&lt;&gt;"Sim",K129&lt;&gt;"N/A"),Config!$B$17&amp;"; ","")&amp;IF(AND(Config!$D$10&lt;&gt;"",L129&lt;&gt;"Sim",L129&lt;&gt;"N/A"),Config!$D$10&amp;"; ","")&amp;IF(AND(Config!$D$11&lt;&gt;"",M129&lt;&gt;"Sim",M129&lt;&gt;"N/A"),Config!$D$11&amp;"; ","")&amp;IF(AND(Config!$D$12&lt;&gt;"",N129&lt;&gt;"Sim",N129&lt;&gt;"N/A"),Config!$D$12&amp;"; ","")&amp;IF(AND(Config!$D$13&lt;&gt;"",O129&lt;&gt;"Sim",O129&lt;&gt;"N/A"),Config!$D$13&amp;"; ","")&amp;IF(AND(Config!$D$14&lt;&gt;"",P129&lt;&gt;"Sim",P129&lt;&gt;"N/A"),Config!$D$14&amp;"; ","")&amp;IF(AND(Config!$D$15&lt;&gt;"",Q129&lt;&gt;"Sim",Q129&lt;&gt;"N/A"),Config!$D$15&amp;"; ","")&amp;IF(AND(Config!$D$16&lt;&gt;"",R129&lt;&gt;"Sim",R129&lt;&gt;"N/A"),Config!$D$16&amp;"; ","")&amp;IF(AND(Config!$D$17&lt;&gt;"",S129&lt;&gt;"Sim",S129&lt;&gt;"N/A"),Config!$D$17&amp;"; ",""))</f>
        <v/>
      </c>
      <c r="AB129" s="39">
        <f>IF(A129="",0,COUNTIF($A$5:$A$304,"&gt;"&amp;A129)+1)</f>
        <v>0</v>
      </c>
    </row>
    <row r="130">
      <c r="A130" s="37" t="n"/>
      <c r="B130" s="24">
        <f>IF(A130="","",CHOOSE(WEEKDAY(A130,2),"Segunda","Terça","Quarta","Quinta","Sexta","Sábado","Domingo"))</f>
        <v/>
      </c>
      <c r="C130" s="38" t="n"/>
      <c r="D130" s="38" t="n"/>
      <c r="E130" s="38" t="n"/>
      <c r="F130" s="38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26">
        <f>IF(A130="","",IFERROR(COUNTIF(D130:K130,"Sim")/(Config!$B$19-COUNTIF(D130:K130,"N/A")),""))</f>
        <v/>
      </c>
      <c r="U130" s="26">
        <f>IF(A130="","",IFERROR(COUNTIF(L130:S130,"Sim")/(Config!$D$19-COUNTIF(L130:S130,"N/A")),""))</f>
        <v/>
      </c>
      <c r="V130" s="24">
        <f>IF(A130="","",MAX(0,Config!$B$19-COUNTIF(D130:K130,"Sim")-COUNTIF(D130:K130,"N/A")))</f>
        <v/>
      </c>
      <c r="W130" s="24">
        <f>IF(A130="","",MAX(0,Config!$D$19-COUNTIF(L130:S130,"Sim")-COUNTIF(L130:S130,"N/A")))</f>
        <v/>
      </c>
      <c r="X130" s="24">
        <f>IF(A130="","",V130+W130)</f>
        <v/>
      </c>
      <c r="Y130" s="29">
        <f>IF(OR(A130="",AA130=""),"",LEFT(AA130,LEN(AA130)-2))</f>
        <v/>
      </c>
      <c r="Z130" s="39">
        <f>IF(OR(A130="",X130=0),0,X130*100000+A130/100000)</f>
        <v>0</v>
      </c>
      <c r="AA130" s="39">
        <f>IF(A130="","",IF(AND(Config!$B$10&lt;&gt;"",D130&lt;&gt;"Sim",D130&lt;&gt;"N/A"),Config!$B$10&amp;"; ","")&amp;IF(AND(Config!$B$11&lt;&gt;"",E130&lt;&gt;"Sim",E130&lt;&gt;"N/A"),Config!$B$11&amp;"; ","")&amp;IF(AND(Config!$B$12&lt;&gt;"",F130&lt;&gt;"Sim",F130&lt;&gt;"N/A"),Config!$B$12&amp;"; ","")&amp;IF(AND(Config!$B$13&lt;&gt;"",G130&lt;&gt;"Sim",G130&lt;&gt;"N/A"),Config!$B$13&amp;"; ","")&amp;IF(AND(Config!$B$14&lt;&gt;"",H130&lt;&gt;"Sim",H130&lt;&gt;"N/A"),Config!$B$14&amp;"; ","")&amp;IF(AND(Config!$B$15&lt;&gt;"",I130&lt;&gt;"Sim",I130&lt;&gt;"N/A"),Config!$B$15&amp;"; ","")&amp;IF(AND(Config!$B$16&lt;&gt;"",J130&lt;&gt;"Sim",J130&lt;&gt;"N/A"),Config!$B$16&amp;"; ","")&amp;IF(AND(Config!$B$17&lt;&gt;"",K130&lt;&gt;"Sim",K130&lt;&gt;"N/A"),Config!$B$17&amp;"; ","")&amp;IF(AND(Config!$D$10&lt;&gt;"",L130&lt;&gt;"Sim",L130&lt;&gt;"N/A"),Config!$D$10&amp;"; ","")&amp;IF(AND(Config!$D$11&lt;&gt;"",M130&lt;&gt;"Sim",M130&lt;&gt;"N/A"),Config!$D$11&amp;"; ","")&amp;IF(AND(Config!$D$12&lt;&gt;"",N130&lt;&gt;"Sim",N130&lt;&gt;"N/A"),Config!$D$12&amp;"; ","")&amp;IF(AND(Config!$D$13&lt;&gt;"",O130&lt;&gt;"Sim",O130&lt;&gt;"N/A"),Config!$D$13&amp;"; ","")&amp;IF(AND(Config!$D$14&lt;&gt;"",P130&lt;&gt;"Sim",P130&lt;&gt;"N/A"),Config!$D$14&amp;"; ","")&amp;IF(AND(Config!$D$15&lt;&gt;"",Q130&lt;&gt;"Sim",Q130&lt;&gt;"N/A"),Config!$D$15&amp;"; ","")&amp;IF(AND(Config!$D$16&lt;&gt;"",R130&lt;&gt;"Sim",R130&lt;&gt;"N/A"),Config!$D$16&amp;"; ","")&amp;IF(AND(Config!$D$17&lt;&gt;"",S130&lt;&gt;"Sim",S130&lt;&gt;"N/A"),Config!$D$17&amp;"; ",""))</f>
        <v/>
      </c>
      <c r="AB130" s="39">
        <f>IF(A130="",0,COUNTIF($A$5:$A$304,"&gt;"&amp;A130)+1)</f>
        <v>0</v>
      </c>
    </row>
    <row r="131">
      <c r="A131" s="37" t="n"/>
      <c r="B131" s="24">
        <f>IF(A131="","",CHOOSE(WEEKDAY(A131,2),"Segunda","Terça","Quarta","Quinta","Sexta","Sábado","Domingo"))</f>
        <v/>
      </c>
      <c r="C131" s="38" t="n"/>
      <c r="D131" s="38" t="n"/>
      <c r="E131" s="38" t="n"/>
      <c r="F131" s="38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26">
        <f>IF(A131="","",IFERROR(COUNTIF(D131:K131,"Sim")/(Config!$B$19-COUNTIF(D131:K131,"N/A")),""))</f>
        <v/>
      </c>
      <c r="U131" s="26">
        <f>IF(A131="","",IFERROR(COUNTIF(L131:S131,"Sim")/(Config!$D$19-COUNTIF(L131:S131,"N/A")),""))</f>
        <v/>
      </c>
      <c r="V131" s="24">
        <f>IF(A131="","",MAX(0,Config!$B$19-COUNTIF(D131:K131,"Sim")-COUNTIF(D131:K131,"N/A")))</f>
        <v/>
      </c>
      <c r="W131" s="24">
        <f>IF(A131="","",MAX(0,Config!$D$19-COUNTIF(L131:S131,"Sim")-COUNTIF(L131:S131,"N/A")))</f>
        <v/>
      </c>
      <c r="X131" s="24">
        <f>IF(A131="","",V131+W131)</f>
        <v/>
      </c>
      <c r="Y131" s="29">
        <f>IF(OR(A131="",AA131=""),"",LEFT(AA131,LEN(AA131)-2))</f>
        <v/>
      </c>
      <c r="Z131" s="39">
        <f>IF(OR(A131="",X131=0),0,X131*100000+A131/100000)</f>
        <v>0</v>
      </c>
      <c r="AA131" s="39">
        <f>IF(A131="","",IF(AND(Config!$B$10&lt;&gt;"",D131&lt;&gt;"Sim",D131&lt;&gt;"N/A"),Config!$B$10&amp;"; ","")&amp;IF(AND(Config!$B$11&lt;&gt;"",E131&lt;&gt;"Sim",E131&lt;&gt;"N/A"),Config!$B$11&amp;"; ","")&amp;IF(AND(Config!$B$12&lt;&gt;"",F131&lt;&gt;"Sim",F131&lt;&gt;"N/A"),Config!$B$12&amp;"; ","")&amp;IF(AND(Config!$B$13&lt;&gt;"",G131&lt;&gt;"Sim",G131&lt;&gt;"N/A"),Config!$B$13&amp;"; ","")&amp;IF(AND(Config!$B$14&lt;&gt;"",H131&lt;&gt;"Sim",H131&lt;&gt;"N/A"),Config!$B$14&amp;"; ","")&amp;IF(AND(Config!$B$15&lt;&gt;"",I131&lt;&gt;"Sim",I131&lt;&gt;"N/A"),Config!$B$15&amp;"; ","")&amp;IF(AND(Config!$B$16&lt;&gt;"",J131&lt;&gt;"Sim",J131&lt;&gt;"N/A"),Config!$B$16&amp;"; ","")&amp;IF(AND(Config!$B$17&lt;&gt;"",K131&lt;&gt;"Sim",K131&lt;&gt;"N/A"),Config!$B$17&amp;"; ","")&amp;IF(AND(Config!$D$10&lt;&gt;"",L131&lt;&gt;"Sim",L131&lt;&gt;"N/A"),Config!$D$10&amp;"; ","")&amp;IF(AND(Config!$D$11&lt;&gt;"",M131&lt;&gt;"Sim",M131&lt;&gt;"N/A"),Config!$D$11&amp;"; ","")&amp;IF(AND(Config!$D$12&lt;&gt;"",N131&lt;&gt;"Sim",N131&lt;&gt;"N/A"),Config!$D$12&amp;"; ","")&amp;IF(AND(Config!$D$13&lt;&gt;"",O131&lt;&gt;"Sim",O131&lt;&gt;"N/A"),Config!$D$13&amp;"; ","")&amp;IF(AND(Config!$D$14&lt;&gt;"",P131&lt;&gt;"Sim",P131&lt;&gt;"N/A"),Config!$D$14&amp;"; ","")&amp;IF(AND(Config!$D$15&lt;&gt;"",Q131&lt;&gt;"Sim",Q131&lt;&gt;"N/A"),Config!$D$15&amp;"; ","")&amp;IF(AND(Config!$D$16&lt;&gt;"",R131&lt;&gt;"Sim",R131&lt;&gt;"N/A"),Config!$D$16&amp;"; ","")&amp;IF(AND(Config!$D$17&lt;&gt;"",S131&lt;&gt;"Sim",S131&lt;&gt;"N/A"),Config!$D$17&amp;"; ",""))</f>
        <v/>
      </c>
      <c r="AB131" s="39">
        <f>IF(A131="",0,COUNTIF($A$5:$A$304,"&gt;"&amp;A131)+1)</f>
        <v>0</v>
      </c>
    </row>
    <row r="132">
      <c r="A132" s="37" t="n"/>
      <c r="B132" s="24">
        <f>IF(A132="","",CHOOSE(WEEKDAY(A132,2),"Segunda","Terça","Quarta","Quinta","Sexta","Sábado","Domingo"))</f>
        <v/>
      </c>
      <c r="C132" s="38" t="n"/>
      <c r="D132" s="38" t="n"/>
      <c r="E132" s="38" t="n"/>
      <c r="F132" s="38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26">
        <f>IF(A132="","",IFERROR(COUNTIF(D132:K132,"Sim")/(Config!$B$19-COUNTIF(D132:K132,"N/A")),""))</f>
        <v/>
      </c>
      <c r="U132" s="26">
        <f>IF(A132="","",IFERROR(COUNTIF(L132:S132,"Sim")/(Config!$D$19-COUNTIF(L132:S132,"N/A")),""))</f>
        <v/>
      </c>
      <c r="V132" s="24">
        <f>IF(A132="","",MAX(0,Config!$B$19-COUNTIF(D132:K132,"Sim")-COUNTIF(D132:K132,"N/A")))</f>
        <v/>
      </c>
      <c r="W132" s="24">
        <f>IF(A132="","",MAX(0,Config!$D$19-COUNTIF(L132:S132,"Sim")-COUNTIF(L132:S132,"N/A")))</f>
        <v/>
      </c>
      <c r="X132" s="24">
        <f>IF(A132="","",V132+W132)</f>
        <v/>
      </c>
      <c r="Y132" s="29">
        <f>IF(OR(A132="",AA132=""),"",LEFT(AA132,LEN(AA132)-2))</f>
        <v/>
      </c>
      <c r="Z132" s="39">
        <f>IF(OR(A132="",X132=0),0,X132*100000+A132/100000)</f>
        <v>0</v>
      </c>
      <c r="AA132" s="39">
        <f>IF(A132="","",IF(AND(Config!$B$10&lt;&gt;"",D132&lt;&gt;"Sim",D132&lt;&gt;"N/A"),Config!$B$10&amp;"; ","")&amp;IF(AND(Config!$B$11&lt;&gt;"",E132&lt;&gt;"Sim",E132&lt;&gt;"N/A"),Config!$B$11&amp;"; ","")&amp;IF(AND(Config!$B$12&lt;&gt;"",F132&lt;&gt;"Sim",F132&lt;&gt;"N/A"),Config!$B$12&amp;"; ","")&amp;IF(AND(Config!$B$13&lt;&gt;"",G132&lt;&gt;"Sim",G132&lt;&gt;"N/A"),Config!$B$13&amp;"; ","")&amp;IF(AND(Config!$B$14&lt;&gt;"",H132&lt;&gt;"Sim",H132&lt;&gt;"N/A"),Config!$B$14&amp;"; ","")&amp;IF(AND(Config!$B$15&lt;&gt;"",I132&lt;&gt;"Sim",I132&lt;&gt;"N/A"),Config!$B$15&amp;"; ","")&amp;IF(AND(Config!$B$16&lt;&gt;"",J132&lt;&gt;"Sim",J132&lt;&gt;"N/A"),Config!$B$16&amp;"; ","")&amp;IF(AND(Config!$B$17&lt;&gt;"",K132&lt;&gt;"Sim",K132&lt;&gt;"N/A"),Config!$B$17&amp;"; ","")&amp;IF(AND(Config!$D$10&lt;&gt;"",L132&lt;&gt;"Sim",L132&lt;&gt;"N/A"),Config!$D$10&amp;"; ","")&amp;IF(AND(Config!$D$11&lt;&gt;"",M132&lt;&gt;"Sim",M132&lt;&gt;"N/A"),Config!$D$11&amp;"; ","")&amp;IF(AND(Config!$D$12&lt;&gt;"",N132&lt;&gt;"Sim",N132&lt;&gt;"N/A"),Config!$D$12&amp;"; ","")&amp;IF(AND(Config!$D$13&lt;&gt;"",O132&lt;&gt;"Sim",O132&lt;&gt;"N/A"),Config!$D$13&amp;"; ","")&amp;IF(AND(Config!$D$14&lt;&gt;"",P132&lt;&gt;"Sim",P132&lt;&gt;"N/A"),Config!$D$14&amp;"; ","")&amp;IF(AND(Config!$D$15&lt;&gt;"",Q132&lt;&gt;"Sim",Q132&lt;&gt;"N/A"),Config!$D$15&amp;"; ","")&amp;IF(AND(Config!$D$16&lt;&gt;"",R132&lt;&gt;"Sim",R132&lt;&gt;"N/A"),Config!$D$16&amp;"; ","")&amp;IF(AND(Config!$D$17&lt;&gt;"",S132&lt;&gt;"Sim",S132&lt;&gt;"N/A"),Config!$D$17&amp;"; ",""))</f>
        <v/>
      </c>
      <c r="AB132" s="39">
        <f>IF(A132="",0,COUNTIF($A$5:$A$304,"&gt;"&amp;A132)+1)</f>
        <v>0</v>
      </c>
    </row>
    <row r="133">
      <c r="A133" s="37" t="n"/>
      <c r="B133" s="24">
        <f>IF(A133="","",CHOOSE(WEEKDAY(A133,2),"Segunda","Terça","Quarta","Quinta","Sexta","Sábado","Domingo"))</f>
        <v/>
      </c>
      <c r="C133" s="38" t="n"/>
      <c r="D133" s="38" t="n"/>
      <c r="E133" s="38" t="n"/>
      <c r="F133" s="38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26">
        <f>IF(A133="","",IFERROR(COUNTIF(D133:K133,"Sim")/(Config!$B$19-COUNTIF(D133:K133,"N/A")),""))</f>
        <v/>
      </c>
      <c r="U133" s="26">
        <f>IF(A133="","",IFERROR(COUNTIF(L133:S133,"Sim")/(Config!$D$19-COUNTIF(L133:S133,"N/A")),""))</f>
        <v/>
      </c>
      <c r="V133" s="24">
        <f>IF(A133="","",MAX(0,Config!$B$19-COUNTIF(D133:K133,"Sim")-COUNTIF(D133:K133,"N/A")))</f>
        <v/>
      </c>
      <c r="W133" s="24">
        <f>IF(A133="","",MAX(0,Config!$D$19-COUNTIF(L133:S133,"Sim")-COUNTIF(L133:S133,"N/A")))</f>
        <v/>
      </c>
      <c r="X133" s="24">
        <f>IF(A133="","",V133+W133)</f>
        <v/>
      </c>
      <c r="Y133" s="29">
        <f>IF(OR(A133="",AA133=""),"",LEFT(AA133,LEN(AA133)-2))</f>
        <v/>
      </c>
      <c r="Z133" s="39">
        <f>IF(OR(A133="",X133=0),0,X133*100000+A133/100000)</f>
        <v>0</v>
      </c>
      <c r="AA133" s="39">
        <f>IF(A133="","",IF(AND(Config!$B$10&lt;&gt;"",D133&lt;&gt;"Sim",D133&lt;&gt;"N/A"),Config!$B$10&amp;"; ","")&amp;IF(AND(Config!$B$11&lt;&gt;"",E133&lt;&gt;"Sim",E133&lt;&gt;"N/A"),Config!$B$11&amp;"; ","")&amp;IF(AND(Config!$B$12&lt;&gt;"",F133&lt;&gt;"Sim",F133&lt;&gt;"N/A"),Config!$B$12&amp;"; ","")&amp;IF(AND(Config!$B$13&lt;&gt;"",G133&lt;&gt;"Sim",G133&lt;&gt;"N/A"),Config!$B$13&amp;"; ","")&amp;IF(AND(Config!$B$14&lt;&gt;"",H133&lt;&gt;"Sim",H133&lt;&gt;"N/A"),Config!$B$14&amp;"; ","")&amp;IF(AND(Config!$B$15&lt;&gt;"",I133&lt;&gt;"Sim",I133&lt;&gt;"N/A"),Config!$B$15&amp;"; ","")&amp;IF(AND(Config!$B$16&lt;&gt;"",J133&lt;&gt;"Sim",J133&lt;&gt;"N/A"),Config!$B$16&amp;"; ","")&amp;IF(AND(Config!$B$17&lt;&gt;"",K133&lt;&gt;"Sim",K133&lt;&gt;"N/A"),Config!$B$17&amp;"; ","")&amp;IF(AND(Config!$D$10&lt;&gt;"",L133&lt;&gt;"Sim",L133&lt;&gt;"N/A"),Config!$D$10&amp;"; ","")&amp;IF(AND(Config!$D$11&lt;&gt;"",M133&lt;&gt;"Sim",M133&lt;&gt;"N/A"),Config!$D$11&amp;"; ","")&amp;IF(AND(Config!$D$12&lt;&gt;"",N133&lt;&gt;"Sim",N133&lt;&gt;"N/A"),Config!$D$12&amp;"; ","")&amp;IF(AND(Config!$D$13&lt;&gt;"",O133&lt;&gt;"Sim",O133&lt;&gt;"N/A"),Config!$D$13&amp;"; ","")&amp;IF(AND(Config!$D$14&lt;&gt;"",P133&lt;&gt;"Sim",P133&lt;&gt;"N/A"),Config!$D$14&amp;"; ","")&amp;IF(AND(Config!$D$15&lt;&gt;"",Q133&lt;&gt;"Sim",Q133&lt;&gt;"N/A"),Config!$D$15&amp;"; ","")&amp;IF(AND(Config!$D$16&lt;&gt;"",R133&lt;&gt;"Sim",R133&lt;&gt;"N/A"),Config!$D$16&amp;"; ","")&amp;IF(AND(Config!$D$17&lt;&gt;"",S133&lt;&gt;"Sim",S133&lt;&gt;"N/A"),Config!$D$17&amp;"; ",""))</f>
        <v/>
      </c>
      <c r="AB133" s="39">
        <f>IF(A133="",0,COUNTIF($A$5:$A$304,"&gt;"&amp;A133)+1)</f>
        <v>0</v>
      </c>
    </row>
    <row r="134">
      <c r="A134" s="37" t="n"/>
      <c r="B134" s="24">
        <f>IF(A134="","",CHOOSE(WEEKDAY(A134,2),"Segunda","Terça","Quarta","Quinta","Sexta","Sábado","Domingo"))</f>
        <v/>
      </c>
      <c r="C134" s="38" t="n"/>
      <c r="D134" s="38" t="n"/>
      <c r="E134" s="38" t="n"/>
      <c r="F134" s="38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26">
        <f>IF(A134="","",IFERROR(COUNTIF(D134:K134,"Sim")/(Config!$B$19-COUNTIF(D134:K134,"N/A")),""))</f>
        <v/>
      </c>
      <c r="U134" s="26">
        <f>IF(A134="","",IFERROR(COUNTIF(L134:S134,"Sim")/(Config!$D$19-COUNTIF(L134:S134,"N/A")),""))</f>
        <v/>
      </c>
      <c r="V134" s="24">
        <f>IF(A134="","",MAX(0,Config!$B$19-COUNTIF(D134:K134,"Sim")-COUNTIF(D134:K134,"N/A")))</f>
        <v/>
      </c>
      <c r="W134" s="24">
        <f>IF(A134="","",MAX(0,Config!$D$19-COUNTIF(L134:S134,"Sim")-COUNTIF(L134:S134,"N/A")))</f>
        <v/>
      </c>
      <c r="X134" s="24">
        <f>IF(A134="","",V134+W134)</f>
        <v/>
      </c>
      <c r="Y134" s="29">
        <f>IF(OR(A134="",AA134=""),"",LEFT(AA134,LEN(AA134)-2))</f>
        <v/>
      </c>
      <c r="Z134" s="39">
        <f>IF(OR(A134="",X134=0),0,X134*100000+A134/100000)</f>
        <v>0</v>
      </c>
      <c r="AA134" s="39">
        <f>IF(A134="","",IF(AND(Config!$B$10&lt;&gt;"",D134&lt;&gt;"Sim",D134&lt;&gt;"N/A"),Config!$B$10&amp;"; ","")&amp;IF(AND(Config!$B$11&lt;&gt;"",E134&lt;&gt;"Sim",E134&lt;&gt;"N/A"),Config!$B$11&amp;"; ","")&amp;IF(AND(Config!$B$12&lt;&gt;"",F134&lt;&gt;"Sim",F134&lt;&gt;"N/A"),Config!$B$12&amp;"; ","")&amp;IF(AND(Config!$B$13&lt;&gt;"",G134&lt;&gt;"Sim",G134&lt;&gt;"N/A"),Config!$B$13&amp;"; ","")&amp;IF(AND(Config!$B$14&lt;&gt;"",H134&lt;&gt;"Sim",H134&lt;&gt;"N/A"),Config!$B$14&amp;"; ","")&amp;IF(AND(Config!$B$15&lt;&gt;"",I134&lt;&gt;"Sim",I134&lt;&gt;"N/A"),Config!$B$15&amp;"; ","")&amp;IF(AND(Config!$B$16&lt;&gt;"",J134&lt;&gt;"Sim",J134&lt;&gt;"N/A"),Config!$B$16&amp;"; ","")&amp;IF(AND(Config!$B$17&lt;&gt;"",K134&lt;&gt;"Sim",K134&lt;&gt;"N/A"),Config!$B$17&amp;"; ","")&amp;IF(AND(Config!$D$10&lt;&gt;"",L134&lt;&gt;"Sim",L134&lt;&gt;"N/A"),Config!$D$10&amp;"; ","")&amp;IF(AND(Config!$D$11&lt;&gt;"",M134&lt;&gt;"Sim",M134&lt;&gt;"N/A"),Config!$D$11&amp;"; ","")&amp;IF(AND(Config!$D$12&lt;&gt;"",N134&lt;&gt;"Sim",N134&lt;&gt;"N/A"),Config!$D$12&amp;"; ","")&amp;IF(AND(Config!$D$13&lt;&gt;"",O134&lt;&gt;"Sim",O134&lt;&gt;"N/A"),Config!$D$13&amp;"; ","")&amp;IF(AND(Config!$D$14&lt;&gt;"",P134&lt;&gt;"Sim",P134&lt;&gt;"N/A"),Config!$D$14&amp;"; ","")&amp;IF(AND(Config!$D$15&lt;&gt;"",Q134&lt;&gt;"Sim",Q134&lt;&gt;"N/A"),Config!$D$15&amp;"; ","")&amp;IF(AND(Config!$D$16&lt;&gt;"",R134&lt;&gt;"Sim",R134&lt;&gt;"N/A"),Config!$D$16&amp;"; ","")&amp;IF(AND(Config!$D$17&lt;&gt;"",S134&lt;&gt;"Sim",S134&lt;&gt;"N/A"),Config!$D$17&amp;"; ",""))</f>
        <v/>
      </c>
      <c r="AB134" s="39">
        <f>IF(A134="",0,COUNTIF($A$5:$A$304,"&gt;"&amp;A134)+1)</f>
        <v>0</v>
      </c>
    </row>
    <row r="135">
      <c r="A135" s="37" t="n"/>
      <c r="B135" s="24">
        <f>IF(A135="","",CHOOSE(WEEKDAY(A135,2),"Segunda","Terça","Quarta","Quinta","Sexta","Sábado","Domingo"))</f>
        <v/>
      </c>
      <c r="C135" s="38" t="n"/>
      <c r="D135" s="38" t="n"/>
      <c r="E135" s="38" t="n"/>
      <c r="F135" s="38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26">
        <f>IF(A135="","",IFERROR(COUNTIF(D135:K135,"Sim")/(Config!$B$19-COUNTIF(D135:K135,"N/A")),""))</f>
        <v/>
      </c>
      <c r="U135" s="26">
        <f>IF(A135="","",IFERROR(COUNTIF(L135:S135,"Sim")/(Config!$D$19-COUNTIF(L135:S135,"N/A")),""))</f>
        <v/>
      </c>
      <c r="V135" s="24">
        <f>IF(A135="","",MAX(0,Config!$B$19-COUNTIF(D135:K135,"Sim")-COUNTIF(D135:K135,"N/A")))</f>
        <v/>
      </c>
      <c r="W135" s="24">
        <f>IF(A135="","",MAX(0,Config!$D$19-COUNTIF(L135:S135,"Sim")-COUNTIF(L135:S135,"N/A")))</f>
        <v/>
      </c>
      <c r="X135" s="24">
        <f>IF(A135="","",V135+W135)</f>
        <v/>
      </c>
      <c r="Y135" s="29">
        <f>IF(OR(A135="",AA135=""),"",LEFT(AA135,LEN(AA135)-2))</f>
        <v/>
      </c>
      <c r="Z135" s="39">
        <f>IF(OR(A135="",X135=0),0,X135*100000+A135/100000)</f>
        <v>0</v>
      </c>
      <c r="AA135" s="39">
        <f>IF(A135="","",IF(AND(Config!$B$10&lt;&gt;"",D135&lt;&gt;"Sim",D135&lt;&gt;"N/A"),Config!$B$10&amp;"; ","")&amp;IF(AND(Config!$B$11&lt;&gt;"",E135&lt;&gt;"Sim",E135&lt;&gt;"N/A"),Config!$B$11&amp;"; ","")&amp;IF(AND(Config!$B$12&lt;&gt;"",F135&lt;&gt;"Sim",F135&lt;&gt;"N/A"),Config!$B$12&amp;"; ","")&amp;IF(AND(Config!$B$13&lt;&gt;"",G135&lt;&gt;"Sim",G135&lt;&gt;"N/A"),Config!$B$13&amp;"; ","")&amp;IF(AND(Config!$B$14&lt;&gt;"",H135&lt;&gt;"Sim",H135&lt;&gt;"N/A"),Config!$B$14&amp;"; ","")&amp;IF(AND(Config!$B$15&lt;&gt;"",I135&lt;&gt;"Sim",I135&lt;&gt;"N/A"),Config!$B$15&amp;"; ","")&amp;IF(AND(Config!$B$16&lt;&gt;"",J135&lt;&gt;"Sim",J135&lt;&gt;"N/A"),Config!$B$16&amp;"; ","")&amp;IF(AND(Config!$B$17&lt;&gt;"",K135&lt;&gt;"Sim",K135&lt;&gt;"N/A"),Config!$B$17&amp;"; ","")&amp;IF(AND(Config!$D$10&lt;&gt;"",L135&lt;&gt;"Sim",L135&lt;&gt;"N/A"),Config!$D$10&amp;"; ","")&amp;IF(AND(Config!$D$11&lt;&gt;"",M135&lt;&gt;"Sim",M135&lt;&gt;"N/A"),Config!$D$11&amp;"; ","")&amp;IF(AND(Config!$D$12&lt;&gt;"",N135&lt;&gt;"Sim",N135&lt;&gt;"N/A"),Config!$D$12&amp;"; ","")&amp;IF(AND(Config!$D$13&lt;&gt;"",O135&lt;&gt;"Sim",O135&lt;&gt;"N/A"),Config!$D$13&amp;"; ","")&amp;IF(AND(Config!$D$14&lt;&gt;"",P135&lt;&gt;"Sim",P135&lt;&gt;"N/A"),Config!$D$14&amp;"; ","")&amp;IF(AND(Config!$D$15&lt;&gt;"",Q135&lt;&gt;"Sim",Q135&lt;&gt;"N/A"),Config!$D$15&amp;"; ","")&amp;IF(AND(Config!$D$16&lt;&gt;"",R135&lt;&gt;"Sim",R135&lt;&gt;"N/A"),Config!$D$16&amp;"; ","")&amp;IF(AND(Config!$D$17&lt;&gt;"",S135&lt;&gt;"Sim",S135&lt;&gt;"N/A"),Config!$D$17&amp;"; ",""))</f>
        <v/>
      </c>
      <c r="AB135" s="39">
        <f>IF(A135="",0,COUNTIF($A$5:$A$304,"&gt;"&amp;A135)+1)</f>
        <v>0</v>
      </c>
    </row>
    <row r="136">
      <c r="A136" s="37" t="n"/>
      <c r="B136" s="24">
        <f>IF(A136="","",CHOOSE(WEEKDAY(A136,2),"Segunda","Terça","Quarta","Quinta","Sexta","Sábado","Domingo"))</f>
        <v/>
      </c>
      <c r="C136" s="38" t="n"/>
      <c r="D136" s="38" t="n"/>
      <c r="E136" s="38" t="n"/>
      <c r="F136" s="38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26">
        <f>IF(A136="","",IFERROR(COUNTIF(D136:K136,"Sim")/(Config!$B$19-COUNTIF(D136:K136,"N/A")),""))</f>
        <v/>
      </c>
      <c r="U136" s="26">
        <f>IF(A136="","",IFERROR(COUNTIF(L136:S136,"Sim")/(Config!$D$19-COUNTIF(L136:S136,"N/A")),""))</f>
        <v/>
      </c>
      <c r="V136" s="24">
        <f>IF(A136="","",MAX(0,Config!$B$19-COUNTIF(D136:K136,"Sim")-COUNTIF(D136:K136,"N/A")))</f>
        <v/>
      </c>
      <c r="W136" s="24">
        <f>IF(A136="","",MAX(0,Config!$D$19-COUNTIF(L136:S136,"Sim")-COUNTIF(L136:S136,"N/A")))</f>
        <v/>
      </c>
      <c r="X136" s="24">
        <f>IF(A136="","",V136+W136)</f>
        <v/>
      </c>
      <c r="Y136" s="29">
        <f>IF(OR(A136="",AA136=""),"",LEFT(AA136,LEN(AA136)-2))</f>
        <v/>
      </c>
      <c r="Z136" s="39">
        <f>IF(OR(A136="",X136=0),0,X136*100000+A136/100000)</f>
        <v>0</v>
      </c>
      <c r="AA136" s="39">
        <f>IF(A136="","",IF(AND(Config!$B$10&lt;&gt;"",D136&lt;&gt;"Sim",D136&lt;&gt;"N/A"),Config!$B$10&amp;"; ","")&amp;IF(AND(Config!$B$11&lt;&gt;"",E136&lt;&gt;"Sim",E136&lt;&gt;"N/A"),Config!$B$11&amp;"; ","")&amp;IF(AND(Config!$B$12&lt;&gt;"",F136&lt;&gt;"Sim",F136&lt;&gt;"N/A"),Config!$B$12&amp;"; ","")&amp;IF(AND(Config!$B$13&lt;&gt;"",G136&lt;&gt;"Sim",G136&lt;&gt;"N/A"),Config!$B$13&amp;"; ","")&amp;IF(AND(Config!$B$14&lt;&gt;"",H136&lt;&gt;"Sim",H136&lt;&gt;"N/A"),Config!$B$14&amp;"; ","")&amp;IF(AND(Config!$B$15&lt;&gt;"",I136&lt;&gt;"Sim",I136&lt;&gt;"N/A"),Config!$B$15&amp;"; ","")&amp;IF(AND(Config!$B$16&lt;&gt;"",J136&lt;&gt;"Sim",J136&lt;&gt;"N/A"),Config!$B$16&amp;"; ","")&amp;IF(AND(Config!$B$17&lt;&gt;"",K136&lt;&gt;"Sim",K136&lt;&gt;"N/A"),Config!$B$17&amp;"; ","")&amp;IF(AND(Config!$D$10&lt;&gt;"",L136&lt;&gt;"Sim",L136&lt;&gt;"N/A"),Config!$D$10&amp;"; ","")&amp;IF(AND(Config!$D$11&lt;&gt;"",M136&lt;&gt;"Sim",M136&lt;&gt;"N/A"),Config!$D$11&amp;"; ","")&amp;IF(AND(Config!$D$12&lt;&gt;"",N136&lt;&gt;"Sim",N136&lt;&gt;"N/A"),Config!$D$12&amp;"; ","")&amp;IF(AND(Config!$D$13&lt;&gt;"",O136&lt;&gt;"Sim",O136&lt;&gt;"N/A"),Config!$D$13&amp;"; ","")&amp;IF(AND(Config!$D$14&lt;&gt;"",P136&lt;&gt;"Sim",P136&lt;&gt;"N/A"),Config!$D$14&amp;"; ","")&amp;IF(AND(Config!$D$15&lt;&gt;"",Q136&lt;&gt;"Sim",Q136&lt;&gt;"N/A"),Config!$D$15&amp;"; ","")&amp;IF(AND(Config!$D$16&lt;&gt;"",R136&lt;&gt;"Sim",R136&lt;&gt;"N/A"),Config!$D$16&amp;"; ","")&amp;IF(AND(Config!$D$17&lt;&gt;"",S136&lt;&gt;"Sim",S136&lt;&gt;"N/A"),Config!$D$17&amp;"; ",""))</f>
        <v/>
      </c>
      <c r="AB136" s="39">
        <f>IF(A136="",0,COUNTIF($A$5:$A$304,"&gt;"&amp;A136)+1)</f>
        <v>0</v>
      </c>
    </row>
    <row r="137">
      <c r="A137" s="37" t="n"/>
      <c r="B137" s="24">
        <f>IF(A137="","",CHOOSE(WEEKDAY(A137,2),"Segunda","Terça","Quarta","Quinta","Sexta","Sábado","Domingo"))</f>
        <v/>
      </c>
      <c r="C137" s="38" t="n"/>
      <c r="D137" s="38" t="n"/>
      <c r="E137" s="38" t="n"/>
      <c r="F137" s="38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26">
        <f>IF(A137="","",IFERROR(COUNTIF(D137:K137,"Sim")/(Config!$B$19-COUNTIF(D137:K137,"N/A")),""))</f>
        <v/>
      </c>
      <c r="U137" s="26">
        <f>IF(A137="","",IFERROR(COUNTIF(L137:S137,"Sim")/(Config!$D$19-COUNTIF(L137:S137,"N/A")),""))</f>
        <v/>
      </c>
      <c r="V137" s="24">
        <f>IF(A137="","",MAX(0,Config!$B$19-COUNTIF(D137:K137,"Sim")-COUNTIF(D137:K137,"N/A")))</f>
        <v/>
      </c>
      <c r="W137" s="24">
        <f>IF(A137="","",MAX(0,Config!$D$19-COUNTIF(L137:S137,"Sim")-COUNTIF(L137:S137,"N/A")))</f>
        <v/>
      </c>
      <c r="X137" s="24">
        <f>IF(A137="","",V137+W137)</f>
        <v/>
      </c>
      <c r="Y137" s="29">
        <f>IF(OR(A137="",AA137=""),"",LEFT(AA137,LEN(AA137)-2))</f>
        <v/>
      </c>
      <c r="Z137" s="39">
        <f>IF(OR(A137="",X137=0),0,X137*100000+A137/100000)</f>
        <v>0</v>
      </c>
      <c r="AA137" s="39">
        <f>IF(A137="","",IF(AND(Config!$B$10&lt;&gt;"",D137&lt;&gt;"Sim",D137&lt;&gt;"N/A"),Config!$B$10&amp;"; ","")&amp;IF(AND(Config!$B$11&lt;&gt;"",E137&lt;&gt;"Sim",E137&lt;&gt;"N/A"),Config!$B$11&amp;"; ","")&amp;IF(AND(Config!$B$12&lt;&gt;"",F137&lt;&gt;"Sim",F137&lt;&gt;"N/A"),Config!$B$12&amp;"; ","")&amp;IF(AND(Config!$B$13&lt;&gt;"",G137&lt;&gt;"Sim",G137&lt;&gt;"N/A"),Config!$B$13&amp;"; ","")&amp;IF(AND(Config!$B$14&lt;&gt;"",H137&lt;&gt;"Sim",H137&lt;&gt;"N/A"),Config!$B$14&amp;"; ","")&amp;IF(AND(Config!$B$15&lt;&gt;"",I137&lt;&gt;"Sim",I137&lt;&gt;"N/A"),Config!$B$15&amp;"; ","")&amp;IF(AND(Config!$B$16&lt;&gt;"",J137&lt;&gt;"Sim",J137&lt;&gt;"N/A"),Config!$B$16&amp;"; ","")&amp;IF(AND(Config!$B$17&lt;&gt;"",K137&lt;&gt;"Sim",K137&lt;&gt;"N/A"),Config!$B$17&amp;"; ","")&amp;IF(AND(Config!$D$10&lt;&gt;"",L137&lt;&gt;"Sim",L137&lt;&gt;"N/A"),Config!$D$10&amp;"; ","")&amp;IF(AND(Config!$D$11&lt;&gt;"",M137&lt;&gt;"Sim",M137&lt;&gt;"N/A"),Config!$D$11&amp;"; ","")&amp;IF(AND(Config!$D$12&lt;&gt;"",N137&lt;&gt;"Sim",N137&lt;&gt;"N/A"),Config!$D$12&amp;"; ","")&amp;IF(AND(Config!$D$13&lt;&gt;"",O137&lt;&gt;"Sim",O137&lt;&gt;"N/A"),Config!$D$13&amp;"; ","")&amp;IF(AND(Config!$D$14&lt;&gt;"",P137&lt;&gt;"Sim",P137&lt;&gt;"N/A"),Config!$D$14&amp;"; ","")&amp;IF(AND(Config!$D$15&lt;&gt;"",Q137&lt;&gt;"Sim",Q137&lt;&gt;"N/A"),Config!$D$15&amp;"; ","")&amp;IF(AND(Config!$D$16&lt;&gt;"",R137&lt;&gt;"Sim",R137&lt;&gt;"N/A"),Config!$D$16&amp;"; ","")&amp;IF(AND(Config!$D$17&lt;&gt;"",S137&lt;&gt;"Sim",S137&lt;&gt;"N/A"),Config!$D$17&amp;"; ",""))</f>
        <v/>
      </c>
      <c r="AB137" s="39">
        <f>IF(A137="",0,COUNTIF($A$5:$A$304,"&gt;"&amp;A137)+1)</f>
        <v>0</v>
      </c>
    </row>
    <row r="138">
      <c r="A138" s="37" t="n"/>
      <c r="B138" s="24">
        <f>IF(A138="","",CHOOSE(WEEKDAY(A138,2),"Segunda","Terça","Quarta","Quinta","Sexta","Sábado","Domingo"))</f>
        <v/>
      </c>
      <c r="C138" s="38" t="n"/>
      <c r="D138" s="38" t="n"/>
      <c r="E138" s="38" t="n"/>
      <c r="F138" s="38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26">
        <f>IF(A138="","",IFERROR(COUNTIF(D138:K138,"Sim")/(Config!$B$19-COUNTIF(D138:K138,"N/A")),""))</f>
        <v/>
      </c>
      <c r="U138" s="26">
        <f>IF(A138="","",IFERROR(COUNTIF(L138:S138,"Sim")/(Config!$D$19-COUNTIF(L138:S138,"N/A")),""))</f>
        <v/>
      </c>
      <c r="V138" s="24">
        <f>IF(A138="","",MAX(0,Config!$B$19-COUNTIF(D138:K138,"Sim")-COUNTIF(D138:K138,"N/A")))</f>
        <v/>
      </c>
      <c r="W138" s="24">
        <f>IF(A138="","",MAX(0,Config!$D$19-COUNTIF(L138:S138,"Sim")-COUNTIF(L138:S138,"N/A")))</f>
        <v/>
      </c>
      <c r="X138" s="24">
        <f>IF(A138="","",V138+W138)</f>
        <v/>
      </c>
      <c r="Y138" s="29">
        <f>IF(OR(A138="",AA138=""),"",LEFT(AA138,LEN(AA138)-2))</f>
        <v/>
      </c>
      <c r="Z138" s="39">
        <f>IF(OR(A138="",X138=0),0,X138*100000+A138/100000)</f>
        <v>0</v>
      </c>
      <c r="AA138" s="39">
        <f>IF(A138="","",IF(AND(Config!$B$10&lt;&gt;"",D138&lt;&gt;"Sim",D138&lt;&gt;"N/A"),Config!$B$10&amp;"; ","")&amp;IF(AND(Config!$B$11&lt;&gt;"",E138&lt;&gt;"Sim",E138&lt;&gt;"N/A"),Config!$B$11&amp;"; ","")&amp;IF(AND(Config!$B$12&lt;&gt;"",F138&lt;&gt;"Sim",F138&lt;&gt;"N/A"),Config!$B$12&amp;"; ","")&amp;IF(AND(Config!$B$13&lt;&gt;"",G138&lt;&gt;"Sim",G138&lt;&gt;"N/A"),Config!$B$13&amp;"; ","")&amp;IF(AND(Config!$B$14&lt;&gt;"",H138&lt;&gt;"Sim",H138&lt;&gt;"N/A"),Config!$B$14&amp;"; ","")&amp;IF(AND(Config!$B$15&lt;&gt;"",I138&lt;&gt;"Sim",I138&lt;&gt;"N/A"),Config!$B$15&amp;"; ","")&amp;IF(AND(Config!$B$16&lt;&gt;"",J138&lt;&gt;"Sim",J138&lt;&gt;"N/A"),Config!$B$16&amp;"; ","")&amp;IF(AND(Config!$B$17&lt;&gt;"",K138&lt;&gt;"Sim",K138&lt;&gt;"N/A"),Config!$B$17&amp;"; ","")&amp;IF(AND(Config!$D$10&lt;&gt;"",L138&lt;&gt;"Sim",L138&lt;&gt;"N/A"),Config!$D$10&amp;"; ","")&amp;IF(AND(Config!$D$11&lt;&gt;"",M138&lt;&gt;"Sim",M138&lt;&gt;"N/A"),Config!$D$11&amp;"; ","")&amp;IF(AND(Config!$D$12&lt;&gt;"",N138&lt;&gt;"Sim",N138&lt;&gt;"N/A"),Config!$D$12&amp;"; ","")&amp;IF(AND(Config!$D$13&lt;&gt;"",O138&lt;&gt;"Sim",O138&lt;&gt;"N/A"),Config!$D$13&amp;"; ","")&amp;IF(AND(Config!$D$14&lt;&gt;"",P138&lt;&gt;"Sim",P138&lt;&gt;"N/A"),Config!$D$14&amp;"; ","")&amp;IF(AND(Config!$D$15&lt;&gt;"",Q138&lt;&gt;"Sim",Q138&lt;&gt;"N/A"),Config!$D$15&amp;"; ","")&amp;IF(AND(Config!$D$16&lt;&gt;"",R138&lt;&gt;"Sim",R138&lt;&gt;"N/A"),Config!$D$16&amp;"; ","")&amp;IF(AND(Config!$D$17&lt;&gt;"",S138&lt;&gt;"Sim",S138&lt;&gt;"N/A"),Config!$D$17&amp;"; ",""))</f>
        <v/>
      </c>
      <c r="AB138" s="39">
        <f>IF(A138="",0,COUNTIF($A$5:$A$304,"&gt;"&amp;A138)+1)</f>
        <v>0</v>
      </c>
    </row>
    <row r="139">
      <c r="A139" s="37" t="n"/>
      <c r="B139" s="24">
        <f>IF(A139="","",CHOOSE(WEEKDAY(A139,2),"Segunda","Terça","Quarta","Quinta","Sexta","Sábado","Domingo"))</f>
        <v/>
      </c>
      <c r="C139" s="38" t="n"/>
      <c r="D139" s="38" t="n"/>
      <c r="E139" s="38" t="n"/>
      <c r="F139" s="38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38" t="n"/>
      <c r="Q139" s="38" t="n"/>
      <c r="R139" s="38" t="n"/>
      <c r="S139" s="38" t="n"/>
      <c r="T139" s="26">
        <f>IF(A139="","",IFERROR(COUNTIF(D139:K139,"Sim")/(Config!$B$19-COUNTIF(D139:K139,"N/A")),""))</f>
        <v/>
      </c>
      <c r="U139" s="26">
        <f>IF(A139="","",IFERROR(COUNTIF(L139:S139,"Sim")/(Config!$D$19-COUNTIF(L139:S139,"N/A")),""))</f>
        <v/>
      </c>
      <c r="V139" s="24">
        <f>IF(A139="","",MAX(0,Config!$B$19-COUNTIF(D139:K139,"Sim")-COUNTIF(D139:K139,"N/A")))</f>
        <v/>
      </c>
      <c r="W139" s="24">
        <f>IF(A139="","",MAX(0,Config!$D$19-COUNTIF(L139:S139,"Sim")-COUNTIF(L139:S139,"N/A")))</f>
        <v/>
      </c>
      <c r="X139" s="24">
        <f>IF(A139="","",V139+W139)</f>
        <v/>
      </c>
      <c r="Y139" s="29">
        <f>IF(OR(A139="",AA139=""),"",LEFT(AA139,LEN(AA139)-2))</f>
        <v/>
      </c>
      <c r="Z139" s="39">
        <f>IF(OR(A139="",X139=0),0,X139*100000+A139/100000)</f>
        <v>0</v>
      </c>
      <c r="AA139" s="39">
        <f>IF(A139="","",IF(AND(Config!$B$10&lt;&gt;"",D139&lt;&gt;"Sim",D139&lt;&gt;"N/A"),Config!$B$10&amp;"; ","")&amp;IF(AND(Config!$B$11&lt;&gt;"",E139&lt;&gt;"Sim",E139&lt;&gt;"N/A"),Config!$B$11&amp;"; ","")&amp;IF(AND(Config!$B$12&lt;&gt;"",F139&lt;&gt;"Sim",F139&lt;&gt;"N/A"),Config!$B$12&amp;"; ","")&amp;IF(AND(Config!$B$13&lt;&gt;"",G139&lt;&gt;"Sim",G139&lt;&gt;"N/A"),Config!$B$13&amp;"; ","")&amp;IF(AND(Config!$B$14&lt;&gt;"",H139&lt;&gt;"Sim",H139&lt;&gt;"N/A"),Config!$B$14&amp;"; ","")&amp;IF(AND(Config!$B$15&lt;&gt;"",I139&lt;&gt;"Sim",I139&lt;&gt;"N/A"),Config!$B$15&amp;"; ","")&amp;IF(AND(Config!$B$16&lt;&gt;"",J139&lt;&gt;"Sim",J139&lt;&gt;"N/A"),Config!$B$16&amp;"; ","")&amp;IF(AND(Config!$B$17&lt;&gt;"",K139&lt;&gt;"Sim",K139&lt;&gt;"N/A"),Config!$B$17&amp;"; ","")&amp;IF(AND(Config!$D$10&lt;&gt;"",L139&lt;&gt;"Sim",L139&lt;&gt;"N/A"),Config!$D$10&amp;"; ","")&amp;IF(AND(Config!$D$11&lt;&gt;"",M139&lt;&gt;"Sim",M139&lt;&gt;"N/A"),Config!$D$11&amp;"; ","")&amp;IF(AND(Config!$D$12&lt;&gt;"",N139&lt;&gt;"Sim",N139&lt;&gt;"N/A"),Config!$D$12&amp;"; ","")&amp;IF(AND(Config!$D$13&lt;&gt;"",O139&lt;&gt;"Sim",O139&lt;&gt;"N/A"),Config!$D$13&amp;"; ","")&amp;IF(AND(Config!$D$14&lt;&gt;"",P139&lt;&gt;"Sim",P139&lt;&gt;"N/A"),Config!$D$14&amp;"; ","")&amp;IF(AND(Config!$D$15&lt;&gt;"",Q139&lt;&gt;"Sim",Q139&lt;&gt;"N/A"),Config!$D$15&amp;"; ","")&amp;IF(AND(Config!$D$16&lt;&gt;"",R139&lt;&gt;"Sim",R139&lt;&gt;"N/A"),Config!$D$16&amp;"; ","")&amp;IF(AND(Config!$D$17&lt;&gt;"",S139&lt;&gt;"Sim",S139&lt;&gt;"N/A"),Config!$D$17&amp;"; ",""))</f>
        <v/>
      </c>
      <c r="AB139" s="39">
        <f>IF(A139="",0,COUNTIF($A$5:$A$304,"&gt;"&amp;A139)+1)</f>
        <v>0</v>
      </c>
    </row>
    <row r="140">
      <c r="A140" s="37" t="n"/>
      <c r="B140" s="24">
        <f>IF(A140="","",CHOOSE(WEEKDAY(A140,2),"Segunda","Terça","Quarta","Quinta","Sexta","Sábado","Domingo"))</f>
        <v/>
      </c>
      <c r="C140" s="38" t="n"/>
      <c r="D140" s="38" t="n"/>
      <c r="E140" s="38" t="n"/>
      <c r="F140" s="38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38" t="n"/>
      <c r="Q140" s="38" t="n"/>
      <c r="R140" s="38" t="n"/>
      <c r="S140" s="38" t="n"/>
      <c r="T140" s="26">
        <f>IF(A140="","",IFERROR(COUNTIF(D140:K140,"Sim")/(Config!$B$19-COUNTIF(D140:K140,"N/A")),""))</f>
        <v/>
      </c>
      <c r="U140" s="26">
        <f>IF(A140="","",IFERROR(COUNTIF(L140:S140,"Sim")/(Config!$D$19-COUNTIF(L140:S140,"N/A")),""))</f>
        <v/>
      </c>
      <c r="V140" s="24">
        <f>IF(A140="","",MAX(0,Config!$B$19-COUNTIF(D140:K140,"Sim")-COUNTIF(D140:K140,"N/A")))</f>
        <v/>
      </c>
      <c r="W140" s="24">
        <f>IF(A140="","",MAX(0,Config!$D$19-COUNTIF(L140:S140,"Sim")-COUNTIF(L140:S140,"N/A")))</f>
        <v/>
      </c>
      <c r="X140" s="24">
        <f>IF(A140="","",V140+W140)</f>
        <v/>
      </c>
      <c r="Y140" s="29">
        <f>IF(OR(A140="",AA140=""),"",LEFT(AA140,LEN(AA140)-2))</f>
        <v/>
      </c>
      <c r="Z140" s="39">
        <f>IF(OR(A140="",X140=0),0,X140*100000+A140/100000)</f>
        <v>0</v>
      </c>
      <c r="AA140" s="39">
        <f>IF(A140="","",IF(AND(Config!$B$10&lt;&gt;"",D140&lt;&gt;"Sim",D140&lt;&gt;"N/A"),Config!$B$10&amp;"; ","")&amp;IF(AND(Config!$B$11&lt;&gt;"",E140&lt;&gt;"Sim",E140&lt;&gt;"N/A"),Config!$B$11&amp;"; ","")&amp;IF(AND(Config!$B$12&lt;&gt;"",F140&lt;&gt;"Sim",F140&lt;&gt;"N/A"),Config!$B$12&amp;"; ","")&amp;IF(AND(Config!$B$13&lt;&gt;"",G140&lt;&gt;"Sim",G140&lt;&gt;"N/A"),Config!$B$13&amp;"; ","")&amp;IF(AND(Config!$B$14&lt;&gt;"",H140&lt;&gt;"Sim",H140&lt;&gt;"N/A"),Config!$B$14&amp;"; ","")&amp;IF(AND(Config!$B$15&lt;&gt;"",I140&lt;&gt;"Sim",I140&lt;&gt;"N/A"),Config!$B$15&amp;"; ","")&amp;IF(AND(Config!$B$16&lt;&gt;"",J140&lt;&gt;"Sim",J140&lt;&gt;"N/A"),Config!$B$16&amp;"; ","")&amp;IF(AND(Config!$B$17&lt;&gt;"",K140&lt;&gt;"Sim",K140&lt;&gt;"N/A"),Config!$B$17&amp;"; ","")&amp;IF(AND(Config!$D$10&lt;&gt;"",L140&lt;&gt;"Sim",L140&lt;&gt;"N/A"),Config!$D$10&amp;"; ","")&amp;IF(AND(Config!$D$11&lt;&gt;"",M140&lt;&gt;"Sim",M140&lt;&gt;"N/A"),Config!$D$11&amp;"; ","")&amp;IF(AND(Config!$D$12&lt;&gt;"",N140&lt;&gt;"Sim",N140&lt;&gt;"N/A"),Config!$D$12&amp;"; ","")&amp;IF(AND(Config!$D$13&lt;&gt;"",O140&lt;&gt;"Sim",O140&lt;&gt;"N/A"),Config!$D$13&amp;"; ","")&amp;IF(AND(Config!$D$14&lt;&gt;"",P140&lt;&gt;"Sim",P140&lt;&gt;"N/A"),Config!$D$14&amp;"; ","")&amp;IF(AND(Config!$D$15&lt;&gt;"",Q140&lt;&gt;"Sim",Q140&lt;&gt;"N/A"),Config!$D$15&amp;"; ","")&amp;IF(AND(Config!$D$16&lt;&gt;"",R140&lt;&gt;"Sim",R140&lt;&gt;"N/A"),Config!$D$16&amp;"; ","")&amp;IF(AND(Config!$D$17&lt;&gt;"",S140&lt;&gt;"Sim",S140&lt;&gt;"N/A"),Config!$D$17&amp;"; ",""))</f>
        <v/>
      </c>
      <c r="AB140" s="39">
        <f>IF(A140="",0,COUNTIF($A$5:$A$304,"&gt;"&amp;A140)+1)</f>
        <v>0</v>
      </c>
    </row>
    <row r="141">
      <c r="A141" s="37" t="n"/>
      <c r="B141" s="24">
        <f>IF(A141="","",CHOOSE(WEEKDAY(A141,2),"Segunda","Terça","Quarta","Quinta","Sexta","Sábado","Domingo"))</f>
        <v/>
      </c>
      <c r="C141" s="38" t="n"/>
      <c r="D141" s="38" t="n"/>
      <c r="E141" s="38" t="n"/>
      <c r="F141" s="38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26">
        <f>IF(A141="","",IFERROR(COUNTIF(D141:K141,"Sim")/(Config!$B$19-COUNTIF(D141:K141,"N/A")),""))</f>
        <v/>
      </c>
      <c r="U141" s="26">
        <f>IF(A141="","",IFERROR(COUNTIF(L141:S141,"Sim")/(Config!$D$19-COUNTIF(L141:S141,"N/A")),""))</f>
        <v/>
      </c>
      <c r="V141" s="24">
        <f>IF(A141="","",MAX(0,Config!$B$19-COUNTIF(D141:K141,"Sim")-COUNTIF(D141:K141,"N/A")))</f>
        <v/>
      </c>
      <c r="W141" s="24">
        <f>IF(A141="","",MAX(0,Config!$D$19-COUNTIF(L141:S141,"Sim")-COUNTIF(L141:S141,"N/A")))</f>
        <v/>
      </c>
      <c r="X141" s="24">
        <f>IF(A141="","",V141+W141)</f>
        <v/>
      </c>
      <c r="Y141" s="29">
        <f>IF(OR(A141="",AA141=""),"",LEFT(AA141,LEN(AA141)-2))</f>
        <v/>
      </c>
      <c r="Z141" s="39">
        <f>IF(OR(A141="",X141=0),0,X141*100000+A141/100000)</f>
        <v>0</v>
      </c>
      <c r="AA141" s="39">
        <f>IF(A141="","",IF(AND(Config!$B$10&lt;&gt;"",D141&lt;&gt;"Sim",D141&lt;&gt;"N/A"),Config!$B$10&amp;"; ","")&amp;IF(AND(Config!$B$11&lt;&gt;"",E141&lt;&gt;"Sim",E141&lt;&gt;"N/A"),Config!$B$11&amp;"; ","")&amp;IF(AND(Config!$B$12&lt;&gt;"",F141&lt;&gt;"Sim",F141&lt;&gt;"N/A"),Config!$B$12&amp;"; ","")&amp;IF(AND(Config!$B$13&lt;&gt;"",G141&lt;&gt;"Sim",G141&lt;&gt;"N/A"),Config!$B$13&amp;"; ","")&amp;IF(AND(Config!$B$14&lt;&gt;"",H141&lt;&gt;"Sim",H141&lt;&gt;"N/A"),Config!$B$14&amp;"; ","")&amp;IF(AND(Config!$B$15&lt;&gt;"",I141&lt;&gt;"Sim",I141&lt;&gt;"N/A"),Config!$B$15&amp;"; ","")&amp;IF(AND(Config!$B$16&lt;&gt;"",J141&lt;&gt;"Sim",J141&lt;&gt;"N/A"),Config!$B$16&amp;"; ","")&amp;IF(AND(Config!$B$17&lt;&gt;"",K141&lt;&gt;"Sim",K141&lt;&gt;"N/A"),Config!$B$17&amp;"; ","")&amp;IF(AND(Config!$D$10&lt;&gt;"",L141&lt;&gt;"Sim",L141&lt;&gt;"N/A"),Config!$D$10&amp;"; ","")&amp;IF(AND(Config!$D$11&lt;&gt;"",M141&lt;&gt;"Sim",M141&lt;&gt;"N/A"),Config!$D$11&amp;"; ","")&amp;IF(AND(Config!$D$12&lt;&gt;"",N141&lt;&gt;"Sim",N141&lt;&gt;"N/A"),Config!$D$12&amp;"; ","")&amp;IF(AND(Config!$D$13&lt;&gt;"",O141&lt;&gt;"Sim",O141&lt;&gt;"N/A"),Config!$D$13&amp;"; ","")&amp;IF(AND(Config!$D$14&lt;&gt;"",P141&lt;&gt;"Sim",P141&lt;&gt;"N/A"),Config!$D$14&amp;"; ","")&amp;IF(AND(Config!$D$15&lt;&gt;"",Q141&lt;&gt;"Sim",Q141&lt;&gt;"N/A"),Config!$D$15&amp;"; ","")&amp;IF(AND(Config!$D$16&lt;&gt;"",R141&lt;&gt;"Sim",R141&lt;&gt;"N/A"),Config!$D$16&amp;"; ","")&amp;IF(AND(Config!$D$17&lt;&gt;"",S141&lt;&gt;"Sim",S141&lt;&gt;"N/A"),Config!$D$17&amp;"; ",""))</f>
        <v/>
      </c>
      <c r="AB141" s="39">
        <f>IF(A141="",0,COUNTIF($A$5:$A$304,"&gt;"&amp;A141)+1)</f>
        <v>0</v>
      </c>
    </row>
    <row r="142">
      <c r="A142" s="37" t="n"/>
      <c r="B142" s="24">
        <f>IF(A142="","",CHOOSE(WEEKDAY(A142,2),"Segunda","Terça","Quarta","Quinta","Sexta","Sábado","Domingo"))</f>
        <v/>
      </c>
      <c r="C142" s="38" t="n"/>
      <c r="D142" s="38" t="n"/>
      <c r="E142" s="38" t="n"/>
      <c r="F142" s="38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26">
        <f>IF(A142="","",IFERROR(COUNTIF(D142:K142,"Sim")/(Config!$B$19-COUNTIF(D142:K142,"N/A")),""))</f>
        <v/>
      </c>
      <c r="U142" s="26">
        <f>IF(A142="","",IFERROR(COUNTIF(L142:S142,"Sim")/(Config!$D$19-COUNTIF(L142:S142,"N/A")),""))</f>
        <v/>
      </c>
      <c r="V142" s="24">
        <f>IF(A142="","",MAX(0,Config!$B$19-COUNTIF(D142:K142,"Sim")-COUNTIF(D142:K142,"N/A")))</f>
        <v/>
      </c>
      <c r="W142" s="24">
        <f>IF(A142="","",MAX(0,Config!$D$19-COUNTIF(L142:S142,"Sim")-COUNTIF(L142:S142,"N/A")))</f>
        <v/>
      </c>
      <c r="X142" s="24">
        <f>IF(A142="","",V142+W142)</f>
        <v/>
      </c>
      <c r="Y142" s="29">
        <f>IF(OR(A142="",AA142=""),"",LEFT(AA142,LEN(AA142)-2))</f>
        <v/>
      </c>
      <c r="Z142" s="39">
        <f>IF(OR(A142="",X142=0),0,X142*100000+A142/100000)</f>
        <v>0</v>
      </c>
      <c r="AA142" s="39">
        <f>IF(A142="","",IF(AND(Config!$B$10&lt;&gt;"",D142&lt;&gt;"Sim",D142&lt;&gt;"N/A"),Config!$B$10&amp;"; ","")&amp;IF(AND(Config!$B$11&lt;&gt;"",E142&lt;&gt;"Sim",E142&lt;&gt;"N/A"),Config!$B$11&amp;"; ","")&amp;IF(AND(Config!$B$12&lt;&gt;"",F142&lt;&gt;"Sim",F142&lt;&gt;"N/A"),Config!$B$12&amp;"; ","")&amp;IF(AND(Config!$B$13&lt;&gt;"",G142&lt;&gt;"Sim",G142&lt;&gt;"N/A"),Config!$B$13&amp;"; ","")&amp;IF(AND(Config!$B$14&lt;&gt;"",H142&lt;&gt;"Sim",H142&lt;&gt;"N/A"),Config!$B$14&amp;"; ","")&amp;IF(AND(Config!$B$15&lt;&gt;"",I142&lt;&gt;"Sim",I142&lt;&gt;"N/A"),Config!$B$15&amp;"; ","")&amp;IF(AND(Config!$B$16&lt;&gt;"",J142&lt;&gt;"Sim",J142&lt;&gt;"N/A"),Config!$B$16&amp;"; ","")&amp;IF(AND(Config!$B$17&lt;&gt;"",K142&lt;&gt;"Sim",K142&lt;&gt;"N/A"),Config!$B$17&amp;"; ","")&amp;IF(AND(Config!$D$10&lt;&gt;"",L142&lt;&gt;"Sim",L142&lt;&gt;"N/A"),Config!$D$10&amp;"; ","")&amp;IF(AND(Config!$D$11&lt;&gt;"",M142&lt;&gt;"Sim",M142&lt;&gt;"N/A"),Config!$D$11&amp;"; ","")&amp;IF(AND(Config!$D$12&lt;&gt;"",N142&lt;&gt;"Sim",N142&lt;&gt;"N/A"),Config!$D$12&amp;"; ","")&amp;IF(AND(Config!$D$13&lt;&gt;"",O142&lt;&gt;"Sim",O142&lt;&gt;"N/A"),Config!$D$13&amp;"; ","")&amp;IF(AND(Config!$D$14&lt;&gt;"",P142&lt;&gt;"Sim",P142&lt;&gt;"N/A"),Config!$D$14&amp;"; ","")&amp;IF(AND(Config!$D$15&lt;&gt;"",Q142&lt;&gt;"Sim",Q142&lt;&gt;"N/A"),Config!$D$15&amp;"; ","")&amp;IF(AND(Config!$D$16&lt;&gt;"",R142&lt;&gt;"Sim",R142&lt;&gt;"N/A"),Config!$D$16&amp;"; ","")&amp;IF(AND(Config!$D$17&lt;&gt;"",S142&lt;&gt;"Sim",S142&lt;&gt;"N/A"),Config!$D$17&amp;"; ",""))</f>
        <v/>
      </c>
      <c r="AB142" s="39">
        <f>IF(A142="",0,COUNTIF($A$5:$A$304,"&gt;"&amp;A142)+1)</f>
        <v>0</v>
      </c>
    </row>
    <row r="143">
      <c r="A143" s="37" t="n"/>
      <c r="B143" s="24">
        <f>IF(A143="","",CHOOSE(WEEKDAY(A143,2),"Segunda","Terça","Quarta","Quinta","Sexta","Sábado","Domingo"))</f>
        <v/>
      </c>
      <c r="C143" s="38" t="n"/>
      <c r="D143" s="38" t="n"/>
      <c r="E143" s="38" t="n"/>
      <c r="F143" s="38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38" t="n"/>
      <c r="Q143" s="38" t="n"/>
      <c r="R143" s="38" t="n"/>
      <c r="S143" s="38" t="n"/>
      <c r="T143" s="26">
        <f>IF(A143="","",IFERROR(COUNTIF(D143:K143,"Sim")/(Config!$B$19-COUNTIF(D143:K143,"N/A")),""))</f>
        <v/>
      </c>
      <c r="U143" s="26">
        <f>IF(A143="","",IFERROR(COUNTIF(L143:S143,"Sim")/(Config!$D$19-COUNTIF(L143:S143,"N/A")),""))</f>
        <v/>
      </c>
      <c r="V143" s="24">
        <f>IF(A143="","",MAX(0,Config!$B$19-COUNTIF(D143:K143,"Sim")-COUNTIF(D143:K143,"N/A")))</f>
        <v/>
      </c>
      <c r="W143" s="24">
        <f>IF(A143="","",MAX(0,Config!$D$19-COUNTIF(L143:S143,"Sim")-COUNTIF(L143:S143,"N/A")))</f>
        <v/>
      </c>
      <c r="X143" s="24">
        <f>IF(A143="","",V143+W143)</f>
        <v/>
      </c>
      <c r="Y143" s="29">
        <f>IF(OR(A143="",AA143=""),"",LEFT(AA143,LEN(AA143)-2))</f>
        <v/>
      </c>
      <c r="Z143" s="39">
        <f>IF(OR(A143="",X143=0),0,X143*100000+A143/100000)</f>
        <v>0</v>
      </c>
      <c r="AA143" s="39">
        <f>IF(A143="","",IF(AND(Config!$B$10&lt;&gt;"",D143&lt;&gt;"Sim",D143&lt;&gt;"N/A"),Config!$B$10&amp;"; ","")&amp;IF(AND(Config!$B$11&lt;&gt;"",E143&lt;&gt;"Sim",E143&lt;&gt;"N/A"),Config!$B$11&amp;"; ","")&amp;IF(AND(Config!$B$12&lt;&gt;"",F143&lt;&gt;"Sim",F143&lt;&gt;"N/A"),Config!$B$12&amp;"; ","")&amp;IF(AND(Config!$B$13&lt;&gt;"",G143&lt;&gt;"Sim",G143&lt;&gt;"N/A"),Config!$B$13&amp;"; ","")&amp;IF(AND(Config!$B$14&lt;&gt;"",H143&lt;&gt;"Sim",H143&lt;&gt;"N/A"),Config!$B$14&amp;"; ","")&amp;IF(AND(Config!$B$15&lt;&gt;"",I143&lt;&gt;"Sim",I143&lt;&gt;"N/A"),Config!$B$15&amp;"; ","")&amp;IF(AND(Config!$B$16&lt;&gt;"",J143&lt;&gt;"Sim",J143&lt;&gt;"N/A"),Config!$B$16&amp;"; ","")&amp;IF(AND(Config!$B$17&lt;&gt;"",K143&lt;&gt;"Sim",K143&lt;&gt;"N/A"),Config!$B$17&amp;"; ","")&amp;IF(AND(Config!$D$10&lt;&gt;"",L143&lt;&gt;"Sim",L143&lt;&gt;"N/A"),Config!$D$10&amp;"; ","")&amp;IF(AND(Config!$D$11&lt;&gt;"",M143&lt;&gt;"Sim",M143&lt;&gt;"N/A"),Config!$D$11&amp;"; ","")&amp;IF(AND(Config!$D$12&lt;&gt;"",N143&lt;&gt;"Sim",N143&lt;&gt;"N/A"),Config!$D$12&amp;"; ","")&amp;IF(AND(Config!$D$13&lt;&gt;"",O143&lt;&gt;"Sim",O143&lt;&gt;"N/A"),Config!$D$13&amp;"; ","")&amp;IF(AND(Config!$D$14&lt;&gt;"",P143&lt;&gt;"Sim",P143&lt;&gt;"N/A"),Config!$D$14&amp;"; ","")&amp;IF(AND(Config!$D$15&lt;&gt;"",Q143&lt;&gt;"Sim",Q143&lt;&gt;"N/A"),Config!$D$15&amp;"; ","")&amp;IF(AND(Config!$D$16&lt;&gt;"",R143&lt;&gt;"Sim",R143&lt;&gt;"N/A"),Config!$D$16&amp;"; ","")&amp;IF(AND(Config!$D$17&lt;&gt;"",S143&lt;&gt;"Sim",S143&lt;&gt;"N/A"),Config!$D$17&amp;"; ",""))</f>
        <v/>
      </c>
      <c r="AB143" s="39">
        <f>IF(A143="",0,COUNTIF($A$5:$A$304,"&gt;"&amp;A143)+1)</f>
        <v>0</v>
      </c>
    </row>
    <row r="144">
      <c r="A144" s="37" t="n"/>
      <c r="B144" s="24">
        <f>IF(A144="","",CHOOSE(WEEKDAY(A144,2),"Segunda","Terça","Quarta","Quinta","Sexta","Sábado","Domingo"))</f>
        <v/>
      </c>
      <c r="C144" s="38" t="n"/>
      <c r="D144" s="38" t="n"/>
      <c r="E144" s="38" t="n"/>
      <c r="F144" s="38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38" t="n"/>
      <c r="Q144" s="38" t="n"/>
      <c r="R144" s="38" t="n"/>
      <c r="S144" s="38" t="n"/>
      <c r="T144" s="26">
        <f>IF(A144="","",IFERROR(COUNTIF(D144:K144,"Sim")/(Config!$B$19-COUNTIF(D144:K144,"N/A")),""))</f>
        <v/>
      </c>
      <c r="U144" s="26">
        <f>IF(A144="","",IFERROR(COUNTIF(L144:S144,"Sim")/(Config!$D$19-COUNTIF(L144:S144,"N/A")),""))</f>
        <v/>
      </c>
      <c r="V144" s="24">
        <f>IF(A144="","",MAX(0,Config!$B$19-COUNTIF(D144:K144,"Sim")-COUNTIF(D144:K144,"N/A")))</f>
        <v/>
      </c>
      <c r="W144" s="24">
        <f>IF(A144="","",MAX(0,Config!$D$19-COUNTIF(L144:S144,"Sim")-COUNTIF(L144:S144,"N/A")))</f>
        <v/>
      </c>
      <c r="X144" s="24">
        <f>IF(A144="","",V144+W144)</f>
        <v/>
      </c>
      <c r="Y144" s="29">
        <f>IF(OR(A144="",AA144=""),"",LEFT(AA144,LEN(AA144)-2))</f>
        <v/>
      </c>
      <c r="Z144" s="39">
        <f>IF(OR(A144="",X144=0),0,X144*100000+A144/100000)</f>
        <v>0</v>
      </c>
      <c r="AA144" s="39">
        <f>IF(A144="","",IF(AND(Config!$B$10&lt;&gt;"",D144&lt;&gt;"Sim",D144&lt;&gt;"N/A"),Config!$B$10&amp;"; ","")&amp;IF(AND(Config!$B$11&lt;&gt;"",E144&lt;&gt;"Sim",E144&lt;&gt;"N/A"),Config!$B$11&amp;"; ","")&amp;IF(AND(Config!$B$12&lt;&gt;"",F144&lt;&gt;"Sim",F144&lt;&gt;"N/A"),Config!$B$12&amp;"; ","")&amp;IF(AND(Config!$B$13&lt;&gt;"",G144&lt;&gt;"Sim",G144&lt;&gt;"N/A"),Config!$B$13&amp;"; ","")&amp;IF(AND(Config!$B$14&lt;&gt;"",H144&lt;&gt;"Sim",H144&lt;&gt;"N/A"),Config!$B$14&amp;"; ","")&amp;IF(AND(Config!$B$15&lt;&gt;"",I144&lt;&gt;"Sim",I144&lt;&gt;"N/A"),Config!$B$15&amp;"; ","")&amp;IF(AND(Config!$B$16&lt;&gt;"",J144&lt;&gt;"Sim",J144&lt;&gt;"N/A"),Config!$B$16&amp;"; ","")&amp;IF(AND(Config!$B$17&lt;&gt;"",K144&lt;&gt;"Sim",K144&lt;&gt;"N/A"),Config!$B$17&amp;"; ","")&amp;IF(AND(Config!$D$10&lt;&gt;"",L144&lt;&gt;"Sim",L144&lt;&gt;"N/A"),Config!$D$10&amp;"; ","")&amp;IF(AND(Config!$D$11&lt;&gt;"",M144&lt;&gt;"Sim",M144&lt;&gt;"N/A"),Config!$D$11&amp;"; ","")&amp;IF(AND(Config!$D$12&lt;&gt;"",N144&lt;&gt;"Sim",N144&lt;&gt;"N/A"),Config!$D$12&amp;"; ","")&amp;IF(AND(Config!$D$13&lt;&gt;"",O144&lt;&gt;"Sim",O144&lt;&gt;"N/A"),Config!$D$13&amp;"; ","")&amp;IF(AND(Config!$D$14&lt;&gt;"",P144&lt;&gt;"Sim",P144&lt;&gt;"N/A"),Config!$D$14&amp;"; ","")&amp;IF(AND(Config!$D$15&lt;&gt;"",Q144&lt;&gt;"Sim",Q144&lt;&gt;"N/A"),Config!$D$15&amp;"; ","")&amp;IF(AND(Config!$D$16&lt;&gt;"",R144&lt;&gt;"Sim",R144&lt;&gt;"N/A"),Config!$D$16&amp;"; ","")&amp;IF(AND(Config!$D$17&lt;&gt;"",S144&lt;&gt;"Sim",S144&lt;&gt;"N/A"),Config!$D$17&amp;"; ",""))</f>
        <v/>
      </c>
      <c r="AB144" s="39">
        <f>IF(A144="",0,COUNTIF($A$5:$A$304,"&gt;"&amp;A144)+1)</f>
        <v>0</v>
      </c>
    </row>
    <row r="145">
      <c r="A145" s="37" t="n"/>
      <c r="B145" s="24">
        <f>IF(A145="","",CHOOSE(WEEKDAY(A145,2),"Segunda","Terça","Quarta","Quinta","Sexta","Sábado","Domingo"))</f>
        <v/>
      </c>
      <c r="C145" s="38" t="n"/>
      <c r="D145" s="38" t="n"/>
      <c r="E145" s="38" t="n"/>
      <c r="F145" s="38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26">
        <f>IF(A145="","",IFERROR(COUNTIF(D145:K145,"Sim")/(Config!$B$19-COUNTIF(D145:K145,"N/A")),""))</f>
        <v/>
      </c>
      <c r="U145" s="26">
        <f>IF(A145="","",IFERROR(COUNTIF(L145:S145,"Sim")/(Config!$D$19-COUNTIF(L145:S145,"N/A")),""))</f>
        <v/>
      </c>
      <c r="V145" s="24">
        <f>IF(A145="","",MAX(0,Config!$B$19-COUNTIF(D145:K145,"Sim")-COUNTIF(D145:K145,"N/A")))</f>
        <v/>
      </c>
      <c r="W145" s="24">
        <f>IF(A145="","",MAX(0,Config!$D$19-COUNTIF(L145:S145,"Sim")-COUNTIF(L145:S145,"N/A")))</f>
        <v/>
      </c>
      <c r="X145" s="24">
        <f>IF(A145="","",V145+W145)</f>
        <v/>
      </c>
      <c r="Y145" s="29">
        <f>IF(OR(A145="",AA145=""),"",LEFT(AA145,LEN(AA145)-2))</f>
        <v/>
      </c>
      <c r="Z145" s="39">
        <f>IF(OR(A145="",X145=0),0,X145*100000+A145/100000)</f>
        <v>0</v>
      </c>
      <c r="AA145" s="39">
        <f>IF(A145="","",IF(AND(Config!$B$10&lt;&gt;"",D145&lt;&gt;"Sim",D145&lt;&gt;"N/A"),Config!$B$10&amp;"; ","")&amp;IF(AND(Config!$B$11&lt;&gt;"",E145&lt;&gt;"Sim",E145&lt;&gt;"N/A"),Config!$B$11&amp;"; ","")&amp;IF(AND(Config!$B$12&lt;&gt;"",F145&lt;&gt;"Sim",F145&lt;&gt;"N/A"),Config!$B$12&amp;"; ","")&amp;IF(AND(Config!$B$13&lt;&gt;"",G145&lt;&gt;"Sim",G145&lt;&gt;"N/A"),Config!$B$13&amp;"; ","")&amp;IF(AND(Config!$B$14&lt;&gt;"",H145&lt;&gt;"Sim",H145&lt;&gt;"N/A"),Config!$B$14&amp;"; ","")&amp;IF(AND(Config!$B$15&lt;&gt;"",I145&lt;&gt;"Sim",I145&lt;&gt;"N/A"),Config!$B$15&amp;"; ","")&amp;IF(AND(Config!$B$16&lt;&gt;"",J145&lt;&gt;"Sim",J145&lt;&gt;"N/A"),Config!$B$16&amp;"; ","")&amp;IF(AND(Config!$B$17&lt;&gt;"",K145&lt;&gt;"Sim",K145&lt;&gt;"N/A"),Config!$B$17&amp;"; ","")&amp;IF(AND(Config!$D$10&lt;&gt;"",L145&lt;&gt;"Sim",L145&lt;&gt;"N/A"),Config!$D$10&amp;"; ","")&amp;IF(AND(Config!$D$11&lt;&gt;"",M145&lt;&gt;"Sim",M145&lt;&gt;"N/A"),Config!$D$11&amp;"; ","")&amp;IF(AND(Config!$D$12&lt;&gt;"",N145&lt;&gt;"Sim",N145&lt;&gt;"N/A"),Config!$D$12&amp;"; ","")&amp;IF(AND(Config!$D$13&lt;&gt;"",O145&lt;&gt;"Sim",O145&lt;&gt;"N/A"),Config!$D$13&amp;"; ","")&amp;IF(AND(Config!$D$14&lt;&gt;"",P145&lt;&gt;"Sim",P145&lt;&gt;"N/A"),Config!$D$14&amp;"; ","")&amp;IF(AND(Config!$D$15&lt;&gt;"",Q145&lt;&gt;"Sim",Q145&lt;&gt;"N/A"),Config!$D$15&amp;"; ","")&amp;IF(AND(Config!$D$16&lt;&gt;"",R145&lt;&gt;"Sim",R145&lt;&gt;"N/A"),Config!$D$16&amp;"; ","")&amp;IF(AND(Config!$D$17&lt;&gt;"",S145&lt;&gt;"Sim",S145&lt;&gt;"N/A"),Config!$D$17&amp;"; ",""))</f>
        <v/>
      </c>
      <c r="AB145" s="39">
        <f>IF(A145="",0,COUNTIF($A$5:$A$304,"&gt;"&amp;A145)+1)</f>
        <v>0</v>
      </c>
    </row>
    <row r="146">
      <c r="A146" s="37" t="n"/>
      <c r="B146" s="24">
        <f>IF(A146="","",CHOOSE(WEEKDAY(A146,2),"Segunda","Terça","Quarta","Quinta","Sexta","Sábado","Domingo"))</f>
        <v/>
      </c>
      <c r="C146" s="38" t="n"/>
      <c r="D146" s="38" t="n"/>
      <c r="E146" s="38" t="n"/>
      <c r="F146" s="38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38" t="n"/>
      <c r="Q146" s="38" t="n"/>
      <c r="R146" s="38" t="n"/>
      <c r="S146" s="38" t="n"/>
      <c r="T146" s="26">
        <f>IF(A146="","",IFERROR(COUNTIF(D146:K146,"Sim")/(Config!$B$19-COUNTIF(D146:K146,"N/A")),""))</f>
        <v/>
      </c>
      <c r="U146" s="26">
        <f>IF(A146="","",IFERROR(COUNTIF(L146:S146,"Sim")/(Config!$D$19-COUNTIF(L146:S146,"N/A")),""))</f>
        <v/>
      </c>
      <c r="V146" s="24">
        <f>IF(A146="","",MAX(0,Config!$B$19-COUNTIF(D146:K146,"Sim")-COUNTIF(D146:K146,"N/A")))</f>
        <v/>
      </c>
      <c r="W146" s="24">
        <f>IF(A146="","",MAX(0,Config!$D$19-COUNTIF(L146:S146,"Sim")-COUNTIF(L146:S146,"N/A")))</f>
        <v/>
      </c>
      <c r="X146" s="24">
        <f>IF(A146="","",V146+W146)</f>
        <v/>
      </c>
      <c r="Y146" s="29">
        <f>IF(OR(A146="",AA146=""),"",LEFT(AA146,LEN(AA146)-2))</f>
        <v/>
      </c>
      <c r="Z146" s="39">
        <f>IF(OR(A146="",X146=0),0,X146*100000+A146/100000)</f>
        <v>0</v>
      </c>
      <c r="AA146" s="39">
        <f>IF(A146="","",IF(AND(Config!$B$10&lt;&gt;"",D146&lt;&gt;"Sim",D146&lt;&gt;"N/A"),Config!$B$10&amp;"; ","")&amp;IF(AND(Config!$B$11&lt;&gt;"",E146&lt;&gt;"Sim",E146&lt;&gt;"N/A"),Config!$B$11&amp;"; ","")&amp;IF(AND(Config!$B$12&lt;&gt;"",F146&lt;&gt;"Sim",F146&lt;&gt;"N/A"),Config!$B$12&amp;"; ","")&amp;IF(AND(Config!$B$13&lt;&gt;"",G146&lt;&gt;"Sim",G146&lt;&gt;"N/A"),Config!$B$13&amp;"; ","")&amp;IF(AND(Config!$B$14&lt;&gt;"",H146&lt;&gt;"Sim",H146&lt;&gt;"N/A"),Config!$B$14&amp;"; ","")&amp;IF(AND(Config!$B$15&lt;&gt;"",I146&lt;&gt;"Sim",I146&lt;&gt;"N/A"),Config!$B$15&amp;"; ","")&amp;IF(AND(Config!$B$16&lt;&gt;"",J146&lt;&gt;"Sim",J146&lt;&gt;"N/A"),Config!$B$16&amp;"; ","")&amp;IF(AND(Config!$B$17&lt;&gt;"",K146&lt;&gt;"Sim",K146&lt;&gt;"N/A"),Config!$B$17&amp;"; ","")&amp;IF(AND(Config!$D$10&lt;&gt;"",L146&lt;&gt;"Sim",L146&lt;&gt;"N/A"),Config!$D$10&amp;"; ","")&amp;IF(AND(Config!$D$11&lt;&gt;"",M146&lt;&gt;"Sim",M146&lt;&gt;"N/A"),Config!$D$11&amp;"; ","")&amp;IF(AND(Config!$D$12&lt;&gt;"",N146&lt;&gt;"Sim",N146&lt;&gt;"N/A"),Config!$D$12&amp;"; ","")&amp;IF(AND(Config!$D$13&lt;&gt;"",O146&lt;&gt;"Sim",O146&lt;&gt;"N/A"),Config!$D$13&amp;"; ","")&amp;IF(AND(Config!$D$14&lt;&gt;"",P146&lt;&gt;"Sim",P146&lt;&gt;"N/A"),Config!$D$14&amp;"; ","")&amp;IF(AND(Config!$D$15&lt;&gt;"",Q146&lt;&gt;"Sim",Q146&lt;&gt;"N/A"),Config!$D$15&amp;"; ","")&amp;IF(AND(Config!$D$16&lt;&gt;"",R146&lt;&gt;"Sim",R146&lt;&gt;"N/A"),Config!$D$16&amp;"; ","")&amp;IF(AND(Config!$D$17&lt;&gt;"",S146&lt;&gt;"Sim",S146&lt;&gt;"N/A"),Config!$D$17&amp;"; ",""))</f>
        <v/>
      </c>
      <c r="AB146" s="39">
        <f>IF(A146="",0,COUNTIF($A$5:$A$304,"&gt;"&amp;A146)+1)</f>
        <v>0</v>
      </c>
    </row>
    <row r="147">
      <c r="A147" s="37" t="n"/>
      <c r="B147" s="24">
        <f>IF(A147="","",CHOOSE(WEEKDAY(A147,2),"Segunda","Terça","Quarta","Quinta","Sexta","Sábado","Domingo"))</f>
        <v/>
      </c>
      <c r="C147" s="38" t="n"/>
      <c r="D147" s="38" t="n"/>
      <c r="E147" s="38" t="n"/>
      <c r="F147" s="38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26">
        <f>IF(A147="","",IFERROR(COUNTIF(D147:K147,"Sim")/(Config!$B$19-COUNTIF(D147:K147,"N/A")),""))</f>
        <v/>
      </c>
      <c r="U147" s="26">
        <f>IF(A147="","",IFERROR(COUNTIF(L147:S147,"Sim")/(Config!$D$19-COUNTIF(L147:S147,"N/A")),""))</f>
        <v/>
      </c>
      <c r="V147" s="24">
        <f>IF(A147="","",MAX(0,Config!$B$19-COUNTIF(D147:K147,"Sim")-COUNTIF(D147:K147,"N/A")))</f>
        <v/>
      </c>
      <c r="W147" s="24">
        <f>IF(A147="","",MAX(0,Config!$D$19-COUNTIF(L147:S147,"Sim")-COUNTIF(L147:S147,"N/A")))</f>
        <v/>
      </c>
      <c r="X147" s="24">
        <f>IF(A147="","",V147+W147)</f>
        <v/>
      </c>
      <c r="Y147" s="29">
        <f>IF(OR(A147="",AA147=""),"",LEFT(AA147,LEN(AA147)-2))</f>
        <v/>
      </c>
      <c r="Z147" s="39">
        <f>IF(OR(A147="",X147=0),0,X147*100000+A147/100000)</f>
        <v>0</v>
      </c>
      <c r="AA147" s="39">
        <f>IF(A147="","",IF(AND(Config!$B$10&lt;&gt;"",D147&lt;&gt;"Sim",D147&lt;&gt;"N/A"),Config!$B$10&amp;"; ","")&amp;IF(AND(Config!$B$11&lt;&gt;"",E147&lt;&gt;"Sim",E147&lt;&gt;"N/A"),Config!$B$11&amp;"; ","")&amp;IF(AND(Config!$B$12&lt;&gt;"",F147&lt;&gt;"Sim",F147&lt;&gt;"N/A"),Config!$B$12&amp;"; ","")&amp;IF(AND(Config!$B$13&lt;&gt;"",G147&lt;&gt;"Sim",G147&lt;&gt;"N/A"),Config!$B$13&amp;"; ","")&amp;IF(AND(Config!$B$14&lt;&gt;"",H147&lt;&gt;"Sim",H147&lt;&gt;"N/A"),Config!$B$14&amp;"; ","")&amp;IF(AND(Config!$B$15&lt;&gt;"",I147&lt;&gt;"Sim",I147&lt;&gt;"N/A"),Config!$B$15&amp;"; ","")&amp;IF(AND(Config!$B$16&lt;&gt;"",J147&lt;&gt;"Sim",J147&lt;&gt;"N/A"),Config!$B$16&amp;"; ","")&amp;IF(AND(Config!$B$17&lt;&gt;"",K147&lt;&gt;"Sim",K147&lt;&gt;"N/A"),Config!$B$17&amp;"; ","")&amp;IF(AND(Config!$D$10&lt;&gt;"",L147&lt;&gt;"Sim",L147&lt;&gt;"N/A"),Config!$D$10&amp;"; ","")&amp;IF(AND(Config!$D$11&lt;&gt;"",M147&lt;&gt;"Sim",M147&lt;&gt;"N/A"),Config!$D$11&amp;"; ","")&amp;IF(AND(Config!$D$12&lt;&gt;"",N147&lt;&gt;"Sim",N147&lt;&gt;"N/A"),Config!$D$12&amp;"; ","")&amp;IF(AND(Config!$D$13&lt;&gt;"",O147&lt;&gt;"Sim",O147&lt;&gt;"N/A"),Config!$D$13&amp;"; ","")&amp;IF(AND(Config!$D$14&lt;&gt;"",P147&lt;&gt;"Sim",P147&lt;&gt;"N/A"),Config!$D$14&amp;"; ","")&amp;IF(AND(Config!$D$15&lt;&gt;"",Q147&lt;&gt;"Sim",Q147&lt;&gt;"N/A"),Config!$D$15&amp;"; ","")&amp;IF(AND(Config!$D$16&lt;&gt;"",R147&lt;&gt;"Sim",R147&lt;&gt;"N/A"),Config!$D$16&amp;"; ","")&amp;IF(AND(Config!$D$17&lt;&gt;"",S147&lt;&gt;"Sim",S147&lt;&gt;"N/A"),Config!$D$17&amp;"; ",""))</f>
        <v/>
      </c>
      <c r="AB147" s="39">
        <f>IF(A147="",0,COUNTIF($A$5:$A$304,"&gt;"&amp;A147)+1)</f>
        <v>0</v>
      </c>
    </row>
    <row r="148">
      <c r="A148" s="37" t="n"/>
      <c r="B148" s="24">
        <f>IF(A148="","",CHOOSE(WEEKDAY(A148,2),"Segunda","Terça","Quarta","Quinta","Sexta","Sábado","Domingo"))</f>
        <v/>
      </c>
      <c r="C148" s="38" t="n"/>
      <c r="D148" s="38" t="n"/>
      <c r="E148" s="38" t="n"/>
      <c r="F148" s="38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38" t="n"/>
      <c r="Q148" s="38" t="n"/>
      <c r="R148" s="38" t="n"/>
      <c r="S148" s="38" t="n"/>
      <c r="T148" s="26">
        <f>IF(A148="","",IFERROR(COUNTIF(D148:K148,"Sim")/(Config!$B$19-COUNTIF(D148:K148,"N/A")),""))</f>
        <v/>
      </c>
      <c r="U148" s="26">
        <f>IF(A148="","",IFERROR(COUNTIF(L148:S148,"Sim")/(Config!$D$19-COUNTIF(L148:S148,"N/A")),""))</f>
        <v/>
      </c>
      <c r="V148" s="24">
        <f>IF(A148="","",MAX(0,Config!$B$19-COUNTIF(D148:K148,"Sim")-COUNTIF(D148:K148,"N/A")))</f>
        <v/>
      </c>
      <c r="W148" s="24">
        <f>IF(A148="","",MAX(0,Config!$D$19-COUNTIF(L148:S148,"Sim")-COUNTIF(L148:S148,"N/A")))</f>
        <v/>
      </c>
      <c r="X148" s="24">
        <f>IF(A148="","",V148+W148)</f>
        <v/>
      </c>
      <c r="Y148" s="29">
        <f>IF(OR(A148="",AA148=""),"",LEFT(AA148,LEN(AA148)-2))</f>
        <v/>
      </c>
      <c r="Z148" s="39">
        <f>IF(OR(A148="",X148=0),0,X148*100000+A148/100000)</f>
        <v>0</v>
      </c>
      <c r="AA148" s="39">
        <f>IF(A148="","",IF(AND(Config!$B$10&lt;&gt;"",D148&lt;&gt;"Sim",D148&lt;&gt;"N/A"),Config!$B$10&amp;"; ","")&amp;IF(AND(Config!$B$11&lt;&gt;"",E148&lt;&gt;"Sim",E148&lt;&gt;"N/A"),Config!$B$11&amp;"; ","")&amp;IF(AND(Config!$B$12&lt;&gt;"",F148&lt;&gt;"Sim",F148&lt;&gt;"N/A"),Config!$B$12&amp;"; ","")&amp;IF(AND(Config!$B$13&lt;&gt;"",G148&lt;&gt;"Sim",G148&lt;&gt;"N/A"),Config!$B$13&amp;"; ","")&amp;IF(AND(Config!$B$14&lt;&gt;"",H148&lt;&gt;"Sim",H148&lt;&gt;"N/A"),Config!$B$14&amp;"; ","")&amp;IF(AND(Config!$B$15&lt;&gt;"",I148&lt;&gt;"Sim",I148&lt;&gt;"N/A"),Config!$B$15&amp;"; ","")&amp;IF(AND(Config!$B$16&lt;&gt;"",J148&lt;&gt;"Sim",J148&lt;&gt;"N/A"),Config!$B$16&amp;"; ","")&amp;IF(AND(Config!$B$17&lt;&gt;"",K148&lt;&gt;"Sim",K148&lt;&gt;"N/A"),Config!$B$17&amp;"; ","")&amp;IF(AND(Config!$D$10&lt;&gt;"",L148&lt;&gt;"Sim",L148&lt;&gt;"N/A"),Config!$D$10&amp;"; ","")&amp;IF(AND(Config!$D$11&lt;&gt;"",M148&lt;&gt;"Sim",M148&lt;&gt;"N/A"),Config!$D$11&amp;"; ","")&amp;IF(AND(Config!$D$12&lt;&gt;"",N148&lt;&gt;"Sim",N148&lt;&gt;"N/A"),Config!$D$12&amp;"; ","")&amp;IF(AND(Config!$D$13&lt;&gt;"",O148&lt;&gt;"Sim",O148&lt;&gt;"N/A"),Config!$D$13&amp;"; ","")&amp;IF(AND(Config!$D$14&lt;&gt;"",P148&lt;&gt;"Sim",P148&lt;&gt;"N/A"),Config!$D$14&amp;"; ","")&amp;IF(AND(Config!$D$15&lt;&gt;"",Q148&lt;&gt;"Sim",Q148&lt;&gt;"N/A"),Config!$D$15&amp;"; ","")&amp;IF(AND(Config!$D$16&lt;&gt;"",R148&lt;&gt;"Sim",R148&lt;&gt;"N/A"),Config!$D$16&amp;"; ","")&amp;IF(AND(Config!$D$17&lt;&gt;"",S148&lt;&gt;"Sim",S148&lt;&gt;"N/A"),Config!$D$17&amp;"; ",""))</f>
        <v/>
      </c>
      <c r="AB148" s="39">
        <f>IF(A148="",0,COUNTIF($A$5:$A$304,"&gt;"&amp;A148)+1)</f>
        <v>0</v>
      </c>
    </row>
    <row r="149">
      <c r="A149" s="37" t="n"/>
      <c r="B149" s="24">
        <f>IF(A149="","",CHOOSE(WEEKDAY(A149,2),"Segunda","Terça","Quarta","Quinta","Sexta","Sábado","Domingo"))</f>
        <v/>
      </c>
      <c r="C149" s="38" t="n"/>
      <c r="D149" s="38" t="n"/>
      <c r="E149" s="38" t="n"/>
      <c r="F149" s="38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38" t="n"/>
      <c r="Q149" s="38" t="n"/>
      <c r="R149" s="38" t="n"/>
      <c r="S149" s="38" t="n"/>
      <c r="T149" s="26">
        <f>IF(A149="","",IFERROR(COUNTIF(D149:K149,"Sim")/(Config!$B$19-COUNTIF(D149:K149,"N/A")),""))</f>
        <v/>
      </c>
      <c r="U149" s="26">
        <f>IF(A149="","",IFERROR(COUNTIF(L149:S149,"Sim")/(Config!$D$19-COUNTIF(L149:S149,"N/A")),""))</f>
        <v/>
      </c>
      <c r="V149" s="24">
        <f>IF(A149="","",MAX(0,Config!$B$19-COUNTIF(D149:K149,"Sim")-COUNTIF(D149:K149,"N/A")))</f>
        <v/>
      </c>
      <c r="W149" s="24">
        <f>IF(A149="","",MAX(0,Config!$D$19-COUNTIF(L149:S149,"Sim")-COUNTIF(L149:S149,"N/A")))</f>
        <v/>
      </c>
      <c r="X149" s="24">
        <f>IF(A149="","",V149+W149)</f>
        <v/>
      </c>
      <c r="Y149" s="29">
        <f>IF(OR(A149="",AA149=""),"",LEFT(AA149,LEN(AA149)-2))</f>
        <v/>
      </c>
      <c r="Z149" s="39">
        <f>IF(OR(A149="",X149=0),0,X149*100000+A149/100000)</f>
        <v>0</v>
      </c>
      <c r="AA149" s="39">
        <f>IF(A149="","",IF(AND(Config!$B$10&lt;&gt;"",D149&lt;&gt;"Sim",D149&lt;&gt;"N/A"),Config!$B$10&amp;"; ","")&amp;IF(AND(Config!$B$11&lt;&gt;"",E149&lt;&gt;"Sim",E149&lt;&gt;"N/A"),Config!$B$11&amp;"; ","")&amp;IF(AND(Config!$B$12&lt;&gt;"",F149&lt;&gt;"Sim",F149&lt;&gt;"N/A"),Config!$B$12&amp;"; ","")&amp;IF(AND(Config!$B$13&lt;&gt;"",G149&lt;&gt;"Sim",G149&lt;&gt;"N/A"),Config!$B$13&amp;"; ","")&amp;IF(AND(Config!$B$14&lt;&gt;"",H149&lt;&gt;"Sim",H149&lt;&gt;"N/A"),Config!$B$14&amp;"; ","")&amp;IF(AND(Config!$B$15&lt;&gt;"",I149&lt;&gt;"Sim",I149&lt;&gt;"N/A"),Config!$B$15&amp;"; ","")&amp;IF(AND(Config!$B$16&lt;&gt;"",J149&lt;&gt;"Sim",J149&lt;&gt;"N/A"),Config!$B$16&amp;"; ","")&amp;IF(AND(Config!$B$17&lt;&gt;"",K149&lt;&gt;"Sim",K149&lt;&gt;"N/A"),Config!$B$17&amp;"; ","")&amp;IF(AND(Config!$D$10&lt;&gt;"",L149&lt;&gt;"Sim",L149&lt;&gt;"N/A"),Config!$D$10&amp;"; ","")&amp;IF(AND(Config!$D$11&lt;&gt;"",M149&lt;&gt;"Sim",M149&lt;&gt;"N/A"),Config!$D$11&amp;"; ","")&amp;IF(AND(Config!$D$12&lt;&gt;"",N149&lt;&gt;"Sim",N149&lt;&gt;"N/A"),Config!$D$12&amp;"; ","")&amp;IF(AND(Config!$D$13&lt;&gt;"",O149&lt;&gt;"Sim",O149&lt;&gt;"N/A"),Config!$D$13&amp;"; ","")&amp;IF(AND(Config!$D$14&lt;&gt;"",P149&lt;&gt;"Sim",P149&lt;&gt;"N/A"),Config!$D$14&amp;"; ","")&amp;IF(AND(Config!$D$15&lt;&gt;"",Q149&lt;&gt;"Sim",Q149&lt;&gt;"N/A"),Config!$D$15&amp;"; ","")&amp;IF(AND(Config!$D$16&lt;&gt;"",R149&lt;&gt;"Sim",R149&lt;&gt;"N/A"),Config!$D$16&amp;"; ","")&amp;IF(AND(Config!$D$17&lt;&gt;"",S149&lt;&gt;"Sim",S149&lt;&gt;"N/A"),Config!$D$17&amp;"; ",""))</f>
        <v/>
      </c>
      <c r="AB149" s="39">
        <f>IF(A149="",0,COUNTIF($A$5:$A$304,"&gt;"&amp;A149)+1)</f>
        <v>0</v>
      </c>
    </row>
    <row r="150">
      <c r="A150" s="37" t="n"/>
      <c r="B150" s="24">
        <f>IF(A150="","",CHOOSE(WEEKDAY(A150,2),"Segunda","Terça","Quarta","Quinta","Sexta","Sábado","Domingo"))</f>
        <v/>
      </c>
      <c r="C150" s="38" t="n"/>
      <c r="D150" s="38" t="n"/>
      <c r="E150" s="38" t="n"/>
      <c r="F150" s="38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38" t="n"/>
      <c r="Q150" s="38" t="n"/>
      <c r="R150" s="38" t="n"/>
      <c r="S150" s="38" t="n"/>
      <c r="T150" s="26">
        <f>IF(A150="","",IFERROR(COUNTIF(D150:K150,"Sim")/(Config!$B$19-COUNTIF(D150:K150,"N/A")),""))</f>
        <v/>
      </c>
      <c r="U150" s="26">
        <f>IF(A150="","",IFERROR(COUNTIF(L150:S150,"Sim")/(Config!$D$19-COUNTIF(L150:S150,"N/A")),""))</f>
        <v/>
      </c>
      <c r="V150" s="24">
        <f>IF(A150="","",MAX(0,Config!$B$19-COUNTIF(D150:K150,"Sim")-COUNTIF(D150:K150,"N/A")))</f>
        <v/>
      </c>
      <c r="W150" s="24">
        <f>IF(A150="","",MAX(0,Config!$D$19-COUNTIF(L150:S150,"Sim")-COUNTIF(L150:S150,"N/A")))</f>
        <v/>
      </c>
      <c r="X150" s="24">
        <f>IF(A150="","",V150+W150)</f>
        <v/>
      </c>
      <c r="Y150" s="29">
        <f>IF(OR(A150="",AA150=""),"",LEFT(AA150,LEN(AA150)-2))</f>
        <v/>
      </c>
      <c r="Z150" s="39">
        <f>IF(OR(A150="",X150=0),0,X150*100000+A150/100000)</f>
        <v>0</v>
      </c>
      <c r="AA150" s="39">
        <f>IF(A150="","",IF(AND(Config!$B$10&lt;&gt;"",D150&lt;&gt;"Sim",D150&lt;&gt;"N/A"),Config!$B$10&amp;"; ","")&amp;IF(AND(Config!$B$11&lt;&gt;"",E150&lt;&gt;"Sim",E150&lt;&gt;"N/A"),Config!$B$11&amp;"; ","")&amp;IF(AND(Config!$B$12&lt;&gt;"",F150&lt;&gt;"Sim",F150&lt;&gt;"N/A"),Config!$B$12&amp;"; ","")&amp;IF(AND(Config!$B$13&lt;&gt;"",G150&lt;&gt;"Sim",G150&lt;&gt;"N/A"),Config!$B$13&amp;"; ","")&amp;IF(AND(Config!$B$14&lt;&gt;"",H150&lt;&gt;"Sim",H150&lt;&gt;"N/A"),Config!$B$14&amp;"; ","")&amp;IF(AND(Config!$B$15&lt;&gt;"",I150&lt;&gt;"Sim",I150&lt;&gt;"N/A"),Config!$B$15&amp;"; ","")&amp;IF(AND(Config!$B$16&lt;&gt;"",J150&lt;&gt;"Sim",J150&lt;&gt;"N/A"),Config!$B$16&amp;"; ","")&amp;IF(AND(Config!$B$17&lt;&gt;"",K150&lt;&gt;"Sim",K150&lt;&gt;"N/A"),Config!$B$17&amp;"; ","")&amp;IF(AND(Config!$D$10&lt;&gt;"",L150&lt;&gt;"Sim",L150&lt;&gt;"N/A"),Config!$D$10&amp;"; ","")&amp;IF(AND(Config!$D$11&lt;&gt;"",M150&lt;&gt;"Sim",M150&lt;&gt;"N/A"),Config!$D$11&amp;"; ","")&amp;IF(AND(Config!$D$12&lt;&gt;"",N150&lt;&gt;"Sim",N150&lt;&gt;"N/A"),Config!$D$12&amp;"; ","")&amp;IF(AND(Config!$D$13&lt;&gt;"",O150&lt;&gt;"Sim",O150&lt;&gt;"N/A"),Config!$D$13&amp;"; ","")&amp;IF(AND(Config!$D$14&lt;&gt;"",P150&lt;&gt;"Sim",P150&lt;&gt;"N/A"),Config!$D$14&amp;"; ","")&amp;IF(AND(Config!$D$15&lt;&gt;"",Q150&lt;&gt;"Sim",Q150&lt;&gt;"N/A"),Config!$D$15&amp;"; ","")&amp;IF(AND(Config!$D$16&lt;&gt;"",R150&lt;&gt;"Sim",R150&lt;&gt;"N/A"),Config!$D$16&amp;"; ","")&amp;IF(AND(Config!$D$17&lt;&gt;"",S150&lt;&gt;"Sim",S150&lt;&gt;"N/A"),Config!$D$17&amp;"; ",""))</f>
        <v/>
      </c>
      <c r="AB150" s="39">
        <f>IF(A150="",0,COUNTIF($A$5:$A$304,"&gt;"&amp;A150)+1)</f>
        <v>0</v>
      </c>
    </row>
    <row r="151">
      <c r="A151" s="37" t="n"/>
      <c r="B151" s="24">
        <f>IF(A151="","",CHOOSE(WEEKDAY(A151,2),"Segunda","Terça","Quarta","Quinta","Sexta","Sábado","Domingo"))</f>
        <v/>
      </c>
      <c r="C151" s="38" t="n"/>
      <c r="D151" s="38" t="n"/>
      <c r="E151" s="38" t="n"/>
      <c r="F151" s="38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26">
        <f>IF(A151="","",IFERROR(COUNTIF(D151:K151,"Sim")/(Config!$B$19-COUNTIF(D151:K151,"N/A")),""))</f>
        <v/>
      </c>
      <c r="U151" s="26">
        <f>IF(A151="","",IFERROR(COUNTIF(L151:S151,"Sim")/(Config!$D$19-COUNTIF(L151:S151,"N/A")),""))</f>
        <v/>
      </c>
      <c r="V151" s="24">
        <f>IF(A151="","",MAX(0,Config!$B$19-COUNTIF(D151:K151,"Sim")-COUNTIF(D151:K151,"N/A")))</f>
        <v/>
      </c>
      <c r="W151" s="24">
        <f>IF(A151="","",MAX(0,Config!$D$19-COUNTIF(L151:S151,"Sim")-COUNTIF(L151:S151,"N/A")))</f>
        <v/>
      </c>
      <c r="X151" s="24">
        <f>IF(A151="","",V151+W151)</f>
        <v/>
      </c>
      <c r="Y151" s="29">
        <f>IF(OR(A151="",AA151=""),"",LEFT(AA151,LEN(AA151)-2))</f>
        <v/>
      </c>
      <c r="Z151" s="39">
        <f>IF(OR(A151="",X151=0),0,X151*100000+A151/100000)</f>
        <v>0</v>
      </c>
      <c r="AA151" s="39">
        <f>IF(A151="","",IF(AND(Config!$B$10&lt;&gt;"",D151&lt;&gt;"Sim",D151&lt;&gt;"N/A"),Config!$B$10&amp;"; ","")&amp;IF(AND(Config!$B$11&lt;&gt;"",E151&lt;&gt;"Sim",E151&lt;&gt;"N/A"),Config!$B$11&amp;"; ","")&amp;IF(AND(Config!$B$12&lt;&gt;"",F151&lt;&gt;"Sim",F151&lt;&gt;"N/A"),Config!$B$12&amp;"; ","")&amp;IF(AND(Config!$B$13&lt;&gt;"",G151&lt;&gt;"Sim",G151&lt;&gt;"N/A"),Config!$B$13&amp;"; ","")&amp;IF(AND(Config!$B$14&lt;&gt;"",H151&lt;&gt;"Sim",H151&lt;&gt;"N/A"),Config!$B$14&amp;"; ","")&amp;IF(AND(Config!$B$15&lt;&gt;"",I151&lt;&gt;"Sim",I151&lt;&gt;"N/A"),Config!$B$15&amp;"; ","")&amp;IF(AND(Config!$B$16&lt;&gt;"",J151&lt;&gt;"Sim",J151&lt;&gt;"N/A"),Config!$B$16&amp;"; ","")&amp;IF(AND(Config!$B$17&lt;&gt;"",K151&lt;&gt;"Sim",K151&lt;&gt;"N/A"),Config!$B$17&amp;"; ","")&amp;IF(AND(Config!$D$10&lt;&gt;"",L151&lt;&gt;"Sim",L151&lt;&gt;"N/A"),Config!$D$10&amp;"; ","")&amp;IF(AND(Config!$D$11&lt;&gt;"",M151&lt;&gt;"Sim",M151&lt;&gt;"N/A"),Config!$D$11&amp;"; ","")&amp;IF(AND(Config!$D$12&lt;&gt;"",N151&lt;&gt;"Sim",N151&lt;&gt;"N/A"),Config!$D$12&amp;"; ","")&amp;IF(AND(Config!$D$13&lt;&gt;"",O151&lt;&gt;"Sim",O151&lt;&gt;"N/A"),Config!$D$13&amp;"; ","")&amp;IF(AND(Config!$D$14&lt;&gt;"",P151&lt;&gt;"Sim",P151&lt;&gt;"N/A"),Config!$D$14&amp;"; ","")&amp;IF(AND(Config!$D$15&lt;&gt;"",Q151&lt;&gt;"Sim",Q151&lt;&gt;"N/A"),Config!$D$15&amp;"; ","")&amp;IF(AND(Config!$D$16&lt;&gt;"",R151&lt;&gt;"Sim",R151&lt;&gt;"N/A"),Config!$D$16&amp;"; ","")&amp;IF(AND(Config!$D$17&lt;&gt;"",S151&lt;&gt;"Sim",S151&lt;&gt;"N/A"),Config!$D$17&amp;"; ",""))</f>
        <v/>
      </c>
      <c r="AB151" s="39">
        <f>IF(A151="",0,COUNTIF($A$5:$A$304,"&gt;"&amp;A151)+1)</f>
        <v>0</v>
      </c>
    </row>
    <row r="152">
      <c r="A152" s="37" t="n"/>
      <c r="B152" s="24">
        <f>IF(A152="","",CHOOSE(WEEKDAY(A152,2),"Segunda","Terça","Quarta","Quinta","Sexta","Sábado","Domingo"))</f>
        <v/>
      </c>
      <c r="C152" s="38" t="n"/>
      <c r="D152" s="38" t="n"/>
      <c r="E152" s="38" t="n"/>
      <c r="F152" s="38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38" t="n"/>
      <c r="Q152" s="38" t="n"/>
      <c r="R152" s="38" t="n"/>
      <c r="S152" s="38" t="n"/>
      <c r="T152" s="26">
        <f>IF(A152="","",IFERROR(COUNTIF(D152:K152,"Sim")/(Config!$B$19-COUNTIF(D152:K152,"N/A")),""))</f>
        <v/>
      </c>
      <c r="U152" s="26">
        <f>IF(A152="","",IFERROR(COUNTIF(L152:S152,"Sim")/(Config!$D$19-COUNTIF(L152:S152,"N/A")),""))</f>
        <v/>
      </c>
      <c r="V152" s="24">
        <f>IF(A152="","",MAX(0,Config!$B$19-COUNTIF(D152:K152,"Sim")-COUNTIF(D152:K152,"N/A")))</f>
        <v/>
      </c>
      <c r="W152" s="24">
        <f>IF(A152="","",MAX(0,Config!$D$19-COUNTIF(L152:S152,"Sim")-COUNTIF(L152:S152,"N/A")))</f>
        <v/>
      </c>
      <c r="X152" s="24">
        <f>IF(A152="","",V152+W152)</f>
        <v/>
      </c>
      <c r="Y152" s="29">
        <f>IF(OR(A152="",AA152=""),"",LEFT(AA152,LEN(AA152)-2))</f>
        <v/>
      </c>
      <c r="Z152" s="39">
        <f>IF(OR(A152="",X152=0),0,X152*100000+A152/100000)</f>
        <v>0</v>
      </c>
      <c r="AA152" s="39">
        <f>IF(A152="","",IF(AND(Config!$B$10&lt;&gt;"",D152&lt;&gt;"Sim",D152&lt;&gt;"N/A"),Config!$B$10&amp;"; ","")&amp;IF(AND(Config!$B$11&lt;&gt;"",E152&lt;&gt;"Sim",E152&lt;&gt;"N/A"),Config!$B$11&amp;"; ","")&amp;IF(AND(Config!$B$12&lt;&gt;"",F152&lt;&gt;"Sim",F152&lt;&gt;"N/A"),Config!$B$12&amp;"; ","")&amp;IF(AND(Config!$B$13&lt;&gt;"",G152&lt;&gt;"Sim",G152&lt;&gt;"N/A"),Config!$B$13&amp;"; ","")&amp;IF(AND(Config!$B$14&lt;&gt;"",H152&lt;&gt;"Sim",H152&lt;&gt;"N/A"),Config!$B$14&amp;"; ","")&amp;IF(AND(Config!$B$15&lt;&gt;"",I152&lt;&gt;"Sim",I152&lt;&gt;"N/A"),Config!$B$15&amp;"; ","")&amp;IF(AND(Config!$B$16&lt;&gt;"",J152&lt;&gt;"Sim",J152&lt;&gt;"N/A"),Config!$B$16&amp;"; ","")&amp;IF(AND(Config!$B$17&lt;&gt;"",K152&lt;&gt;"Sim",K152&lt;&gt;"N/A"),Config!$B$17&amp;"; ","")&amp;IF(AND(Config!$D$10&lt;&gt;"",L152&lt;&gt;"Sim",L152&lt;&gt;"N/A"),Config!$D$10&amp;"; ","")&amp;IF(AND(Config!$D$11&lt;&gt;"",M152&lt;&gt;"Sim",M152&lt;&gt;"N/A"),Config!$D$11&amp;"; ","")&amp;IF(AND(Config!$D$12&lt;&gt;"",N152&lt;&gt;"Sim",N152&lt;&gt;"N/A"),Config!$D$12&amp;"; ","")&amp;IF(AND(Config!$D$13&lt;&gt;"",O152&lt;&gt;"Sim",O152&lt;&gt;"N/A"),Config!$D$13&amp;"; ","")&amp;IF(AND(Config!$D$14&lt;&gt;"",P152&lt;&gt;"Sim",P152&lt;&gt;"N/A"),Config!$D$14&amp;"; ","")&amp;IF(AND(Config!$D$15&lt;&gt;"",Q152&lt;&gt;"Sim",Q152&lt;&gt;"N/A"),Config!$D$15&amp;"; ","")&amp;IF(AND(Config!$D$16&lt;&gt;"",R152&lt;&gt;"Sim",R152&lt;&gt;"N/A"),Config!$D$16&amp;"; ","")&amp;IF(AND(Config!$D$17&lt;&gt;"",S152&lt;&gt;"Sim",S152&lt;&gt;"N/A"),Config!$D$17&amp;"; ",""))</f>
        <v/>
      </c>
      <c r="AB152" s="39">
        <f>IF(A152="",0,COUNTIF($A$5:$A$304,"&gt;"&amp;A152)+1)</f>
        <v>0</v>
      </c>
    </row>
    <row r="153">
      <c r="A153" s="37" t="n"/>
      <c r="B153" s="24">
        <f>IF(A153="","",CHOOSE(WEEKDAY(A153,2),"Segunda","Terça","Quarta","Quinta","Sexta","Sábado","Domingo"))</f>
        <v/>
      </c>
      <c r="C153" s="38" t="n"/>
      <c r="D153" s="38" t="n"/>
      <c r="E153" s="38" t="n"/>
      <c r="F153" s="38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26">
        <f>IF(A153="","",IFERROR(COUNTIF(D153:K153,"Sim")/(Config!$B$19-COUNTIF(D153:K153,"N/A")),""))</f>
        <v/>
      </c>
      <c r="U153" s="26">
        <f>IF(A153="","",IFERROR(COUNTIF(L153:S153,"Sim")/(Config!$D$19-COUNTIF(L153:S153,"N/A")),""))</f>
        <v/>
      </c>
      <c r="V153" s="24">
        <f>IF(A153="","",MAX(0,Config!$B$19-COUNTIF(D153:K153,"Sim")-COUNTIF(D153:K153,"N/A")))</f>
        <v/>
      </c>
      <c r="W153" s="24">
        <f>IF(A153="","",MAX(0,Config!$D$19-COUNTIF(L153:S153,"Sim")-COUNTIF(L153:S153,"N/A")))</f>
        <v/>
      </c>
      <c r="X153" s="24">
        <f>IF(A153="","",V153+W153)</f>
        <v/>
      </c>
      <c r="Y153" s="29">
        <f>IF(OR(A153="",AA153=""),"",LEFT(AA153,LEN(AA153)-2))</f>
        <v/>
      </c>
      <c r="Z153" s="39">
        <f>IF(OR(A153="",X153=0),0,X153*100000+A153/100000)</f>
        <v>0</v>
      </c>
      <c r="AA153" s="39">
        <f>IF(A153="","",IF(AND(Config!$B$10&lt;&gt;"",D153&lt;&gt;"Sim",D153&lt;&gt;"N/A"),Config!$B$10&amp;"; ","")&amp;IF(AND(Config!$B$11&lt;&gt;"",E153&lt;&gt;"Sim",E153&lt;&gt;"N/A"),Config!$B$11&amp;"; ","")&amp;IF(AND(Config!$B$12&lt;&gt;"",F153&lt;&gt;"Sim",F153&lt;&gt;"N/A"),Config!$B$12&amp;"; ","")&amp;IF(AND(Config!$B$13&lt;&gt;"",G153&lt;&gt;"Sim",G153&lt;&gt;"N/A"),Config!$B$13&amp;"; ","")&amp;IF(AND(Config!$B$14&lt;&gt;"",H153&lt;&gt;"Sim",H153&lt;&gt;"N/A"),Config!$B$14&amp;"; ","")&amp;IF(AND(Config!$B$15&lt;&gt;"",I153&lt;&gt;"Sim",I153&lt;&gt;"N/A"),Config!$B$15&amp;"; ","")&amp;IF(AND(Config!$B$16&lt;&gt;"",J153&lt;&gt;"Sim",J153&lt;&gt;"N/A"),Config!$B$16&amp;"; ","")&amp;IF(AND(Config!$B$17&lt;&gt;"",K153&lt;&gt;"Sim",K153&lt;&gt;"N/A"),Config!$B$17&amp;"; ","")&amp;IF(AND(Config!$D$10&lt;&gt;"",L153&lt;&gt;"Sim",L153&lt;&gt;"N/A"),Config!$D$10&amp;"; ","")&amp;IF(AND(Config!$D$11&lt;&gt;"",M153&lt;&gt;"Sim",M153&lt;&gt;"N/A"),Config!$D$11&amp;"; ","")&amp;IF(AND(Config!$D$12&lt;&gt;"",N153&lt;&gt;"Sim",N153&lt;&gt;"N/A"),Config!$D$12&amp;"; ","")&amp;IF(AND(Config!$D$13&lt;&gt;"",O153&lt;&gt;"Sim",O153&lt;&gt;"N/A"),Config!$D$13&amp;"; ","")&amp;IF(AND(Config!$D$14&lt;&gt;"",P153&lt;&gt;"Sim",P153&lt;&gt;"N/A"),Config!$D$14&amp;"; ","")&amp;IF(AND(Config!$D$15&lt;&gt;"",Q153&lt;&gt;"Sim",Q153&lt;&gt;"N/A"),Config!$D$15&amp;"; ","")&amp;IF(AND(Config!$D$16&lt;&gt;"",R153&lt;&gt;"Sim",R153&lt;&gt;"N/A"),Config!$D$16&amp;"; ","")&amp;IF(AND(Config!$D$17&lt;&gt;"",S153&lt;&gt;"Sim",S153&lt;&gt;"N/A"),Config!$D$17&amp;"; ",""))</f>
        <v/>
      </c>
      <c r="AB153" s="39">
        <f>IF(A153="",0,COUNTIF($A$5:$A$304,"&gt;"&amp;A153)+1)</f>
        <v>0</v>
      </c>
    </row>
    <row r="154">
      <c r="A154" s="37" t="n"/>
      <c r="B154" s="24">
        <f>IF(A154="","",CHOOSE(WEEKDAY(A154,2),"Segunda","Terça","Quarta","Quinta","Sexta","Sábado","Domingo"))</f>
        <v/>
      </c>
      <c r="C154" s="38" t="n"/>
      <c r="D154" s="38" t="n"/>
      <c r="E154" s="38" t="n"/>
      <c r="F154" s="38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38" t="n"/>
      <c r="Q154" s="38" t="n"/>
      <c r="R154" s="38" t="n"/>
      <c r="S154" s="38" t="n"/>
      <c r="T154" s="26">
        <f>IF(A154="","",IFERROR(COUNTIF(D154:K154,"Sim")/(Config!$B$19-COUNTIF(D154:K154,"N/A")),""))</f>
        <v/>
      </c>
      <c r="U154" s="26">
        <f>IF(A154="","",IFERROR(COUNTIF(L154:S154,"Sim")/(Config!$D$19-COUNTIF(L154:S154,"N/A")),""))</f>
        <v/>
      </c>
      <c r="V154" s="24">
        <f>IF(A154="","",MAX(0,Config!$B$19-COUNTIF(D154:K154,"Sim")-COUNTIF(D154:K154,"N/A")))</f>
        <v/>
      </c>
      <c r="W154" s="24">
        <f>IF(A154="","",MAX(0,Config!$D$19-COUNTIF(L154:S154,"Sim")-COUNTIF(L154:S154,"N/A")))</f>
        <v/>
      </c>
      <c r="X154" s="24">
        <f>IF(A154="","",V154+W154)</f>
        <v/>
      </c>
      <c r="Y154" s="29">
        <f>IF(OR(A154="",AA154=""),"",LEFT(AA154,LEN(AA154)-2))</f>
        <v/>
      </c>
      <c r="Z154" s="39">
        <f>IF(OR(A154="",X154=0),0,X154*100000+A154/100000)</f>
        <v>0</v>
      </c>
      <c r="AA154" s="39">
        <f>IF(A154="","",IF(AND(Config!$B$10&lt;&gt;"",D154&lt;&gt;"Sim",D154&lt;&gt;"N/A"),Config!$B$10&amp;"; ","")&amp;IF(AND(Config!$B$11&lt;&gt;"",E154&lt;&gt;"Sim",E154&lt;&gt;"N/A"),Config!$B$11&amp;"; ","")&amp;IF(AND(Config!$B$12&lt;&gt;"",F154&lt;&gt;"Sim",F154&lt;&gt;"N/A"),Config!$B$12&amp;"; ","")&amp;IF(AND(Config!$B$13&lt;&gt;"",G154&lt;&gt;"Sim",G154&lt;&gt;"N/A"),Config!$B$13&amp;"; ","")&amp;IF(AND(Config!$B$14&lt;&gt;"",H154&lt;&gt;"Sim",H154&lt;&gt;"N/A"),Config!$B$14&amp;"; ","")&amp;IF(AND(Config!$B$15&lt;&gt;"",I154&lt;&gt;"Sim",I154&lt;&gt;"N/A"),Config!$B$15&amp;"; ","")&amp;IF(AND(Config!$B$16&lt;&gt;"",J154&lt;&gt;"Sim",J154&lt;&gt;"N/A"),Config!$B$16&amp;"; ","")&amp;IF(AND(Config!$B$17&lt;&gt;"",K154&lt;&gt;"Sim",K154&lt;&gt;"N/A"),Config!$B$17&amp;"; ","")&amp;IF(AND(Config!$D$10&lt;&gt;"",L154&lt;&gt;"Sim",L154&lt;&gt;"N/A"),Config!$D$10&amp;"; ","")&amp;IF(AND(Config!$D$11&lt;&gt;"",M154&lt;&gt;"Sim",M154&lt;&gt;"N/A"),Config!$D$11&amp;"; ","")&amp;IF(AND(Config!$D$12&lt;&gt;"",N154&lt;&gt;"Sim",N154&lt;&gt;"N/A"),Config!$D$12&amp;"; ","")&amp;IF(AND(Config!$D$13&lt;&gt;"",O154&lt;&gt;"Sim",O154&lt;&gt;"N/A"),Config!$D$13&amp;"; ","")&amp;IF(AND(Config!$D$14&lt;&gt;"",P154&lt;&gt;"Sim",P154&lt;&gt;"N/A"),Config!$D$14&amp;"; ","")&amp;IF(AND(Config!$D$15&lt;&gt;"",Q154&lt;&gt;"Sim",Q154&lt;&gt;"N/A"),Config!$D$15&amp;"; ","")&amp;IF(AND(Config!$D$16&lt;&gt;"",R154&lt;&gt;"Sim",R154&lt;&gt;"N/A"),Config!$D$16&amp;"; ","")&amp;IF(AND(Config!$D$17&lt;&gt;"",S154&lt;&gt;"Sim",S154&lt;&gt;"N/A"),Config!$D$17&amp;"; ",""))</f>
        <v/>
      </c>
      <c r="AB154" s="39">
        <f>IF(A154="",0,COUNTIF($A$5:$A$304,"&gt;"&amp;A154)+1)</f>
        <v>0</v>
      </c>
    </row>
    <row r="155">
      <c r="A155" s="37" t="n"/>
      <c r="B155" s="24">
        <f>IF(A155="","",CHOOSE(WEEKDAY(A155,2),"Segunda","Terça","Quarta","Quinta","Sexta","Sábado","Domingo"))</f>
        <v/>
      </c>
      <c r="C155" s="38" t="n"/>
      <c r="D155" s="38" t="n"/>
      <c r="E155" s="38" t="n"/>
      <c r="F155" s="38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38" t="n"/>
      <c r="Q155" s="38" t="n"/>
      <c r="R155" s="38" t="n"/>
      <c r="S155" s="38" t="n"/>
      <c r="T155" s="26">
        <f>IF(A155="","",IFERROR(COUNTIF(D155:K155,"Sim")/(Config!$B$19-COUNTIF(D155:K155,"N/A")),""))</f>
        <v/>
      </c>
      <c r="U155" s="26">
        <f>IF(A155="","",IFERROR(COUNTIF(L155:S155,"Sim")/(Config!$D$19-COUNTIF(L155:S155,"N/A")),""))</f>
        <v/>
      </c>
      <c r="V155" s="24">
        <f>IF(A155="","",MAX(0,Config!$B$19-COUNTIF(D155:K155,"Sim")-COUNTIF(D155:K155,"N/A")))</f>
        <v/>
      </c>
      <c r="W155" s="24">
        <f>IF(A155="","",MAX(0,Config!$D$19-COUNTIF(L155:S155,"Sim")-COUNTIF(L155:S155,"N/A")))</f>
        <v/>
      </c>
      <c r="X155" s="24">
        <f>IF(A155="","",V155+W155)</f>
        <v/>
      </c>
      <c r="Y155" s="29">
        <f>IF(OR(A155="",AA155=""),"",LEFT(AA155,LEN(AA155)-2))</f>
        <v/>
      </c>
      <c r="Z155" s="39">
        <f>IF(OR(A155="",X155=0),0,X155*100000+A155/100000)</f>
        <v>0</v>
      </c>
      <c r="AA155" s="39">
        <f>IF(A155="","",IF(AND(Config!$B$10&lt;&gt;"",D155&lt;&gt;"Sim",D155&lt;&gt;"N/A"),Config!$B$10&amp;"; ","")&amp;IF(AND(Config!$B$11&lt;&gt;"",E155&lt;&gt;"Sim",E155&lt;&gt;"N/A"),Config!$B$11&amp;"; ","")&amp;IF(AND(Config!$B$12&lt;&gt;"",F155&lt;&gt;"Sim",F155&lt;&gt;"N/A"),Config!$B$12&amp;"; ","")&amp;IF(AND(Config!$B$13&lt;&gt;"",G155&lt;&gt;"Sim",G155&lt;&gt;"N/A"),Config!$B$13&amp;"; ","")&amp;IF(AND(Config!$B$14&lt;&gt;"",H155&lt;&gt;"Sim",H155&lt;&gt;"N/A"),Config!$B$14&amp;"; ","")&amp;IF(AND(Config!$B$15&lt;&gt;"",I155&lt;&gt;"Sim",I155&lt;&gt;"N/A"),Config!$B$15&amp;"; ","")&amp;IF(AND(Config!$B$16&lt;&gt;"",J155&lt;&gt;"Sim",J155&lt;&gt;"N/A"),Config!$B$16&amp;"; ","")&amp;IF(AND(Config!$B$17&lt;&gt;"",K155&lt;&gt;"Sim",K155&lt;&gt;"N/A"),Config!$B$17&amp;"; ","")&amp;IF(AND(Config!$D$10&lt;&gt;"",L155&lt;&gt;"Sim",L155&lt;&gt;"N/A"),Config!$D$10&amp;"; ","")&amp;IF(AND(Config!$D$11&lt;&gt;"",M155&lt;&gt;"Sim",M155&lt;&gt;"N/A"),Config!$D$11&amp;"; ","")&amp;IF(AND(Config!$D$12&lt;&gt;"",N155&lt;&gt;"Sim",N155&lt;&gt;"N/A"),Config!$D$12&amp;"; ","")&amp;IF(AND(Config!$D$13&lt;&gt;"",O155&lt;&gt;"Sim",O155&lt;&gt;"N/A"),Config!$D$13&amp;"; ","")&amp;IF(AND(Config!$D$14&lt;&gt;"",P155&lt;&gt;"Sim",P155&lt;&gt;"N/A"),Config!$D$14&amp;"; ","")&amp;IF(AND(Config!$D$15&lt;&gt;"",Q155&lt;&gt;"Sim",Q155&lt;&gt;"N/A"),Config!$D$15&amp;"; ","")&amp;IF(AND(Config!$D$16&lt;&gt;"",R155&lt;&gt;"Sim",R155&lt;&gt;"N/A"),Config!$D$16&amp;"; ","")&amp;IF(AND(Config!$D$17&lt;&gt;"",S155&lt;&gt;"Sim",S155&lt;&gt;"N/A"),Config!$D$17&amp;"; ",""))</f>
        <v/>
      </c>
      <c r="AB155" s="39">
        <f>IF(A155="",0,COUNTIF($A$5:$A$304,"&gt;"&amp;A155)+1)</f>
        <v>0</v>
      </c>
    </row>
    <row r="156">
      <c r="A156" s="37" t="n"/>
      <c r="B156" s="24">
        <f>IF(A156="","",CHOOSE(WEEKDAY(A156,2),"Segunda","Terça","Quarta","Quinta","Sexta","Sábado","Domingo"))</f>
        <v/>
      </c>
      <c r="C156" s="38" t="n"/>
      <c r="D156" s="38" t="n"/>
      <c r="E156" s="38" t="n"/>
      <c r="F156" s="38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38" t="n"/>
      <c r="Q156" s="38" t="n"/>
      <c r="R156" s="38" t="n"/>
      <c r="S156" s="38" t="n"/>
      <c r="T156" s="26">
        <f>IF(A156="","",IFERROR(COUNTIF(D156:K156,"Sim")/(Config!$B$19-COUNTIF(D156:K156,"N/A")),""))</f>
        <v/>
      </c>
      <c r="U156" s="26">
        <f>IF(A156="","",IFERROR(COUNTIF(L156:S156,"Sim")/(Config!$D$19-COUNTIF(L156:S156,"N/A")),""))</f>
        <v/>
      </c>
      <c r="V156" s="24">
        <f>IF(A156="","",MAX(0,Config!$B$19-COUNTIF(D156:K156,"Sim")-COUNTIF(D156:K156,"N/A")))</f>
        <v/>
      </c>
      <c r="W156" s="24">
        <f>IF(A156="","",MAX(0,Config!$D$19-COUNTIF(L156:S156,"Sim")-COUNTIF(L156:S156,"N/A")))</f>
        <v/>
      </c>
      <c r="X156" s="24">
        <f>IF(A156="","",V156+W156)</f>
        <v/>
      </c>
      <c r="Y156" s="29">
        <f>IF(OR(A156="",AA156=""),"",LEFT(AA156,LEN(AA156)-2))</f>
        <v/>
      </c>
      <c r="Z156" s="39">
        <f>IF(OR(A156="",X156=0),0,X156*100000+A156/100000)</f>
        <v>0</v>
      </c>
      <c r="AA156" s="39">
        <f>IF(A156="","",IF(AND(Config!$B$10&lt;&gt;"",D156&lt;&gt;"Sim",D156&lt;&gt;"N/A"),Config!$B$10&amp;"; ","")&amp;IF(AND(Config!$B$11&lt;&gt;"",E156&lt;&gt;"Sim",E156&lt;&gt;"N/A"),Config!$B$11&amp;"; ","")&amp;IF(AND(Config!$B$12&lt;&gt;"",F156&lt;&gt;"Sim",F156&lt;&gt;"N/A"),Config!$B$12&amp;"; ","")&amp;IF(AND(Config!$B$13&lt;&gt;"",G156&lt;&gt;"Sim",G156&lt;&gt;"N/A"),Config!$B$13&amp;"; ","")&amp;IF(AND(Config!$B$14&lt;&gt;"",H156&lt;&gt;"Sim",H156&lt;&gt;"N/A"),Config!$B$14&amp;"; ","")&amp;IF(AND(Config!$B$15&lt;&gt;"",I156&lt;&gt;"Sim",I156&lt;&gt;"N/A"),Config!$B$15&amp;"; ","")&amp;IF(AND(Config!$B$16&lt;&gt;"",J156&lt;&gt;"Sim",J156&lt;&gt;"N/A"),Config!$B$16&amp;"; ","")&amp;IF(AND(Config!$B$17&lt;&gt;"",K156&lt;&gt;"Sim",K156&lt;&gt;"N/A"),Config!$B$17&amp;"; ","")&amp;IF(AND(Config!$D$10&lt;&gt;"",L156&lt;&gt;"Sim",L156&lt;&gt;"N/A"),Config!$D$10&amp;"; ","")&amp;IF(AND(Config!$D$11&lt;&gt;"",M156&lt;&gt;"Sim",M156&lt;&gt;"N/A"),Config!$D$11&amp;"; ","")&amp;IF(AND(Config!$D$12&lt;&gt;"",N156&lt;&gt;"Sim",N156&lt;&gt;"N/A"),Config!$D$12&amp;"; ","")&amp;IF(AND(Config!$D$13&lt;&gt;"",O156&lt;&gt;"Sim",O156&lt;&gt;"N/A"),Config!$D$13&amp;"; ","")&amp;IF(AND(Config!$D$14&lt;&gt;"",P156&lt;&gt;"Sim",P156&lt;&gt;"N/A"),Config!$D$14&amp;"; ","")&amp;IF(AND(Config!$D$15&lt;&gt;"",Q156&lt;&gt;"Sim",Q156&lt;&gt;"N/A"),Config!$D$15&amp;"; ","")&amp;IF(AND(Config!$D$16&lt;&gt;"",R156&lt;&gt;"Sim",R156&lt;&gt;"N/A"),Config!$D$16&amp;"; ","")&amp;IF(AND(Config!$D$17&lt;&gt;"",S156&lt;&gt;"Sim",S156&lt;&gt;"N/A"),Config!$D$17&amp;"; ",""))</f>
        <v/>
      </c>
      <c r="AB156" s="39">
        <f>IF(A156="",0,COUNTIF($A$5:$A$304,"&gt;"&amp;A156)+1)</f>
        <v>0</v>
      </c>
    </row>
    <row r="157">
      <c r="A157" s="37" t="n"/>
      <c r="B157" s="24">
        <f>IF(A157="","",CHOOSE(WEEKDAY(A157,2),"Segunda","Terça","Quarta","Quinta","Sexta","Sábado","Domingo"))</f>
        <v/>
      </c>
      <c r="C157" s="38" t="n"/>
      <c r="D157" s="38" t="n"/>
      <c r="E157" s="38" t="n"/>
      <c r="F157" s="38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38" t="n"/>
      <c r="Q157" s="38" t="n"/>
      <c r="R157" s="38" t="n"/>
      <c r="S157" s="38" t="n"/>
      <c r="T157" s="26">
        <f>IF(A157="","",IFERROR(COUNTIF(D157:K157,"Sim")/(Config!$B$19-COUNTIF(D157:K157,"N/A")),""))</f>
        <v/>
      </c>
      <c r="U157" s="26">
        <f>IF(A157="","",IFERROR(COUNTIF(L157:S157,"Sim")/(Config!$D$19-COUNTIF(L157:S157,"N/A")),""))</f>
        <v/>
      </c>
      <c r="V157" s="24">
        <f>IF(A157="","",MAX(0,Config!$B$19-COUNTIF(D157:K157,"Sim")-COUNTIF(D157:K157,"N/A")))</f>
        <v/>
      </c>
      <c r="W157" s="24">
        <f>IF(A157="","",MAX(0,Config!$D$19-COUNTIF(L157:S157,"Sim")-COUNTIF(L157:S157,"N/A")))</f>
        <v/>
      </c>
      <c r="X157" s="24">
        <f>IF(A157="","",V157+W157)</f>
        <v/>
      </c>
      <c r="Y157" s="29">
        <f>IF(OR(A157="",AA157=""),"",LEFT(AA157,LEN(AA157)-2))</f>
        <v/>
      </c>
      <c r="Z157" s="39">
        <f>IF(OR(A157="",X157=0),0,X157*100000+A157/100000)</f>
        <v>0</v>
      </c>
      <c r="AA157" s="39">
        <f>IF(A157="","",IF(AND(Config!$B$10&lt;&gt;"",D157&lt;&gt;"Sim",D157&lt;&gt;"N/A"),Config!$B$10&amp;"; ","")&amp;IF(AND(Config!$B$11&lt;&gt;"",E157&lt;&gt;"Sim",E157&lt;&gt;"N/A"),Config!$B$11&amp;"; ","")&amp;IF(AND(Config!$B$12&lt;&gt;"",F157&lt;&gt;"Sim",F157&lt;&gt;"N/A"),Config!$B$12&amp;"; ","")&amp;IF(AND(Config!$B$13&lt;&gt;"",G157&lt;&gt;"Sim",G157&lt;&gt;"N/A"),Config!$B$13&amp;"; ","")&amp;IF(AND(Config!$B$14&lt;&gt;"",H157&lt;&gt;"Sim",H157&lt;&gt;"N/A"),Config!$B$14&amp;"; ","")&amp;IF(AND(Config!$B$15&lt;&gt;"",I157&lt;&gt;"Sim",I157&lt;&gt;"N/A"),Config!$B$15&amp;"; ","")&amp;IF(AND(Config!$B$16&lt;&gt;"",J157&lt;&gt;"Sim",J157&lt;&gt;"N/A"),Config!$B$16&amp;"; ","")&amp;IF(AND(Config!$B$17&lt;&gt;"",K157&lt;&gt;"Sim",K157&lt;&gt;"N/A"),Config!$B$17&amp;"; ","")&amp;IF(AND(Config!$D$10&lt;&gt;"",L157&lt;&gt;"Sim",L157&lt;&gt;"N/A"),Config!$D$10&amp;"; ","")&amp;IF(AND(Config!$D$11&lt;&gt;"",M157&lt;&gt;"Sim",M157&lt;&gt;"N/A"),Config!$D$11&amp;"; ","")&amp;IF(AND(Config!$D$12&lt;&gt;"",N157&lt;&gt;"Sim",N157&lt;&gt;"N/A"),Config!$D$12&amp;"; ","")&amp;IF(AND(Config!$D$13&lt;&gt;"",O157&lt;&gt;"Sim",O157&lt;&gt;"N/A"),Config!$D$13&amp;"; ","")&amp;IF(AND(Config!$D$14&lt;&gt;"",P157&lt;&gt;"Sim",P157&lt;&gt;"N/A"),Config!$D$14&amp;"; ","")&amp;IF(AND(Config!$D$15&lt;&gt;"",Q157&lt;&gt;"Sim",Q157&lt;&gt;"N/A"),Config!$D$15&amp;"; ","")&amp;IF(AND(Config!$D$16&lt;&gt;"",R157&lt;&gt;"Sim",R157&lt;&gt;"N/A"),Config!$D$16&amp;"; ","")&amp;IF(AND(Config!$D$17&lt;&gt;"",S157&lt;&gt;"Sim",S157&lt;&gt;"N/A"),Config!$D$17&amp;"; ",""))</f>
        <v/>
      </c>
      <c r="AB157" s="39">
        <f>IF(A157="",0,COUNTIF($A$5:$A$304,"&gt;"&amp;A157)+1)</f>
        <v>0</v>
      </c>
    </row>
    <row r="158">
      <c r="A158" s="37" t="n"/>
      <c r="B158" s="24">
        <f>IF(A158="","",CHOOSE(WEEKDAY(A158,2),"Segunda","Terça","Quarta","Quinta","Sexta","Sábado","Domingo"))</f>
        <v/>
      </c>
      <c r="C158" s="38" t="n"/>
      <c r="D158" s="38" t="n"/>
      <c r="E158" s="38" t="n"/>
      <c r="F158" s="38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38" t="n"/>
      <c r="Q158" s="38" t="n"/>
      <c r="R158" s="38" t="n"/>
      <c r="S158" s="38" t="n"/>
      <c r="T158" s="26">
        <f>IF(A158="","",IFERROR(COUNTIF(D158:K158,"Sim")/(Config!$B$19-COUNTIF(D158:K158,"N/A")),""))</f>
        <v/>
      </c>
      <c r="U158" s="26">
        <f>IF(A158="","",IFERROR(COUNTIF(L158:S158,"Sim")/(Config!$D$19-COUNTIF(L158:S158,"N/A")),""))</f>
        <v/>
      </c>
      <c r="V158" s="24">
        <f>IF(A158="","",MAX(0,Config!$B$19-COUNTIF(D158:K158,"Sim")-COUNTIF(D158:K158,"N/A")))</f>
        <v/>
      </c>
      <c r="W158" s="24">
        <f>IF(A158="","",MAX(0,Config!$D$19-COUNTIF(L158:S158,"Sim")-COUNTIF(L158:S158,"N/A")))</f>
        <v/>
      </c>
      <c r="X158" s="24">
        <f>IF(A158="","",V158+W158)</f>
        <v/>
      </c>
      <c r="Y158" s="29">
        <f>IF(OR(A158="",AA158=""),"",LEFT(AA158,LEN(AA158)-2))</f>
        <v/>
      </c>
      <c r="Z158" s="39">
        <f>IF(OR(A158="",X158=0),0,X158*100000+A158/100000)</f>
        <v>0</v>
      </c>
      <c r="AA158" s="39">
        <f>IF(A158="","",IF(AND(Config!$B$10&lt;&gt;"",D158&lt;&gt;"Sim",D158&lt;&gt;"N/A"),Config!$B$10&amp;"; ","")&amp;IF(AND(Config!$B$11&lt;&gt;"",E158&lt;&gt;"Sim",E158&lt;&gt;"N/A"),Config!$B$11&amp;"; ","")&amp;IF(AND(Config!$B$12&lt;&gt;"",F158&lt;&gt;"Sim",F158&lt;&gt;"N/A"),Config!$B$12&amp;"; ","")&amp;IF(AND(Config!$B$13&lt;&gt;"",G158&lt;&gt;"Sim",G158&lt;&gt;"N/A"),Config!$B$13&amp;"; ","")&amp;IF(AND(Config!$B$14&lt;&gt;"",H158&lt;&gt;"Sim",H158&lt;&gt;"N/A"),Config!$B$14&amp;"; ","")&amp;IF(AND(Config!$B$15&lt;&gt;"",I158&lt;&gt;"Sim",I158&lt;&gt;"N/A"),Config!$B$15&amp;"; ","")&amp;IF(AND(Config!$B$16&lt;&gt;"",J158&lt;&gt;"Sim",J158&lt;&gt;"N/A"),Config!$B$16&amp;"; ","")&amp;IF(AND(Config!$B$17&lt;&gt;"",K158&lt;&gt;"Sim",K158&lt;&gt;"N/A"),Config!$B$17&amp;"; ","")&amp;IF(AND(Config!$D$10&lt;&gt;"",L158&lt;&gt;"Sim",L158&lt;&gt;"N/A"),Config!$D$10&amp;"; ","")&amp;IF(AND(Config!$D$11&lt;&gt;"",M158&lt;&gt;"Sim",M158&lt;&gt;"N/A"),Config!$D$11&amp;"; ","")&amp;IF(AND(Config!$D$12&lt;&gt;"",N158&lt;&gt;"Sim",N158&lt;&gt;"N/A"),Config!$D$12&amp;"; ","")&amp;IF(AND(Config!$D$13&lt;&gt;"",O158&lt;&gt;"Sim",O158&lt;&gt;"N/A"),Config!$D$13&amp;"; ","")&amp;IF(AND(Config!$D$14&lt;&gt;"",P158&lt;&gt;"Sim",P158&lt;&gt;"N/A"),Config!$D$14&amp;"; ","")&amp;IF(AND(Config!$D$15&lt;&gt;"",Q158&lt;&gt;"Sim",Q158&lt;&gt;"N/A"),Config!$D$15&amp;"; ","")&amp;IF(AND(Config!$D$16&lt;&gt;"",R158&lt;&gt;"Sim",R158&lt;&gt;"N/A"),Config!$D$16&amp;"; ","")&amp;IF(AND(Config!$D$17&lt;&gt;"",S158&lt;&gt;"Sim",S158&lt;&gt;"N/A"),Config!$D$17&amp;"; ",""))</f>
        <v/>
      </c>
      <c r="AB158" s="39">
        <f>IF(A158="",0,COUNTIF($A$5:$A$304,"&gt;"&amp;A158)+1)</f>
        <v>0</v>
      </c>
    </row>
    <row r="159">
      <c r="A159" s="37" t="n"/>
      <c r="B159" s="24">
        <f>IF(A159="","",CHOOSE(WEEKDAY(A159,2),"Segunda","Terça","Quarta","Quinta","Sexta","Sábado","Domingo"))</f>
        <v/>
      </c>
      <c r="C159" s="38" t="n"/>
      <c r="D159" s="38" t="n"/>
      <c r="E159" s="38" t="n"/>
      <c r="F159" s="38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38" t="n"/>
      <c r="Q159" s="38" t="n"/>
      <c r="R159" s="38" t="n"/>
      <c r="S159" s="38" t="n"/>
      <c r="T159" s="26">
        <f>IF(A159="","",IFERROR(COUNTIF(D159:K159,"Sim")/(Config!$B$19-COUNTIF(D159:K159,"N/A")),""))</f>
        <v/>
      </c>
      <c r="U159" s="26">
        <f>IF(A159="","",IFERROR(COUNTIF(L159:S159,"Sim")/(Config!$D$19-COUNTIF(L159:S159,"N/A")),""))</f>
        <v/>
      </c>
      <c r="V159" s="24">
        <f>IF(A159="","",MAX(0,Config!$B$19-COUNTIF(D159:K159,"Sim")-COUNTIF(D159:K159,"N/A")))</f>
        <v/>
      </c>
      <c r="W159" s="24">
        <f>IF(A159="","",MAX(0,Config!$D$19-COUNTIF(L159:S159,"Sim")-COUNTIF(L159:S159,"N/A")))</f>
        <v/>
      </c>
      <c r="X159" s="24">
        <f>IF(A159="","",V159+W159)</f>
        <v/>
      </c>
      <c r="Y159" s="29">
        <f>IF(OR(A159="",AA159=""),"",LEFT(AA159,LEN(AA159)-2))</f>
        <v/>
      </c>
      <c r="Z159" s="39">
        <f>IF(OR(A159="",X159=0),0,X159*100000+A159/100000)</f>
        <v>0</v>
      </c>
      <c r="AA159" s="39">
        <f>IF(A159="","",IF(AND(Config!$B$10&lt;&gt;"",D159&lt;&gt;"Sim",D159&lt;&gt;"N/A"),Config!$B$10&amp;"; ","")&amp;IF(AND(Config!$B$11&lt;&gt;"",E159&lt;&gt;"Sim",E159&lt;&gt;"N/A"),Config!$B$11&amp;"; ","")&amp;IF(AND(Config!$B$12&lt;&gt;"",F159&lt;&gt;"Sim",F159&lt;&gt;"N/A"),Config!$B$12&amp;"; ","")&amp;IF(AND(Config!$B$13&lt;&gt;"",G159&lt;&gt;"Sim",G159&lt;&gt;"N/A"),Config!$B$13&amp;"; ","")&amp;IF(AND(Config!$B$14&lt;&gt;"",H159&lt;&gt;"Sim",H159&lt;&gt;"N/A"),Config!$B$14&amp;"; ","")&amp;IF(AND(Config!$B$15&lt;&gt;"",I159&lt;&gt;"Sim",I159&lt;&gt;"N/A"),Config!$B$15&amp;"; ","")&amp;IF(AND(Config!$B$16&lt;&gt;"",J159&lt;&gt;"Sim",J159&lt;&gt;"N/A"),Config!$B$16&amp;"; ","")&amp;IF(AND(Config!$B$17&lt;&gt;"",K159&lt;&gt;"Sim",K159&lt;&gt;"N/A"),Config!$B$17&amp;"; ","")&amp;IF(AND(Config!$D$10&lt;&gt;"",L159&lt;&gt;"Sim",L159&lt;&gt;"N/A"),Config!$D$10&amp;"; ","")&amp;IF(AND(Config!$D$11&lt;&gt;"",M159&lt;&gt;"Sim",M159&lt;&gt;"N/A"),Config!$D$11&amp;"; ","")&amp;IF(AND(Config!$D$12&lt;&gt;"",N159&lt;&gt;"Sim",N159&lt;&gt;"N/A"),Config!$D$12&amp;"; ","")&amp;IF(AND(Config!$D$13&lt;&gt;"",O159&lt;&gt;"Sim",O159&lt;&gt;"N/A"),Config!$D$13&amp;"; ","")&amp;IF(AND(Config!$D$14&lt;&gt;"",P159&lt;&gt;"Sim",P159&lt;&gt;"N/A"),Config!$D$14&amp;"; ","")&amp;IF(AND(Config!$D$15&lt;&gt;"",Q159&lt;&gt;"Sim",Q159&lt;&gt;"N/A"),Config!$D$15&amp;"; ","")&amp;IF(AND(Config!$D$16&lt;&gt;"",R159&lt;&gt;"Sim",R159&lt;&gt;"N/A"),Config!$D$16&amp;"; ","")&amp;IF(AND(Config!$D$17&lt;&gt;"",S159&lt;&gt;"Sim",S159&lt;&gt;"N/A"),Config!$D$17&amp;"; ",""))</f>
        <v/>
      </c>
      <c r="AB159" s="39">
        <f>IF(A159="",0,COUNTIF($A$5:$A$304,"&gt;"&amp;A159)+1)</f>
        <v>0</v>
      </c>
    </row>
    <row r="160">
      <c r="A160" s="37" t="n"/>
      <c r="B160" s="24">
        <f>IF(A160="","",CHOOSE(WEEKDAY(A160,2),"Segunda","Terça","Quarta","Quinta","Sexta","Sábado","Domingo"))</f>
        <v/>
      </c>
      <c r="C160" s="38" t="n"/>
      <c r="D160" s="38" t="n"/>
      <c r="E160" s="38" t="n"/>
      <c r="F160" s="38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38" t="n"/>
      <c r="Q160" s="38" t="n"/>
      <c r="R160" s="38" t="n"/>
      <c r="S160" s="38" t="n"/>
      <c r="T160" s="26">
        <f>IF(A160="","",IFERROR(COUNTIF(D160:K160,"Sim")/(Config!$B$19-COUNTIF(D160:K160,"N/A")),""))</f>
        <v/>
      </c>
      <c r="U160" s="26">
        <f>IF(A160="","",IFERROR(COUNTIF(L160:S160,"Sim")/(Config!$D$19-COUNTIF(L160:S160,"N/A")),""))</f>
        <v/>
      </c>
      <c r="V160" s="24">
        <f>IF(A160="","",MAX(0,Config!$B$19-COUNTIF(D160:K160,"Sim")-COUNTIF(D160:K160,"N/A")))</f>
        <v/>
      </c>
      <c r="W160" s="24">
        <f>IF(A160="","",MAX(0,Config!$D$19-COUNTIF(L160:S160,"Sim")-COUNTIF(L160:S160,"N/A")))</f>
        <v/>
      </c>
      <c r="X160" s="24">
        <f>IF(A160="","",V160+W160)</f>
        <v/>
      </c>
      <c r="Y160" s="29">
        <f>IF(OR(A160="",AA160=""),"",LEFT(AA160,LEN(AA160)-2))</f>
        <v/>
      </c>
      <c r="Z160" s="39">
        <f>IF(OR(A160="",X160=0),0,X160*100000+A160/100000)</f>
        <v>0</v>
      </c>
      <c r="AA160" s="39">
        <f>IF(A160="","",IF(AND(Config!$B$10&lt;&gt;"",D160&lt;&gt;"Sim",D160&lt;&gt;"N/A"),Config!$B$10&amp;"; ","")&amp;IF(AND(Config!$B$11&lt;&gt;"",E160&lt;&gt;"Sim",E160&lt;&gt;"N/A"),Config!$B$11&amp;"; ","")&amp;IF(AND(Config!$B$12&lt;&gt;"",F160&lt;&gt;"Sim",F160&lt;&gt;"N/A"),Config!$B$12&amp;"; ","")&amp;IF(AND(Config!$B$13&lt;&gt;"",G160&lt;&gt;"Sim",G160&lt;&gt;"N/A"),Config!$B$13&amp;"; ","")&amp;IF(AND(Config!$B$14&lt;&gt;"",H160&lt;&gt;"Sim",H160&lt;&gt;"N/A"),Config!$B$14&amp;"; ","")&amp;IF(AND(Config!$B$15&lt;&gt;"",I160&lt;&gt;"Sim",I160&lt;&gt;"N/A"),Config!$B$15&amp;"; ","")&amp;IF(AND(Config!$B$16&lt;&gt;"",J160&lt;&gt;"Sim",J160&lt;&gt;"N/A"),Config!$B$16&amp;"; ","")&amp;IF(AND(Config!$B$17&lt;&gt;"",K160&lt;&gt;"Sim",K160&lt;&gt;"N/A"),Config!$B$17&amp;"; ","")&amp;IF(AND(Config!$D$10&lt;&gt;"",L160&lt;&gt;"Sim",L160&lt;&gt;"N/A"),Config!$D$10&amp;"; ","")&amp;IF(AND(Config!$D$11&lt;&gt;"",M160&lt;&gt;"Sim",M160&lt;&gt;"N/A"),Config!$D$11&amp;"; ","")&amp;IF(AND(Config!$D$12&lt;&gt;"",N160&lt;&gt;"Sim",N160&lt;&gt;"N/A"),Config!$D$12&amp;"; ","")&amp;IF(AND(Config!$D$13&lt;&gt;"",O160&lt;&gt;"Sim",O160&lt;&gt;"N/A"),Config!$D$13&amp;"; ","")&amp;IF(AND(Config!$D$14&lt;&gt;"",P160&lt;&gt;"Sim",P160&lt;&gt;"N/A"),Config!$D$14&amp;"; ","")&amp;IF(AND(Config!$D$15&lt;&gt;"",Q160&lt;&gt;"Sim",Q160&lt;&gt;"N/A"),Config!$D$15&amp;"; ","")&amp;IF(AND(Config!$D$16&lt;&gt;"",R160&lt;&gt;"Sim",R160&lt;&gt;"N/A"),Config!$D$16&amp;"; ","")&amp;IF(AND(Config!$D$17&lt;&gt;"",S160&lt;&gt;"Sim",S160&lt;&gt;"N/A"),Config!$D$17&amp;"; ",""))</f>
        <v/>
      </c>
      <c r="AB160" s="39">
        <f>IF(A160="",0,COUNTIF($A$5:$A$304,"&gt;"&amp;A160)+1)</f>
        <v>0</v>
      </c>
    </row>
    <row r="161">
      <c r="A161" s="37" t="n"/>
      <c r="B161" s="24">
        <f>IF(A161="","",CHOOSE(WEEKDAY(A161,2),"Segunda","Terça","Quarta","Quinta","Sexta","Sábado","Domingo"))</f>
        <v/>
      </c>
      <c r="C161" s="38" t="n"/>
      <c r="D161" s="38" t="n"/>
      <c r="E161" s="38" t="n"/>
      <c r="F161" s="38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26">
        <f>IF(A161="","",IFERROR(COUNTIF(D161:K161,"Sim")/(Config!$B$19-COUNTIF(D161:K161,"N/A")),""))</f>
        <v/>
      </c>
      <c r="U161" s="26">
        <f>IF(A161="","",IFERROR(COUNTIF(L161:S161,"Sim")/(Config!$D$19-COUNTIF(L161:S161,"N/A")),""))</f>
        <v/>
      </c>
      <c r="V161" s="24">
        <f>IF(A161="","",MAX(0,Config!$B$19-COUNTIF(D161:K161,"Sim")-COUNTIF(D161:K161,"N/A")))</f>
        <v/>
      </c>
      <c r="W161" s="24">
        <f>IF(A161="","",MAX(0,Config!$D$19-COUNTIF(L161:S161,"Sim")-COUNTIF(L161:S161,"N/A")))</f>
        <v/>
      </c>
      <c r="X161" s="24">
        <f>IF(A161="","",V161+W161)</f>
        <v/>
      </c>
      <c r="Y161" s="29">
        <f>IF(OR(A161="",AA161=""),"",LEFT(AA161,LEN(AA161)-2))</f>
        <v/>
      </c>
      <c r="Z161" s="39">
        <f>IF(OR(A161="",X161=0),0,X161*100000+A161/100000)</f>
        <v>0</v>
      </c>
      <c r="AA161" s="39">
        <f>IF(A161="","",IF(AND(Config!$B$10&lt;&gt;"",D161&lt;&gt;"Sim",D161&lt;&gt;"N/A"),Config!$B$10&amp;"; ","")&amp;IF(AND(Config!$B$11&lt;&gt;"",E161&lt;&gt;"Sim",E161&lt;&gt;"N/A"),Config!$B$11&amp;"; ","")&amp;IF(AND(Config!$B$12&lt;&gt;"",F161&lt;&gt;"Sim",F161&lt;&gt;"N/A"),Config!$B$12&amp;"; ","")&amp;IF(AND(Config!$B$13&lt;&gt;"",G161&lt;&gt;"Sim",G161&lt;&gt;"N/A"),Config!$B$13&amp;"; ","")&amp;IF(AND(Config!$B$14&lt;&gt;"",H161&lt;&gt;"Sim",H161&lt;&gt;"N/A"),Config!$B$14&amp;"; ","")&amp;IF(AND(Config!$B$15&lt;&gt;"",I161&lt;&gt;"Sim",I161&lt;&gt;"N/A"),Config!$B$15&amp;"; ","")&amp;IF(AND(Config!$B$16&lt;&gt;"",J161&lt;&gt;"Sim",J161&lt;&gt;"N/A"),Config!$B$16&amp;"; ","")&amp;IF(AND(Config!$B$17&lt;&gt;"",K161&lt;&gt;"Sim",K161&lt;&gt;"N/A"),Config!$B$17&amp;"; ","")&amp;IF(AND(Config!$D$10&lt;&gt;"",L161&lt;&gt;"Sim",L161&lt;&gt;"N/A"),Config!$D$10&amp;"; ","")&amp;IF(AND(Config!$D$11&lt;&gt;"",M161&lt;&gt;"Sim",M161&lt;&gt;"N/A"),Config!$D$11&amp;"; ","")&amp;IF(AND(Config!$D$12&lt;&gt;"",N161&lt;&gt;"Sim",N161&lt;&gt;"N/A"),Config!$D$12&amp;"; ","")&amp;IF(AND(Config!$D$13&lt;&gt;"",O161&lt;&gt;"Sim",O161&lt;&gt;"N/A"),Config!$D$13&amp;"; ","")&amp;IF(AND(Config!$D$14&lt;&gt;"",P161&lt;&gt;"Sim",P161&lt;&gt;"N/A"),Config!$D$14&amp;"; ","")&amp;IF(AND(Config!$D$15&lt;&gt;"",Q161&lt;&gt;"Sim",Q161&lt;&gt;"N/A"),Config!$D$15&amp;"; ","")&amp;IF(AND(Config!$D$16&lt;&gt;"",R161&lt;&gt;"Sim",R161&lt;&gt;"N/A"),Config!$D$16&amp;"; ","")&amp;IF(AND(Config!$D$17&lt;&gt;"",S161&lt;&gt;"Sim",S161&lt;&gt;"N/A"),Config!$D$17&amp;"; ",""))</f>
        <v/>
      </c>
      <c r="AB161" s="39">
        <f>IF(A161="",0,COUNTIF($A$5:$A$304,"&gt;"&amp;A161)+1)</f>
        <v>0</v>
      </c>
    </row>
    <row r="162">
      <c r="A162" s="37" t="n"/>
      <c r="B162" s="24">
        <f>IF(A162="","",CHOOSE(WEEKDAY(A162,2),"Segunda","Terça","Quarta","Quinta","Sexta","Sábado","Domingo"))</f>
        <v/>
      </c>
      <c r="C162" s="38" t="n"/>
      <c r="D162" s="38" t="n"/>
      <c r="E162" s="38" t="n"/>
      <c r="F162" s="38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38" t="n"/>
      <c r="Q162" s="38" t="n"/>
      <c r="R162" s="38" t="n"/>
      <c r="S162" s="38" t="n"/>
      <c r="T162" s="26">
        <f>IF(A162="","",IFERROR(COUNTIF(D162:K162,"Sim")/(Config!$B$19-COUNTIF(D162:K162,"N/A")),""))</f>
        <v/>
      </c>
      <c r="U162" s="26">
        <f>IF(A162="","",IFERROR(COUNTIF(L162:S162,"Sim")/(Config!$D$19-COUNTIF(L162:S162,"N/A")),""))</f>
        <v/>
      </c>
      <c r="V162" s="24">
        <f>IF(A162="","",MAX(0,Config!$B$19-COUNTIF(D162:K162,"Sim")-COUNTIF(D162:K162,"N/A")))</f>
        <v/>
      </c>
      <c r="W162" s="24">
        <f>IF(A162="","",MAX(0,Config!$D$19-COUNTIF(L162:S162,"Sim")-COUNTIF(L162:S162,"N/A")))</f>
        <v/>
      </c>
      <c r="X162" s="24">
        <f>IF(A162="","",V162+W162)</f>
        <v/>
      </c>
      <c r="Y162" s="29">
        <f>IF(OR(A162="",AA162=""),"",LEFT(AA162,LEN(AA162)-2))</f>
        <v/>
      </c>
      <c r="Z162" s="39">
        <f>IF(OR(A162="",X162=0),0,X162*100000+A162/100000)</f>
        <v>0</v>
      </c>
      <c r="AA162" s="39">
        <f>IF(A162="","",IF(AND(Config!$B$10&lt;&gt;"",D162&lt;&gt;"Sim",D162&lt;&gt;"N/A"),Config!$B$10&amp;"; ","")&amp;IF(AND(Config!$B$11&lt;&gt;"",E162&lt;&gt;"Sim",E162&lt;&gt;"N/A"),Config!$B$11&amp;"; ","")&amp;IF(AND(Config!$B$12&lt;&gt;"",F162&lt;&gt;"Sim",F162&lt;&gt;"N/A"),Config!$B$12&amp;"; ","")&amp;IF(AND(Config!$B$13&lt;&gt;"",G162&lt;&gt;"Sim",G162&lt;&gt;"N/A"),Config!$B$13&amp;"; ","")&amp;IF(AND(Config!$B$14&lt;&gt;"",H162&lt;&gt;"Sim",H162&lt;&gt;"N/A"),Config!$B$14&amp;"; ","")&amp;IF(AND(Config!$B$15&lt;&gt;"",I162&lt;&gt;"Sim",I162&lt;&gt;"N/A"),Config!$B$15&amp;"; ","")&amp;IF(AND(Config!$B$16&lt;&gt;"",J162&lt;&gt;"Sim",J162&lt;&gt;"N/A"),Config!$B$16&amp;"; ","")&amp;IF(AND(Config!$B$17&lt;&gt;"",K162&lt;&gt;"Sim",K162&lt;&gt;"N/A"),Config!$B$17&amp;"; ","")&amp;IF(AND(Config!$D$10&lt;&gt;"",L162&lt;&gt;"Sim",L162&lt;&gt;"N/A"),Config!$D$10&amp;"; ","")&amp;IF(AND(Config!$D$11&lt;&gt;"",M162&lt;&gt;"Sim",M162&lt;&gt;"N/A"),Config!$D$11&amp;"; ","")&amp;IF(AND(Config!$D$12&lt;&gt;"",N162&lt;&gt;"Sim",N162&lt;&gt;"N/A"),Config!$D$12&amp;"; ","")&amp;IF(AND(Config!$D$13&lt;&gt;"",O162&lt;&gt;"Sim",O162&lt;&gt;"N/A"),Config!$D$13&amp;"; ","")&amp;IF(AND(Config!$D$14&lt;&gt;"",P162&lt;&gt;"Sim",P162&lt;&gt;"N/A"),Config!$D$14&amp;"; ","")&amp;IF(AND(Config!$D$15&lt;&gt;"",Q162&lt;&gt;"Sim",Q162&lt;&gt;"N/A"),Config!$D$15&amp;"; ","")&amp;IF(AND(Config!$D$16&lt;&gt;"",R162&lt;&gt;"Sim",R162&lt;&gt;"N/A"),Config!$D$16&amp;"; ","")&amp;IF(AND(Config!$D$17&lt;&gt;"",S162&lt;&gt;"Sim",S162&lt;&gt;"N/A"),Config!$D$17&amp;"; ",""))</f>
        <v/>
      </c>
      <c r="AB162" s="39">
        <f>IF(A162="",0,COUNTIF($A$5:$A$304,"&gt;"&amp;A162)+1)</f>
        <v>0</v>
      </c>
    </row>
    <row r="163">
      <c r="A163" s="37" t="n"/>
      <c r="B163" s="24">
        <f>IF(A163="","",CHOOSE(WEEKDAY(A163,2),"Segunda","Terça","Quarta","Quinta","Sexta","Sábado","Domingo"))</f>
        <v/>
      </c>
      <c r="C163" s="38" t="n"/>
      <c r="D163" s="38" t="n"/>
      <c r="E163" s="38" t="n"/>
      <c r="F163" s="38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38" t="n"/>
      <c r="Q163" s="38" t="n"/>
      <c r="R163" s="38" t="n"/>
      <c r="S163" s="38" t="n"/>
      <c r="T163" s="26">
        <f>IF(A163="","",IFERROR(COUNTIF(D163:K163,"Sim")/(Config!$B$19-COUNTIF(D163:K163,"N/A")),""))</f>
        <v/>
      </c>
      <c r="U163" s="26">
        <f>IF(A163="","",IFERROR(COUNTIF(L163:S163,"Sim")/(Config!$D$19-COUNTIF(L163:S163,"N/A")),""))</f>
        <v/>
      </c>
      <c r="V163" s="24">
        <f>IF(A163="","",MAX(0,Config!$B$19-COUNTIF(D163:K163,"Sim")-COUNTIF(D163:K163,"N/A")))</f>
        <v/>
      </c>
      <c r="W163" s="24">
        <f>IF(A163="","",MAX(0,Config!$D$19-COUNTIF(L163:S163,"Sim")-COUNTIF(L163:S163,"N/A")))</f>
        <v/>
      </c>
      <c r="X163" s="24">
        <f>IF(A163="","",V163+W163)</f>
        <v/>
      </c>
      <c r="Y163" s="29">
        <f>IF(OR(A163="",AA163=""),"",LEFT(AA163,LEN(AA163)-2))</f>
        <v/>
      </c>
      <c r="Z163" s="39">
        <f>IF(OR(A163="",X163=0),0,X163*100000+A163/100000)</f>
        <v>0</v>
      </c>
      <c r="AA163" s="39">
        <f>IF(A163="","",IF(AND(Config!$B$10&lt;&gt;"",D163&lt;&gt;"Sim",D163&lt;&gt;"N/A"),Config!$B$10&amp;"; ","")&amp;IF(AND(Config!$B$11&lt;&gt;"",E163&lt;&gt;"Sim",E163&lt;&gt;"N/A"),Config!$B$11&amp;"; ","")&amp;IF(AND(Config!$B$12&lt;&gt;"",F163&lt;&gt;"Sim",F163&lt;&gt;"N/A"),Config!$B$12&amp;"; ","")&amp;IF(AND(Config!$B$13&lt;&gt;"",G163&lt;&gt;"Sim",G163&lt;&gt;"N/A"),Config!$B$13&amp;"; ","")&amp;IF(AND(Config!$B$14&lt;&gt;"",H163&lt;&gt;"Sim",H163&lt;&gt;"N/A"),Config!$B$14&amp;"; ","")&amp;IF(AND(Config!$B$15&lt;&gt;"",I163&lt;&gt;"Sim",I163&lt;&gt;"N/A"),Config!$B$15&amp;"; ","")&amp;IF(AND(Config!$B$16&lt;&gt;"",J163&lt;&gt;"Sim",J163&lt;&gt;"N/A"),Config!$B$16&amp;"; ","")&amp;IF(AND(Config!$B$17&lt;&gt;"",K163&lt;&gt;"Sim",K163&lt;&gt;"N/A"),Config!$B$17&amp;"; ","")&amp;IF(AND(Config!$D$10&lt;&gt;"",L163&lt;&gt;"Sim",L163&lt;&gt;"N/A"),Config!$D$10&amp;"; ","")&amp;IF(AND(Config!$D$11&lt;&gt;"",M163&lt;&gt;"Sim",M163&lt;&gt;"N/A"),Config!$D$11&amp;"; ","")&amp;IF(AND(Config!$D$12&lt;&gt;"",N163&lt;&gt;"Sim",N163&lt;&gt;"N/A"),Config!$D$12&amp;"; ","")&amp;IF(AND(Config!$D$13&lt;&gt;"",O163&lt;&gt;"Sim",O163&lt;&gt;"N/A"),Config!$D$13&amp;"; ","")&amp;IF(AND(Config!$D$14&lt;&gt;"",P163&lt;&gt;"Sim",P163&lt;&gt;"N/A"),Config!$D$14&amp;"; ","")&amp;IF(AND(Config!$D$15&lt;&gt;"",Q163&lt;&gt;"Sim",Q163&lt;&gt;"N/A"),Config!$D$15&amp;"; ","")&amp;IF(AND(Config!$D$16&lt;&gt;"",R163&lt;&gt;"Sim",R163&lt;&gt;"N/A"),Config!$D$16&amp;"; ","")&amp;IF(AND(Config!$D$17&lt;&gt;"",S163&lt;&gt;"Sim",S163&lt;&gt;"N/A"),Config!$D$17&amp;"; ",""))</f>
        <v/>
      </c>
      <c r="AB163" s="39">
        <f>IF(A163="",0,COUNTIF($A$5:$A$304,"&gt;"&amp;A163)+1)</f>
        <v>0</v>
      </c>
    </row>
    <row r="164">
      <c r="A164" s="37" t="n"/>
      <c r="B164" s="24">
        <f>IF(A164="","",CHOOSE(WEEKDAY(A164,2),"Segunda","Terça","Quarta","Quinta","Sexta","Sábado","Domingo"))</f>
        <v/>
      </c>
      <c r="C164" s="38" t="n"/>
      <c r="D164" s="38" t="n"/>
      <c r="E164" s="38" t="n"/>
      <c r="F164" s="38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38" t="n"/>
      <c r="Q164" s="38" t="n"/>
      <c r="R164" s="38" t="n"/>
      <c r="S164" s="38" t="n"/>
      <c r="T164" s="26">
        <f>IF(A164="","",IFERROR(COUNTIF(D164:K164,"Sim")/(Config!$B$19-COUNTIF(D164:K164,"N/A")),""))</f>
        <v/>
      </c>
      <c r="U164" s="26">
        <f>IF(A164="","",IFERROR(COUNTIF(L164:S164,"Sim")/(Config!$D$19-COUNTIF(L164:S164,"N/A")),""))</f>
        <v/>
      </c>
      <c r="V164" s="24">
        <f>IF(A164="","",MAX(0,Config!$B$19-COUNTIF(D164:K164,"Sim")-COUNTIF(D164:K164,"N/A")))</f>
        <v/>
      </c>
      <c r="W164" s="24">
        <f>IF(A164="","",MAX(0,Config!$D$19-COUNTIF(L164:S164,"Sim")-COUNTIF(L164:S164,"N/A")))</f>
        <v/>
      </c>
      <c r="X164" s="24">
        <f>IF(A164="","",V164+W164)</f>
        <v/>
      </c>
      <c r="Y164" s="29">
        <f>IF(OR(A164="",AA164=""),"",LEFT(AA164,LEN(AA164)-2))</f>
        <v/>
      </c>
      <c r="Z164" s="39">
        <f>IF(OR(A164="",X164=0),0,X164*100000+A164/100000)</f>
        <v>0</v>
      </c>
      <c r="AA164" s="39">
        <f>IF(A164="","",IF(AND(Config!$B$10&lt;&gt;"",D164&lt;&gt;"Sim",D164&lt;&gt;"N/A"),Config!$B$10&amp;"; ","")&amp;IF(AND(Config!$B$11&lt;&gt;"",E164&lt;&gt;"Sim",E164&lt;&gt;"N/A"),Config!$B$11&amp;"; ","")&amp;IF(AND(Config!$B$12&lt;&gt;"",F164&lt;&gt;"Sim",F164&lt;&gt;"N/A"),Config!$B$12&amp;"; ","")&amp;IF(AND(Config!$B$13&lt;&gt;"",G164&lt;&gt;"Sim",G164&lt;&gt;"N/A"),Config!$B$13&amp;"; ","")&amp;IF(AND(Config!$B$14&lt;&gt;"",H164&lt;&gt;"Sim",H164&lt;&gt;"N/A"),Config!$B$14&amp;"; ","")&amp;IF(AND(Config!$B$15&lt;&gt;"",I164&lt;&gt;"Sim",I164&lt;&gt;"N/A"),Config!$B$15&amp;"; ","")&amp;IF(AND(Config!$B$16&lt;&gt;"",J164&lt;&gt;"Sim",J164&lt;&gt;"N/A"),Config!$B$16&amp;"; ","")&amp;IF(AND(Config!$B$17&lt;&gt;"",K164&lt;&gt;"Sim",K164&lt;&gt;"N/A"),Config!$B$17&amp;"; ","")&amp;IF(AND(Config!$D$10&lt;&gt;"",L164&lt;&gt;"Sim",L164&lt;&gt;"N/A"),Config!$D$10&amp;"; ","")&amp;IF(AND(Config!$D$11&lt;&gt;"",M164&lt;&gt;"Sim",M164&lt;&gt;"N/A"),Config!$D$11&amp;"; ","")&amp;IF(AND(Config!$D$12&lt;&gt;"",N164&lt;&gt;"Sim",N164&lt;&gt;"N/A"),Config!$D$12&amp;"; ","")&amp;IF(AND(Config!$D$13&lt;&gt;"",O164&lt;&gt;"Sim",O164&lt;&gt;"N/A"),Config!$D$13&amp;"; ","")&amp;IF(AND(Config!$D$14&lt;&gt;"",P164&lt;&gt;"Sim",P164&lt;&gt;"N/A"),Config!$D$14&amp;"; ","")&amp;IF(AND(Config!$D$15&lt;&gt;"",Q164&lt;&gt;"Sim",Q164&lt;&gt;"N/A"),Config!$D$15&amp;"; ","")&amp;IF(AND(Config!$D$16&lt;&gt;"",R164&lt;&gt;"Sim",R164&lt;&gt;"N/A"),Config!$D$16&amp;"; ","")&amp;IF(AND(Config!$D$17&lt;&gt;"",S164&lt;&gt;"Sim",S164&lt;&gt;"N/A"),Config!$D$17&amp;"; ",""))</f>
        <v/>
      </c>
      <c r="AB164" s="39">
        <f>IF(A164="",0,COUNTIF($A$5:$A$304,"&gt;"&amp;A164)+1)</f>
        <v>0</v>
      </c>
    </row>
    <row r="165">
      <c r="A165" s="37" t="n"/>
      <c r="B165" s="24">
        <f>IF(A165="","",CHOOSE(WEEKDAY(A165,2),"Segunda","Terça","Quarta","Quinta","Sexta","Sábado","Domingo"))</f>
        <v/>
      </c>
      <c r="C165" s="38" t="n"/>
      <c r="D165" s="38" t="n"/>
      <c r="E165" s="38" t="n"/>
      <c r="F165" s="38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26">
        <f>IF(A165="","",IFERROR(COUNTIF(D165:K165,"Sim")/(Config!$B$19-COUNTIF(D165:K165,"N/A")),""))</f>
        <v/>
      </c>
      <c r="U165" s="26">
        <f>IF(A165="","",IFERROR(COUNTIF(L165:S165,"Sim")/(Config!$D$19-COUNTIF(L165:S165,"N/A")),""))</f>
        <v/>
      </c>
      <c r="V165" s="24">
        <f>IF(A165="","",MAX(0,Config!$B$19-COUNTIF(D165:K165,"Sim")-COUNTIF(D165:K165,"N/A")))</f>
        <v/>
      </c>
      <c r="W165" s="24">
        <f>IF(A165="","",MAX(0,Config!$D$19-COUNTIF(L165:S165,"Sim")-COUNTIF(L165:S165,"N/A")))</f>
        <v/>
      </c>
      <c r="X165" s="24">
        <f>IF(A165="","",V165+W165)</f>
        <v/>
      </c>
      <c r="Y165" s="29">
        <f>IF(OR(A165="",AA165=""),"",LEFT(AA165,LEN(AA165)-2))</f>
        <v/>
      </c>
      <c r="Z165" s="39">
        <f>IF(OR(A165="",X165=0),0,X165*100000+A165/100000)</f>
        <v>0</v>
      </c>
      <c r="AA165" s="39">
        <f>IF(A165="","",IF(AND(Config!$B$10&lt;&gt;"",D165&lt;&gt;"Sim",D165&lt;&gt;"N/A"),Config!$B$10&amp;"; ","")&amp;IF(AND(Config!$B$11&lt;&gt;"",E165&lt;&gt;"Sim",E165&lt;&gt;"N/A"),Config!$B$11&amp;"; ","")&amp;IF(AND(Config!$B$12&lt;&gt;"",F165&lt;&gt;"Sim",F165&lt;&gt;"N/A"),Config!$B$12&amp;"; ","")&amp;IF(AND(Config!$B$13&lt;&gt;"",G165&lt;&gt;"Sim",G165&lt;&gt;"N/A"),Config!$B$13&amp;"; ","")&amp;IF(AND(Config!$B$14&lt;&gt;"",H165&lt;&gt;"Sim",H165&lt;&gt;"N/A"),Config!$B$14&amp;"; ","")&amp;IF(AND(Config!$B$15&lt;&gt;"",I165&lt;&gt;"Sim",I165&lt;&gt;"N/A"),Config!$B$15&amp;"; ","")&amp;IF(AND(Config!$B$16&lt;&gt;"",J165&lt;&gt;"Sim",J165&lt;&gt;"N/A"),Config!$B$16&amp;"; ","")&amp;IF(AND(Config!$B$17&lt;&gt;"",K165&lt;&gt;"Sim",K165&lt;&gt;"N/A"),Config!$B$17&amp;"; ","")&amp;IF(AND(Config!$D$10&lt;&gt;"",L165&lt;&gt;"Sim",L165&lt;&gt;"N/A"),Config!$D$10&amp;"; ","")&amp;IF(AND(Config!$D$11&lt;&gt;"",M165&lt;&gt;"Sim",M165&lt;&gt;"N/A"),Config!$D$11&amp;"; ","")&amp;IF(AND(Config!$D$12&lt;&gt;"",N165&lt;&gt;"Sim",N165&lt;&gt;"N/A"),Config!$D$12&amp;"; ","")&amp;IF(AND(Config!$D$13&lt;&gt;"",O165&lt;&gt;"Sim",O165&lt;&gt;"N/A"),Config!$D$13&amp;"; ","")&amp;IF(AND(Config!$D$14&lt;&gt;"",P165&lt;&gt;"Sim",P165&lt;&gt;"N/A"),Config!$D$14&amp;"; ","")&amp;IF(AND(Config!$D$15&lt;&gt;"",Q165&lt;&gt;"Sim",Q165&lt;&gt;"N/A"),Config!$D$15&amp;"; ","")&amp;IF(AND(Config!$D$16&lt;&gt;"",R165&lt;&gt;"Sim",R165&lt;&gt;"N/A"),Config!$D$16&amp;"; ","")&amp;IF(AND(Config!$D$17&lt;&gt;"",S165&lt;&gt;"Sim",S165&lt;&gt;"N/A"),Config!$D$17&amp;"; ",""))</f>
        <v/>
      </c>
      <c r="AB165" s="39">
        <f>IF(A165="",0,COUNTIF($A$5:$A$304,"&gt;"&amp;A165)+1)</f>
        <v>0</v>
      </c>
    </row>
    <row r="166">
      <c r="A166" s="37" t="n"/>
      <c r="B166" s="24">
        <f>IF(A166="","",CHOOSE(WEEKDAY(A166,2),"Segunda","Terça","Quarta","Quinta","Sexta","Sábado","Domingo"))</f>
        <v/>
      </c>
      <c r="C166" s="38" t="n"/>
      <c r="D166" s="38" t="n"/>
      <c r="E166" s="38" t="n"/>
      <c r="F166" s="38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38" t="n"/>
      <c r="Q166" s="38" t="n"/>
      <c r="R166" s="38" t="n"/>
      <c r="S166" s="38" t="n"/>
      <c r="T166" s="26">
        <f>IF(A166="","",IFERROR(COUNTIF(D166:K166,"Sim")/(Config!$B$19-COUNTIF(D166:K166,"N/A")),""))</f>
        <v/>
      </c>
      <c r="U166" s="26">
        <f>IF(A166="","",IFERROR(COUNTIF(L166:S166,"Sim")/(Config!$D$19-COUNTIF(L166:S166,"N/A")),""))</f>
        <v/>
      </c>
      <c r="V166" s="24">
        <f>IF(A166="","",MAX(0,Config!$B$19-COUNTIF(D166:K166,"Sim")-COUNTIF(D166:K166,"N/A")))</f>
        <v/>
      </c>
      <c r="W166" s="24">
        <f>IF(A166="","",MAX(0,Config!$D$19-COUNTIF(L166:S166,"Sim")-COUNTIF(L166:S166,"N/A")))</f>
        <v/>
      </c>
      <c r="X166" s="24">
        <f>IF(A166="","",V166+W166)</f>
        <v/>
      </c>
      <c r="Y166" s="29">
        <f>IF(OR(A166="",AA166=""),"",LEFT(AA166,LEN(AA166)-2))</f>
        <v/>
      </c>
      <c r="Z166" s="39">
        <f>IF(OR(A166="",X166=0),0,X166*100000+A166/100000)</f>
        <v>0</v>
      </c>
      <c r="AA166" s="39">
        <f>IF(A166="","",IF(AND(Config!$B$10&lt;&gt;"",D166&lt;&gt;"Sim",D166&lt;&gt;"N/A"),Config!$B$10&amp;"; ","")&amp;IF(AND(Config!$B$11&lt;&gt;"",E166&lt;&gt;"Sim",E166&lt;&gt;"N/A"),Config!$B$11&amp;"; ","")&amp;IF(AND(Config!$B$12&lt;&gt;"",F166&lt;&gt;"Sim",F166&lt;&gt;"N/A"),Config!$B$12&amp;"; ","")&amp;IF(AND(Config!$B$13&lt;&gt;"",G166&lt;&gt;"Sim",G166&lt;&gt;"N/A"),Config!$B$13&amp;"; ","")&amp;IF(AND(Config!$B$14&lt;&gt;"",H166&lt;&gt;"Sim",H166&lt;&gt;"N/A"),Config!$B$14&amp;"; ","")&amp;IF(AND(Config!$B$15&lt;&gt;"",I166&lt;&gt;"Sim",I166&lt;&gt;"N/A"),Config!$B$15&amp;"; ","")&amp;IF(AND(Config!$B$16&lt;&gt;"",J166&lt;&gt;"Sim",J166&lt;&gt;"N/A"),Config!$B$16&amp;"; ","")&amp;IF(AND(Config!$B$17&lt;&gt;"",K166&lt;&gt;"Sim",K166&lt;&gt;"N/A"),Config!$B$17&amp;"; ","")&amp;IF(AND(Config!$D$10&lt;&gt;"",L166&lt;&gt;"Sim",L166&lt;&gt;"N/A"),Config!$D$10&amp;"; ","")&amp;IF(AND(Config!$D$11&lt;&gt;"",M166&lt;&gt;"Sim",M166&lt;&gt;"N/A"),Config!$D$11&amp;"; ","")&amp;IF(AND(Config!$D$12&lt;&gt;"",N166&lt;&gt;"Sim",N166&lt;&gt;"N/A"),Config!$D$12&amp;"; ","")&amp;IF(AND(Config!$D$13&lt;&gt;"",O166&lt;&gt;"Sim",O166&lt;&gt;"N/A"),Config!$D$13&amp;"; ","")&amp;IF(AND(Config!$D$14&lt;&gt;"",P166&lt;&gt;"Sim",P166&lt;&gt;"N/A"),Config!$D$14&amp;"; ","")&amp;IF(AND(Config!$D$15&lt;&gt;"",Q166&lt;&gt;"Sim",Q166&lt;&gt;"N/A"),Config!$D$15&amp;"; ","")&amp;IF(AND(Config!$D$16&lt;&gt;"",R166&lt;&gt;"Sim",R166&lt;&gt;"N/A"),Config!$D$16&amp;"; ","")&amp;IF(AND(Config!$D$17&lt;&gt;"",S166&lt;&gt;"Sim",S166&lt;&gt;"N/A"),Config!$D$17&amp;"; ",""))</f>
        <v/>
      </c>
      <c r="AB166" s="39">
        <f>IF(A166="",0,COUNTIF($A$5:$A$304,"&gt;"&amp;A166)+1)</f>
        <v>0</v>
      </c>
    </row>
    <row r="167">
      <c r="A167" s="37" t="n"/>
      <c r="B167" s="24">
        <f>IF(A167="","",CHOOSE(WEEKDAY(A167,2),"Segunda","Terça","Quarta","Quinta","Sexta","Sábado","Domingo"))</f>
        <v/>
      </c>
      <c r="C167" s="38" t="n"/>
      <c r="D167" s="38" t="n"/>
      <c r="E167" s="38" t="n"/>
      <c r="F167" s="38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38" t="n"/>
      <c r="Q167" s="38" t="n"/>
      <c r="R167" s="38" t="n"/>
      <c r="S167" s="38" t="n"/>
      <c r="T167" s="26">
        <f>IF(A167="","",IFERROR(COUNTIF(D167:K167,"Sim")/(Config!$B$19-COUNTIF(D167:K167,"N/A")),""))</f>
        <v/>
      </c>
      <c r="U167" s="26">
        <f>IF(A167="","",IFERROR(COUNTIF(L167:S167,"Sim")/(Config!$D$19-COUNTIF(L167:S167,"N/A")),""))</f>
        <v/>
      </c>
      <c r="V167" s="24">
        <f>IF(A167="","",MAX(0,Config!$B$19-COUNTIF(D167:K167,"Sim")-COUNTIF(D167:K167,"N/A")))</f>
        <v/>
      </c>
      <c r="W167" s="24">
        <f>IF(A167="","",MAX(0,Config!$D$19-COUNTIF(L167:S167,"Sim")-COUNTIF(L167:S167,"N/A")))</f>
        <v/>
      </c>
      <c r="X167" s="24">
        <f>IF(A167="","",V167+W167)</f>
        <v/>
      </c>
      <c r="Y167" s="29">
        <f>IF(OR(A167="",AA167=""),"",LEFT(AA167,LEN(AA167)-2))</f>
        <v/>
      </c>
      <c r="Z167" s="39">
        <f>IF(OR(A167="",X167=0),0,X167*100000+A167/100000)</f>
        <v>0</v>
      </c>
      <c r="AA167" s="39">
        <f>IF(A167="","",IF(AND(Config!$B$10&lt;&gt;"",D167&lt;&gt;"Sim",D167&lt;&gt;"N/A"),Config!$B$10&amp;"; ","")&amp;IF(AND(Config!$B$11&lt;&gt;"",E167&lt;&gt;"Sim",E167&lt;&gt;"N/A"),Config!$B$11&amp;"; ","")&amp;IF(AND(Config!$B$12&lt;&gt;"",F167&lt;&gt;"Sim",F167&lt;&gt;"N/A"),Config!$B$12&amp;"; ","")&amp;IF(AND(Config!$B$13&lt;&gt;"",G167&lt;&gt;"Sim",G167&lt;&gt;"N/A"),Config!$B$13&amp;"; ","")&amp;IF(AND(Config!$B$14&lt;&gt;"",H167&lt;&gt;"Sim",H167&lt;&gt;"N/A"),Config!$B$14&amp;"; ","")&amp;IF(AND(Config!$B$15&lt;&gt;"",I167&lt;&gt;"Sim",I167&lt;&gt;"N/A"),Config!$B$15&amp;"; ","")&amp;IF(AND(Config!$B$16&lt;&gt;"",J167&lt;&gt;"Sim",J167&lt;&gt;"N/A"),Config!$B$16&amp;"; ","")&amp;IF(AND(Config!$B$17&lt;&gt;"",K167&lt;&gt;"Sim",K167&lt;&gt;"N/A"),Config!$B$17&amp;"; ","")&amp;IF(AND(Config!$D$10&lt;&gt;"",L167&lt;&gt;"Sim",L167&lt;&gt;"N/A"),Config!$D$10&amp;"; ","")&amp;IF(AND(Config!$D$11&lt;&gt;"",M167&lt;&gt;"Sim",M167&lt;&gt;"N/A"),Config!$D$11&amp;"; ","")&amp;IF(AND(Config!$D$12&lt;&gt;"",N167&lt;&gt;"Sim",N167&lt;&gt;"N/A"),Config!$D$12&amp;"; ","")&amp;IF(AND(Config!$D$13&lt;&gt;"",O167&lt;&gt;"Sim",O167&lt;&gt;"N/A"),Config!$D$13&amp;"; ","")&amp;IF(AND(Config!$D$14&lt;&gt;"",P167&lt;&gt;"Sim",P167&lt;&gt;"N/A"),Config!$D$14&amp;"; ","")&amp;IF(AND(Config!$D$15&lt;&gt;"",Q167&lt;&gt;"Sim",Q167&lt;&gt;"N/A"),Config!$D$15&amp;"; ","")&amp;IF(AND(Config!$D$16&lt;&gt;"",R167&lt;&gt;"Sim",R167&lt;&gt;"N/A"),Config!$D$16&amp;"; ","")&amp;IF(AND(Config!$D$17&lt;&gt;"",S167&lt;&gt;"Sim",S167&lt;&gt;"N/A"),Config!$D$17&amp;"; ",""))</f>
        <v/>
      </c>
      <c r="AB167" s="39">
        <f>IF(A167="",0,COUNTIF($A$5:$A$304,"&gt;"&amp;A167)+1)</f>
        <v>0</v>
      </c>
    </row>
    <row r="168">
      <c r="A168" s="37" t="n"/>
      <c r="B168" s="24">
        <f>IF(A168="","",CHOOSE(WEEKDAY(A168,2),"Segunda","Terça","Quarta","Quinta","Sexta","Sábado","Domingo"))</f>
        <v/>
      </c>
      <c r="C168" s="38" t="n"/>
      <c r="D168" s="38" t="n"/>
      <c r="E168" s="38" t="n"/>
      <c r="F168" s="38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  <c r="S168" s="38" t="n"/>
      <c r="T168" s="26">
        <f>IF(A168="","",IFERROR(COUNTIF(D168:K168,"Sim")/(Config!$B$19-COUNTIF(D168:K168,"N/A")),""))</f>
        <v/>
      </c>
      <c r="U168" s="26">
        <f>IF(A168="","",IFERROR(COUNTIF(L168:S168,"Sim")/(Config!$D$19-COUNTIF(L168:S168,"N/A")),""))</f>
        <v/>
      </c>
      <c r="V168" s="24">
        <f>IF(A168="","",MAX(0,Config!$B$19-COUNTIF(D168:K168,"Sim")-COUNTIF(D168:K168,"N/A")))</f>
        <v/>
      </c>
      <c r="W168" s="24">
        <f>IF(A168="","",MAX(0,Config!$D$19-COUNTIF(L168:S168,"Sim")-COUNTIF(L168:S168,"N/A")))</f>
        <v/>
      </c>
      <c r="X168" s="24">
        <f>IF(A168="","",V168+W168)</f>
        <v/>
      </c>
      <c r="Y168" s="29">
        <f>IF(OR(A168="",AA168=""),"",LEFT(AA168,LEN(AA168)-2))</f>
        <v/>
      </c>
      <c r="Z168" s="39">
        <f>IF(OR(A168="",X168=0),0,X168*100000+A168/100000)</f>
        <v>0</v>
      </c>
      <c r="AA168" s="39">
        <f>IF(A168="","",IF(AND(Config!$B$10&lt;&gt;"",D168&lt;&gt;"Sim",D168&lt;&gt;"N/A"),Config!$B$10&amp;"; ","")&amp;IF(AND(Config!$B$11&lt;&gt;"",E168&lt;&gt;"Sim",E168&lt;&gt;"N/A"),Config!$B$11&amp;"; ","")&amp;IF(AND(Config!$B$12&lt;&gt;"",F168&lt;&gt;"Sim",F168&lt;&gt;"N/A"),Config!$B$12&amp;"; ","")&amp;IF(AND(Config!$B$13&lt;&gt;"",G168&lt;&gt;"Sim",G168&lt;&gt;"N/A"),Config!$B$13&amp;"; ","")&amp;IF(AND(Config!$B$14&lt;&gt;"",H168&lt;&gt;"Sim",H168&lt;&gt;"N/A"),Config!$B$14&amp;"; ","")&amp;IF(AND(Config!$B$15&lt;&gt;"",I168&lt;&gt;"Sim",I168&lt;&gt;"N/A"),Config!$B$15&amp;"; ","")&amp;IF(AND(Config!$B$16&lt;&gt;"",J168&lt;&gt;"Sim",J168&lt;&gt;"N/A"),Config!$B$16&amp;"; ","")&amp;IF(AND(Config!$B$17&lt;&gt;"",K168&lt;&gt;"Sim",K168&lt;&gt;"N/A"),Config!$B$17&amp;"; ","")&amp;IF(AND(Config!$D$10&lt;&gt;"",L168&lt;&gt;"Sim",L168&lt;&gt;"N/A"),Config!$D$10&amp;"; ","")&amp;IF(AND(Config!$D$11&lt;&gt;"",M168&lt;&gt;"Sim",M168&lt;&gt;"N/A"),Config!$D$11&amp;"; ","")&amp;IF(AND(Config!$D$12&lt;&gt;"",N168&lt;&gt;"Sim",N168&lt;&gt;"N/A"),Config!$D$12&amp;"; ","")&amp;IF(AND(Config!$D$13&lt;&gt;"",O168&lt;&gt;"Sim",O168&lt;&gt;"N/A"),Config!$D$13&amp;"; ","")&amp;IF(AND(Config!$D$14&lt;&gt;"",P168&lt;&gt;"Sim",P168&lt;&gt;"N/A"),Config!$D$14&amp;"; ","")&amp;IF(AND(Config!$D$15&lt;&gt;"",Q168&lt;&gt;"Sim",Q168&lt;&gt;"N/A"),Config!$D$15&amp;"; ","")&amp;IF(AND(Config!$D$16&lt;&gt;"",R168&lt;&gt;"Sim",R168&lt;&gt;"N/A"),Config!$D$16&amp;"; ","")&amp;IF(AND(Config!$D$17&lt;&gt;"",S168&lt;&gt;"Sim",S168&lt;&gt;"N/A"),Config!$D$17&amp;"; ",""))</f>
        <v/>
      </c>
      <c r="AB168" s="39">
        <f>IF(A168="",0,COUNTIF($A$5:$A$304,"&gt;"&amp;A168)+1)</f>
        <v>0</v>
      </c>
    </row>
    <row r="169">
      <c r="A169" s="37" t="n"/>
      <c r="B169" s="24">
        <f>IF(A169="","",CHOOSE(WEEKDAY(A169,2),"Segunda","Terça","Quarta","Quinta","Sexta","Sábado","Domingo"))</f>
        <v/>
      </c>
      <c r="C169" s="38" t="n"/>
      <c r="D169" s="38" t="n"/>
      <c r="E169" s="38" t="n"/>
      <c r="F169" s="38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26">
        <f>IF(A169="","",IFERROR(COUNTIF(D169:K169,"Sim")/(Config!$B$19-COUNTIF(D169:K169,"N/A")),""))</f>
        <v/>
      </c>
      <c r="U169" s="26">
        <f>IF(A169="","",IFERROR(COUNTIF(L169:S169,"Sim")/(Config!$D$19-COUNTIF(L169:S169,"N/A")),""))</f>
        <v/>
      </c>
      <c r="V169" s="24">
        <f>IF(A169="","",MAX(0,Config!$B$19-COUNTIF(D169:K169,"Sim")-COUNTIF(D169:K169,"N/A")))</f>
        <v/>
      </c>
      <c r="W169" s="24">
        <f>IF(A169="","",MAX(0,Config!$D$19-COUNTIF(L169:S169,"Sim")-COUNTIF(L169:S169,"N/A")))</f>
        <v/>
      </c>
      <c r="X169" s="24">
        <f>IF(A169="","",V169+W169)</f>
        <v/>
      </c>
      <c r="Y169" s="29">
        <f>IF(OR(A169="",AA169=""),"",LEFT(AA169,LEN(AA169)-2))</f>
        <v/>
      </c>
      <c r="Z169" s="39">
        <f>IF(OR(A169="",X169=0),0,X169*100000+A169/100000)</f>
        <v>0</v>
      </c>
      <c r="AA169" s="39">
        <f>IF(A169="","",IF(AND(Config!$B$10&lt;&gt;"",D169&lt;&gt;"Sim",D169&lt;&gt;"N/A"),Config!$B$10&amp;"; ","")&amp;IF(AND(Config!$B$11&lt;&gt;"",E169&lt;&gt;"Sim",E169&lt;&gt;"N/A"),Config!$B$11&amp;"; ","")&amp;IF(AND(Config!$B$12&lt;&gt;"",F169&lt;&gt;"Sim",F169&lt;&gt;"N/A"),Config!$B$12&amp;"; ","")&amp;IF(AND(Config!$B$13&lt;&gt;"",G169&lt;&gt;"Sim",G169&lt;&gt;"N/A"),Config!$B$13&amp;"; ","")&amp;IF(AND(Config!$B$14&lt;&gt;"",H169&lt;&gt;"Sim",H169&lt;&gt;"N/A"),Config!$B$14&amp;"; ","")&amp;IF(AND(Config!$B$15&lt;&gt;"",I169&lt;&gt;"Sim",I169&lt;&gt;"N/A"),Config!$B$15&amp;"; ","")&amp;IF(AND(Config!$B$16&lt;&gt;"",J169&lt;&gt;"Sim",J169&lt;&gt;"N/A"),Config!$B$16&amp;"; ","")&amp;IF(AND(Config!$B$17&lt;&gt;"",K169&lt;&gt;"Sim",K169&lt;&gt;"N/A"),Config!$B$17&amp;"; ","")&amp;IF(AND(Config!$D$10&lt;&gt;"",L169&lt;&gt;"Sim",L169&lt;&gt;"N/A"),Config!$D$10&amp;"; ","")&amp;IF(AND(Config!$D$11&lt;&gt;"",M169&lt;&gt;"Sim",M169&lt;&gt;"N/A"),Config!$D$11&amp;"; ","")&amp;IF(AND(Config!$D$12&lt;&gt;"",N169&lt;&gt;"Sim",N169&lt;&gt;"N/A"),Config!$D$12&amp;"; ","")&amp;IF(AND(Config!$D$13&lt;&gt;"",O169&lt;&gt;"Sim",O169&lt;&gt;"N/A"),Config!$D$13&amp;"; ","")&amp;IF(AND(Config!$D$14&lt;&gt;"",P169&lt;&gt;"Sim",P169&lt;&gt;"N/A"),Config!$D$14&amp;"; ","")&amp;IF(AND(Config!$D$15&lt;&gt;"",Q169&lt;&gt;"Sim",Q169&lt;&gt;"N/A"),Config!$D$15&amp;"; ","")&amp;IF(AND(Config!$D$16&lt;&gt;"",R169&lt;&gt;"Sim",R169&lt;&gt;"N/A"),Config!$D$16&amp;"; ","")&amp;IF(AND(Config!$D$17&lt;&gt;"",S169&lt;&gt;"Sim",S169&lt;&gt;"N/A"),Config!$D$17&amp;"; ",""))</f>
        <v/>
      </c>
      <c r="AB169" s="39">
        <f>IF(A169="",0,COUNTIF($A$5:$A$304,"&gt;"&amp;A169)+1)</f>
        <v>0</v>
      </c>
    </row>
    <row r="170">
      <c r="A170" s="37" t="n"/>
      <c r="B170" s="24">
        <f>IF(A170="","",CHOOSE(WEEKDAY(A170,2),"Segunda","Terça","Quarta","Quinta","Sexta","Sábado","Domingo"))</f>
        <v/>
      </c>
      <c r="C170" s="38" t="n"/>
      <c r="D170" s="38" t="n"/>
      <c r="E170" s="38" t="n"/>
      <c r="F170" s="38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26">
        <f>IF(A170="","",IFERROR(COUNTIF(D170:K170,"Sim")/(Config!$B$19-COUNTIF(D170:K170,"N/A")),""))</f>
        <v/>
      </c>
      <c r="U170" s="26">
        <f>IF(A170="","",IFERROR(COUNTIF(L170:S170,"Sim")/(Config!$D$19-COUNTIF(L170:S170,"N/A")),""))</f>
        <v/>
      </c>
      <c r="V170" s="24">
        <f>IF(A170="","",MAX(0,Config!$B$19-COUNTIF(D170:K170,"Sim")-COUNTIF(D170:K170,"N/A")))</f>
        <v/>
      </c>
      <c r="W170" s="24">
        <f>IF(A170="","",MAX(0,Config!$D$19-COUNTIF(L170:S170,"Sim")-COUNTIF(L170:S170,"N/A")))</f>
        <v/>
      </c>
      <c r="X170" s="24">
        <f>IF(A170="","",V170+W170)</f>
        <v/>
      </c>
      <c r="Y170" s="29">
        <f>IF(OR(A170="",AA170=""),"",LEFT(AA170,LEN(AA170)-2))</f>
        <v/>
      </c>
      <c r="Z170" s="39">
        <f>IF(OR(A170="",X170=0),0,X170*100000+A170/100000)</f>
        <v>0</v>
      </c>
      <c r="AA170" s="39">
        <f>IF(A170="","",IF(AND(Config!$B$10&lt;&gt;"",D170&lt;&gt;"Sim",D170&lt;&gt;"N/A"),Config!$B$10&amp;"; ","")&amp;IF(AND(Config!$B$11&lt;&gt;"",E170&lt;&gt;"Sim",E170&lt;&gt;"N/A"),Config!$B$11&amp;"; ","")&amp;IF(AND(Config!$B$12&lt;&gt;"",F170&lt;&gt;"Sim",F170&lt;&gt;"N/A"),Config!$B$12&amp;"; ","")&amp;IF(AND(Config!$B$13&lt;&gt;"",G170&lt;&gt;"Sim",G170&lt;&gt;"N/A"),Config!$B$13&amp;"; ","")&amp;IF(AND(Config!$B$14&lt;&gt;"",H170&lt;&gt;"Sim",H170&lt;&gt;"N/A"),Config!$B$14&amp;"; ","")&amp;IF(AND(Config!$B$15&lt;&gt;"",I170&lt;&gt;"Sim",I170&lt;&gt;"N/A"),Config!$B$15&amp;"; ","")&amp;IF(AND(Config!$B$16&lt;&gt;"",J170&lt;&gt;"Sim",J170&lt;&gt;"N/A"),Config!$B$16&amp;"; ","")&amp;IF(AND(Config!$B$17&lt;&gt;"",K170&lt;&gt;"Sim",K170&lt;&gt;"N/A"),Config!$B$17&amp;"; ","")&amp;IF(AND(Config!$D$10&lt;&gt;"",L170&lt;&gt;"Sim",L170&lt;&gt;"N/A"),Config!$D$10&amp;"; ","")&amp;IF(AND(Config!$D$11&lt;&gt;"",M170&lt;&gt;"Sim",M170&lt;&gt;"N/A"),Config!$D$11&amp;"; ","")&amp;IF(AND(Config!$D$12&lt;&gt;"",N170&lt;&gt;"Sim",N170&lt;&gt;"N/A"),Config!$D$12&amp;"; ","")&amp;IF(AND(Config!$D$13&lt;&gt;"",O170&lt;&gt;"Sim",O170&lt;&gt;"N/A"),Config!$D$13&amp;"; ","")&amp;IF(AND(Config!$D$14&lt;&gt;"",P170&lt;&gt;"Sim",P170&lt;&gt;"N/A"),Config!$D$14&amp;"; ","")&amp;IF(AND(Config!$D$15&lt;&gt;"",Q170&lt;&gt;"Sim",Q170&lt;&gt;"N/A"),Config!$D$15&amp;"; ","")&amp;IF(AND(Config!$D$16&lt;&gt;"",R170&lt;&gt;"Sim",R170&lt;&gt;"N/A"),Config!$D$16&amp;"; ","")&amp;IF(AND(Config!$D$17&lt;&gt;"",S170&lt;&gt;"Sim",S170&lt;&gt;"N/A"),Config!$D$17&amp;"; ",""))</f>
        <v/>
      </c>
      <c r="AB170" s="39">
        <f>IF(A170="",0,COUNTIF($A$5:$A$304,"&gt;"&amp;A170)+1)</f>
        <v>0</v>
      </c>
    </row>
    <row r="171">
      <c r="A171" s="37" t="n"/>
      <c r="B171" s="24">
        <f>IF(A171="","",CHOOSE(WEEKDAY(A171,2),"Segunda","Terça","Quarta","Quinta","Sexta","Sábado","Domingo"))</f>
        <v/>
      </c>
      <c r="C171" s="38" t="n"/>
      <c r="D171" s="38" t="n"/>
      <c r="E171" s="38" t="n"/>
      <c r="F171" s="38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26">
        <f>IF(A171="","",IFERROR(COUNTIF(D171:K171,"Sim")/(Config!$B$19-COUNTIF(D171:K171,"N/A")),""))</f>
        <v/>
      </c>
      <c r="U171" s="26">
        <f>IF(A171="","",IFERROR(COUNTIF(L171:S171,"Sim")/(Config!$D$19-COUNTIF(L171:S171,"N/A")),""))</f>
        <v/>
      </c>
      <c r="V171" s="24">
        <f>IF(A171="","",MAX(0,Config!$B$19-COUNTIF(D171:K171,"Sim")-COUNTIF(D171:K171,"N/A")))</f>
        <v/>
      </c>
      <c r="W171" s="24">
        <f>IF(A171="","",MAX(0,Config!$D$19-COUNTIF(L171:S171,"Sim")-COUNTIF(L171:S171,"N/A")))</f>
        <v/>
      </c>
      <c r="X171" s="24">
        <f>IF(A171="","",V171+W171)</f>
        <v/>
      </c>
      <c r="Y171" s="29">
        <f>IF(OR(A171="",AA171=""),"",LEFT(AA171,LEN(AA171)-2))</f>
        <v/>
      </c>
      <c r="Z171" s="39">
        <f>IF(OR(A171="",X171=0),0,X171*100000+A171/100000)</f>
        <v>0</v>
      </c>
      <c r="AA171" s="39">
        <f>IF(A171="","",IF(AND(Config!$B$10&lt;&gt;"",D171&lt;&gt;"Sim",D171&lt;&gt;"N/A"),Config!$B$10&amp;"; ","")&amp;IF(AND(Config!$B$11&lt;&gt;"",E171&lt;&gt;"Sim",E171&lt;&gt;"N/A"),Config!$B$11&amp;"; ","")&amp;IF(AND(Config!$B$12&lt;&gt;"",F171&lt;&gt;"Sim",F171&lt;&gt;"N/A"),Config!$B$12&amp;"; ","")&amp;IF(AND(Config!$B$13&lt;&gt;"",G171&lt;&gt;"Sim",G171&lt;&gt;"N/A"),Config!$B$13&amp;"; ","")&amp;IF(AND(Config!$B$14&lt;&gt;"",H171&lt;&gt;"Sim",H171&lt;&gt;"N/A"),Config!$B$14&amp;"; ","")&amp;IF(AND(Config!$B$15&lt;&gt;"",I171&lt;&gt;"Sim",I171&lt;&gt;"N/A"),Config!$B$15&amp;"; ","")&amp;IF(AND(Config!$B$16&lt;&gt;"",J171&lt;&gt;"Sim",J171&lt;&gt;"N/A"),Config!$B$16&amp;"; ","")&amp;IF(AND(Config!$B$17&lt;&gt;"",K171&lt;&gt;"Sim",K171&lt;&gt;"N/A"),Config!$B$17&amp;"; ","")&amp;IF(AND(Config!$D$10&lt;&gt;"",L171&lt;&gt;"Sim",L171&lt;&gt;"N/A"),Config!$D$10&amp;"; ","")&amp;IF(AND(Config!$D$11&lt;&gt;"",M171&lt;&gt;"Sim",M171&lt;&gt;"N/A"),Config!$D$11&amp;"; ","")&amp;IF(AND(Config!$D$12&lt;&gt;"",N171&lt;&gt;"Sim",N171&lt;&gt;"N/A"),Config!$D$12&amp;"; ","")&amp;IF(AND(Config!$D$13&lt;&gt;"",O171&lt;&gt;"Sim",O171&lt;&gt;"N/A"),Config!$D$13&amp;"; ","")&amp;IF(AND(Config!$D$14&lt;&gt;"",P171&lt;&gt;"Sim",P171&lt;&gt;"N/A"),Config!$D$14&amp;"; ","")&amp;IF(AND(Config!$D$15&lt;&gt;"",Q171&lt;&gt;"Sim",Q171&lt;&gt;"N/A"),Config!$D$15&amp;"; ","")&amp;IF(AND(Config!$D$16&lt;&gt;"",R171&lt;&gt;"Sim",R171&lt;&gt;"N/A"),Config!$D$16&amp;"; ","")&amp;IF(AND(Config!$D$17&lt;&gt;"",S171&lt;&gt;"Sim",S171&lt;&gt;"N/A"),Config!$D$17&amp;"; ",""))</f>
        <v/>
      </c>
      <c r="AB171" s="39">
        <f>IF(A171="",0,COUNTIF($A$5:$A$304,"&gt;"&amp;A171)+1)</f>
        <v>0</v>
      </c>
    </row>
    <row r="172">
      <c r="A172" s="37" t="n"/>
      <c r="B172" s="24">
        <f>IF(A172="","",CHOOSE(WEEKDAY(A172,2),"Segunda","Terça","Quarta","Quinta","Sexta","Sábado","Domingo"))</f>
        <v/>
      </c>
      <c r="C172" s="38" t="n"/>
      <c r="D172" s="38" t="n"/>
      <c r="E172" s="38" t="n"/>
      <c r="F172" s="38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26">
        <f>IF(A172="","",IFERROR(COUNTIF(D172:K172,"Sim")/(Config!$B$19-COUNTIF(D172:K172,"N/A")),""))</f>
        <v/>
      </c>
      <c r="U172" s="26">
        <f>IF(A172="","",IFERROR(COUNTIF(L172:S172,"Sim")/(Config!$D$19-COUNTIF(L172:S172,"N/A")),""))</f>
        <v/>
      </c>
      <c r="V172" s="24">
        <f>IF(A172="","",MAX(0,Config!$B$19-COUNTIF(D172:K172,"Sim")-COUNTIF(D172:K172,"N/A")))</f>
        <v/>
      </c>
      <c r="W172" s="24">
        <f>IF(A172="","",MAX(0,Config!$D$19-COUNTIF(L172:S172,"Sim")-COUNTIF(L172:S172,"N/A")))</f>
        <v/>
      </c>
      <c r="X172" s="24">
        <f>IF(A172="","",V172+W172)</f>
        <v/>
      </c>
      <c r="Y172" s="29">
        <f>IF(OR(A172="",AA172=""),"",LEFT(AA172,LEN(AA172)-2))</f>
        <v/>
      </c>
      <c r="Z172" s="39">
        <f>IF(OR(A172="",X172=0),0,X172*100000+A172/100000)</f>
        <v>0</v>
      </c>
      <c r="AA172" s="39">
        <f>IF(A172="","",IF(AND(Config!$B$10&lt;&gt;"",D172&lt;&gt;"Sim",D172&lt;&gt;"N/A"),Config!$B$10&amp;"; ","")&amp;IF(AND(Config!$B$11&lt;&gt;"",E172&lt;&gt;"Sim",E172&lt;&gt;"N/A"),Config!$B$11&amp;"; ","")&amp;IF(AND(Config!$B$12&lt;&gt;"",F172&lt;&gt;"Sim",F172&lt;&gt;"N/A"),Config!$B$12&amp;"; ","")&amp;IF(AND(Config!$B$13&lt;&gt;"",G172&lt;&gt;"Sim",G172&lt;&gt;"N/A"),Config!$B$13&amp;"; ","")&amp;IF(AND(Config!$B$14&lt;&gt;"",H172&lt;&gt;"Sim",H172&lt;&gt;"N/A"),Config!$B$14&amp;"; ","")&amp;IF(AND(Config!$B$15&lt;&gt;"",I172&lt;&gt;"Sim",I172&lt;&gt;"N/A"),Config!$B$15&amp;"; ","")&amp;IF(AND(Config!$B$16&lt;&gt;"",J172&lt;&gt;"Sim",J172&lt;&gt;"N/A"),Config!$B$16&amp;"; ","")&amp;IF(AND(Config!$B$17&lt;&gt;"",K172&lt;&gt;"Sim",K172&lt;&gt;"N/A"),Config!$B$17&amp;"; ","")&amp;IF(AND(Config!$D$10&lt;&gt;"",L172&lt;&gt;"Sim",L172&lt;&gt;"N/A"),Config!$D$10&amp;"; ","")&amp;IF(AND(Config!$D$11&lt;&gt;"",M172&lt;&gt;"Sim",M172&lt;&gt;"N/A"),Config!$D$11&amp;"; ","")&amp;IF(AND(Config!$D$12&lt;&gt;"",N172&lt;&gt;"Sim",N172&lt;&gt;"N/A"),Config!$D$12&amp;"; ","")&amp;IF(AND(Config!$D$13&lt;&gt;"",O172&lt;&gt;"Sim",O172&lt;&gt;"N/A"),Config!$D$13&amp;"; ","")&amp;IF(AND(Config!$D$14&lt;&gt;"",P172&lt;&gt;"Sim",P172&lt;&gt;"N/A"),Config!$D$14&amp;"; ","")&amp;IF(AND(Config!$D$15&lt;&gt;"",Q172&lt;&gt;"Sim",Q172&lt;&gt;"N/A"),Config!$D$15&amp;"; ","")&amp;IF(AND(Config!$D$16&lt;&gt;"",R172&lt;&gt;"Sim",R172&lt;&gt;"N/A"),Config!$D$16&amp;"; ","")&amp;IF(AND(Config!$D$17&lt;&gt;"",S172&lt;&gt;"Sim",S172&lt;&gt;"N/A"),Config!$D$17&amp;"; ",""))</f>
        <v/>
      </c>
      <c r="AB172" s="39">
        <f>IF(A172="",0,COUNTIF($A$5:$A$304,"&gt;"&amp;A172)+1)</f>
        <v>0</v>
      </c>
    </row>
    <row r="173">
      <c r="A173" s="37" t="n"/>
      <c r="B173" s="24">
        <f>IF(A173="","",CHOOSE(WEEKDAY(A173,2),"Segunda","Terça","Quarta","Quinta","Sexta","Sábado","Domingo"))</f>
        <v/>
      </c>
      <c r="C173" s="38" t="n"/>
      <c r="D173" s="38" t="n"/>
      <c r="E173" s="38" t="n"/>
      <c r="F173" s="38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26">
        <f>IF(A173="","",IFERROR(COUNTIF(D173:K173,"Sim")/(Config!$B$19-COUNTIF(D173:K173,"N/A")),""))</f>
        <v/>
      </c>
      <c r="U173" s="26">
        <f>IF(A173="","",IFERROR(COUNTIF(L173:S173,"Sim")/(Config!$D$19-COUNTIF(L173:S173,"N/A")),""))</f>
        <v/>
      </c>
      <c r="V173" s="24">
        <f>IF(A173="","",MAX(0,Config!$B$19-COUNTIF(D173:K173,"Sim")-COUNTIF(D173:K173,"N/A")))</f>
        <v/>
      </c>
      <c r="W173" s="24">
        <f>IF(A173="","",MAX(0,Config!$D$19-COUNTIF(L173:S173,"Sim")-COUNTIF(L173:S173,"N/A")))</f>
        <v/>
      </c>
      <c r="X173" s="24">
        <f>IF(A173="","",V173+W173)</f>
        <v/>
      </c>
      <c r="Y173" s="29">
        <f>IF(OR(A173="",AA173=""),"",LEFT(AA173,LEN(AA173)-2))</f>
        <v/>
      </c>
      <c r="Z173" s="39">
        <f>IF(OR(A173="",X173=0),0,X173*100000+A173/100000)</f>
        <v>0</v>
      </c>
      <c r="AA173" s="39">
        <f>IF(A173="","",IF(AND(Config!$B$10&lt;&gt;"",D173&lt;&gt;"Sim",D173&lt;&gt;"N/A"),Config!$B$10&amp;"; ","")&amp;IF(AND(Config!$B$11&lt;&gt;"",E173&lt;&gt;"Sim",E173&lt;&gt;"N/A"),Config!$B$11&amp;"; ","")&amp;IF(AND(Config!$B$12&lt;&gt;"",F173&lt;&gt;"Sim",F173&lt;&gt;"N/A"),Config!$B$12&amp;"; ","")&amp;IF(AND(Config!$B$13&lt;&gt;"",G173&lt;&gt;"Sim",G173&lt;&gt;"N/A"),Config!$B$13&amp;"; ","")&amp;IF(AND(Config!$B$14&lt;&gt;"",H173&lt;&gt;"Sim",H173&lt;&gt;"N/A"),Config!$B$14&amp;"; ","")&amp;IF(AND(Config!$B$15&lt;&gt;"",I173&lt;&gt;"Sim",I173&lt;&gt;"N/A"),Config!$B$15&amp;"; ","")&amp;IF(AND(Config!$B$16&lt;&gt;"",J173&lt;&gt;"Sim",J173&lt;&gt;"N/A"),Config!$B$16&amp;"; ","")&amp;IF(AND(Config!$B$17&lt;&gt;"",K173&lt;&gt;"Sim",K173&lt;&gt;"N/A"),Config!$B$17&amp;"; ","")&amp;IF(AND(Config!$D$10&lt;&gt;"",L173&lt;&gt;"Sim",L173&lt;&gt;"N/A"),Config!$D$10&amp;"; ","")&amp;IF(AND(Config!$D$11&lt;&gt;"",M173&lt;&gt;"Sim",M173&lt;&gt;"N/A"),Config!$D$11&amp;"; ","")&amp;IF(AND(Config!$D$12&lt;&gt;"",N173&lt;&gt;"Sim",N173&lt;&gt;"N/A"),Config!$D$12&amp;"; ","")&amp;IF(AND(Config!$D$13&lt;&gt;"",O173&lt;&gt;"Sim",O173&lt;&gt;"N/A"),Config!$D$13&amp;"; ","")&amp;IF(AND(Config!$D$14&lt;&gt;"",P173&lt;&gt;"Sim",P173&lt;&gt;"N/A"),Config!$D$14&amp;"; ","")&amp;IF(AND(Config!$D$15&lt;&gt;"",Q173&lt;&gt;"Sim",Q173&lt;&gt;"N/A"),Config!$D$15&amp;"; ","")&amp;IF(AND(Config!$D$16&lt;&gt;"",R173&lt;&gt;"Sim",R173&lt;&gt;"N/A"),Config!$D$16&amp;"; ","")&amp;IF(AND(Config!$D$17&lt;&gt;"",S173&lt;&gt;"Sim",S173&lt;&gt;"N/A"),Config!$D$17&amp;"; ",""))</f>
        <v/>
      </c>
      <c r="AB173" s="39">
        <f>IF(A173="",0,COUNTIF($A$5:$A$304,"&gt;"&amp;A173)+1)</f>
        <v>0</v>
      </c>
    </row>
    <row r="174">
      <c r="A174" s="37" t="n"/>
      <c r="B174" s="24">
        <f>IF(A174="","",CHOOSE(WEEKDAY(A174,2),"Segunda","Terça","Quarta","Quinta","Sexta","Sábado","Domingo"))</f>
        <v/>
      </c>
      <c r="C174" s="38" t="n"/>
      <c r="D174" s="38" t="n"/>
      <c r="E174" s="38" t="n"/>
      <c r="F174" s="38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26">
        <f>IF(A174="","",IFERROR(COUNTIF(D174:K174,"Sim")/(Config!$B$19-COUNTIF(D174:K174,"N/A")),""))</f>
        <v/>
      </c>
      <c r="U174" s="26">
        <f>IF(A174="","",IFERROR(COUNTIF(L174:S174,"Sim")/(Config!$D$19-COUNTIF(L174:S174,"N/A")),""))</f>
        <v/>
      </c>
      <c r="V174" s="24">
        <f>IF(A174="","",MAX(0,Config!$B$19-COUNTIF(D174:K174,"Sim")-COUNTIF(D174:K174,"N/A")))</f>
        <v/>
      </c>
      <c r="W174" s="24">
        <f>IF(A174="","",MAX(0,Config!$D$19-COUNTIF(L174:S174,"Sim")-COUNTIF(L174:S174,"N/A")))</f>
        <v/>
      </c>
      <c r="X174" s="24">
        <f>IF(A174="","",V174+W174)</f>
        <v/>
      </c>
      <c r="Y174" s="29">
        <f>IF(OR(A174="",AA174=""),"",LEFT(AA174,LEN(AA174)-2))</f>
        <v/>
      </c>
      <c r="Z174" s="39">
        <f>IF(OR(A174="",X174=0),0,X174*100000+A174/100000)</f>
        <v>0</v>
      </c>
      <c r="AA174" s="39">
        <f>IF(A174="","",IF(AND(Config!$B$10&lt;&gt;"",D174&lt;&gt;"Sim",D174&lt;&gt;"N/A"),Config!$B$10&amp;"; ","")&amp;IF(AND(Config!$B$11&lt;&gt;"",E174&lt;&gt;"Sim",E174&lt;&gt;"N/A"),Config!$B$11&amp;"; ","")&amp;IF(AND(Config!$B$12&lt;&gt;"",F174&lt;&gt;"Sim",F174&lt;&gt;"N/A"),Config!$B$12&amp;"; ","")&amp;IF(AND(Config!$B$13&lt;&gt;"",G174&lt;&gt;"Sim",G174&lt;&gt;"N/A"),Config!$B$13&amp;"; ","")&amp;IF(AND(Config!$B$14&lt;&gt;"",H174&lt;&gt;"Sim",H174&lt;&gt;"N/A"),Config!$B$14&amp;"; ","")&amp;IF(AND(Config!$B$15&lt;&gt;"",I174&lt;&gt;"Sim",I174&lt;&gt;"N/A"),Config!$B$15&amp;"; ","")&amp;IF(AND(Config!$B$16&lt;&gt;"",J174&lt;&gt;"Sim",J174&lt;&gt;"N/A"),Config!$B$16&amp;"; ","")&amp;IF(AND(Config!$B$17&lt;&gt;"",K174&lt;&gt;"Sim",K174&lt;&gt;"N/A"),Config!$B$17&amp;"; ","")&amp;IF(AND(Config!$D$10&lt;&gt;"",L174&lt;&gt;"Sim",L174&lt;&gt;"N/A"),Config!$D$10&amp;"; ","")&amp;IF(AND(Config!$D$11&lt;&gt;"",M174&lt;&gt;"Sim",M174&lt;&gt;"N/A"),Config!$D$11&amp;"; ","")&amp;IF(AND(Config!$D$12&lt;&gt;"",N174&lt;&gt;"Sim",N174&lt;&gt;"N/A"),Config!$D$12&amp;"; ","")&amp;IF(AND(Config!$D$13&lt;&gt;"",O174&lt;&gt;"Sim",O174&lt;&gt;"N/A"),Config!$D$13&amp;"; ","")&amp;IF(AND(Config!$D$14&lt;&gt;"",P174&lt;&gt;"Sim",P174&lt;&gt;"N/A"),Config!$D$14&amp;"; ","")&amp;IF(AND(Config!$D$15&lt;&gt;"",Q174&lt;&gt;"Sim",Q174&lt;&gt;"N/A"),Config!$D$15&amp;"; ","")&amp;IF(AND(Config!$D$16&lt;&gt;"",R174&lt;&gt;"Sim",R174&lt;&gt;"N/A"),Config!$D$16&amp;"; ","")&amp;IF(AND(Config!$D$17&lt;&gt;"",S174&lt;&gt;"Sim",S174&lt;&gt;"N/A"),Config!$D$17&amp;"; ",""))</f>
        <v/>
      </c>
      <c r="AB174" s="39">
        <f>IF(A174="",0,COUNTIF($A$5:$A$304,"&gt;"&amp;A174)+1)</f>
        <v>0</v>
      </c>
    </row>
    <row r="175">
      <c r="A175" s="37" t="n"/>
      <c r="B175" s="24">
        <f>IF(A175="","",CHOOSE(WEEKDAY(A175,2),"Segunda","Terça","Quarta","Quinta","Sexta","Sábado","Domingo"))</f>
        <v/>
      </c>
      <c r="C175" s="38" t="n"/>
      <c r="D175" s="38" t="n"/>
      <c r="E175" s="38" t="n"/>
      <c r="F175" s="38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26">
        <f>IF(A175="","",IFERROR(COUNTIF(D175:K175,"Sim")/(Config!$B$19-COUNTIF(D175:K175,"N/A")),""))</f>
        <v/>
      </c>
      <c r="U175" s="26">
        <f>IF(A175="","",IFERROR(COUNTIF(L175:S175,"Sim")/(Config!$D$19-COUNTIF(L175:S175,"N/A")),""))</f>
        <v/>
      </c>
      <c r="V175" s="24">
        <f>IF(A175="","",MAX(0,Config!$B$19-COUNTIF(D175:K175,"Sim")-COUNTIF(D175:K175,"N/A")))</f>
        <v/>
      </c>
      <c r="W175" s="24">
        <f>IF(A175="","",MAX(0,Config!$D$19-COUNTIF(L175:S175,"Sim")-COUNTIF(L175:S175,"N/A")))</f>
        <v/>
      </c>
      <c r="X175" s="24">
        <f>IF(A175="","",V175+W175)</f>
        <v/>
      </c>
      <c r="Y175" s="29">
        <f>IF(OR(A175="",AA175=""),"",LEFT(AA175,LEN(AA175)-2))</f>
        <v/>
      </c>
      <c r="Z175" s="39">
        <f>IF(OR(A175="",X175=0),0,X175*100000+A175/100000)</f>
        <v>0</v>
      </c>
      <c r="AA175" s="39">
        <f>IF(A175="","",IF(AND(Config!$B$10&lt;&gt;"",D175&lt;&gt;"Sim",D175&lt;&gt;"N/A"),Config!$B$10&amp;"; ","")&amp;IF(AND(Config!$B$11&lt;&gt;"",E175&lt;&gt;"Sim",E175&lt;&gt;"N/A"),Config!$B$11&amp;"; ","")&amp;IF(AND(Config!$B$12&lt;&gt;"",F175&lt;&gt;"Sim",F175&lt;&gt;"N/A"),Config!$B$12&amp;"; ","")&amp;IF(AND(Config!$B$13&lt;&gt;"",G175&lt;&gt;"Sim",G175&lt;&gt;"N/A"),Config!$B$13&amp;"; ","")&amp;IF(AND(Config!$B$14&lt;&gt;"",H175&lt;&gt;"Sim",H175&lt;&gt;"N/A"),Config!$B$14&amp;"; ","")&amp;IF(AND(Config!$B$15&lt;&gt;"",I175&lt;&gt;"Sim",I175&lt;&gt;"N/A"),Config!$B$15&amp;"; ","")&amp;IF(AND(Config!$B$16&lt;&gt;"",J175&lt;&gt;"Sim",J175&lt;&gt;"N/A"),Config!$B$16&amp;"; ","")&amp;IF(AND(Config!$B$17&lt;&gt;"",K175&lt;&gt;"Sim",K175&lt;&gt;"N/A"),Config!$B$17&amp;"; ","")&amp;IF(AND(Config!$D$10&lt;&gt;"",L175&lt;&gt;"Sim",L175&lt;&gt;"N/A"),Config!$D$10&amp;"; ","")&amp;IF(AND(Config!$D$11&lt;&gt;"",M175&lt;&gt;"Sim",M175&lt;&gt;"N/A"),Config!$D$11&amp;"; ","")&amp;IF(AND(Config!$D$12&lt;&gt;"",N175&lt;&gt;"Sim",N175&lt;&gt;"N/A"),Config!$D$12&amp;"; ","")&amp;IF(AND(Config!$D$13&lt;&gt;"",O175&lt;&gt;"Sim",O175&lt;&gt;"N/A"),Config!$D$13&amp;"; ","")&amp;IF(AND(Config!$D$14&lt;&gt;"",P175&lt;&gt;"Sim",P175&lt;&gt;"N/A"),Config!$D$14&amp;"; ","")&amp;IF(AND(Config!$D$15&lt;&gt;"",Q175&lt;&gt;"Sim",Q175&lt;&gt;"N/A"),Config!$D$15&amp;"; ","")&amp;IF(AND(Config!$D$16&lt;&gt;"",R175&lt;&gt;"Sim",R175&lt;&gt;"N/A"),Config!$D$16&amp;"; ","")&amp;IF(AND(Config!$D$17&lt;&gt;"",S175&lt;&gt;"Sim",S175&lt;&gt;"N/A"),Config!$D$17&amp;"; ",""))</f>
        <v/>
      </c>
      <c r="AB175" s="39">
        <f>IF(A175="",0,COUNTIF($A$5:$A$304,"&gt;"&amp;A175)+1)</f>
        <v>0</v>
      </c>
    </row>
    <row r="176">
      <c r="A176" s="37" t="n"/>
      <c r="B176" s="24">
        <f>IF(A176="","",CHOOSE(WEEKDAY(A176,2),"Segunda","Terça","Quarta","Quinta","Sexta","Sábado","Domingo"))</f>
        <v/>
      </c>
      <c r="C176" s="38" t="n"/>
      <c r="D176" s="38" t="n"/>
      <c r="E176" s="38" t="n"/>
      <c r="F176" s="38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26">
        <f>IF(A176="","",IFERROR(COUNTIF(D176:K176,"Sim")/(Config!$B$19-COUNTIF(D176:K176,"N/A")),""))</f>
        <v/>
      </c>
      <c r="U176" s="26">
        <f>IF(A176="","",IFERROR(COUNTIF(L176:S176,"Sim")/(Config!$D$19-COUNTIF(L176:S176,"N/A")),""))</f>
        <v/>
      </c>
      <c r="V176" s="24">
        <f>IF(A176="","",MAX(0,Config!$B$19-COUNTIF(D176:K176,"Sim")-COUNTIF(D176:K176,"N/A")))</f>
        <v/>
      </c>
      <c r="W176" s="24">
        <f>IF(A176="","",MAX(0,Config!$D$19-COUNTIF(L176:S176,"Sim")-COUNTIF(L176:S176,"N/A")))</f>
        <v/>
      </c>
      <c r="X176" s="24">
        <f>IF(A176="","",V176+W176)</f>
        <v/>
      </c>
      <c r="Y176" s="29">
        <f>IF(OR(A176="",AA176=""),"",LEFT(AA176,LEN(AA176)-2))</f>
        <v/>
      </c>
      <c r="Z176" s="39">
        <f>IF(OR(A176="",X176=0),0,X176*100000+A176/100000)</f>
        <v>0</v>
      </c>
      <c r="AA176" s="39">
        <f>IF(A176="","",IF(AND(Config!$B$10&lt;&gt;"",D176&lt;&gt;"Sim",D176&lt;&gt;"N/A"),Config!$B$10&amp;"; ","")&amp;IF(AND(Config!$B$11&lt;&gt;"",E176&lt;&gt;"Sim",E176&lt;&gt;"N/A"),Config!$B$11&amp;"; ","")&amp;IF(AND(Config!$B$12&lt;&gt;"",F176&lt;&gt;"Sim",F176&lt;&gt;"N/A"),Config!$B$12&amp;"; ","")&amp;IF(AND(Config!$B$13&lt;&gt;"",G176&lt;&gt;"Sim",G176&lt;&gt;"N/A"),Config!$B$13&amp;"; ","")&amp;IF(AND(Config!$B$14&lt;&gt;"",H176&lt;&gt;"Sim",H176&lt;&gt;"N/A"),Config!$B$14&amp;"; ","")&amp;IF(AND(Config!$B$15&lt;&gt;"",I176&lt;&gt;"Sim",I176&lt;&gt;"N/A"),Config!$B$15&amp;"; ","")&amp;IF(AND(Config!$B$16&lt;&gt;"",J176&lt;&gt;"Sim",J176&lt;&gt;"N/A"),Config!$B$16&amp;"; ","")&amp;IF(AND(Config!$B$17&lt;&gt;"",K176&lt;&gt;"Sim",K176&lt;&gt;"N/A"),Config!$B$17&amp;"; ","")&amp;IF(AND(Config!$D$10&lt;&gt;"",L176&lt;&gt;"Sim",L176&lt;&gt;"N/A"),Config!$D$10&amp;"; ","")&amp;IF(AND(Config!$D$11&lt;&gt;"",M176&lt;&gt;"Sim",M176&lt;&gt;"N/A"),Config!$D$11&amp;"; ","")&amp;IF(AND(Config!$D$12&lt;&gt;"",N176&lt;&gt;"Sim",N176&lt;&gt;"N/A"),Config!$D$12&amp;"; ","")&amp;IF(AND(Config!$D$13&lt;&gt;"",O176&lt;&gt;"Sim",O176&lt;&gt;"N/A"),Config!$D$13&amp;"; ","")&amp;IF(AND(Config!$D$14&lt;&gt;"",P176&lt;&gt;"Sim",P176&lt;&gt;"N/A"),Config!$D$14&amp;"; ","")&amp;IF(AND(Config!$D$15&lt;&gt;"",Q176&lt;&gt;"Sim",Q176&lt;&gt;"N/A"),Config!$D$15&amp;"; ","")&amp;IF(AND(Config!$D$16&lt;&gt;"",R176&lt;&gt;"Sim",R176&lt;&gt;"N/A"),Config!$D$16&amp;"; ","")&amp;IF(AND(Config!$D$17&lt;&gt;"",S176&lt;&gt;"Sim",S176&lt;&gt;"N/A"),Config!$D$17&amp;"; ",""))</f>
        <v/>
      </c>
      <c r="AB176" s="39">
        <f>IF(A176="",0,COUNTIF($A$5:$A$304,"&gt;"&amp;A176)+1)</f>
        <v>0</v>
      </c>
    </row>
    <row r="177">
      <c r="A177" s="37" t="n"/>
      <c r="B177" s="24">
        <f>IF(A177="","",CHOOSE(WEEKDAY(A177,2),"Segunda","Terça","Quarta","Quinta","Sexta","Sábado","Domingo"))</f>
        <v/>
      </c>
      <c r="C177" s="38" t="n"/>
      <c r="D177" s="38" t="n"/>
      <c r="E177" s="38" t="n"/>
      <c r="F177" s="38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26">
        <f>IF(A177="","",IFERROR(COUNTIF(D177:K177,"Sim")/(Config!$B$19-COUNTIF(D177:K177,"N/A")),""))</f>
        <v/>
      </c>
      <c r="U177" s="26">
        <f>IF(A177="","",IFERROR(COUNTIF(L177:S177,"Sim")/(Config!$D$19-COUNTIF(L177:S177,"N/A")),""))</f>
        <v/>
      </c>
      <c r="V177" s="24">
        <f>IF(A177="","",MAX(0,Config!$B$19-COUNTIF(D177:K177,"Sim")-COUNTIF(D177:K177,"N/A")))</f>
        <v/>
      </c>
      <c r="W177" s="24">
        <f>IF(A177="","",MAX(0,Config!$D$19-COUNTIF(L177:S177,"Sim")-COUNTIF(L177:S177,"N/A")))</f>
        <v/>
      </c>
      <c r="X177" s="24">
        <f>IF(A177="","",V177+W177)</f>
        <v/>
      </c>
      <c r="Y177" s="29">
        <f>IF(OR(A177="",AA177=""),"",LEFT(AA177,LEN(AA177)-2))</f>
        <v/>
      </c>
      <c r="Z177" s="39">
        <f>IF(OR(A177="",X177=0),0,X177*100000+A177/100000)</f>
        <v>0</v>
      </c>
      <c r="AA177" s="39">
        <f>IF(A177="","",IF(AND(Config!$B$10&lt;&gt;"",D177&lt;&gt;"Sim",D177&lt;&gt;"N/A"),Config!$B$10&amp;"; ","")&amp;IF(AND(Config!$B$11&lt;&gt;"",E177&lt;&gt;"Sim",E177&lt;&gt;"N/A"),Config!$B$11&amp;"; ","")&amp;IF(AND(Config!$B$12&lt;&gt;"",F177&lt;&gt;"Sim",F177&lt;&gt;"N/A"),Config!$B$12&amp;"; ","")&amp;IF(AND(Config!$B$13&lt;&gt;"",G177&lt;&gt;"Sim",G177&lt;&gt;"N/A"),Config!$B$13&amp;"; ","")&amp;IF(AND(Config!$B$14&lt;&gt;"",H177&lt;&gt;"Sim",H177&lt;&gt;"N/A"),Config!$B$14&amp;"; ","")&amp;IF(AND(Config!$B$15&lt;&gt;"",I177&lt;&gt;"Sim",I177&lt;&gt;"N/A"),Config!$B$15&amp;"; ","")&amp;IF(AND(Config!$B$16&lt;&gt;"",J177&lt;&gt;"Sim",J177&lt;&gt;"N/A"),Config!$B$16&amp;"; ","")&amp;IF(AND(Config!$B$17&lt;&gt;"",K177&lt;&gt;"Sim",K177&lt;&gt;"N/A"),Config!$B$17&amp;"; ","")&amp;IF(AND(Config!$D$10&lt;&gt;"",L177&lt;&gt;"Sim",L177&lt;&gt;"N/A"),Config!$D$10&amp;"; ","")&amp;IF(AND(Config!$D$11&lt;&gt;"",M177&lt;&gt;"Sim",M177&lt;&gt;"N/A"),Config!$D$11&amp;"; ","")&amp;IF(AND(Config!$D$12&lt;&gt;"",N177&lt;&gt;"Sim",N177&lt;&gt;"N/A"),Config!$D$12&amp;"; ","")&amp;IF(AND(Config!$D$13&lt;&gt;"",O177&lt;&gt;"Sim",O177&lt;&gt;"N/A"),Config!$D$13&amp;"; ","")&amp;IF(AND(Config!$D$14&lt;&gt;"",P177&lt;&gt;"Sim",P177&lt;&gt;"N/A"),Config!$D$14&amp;"; ","")&amp;IF(AND(Config!$D$15&lt;&gt;"",Q177&lt;&gt;"Sim",Q177&lt;&gt;"N/A"),Config!$D$15&amp;"; ","")&amp;IF(AND(Config!$D$16&lt;&gt;"",R177&lt;&gt;"Sim",R177&lt;&gt;"N/A"),Config!$D$16&amp;"; ","")&amp;IF(AND(Config!$D$17&lt;&gt;"",S177&lt;&gt;"Sim",S177&lt;&gt;"N/A"),Config!$D$17&amp;"; ",""))</f>
        <v/>
      </c>
      <c r="AB177" s="39">
        <f>IF(A177="",0,COUNTIF($A$5:$A$304,"&gt;"&amp;A177)+1)</f>
        <v>0</v>
      </c>
    </row>
    <row r="178">
      <c r="A178" s="37" t="n"/>
      <c r="B178" s="24">
        <f>IF(A178="","",CHOOSE(WEEKDAY(A178,2),"Segunda","Terça","Quarta","Quinta","Sexta","Sábado","Domingo"))</f>
        <v/>
      </c>
      <c r="C178" s="38" t="n"/>
      <c r="D178" s="38" t="n"/>
      <c r="E178" s="38" t="n"/>
      <c r="F178" s="38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26">
        <f>IF(A178="","",IFERROR(COUNTIF(D178:K178,"Sim")/(Config!$B$19-COUNTIF(D178:K178,"N/A")),""))</f>
        <v/>
      </c>
      <c r="U178" s="26">
        <f>IF(A178="","",IFERROR(COUNTIF(L178:S178,"Sim")/(Config!$D$19-COUNTIF(L178:S178,"N/A")),""))</f>
        <v/>
      </c>
      <c r="V178" s="24">
        <f>IF(A178="","",MAX(0,Config!$B$19-COUNTIF(D178:K178,"Sim")-COUNTIF(D178:K178,"N/A")))</f>
        <v/>
      </c>
      <c r="W178" s="24">
        <f>IF(A178="","",MAX(0,Config!$D$19-COUNTIF(L178:S178,"Sim")-COUNTIF(L178:S178,"N/A")))</f>
        <v/>
      </c>
      <c r="X178" s="24">
        <f>IF(A178="","",V178+W178)</f>
        <v/>
      </c>
      <c r="Y178" s="29">
        <f>IF(OR(A178="",AA178=""),"",LEFT(AA178,LEN(AA178)-2))</f>
        <v/>
      </c>
      <c r="Z178" s="39">
        <f>IF(OR(A178="",X178=0),0,X178*100000+A178/100000)</f>
        <v>0</v>
      </c>
      <c r="AA178" s="39">
        <f>IF(A178="","",IF(AND(Config!$B$10&lt;&gt;"",D178&lt;&gt;"Sim",D178&lt;&gt;"N/A"),Config!$B$10&amp;"; ","")&amp;IF(AND(Config!$B$11&lt;&gt;"",E178&lt;&gt;"Sim",E178&lt;&gt;"N/A"),Config!$B$11&amp;"; ","")&amp;IF(AND(Config!$B$12&lt;&gt;"",F178&lt;&gt;"Sim",F178&lt;&gt;"N/A"),Config!$B$12&amp;"; ","")&amp;IF(AND(Config!$B$13&lt;&gt;"",G178&lt;&gt;"Sim",G178&lt;&gt;"N/A"),Config!$B$13&amp;"; ","")&amp;IF(AND(Config!$B$14&lt;&gt;"",H178&lt;&gt;"Sim",H178&lt;&gt;"N/A"),Config!$B$14&amp;"; ","")&amp;IF(AND(Config!$B$15&lt;&gt;"",I178&lt;&gt;"Sim",I178&lt;&gt;"N/A"),Config!$B$15&amp;"; ","")&amp;IF(AND(Config!$B$16&lt;&gt;"",J178&lt;&gt;"Sim",J178&lt;&gt;"N/A"),Config!$B$16&amp;"; ","")&amp;IF(AND(Config!$B$17&lt;&gt;"",K178&lt;&gt;"Sim",K178&lt;&gt;"N/A"),Config!$B$17&amp;"; ","")&amp;IF(AND(Config!$D$10&lt;&gt;"",L178&lt;&gt;"Sim",L178&lt;&gt;"N/A"),Config!$D$10&amp;"; ","")&amp;IF(AND(Config!$D$11&lt;&gt;"",M178&lt;&gt;"Sim",M178&lt;&gt;"N/A"),Config!$D$11&amp;"; ","")&amp;IF(AND(Config!$D$12&lt;&gt;"",N178&lt;&gt;"Sim",N178&lt;&gt;"N/A"),Config!$D$12&amp;"; ","")&amp;IF(AND(Config!$D$13&lt;&gt;"",O178&lt;&gt;"Sim",O178&lt;&gt;"N/A"),Config!$D$13&amp;"; ","")&amp;IF(AND(Config!$D$14&lt;&gt;"",P178&lt;&gt;"Sim",P178&lt;&gt;"N/A"),Config!$D$14&amp;"; ","")&amp;IF(AND(Config!$D$15&lt;&gt;"",Q178&lt;&gt;"Sim",Q178&lt;&gt;"N/A"),Config!$D$15&amp;"; ","")&amp;IF(AND(Config!$D$16&lt;&gt;"",R178&lt;&gt;"Sim",R178&lt;&gt;"N/A"),Config!$D$16&amp;"; ","")&amp;IF(AND(Config!$D$17&lt;&gt;"",S178&lt;&gt;"Sim",S178&lt;&gt;"N/A"),Config!$D$17&amp;"; ",""))</f>
        <v/>
      </c>
      <c r="AB178" s="39">
        <f>IF(A178="",0,COUNTIF($A$5:$A$304,"&gt;"&amp;A178)+1)</f>
        <v>0</v>
      </c>
    </row>
    <row r="179">
      <c r="A179" s="37" t="n"/>
      <c r="B179" s="24">
        <f>IF(A179="","",CHOOSE(WEEKDAY(A179,2),"Segunda","Terça","Quarta","Quinta","Sexta","Sábado","Domingo"))</f>
        <v/>
      </c>
      <c r="C179" s="38" t="n"/>
      <c r="D179" s="38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26">
        <f>IF(A179="","",IFERROR(COUNTIF(D179:K179,"Sim")/(Config!$B$19-COUNTIF(D179:K179,"N/A")),""))</f>
        <v/>
      </c>
      <c r="U179" s="26">
        <f>IF(A179="","",IFERROR(COUNTIF(L179:S179,"Sim")/(Config!$D$19-COUNTIF(L179:S179,"N/A")),""))</f>
        <v/>
      </c>
      <c r="V179" s="24">
        <f>IF(A179="","",MAX(0,Config!$B$19-COUNTIF(D179:K179,"Sim")-COUNTIF(D179:K179,"N/A")))</f>
        <v/>
      </c>
      <c r="W179" s="24">
        <f>IF(A179="","",MAX(0,Config!$D$19-COUNTIF(L179:S179,"Sim")-COUNTIF(L179:S179,"N/A")))</f>
        <v/>
      </c>
      <c r="X179" s="24">
        <f>IF(A179="","",V179+W179)</f>
        <v/>
      </c>
      <c r="Y179" s="29">
        <f>IF(OR(A179="",AA179=""),"",LEFT(AA179,LEN(AA179)-2))</f>
        <v/>
      </c>
      <c r="Z179" s="39">
        <f>IF(OR(A179="",X179=0),0,X179*100000+A179/100000)</f>
        <v>0</v>
      </c>
      <c r="AA179" s="39">
        <f>IF(A179="","",IF(AND(Config!$B$10&lt;&gt;"",D179&lt;&gt;"Sim",D179&lt;&gt;"N/A"),Config!$B$10&amp;"; ","")&amp;IF(AND(Config!$B$11&lt;&gt;"",E179&lt;&gt;"Sim",E179&lt;&gt;"N/A"),Config!$B$11&amp;"; ","")&amp;IF(AND(Config!$B$12&lt;&gt;"",F179&lt;&gt;"Sim",F179&lt;&gt;"N/A"),Config!$B$12&amp;"; ","")&amp;IF(AND(Config!$B$13&lt;&gt;"",G179&lt;&gt;"Sim",G179&lt;&gt;"N/A"),Config!$B$13&amp;"; ","")&amp;IF(AND(Config!$B$14&lt;&gt;"",H179&lt;&gt;"Sim",H179&lt;&gt;"N/A"),Config!$B$14&amp;"; ","")&amp;IF(AND(Config!$B$15&lt;&gt;"",I179&lt;&gt;"Sim",I179&lt;&gt;"N/A"),Config!$B$15&amp;"; ","")&amp;IF(AND(Config!$B$16&lt;&gt;"",J179&lt;&gt;"Sim",J179&lt;&gt;"N/A"),Config!$B$16&amp;"; ","")&amp;IF(AND(Config!$B$17&lt;&gt;"",K179&lt;&gt;"Sim",K179&lt;&gt;"N/A"),Config!$B$17&amp;"; ","")&amp;IF(AND(Config!$D$10&lt;&gt;"",L179&lt;&gt;"Sim",L179&lt;&gt;"N/A"),Config!$D$10&amp;"; ","")&amp;IF(AND(Config!$D$11&lt;&gt;"",M179&lt;&gt;"Sim",M179&lt;&gt;"N/A"),Config!$D$11&amp;"; ","")&amp;IF(AND(Config!$D$12&lt;&gt;"",N179&lt;&gt;"Sim",N179&lt;&gt;"N/A"),Config!$D$12&amp;"; ","")&amp;IF(AND(Config!$D$13&lt;&gt;"",O179&lt;&gt;"Sim",O179&lt;&gt;"N/A"),Config!$D$13&amp;"; ","")&amp;IF(AND(Config!$D$14&lt;&gt;"",P179&lt;&gt;"Sim",P179&lt;&gt;"N/A"),Config!$D$14&amp;"; ","")&amp;IF(AND(Config!$D$15&lt;&gt;"",Q179&lt;&gt;"Sim",Q179&lt;&gt;"N/A"),Config!$D$15&amp;"; ","")&amp;IF(AND(Config!$D$16&lt;&gt;"",R179&lt;&gt;"Sim",R179&lt;&gt;"N/A"),Config!$D$16&amp;"; ","")&amp;IF(AND(Config!$D$17&lt;&gt;"",S179&lt;&gt;"Sim",S179&lt;&gt;"N/A"),Config!$D$17&amp;"; ",""))</f>
        <v/>
      </c>
      <c r="AB179" s="39">
        <f>IF(A179="",0,COUNTIF($A$5:$A$304,"&gt;"&amp;A179)+1)</f>
        <v>0</v>
      </c>
    </row>
    <row r="180">
      <c r="A180" s="37" t="n"/>
      <c r="B180" s="24">
        <f>IF(A180="","",CHOOSE(WEEKDAY(A180,2),"Segunda","Terça","Quarta","Quinta","Sexta","Sábado","Domingo"))</f>
        <v/>
      </c>
      <c r="C180" s="38" t="n"/>
      <c r="D180" s="38" t="n"/>
      <c r="E180" s="38" t="n"/>
      <c r="F180" s="38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26">
        <f>IF(A180="","",IFERROR(COUNTIF(D180:K180,"Sim")/(Config!$B$19-COUNTIF(D180:K180,"N/A")),""))</f>
        <v/>
      </c>
      <c r="U180" s="26">
        <f>IF(A180="","",IFERROR(COUNTIF(L180:S180,"Sim")/(Config!$D$19-COUNTIF(L180:S180,"N/A")),""))</f>
        <v/>
      </c>
      <c r="V180" s="24">
        <f>IF(A180="","",MAX(0,Config!$B$19-COUNTIF(D180:K180,"Sim")-COUNTIF(D180:K180,"N/A")))</f>
        <v/>
      </c>
      <c r="W180" s="24">
        <f>IF(A180="","",MAX(0,Config!$D$19-COUNTIF(L180:S180,"Sim")-COUNTIF(L180:S180,"N/A")))</f>
        <v/>
      </c>
      <c r="X180" s="24">
        <f>IF(A180="","",V180+W180)</f>
        <v/>
      </c>
      <c r="Y180" s="29">
        <f>IF(OR(A180="",AA180=""),"",LEFT(AA180,LEN(AA180)-2))</f>
        <v/>
      </c>
      <c r="Z180" s="39">
        <f>IF(OR(A180="",X180=0),0,X180*100000+A180/100000)</f>
        <v>0</v>
      </c>
      <c r="AA180" s="39">
        <f>IF(A180="","",IF(AND(Config!$B$10&lt;&gt;"",D180&lt;&gt;"Sim",D180&lt;&gt;"N/A"),Config!$B$10&amp;"; ","")&amp;IF(AND(Config!$B$11&lt;&gt;"",E180&lt;&gt;"Sim",E180&lt;&gt;"N/A"),Config!$B$11&amp;"; ","")&amp;IF(AND(Config!$B$12&lt;&gt;"",F180&lt;&gt;"Sim",F180&lt;&gt;"N/A"),Config!$B$12&amp;"; ","")&amp;IF(AND(Config!$B$13&lt;&gt;"",G180&lt;&gt;"Sim",G180&lt;&gt;"N/A"),Config!$B$13&amp;"; ","")&amp;IF(AND(Config!$B$14&lt;&gt;"",H180&lt;&gt;"Sim",H180&lt;&gt;"N/A"),Config!$B$14&amp;"; ","")&amp;IF(AND(Config!$B$15&lt;&gt;"",I180&lt;&gt;"Sim",I180&lt;&gt;"N/A"),Config!$B$15&amp;"; ","")&amp;IF(AND(Config!$B$16&lt;&gt;"",J180&lt;&gt;"Sim",J180&lt;&gt;"N/A"),Config!$B$16&amp;"; ","")&amp;IF(AND(Config!$B$17&lt;&gt;"",K180&lt;&gt;"Sim",K180&lt;&gt;"N/A"),Config!$B$17&amp;"; ","")&amp;IF(AND(Config!$D$10&lt;&gt;"",L180&lt;&gt;"Sim",L180&lt;&gt;"N/A"),Config!$D$10&amp;"; ","")&amp;IF(AND(Config!$D$11&lt;&gt;"",M180&lt;&gt;"Sim",M180&lt;&gt;"N/A"),Config!$D$11&amp;"; ","")&amp;IF(AND(Config!$D$12&lt;&gt;"",N180&lt;&gt;"Sim",N180&lt;&gt;"N/A"),Config!$D$12&amp;"; ","")&amp;IF(AND(Config!$D$13&lt;&gt;"",O180&lt;&gt;"Sim",O180&lt;&gt;"N/A"),Config!$D$13&amp;"; ","")&amp;IF(AND(Config!$D$14&lt;&gt;"",P180&lt;&gt;"Sim",P180&lt;&gt;"N/A"),Config!$D$14&amp;"; ","")&amp;IF(AND(Config!$D$15&lt;&gt;"",Q180&lt;&gt;"Sim",Q180&lt;&gt;"N/A"),Config!$D$15&amp;"; ","")&amp;IF(AND(Config!$D$16&lt;&gt;"",R180&lt;&gt;"Sim",R180&lt;&gt;"N/A"),Config!$D$16&amp;"; ","")&amp;IF(AND(Config!$D$17&lt;&gt;"",S180&lt;&gt;"Sim",S180&lt;&gt;"N/A"),Config!$D$17&amp;"; ",""))</f>
        <v/>
      </c>
      <c r="AB180" s="39">
        <f>IF(A180="",0,COUNTIF($A$5:$A$304,"&gt;"&amp;A180)+1)</f>
        <v>0</v>
      </c>
    </row>
    <row r="181">
      <c r="A181" s="37" t="n"/>
      <c r="B181" s="24">
        <f>IF(A181="","",CHOOSE(WEEKDAY(A181,2),"Segunda","Terça","Quarta","Quinta","Sexta","Sábado","Domingo"))</f>
        <v/>
      </c>
      <c r="C181" s="38" t="n"/>
      <c r="D181" s="38" t="n"/>
      <c r="E181" s="38" t="n"/>
      <c r="F181" s="38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26">
        <f>IF(A181="","",IFERROR(COUNTIF(D181:K181,"Sim")/(Config!$B$19-COUNTIF(D181:K181,"N/A")),""))</f>
        <v/>
      </c>
      <c r="U181" s="26">
        <f>IF(A181="","",IFERROR(COUNTIF(L181:S181,"Sim")/(Config!$D$19-COUNTIF(L181:S181,"N/A")),""))</f>
        <v/>
      </c>
      <c r="V181" s="24">
        <f>IF(A181="","",MAX(0,Config!$B$19-COUNTIF(D181:K181,"Sim")-COUNTIF(D181:K181,"N/A")))</f>
        <v/>
      </c>
      <c r="W181" s="24">
        <f>IF(A181="","",MAX(0,Config!$D$19-COUNTIF(L181:S181,"Sim")-COUNTIF(L181:S181,"N/A")))</f>
        <v/>
      </c>
      <c r="X181" s="24">
        <f>IF(A181="","",V181+W181)</f>
        <v/>
      </c>
      <c r="Y181" s="29">
        <f>IF(OR(A181="",AA181=""),"",LEFT(AA181,LEN(AA181)-2))</f>
        <v/>
      </c>
      <c r="Z181" s="39">
        <f>IF(OR(A181="",X181=0),0,X181*100000+A181/100000)</f>
        <v>0</v>
      </c>
      <c r="AA181" s="39">
        <f>IF(A181="","",IF(AND(Config!$B$10&lt;&gt;"",D181&lt;&gt;"Sim",D181&lt;&gt;"N/A"),Config!$B$10&amp;"; ","")&amp;IF(AND(Config!$B$11&lt;&gt;"",E181&lt;&gt;"Sim",E181&lt;&gt;"N/A"),Config!$B$11&amp;"; ","")&amp;IF(AND(Config!$B$12&lt;&gt;"",F181&lt;&gt;"Sim",F181&lt;&gt;"N/A"),Config!$B$12&amp;"; ","")&amp;IF(AND(Config!$B$13&lt;&gt;"",G181&lt;&gt;"Sim",G181&lt;&gt;"N/A"),Config!$B$13&amp;"; ","")&amp;IF(AND(Config!$B$14&lt;&gt;"",H181&lt;&gt;"Sim",H181&lt;&gt;"N/A"),Config!$B$14&amp;"; ","")&amp;IF(AND(Config!$B$15&lt;&gt;"",I181&lt;&gt;"Sim",I181&lt;&gt;"N/A"),Config!$B$15&amp;"; ","")&amp;IF(AND(Config!$B$16&lt;&gt;"",J181&lt;&gt;"Sim",J181&lt;&gt;"N/A"),Config!$B$16&amp;"; ","")&amp;IF(AND(Config!$B$17&lt;&gt;"",K181&lt;&gt;"Sim",K181&lt;&gt;"N/A"),Config!$B$17&amp;"; ","")&amp;IF(AND(Config!$D$10&lt;&gt;"",L181&lt;&gt;"Sim",L181&lt;&gt;"N/A"),Config!$D$10&amp;"; ","")&amp;IF(AND(Config!$D$11&lt;&gt;"",M181&lt;&gt;"Sim",M181&lt;&gt;"N/A"),Config!$D$11&amp;"; ","")&amp;IF(AND(Config!$D$12&lt;&gt;"",N181&lt;&gt;"Sim",N181&lt;&gt;"N/A"),Config!$D$12&amp;"; ","")&amp;IF(AND(Config!$D$13&lt;&gt;"",O181&lt;&gt;"Sim",O181&lt;&gt;"N/A"),Config!$D$13&amp;"; ","")&amp;IF(AND(Config!$D$14&lt;&gt;"",P181&lt;&gt;"Sim",P181&lt;&gt;"N/A"),Config!$D$14&amp;"; ","")&amp;IF(AND(Config!$D$15&lt;&gt;"",Q181&lt;&gt;"Sim",Q181&lt;&gt;"N/A"),Config!$D$15&amp;"; ","")&amp;IF(AND(Config!$D$16&lt;&gt;"",R181&lt;&gt;"Sim",R181&lt;&gt;"N/A"),Config!$D$16&amp;"; ","")&amp;IF(AND(Config!$D$17&lt;&gt;"",S181&lt;&gt;"Sim",S181&lt;&gt;"N/A"),Config!$D$17&amp;"; ",""))</f>
        <v/>
      </c>
      <c r="AB181" s="39">
        <f>IF(A181="",0,COUNTIF($A$5:$A$304,"&gt;"&amp;A181)+1)</f>
        <v>0</v>
      </c>
    </row>
    <row r="182">
      <c r="A182" s="37" t="n"/>
      <c r="B182" s="24">
        <f>IF(A182="","",CHOOSE(WEEKDAY(A182,2),"Segunda","Terça","Quarta","Quinta","Sexta","Sábado","Domingo"))</f>
        <v/>
      </c>
      <c r="C182" s="38" t="n"/>
      <c r="D182" s="38" t="n"/>
      <c r="E182" s="38" t="n"/>
      <c r="F182" s="38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26">
        <f>IF(A182="","",IFERROR(COUNTIF(D182:K182,"Sim")/(Config!$B$19-COUNTIF(D182:K182,"N/A")),""))</f>
        <v/>
      </c>
      <c r="U182" s="26">
        <f>IF(A182="","",IFERROR(COUNTIF(L182:S182,"Sim")/(Config!$D$19-COUNTIF(L182:S182,"N/A")),""))</f>
        <v/>
      </c>
      <c r="V182" s="24">
        <f>IF(A182="","",MAX(0,Config!$B$19-COUNTIF(D182:K182,"Sim")-COUNTIF(D182:K182,"N/A")))</f>
        <v/>
      </c>
      <c r="W182" s="24">
        <f>IF(A182="","",MAX(0,Config!$D$19-COUNTIF(L182:S182,"Sim")-COUNTIF(L182:S182,"N/A")))</f>
        <v/>
      </c>
      <c r="X182" s="24">
        <f>IF(A182="","",V182+W182)</f>
        <v/>
      </c>
      <c r="Y182" s="29">
        <f>IF(OR(A182="",AA182=""),"",LEFT(AA182,LEN(AA182)-2))</f>
        <v/>
      </c>
      <c r="Z182" s="39">
        <f>IF(OR(A182="",X182=0),0,X182*100000+A182/100000)</f>
        <v>0</v>
      </c>
      <c r="AA182" s="39">
        <f>IF(A182="","",IF(AND(Config!$B$10&lt;&gt;"",D182&lt;&gt;"Sim",D182&lt;&gt;"N/A"),Config!$B$10&amp;"; ","")&amp;IF(AND(Config!$B$11&lt;&gt;"",E182&lt;&gt;"Sim",E182&lt;&gt;"N/A"),Config!$B$11&amp;"; ","")&amp;IF(AND(Config!$B$12&lt;&gt;"",F182&lt;&gt;"Sim",F182&lt;&gt;"N/A"),Config!$B$12&amp;"; ","")&amp;IF(AND(Config!$B$13&lt;&gt;"",G182&lt;&gt;"Sim",G182&lt;&gt;"N/A"),Config!$B$13&amp;"; ","")&amp;IF(AND(Config!$B$14&lt;&gt;"",H182&lt;&gt;"Sim",H182&lt;&gt;"N/A"),Config!$B$14&amp;"; ","")&amp;IF(AND(Config!$B$15&lt;&gt;"",I182&lt;&gt;"Sim",I182&lt;&gt;"N/A"),Config!$B$15&amp;"; ","")&amp;IF(AND(Config!$B$16&lt;&gt;"",J182&lt;&gt;"Sim",J182&lt;&gt;"N/A"),Config!$B$16&amp;"; ","")&amp;IF(AND(Config!$B$17&lt;&gt;"",K182&lt;&gt;"Sim",K182&lt;&gt;"N/A"),Config!$B$17&amp;"; ","")&amp;IF(AND(Config!$D$10&lt;&gt;"",L182&lt;&gt;"Sim",L182&lt;&gt;"N/A"),Config!$D$10&amp;"; ","")&amp;IF(AND(Config!$D$11&lt;&gt;"",M182&lt;&gt;"Sim",M182&lt;&gt;"N/A"),Config!$D$11&amp;"; ","")&amp;IF(AND(Config!$D$12&lt;&gt;"",N182&lt;&gt;"Sim",N182&lt;&gt;"N/A"),Config!$D$12&amp;"; ","")&amp;IF(AND(Config!$D$13&lt;&gt;"",O182&lt;&gt;"Sim",O182&lt;&gt;"N/A"),Config!$D$13&amp;"; ","")&amp;IF(AND(Config!$D$14&lt;&gt;"",P182&lt;&gt;"Sim",P182&lt;&gt;"N/A"),Config!$D$14&amp;"; ","")&amp;IF(AND(Config!$D$15&lt;&gt;"",Q182&lt;&gt;"Sim",Q182&lt;&gt;"N/A"),Config!$D$15&amp;"; ","")&amp;IF(AND(Config!$D$16&lt;&gt;"",R182&lt;&gt;"Sim",R182&lt;&gt;"N/A"),Config!$D$16&amp;"; ","")&amp;IF(AND(Config!$D$17&lt;&gt;"",S182&lt;&gt;"Sim",S182&lt;&gt;"N/A"),Config!$D$17&amp;"; ",""))</f>
        <v/>
      </c>
      <c r="AB182" s="39">
        <f>IF(A182="",0,COUNTIF($A$5:$A$304,"&gt;"&amp;A182)+1)</f>
        <v>0</v>
      </c>
    </row>
    <row r="183">
      <c r="A183" s="37" t="n"/>
      <c r="B183" s="24">
        <f>IF(A183="","",CHOOSE(WEEKDAY(A183,2),"Segunda","Terça","Quarta","Quinta","Sexta","Sábado","Domingo"))</f>
        <v/>
      </c>
      <c r="C183" s="38" t="n"/>
      <c r="D183" s="38" t="n"/>
      <c r="E183" s="38" t="n"/>
      <c r="F183" s="38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26">
        <f>IF(A183="","",IFERROR(COUNTIF(D183:K183,"Sim")/(Config!$B$19-COUNTIF(D183:K183,"N/A")),""))</f>
        <v/>
      </c>
      <c r="U183" s="26">
        <f>IF(A183="","",IFERROR(COUNTIF(L183:S183,"Sim")/(Config!$D$19-COUNTIF(L183:S183,"N/A")),""))</f>
        <v/>
      </c>
      <c r="V183" s="24">
        <f>IF(A183="","",MAX(0,Config!$B$19-COUNTIF(D183:K183,"Sim")-COUNTIF(D183:K183,"N/A")))</f>
        <v/>
      </c>
      <c r="W183" s="24">
        <f>IF(A183="","",MAX(0,Config!$D$19-COUNTIF(L183:S183,"Sim")-COUNTIF(L183:S183,"N/A")))</f>
        <v/>
      </c>
      <c r="X183" s="24">
        <f>IF(A183="","",V183+W183)</f>
        <v/>
      </c>
      <c r="Y183" s="29">
        <f>IF(OR(A183="",AA183=""),"",LEFT(AA183,LEN(AA183)-2))</f>
        <v/>
      </c>
      <c r="Z183" s="39">
        <f>IF(OR(A183="",X183=0),0,X183*100000+A183/100000)</f>
        <v>0</v>
      </c>
      <c r="AA183" s="39">
        <f>IF(A183="","",IF(AND(Config!$B$10&lt;&gt;"",D183&lt;&gt;"Sim",D183&lt;&gt;"N/A"),Config!$B$10&amp;"; ","")&amp;IF(AND(Config!$B$11&lt;&gt;"",E183&lt;&gt;"Sim",E183&lt;&gt;"N/A"),Config!$B$11&amp;"; ","")&amp;IF(AND(Config!$B$12&lt;&gt;"",F183&lt;&gt;"Sim",F183&lt;&gt;"N/A"),Config!$B$12&amp;"; ","")&amp;IF(AND(Config!$B$13&lt;&gt;"",G183&lt;&gt;"Sim",G183&lt;&gt;"N/A"),Config!$B$13&amp;"; ","")&amp;IF(AND(Config!$B$14&lt;&gt;"",H183&lt;&gt;"Sim",H183&lt;&gt;"N/A"),Config!$B$14&amp;"; ","")&amp;IF(AND(Config!$B$15&lt;&gt;"",I183&lt;&gt;"Sim",I183&lt;&gt;"N/A"),Config!$B$15&amp;"; ","")&amp;IF(AND(Config!$B$16&lt;&gt;"",J183&lt;&gt;"Sim",J183&lt;&gt;"N/A"),Config!$B$16&amp;"; ","")&amp;IF(AND(Config!$B$17&lt;&gt;"",K183&lt;&gt;"Sim",K183&lt;&gt;"N/A"),Config!$B$17&amp;"; ","")&amp;IF(AND(Config!$D$10&lt;&gt;"",L183&lt;&gt;"Sim",L183&lt;&gt;"N/A"),Config!$D$10&amp;"; ","")&amp;IF(AND(Config!$D$11&lt;&gt;"",M183&lt;&gt;"Sim",M183&lt;&gt;"N/A"),Config!$D$11&amp;"; ","")&amp;IF(AND(Config!$D$12&lt;&gt;"",N183&lt;&gt;"Sim",N183&lt;&gt;"N/A"),Config!$D$12&amp;"; ","")&amp;IF(AND(Config!$D$13&lt;&gt;"",O183&lt;&gt;"Sim",O183&lt;&gt;"N/A"),Config!$D$13&amp;"; ","")&amp;IF(AND(Config!$D$14&lt;&gt;"",P183&lt;&gt;"Sim",P183&lt;&gt;"N/A"),Config!$D$14&amp;"; ","")&amp;IF(AND(Config!$D$15&lt;&gt;"",Q183&lt;&gt;"Sim",Q183&lt;&gt;"N/A"),Config!$D$15&amp;"; ","")&amp;IF(AND(Config!$D$16&lt;&gt;"",R183&lt;&gt;"Sim",R183&lt;&gt;"N/A"),Config!$D$16&amp;"; ","")&amp;IF(AND(Config!$D$17&lt;&gt;"",S183&lt;&gt;"Sim",S183&lt;&gt;"N/A"),Config!$D$17&amp;"; ",""))</f>
        <v/>
      </c>
      <c r="AB183" s="39">
        <f>IF(A183="",0,COUNTIF($A$5:$A$304,"&gt;"&amp;A183)+1)</f>
        <v>0</v>
      </c>
    </row>
    <row r="184">
      <c r="A184" s="37" t="n"/>
      <c r="B184" s="24">
        <f>IF(A184="","",CHOOSE(WEEKDAY(A184,2),"Segunda","Terça","Quarta","Quinta","Sexta","Sábado","Domingo"))</f>
        <v/>
      </c>
      <c r="C184" s="38" t="n"/>
      <c r="D184" s="38" t="n"/>
      <c r="E184" s="38" t="n"/>
      <c r="F184" s="38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26">
        <f>IF(A184="","",IFERROR(COUNTIF(D184:K184,"Sim")/(Config!$B$19-COUNTIF(D184:K184,"N/A")),""))</f>
        <v/>
      </c>
      <c r="U184" s="26">
        <f>IF(A184="","",IFERROR(COUNTIF(L184:S184,"Sim")/(Config!$D$19-COUNTIF(L184:S184,"N/A")),""))</f>
        <v/>
      </c>
      <c r="V184" s="24">
        <f>IF(A184="","",MAX(0,Config!$B$19-COUNTIF(D184:K184,"Sim")-COUNTIF(D184:K184,"N/A")))</f>
        <v/>
      </c>
      <c r="W184" s="24">
        <f>IF(A184="","",MAX(0,Config!$D$19-COUNTIF(L184:S184,"Sim")-COUNTIF(L184:S184,"N/A")))</f>
        <v/>
      </c>
      <c r="X184" s="24">
        <f>IF(A184="","",V184+W184)</f>
        <v/>
      </c>
      <c r="Y184" s="29">
        <f>IF(OR(A184="",AA184=""),"",LEFT(AA184,LEN(AA184)-2))</f>
        <v/>
      </c>
      <c r="Z184" s="39">
        <f>IF(OR(A184="",X184=0),0,X184*100000+A184/100000)</f>
        <v>0</v>
      </c>
      <c r="AA184" s="39">
        <f>IF(A184="","",IF(AND(Config!$B$10&lt;&gt;"",D184&lt;&gt;"Sim",D184&lt;&gt;"N/A"),Config!$B$10&amp;"; ","")&amp;IF(AND(Config!$B$11&lt;&gt;"",E184&lt;&gt;"Sim",E184&lt;&gt;"N/A"),Config!$B$11&amp;"; ","")&amp;IF(AND(Config!$B$12&lt;&gt;"",F184&lt;&gt;"Sim",F184&lt;&gt;"N/A"),Config!$B$12&amp;"; ","")&amp;IF(AND(Config!$B$13&lt;&gt;"",G184&lt;&gt;"Sim",G184&lt;&gt;"N/A"),Config!$B$13&amp;"; ","")&amp;IF(AND(Config!$B$14&lt;&gt;"",H184&lt;&gt;"Sim",H184&lt;&gt;"N/A"),Config!$B$14&amp;"; ","")&amp;IF(AND(Config!$B$15&lt;&gt;"",I184&lt;&gt;"Sim",I184&lt;&gt;"N/A"),Config!$B$15&amp;"; ","")&amp;IF(AND(Config!$B$16&lt;&gt;"",J184&lt;&gt;"Sim",J184&lt;&gt;"N/A"),Config!$B$16&amp;"; ","")&amp;IF(AND(Config!$B$17&lt;&gt;"",K184&lt;&gt;"Sim",K184&lt;&gt;"N/A"),Config!$B$17&amp;"; ","")&amp;IF(AND(Config!$D$10&lt;&gt;"",L184&lt;&gt;"Sim",L184&lt;&gt;"N/A"),Config!$D$10&amp;"; ","")&amp;IF(AND(Config!$D$11&lt;&gt;"",M184&lt;&gt;"Sim",M184&lt;&gt;"N/A"),Config!$D$11&amp;"; ","")&amp;IF(AND(Config!$D$12&lt;&gt;"",N184&lt;&gt;"Sim",N184&lt;&gt;"N/A"),Config!$D$12&amp;"; ","")&amp;IF(AND(Config!$D$13&lt;&gt;"",O184&lt;&gt;"Sim",O184&lt;&gt;"N/A"),Config!$D$13&amp;"; ","")&amp;IF(AND(Config!$D$14&lt;&gt;"",P184&lt;&gt;"Sim",P184&lt;&gt;"N/A"),Config!$D$14&amp;"; ","")&amp;IF(AND(Config!$D$15&lt;&gt;"",Q184&lt;&gt;"Sim",Q184&lt;&gt;"N/A"),Config!$D$15&amp;"; ","")&amp;IF(AND(Config!$D$16&lt;&gt;"",R184&lt;&gt;"Sim",R184&lt;&gt;"N/A"),Config!$D$16&amp;"; ","")&amp;IF(AND(Config!$D$17&lt;&gt;"",S184&lt;&gt;"Sim",S184&lt;&gt;"N/A"),Config!$D$17&amp;"; ",""))</f>
        <v/>
      </c>
      <c r="AB184" s="39">
        <f>IF(A184="",0,COUNTIF($A$5:$A$304,"&gt;"&amp;A184)+1)</f>
        <v>0</v>
      </c>
    </row>
    <row r="185">
      <c r="A185" s="37" t="n"/>
      <c r="B185" s="24">
        <f>IF(A185="","",CHOOSE(WEEKDAY(A185,2),"Segunda","Terça","Quarta","Quinta","Sexta","Sábado","Domingo"))</f>
        <v/>
      </c>
      <c r="C185" s="38" t="n"/>
      <c r="D185" s="38" t="n"/>
      <c r="E185" s="38" t="n"/>
      <c r="F185" s="38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26">
        <f>IF(A185="","",IFERROR(COUNTIF(D185:K185,"Sim")/(Config!$B$19-COUNTIF(D185:K185,"N/A")),""))</f>
        <v/>
      </c>
      <c r="U185" s="26">
        <f>IF(A185="","",IFERROR(COUNTIF(L185:S185,"Sim")/(Config!$D$19-COUNTIF(L185:S185,"N/A")),""))</f>
        <v/>
      </c>
      <c r="V185" s="24">
        <f>IF(A185="","",MAX(0,Config!$B$19-COUNTIF(D185:K185,"Sim")-COUNTIF(D185:K185,"N/A")))</f>
        <v/>
      </c>
      <c r="W185" s="24">
        <f>IF(A185="","",MAX(0,Config!$D$19-COUNTIF(L185:S185,"Sim")-COUNTIF(L185:S185,"N/A")))</f>
        <v/>
      </c>
      <c r="X185" s="24">
        <f>IF(A185="","",V185+W185)</f>
        <v/>
      </c>
      <c r="Y185" s="29">
        <f>IF(OR(A185="",AA185=""),"",LEFT(AA185,LEN(AA185)-2))</f>
        <v/>
      </c>
      <c r="Z185" s="39">
        <f>IF(OR(A185="",X185=0),0,X185*100000+A185/100000)</f>
        <v>0</v>
      </c>
      <c r="AA185" s="39">
        <f>IF(A185="","",IF(AND(Config!$B$10&lt;&gt;"",D185&lt;&gt;"Sim",D185&lt;&gt;"N/A"),Config!$B$10&amp;"; ","")&amp;IF(AND(Config!$B$11&lt;&gt;"",E185&lt;&gt;"Sim",E185&lt;&gt;"N/A"),Config!$B$11&amp;"; ","")&amp;IF(AND(Config!$B$12&lt;&gt;"",F185&lt;&gt;"Sim",F185&lt;&gt;"N/A"),Config!$B$12&amp;"; ","")&amp;IF(AND(Config!$B$13&lt;&gt;"",G185&lt;&gt;"Sim",G185&lt;&gt;"N/A"),Config!$B$13&amp;"; ","")&amp;IF(AND(Config!$B$14&lt;&gt;"",H185&lt;&gt;"Sim",H185&lt;&gt;"N/A"),Config!$B$14&amp;"; ","")&amp;IF(AND(Config!$B$15&lt;&gt;"",I185&lt;&gt;"Sim",I185&lt;&gt;"N/A"),Config!$B$15&amp;"; ","")&amp;IF(AND(Config!$B$16&lt;&gt;"",J185&lt;&gt;"Sim",J185&lt;&gt;"N/A"),Config!$B$16&amp;"; ","")&amp;IF(AND(Config!$B$17&lt;&gt;"",K185&lt;&gt;"Sim",K185&lt;&gt;"N/A"),Config!$B$17&amp;"; ","")&amp;IF(AND(Config!$D$10&lt;&gt;"",L185&lt;&gt;"Sim",L185&lt;&gt;"N/A"),Config!$D$10&amp;"; ","")&amp;IF(AND(Config!$D$11&lt;&gt;"",M185&lt;&gt;"Sim",M185&lt;&gt;"N/A"),Config!$D$11&amp;"; ","")&amp;IF(AND(Config!$D$12&lt;&gt;"",N185&lt;&gt;"Sim",N185&lt;&gt;"N/A"),Config!$D$12&amp;"; ","")&amp;IF(AND(Config!$D$13&lt;&gt;"",O185&lt;&gt;"Sim",O185&lt;&gt;"N/A"),Config!$D$13&amp;"; ","")&amp;IF(AND(Config!$D$14&lt;&gt;"",P185&lt;&gt;"Sim",P185&lt;&gt;"N/A"),Config!$D$14&amp;"; ","")&amp;IF(AND(Config!$D$15&lt;&gt;"",Q185&lt;&gt;"Sim",Q185&lt;&gt;"N/A"),Config!$D$15&amp;"; ","")&amp;IF(AND(Config!$D$16&lt;&gt;"",R185&lt;&gt;"Sim",R185&lt;&gt;"N/A"),Config!$D$16&amp;"; ","")&amp;IF(AND(Config!$D$17&lt;&gt;"",S185&lt;&gt;"Sim",S185&lt;&gt;"N/A"),Config!$D$17&amp;"; ",""))</f>
        <v/>
      </c>
      <c r="AB185" s="39">
        <f>IF(A185="",0,COUNTIF($A$5:$A$304,"&gt;"&amp;A185)+1)</f>
        <v>0</v>
      </c>
    </row>
    <row r="186">
      <c r="A186" s="37" t="n"/>
      <c r="B186" s="24">
        <f>IF(A186="","",CHOOSE(WEEKDAY(A186,2),"Segunda","Terça","Quarta","Quinta","Sexta","Sábado","Domingo"))</f>
        <v/>
      </c>
      <c r="C186" s="38" t="n"/>
      <c r="D186" s="38" t="n"/>
      <c r="E186" s="38" t="n"/>
      <c r="F186" s="38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38" t="n"/>
      <c r="Q186" s="38" t="n"/>
      <c r="R186" s="38" t="n"/>
      <c r="S186" s="38" t="n"/>
      <c r="T186" s="26">
        <f>IF(A186="","",IFERROR(COUNTIF(D186:K186,"Sim")/(Config!$B$19-COUNTIF(D186:K186,"N/A")),""))</f>
        <v/>
      </c>
      <c r="U186" s="26">
        <f>IF(A186="","",IFERROR(COUNTIF(L186:S186,"Sim")/(Config!$D$19-COUNTIF(L186:S186,"N/A")),""))</f>
        <v/>
      </c>
      <c r="V186" s="24">
        <f>IF(A186="","",MAX(0,Config!$B$19-COUNTIF(D186:K186,"Sim")-COUNTIF(D186:K186,"N/A")))</f>
        <v/>
      </c>
      <c r="W186" s="24">
        <f>IF(A186="","",MAX(0,Config!$D$19-COUNTIF(L186:S186,"Sim")-COUNTIF(L186:S186,"N/A")))</f>
        <v/>
      </c>
      <c r="X186" s="24">
        <f>IF(A186="","",V186+W186)</f>
        <v/>
      </c>
      <c r="Y186" s="29">
        <f>IF(OR(A186="",AA186=""),"",LEFT(AA186,LEN(AA186)-2))</f>
        <v/>
      </c>
      <c r="Z186" s="39">
        <f>IF(OR(A186="",X186=0),0,X186*100000+A186/100000)</f>
        <v>0</v>
      </c>
      <c r="AA186" s="39">
        <f>IF(A186="","",IF(AND(Config!$B$10&lt;&gt;"",D186&lt;&gt;"Sim",D186&lt;&gt;"N/A"),Config!$B$10&amp;"; ","")&amp;IF(AND(Config!$B$11&lt;&gt;"",E186&lt;&gt;"Sim",E186&lt;&gt;"N/A"),Config!$B$11&amp;"; ","")&amp;IF(AND(Config!$B$12&lt;&gt;"",F186&lt;&gt;"Sim",F186&lt;&gt;"N/A"),Config!$B$12&amp;"; ","")&amp;IF(AND(Config!$B$13&lt;&gt;"",G186&lt;&gt;"Sim",G186&lt;&gt;"N/A"),Config!$B$13&amp;"; ","")&amp;IF(AND(Config!$B$14&lt;&gt;"",H186&lt;&gt;"Sim",H186&lt;&gt;"N/A"),Config!$B$14&amp;"; ","")&amp;IF(AND(Config!$B$15&lt;&gt;"",I186&lt;&gt;"Sim",I186&lt;&gt;"N/A"),Config!$B$15&amp;"; ","")&amp;IF(AND(Config!$B$16&lt;&gt;"",J186&lt;&gt;"Sim",J186&lt;&gt;"N/A"),Config!$B$16&amp;"; ","")&amp;IF(AND(Config!$B$17&lt;&gt;"",K186&lt;&gt;"Sim",K186&lt;&gt;"N/A"),Config!$B$17&amp;"; ","")&amp;IF(AND(Config!$D$10&lt;&gt;"",L186&lt;&gt;"Sim",L186&lt;&gt;"N/A"),Config!$D$10&amp;"; ","")&amp;IF(AND(Config!$D$11&lt;&gt;"",M186&lt;&gt;"Sim",M186&lt;&gt;"N/A"),Config!$D$11&amp;"; ","")&amp;IF(AND(Config!$D$12&lt;&gt;"",N186&lt;&gt;"Sim",N186&lt;&gt;"N/A"),Config!$D$12&amp;"; ","")&amp;IF(AND(Config!$D$13&lt;&gt;"",O186&lt;&gt;"Sim",O186&lt;&gt;"N/A"),Config!$D$13&amp;"; ","")&amp;IF(AND(Config!$D$14&lt;&gt;"",P186&lt;&gt;"Sim",P186&lt;&gt;"N/A"),Config!$D$14&amp;"; ","")&amp;IF(AND(Config!$D$15&lt;&gt;"",Q186&lt;&gt;"Sim",Q186&lt;&gt;"N/A"),Config!$D$15&amp;"; ","")&amp;IF(AND(Config!$D$16&lt;&gt;"",R186&lt;&gt;"Sim",R186&lt;&gt;"N/A"),Config!$D$16&amp;"; ","")&amp;IF(AND(Config!$D$17&lt;&gt;"",S186&lt;&gt;"Sim",S186&lt;&gt;"N/A"),Config!$D$17&amp;"; ",""))</f>
        <v/>
      </c>
      <c r="AB186" s="39">
        <f>IF(A186="",0,COUNTIF($A$5:$A$304,"&gt;"&amp;A186)+1)</f>
        <v>0</v>
      </c>
    </row>
    <row r="187">
      <c r="A187" s="37" t="n"/>
      <c r="B187" s="24">
        <f>IF(A187="","",CHOOSE(WEEKDAY(A187,2),"Segunda","Terça","Quarta","Quinta","Sexta","Sábado","Domingo"))</f>
        <v/>
      </c>
      <c r="C187" s="38" t="n"/>
      <c r="D187" s="38" t="n"/>
      <c r="E187" s="38" t="n"/>
      <c r="F187" s="38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26">
        <f>IF(A187="","",IFERROR(COUNTIF(D187:K187,"Sim")/(Config!$B$19-COUNTIF(D187:K187,"N/A")),""))</f>
        <v/>
      </c>
      <c r="U187" s="26">
        <f>IF(A187="","",IFERROR(COUNTIF(L187:S187,"Sim")/(Config!$D$19-COUNTIF(L187:S187,"N/A")),""))</f>
        <v/>
      </c>
      <c r="V187" s="24">
        <f>IF(A187="","",MAX(0,Config!$B$19-COUNTIF(D187:K187,"Sim")-COUNTIF(D187:K187,"N/A")))</f>
        <v/>
      </c>
      <c r="W187" s="24">
        <f>IF(A187="","",MAX(0,Config!$D$19-COUNTIF(L187:S187,"Sim")-COUNTIF(L187:S187,"N/A")))</f>
        <v/>
      </c>
      <c r="X187" s="24">
        <f>IF(A187="","",V187+W187)</f>
        <v/>
      </c>
      <c r="Y187" s="29">
        <f>IF(OR(A187="",AA187=""),"",LEFT(AA187,LEN(AA187)-2))</f>
        <v/>
      </c>
      <c r="Z187" s="39">
        <f>IF(OR(A187="",X187=0),0,X187*100000+A187/100000)</f>
        <v>0</v>
      </c>
      <c r="AA187" s="39">
        <f>IF(A187="","",IF(AND(Config!$B$10&lt;&gt;"",D187&lt;&gt;"Sim",D187&lt;&gt;"N/A"),Config!$B$10&amp;"; ","")&amp;IF(AND(Config!$B$11&lt;&gt;"",E187&lt;&gt;"Sim",E187&lt;&gt;"N/A"),Config!$B$11&amp;"; ","")&amp;IF(AND(Config!$B$12&lt;&gt;"",F187&lt;&gt;"Sim",F187&lt;&gt;"N/A"),Config!$B$12&amp;"; ","")&amp;IF(AND(Config!$B$13&lt;&gt;"",G187&lt;&gt;"Sim",G187&lt;&gt;"N/A"),Config!$B$13&amp;"; ","")&amp;IF(AND(Config!$B$14&lt;&gt;"",H187&lt;&gt;"Sim",H187&lt;&gt;"N/A"),Config!$B$14&amp;"; ","")&amp;IF(AND(Config!$B$15&lt;&gt;"",I187&lt;&gt;"Sim",I187&lt;&gt;"N/A"),Config!$B$15&amp;"; ","")&amp;IF(AND(Config!$B$16&lt;&gt;"",J187&lt;&gt;"Sim",J187&lt;&gt;"N/A"),Config!$B$16&amp;"; ","")&amp;IF(AND(Config!$B$17&lt;&gt;"",K187&lt;&gt;"Sim",K187&lt;&gt;"N/A"),Config!$B$17&amp;"; ","")&amp;IF(AND(Config!$D$10&lt;&gt;"",L187&lt;&gt;"Sim",L187&lt;&gt;"N/A"),Config!$D$10&amp;"; ","")&amp;IF(AND(Config!$D$11&lt;&gt;"",M187&lt;&gt;"Sim",M187&lt;&gt;"N/A"),Config!$D$11&amp;"; ","")&amp;IF(AND(Config!$D$12&lt;&gt;"",N187&lt;&gt;"Sim",N187&lt;&gt;"N/A"),Config!$D$12&amp;"; ","")&amp;IF(AND(Config!$D$13&lt;&gt;"",O187&lt;&gt;"Sim",O187&lt;&gt;"N/A"),Config!$D$13&amp;"; ","")&amp;IF(AND(Config!$D$14&lt;&gt;"",P187&lt;&gt;"Sim",P187&lt;&gt;"N/A"),Config!$D$14&amp;"; ","")&amp;IF(AND(Config!$D$15&lt;&gt;"",Q187&lt;&gt;"Sim",Q187&lt;&gt;"N/A"),Config!$D$15&amp;"; ","")&amp;IF(AND(Config!$D$16&lt;&gt;"",R187&lt;&gt;"Sim",R187&lt;&gt;"N/A"),Config!$D$16&amp;"; ","")&amp;IF(AND(Config!$D$17&lt;&gt;"",S187&lt;&gt;"Sim",S187&lt;&gt;"N/A"),Config!$D$17&amp;"; ",""))</f>
        <v/>
      </c>
      <c r="AB187" s="39">
        <f>IF(A187="",0,COUNTIF($A$5:$A$304,"&gt;"&amp;A187)+1)</f>
        <v>0</v>
      </c>
    </row>
    <row r="188">
      <c r="A188" s="37" t="n"/>
      <c r="B188" s="24">
        <f>IF(A188="","",CHOOSE(WEEKDAY(A188,2),"Segunda","Terça","Quarta","Quinta","Sexta","Sábado","Domingo"))</f>
        <v/>
      </c>
      <c r="C188" s="38" t="n"/>
      <c r="D188" s="38" t="n"/>
      <c r="E188" s="38" t="n"/>
      <c r="F188" s="38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26">
        <f>IF(A188="","",IFERROR(COUNTIF(D188:K188,"Sim")/(Config!$B$19-COUNTIF(D188:K188,"N/A")),""))</f>
        <v/>
      </c>
      <c r="U188" s="26">
        <f>IF(A188="","",IFERROR(COUNTIF(L188:S188,"Sim")/(Config!$D$19-COUNTIF(L188:S188,"N/A")),""))</f>
        <v/>
      </c>
      <c r="V188" s="24">
        <f>IF(A188="","",MAX(0,Config!$B$19-COUNTIF(D188:K188,"Sim")-COUNTIF(D188:K188,"N/A")))</f>
        <v/>
      </c>
      <c r="W188" s="24">
        <f>IF(A188="","",MAX(0,Config!$D$19-COUNTIF(L188:S188,"Sim")-COUNTIF(L188:S188,"N/A")))</f>
        <v/>
      </c>
      <c r="X188" s="24">
        <f>IF(A188="","",V188+W188)</f>
        <v/>
      </c>
      <c r="Y188" s="29">
        <f>IF(OR(A188="",AA188=""),"",LEFT(AA188,LEN(AA188)-2))</f>
        <v/>
      </c>
      <c r="Z188" s="39">
        <f>IF(OR(A188="",X188=0),0,X188*100000+A188/100000)</f>
        <v>0</v>
      </c>
      <c r="AA188" s="39">
        <f>IF(A188="","",IF(AND(Config!$B$10&lt;&gt;"",D188&lt;&gt;"Sim",D188&lt;&gt;"N/A"),Config!$B$10&amp;"; ","")&amp;IF(AND(Config!$B$11&lt;&gt;"",E188&lt;&gt;"Sim",E188&lt;&gt;"N/A"),Config!$B$11&amp;"; ","")&amp;IF(AND(Config!$B$12&lt;&gt;"",F188&lt;&gt;"Sim",F188&lt;&gt;"N/A"),Config!$B$12&amp;"; ","")&amp;IF(AND(Config!$B$13&lt;&gt;"",G188&lt;&gt;"Sim",G188&lt;&gt;"N/A"),Config!$B$13&amp;"; ","")&amp;IF(AND(Config!$B$14&lt;&gt;"",H188&lt;&gt;"Sim",H188&lt;&gt;"N/A"),Config!$B$14&amp;"; ","")&amp;IF(AND(Config!$B$15&lt;&gt;"",I188&lt;&gt;"Sim",I188&lt;&gt;"N/A"),Config!$B$15&amp;"; ","")&amp;IF(AND(Config!$B$16&lt;&gt;"",J188&lt;&gt;"Sim",J188&lt;&gt;"N/A"),Config!$B$16&amp;"; ","")&amp;IF(AND(Config!$B$17&lt;&gt;"",K188&lt;&gt;"Sim",K188&lt;&gt;"N/A"),Config!$B$17&amp;"; ","")&amp;IF(AND(Config!$D$10&lt;&gt;"",L188&lt;&gt;"Sim",L188&lt;&gt;"N/A"),Config!$D$10&amp;"; ","")&amp;IF(AND(Config!$D$11&lt;&gt;"",M188&lt;&gt;"Sim",M188&lt;&gt;"N/A"),Config!$D$11&amp;"; ","")&amp;IF(AND(Config!$D$12&lt;&gt;"",N188&lt;&gt;"Sim",N188&lt;&gt;"N/A"),Config!$D$12&amp;"; ","")&amp;IF(AND(Config!$D$13&lt;&gt;"",O188&lt;&gt;"Sim",O188&lt;&gt;"N/A"),Config!$D$13&amp;"; ","")&amp;IF(AND(Config!$D$14&lt;&gt;"",P188&lt;&gt;"Sim",P188&lt;&gt;"N/A"),Config!$D$14&amp;"; ","")&amp;IF(AND(Config!$D$15&lt;&gt;"",Q188&lt;&gt;"Sim",Q188&lt;&gt;"N/A"),Config!$D$15&amp;"; ","")&amp;IF(AND(Config!$D$16&lt;&gt;"",R188&lt;&gt;"Sim",R188&lt;&gt;"N/A"),Config!$D$16&amp;"; ","")&amp;IF(AND(Config!$D$17&lt;&gt;"",S188&lt;&gt;"Sim",S188&lt;&gt;"N/A"),Config!$D$17&amp;"; ",""))</f>
        <v/>
      </c>
      <c r="AB188" s="39">
        <f>IF(A188="",0,COUNTIF($A$5:$A$304,"&gt;"&amp;A188)+1)</f>
        <v>0</v>
      </c>
    </row>
    <row r="189">
      <c r="A189" s="37" t="n"/>
      <c r="B189" s="24">
        <f>IF(A189="","",CHOOSE(WEEKDAY(A189,2),"Segunda","Terça","Quarta","Quinta","Sexta","Sábado","Domingo"))</f>
        <v/>
      </c>
      <c r="C189" s="38" t="n"/>
      <c r="D189" s="38" t="n"/>
      <c r="E189" s="38" t="n"/>
      <c r="F189" s="38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26">
        <f>IF(A189="","",IFERROR(COUNTIF(D189:K189,"Sim")/(Config!$B$19-COUNTIF(D189:K189,"N/A")),""))</f>
        <v/>
      </c>
      <c r="U189" s="26">
        <f>IF(A189="","",IFERROR(COUNTIF(L189:S189,"Sim")/(Config!$D$19-COUNTIF(L189:S189,"N/A")),""))</f>
        <v/>
      </c>
      <c r="V189" s="24">
        <f>IF(A189="","",MAX(0,Config!$B$19-COUNTIF(D189:K189,"Sim")-COUNTIF(D189:K189,"N/A")))</f>
        <v/>
      </c>
      <c r="W189" s="24">
        <f>IF(A189="","",MAX(0,Config!$D$19-COUNTIF(L189:S189,"Sim")-COUNTIF(L189:S189,"N/A")))</f>
        <v/>
      </c>
      <c r="X189" s="24">
        <f>IF(A189="","",V189+W189)</f>
        <v/>
      </c>
      <c r="Y189" s="29">
        <f>IF(OR(A189="",AA189=""),"",LEFT(AA189,LEN(AA189)-2))</f>
        <v/>
      </c>
      <c r="Z189" s="39">
        <f>IF(OR(A189="",X189=0),0,X189*100000+A189/100000)</f>
        <v>0</v>
      </c>
      <c r="AA189" s="39">
        <f>IF(A189="","",IF(AND(Config!$B$10&lt;&gt;"",D189&lt;&gt;"Sim",D189&lt;&gt;"N/A"),Config!$B$10&amp;"; ","")&amp;IF(AND(Config!$B$11&lt;&gt;"",E189&lt;&gt;"Sim",E189&lt;&gt;"N/A"),Config!$B$11&amp;"; ","")&amp;IF(AND(Config!$B$12&lt;&gt;"",F189&lt;&gt;"Sim",F189&lt;&gt;"N/A"),Config!$B$12&amp;"; ","")&amp;IF(AND(Config!$B$13&lt;&gt;"",G189&lt;&gt;"Sim",G189&lt;&gt;"N/A"),Config!$B$13&amp;"; ","")&amp;IF(AND(Config!$B$14&lt;&gt;"",H189&lt;&gt;"Sim",H189&lt;&gt;"N/A"),Config!$B$14&amp;"; ","")&amp;IF(AND(Config!$B$15&lt;&gt;"",I189&lt;&gt;"Sim",I189&lt;&gt;"N/A"),Config!$B$15&amp;"; ","")&amp;IF(AND(Config!$B$16&lt;&gt;"",J189&lt;&gt;"Sim",J189&lt;&gt;"N/A"),Config!$B$16&amp;"; ","")&amp;IF(AND(Config!$B$17&lt;&gt;"",K189&lt;&gt;"Sim",K189&lt;&gt;"N/A"),Config!$B$17&amp;"; ","")&amp;IF(AND(Config!$D$10&lt;&gt;"",L189&lt;&gt;"Sim",L189&lt;&gt;"N/A"),Config!$D$10&amp;"; ","")&amp;IF(AND(Config!$D$11&lt;&gt;"",M189&lt;&gt;"Sim",M189&lt;&gt;"N/A"),Config!$D$11&amp;"; ","")&amp;IF(AND(Config!$D$12&lt;&gt;"",N189&lt;&gt;"Sim",N189&lt;&gt;"N/A"),Config!$D$12&amp;"; ","")&amp;IF(AND(Config!$D$13&lt;&gt;"",O189&lt;&gt;"Sim",O189&lt;&gt;"N/A"),Config!$D$13&amp;"; ","")&amp;IF(AND(Config!$D$14&lt;&gt;"",P189&lt;&gt;"Sim",P189&lt;&gt;"N/A"),Config!$D$14&amp;"; ","")&amp;IF(AND(Config!$D$15&lt;&gt;"",Q189&lt;&gt;"Sim",Q189&lt;&gt;"N/A"),Config!$D$15&amp;"; ","")&amp;IF(AND(Config!$D$16&lt;&gt;"",R189&lt;&gt;"Sim",R189&lt;&gt;"N/A"),Config!$D$16&amp;"; ","")&amp;IF(AND(Config!$D$17&lt;&gt;"",S189&lt;&gt;"Sim",S189&lt;&gt;"N/A"),Config!$D$17&amp;"; ",""))</f>
        <v/>
      </c>
      <c r="AB189" s="39">
        <f>IF(A189="",0,COUNTIF($A$5:$A$304,"&gt;"&amp;A189)+1)</f>
        <v>0</v>
      </c>
    </row>
    <row r="190">
      <c r="A190" s="37" t="n"/>
      <c r="B190" s="24">
        <f>IF(A190="","",CHOOSE(WEEKDAY(A190,2),"Segunda","Terça","Quarta","Quinta","Sexta","Sábado","Domingo"))</f>
        <v/>
      </c>
      <c r="C190" s="38" t="n"/>
      <c r="D190" s="38" t="n"/>
      <c r="E190" s="38" t="n"/>
      <c r="F190" s="38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26">
        <f>IF(A190="","",IFERROR(COUNTIF(D190:K190,"Sim")/(Config!$B$19-COUNTIF(D190:K190,"N/A")),""))</f>
        <v/>
      </c>
      <c r="U190" s="26">
        <f>IF(A190="","",IFERROR(COUNTIF(L190:S190,"Sim")/(Config!$D$19-COUNTIF(L190:S190,"N/A")),""))</f>
        <v/>
      </c>
      <c r="V190" s="24">
        <f>IF(A190="","",MAX(0,Config!$B$19-COUNTIF(D190:K190,"Sim")-COUNTIF(D190:K190,"N/A")))</f>
        <v/>
      </c>
      <c r="W190" s="24">
        <f>IF(A190="","",MAX(0,Config!$D$19-COUNTIF(L190:S190,"Sim")-COUNTIF(L190:S190,"N/A")))</f>
        <v/>
      </c>
      <c r="X190" s="24">
        <f>IF(A190="","",V190+W190)</f>
        <v/>
      </c>
      <c r="Y190" s="29">
        <f>IF(OR(A190="",AA190=""),"",LEFT(AA190,LEN(AA190)-2))</f>
        <v/>
      </c>
      <c r="Z190" s="39">
        <f>IF(OR(A190="",X190=0),0,X190*100000+A190/100000)</f>
        <v>0</v>
      </c>
      <c r="AA190" s="39">
        <f>IF(A190="","",IF(AND(Config!$B$10&lt;&gt;"",D190&lt;&gt;"Sim",D190&lt;&gt;"N/A"),Config!$B$10&amp;"; ","")&amp;IF(AND(Config!$B$11&lt;&gt;"",E190&lt;&gt;"Sim",E190&lt;&gt;"N/A"),Config!$B$11&amp;"; ","")&amp;IF(AND(Config!$B$12&lt;&gt;"",F190&lt;&gt;"Sim",F190&lt;&gt;"N/A"),Config!$B$12&amp;"; ","")&amp;IF(AND(Config!$B$13&lt;&gt;"",G190&lt;&gt;"Sim",G190&lt;&gt;"N/A"),Config!$B$13&amp;"; ","")&amp;IF(AND(Config!$B$14&lt;&gt;"",H190&lt;&gt;"Sim",H190&lt;&gt;"N/A"),Config!$B$14&amp;"; ","")&amp;IF(AND(Config!$B$15&lt;&gt;"",I190&lt;&gt;"Sim",I190&lt;&gt;"N/A"),Config!$B$15&amp;"; ","")&amp;IF(AND(Config!$B$16&lt;&gt;"",J190&lt;&gt;"Sim",J190&lt;&gt;"N/A"),Config!$B$16&amp;"; ","")&amp;IF(AND(Config!$B$17&lt;&gt;"",K190&lt;&gt;"Sim",K190&lt;&gt;"N/A"),Config!$B$17&amp;"; ","")&amp;IF(AND(Config!$D$10&lt;&gt;"",L190&lt;&gt;"Sim",L190&lt;&gt;"N/A"),Config!$D$10&amp;"; ","")&amp;IF(AND(Config!$D$11&lt;&gt;"",M190&lt;&gt;"Sim",M190&lt;&gt;"N/A"),Config!$D$11&amp;"; ","")&amp;IF(AND(Config!$D$12&lt;&gt;"",N190&lt;&gt;"Sim",N190&lt;&gt;"N/A"),Config!$D$12&amp;"; ","")&amp;IF(AND(Config!$D$13&lt;&gt;"",O190&lt;&gt;"Sim",O190&lt;&gt;"N/A"),Config!$D$13&amp;"; ","")&amp;IF(AND(Config!$D$14&lt;&gt;"",P190&lt;&gt;"Sim",P190&lt;&gt;"N/A"),Config!$D$14&amp;"; ","")&amp;IF(AND(Config!$D$15&lt;&gt;"",Q190&lt;&gt;"Sim",Q190&lt;&gt;"N/A"),Config!$D$15&amp;"; ","")&amp;IF(AND(Config!$D$16&lt;&gt;"",R190&lt;&gt;"Sim",R190&lt;&gt;"N/A"),Config!$D$16&amp;"; ","")&amp;IF(AND(Config!$D$17&lt;&gt;"",S190&lt;&gt;"Sim",S190&lt;&gt;"N/A"),Config!$D$17&amp;"; ",""))</f>
        <v/>
      </c>
      <c r="AB190" s="39">
        <f>IF(A190="",0,COUNTIF($A$5:$A$304,"&gt;"&amp;A190)+1)</f>
        <v>0</v>
      </c>
    </row>
    <row r="191">
      <c r="A191" s="37" t="n"/>
      <c r="B191" s="24">
        <f>IF(A191="","",CHOOSE(WEEKDAY(A191,2),"Segunda","Terça","Quarta","Quinta","Sexta","Sábado","Domingo"))</f>
        <v/>
      </c>
      <c r="C191" s="38" t="n"/>
      <c r="D191" s="38" t="n"/>
      <c r="E191" s="38" t="n"/>
      <c r="F191" s="38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26">
        <f>IF(A191="","",IFERROR(COUNTIF(D191:K191,"Sim")/(Config!$B$19-COUNTIF(D191:K191,"N/A")),""))</f>
        <v/>
      </c>
      <c r="U191" s="26">
        <f>IF(A191="","",IFERROR(COUNTIF(L191:S191,"Sim")/(Config!$D$19-COUNTIF(L191:S191,"N/A")),""))</f>
        <v/>
      </c>
      <c r="V191" s="24">
        <f>IF(A191="","",MAX(0,Config!$B$19-COUNTIF(D191:K191,"Sim")-COUNTIF(D191:K191,"N/A")))</f>
        <v/>
      </c>
      <c r="W191" s="24">
        <f>IF(A191="","",MAX(0,Config!$D$19-COUNTIF(L191:S191,"Sim")-COUNTIF(L191:S191,"N/A")))</f>
        <v/>
      </c>
      <c r="X191" s="24">
        <f>IF(A191="","",V191+W191)</f>
        <v/>
      </c>
      <c r="Y191" s="29">
        <f>IF(OR(A191="",AA191=""),"",LEFT(AA191,LEN(AA191)-2))</f>
        <v/>
      </c>
      <c r="Z191" s="39">
        <f>IF(OR(A191="",X191=0),0,X191*100000+A191/100000)</f>
        <v>0</v>
      </c>
      <c r="AA191" s="39">
        <f>IF(A191="","",IF(AND(Config!$B$10&lt;&gt;"",D191&lt;&gt;"Sim",D191&lt;&gt;"N/A"),Config!$B$10&amp;"; ","")&amp;IF(AND(Config!$B$11&lt;&gt;"",E191&lt;&gt;"Sim",E191&lt;&gt;"N/A"),Config!$B$11&amp;"; ","")&amp;IF(AND(Config!$B$12&lt;&gt;"",F191&lt;&gt;"Sim",F191&lt;&gt;"N/A"),Config!$B$12&amp;"; ","")&amp;IF(AND(Config!$B$13&lt;&gt;"",G191&lt;&gt;"Sim",G191&lt;&gt;"N/A"),Config!$B$13&amp;"; ","")&amp;IF(AND(Config!$B$14&lt;&gt;"",H191&lt;&gt;"Sim",H191&lt;&gt;"N/A"),Config!$B$14&amp;"; ","")&amp;IF(AND(Config!$B$15&lt;&gt;"",I191&lt;&gt;"Sim",I191&lt;&gt;"N/A"),Config!$B$15&amp;"; ","")&amp;IF(AND(Config!$B$16&lt;&gt;"",J191&lt;&gt;"Sim",J191&lt;&gt;"N/A"),Config!$B$16&amp;"; ","")&amp;IF(AND(Config!$B$17&lt;&gt;"",K191&lt;&gt;"Sim",K191&lt;&gt;"N/A"),Config!$B$17&amp;"; ","")&amp;IF(AND(Config!$D$10&lt;&gt;"",L191&lt;&gt;"Sim",L191&lt;&gt;"N/A"),Config!$D$10&amp;"; ","")&amp;IF(AND(Config!$D$11&lt;&gt;"",M191&lt;&gt;"Sim",M191&lt;&gt;"N/A"),Config!$D$11&amp;"; ","")&amp;IF(AND(Config!$D$12&lt;&gt;"",N191&lt;&gt;"Sim",N191&lt;&gt;"N/A"),Config!$D$12&amp;"; ","")&amp;IF(AND(Config!$D$13&lt;&gt;"",O191&lt;&gt;"Sim",O191&lt;&gt;"N/A"),Config!$D$13&amp;"; ","")&amp;IF(AND(Config!$D$14&lt;&gt;"",P191&lt;&gt;"Sim",P191&lt;&gt;"N/A"),Config!$D$14&amp;"; ","")&amp;IF(AND(Config!$D$15&lt;&gt;"",Q191&lt;&gt;"Sim",Q191&lt;&gt;"N/A"),Config!$D$15&amp;"; ","")&amp;IF(AND(Config!$D$16&lt;&gt;"",R191&lt;&gt;"Sim",R191&lt;&gt;"N/A"),Config!$D$16&amp;"; ","")&amp;IF(AND(Config!$D$17&lt;&gt;"",S191&lt;&gt;"Sim",S191&lt;&gt;"N/A"),Config!$D$17&amp;"; ",""))</f>
        <v/>
      </c>
      <c r="AB191" s="39">
        <f>IF(A191="",0,COUNTIF($A$5:$A$304,"&gt;"&amp;A191)+1)</f>
        <v>0</v>
      </c>
    </row>
    <row r="192">
      <c r="A192" s="37" t="n"/>
      <c r="B192" s="24">
        <f>IF(A192="","",CHOOSE(WEEKDAY(A192,2),"Segunda","Terça","Quarta","Quinta","Sexta","Sábado","Domingo"))</f>
        <v/>
      </c>
      <c r="C192" s="38" t="n"/>
      <c r="D192" s="38" t="n"/>
      <c r="E192" s="38" t="n"/>
      <c r="F192" s="38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26">
        <f>IF(A192="","",IFERROR(COUNTIF(D192:K192,"Sim")/(Config!$B$19-COUNTIF(D192:K192,"N/A")),""))</f>
        <v/>
      </c>
      <c r="U192" s="26">
        <f>IF(A192="","",IFERROR(COUNTIF(L192:S192,"Sim")/(Config!$D$19-COUNTIF(L192:S192,"N/A")),""))</f>
        <v/>
      </c>
      <c r="V192" s="24">
        <f>IF(A192="","",MAX(0,Config!$B$19-COUNTIF(D192:K192,"Sim")-COUNTIF(D192:K192,"N/A")))</f>
        <v/>
      </c>
      <c r="W192" s="24">
        <f>IF(A192="","",MAX(0,Config!$D$19-COUNTIF(L192:S192,"Sim")-COUNTIF(L192:S192,"N/A")))</f>
        <v/>
      </c>
      <c r="X192" s="24">
        <f>IF(A192="","",V192+W192)</f>
        <v/>
      </c>
      <c r="Y192" s="29">
        <f>IF(OR(A192="",AA192=""),"",LEFT(AA192,LEN(AA192)-2))</f>
        <v/>
      </c>
      <c r="Z192" s="39">
        <f>IF(OR(A192="",X192=0),0,X192*100000+A192/100000)</f>
        <v>0</v>
      </c>
      <c r="AA192" s="39">
        <f>IF(A192="","",IF(AND(Config!$B$10&lt;&gt;"",D192&lt;&gt;"Sim",D192&lt;&gt;"N/A"),Config!$B$10&amp;"; ","")&amp;IF(AND(Config!$B$11&lt;&gt;"",E192&lt;&gt;"Sim",E192&lt;&gt;"N/A"),Config!$B$11&amp;"; ","")&amp;IF(AND(Config!$B$12&lt;&gt;"",F192&lt;&gt;"Sim",F192&lt;&gt;"N/A"),Config!$B$12&amp;"; ","")&amp;IF(AND(Config!$B$13&lt;&gt;"",G192&lt;&gt;"Sim",G192&lt;&gt;"N/A"),Config!$B$13&amp;"; ","")&amp;IF(AND(Config!$B$14&lt;&gt;"",H192&lt;&gt;"Sim",H192&lt;&gt;"N/A"),Config!$B$14&amp;"; ","")&amp;IF(AND(Config!$B$15&lt;&gt;"",I192&lt;&gt;"Sim",I192&lt;&gt;"N/A"),Config!$B$15&amp;"; ","")&amp;IF(AND(Config!$B$16&lt;&gt;"",J192&lt;&gt;"Sim",J192&lt;&gt;"N/A"),Config!$B$16&amp;"; ","")&amp;IF(AND(Config!$B$17&lt;&gt;"",K192&lt;&gt;"Sim",K192&lt;&gt;"N/A"),Config!$B$17&amp;"; ","")&amp;IF(AND(Config!$D$10&lt;&gt;"",L192&lt;&gt;"Sim",L192&lt;&gt;"N/A"),Config!$D$10&amp;"; ","")&amp;IF(AND(Config!$D$11&lt;&gt;"",M192&lt;&gt;"Sim",M192&lt;&gt;"N/A"),Config!$D$11&amp;"; ","")&amp;IF(AND(Config!$D$12&lt;&gt;"",N192&lt;&gt;"Sim",N192&lt;&gt;"N/A"),Config!$D$12&amp;"; ","")&amp;IF(AND(Config!$D$13&lt;&gt;"",O192&lt;&gt;"Sim",O192&lt;&gt;"N/A"),Config!$D$13&amp;"; ","")&amp;IF(AND(Config!$D$14&lt;&gt;"",P192&lt;&gt;"Sim",P192&lt;&gt;"N/A"),Config!$D$14&amp;"; ","")&amp;IF(AND(Config!$D$15&lt;&gt;"",Q192&lt;&gt;"Sim",Q192&lt;&gt;"N/A"),Config!$D$15&amp;"; ","")&amp;IF(AND(Config!$D$16&lt;&gt;"",R192&lt;&gt;"Sim",R192&lt;&gt;"N/A"),Config!$D$16&amp;"; ","")&amp;IF(AND(Config!$D$17&lt;&gt;"",S192&lt;&gt;"Sim",S192&lt;&gt;"N/A"),Config!$D$17&amp;"; ",""))</f>
        <v/>
      </c>
      <c r="AB192" s="39">
        <f>IF(A192="",0,COUNTIF($A$5:$A$304,"&gt;"&amp;A192)+1)</f>
        <v>0</v>
      </c>
    </row>
    <row r="193">
      <c r="A193" s="37" t="n"/>
      <c r="B193" s="24">
        <f>IF(A193="","",CHOOSE(WEEKDAY(A193,2),"Segunda","Terça","Quarta","Quinta","Sexta","Sábado","Domingo"))</f>
        <v/>
      </c>
      <c r="C193" s="38" t="n"/>
      <c r="D193" s="38" t="n"/>
      <c r="E193" s="38" t="n"/>
      <c r="F193" s="38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26">
        <f>IF(A193="","",IFERROR(COUNTIF(D193:K193,"Sim")/(Config!$B$19-COUNTIF(D193:K193,"N/A")),""))</f>
        <v/>
      </c>
      <c r="U193" s="26">
        <f>IF(A193="","",IFERROR(COUNTIF(L193:S193,"Sim")/(Config!$D$19-COUNTIF(L193:S193,"N/A")),""))</f>
        <v/>
      </c>
      <c r="V193" s="24">
        <f>IF(A193="","",MAX(0,Config!$B$19-COUNTIF(D193:K193,"Sim")-COUNTIF(D193:K193,"N/A")))</f>
        <v/>
      </c>
      <c r="W193" s="24">
        <f>IF(A193="","",MAX(0,Config!$D$19-COUNTIF(L193:S193,"Sim")-COUNTIF(L193:S193,"N/A")))</f>
        <v/>
      </c>
      <c r="X193" s="24">
        <f>IF(A193="","",V193+W193)</f>
        <v/>
      </c>
      <c r="Y193" s="29">
        <f>IF(OR(A193="",AA193=""),"",LEFT(AA193,LEN(AA193)-2))</f>
        <v/>
      </c>
      <c r="Z193" s="39">
        <f>IF(OR(A193="",X193=0),0,X193*100000+A193/100000)</f>
        <v>0</v>
      </c>
      <c r="AA193" s="39">
        <f>IF(A193="","",IF(AND(Config!$B$10&lt;&gt;"",D193&lt;&gt;"Sim",D193&lt;&gt;"N/A"),Config!$B$10&amp;"; ","")&amp;IF(AND(Config!$B$11&lt;&gt;"",E193&lt;&gt;"Sim",E193&lt;&gt;"N/A"),Config!$B$11&amp;"; ","")&amp;IF(AND(Config!$B$12&lt;&gt;"",F193&lt;&gt;"Sim",F193&lt;&gt;"N/A"),Config!$B$12&amp;"; ","")&amp;IF(AND(Config!$B$13&lt;&gt;"",G193&lt;&gt;"Sim",G193&lt;&gt;"N/A"),Config!$B$13&amp;"; ","")&amp;IF(AND(Config!$B$14&lt;&gt;"",H193&lt;&gt;"Sim",H193&lt;&gt;"N/A"),Config!$B$14&amp;"; ","")&amp;IF(AND(Config!$B$15&lt;&gt;"",I193&lt;&gt;"Sim",I193&lt;&gt;"N/A"),Config!$B$15&amp;"; ","")&amp;IF(AND(Config!$B$16&lt;&gt;"",J193&lt;&gt;"Sim",J193&lt;&gt;"N/A"),Config!$B$16&amp;"; ","")&amp;IF(AND(Config!$B$17&lt;&gt;"",K193&lt;&gt;"Sim",K193&lt;&gt;"N/A"),Config!$B$17&amp;"; ","")&amp;IF(AND(Config!$D$10&lt;&gt;"",L193&lt;&gt;"Sim",L193&lt;&gt;"N/A"),Config!$D$10&amp;"; ","")&amp;IF(AND(Config!$D$11&lt;&gt;"",M193&lt;&gt;"Sim",M193&lt;&gt;"N/A"),Config!$D$11&amp;"; ","")&amp;IF(AND(Config!$D$12&lt;&gt;"",N193&lt;&gt;"Sim",N193&lt;&gt;"N/A"),Config!$D$12&amp;"; ","")&amp;IF(AND(Config!$D$13&lt;&gt;"",O193&lt;&gt;"Sim",O193&lt;&gt;"N/A"),Config!$D$13&amp;"; ","")&amp;IF(AND(Config!$D$14&lt;&gt;"",P193&lt;&gt;"Sim",P193&lt;&gt;"N/A"),Config!$D$14&amp;"; ","")&amp;IF(AND(Config!$D$15&lt;&gt;"",Q193&lt;&gt;"Sim",Q193&lt;&gt;"N/A"),Config!$D$15&amp;"; ","")&amp;IF(AND(Config!$D$16&lt;&gt;"",R193&lt;&gt;"Sim",R193&lt;&gt;"N/A"),Config!$D$16&amp;"; ","")&amp;IF(AND(Config!$D$17&lt;&gt;"",S193&lt;&gt;"Sim",S193&lt;&gt;"N/A"),Config!$D$17&amp;"; ",""))</f>
        <v/>
      </c>
      <c r="AB193" s="39">
        <f>IF(A193="",0,COUNTIF($A$5:$A$304,"&gt;"&amp;A193)+1)</f>
        <v>0</v>
      </c>
    </row>
    <row r="194">
      <c r="A194" s="37" t="n"/>
      <c r="B194" s="24">
        <f>IF(A194="","",CHOOSE(WEEKDAY(A194,2),"Segunda","Terça","Quarta","Quinta","Sexta","Sábado","Domingo"))</f>
        <v/>
      </c>
      <c r="C194" s="38" t="n"/>
      <c r="D194" s="38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26">
        <f>IF(A194="","",IFERROR(COUNTIF(D194:K194,"Sim")/(Config!$B$19-COUNTIF(D194:K194,"N/A")),""))</f>
        <v/>
      </c>
      <c r="U194" s="26">
        <f>IF(A194="","",IFERROR(COUNTIF(L194:S194,"Sim")/(Config!$D$19-COUNTIF(L194:S194,"N/A")),""))</f>
        <v/>
      </c>
      <c r="V194" s="24">
        <f>IF(A194="","",MAX(0,Config!$B$19-COUNTIF(D194:K194,"Sim")-COUNTIF(D194:K194,"N/A")))</f>
        <v/>
      </c>
      <c r="W194" s="24">
        <f>IF(A194="","",MAX(0,Config!$D$19-COUNTIF(L194:S194,"Sim")-COUNTIF(L194:S194,"N/A")))</f>
        <v/>
      </c>
      <c r="X194" s="24">
        <f>IF(A194="","",V194+W194)</f>
        <v/>
      </c>
      <c r="Y194" s="29">
        <f>IF(OR(A194="",AA194=""),"",LEFT(AA194,LEN(AA194)-2))</f>
        <v/>
      </c>
      <c r="Z194" s="39">
        <f>IF(OR(A194="",X194=0),0,X194*100000+A194/100000)</f>
        <v>0</v>
      </c>
      <c r="AA194" s="39">
        <f>IF(A194="","",IF(AND(Config!$B$10&lt;&gt;"",D194&lt;&gt;"Sim",D194&lt;&gt;"N/A"),Config!$B$10&amp;"; ","")&amp;IF(AND(Config!$B$11&lt;&gt;"",E194&lt;&gt;"Sim",E194&lt;&gt;"N/A"),Config!$B$11&amp;"; ","")&amp;IF(AND(Config!$B$12&lt;&gt;"",F194&lt;&gt;"Sim",F194&lt;&gt;"N/A"),Config!$B$12&amp;"; ","")&amp;IF(AND(Config!$B$13&lt;&gt;"",G194&lt;&gt;"Sim",G194&lt;&gt;"N/A"),Config!$B$13&amp;"; ","")&amp;IF(AND(Config!$B$14&lt;&gt;"",H194&lt;&gt;"Sim",H194&lt;&gt;"N/A"),Config!$B$14&amp;"; ","")&amp;IF(AND(Config!$B$15&lt;&gt;"",I194&lt;&gt;"Sim",I194&lt;&gt;"N/A"),Config!$B$15&amp;"; ","")&amp;IF(AND(Config!$B$16&lt;&gt;"",J194&lt;&gt;"Sim",J194&lt;&gt;"N/A"),Config!$B$16&amp;"; ","")&amp;IF(AND(Config!$B$17&lt;&gt;"",K194&lt;&gt;"Sim",K194&lt;&gt;"N/A"),Config!$B$17&amp;"; ","")&amp;IF(AND(Config!$D$10&lt;&gt;"",L194&lt;&gt;"Sim",L194&lt;&gt;"N/A"),Config!$D$10&amp;"; ","")&amp;IF(AND(Config!$D$11&lt;&gt;"",M194&lt;&gt;"Sim",M194&lt;&gt;"N/A"),Config!$D$11&amp;"; ","")&amp;IF(AND(Config!$D$12&lt;&gt;"",N194&lt;&gt;"Sim",N194&lt;&gt;"N/A"),Config!$D$12&amp;"; ","")&amp;IF(AND(Config!$D$13&lt;&gt;"",O194&lt;&gt;"Sim",O194&lt;&gt;"N/A"),Config!$D$13&amp;"; ","")&amp;IF(AND(Config!$D$14&lt;&gt;"",P194&lt;&gt;"Sim",P194&lt;&gt;"N/A"),Config!$D$14&amp;"; ","")&amp;IF(AND(Config!$D$15&lt;&gt;"",Q194&lt;&gt;"Sim",Q194&lt;&gt;"N/A"),Config!$D$15&amp;"; ","")&amp;IF(AND(Config!$D$16&lt;&gt;"",R194&lt;&gt;"Sim",R194&lt;&gt;"N/A"),Config!$D$16&amp;"; ","")&amp;IF(AND(Config!$D$17&lt;&gt;"",S194&lt;&gt;"Sim",S194&lt;&gt;"N/A"),Config!$D$17&amp;"; ",""))</f>
        <v/>
      </c>
      <c r="AB194" s="39">
        <f>IF(A194="",0,COUNTIF($A$5:$A$304,"&gt;"&amp;A194)+1)</f>
        <v>0</v>
      </c>
    </row>
    <row r="195">
      <c r="A195" s="37" t="n"/>
      <c r="B195" s="24">
        <f>IF(A195="","",CHOOSE(WEEKDAY(A195,2),"Segunda","Terça","Quarta","Quinta","Sexta","Sábado","Domingo"))</f>
        <v/>
      </c>
      <c r="C195" s="38" t="n"/>
      <c r="D195" s="38" t="n"/>
      <c r="E195" s="38" t="n"/>
      <c r="F195" s="38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26">
        <f>IF(A195="","",IFERROR(COUNTIF(D195:K195,"Sim")/(Config!$B$19-COUNTIF(D195:K195,"N/A")),""))</f>
        <v/>
      </c>
      <c r="U195" s="26">
        <f>IF(A195="","",IFERROR(COUNTIF(L195:S195,"Sim")/(Config!$D$19-COUNTIF(L195:S195,"N/A")),""))</f>
        <v/>
      </c>
      <c r="V195" s="24">
        <f>IF(A195="","",MAX(0,Config!$B$19-COUNTIF(D195:K195,"Sim")-COUNTIF(D195:K195,"N/A")))</f>
        <v/>
      </c>
      <c r="W195" s="24">
        <f>IF(A195="","",MAX(0,Config!$D$19-COUNTIF(L195:S195,"Sim")-COUNTIF(L195:S195,"N/A")))</f>
        <v/>
      </c>
      <c r="X195" s="24">
        <f>IF(A195="","",V195+W195)</f>
        <v/>
      </c>
      <c r="Y195" s="29">
        <f>IF(OR(A195="",AA195=""),"",LEFT(AA195,LEN(AA195)-2))</f>
        <v/>
      </c>
      <c r="Z195" s="39">
        <f>IF(OR(A195="",X195=0),0,X195*100000+A195/100000)</f>
        <v>0</v>
      </c>
      <c r="AA195" s="39">
        <f>IF(A195="","",IF(AND(Config!$B$10&lt;&gt;"",D195&lt;&gt;"Sim",D195&lt;&gt;"N/A"),Config!$B$10&amp;"; ","")&amp;IF(AND(Config!$B$11&lt;&gt;"",E195&lt;&gt;"Sim",E195&lt;&gt;"N/A"),Config!$B$11&amp;"; ","")&amp;IF(AND(Config!$B$12&lt;&gt;"",F195&lt;&gt;"Sim",F195&lt;&gt;"N/A"),Config!$B$12&amp;"; ","")&amp;IF(AND(Config!$B$13&lt;&gt;"",G195&lt;&gt;"Sim",G195&lt;&gt;"N/A"),Config!$B$13&amp;"; ","")&amp;IF(AND(Config!$B$14&lt;&gt;"",H195&lt;&gt;"Sim",H195&lt;&gt;"N/A"),Config!$B$14&amp;"; ","")&amp;IF(AND(Config!$B$15&lt;&gt;"",I195&lt;&gt;"Sim",I195&lt;&gt;"N/A"),Config!$B$15&amp;"; ","")&amp;IF(AND(Config!$B$16&lt;&gt;"",J195&lt;&gt;"Sim",J195&lt;&gt;"N/A"),Config!$B$16&amp;"; ","")&amp;IF(AND(Config!$B$17&lt;&gt;"",K195&lt;&gt;"Sim",K195&lt;&gt;"N/A"),Config!$B$17&amp;"; ","")&amp;IF(AND(Config!$D$10&lt;&gt;"",L195&lt;&gt;"Sim",L195&lt;&gt;"N/A"),Config!$D$10&amp;"; ","")&amp;IF(AND(Config!$D$11&lt;&gt;"",M195&lt;&gt;"Sim",M195&lt;&gt;"N/A"),Config!$D$11&amp;"; ","")&amp;IF(AND(Config!$D$12&lt;&gt;"",N195&lt;&gt;"Sim",N195&lt;&gt;"N/A"),Config!$D$12&amp;"; ","")&amp;IF(AND(Config!$D$13&lt;&gt;"",O195&lt;&gt;"Sim",O195&lt;&gt;"N/A"),Config!$D$13&amp;"; ","")&amp;IF(AND(Config!$D$14&lt;&gt;"",P195&lt;&gt;"Sim",P195&lt;&gt;"N/A"),Config!$D$14&amp;"; ","")&amp;IF(AND(Config!$D$15&lt;&gt;"",Q195&lt;&gt;"Sim",Q195&lt;&gt;"N/A"),Config!$D$15&amp;"; ","")&amp;IF(AND(Config!$D$16&lt;&gt;"",R195&lt;&gt;"Sim",R195&lt;&gt;"N/A"),Config!$D$16&amp;"; ","")&amp;IF(AND(Config!$D$17&lt;&gt;"",S195&lt;&gt;"Sim",S195&lt;&gt;"N/A"),Config!$D$17&amp;"; ",""))</f>
        <v/>
      </c>
      <c r="AB195" s="39">
        <f>IF(A195="",0,COUNTIF($A$5:$A$304,"&gt;"&amp;A195)+1)</f>
        <v>0</v>
      </c>
    </row>
    <row r="196">
      <c r="A196" s="37" t="n"/>
      <c r="B196" s="24">
        <f>IF(A196="","",CHOOSE(WEEKDAY(A196,2),"Segunda","Terça","Quarta","Quinta","Sexta","Sábado","Domingo"))</f>
        <v/>
      </c>
      <c r="C196" s="38" t="n"/>
      <c r="D196" s="38" t="n"/>
      <c r="E196" s="38" t="n"/>
      <c r="F196" s="38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26">
        <f>IF(A196="","",IFERROR(COUNTIF(D196:K196,"Sim")/(Config!$B$19-COUNTIF(D196:K196,"N/A")),""))</f>
        <v/>
      </c>
      <c r="U196" s="26">
        <f>IF(A196="","",IFERROR(COUNTIF(L196:S196,"Sim")/(Config!$D$19-COUNTIF(L196:S196,"N/A")),""))</f>
        <v/>
      </c>
      <c r="V196" s="24">
        <f>IF(A196="","",MAX(0,Config!$B$19-COUNTIF(D196:K196,"Sim")-COUNTIF(D196:K196,"N/A")))</f>
        <v/>
      </c>
      <c r="W196" s="24">
        <f>IF(A196="","",MAX(0,Config!$D$19-COUNTIF(L196:S196,"Sim")-COUNTIF(L196:S196,"N/A")))</f>
        <v/>
      </c>
      <c r="X196" s="24">
        <f>IF(A196="","",V196+W196)</f>
        <v/>
      </c>
      <c r="Y196" s="29">
        <f>IF(OR(A196="",AA196=""),"",LEFT(AA196,LEN(AA196)-2))</f>
        <v/>
      </c>
      <c r="Z196" s="39">
        <f>IF(OR(A196="",X196=0),0,X196*100000+A196/100000)</f>
        <v>0</v>
      </c>
      <c r="AA196" s="39">
        <f>IF(A196="","",IF(AND(Config!$B$10&lt;&gt;"",D196&lt;&gt;"Sim",D196&lt;&gt;"N/A"),Config!$B$10&amp;"; ","")&amp;IF(AND(Config!$B$11&lt;&gt;"",E196&lt;&gt;"Sim",E196&lt;&gt;"N/A"),Config!$B$11&amp;"; ","")&amp;IF(AND(Config!$B$12&lt;&gt;"",F196&lt;&gt;"Sim",F196&lt;&gt;"N/A"),Config!$B$12&amp;"; ","")&amp;IF(AND(Config!$B$13&lt;&gt;"",G196&lt;&gt;"Sim",G196&lt;&gt;"N/A"),Config!$B$13&amp;"; ","")&amp;IF(AND(Config!$B$14&lt;&gt;"",H196&lt;&gt;"Sim",H196&lt;&gt;"N/A"),Config!$B$14&amp;"; ","")&amp;IF(AND(Config!$B$15&lt;&gt;"",I196&lt;&gt;"Sim",I196&lt;&gt;"N/A"),Config!$B$15&amp;"; ","")&amp;IF(AND(Config!$B$16&lt;&gt;"",J196&lt;&gt;"Sim",J196&lt;&gt;"N/A"),Config!$B$16&amp;"; ","")&amp;IF(AND(Config!$B$17&lt;&gt;"",K196&lt;&gt;"Sim",K196&lt;&gt;"N/A"),Config!$B$17&amp;"; ","")&amp;IF(AND(Config!$D$10&lt;&gt;"",L196&lt;&gt;"Sim",L196&lt;&gt;"N/A"),Config!$D$10&amp;"; ","")&amp;IF(AND(Config!$D$11&lt;&gt;"",M196&lt;&gt;"Sim",M196&lt;&gt;"N/A"),Config!$D$11&amp;"; ","")&amp;IF(AND(Config!$D$12&lt;&gt;"",N196&lt;&gt;"Sim",N196&lt;&gt;"N/A"),Config!$D$12&amp;"; ","")&amp;IF(AND(Config!$D$13&lt;&gt;"",O196&lt;&gt;"Sim",O196&lt;&gt;"N/A"),Config!$D$13&amp;"; ","")&amp;IF(AND(Config!$D$14&lt;&gt;"",P196&lt;&gt;"Sim",P196&lt;&gt;"N/A"),Config!$D$14&amp;"; ","")&amp;IF(AND(Config!$D$15&lt;&gt;"",Q196&lt;&gt;"Sim",Q196&lt;&gt;"N/A"),Config!$D$15&amp;"; ","")&amp;IF(AND(Config!$D$16&lt;&gt;"",R196&lt;&gt;"Sim",R196&lt;&gt;"N/A"),Config!$D$16&amp;"; ","")&amp;IF(AND(Config!$D$17&lt;&gt;"",S196&lt;&gt;"Sim",S196&lt;&gt;"N/A"),Config!$D$17&amp;"; ",""))</f>
        <v/>
      </c>
      <c r="AB196" s="39">
        <f>IF(A196="",0,COUNTIF($A$5:$A$304,"&gt;"&amp;A196)+1)</f>
        <v>0</v>
      </c>
    </row>
    <row r="197">
      <c r="A197" s="37" t="n"/>
      <c r="B197" s="24">
        <f>IF(A197="","",CHOOSE(WEEKDAY(A197,2),"Segunda","Terça","Quarta","Quinta","Sexta","Sábado","Domingo"))</f>
        <v/>
      </c>
      <c r="C197" s="38" t="n"/>
      <c r="D197" s="38" t="n"/>
      <c r="E197" s="38" t="n"/>
      <c r="F197" s="38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26">
        <f>IF(A197="","",IFERROR(COUNTIF(D197:K197,"Sim")/(Config!$B$19-COUNTIF(D197:K197,"N/A")),""))</f>
        <v/>
      </c>
      <c r="U197" s="26">
        <f>IF(A197="","",IFERROR(COUNTIF(L197:S197,"Sim")/(Config!$D$19-COUNTIF(L197:S197,"N/A")),""))</f>
        <v/>
      </c>
      <c r="V197" s="24">
        <f>IF(A197="","",MAX(0,Config!$B$19-COUNTIF(D197:K197,"Sim")-COUNTIF(D197:K197,"N/A")))</f>
        <v/>
      </c>
      <c r="W197" s="24">
        <f>IF(A197="","",MAX(0,Config!$D$19-COUNTIF(L197:S197,"Sim")-COUNTIF(L197:S197,"N/A")))</f>
        <v/>
      </c>
      <c r="X197" s="24">
        <f>IF(A197="","",V197+W197)</f>
        <v/>
      </c>
      <c r="Y197" s="29">
        <f>IF(OR(A197="",AA197=""),"",LEFT(AA197,LEN(AA197)-2))</f>
        <v/>
      </c>
      <c r="Z197" s="39">
        <f>IF(OR(A197="",X197=0),0,X197*100000+A197/100000)</f>
        <v>0</v>
      </c>
      <c r="AA197" s="39">
        <f>IF(A197="","",IF(AND(Config!$B$10&lt;&gt;"",D197&lt;&gt;"Sim",D197&lt;&gt;"N/A"),Config!$B$10&amp;"; ","")&amp;IF(AND(Config!$B$11&lt;&gt;"",E197&lt;&gt;"Sim",E197&lt;&gt;"N/A"),Config!$B$11&amp;"; ","")&amp;IF(AND(Config!$B$12&lt;&gt;"",F197&lt;&gt;"Sim",F197&lt;&gt;"N/A"),Config!$B$12&amp;"; ","")&amp;IF(AND(Config!$B$13&lt;&gt;"",G197&lt;&gt;"Sim",G197&lt;&gt;"N/A"),Config!$B$13&amp;"; ","")&amp;IF(AND(Config!$B$14&lt;&gt;"",H197&lt;&gt;"Sim",H197&lt;&gt;"N/A"),Config!$B$14&amp;"; ","")&amp;IF(AND(Config!$B$15&lt;&gt;"",I197&lt;&gt;"Sim",I197&lt;&gt;"N/A"),Config!$B$15&amp;"; ","")&amp;IF(AND(Config!$B$16&lt;&gt;"",J197&lt;&gt;"Sim",J197&lt;&gt;"N/A"),Config!$B$16&amp;"; ","")&amp;IF(AND(Config!$B$17&lt;&gt;"",K197&lt;&gt;"Sim",K197&lt;&gt;"N/A"),Config!$B$17&amp;"; ","")&amp;IF(AND(Config!$D$10&lt;&gt;"",L197&lt;&gt;"Sim",L197&lt;&gt;"N/A"),Config!$D$10&amp;"; ","")&amp;IF(AND(Config!$D$11&lt;&gt;"",M197&lt;&gt;"Sim",M197&lt;&gt;"N/A"),Config!$D$11&amp;"; ","")&amp;IF(AND(Config!$D$12&lt;&gt;"",N197&lt;&gt;"Sim",N197&lt;&gt;"N/A"),Config!$D$12&amp;"; ","")&amp;IF(AND(Config!$D$13&lt;&gt;"",O197&lt;&gt;"Sim",O197&lt;&gt;"N/A"),Config!$D$13&amp;"; ","")&amp;IF(AND(Config!$D$14&lt;&gt;"",P197&lt;&gt;"Sim",P197&lt;&gt;"N/A"),Config!$D$14&amp;"; ","")&amp;IF(AND(Config!$D$15&lt;&gt;"",Q197&lt;&gt;"Sim",Q197&lt;&gt;"N/A"),Config!$D$15&amp;"; ","")&amp;IF(AND(Config!$D$16&lt;&gt;"",R197&lt;&gt;"Sim",R197&lt;&gt;"N/A"),Config!$D$16&amp;"; ","")&amp;IF(AND(Config!$D$17&lt;&gt;"",S197&lt;&gt;"Sim",S197&lt;&gt;"N/A"),Config!$D$17&amp;"; ",""))</f>
        <v/>
      </c>
      <c r="AB197" s="39">
        <f>IF(A197="",0,COUNTIF($A$5:$A$304,"&gt;"&amp;A197)+1)</f>
        <v>0</v>
      </c>
    </row>
    <row r="198">
      <c r="A198" s="37" t="n"/>
      <c r="B198" s="24">
        <f>IF(A198="","",CHOOSE(WEEKDAY(A198,2),"Segunda","Terça","Quarta","Quinta","Sexta","Sábado","Domingo"))</f>
        <v/>
      </c>
      <c r="C198" s="38" t="n"/>
      <c r="D198" s="38" t="n"/>
      <c r="E198" s="38" t="n"/>
      <c r="F198" s="38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26">
        <f>IF(A198="","",IFERROR(COUNTIF(D198:K198,"Sim")/(Config!$B$19-COUNTIF(D198:K198,"N/A")),""))</f>
        <v/>
      </c>
      <c r="U198" s="26">
        <f>IF(A198="","",IFERROR(COUNTIF(L198:S198,"Sim")/(Config!$D$19-COUNTIF(L198:S198,"N/A")),""))</f>
        <v/>
      </c>
      <c r="V198" s="24">
        <f>IF(A198="","",MAX(0,Config!$B$19-COUNTIF(D198:K198,"Sim")-COUNTIF(D198:K198,"N/A")))</f>
        <v/>
      </c>
      <c r="W198" s="24">
        <f>IF(A198="","",MAX(0,Config!$D$19-COUNTIF(L198:S198,"Sim")-COUNTIF(L198:S198,"N/A")))</f>
        <v/>
      </c>
      <c r="X198" s="24">
        <f>IF(A198="","",V198+W198)</f>
        <v/>
      </c>
      <c r="Y198" s="29">
        <f>IF(OR(A198="",AA198=""),"",LEFT(AA198,LEN(AA198)-2))</f>
        <v/>
      </c>
      <c r="Z198" s="39">
        <f>IF(OR(A198="",X198=0),0,X198*100000+A198/100000)</f>
        <v>0</v>
      </c>
      <c r="AA198" s="39">
        <f>IF(A198="","",IF(AND(Config!$B$10&lt;&gt;"",D198&lt;&gt;"Sim",D198&lt;&gt;"N/A"),Config!$B$10&amp;"; ","")&amp;IF(AND(Config!$B$11&lt;&gt;"",E198&lt;&gt;"Sim",E198&lt;&gt;"N/A"),Config!$B$11&amp;"; ","")&amp;IF(AND(Config!$B$12&lt;&gt;"",F198&lt;&gt;"Sim",F198&lt;&gt;"N/A"),Config!$B$12&amp;"; ","")&amp;IF(AND(Config!$B$13&lt;&gt;"",G198&lt;&gt;"Sim",G198&lt;&gt;"N/A"),Config!$B$13&amp;"; ","")&amp;IF(AND(Config!$B$14&lt;&gt;"",H198&lt;&gt;"Sim",H198&lt;&gt;"N/A"),Config!$B$14&amp;"; ","")&amp;IF(AND(Config!$B$15&lt;&gt;"",I198&lt;&gt;"Sim",I198&lt;&gt;"N/A"),Config!$B$15&amp;"; ","")&amp;IF(AND(Config!$B$16&lt;&gt;"",J198&lt;&gt;"Sim",J198&lt;&gt;"N/A"),Config!$B$16&amp;"; ","")&amp;IF(AND(Config!$B$17&lt;&gt;"",K198&lt;&gt;"Sim",K198&lt;&gt;"N/A"),Config!$B$17&amp;"; ","")&amp;IF(AND(Config!$D$10&lt;&gt;"",L198&lt;&gt;"Sim",L198&lt;&gt;"N/A"),Config!$D$10&amp;"; ","")&amp;IF(AND(Config!$D$11&lt;&gt;"",M198&lt;&gt;"Sim",M198&lt;&gt;"N/A"),Config!$D$11&amp;"; ","")&amp;IF(AND(Config!$D$12&lt;&gt;"",N198&lt;&gt;"Sim",N198&lt;&gt;"N/A"),Config!$D$12&amp;"; ","")&amp;IF(AND(Config!$D$13&lt;&gt;"",O198&lt;&gt;"Sim",O198&lt;&gt;"N/A"),Config!$D$13&amp;"; ","")&amp;IF(AND(Config!$D$14&lt;&gt;"",P198&lt;&gt;"Sim",P198&lt;&gt;"N/A"),Config!$D$14&amp;"; ","")&amp;IF(AND(Config!$D$15&lt;&gt;"",Q198&lt;&gt;"Sim",Q198&lt;&gt;"N/A"),Config!$D$15&amp;"; ","")&amp;IF(AND(Config!$D$16&lt;&gt;"",R198&lt;&gt;"Sim",R198&lt;&gt;"N/A"),Config!$D$16&amp;"; ","")&amp;IF(AND(Config!$D$17&lt;&gt;"",S198&lt;&gt;"Sim",S198&lt;&gt;"N/A"),Config!$D$17&amp;"; ",""))</f>
        <v/>
      </c>
      <c r="AB198" s="39">
        <f>IF(A198="",0,COUNTIF($A$5:$A$304,"&gt;"&amp;A198)+1)</f>
        <v>0</v>
      </c>
    </row>
    <row r="199">
      <c r="A199" s="37" t="n"/>
      <c r="B199" s="24">
        <f>IF(A199="","",CHOOSE(WEEKDAY(A199,2),"Segunda","Terça","Quarta","Quinta","Sexta","Sábado","Domingo"))</f>
        <v/>
      </c>
      <c r="C199" s="38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26">
        <f>IF(A199="","",IFERROR(COUNTIF(D199:K199,"Sim")/(Config!$B$19-COUNTIF(D199:K199,"N/A")),""))</f>
        <v/>
      </c>
      <c r="U199" s="26">
        <f>IF(A199="","",IFERROR(COUNTIF(L199:S199,"Sim")/(Config!$D$19-COUNTIF(L199:S199,"N/A")),""))</f>
        <v/>
      </c>
      <c r="V199" s="24">
        <f>IF(A199="","",MAX(0,Config!$B$19-COUNTIF(D199:K199,"Sim")-COUNTIF(D199:K199,"N/A")))</f>
        <v/>
      </c>
      <c r="W199" s="24">
        <f>IF(A199="","",MAX(0,Config!$D$19-COUNTIF(L199:S199,"Sim")-COUNTIF(L199:S199,"N/A")))</f>
        <v/>
      </c>
      <c r="X199" s="24">
        <f>IF(A199="","",V199+W199)</f>
        <v/>
      </c>
      <c r="Y199" s="29">
        <f>IF(OR(A199="",AA199=""),"",LEFT(AA199,LEN(AA199)-2))</f>
        <v/>
      </c>
      <c r="Z199" s="39">
        <f>IF(OR(A199="",X199=0),0,X199*100000+A199/100000)</f>
        <v>0</v>
      </c>
      <c r="AA199" s="39">
        <f>IF(A199="","",IF(AND(Config!$B$10&lt;&gt;"",D199&lt;&gt;"Sim",D199&lt;&gt;"N/A"),Config!$B$10&amp;"; ","")&amp;IF(AND(Config!$B$11&lt;&gt;"",E199&lt;&gt;"Sim",E199&lt;&gt;"N/A"),Config!$B$11&amp;"; ","")&amp;IF(AND(Config!$B$12&lt;&gt;"",F199&lt;&gt;"Sim",F199&lt;&gt;"N/A"),Config!$B$12&amp;"; ","")&amp;IF(AND(Config!$B$13&lt;&gt;"",G199&lt;&gt;"Sim",G199&lt;&gt;"N/A"),Config!$B$13&amp;"; ","")&amp;IF(AND(Config!$B$14&lt;&gt;"",H199&lt;&gt;"Sim",H199&lt;&gt;"N/A"),Config!$B$14&amp;"; ","")&amp;IF(AND(Config!$B$15&lt;&gt;"",I199&lt;&gt;"Sim",I199&lt;&gt;"N/A"),Config!$B$15&amp;"; ","")&amp;IF(AND(Config!$B$16&lt;&gt;"",J199&lt;&gt;"Sim",J199&lt;&gt;"N/A"),Config!$B$16&amp;"; ","")&amp;IF(AND(Config!$B$17&lt;&gt;"",K199&lt;&gt;"Sim",K199&lt;&gt;"N/A"),Config!$B$17&amp;"; ","")&amp;IF(AND(Config!$D$10&lt;&gt;"",L199&lt;&gt;"Sim",L199&lt;&gt;"N/A"),Config!$D$10&amp;"; ","")&amp;IF(AND(Config!$D$11&lt;&gt;"",M199&lt;&gt;"Sim",M199&lt;&gt;"N/A"),Config!$D$11&amp;"; ","")&amp;IF(AND(Config!$D$12&lt;&gt;"",N199&lt;&gt;"Sim",N199&lt;&gt;"N/A"),Config!$D$12&amp;"; ","")&amp;IF(AND(Config!$D$13&lt;&gt;"",O199&lt;&gt;"Sim",O199&lt;&gt;"N/A"),Config!$D$13&amp;"; ","")&amp;IF(AND(Config!$D$14&lt;&gt;"",P199&lt;&gt;"Sim",P199&lt;&gt;"N/A"),Config!$D$14&amp;"; ","")&amp;IF(AND(Config!$D$15&lt;&gt;"",Q199&lt;&gt;"Sim",Q199&lt;&gt;"N/A"),Config!$D$15&amp;"; ","")&amp;IF(AND(Config!$D$16&lt;&gt;"",R199&lt;&gt;"Sim",R199&lt;&gt;"N/A"),Config!$D$16&amp;"; ","")&amp;IF(AND(Config!$D$17&lt;&gt;"",S199&lt;&gt;"Sim",S199&lt;&gt;"N/A"),Config!$D$17&amp;"; ",""))</f>
        <v/>
      </c>
      <c r="AB199" s="39">
        <f>IF(A199="",0,COUNTIF($A$5:$A$304,"&gt;"&amp;A199)+1)</f>
        <v>0</v>
      </c>
    </row>
    <row r="200">
      <c r="A200" s="37" t="n"/>
      <c r="B200" s="24">
        <f>IF(A200="","",CHOOSE(WEEKDAY(A200,2),"Segunda","Terça","Quarta","Quinta","Sexta","Sábado","Domingo"))</f>
        <v/>
      </c>
      <c r="C200" s="38" t="n"/>
      <c r="D200" s="38" t="n"/>
      <c r="E200" s="38" t="n"/>
      <c r="F200" s="38" t="n"/>
      <c r="G200" s="38" t="n"/>
      <c r="H200" s="38" t="n"/>
      <c r="I200" s="38" t="n"/>
      <c r="J200" s="38" t="n"/>
      <c r="K200" s="38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26">
        <f>IF(A200="","",IFERROR(COUNTIF(D200:K200,"Sim")/(Config!$B$19-COUNTIF(D200:K200,"N/A")),""))</f>
        <v/>
      </c>
      <c r="U200" s="26">
        <f>IF(A200="","",IFERROR(COUNTIF(L200:S200,"Sim")/(Config!$D$19-COUNTIF(L200:S200,"N/A")),""))</f>
        <v/>
      </c>
      <c r="V200" s="24">
        <f>IF(A200="","",MAX(0,Config!$B$19-COUNTIF(D200:K200,"Sim")-COUNTIF(D200:K200,"N/A")))</f>
        <v/>
      </c>
      <c r="W200" s="24">
        <f>IF(A200="","",MAX(0,Config!$D$19-COUNTIF(L200:S200,"Sim")-COUNTIF(L200:S200,"N/A")))</f>
        <v/>
      </c>
      <c r="X200" s="24">
        <f>IF(A200="","",V200+W200)</f>
        <v/>
      </c>
      <c r="Y200" s="29">
        <f>IF(OR(A200="",AA200=""),"",LEFT(AA200,LEN(AA200)-2))</f>
        <v/>
      </c>
      <c r="Z200" s="39">
        <f>IF(OR(A200="",X200=0),0,X200*100000+A200/100000)</f>
        <v>0</v>
      </c>
      <c r="AA200" s="39">
        <f>IF(A200="","",IF(AND(Config!$B$10&lt;&gt;"",D200&lt;&gt;"Sim",D200&lt;&gt;"N/A"),Config!$B$10&amp;"; ","")&amp;IF(AND(Config!$B$11&lt;&gt;"",E200&lt;&gt;"Sim",E200&lt;&gt;"N/A"),Config!$B$11&amp;"; ","")&amp;IF(AND(Config!$B$12&lt;&gt;"",F200&lt;&gt;"Sim",F200&lt;&gt;"N/A"),Config!$B$12&amp;"; ","")&amp;IF(AND(Config!$B$13&lt;&gt;"",G200&lt;&gt;"Sim",G200&lt;&gt;"N/A"),Config!$B$13&amp;"; ","")&amp;IF(AND(Config!$B$14&lt;&gt;"",H200&lt;&gt;"Sim",H200&lt;&gt;"N/A"),Config!$B$14&amp;"; ","")&amp;IF(AND(Config!$B$15&lt;&gt;"",I200&lt;&gt;"Sim",I200&lt;&gt;"N/A"),Config!$B$15&amp;"; ","")&amp;IF(AND(Config!$B$16&lt;&gt;"",J200&lt;&gt;"Sim",J200&lt;&gt;"N/A"),Config!$B$16&amp;"; ","")&amp;IF(AND(Config!$B$17&lt;&gt;"",K200&lt;&gt;"Sim",K200&lt;&gt;"N/A"),Config!$B$17&amp;"; ","")&amp;IF(AND(Config!$D$10&lt;&gt;"",L200&lt;&gt;"Sim",L200&lt;&gt;"N/A"),Config!$D$10&amp;"; ","")&amp;IF(AND(Config!$D$11&lt;&gt;"",M200&lt;&gt;"Sim",M200&lt;&gt;"N/A"),Config!$D$11&amp;"; ","")&amp;IF(AND(Config!$D$12&lt;&gt;"",N200&lt;&gt;"Sim",N200&lt;&gt;"N/A"),Config!$D$12&amp;"; ","")&amp;IF(AND(Config!$D$13&lt;&gt;"",O200&lt;&gt;"Sim",O200&lt;&gt;"N/A"),Config!$D$13&amp;"; ","")&amp;IF(AND(Config!$D$14&lt;&gt;"",P200&lt;&gt;"Sim",P200&lt;&gt;"N/A"),Config!$D$14&amp;"; ","")&amp;IF(AND(Config!$D$15&lt;&gt;"",Q200&lt;&gt;"Sim",Q200&lt;&gt;"N/A"),Config!$D$15&amp;"; ","")&amp;IF(AND(Config!$D$16&lt;&gt;"",R200&lt;&gt;"Sim",R200&lt;&gt;"N/A"),Config!$D$16&amp;"; ","")&amp;IF(AND(Config!$D$17&lt;&gt;"",S200&lt;&gt;"Sim",S200&lt;&gt;"N/A"),Config!$D$17&amp;"; ",""))</f>
        <v/>
      </c>
      <c r="AB200" s="39">
        <f>IF(A200="",0,COUNTIF($A$5:$A$304,"&gt;"&amp;A200)+1)</f>
        <v>0</v>
      </c>
    </row>
    <row r="201">
      <c r="A201" s="37" t="n"/>
      <c r="B201" s="24">
        <f>IF(A201="","",CHOOSE(WEEKDAY(A201,2),"Segunda","Terça","Quarta","Quinta","Sexta","Sábado","Domingo"))</f>
        <v/>
      </c>
      <c r="C201" s="38" t="n"/>
      <c r="D201" s="38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26">
        <f>IF(A201="","",IFERROR(COUNTIF(D201:K201,"Sim")/(Config!$B$19-COUNTIF(D201:K201,"N/A")),""))</f>
        <v/>
      </c>
      <c r="U201" s="26">
        <f>IF(A201="","",IFERROR(COUNTIF(L201:S201,"Sim")/(Config!$D$19-COUNTIF(L201:S201,"N/A")),""))</f>
        <v/>
      </c>
      <c r="V201" s="24">
        <f>IF(A201="","",MAX(0,Config!$B$19-COUNTIF(D201:K201,"Sim")-COUNTIF(D201:K201,"N/A")))</f>
        <v/>
      </c>
      <c r="W201" s="24">
        <f>IF(A201="","",MAX(0,Config!$D$19-COUNTIF(L201:S201,"Sim")-COUNTIF(L201:S201,"N/A")))</f>
        <v/>
      </c>
      <c r="X201" s="24">
        <f>IF(A201="","",V201+W201)</f>
        <v/>
      </c>
      <c r="Y201" s="29">
        <f>IF(OR(A201="",AA201=""),"",LEFT(AA201,LEN(AA201)-2))</f>
        <v/>
      </c>
      <c r="Z201" s="39">
        <f>IF(OR(A201="",X201=0),0,X201*100000+A201/100000)</f>
        <v>0</v>
      </c>
      <c r="AA201" s="39">
        <f>IF(A201="","",IF(AND(Config!$B$10&lt;&gt;"",D201&lt;&gt;"Sim",D201&lt;&gt;"N/A"),Config!$B$10&amp;"; ","")&amp;IF(AND(Config!$B$11&lt;&gt;"",E201&lt;&gt;"Sim",E201&lt;&gt;"N/A"),Config!$B$11&amp;"; ","")&amp;IF(AND(Config!$B$12&lt;&gt;"",F201&lt;&gt;"Sim",F201&lt;&gt;"N/A"),Config!$B$12&amp;"; ","")&amp;IF(AND(Config!$B$13&lt;&gt;"",G201&lt;&gt;"Sim",G201&lt;&gt;"N/A"),Config!$B$13&amp;"; ","")&amp;IF(AND(Config!$B$14&lt;&gt;"",H201&lt;&gt;"Sim",H201&lt;&gt;"N/A"),Config!$B$14&amp;"; ","")&amp;IF(AND(Config!$B$15&lt;&gt;"",I201&lt;&gt;"Sim",I201&lt;&gt;"N/A"),Config!$B$15&amp;"; ","")&amp;IF(AND(Config!$B$16&lt;&gt;"",J201&lt;&gt;"Sim",J201&lt;&gt;"N/A"),Config!$B$16&amp;"; ","")&amp;IF(AND(Config!$B$17&lt;&gt;"",K201&lt;&gt;"Sim",K201&lt;&gt;"N/A"),Config!$B$17&amp;"; ","")&amp;IF(AND(Config!$D$10&lt;&gt;"",L201&lt;&gt;"Sim",L201&lt;&gt;"N/A"),Config!$D$10&amp;"; ","")&amp;IF(AND(Config!$D$11&lt;&gt;"",M201&lt;&gt;"Sim",M201&lt;&gt;"N/A"),Config!$D$11&amp;"; ","")&amp;IF(AND(Config!$D$12&lt;&gt;"",N201&lt;&gt;"Sim",N201&lt;&gt;"N/A"),Config!$D$12&amp;"; ","")&amp;IF(AND(Config!$D$13&lt;&gt;"",O201&lt;&gt;"Sim",O201&lt;&gt;"N/A"),Config!$D$13&amp;"; ","")&amp;IF(AND(Config!$D$14&lt;&gt;"",P201&lt;&gt;"Sim",P201&lt;&gt;"N/A"),Config!$D$14&amp;"; ","")&amp;IF(AND(Config!$D$15&lt;&gt;"",Q201&lt;&gt;"Sim",Q201&lt;&gt;"N/A"),Config!$D$15&amp;"; ","")&amp;IF(AND(Config!$D$16&lt;&gt;"",R201&lt;&gt;"Sim",R201&lt;&gt;"N/A"),Config!$D$16&amp;"; ","")&amp;IF(AND(Config!$D$17&lt;&gt;"",S201&lt;&gt;"Sim",S201&lt;&gt;"N/A"),Config!$D$17&amp;"; ",""))</f>
        <v/>
      </c>
      <c r="AB201" s="39">
        <f>IF(A201="",0,COUNTIF($A$5:$A$304,"&gt;"&amp;A201)+1)</f>
        <v>0</v>
      </c>
    </row>
    <row r="202">
      <c r="A202" s="37" t="n"/>
      <c r="B202" s="24">
        <f>IF(A202="","",CHOOSE(WEEKDAY(A202,2),"Segunda","Terça","Quarta","Quinta","Sexta","Sábado","Domingo"))</f>
        <v/>
      </c>
      <c r="C202" s="38" t="n"/>
      <c r="D202" s="38" t="n"/>
      <c r="E202" s="38" t="n"/>
      <c r="F202" s="38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26">
        <f>IF(A202="","",IFERROR(COUNTIF(D202:K202,"Sim")/(Config!$B$19-COUNTIF(D202:K202,"N/A")),""))</f>
        <v/>
      </c>
      <c r="U202" s="26">
        <f>IF(A202="","",IFERROR(COUNTIF(L202:S202,"Sim")/(Config!$D$19-COUNTIF(L202:S202,"N/A")),""))</f>
        <v/>
      </c>
      <c r="V202" s="24">
        <f>IF(A202="","",MAX(0,Config!$B$19-COUNTIF(D202:K202,"Sim")-COUNTIF(D202:K202,"N/A")))</f>
        <v/>
      </c>
      <c r="W202" s="24">
        <f>IF(A202="","",MAX(0,Config!$D$19-COUNTIF(L202:S202,"Sim")-COUNTIF(L202:S202,"N/A")))</f>
        <v/>
      </c>
      <c r="X202" s="24">
        <f>IF(A202="","",V202+W202)</f>
        <v/>
      </c>
      <c r="Y202" s="29">
        <f>IF(OR(A202="",AA202=""),"",LEFT(AA202,LEN(AA202)-2))</f>
        <v/>
      </c>
      <c r="Z202" s="39">
        <f>IF(OR(A202="",X202=0),0,X202*100000+A202/100000)</f>
        <v>0</v>
      </c>
      <c r="AA202" s="39">
        <f>IF(A202="","",IF(AND(Config!$B$10&lt;&gt;"",D202&lt;&gt;"Sim",D202&lt;&gt;"N/A"),Config!$B$10&amp;"; ","")&amp;IF(AND(Config!$B$11&lt;&gt;"",E202&lt;&gt;"Sim",E202&lt;&gt;"N/A"),Config!$B$11&amp;"; ","")&amp;IF(AND(Config!$B$12&lt;&gt;"",F202&lt;&gt;"Sim",F202&lt;&gt;"N/A"),Config!$B$12&amp;"; ","")&amp;IF(AND(Config!$B$13&lt;&gt;"",G202&lt;&gt;"Sim",G202&lt;&gt;"N/A"),Config!$B$13&amp;"; ","")&amp;IF(AND(Config!$B$14&lt;&gt;"",H202&lt;&gt;"Sim",H202&lt;&gt;"N/A"),Config!$B$14&amp;"; ","")&amp;IF(AND(Config!$B$15&lt;&gt;"",I202&lt;&gt;"Sim",I202&lt;&gt;"N/A"),Config!$B$15&amp;"; ","")&amp;IF(AND(Config!$B$16&lt;&gt;"",J202&lt;&gt;"Sim",J202&lt;&gt;"N/A"),Config!$B$16&amp;"; ","")&amp;IF(AND(Config!$B$17&lt;&gt;"",K202&lt;&gt;"Sim",K202&lt;&gt;"N/A"),Config!$B$17&amp;"; ","")&amp;IF(AND(Config!$D$10&lt;&gt;"",L202&lt;&gt;"Sim",L202&lt;&gt;"N/A"),Config!$D$10&amp;"; ","")&amp;IF(AND(Config!$D$11&lt;&gt;"",M202&lt;&gt;"Sim",M202&lt;&gt;"N/A"),Config!$D$11&amp;"; ","")&amp;IF(AND(Config!$D$12&lt;&gt;"",N202&lt;&gt;"Sim",N202&lt;&gt;"N/A"),Config!$D$12&amp;"; ","")&amp;IF(AND(Config!$D$13&lt;&gt;"",O202&lt;&gt;"Sim",O202&lt;&gt;"N/A"),Config!$D$13&amp;"; ","")&amp;IF(AND(Config!$D$14&lt;&gt;"",P202&lt;&gt;"Sim",P202&lt;&gt;"N/A"),Config!$D$14&amp;"; ","")&amp;IF(AND(Config!$D$15&lt;&gt;"",Q202&lt;&gt;"Sim",Q202&lt;&gt;"N/A"),Config!$D$15&amp;"; ","")&amp;IF(AND(Config!$D$16&lt;&gt;"",R202&lt;&gt;"Sim",R202&lt;&gt;"N/A"),Config!$D$16&amp;"; ","")&amp;IF(AND(Config!$D$17&lt;&gt;"",S202&lt;&gt;"Sim",S202&lt;&gt;"N/A"),Config!$D$17&amp;"; ",""))</f>
        <v/>
      </c>
      <c r="AB202" s="39">
        <f>IF(A202="",0,COUNTIF($A$5:$A$304,"&gt;"&amp;A202)+1)</f>
        <v>0</v>
      </c>
    </row>
    <row r="203">
      <c r="A203" s="37" t="n"/>
      <c r="B203" s="24">
        <f>IF(A203="","",CHOOSE(WEEKDAY(A203,2),"Segunda","Terça","Quarta","Quinta","Sexta","Sábado","Domingo"))</f>
        <v/>
      </c>
      <c r="C203" s="38" t="n"/>
      <c r="D203" s="38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26">
        <f>IF(A203="","",IFERROR(COUNTIF(D203:K203,"Sim")/(Config!$B$19-COUNTIF(D203:K203,"N/A")),""))</f>
        <v/>
      </c>
      <c r="U203" s="26">
        <f>IF(A203="","",IFERROR(COUNTIF(L203:S203,"Sim")/(Config!$D$19-COUNTIF(L203:S203,"N/A")),""))</f>
        <v/>
      </c>
      <c r="V203" s="24">
        <f>IF(A203="","",MAX(0,Config!$B$19-COUNTIF(D203:K203,"Sim")-COUNTIF(D203:K203,"N/A")))</f>
        <v/>
      </c>
      <c r="W203" s="24">
        <f>IF(A203="","",MAX(0,Config!$D$19-COUNTIF(L203:S203,"Sim")-COUNTIF(L203:S203,"N/A")))</f>
        <v/>
      </c>
      <c r="X203" s="24">
        <f>IF(A203="","",V203+W203)</f>
        <v/>
      </c>
      <c r="Y203" s="29">
        <f>IF(OR(A203="",AA203=""),"",LEFT(AA203,LEN(AA203)-2))</f>
        <v/>
      </c>
      <c r="Z203" s="39">
        <f>IF(OR(A203="",X203=0),0,X203*100000+A203/100000)</f>
        <v>0</v>
      </c>
      <c r="AA203" s="39">
        <f>IF(A203="","",IF(AND(Config!$B$10&lt;&gt;"",D203&lt;&gt;"Sim",D203&lt;&gt;"N/A"),Config!$B$10&amp;"; ","")&amp;IF(AND(Config!$B$11&lt;&gt;"",E203&lt;&gt;"Sim",E203&lt;&gt;"N/A"),Config!$B$11&amp;"; ","")&amp;IF(AND(Config!$B$12&lt;&gt;"",F203&lt;&gt;"Sim",F203&lt;&gt;"N/A"),Config!$B$12&amp;"; ","")&amp;IF(AND(Config!$B$13&lt;&gt;"",G203&lt;&gt;"Sim",G203&lt;&gt;"N/A"),Config!$B$13&amp;"; ","")&amp;IF(AND(Config!$B$14&lt;&gt;"",H203&lt;&gt;"Sim",H203&lt;&gt;"N/A"),Config!$B$14&amp;"; ","")&amp;IF(AND(Config!$B$15&lt;&gt;"",I203&lt;&gt;"Sim",I203&lt;&gt;"N/A"),Config!$B$15&amp;"; ","")&amp;IF(AND(Config!$B$16&lt;&gt;"",J203&lt;&gt;"Sim",J203&lt;&gt;"N/A"),Config!$B$16&amp;"; ","")&amp;IF(AND(Config!$B$17&lt;&gt;"",K203&lt;&gt;"Sim",K203&lt;&gt;"N/A"),Config!$B$17&amp;"; ","")&amp;IF(AND(Config!$D$10&lt;&gt;"",L203&lt;&gt;"Sim",L203&lt;&gt;"N/A"),Config!$D$10&amp;"; ","")&amp;IF(AND(Config!$D$11&lt;&gt;"",M203&lt;&gt;"Sim",M203&lt;&gt;"N/A"),Config!$D$11&amp;"; ","")&amp;IF(AND(Config!$D$12&lt;&gt;"",N203&lt;&gt;"Sim",N203&lt;&gt;"N/A"),Config!$D$12&amp;"; ","")&amp;IF(AND(Config!$D$13&lt;&gt;"",O203&lt;&gt;"Sim",O203&lt;&gt;"N/A"),Config!$D$13&amp;"; ","")&amp;IF(AND(Config!$D$14&lt;&gt;"",P203&lt;&gt;"Sim",P203&lt;&gt;"N/A"),Config!$D$14&amp;"; ","")&amp;IF(AND(Config!$D$15&lt;&gt;"",Q203&lt;&gt;"Sim",Q203&lt;&gt;"N/A"),Config!$D$15&amp;"; ","")&amp;IF(AND(Config!$D$16&lt;&gt;"",R203&lt;&gt;"Sim",R203&lt;&gt;"N/A"),Config!$D$16&amp;"; ","")&amp;IF(AND(Config!$D$17&lt;&gt;"",S203&lt;&gt;"Sim",S203&lt;&gt;"N/A"),Config!$D$17&amp;"; ",""))</f>
        <v/>
      </c>
      <c r="AB203" s="39">
        <f>IF(A203="",0,COUNTIF($A$5:$A$304,"&gt;"&amp;A203)+1)</f>
        <v>0</v>
      </c>
    </row>
    <row r="204">
      <c r="A204" s="37" t="n"/>
      <c r="B204" s="24">
        <f>IF(A204="","",CHOOSE(WEEKDAY(A204,2),"Segunda","Terça","Quarta","Quinta","Sexta","Sábado","Domingo"))</f>
        <v/>
      </c>
      <c r="C204" s="38" t="n"/>
      <c r="D204" s="38" t="n"/>
      <c r="E204" s="38" t="n"/>
      <c r="F204" s="38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26">
        <f>IF(A204="","",IFERROR(COUNTIF(D204:K204,"Sim")/(Config!$B$19-COUNTIF(D204:K204,"N/A")),""))</f>
        <v/>
      </c>
      <c r="U204" s="26">
        <f>IF(A204="","",IFERROR(COUNTIF(L204:S204,"Sim")/(Config!$D$19-COUNTIF(L204:S204,"N/A")),""))</f>
        <v/>
      </c>
      <c r="V204" s="24">
        <f>IF(A204="","",MAX(0,Config!$B$19-COUNTIF(D204:K204,"Sim")-COUNTIF(D204:K204,"N/A")))</f>
        <v/>
      </c>
      <c r="W204" s="24">
        <f>IF(A204="","",MAX(0,Config!$D$19-COUNTIF(L204:S204,"Sim")-COUNTIF(L204:S204,"N/A")))</f>
        <v/>
      </c>
      <c r="X204" s="24">
        <f>IF(A204="","",V204+W204)</f>
        <v/>
      </c>
      <c r="Y204" s="29">
        <f>IF(OR(A204="",AA204=""),"",LEFT(AA204,LEN(AA204)-2))</f>
        <v/>
      </c>
      <c r="Z204" s="39">
        <f>IF(OR(A204="",X204=0),0,X204*100000+A204/100000)</f>
        <v>0</v>
      </c>
      <c r="AA204" s="39">
        <f>IF(A204="","",IF(AND(Config!$B$10&lt;&gt;"",D204&lt;&gt;"Sim",D204&lt;&gt;"N/A"),Config!$B$10&amp;"; ","")&amp;IF(AND(Config!$B$11&lt;&gt;"",E204&lt;&gt;"Sim",E204&lt;&gt;"N/A"),Config!$B$11&amp;"; ","")&amp;IF(AND(Config!$B$12&lt;&gt;"",F204&lt;&gt;"Sim",F204&lt;&gt;"N/A"),Config!$B$12&amp;"; ","")&amp;IF(AND(Config!$B$13&lt;&gt;"",G204&lt;&gt;"Sim",G204&lt;&gt;"N/A"),Config!$B$13&amp;"; ","")&amp;IF(AND(Config!$B$14&lt;&gt;"",H204&lt;&gt;"Sim",H204&lt;&gt;"N/A"),Config!$B$14&amp;"; ","")&amp;IF(AND(Config!$B$15&lt;&gt;"",I204&lt;&gt;"Sim",I204&lt;&gt;"N/A"),Config!$B$15&amp;"; ","")&amp;IF(AND(Config!$B$16&lt;&gt;"",J204&lt;&gt;"Sim",J204&lt;&gt;"N/A"),Config!$B$16&amp;"; ","")&amp;IF(AND(Config!$B$17&lt;&gt;"",K204&lt;&gt;"Sim",K204&lt;&gt;"N/A"),Config!$B$17&amp;"; ","")&amp;IF(AND(Config!$D$10&lt;&gt;"",L204&lt;&gt;"Sim",L204&lt;&gt;"N/A"),Config!$D$10&amp;"; ","")&amp;IF(AND(Config!$D$11&lt;&gt;"",M204&lt;&gt;"Sim",M204&lt;&gt;"N/A"),Config!$D$11&amp;"; ","")&amp;IF(AND(Config!$D$12&lt;&gt;"",N204&lt;&gt;"Sim",N204&lt;&gt;"N/A"),Config!$D$12&amp;"; ","")&amp;IF(AND(Config!$D$13&lt;&gt;"",O204&lt;&gt;"Sim",O204&lt;&gt;"N/A"),Config!$D$13&amp;"; ","")&amp;IF(AND(Config!$D$14&lt;&gt;"",P204&lt;&gt;"Sim",P204&lt;&gt;"N/A"),Config!$D$14&amp;"; ","")&amp;IF(AND(Config!$D$15&lt;&gt;"",Q204&lt;&gt;"Sim",Q204&lt;&gt;"N/A"),Config!$D$15&amp;"; ","")&amp;IF(AND(Config!$D$16&lt;&gt;"",R204&lt;&gt;"Sim",R204&lt;&gt;"N/A"),Config!$D$16&amp;"; ","")&amp;IF(AND(Config!$D$17&lt;&gt;"",S204&lt;&gt;"Sim",S204&lt;&gt;"N/A"),Config!$D$17&amp;"; ",""))</f>
        <v/>
      </c>
      <c r="AB204" s="39">
        <f>IF(A204="",0,COUNTIF($A$5:$A$304,"&gt;"&amp;A204)+1)</f>
        <v>0</v>
      </c>
    </row>
    <row r="205">
      <c r="A205" s="37" t="n"/>
      <c r="B205" s="24">
        <f>IF(A205="","",CHOOSE(WEEKDAY(A205,2),"Segunda","Terça","Quarta","Quinta","Sexta","Sábado","Domingo"))</f>
        <v/>
      </c>
      <c r="C205" s="38" t="n"/>
      <c r="D205" s="38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26">
        <f>IF(A205="","",IFERROR(COUNTIF(D205:K205,"Sim")/(Config!$B$19-COUNTIF(D205:K205,"N/A")),""))</f>
        <v/>
      </c>
      <c r="U205" s="26">
        <f>IF(A205="","",IFERROR(COUNTIF(L205:S205,"Sim")/(Config!$D$19-COUNTIF(L205:S205,"N/A")),""))</f>
        <v/>
      </c>
      <c r="V205" s="24">
        <f>IF(A205="","",MAX(0,Config!$B$19-COUNTIF(D205:K205,"Sim")-COUNTIF(D205:K205,"N/A")))</f>
        <v/>
      </c>
      <c r="W205" s="24">
        <f>IF(A205="","",MAX(0,Config!$D$19-COUNTIF(L205:S205,"Sim")-COUNTIF(L205:S205,"N/A")))</f>
        <v/>
      </c>
      <c r="X205" s="24">
        <f>IF(A205="","",V205+W205)</f>
        <v/>
      </c>
      <c r="Y205" s="29">
        <f>IF(OR(A205="",AA205=""),"",LEFT(AA205,LEN(AA205)-2))</f>
        <v/>
      </c>
      <c r="Z205" s="39">
        <f>IF(OR(A205="",X205=0),0,X205*100000+A205/100000)</f>
        <v>0</v>
      </c>
      <c r="AA205" s="39">
        <f>IF(A205="","",IF(AND(Config!$B$10&lt;&gt;"",D205&lt;&gt;"Sim",D205&lt;&gt;"N/A"),Config!$B$10&amp;"; ","")&amp;IF(AND(Config!$B$11&lt;&gt;"",E205&lt;&gt;"Sim",E205&lt;&gt;"N/A"),Config!$B$11&amp;"; ","")&amp;IF(AND(Config!$B$12&lt;&gt;"",F205&lt;&gt;"Sim",F205&lt;&gt;"N/A"),Config!$B$12&amp;"; ","")&amp;IF(AND(Config!$B$13&lt;&gt;"",G205&lt;&gt;"Sim",G205&lt;&gt;"N/A"),Config!$B$13&amp;"; ","")&amp;IF(AND(Config!$B$14&lt;&gt;"",H205&lt;&gt;"Sim",H205&lt;&gt;"N/A"),Config!$B$14&amp;"; ","")&amp;IF(AND(Config!$B$15&lt;&gt;"",I205&lt;&gt;"Sim",I205&lt;&gt;"N/A"),Config!$B$15&amp;"; ","")&amp;IF(AND(Config!$B$16&lt;&gt;"",J205&lt;&gt;"Sim",J205&lt;&gt;"N/A"),Config!$B$16&amp;"; ","")&amp;IF(AND(Config!$B$17&lt;&gt;"",K205&lt;&gt;"Sim",K205&lt;&gt;"N/A"),Config!$B$17&amp;"; ","")&amp;IF(AND(Config!$D$10&lt;&gt;"",L205&lt;&gt;"Sim",L205&lt;&gt;"N/A"),Config!$D$10&amp;"; ","")&amp;IF(AND(Config!$D$11&lt;&gt;"",M205&lt;&gt;"Sim",M205&lt;&gt;"N/A"),Config!$D$11&amp;"; ","")&amp;IF(AND(Config!$D$12&lt;&gt;"",N205&lt;&gt;"Sim",N205&lt;&gt;"N/A"),Config!$D$12&amp;"; ","")&amp;IF(AND(Config!$D$13&lt;&gt;"",O205&lt;&gt;"Sim",O205&lt;&gt;"N/A"),Config!$D$13&amp;"; ","")&amp;IF(AND(Config!$D$14&lt;&gt;"",P205&lt;&gt;"Sim",P205&lt;&gt;"N/A"),Config!$D$14&amp;"; ","")&amp;IF(AND(Config!$D$15&lt;&gt;"",Q205&lt;&gt;"Sim",Q205&lt;&gt;"N/A"),Config!$D$15&amp;"; ","")&amp;IF(AND(Config!$D$16&lt;&gt;"",R205&lt;&gt;"Sim",R205&lt;&gt;"N/A"),Config!$D$16&amp;"; ","")&amp;IF(AND(Config!$D$17&lt;&gt;"",S205&lt;&gt;"Sim",S205&lt;&gt;"N/A"),Config!$D$17&amp;"; ",""))</f>
        <v/>
      </c>
      <c r="AB205" s="39">
        <f>IF(A205="",0,COUNTIF($A$5:$A$304,"&gt;"&amp;A205)+1)</f>
        <v>0</v>
      </c>
    </row>
    <row r="206">
      <c r="A206" s="37" t="n"/>
      <c r="B206" s="24">
        <f>IF(A206="","",CHOOSE(WEEKDAY(A206,2),"Segunda","Terça","Quarta","Quinta","Sexta","Sábado","Domingo"))</f>
        <v/>
      </c>
      <c r="C206" s="38" t="n"/>
      <c r="D206" s="38" t="n"/>
      <c r="E206" s="38" t="n"/>
      <c r="F206" s="38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26">
        <f>IF(A206="","",IFERROR(COUNTIF(D206:K206,"Sim")/(Config!$B$19-COUNTIF(D206:K206,"N/A")),""))</f>
        <v/>
      </c>
      <c r="U206" s="26">
        <f>IF(A206="","",IFERROR(COUNTIF(L206:S206,"Sim")/(Config!$D$19-COUNTIF(L206:S206,"N/A")),""))</f>
        <v/>
      </c>
      <c r="V206" s="24">
        <f>IF(A206="","",MAX(0,Config!$B$19-COUNTIF(D206:K206,"Sim")-COUNTIF(D206:K206,"N/A")))</f>
        <v/>
      </c>
      <c r="W206" s="24">
        <f>IF(A206="","",MAX(0,Config!$D$19-COUNTIF(L206:S206,"Sim")-COUNTIF(L206:S206,"N/A")))</f>
        <v/>
      </c>
      <c r="X206" s="24">
        <f>IF(A206="","",V206+W206)</f>
        <v/>
      </c>
      <c r="Y206" s="29">
        <f>IF(OR(A206="",AA206=""),"",LEFT(AA206,LEN(AA206)-2))</f>
        <v/>
      </c>
      <c r="Z206" s="39">
        <f>IF(OR(A206="",X206=0),0,X206*100000+A206/100000)</f>
        <v>0</v>
      </c>
      <c r="AA206" s="39">
        <f>IF(A206="","",IF(AND(Config!$B$10&lt;&gt;"",D206&lt;&gt;"Sim",D206&lt;&gt;"N/A"),Config!$B$10&amp;"; ","")&amp;IF(AND(Config!$B$11&lt;&gt;"",E206&lt;&gt;"Sim",E206&lt;&gt;"N/A"),Config!$B$11&amp;"; ","")&amp;IF(AND(Config!$B$12&lt;&gt;"",F206&lt;&gt;"Sim",F206&lt;&gt;"N/A"),Config!$B$12&amp;"; ","")&amp;IF(AND(Config!$B$13&lt;&gt;"",G206&lt;&gt;"Sim",G206&lt;&gt;"N/A"),Config!$B$13&amp;"; ","")&amp;IF(AND(Config!$B$14&lt;&gt;"",H206&lt;&gt;"Sim",H206&lt;&gt;"N/A"),Config!$B$14&amp;"; ","")&amp;IF(AND(Config!$B$15&lt;&gt;"",I206&lt;&gt;"Sim",I206&lt;&gt;"N/A"),Config!$B$15&amp;"; ","")&amp;IF(AND(Config!$B$16&lt;&gt;"",J206&lt;&gt;"Sim",J206&lt;&gt;"N/A"),Config!$B$16&amp;"; ","")&amp;IF(AND(Config!$B$17&lt;&gt;"",K206&lt;&gt;"Sim",K206&lt;&gt;"N/A"),Config!$B$17&amp;"; ","")&amp;IF(AND(Config!$D$10&lt;&gt;"",L206&lt;&gt;"Sim",L206&lt;&gt;"N/A"),Config!$D$10&amp;"; ","")&amp;IF(AND(Config!$D$11&lt;&gt;"",M206&lt;&gt;"Sim",M206&lt;&gt;"N/A"),Config!$D$11&amp;"; ","")&amp;IF(AND(Config!$D$12&lt;&gt;"",N206&lt;&gt;"Sim",N206&lt;&gt;"N/A"),Config!$D$12&amp;"; ","")&amp;IF(AND(Config!$D$13&lt;&gt;"",O206&lt;&gt;"Sim",O206&lt;&gt;"N/A"),Config!$D$13&amp;"; ","")&amp;IF(AND(Config!$D$14&lt;&gt;"",P206&lt;&gt;"Sim",P206&lt;&gt;"N/A"),Config!$D$14&amp;"; ","")&amp;IF(AND(Config!$D$15&lt;&gt;"",Q206&lt;&gt;"Sim",Q206&lt;&gt;"N/A"),Config!$D$15&amp;"; ","")&amp;IF(AND(Config!$D$16&lt;&gt;"",R206&lt;&gt;"Sim",R206&lt;&gt;"N/A"),Config!$D$16&amp;"; ","")&amp;IF(AND(Config!$D$17&lt;&gt;"",S206&lt;&gt;"Sim",S206&lt;&gt;"N/A"),Config!$D$17&amp;"; ",""))</f>
        <v/>
      </c>
      <c r="AB206" s="39">
        <f>IF(A206="",0,COUNTIF($A$5:$A$304,"&gt;"&amp;A206)+1)</f>
        <v>0</v>
      </c>
    </row>
    <row r="207">
      <c r="A207" s="37" t="n"/>
      <c r="B207" s="24">
        <f>IF(A207="","",CHOOSE(WEEKDAY(A207,2),"Segunda","Terça","Quarta","Quinta","Sexta","Sábado","Domingo"))</f>
        <v/>
      </c>
      <c r="C207" s="38" t="n"/>
      <c r="D207" s="38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26">
        <f>IF(A207="","",IFERROR(COUNTIF(D207:K207,"Sim")/(Config!$B$19-COUNTIF(D207:K207,"N/A")),""))</f>
        <v/>
      </c>
      <c r="U207" s="26">
        <f>IF(A207="","",IFERROR(COUNTIF(L207:S207,"Sim")/(Config!$D$19-COUNTIF(L207:S207,"N/A")),""))</f>
        <v/>
      </c>
      <c r="V207" s="24">
        <f>IF(A207="","",MAX(0,Config!$B$19-COUNTIF(D207:K207,"Sim")-COUNTIF(D207:K207,"N/A")))</f>
        <v/>
      </c>
      <c r="W207" s="24">
        <f>IF(A207="","",MAX(0,Config!$D$19-COUNTIF(L207:S207,"Sim")-COUNTIF(L207:S207,"N/A")))</f>
        <v/>
      </c>
      <c r="X207" s="24">
        <f>IF(A207="","",V207+W207)</f>
        <v/>
      </c>
      <c r="Y207" s="29">
        <f>IF(OR(A207="",AA207=""),"",LEFT(AA207,LEN(AA207)-2))</f>
        <v/>
      </c>
      <c r="Z207" s="39">
        <f>IF(OR(A207="",X207=0),0,X207*100000+A207/100000)</f>
        <v>0</v>
      </c>
      <c r="AA207" s="39">
        <f>IF(A207="","",IF(AND(Config!$B$10&lt;&gt;"",D207&lt;&gt;"Sim",D207&lt;&gt;"N/A"),Config!$B$10&amp;"; ","")&amp;IF(AND(Config!$B$11&lt;&gt;"",E207&lt;&gt;"Sim",E207&lt;&gt;"N/A"),Config!$B$11&amp;"; ","")&amp;IF(AND(Config!$B$12&lt;&gt;"",F207&lt;&gt;"Sim",F207&lt;&gt;"N/A"),Config!$B$12&amp;"; ","")&amp;IF(AND(Config!$B$13&lt;&gt;"",G207&lt;&gt;"Sim",G207&lt;&gt;"N/A"),Config!$B$13&amp;"; ","")&amp;IF(AND(Config!$B$14&lt;&gt;"",H207&lt;&gt;"Sim",H207&lt;&gt;"N/A"),Config!$B$14&amp;"; ","")&amp;IF(AND(Config!$B$15&lt;&gt;"",I207&lt;&gt;"Sim",I207&lt;&gt;"N/A"),Config!$B$15&amp;"; ","")&amp;IF(AND(Config!$B$16&lt;&gt;"",J207&lt;&gt;"Sim",J207&lt;&gt;"N/A"),Config!$B$16&amp;"; ","")&amp;IF(AND(Config!$B$17&lt;&gt;"",K207&lt;&gt;"Sim",K207&lt;&gt;"N/A"),Config!$B$17&amp;"; ","")&amp;IF(AND(Config!$D$10&lt;&gt;"",L207&lt;&gt;"Sim",L207&lt;&gt;"N/A"),Config!$D$10&amp;"; ","")&amp;IF(AND(Config!$D$11&lt;&gt;"",M207&lt;&gt;"Sim",M207&lt;&gt;"N/A"),Config!$D$11&amp;"; ","")&amp;IF(AND(Config!$D$12&lt;&gt;"",N207&lt;&gt;"Sim",N207&lt;&gt;"N/A"),Config!$D$12&amp;"; ","")&amp;IF(AND(Config!$D$13&lt;&gt;"",O207&lt;&gt;"Sim",O207&lt;&gt;"N/A"),Config!$D$13&amp;"; ","")&amp;IF(AND(Config!$D$14&lt;&gt;"",P207&lt;&gt;"Sim",P207&lt;&gt;"N/A"),Config!$D$14&amp;"; ","")&amp;IF(AND(Config!$D$15&lt;&gt;"",Q207&lt;&gt;"Sim",Q207&lt;&gt;"N/A"),Config!$D$15&amp;"; ","")&amp;IF(AND(Config!$D$16&lt;&gt;"",R207&lt;&gt;"Sim",R207&lt;&gt;"N/A"),Config!$D$16&amp;"; ","")&amp;IF(AND(Config!$D$17&lt;&gt;"",S207&lt;&gt;"Sim",S207&lt;&gt;"N/A"),Config!$D$17&amp;"; ",""))</f>
        <v/>
      </c>
      <c r="AB207" s="39">
        <f>IF(A207="",0,COUNTIF($A$5:$A$304,"&gt;"&amp;A207)+1)</f>
        <v>0</v>
      </c>
    </row>
    <row r="208">
      <c r="A208" s="37" t="n"/>
      <c r="B208" s="24">
        <f>IF(A208="","",CHOOSE(WEEKDAY(A208,2),"Segunda","Terça","Quarta","Quinta","Sexta","Sábado","Domingo"))</f>
        <v/>
      </c>
      <c r="C208" s="38" t="n"/>
      <c r="D208" s="38" t="n"/>
      <c r="E208" s="38" t="n"/>
      <c r="F208" s="38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38" t="n"/>
      <c r="Q208" s="38" t="n"/>
      <c r="R208" s="38" t="n"/>
      <c r="S208" s="38" t="n"/>
      <c r="T208" s="26">
        <f>IF(A208="","",IFERROR(COUNTIF(D208:K208,"Sim")/(Config!$B$19-COUNTIF(D208:K208,"N/A")),""))</f>
        <v/>
      </c>
      <c r="U208" s="26">
        <f>IF(A208="","",IFERROR(COUNTIF(L208:S208,"Sim")/(Config!$D$19-COUNTIF(L208:S208,"N/A")),""))</f>
        <v/>
      </c>
      <c r="V208" s="24">
        <f>IF(A208="","",MAX(0,Config!$B$19-COUNTIF(D208:K208,"Sim")-COUNTIF(D208:K208,"N/A")))</f>
        <v/>
      </c>
      <c r="W208" s="24">
        <f>IF(A208="","",MAX(0,Config!$D$19-COUNTIF(L208:S208,"Sim")-COUNTIF(L208:S208,"N/A")))</f>
        <v/>
      </c>
      <c r="X208" s="24">
        <f>IF(A208="","",V208+W208)</f>
        <v/>
      </c>
      <c r="Y208" s="29">
        <f>IF(OR(A208="",AA208=""),"",LEFT(AA208,LEN(AA208)-2))</f>
        <v/>
      </c>
      <c r="Z208" s="39">
        <f>IF(OR(A208="",X208=0),0,X208*100000+A208/100000)</f>
        <v>0</v>
      </c>
      <c r="AA208" s="39">
        <f>IF(A208="","",IF(AND(Config!$B$10&lt;&gt;"",D208&lt;&gt;"Sim",D208&lt;&gt;"N/A"),Config!$B$10&amp;"; ","")&amp;IF(AND(Config!$B$11&lt;&gt;"",E208&lt;&gt;"Sim",E208&lt;&gt;"N/A"),Config!$B$11&amp;"; ","")&amp;IF(AND(Config!$B$12&lt;&gt;"",F208&lt;&gt;"Sim",F208&lt;&gt;"N/A"),Config!$B$12&amp;"; ","")&amp;IF(AND(Config!$B$13&lt;&gt;"",G208&lt;&gt;"Sim",G208&lt;&gt;"N/A"),Config!$B$13&amp;"; ","")&amp;IF(AND(Config!$B$14&lt;&gt;"",H208&lt;&gt;"Sim",H208&lt;&gt;"N/A"),Config!$B$14&amp;"; ","")&amp;IF(AND(Config!$B$15&lt;&gt;"",I208&lt;&gt;"Sim",I208&lt;&gt;"N/A"),Config!$B$15&amp;"; ","")&amp;IF(AND(Config!$B$16&lt;&gt;"",J208&lt;&gt;"Sim",J208&lt;&gt;"N/A"),Config!$B$16&amp;"; ","")&amp;IF(AND(Config!$B$17&lt;&gt;"",K208&lt;&gt;"Sim",K208&lt;&gt;"N/A"),Config!$B$17&amp;"; ","")&amp;IF(AND(Config!$D$10&lt;&gt;"",L208&lt;&gt;"Sim",L208&lt;&gt;"N/A"),Config!$D$10&amp;"; ","")&amp;IF(AND(Config!$D$11&lt;&gt;"",M208&lt;&gt;"Sim",M208&lt;&gt;"N/A"),Config!$D$11&amp;"; ","")&amp;IF(AND(Config!$D$12&lt;&gt;"",N208&lt;&gt;"Sim",N208&lt;&gt;"N/A"),Config!$D$12&amp;"; ","")&amp;IF(AND(Config!$D$13&lt;&gt;"",O208&lt;&gt;"Sim",O208&lt;&gt;"N/A"),Config!$D$13&amp;"; ","")&amp;IF(AND(Config!$D$14&lt;&gt;"",P208&lt;&gt;"Sim",P208&lt;&gt;"N/A"),Config!$D$14&amp;"; ","")&amp;IF(AND(Config!$D$15&lt;&gt;"",Q208&lt;&gt;"Sim",Q208&lt;&gt;"N/A"),Config!$D$15&amp;"; ","")&amp;IF(AND(Config!$D$16&lt;&gt;"",R208&lt;&gt;"Sim",R208&lt;&gt;"N/A"),Config!$D$16&amp;"; ","")&amp;IF(AND(Config!$D$17&lt;&gt;"",S208&lt;&gt;"Sim",S208&lt;&gt;"N/A"),Config!$D$17&amp;"; ",""))</f>
        <v/>
      </c>
      <c r="AB208" s="39">
        <f>IF(A208="",0,COUNTIF($A$5:$A$304,"&gt;"&amp;A208)+1)</f>
        <v>0</v>
      </c>
    </row>
    <row r="209">
      <c r="A209" s="37" t="n"/>
      <c r="B209" s="24">
        <f>IF(A209="","",CHOOSE(WEEKDAY(A209,2),"Segunda","Terça","Quarta","Quinta","Sexta","Sábado","Domingo"))</f>
        <v/>
      </c>
      <c r="C209" s="38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26">
        <f>IF(A209="","",IFERROR(COUNTIF(D209:K209,"Sim")/(Config!$B$19-COUNTIF(D209:K209,"N/A")),""))</f>
        <v/>
      </c>
      <c r="U209" s="26">
        <f>IF(A209="","",IFERROR(COUNTIF(L209:S209,"Sim")/(Config!$D$19-COUNTIF(L209:S209,"N/A")),""))</f>
        <v/>
      </c>
      <c r="V209" s="24">
        <f>IF(A209="","",MAX(0,Config!$B$19-COUNTIF(D209:K209,"Sim")-COUNTIF(D209:K209,"N/A")))</f>
        <v/>
      </c>
      <c r="W209" s="24">
        <f>IF(A209="","",MAX(0,Config!$D$19-COUNTIF(L209:S209,"Sim")-COUNTIF(L209:S209,"N/A")))</f>
        <v/>
      </c>
      <c r="X209" s="24">
        <f>IF(A209="","",V209+W209)</f>
        <v/>
      </c>
      <c r="Y209" s="29">
        <f>IF(OR(A209="",AA209=""),"",LEFT(AA209,LEN(AA209)-2))</f>
        <v/>
      </c>
      <c r="Z209" s="39">
        <f>IF(OR(A209="",X209=0),0,X209*100000+A209/100000)</f>
        <v>0</v>
      </c>
      <c r="AA209" s="39">
        <f>IF(A209="","",IF(AND(Config!$B$10&lt;&gt;"",D209&lt;&gt;"Sim",D209&lt;&gt;"N/A"),Config!$B$10&amp;"; ","")&amp;IF(AND(Config!$B$11&lt;&gt;"",E209&lt;&gt;"Sim",E209&lt;&gt;"N/A"),Config!$B$11&amp;"; ","")&amp;IF(AND(Config!$B$12&lt;&gt;"",F209&lt;&gt;"Sim",F209&lt;&gt;"N/A"),Config!$B$12&amp;"; ","")&amp;IF(AND(Config!$B$13&lt;&gt;"",G209&lt;&gt;"Sim",G209&lt;&gt;"N/A"),Config!$B$13&amp;"; ","")&amp;IF(AND(Config!$B$14&lt;&gt;"",H209&lt;&gt;"Sim",H209&lt;&gt;"N/A"),Config!$B$14&amp;"; ","")&amp;IF(AND(Config!$B$15&lt;&gt;"",I209&lt;&gt;"Sim",I209&lt;&gt;"N/A"),Config!$B$15&amp;"; ","")&amp;IF(AND(Config!$B$16&lt;&gt;"",J209&lt;&gt;"Sim",J209&lt;&gt;"N/A"),Config!$B$16&amp;"; ","")&amp;IF(AND(Config!$B$17&lt;&gt;"",K209&lt;&gt;"Sim",K209&lt;&gt;"N/A"),Config!$B$17&amp;"; ","")&amp;IF(AND(Config!$D$10&lt;&gt;"",L209&lt;&gt;"Sim",L209&lt;&gt;"N/A"),Config!$D$10&amp;"; ","")&amp;IF(AND(Config!$D$11&lt;&gt;"",M209&lt;&gt;"Sim",M209&lt;&gt;"N/A"),Config!$D$11&amp;"; ","")&amp;IF(AND(Config!$D$12&lt;&gt;"",N209&lt;&gt;"Sim",N209&lt;&gt;"N/A"),Config!$D$12&amp;"; ","")&amp;IF(AND(Config!$D$13&lt;&gt;"",O209&lt;&gt;"Sim",O209&lt;&gt;"N/A"),Config!$D$13&amp;"; ","")&amp;IF(AND(Config!$D$14&lt;&gt;"",P209&lt;&gt;"Sim",P209&lt;&gt;"N/A"),Config!$D$14&amp;"; ","")&amp;IF(AND(Config!$D$15&lt;&gt;"",Q209&lt;&gt;"Sim",Q209&lt;&gt;"N/A"),Config!$D$15&amp;"; ","")&amp;IF(AND(Config!$D$16&lt;&gt;"",R209&lt;&gt;"Sim",R209&lt;&gt;"N/A"),Config!$D$16&amp;"; ","")&amp;IF(AND(Config!$D$17&lt;&gt;"",S209&lt;&gt;"Sim",S209&lt;&gt;"N/A"),Config!$D$17&amp;"; ",""))</f>
        <v/>
      </c>
      <c r="AB209" s="39">
        <f>IF(A209="",0,COUNTIF($A$5:$A$304,"&gt;"&amp;A209)+1)</f>
        <v>0</v>
      </c>
    </row>
    <row r="210">
      <c r="A210" s="37" t="n"/>
      <c r="B210" s="24">
        <f>IF(A210="","",CHOOSE(WEEKDAY(A210,2),"Segunda","Terça","Quarta","Quinta","Sexta","Sábado","Domingo"))</f>
        <v/>
      </c>
      <c r="C210" s="38" t="n"/>
      <c r="D210" s="38" t="n"/>
      <c r="E210" s="38" t="n"/>
      <c r="F210" s="38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26">
        <f>IF(A210="","",IFERROR(COUNTIF(D210:K210,"Sim")/(Config!$B$19-COUNTIF(D210:K210,"N/A")),""))</f>
        <v/>
      </c>
      <c r="U210" s="26">
        <f>IF(A210="","",IFERROR(COUNTIF(L210:S210,"Sim")/(Config!$D$19-COUNTIF(L210:S210,"N/A")),""))</f>
        <v/>
      </c>
      <c r="V210" s="24">
        <f>IF(A210="","",MAX(0,Config!$B$19-COUNTIF(D210:K210,"Sim")-COUNTIF(D210:K210,"N/A")))</f>
        <v/>
      </c>
      <c r="W210" s="24">
        <f>IF(A210="","",MAX(0,Config!$D$19-COUNTIF(L210:S210,"Sim")-COUNTIF(L210:S210,"N/A")))</f>
        <v/>
      </c>
      <c r="X210" s="24">
        <f>IF(A210="","",V210+W210)</f>
        <v/>
      </c>
      <c r="Y210" s="29">
        <f>IF(OR(A210="",AA210=""),"",LEFT(AA210,LEN(AA210)-2))</f>
        <v/>
      </c>
      <c r="Z210" s="39">
        <f>IF(OR(A210="",X210=0),0,X210*100000+A210/100000)</f>
        <v>0</v>
      </c>
      <c r="AA210" s="39">
        <f>IF(A210="","",IF(AND(Config!$B$10&lt;&gt;"",D210&lt;&gt;"Sim",D210&lt;&gt;"N/A"),Config!$B$10&amp;"; ","")&amp;IF(AND(Config!$B$11&lt;&gt;"",E210&lt;&gt;"Sim",E210&lt;&gt;"N/A"),Config!$B$11&amp;"; ","")&amp;IF(AND(Config!$B$12&lt;&gt;"",F210&lt;&gt;"Sim",F210&lt;&gt;"N/A"),Config!$B$12&amp;"; ","")&amp;IF(AND(Config!$B$13&lt;&gt;"",G210&lt;&gt;"Sim",G210&lt;&gt;"N/A"),Config!$B$13&amp;"; ","")&amp;IF(AND(Config!$B$14&lt;&gt;"",H210&lt;&gt;"Sim",H210&lt;&gt;"N/A"),Config!$B$14&amp;"; ","")&amp;IF(AND(Config!$B$15&lt;&gt;"",I210&lt;&gt;"Sim",I210&lt;&gt;"N/A"),Config!$B$15&amp;"; ","")&amp;IF(AND(Config!$B$16&lt;&gt;"",J210&lt;&gt;"Sim",J210&lt;&gt;"N/A"),Config!$B$16&amp;"; ","")&amp;IF(AND(Config!$B$17&lt;&gt;"",K210&lt;&gt;"Sim",K210&lt;&gt;"N/A"),Config!$B$17&amp;"; ","")&amp;IF(AND(Config!$D$10&lt;&gt;"",L210&lt;&gt;"Sim",L210&lt;&gt;"N/A"),Config!$D$10&amp;"; ","")&amp;IF(AND(Config!$D$11&lt;&gt;"",M210&lt;&gt;"Sim",M210&lt;&gt;"N/A"),Config!$D$11&amp;"; ","")&amp;IF(AND(Config!$D$12&lt;&gt;"",N210&lt;&gt;"Sim",N210&lt;&gt;"N/A"),Config!$D$12&amp;"; ","")&amp;IF(AND(Config!$D$13&lt;&gt;"",O210&lt;&gt;"Sim",O210&lt;&gt;"N/A"),Config!$D$13&amp;"; ","")&amp;IF(AND(Config!$D$14&lt;&gt;"",P210&lt;&gt;"Sim",P210&lt;&gt;"N/A"),Config!$D$14&amp;"; ","")&amp;IF(AND(Config!$D$15&lt;&gt;"",Q210&lt;&gt;"Sim",Q210&lt;&gt;"N/A"),Config!$D$15&amp;"; ","")&amp;IF(AND(Config!$D$16&lt;&gt;"",R210&lt;&gt;"Sim",R210&lt;&gt;"N/A"),Config!$D$16&amp;"; ","")&amp;IF(AND(Config!$D$17&lt;&gt;"",S210&lt;&gt;"Sim",S210&lt;&gt;"N/A"),Config!$D$17&amp;"; ",""))</f>
        <v/>
      </c>
      <c r="AB210" s="39">
        <f>IF(A210="",0,COUNTIF($A$5:$A$304,"&gt;"&amp;A210)+1)</f>
        <v>0</v>
      </c>
    </row>
    <row r="211">
      <c r="A211" s="37" t="n"/>
      <c r="B211" s="24">
        <f>IF(A211="","",CHOOSE(WEEKDAY(A211,2),"Segunda","Terça","Quarta","Quinta","Sexta","Sábado","Domingo"))</f>
        <v/>
      </c>
      <c r="C211" s="38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26">
        <f>IF(A211="","",IFERROR(COUNTIF(D211:K211,"Sim")/(Config!$B$19-COUNTIF(D211:K211,"N/A")),""))</f>
        <v/>
      </c>
      <c r="U211" s="26">
        <f>IF(A211="","",IFERROR(COUNTIF(L211:S211,"Sim")/(Config!$D$19-COUNTIF(L211:S211,"N/A")),""))</f>
        <v/>
      </c>
      <c r="V211" s="24">
        <f>IF(A211="","",MAX(0,Config!$B$19-COUNTIF(D211:K211,"Sim")-COUNTIF(D211:K211,"N/A")))</f>
        <v/>
      </c>
      <c r="W211" s="24">
        <f>IF(A211="","",MAX(0,Config!$D$19-COUNTIF(L211:S211,"Sim")-COUNTIF(L211:S211,"N/A")))</f>
        <v/>
      </c>
      <c r="X211" s="24">
        <f>IF(A211="","",V211+W211)</f>
        <v/>
      </c>
      <c r="Y211" s="29">
        <f>IF(OR(A211="",AA211=""),"",LEFT(AA211,LEN(AA211)-2))</f>
        <v/>
      </c>
      <c r="Z211" s="39">
        <f>IF(OR(A211="",X211=0),0,X211*100000+A211/100000)</f>
        <v>0</v>
      </c>
      <c r="AA211" s="39">
        <f>IF(A211="","",IF(AND(Config!$B$10&lt;&gt;"",D211&lt;&gt;"Sim",D211&lt;&gt;"N/A"),Config!$B$10&amp;"; ","")&amp;IF(AND(Config!$B$11&lt;&gt;"",E211&lt;&gt;"Sim",E211&lt;&gt;"N/A"),Config!$B$11&amp;"; ","")&amp;IF(AND(Config!$B$12&lt;&gt;"",F211&lt;&gt;"Sim",F211&lt;&gt;"N/A"),Config!$B$12&amp;"; ","")&amp;IF(AND(Config!$B$13&lt;&gt;"",G211&lt;&gt;"Sim",G211&lt;&gt;"N/A"),Config!$B$13&amp;"; ","")&amp;IF(AND(Config!$B$14&lt;&gt;"",H211&lt;&gt;"Sim",H211&lt;&gt;"N/A"),Config!$B$14&amp;"; ","")&amp;IF(AND(Config!$B$15&lt;&gt;"",I211&lt;&gt;"Sim",I211&lt;&gt;"N/A"),Config!$B$15&amp;"; ","")&amp;IF(AND(Config!$B$16&lt;&gt;"",J211&lt;&gt;"Sim",J211&lt;&gt;"N/A"),Config!$B$16&amp;"; ","")&amp;IF(AND(Config!$B$17&lt;&gt;"",K211&lt;&gt;"Sim",K211&lt;&gt;"N/A"),Config!$B$17&amp;"; ","")&amp;IF(AND(Config!$D$10&lt;&gt;"",L211&lt;&gt;"Sim",L211&lt;&gt;"N/A"),Config!$D$10&amp;"; ","")&amp;IF(AND(Config!$D$11&lt;&gt;"",M211&lt;&gt;"Sim",M211&lt;&gt;"N/A"),Config!$D$11&amp;"; ","")&amp;IF(AND(Config!$D$12&lt;&gt;"",N211&lt;&gt;"Sim",N211&lt;&gt;"N/A"),Config!$D$12&amp;"; ","")&amp;IF(AND(Config!$D$13&lt;&gt;"",O211&lt;&gt;"Sim",O211&lt;&gt;"N/A"),Config!$D$13&amp;"; ","")&amp;IF(AND(Config!$D$14&lt;&gt;"",P211&lt;&gt;"Sim",P211&lt;&gt;"N/A"),Config!$D$14&amp;"; ","")&amp;IF(AND(Config!$D$15&lt;&gt;"",Q211&lt;&gt;"Sim",Q211&lt;&gt;"N/A"),Config!$D$15&amp;"; ","")&amp;IF(AND(Config!$D$16&lt;&gt;"",R211&lt;&gt;"Sim",R211&lt;&gt;"N/A"),Config!$D$16&amp;"; ","")&amp;IF(AND(Config!$D$17&lt;&gt;"",S211&lt;&gt;"Sim",S211&lt;&gt;"N/A"),Config!$D$17&amp;"; ",""))</f>
        <v/>
      </c>
      <c r="AB211" s="39">
        <f>IF(A211="",0,COUNTIF($A$5:$A$304,"&gt;"&amp;A211)+1)</f>
        <v>0</v>
      </c>
    </row>
    <row r="212">
      <c r="A212" s="37" t="n"/>
      <c r="B212" s="24">
        <f>IF(A212="","",CHOOSE(WEEKDAY(A212,2),"Segunda","Terça","Quarta","Quinta","Sexta","Sábado","Domingo"))</f>
        <v/>
      </c>
      <c r="C212" s="38" t="n"/>
      <c r="D212" s="38" t="n"/>
      <c r="E212" s="38" t="n"/>
      <c r="F212" s="38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26">
        <f>IF(A212="","",IFERROR(COUNTIF(D212:K212,"Sim")/(Config!$B$19-COUNTIF(D212:K212,"N/A")),""))</f>
        <v/>
      </c>
      <c r="U212" s="26">
        <f>IF(A212="","",IFERROR(COUNTIF(L212:S212,"Sim")/(Config!$D$19-COUNTIF(L212:S212,"N/A")),""))</f>
        <v/>
      </c>
      <c r="V212" s="24">
        <f>IF(A212="","",MAX(0,Config!$B$19-COUNTIF(D212:K212,"Sim")-COUNTIF(D212:K212,"N/A")))</f>
        <v/>
      </c>
      <c r="W212" s="24">
        <f>IF(A212="","",MAX(0,Config!$D$19-COUNTIF(L212:S212,"Sim")-COUNTIF(L212:S212,"N/A")))</f>
        <v/>
      </c>
      <c r="X212" s="24">
        <f>IF(A212="","",V212+W212)</f>
        <v/>
      </c>
      <c r="Y212" s="29">
        <f>IF(OR(A212="",AA212=""),"",LEFT(AA212,LEN(AA212)-2))</f>
        <v/>
      </c>
      <c r="Z212" s="39">
        <f>IF(OR(A212="",X212=0),0,X212*100000+A212/100000)</f>
        <v>0</v>
      </c>
      <c r="AA212" s="39">
        <f>IF(A212="","",IF(AND(Config!$B$10&lt;&gt;"",D212&lt;&gt;"Sim",D212&lt;&gt;"N/A"),Config!$B$10&amp;"; ","")&amp;IF(AND(Config!$B$11&lt;&gt;"",E212&lt;&gt;"Sim",E212&lt;&gt;"N/A"),Config!$B$11&amp;"; ","")&amp;IF(AND(Config!$B$12&lt;&gt;"",F212&lt;&gt;"Sim",F212&lt;&gt;"N/A"),Config!$B$12&amp;"; ","")&amp;IF(AND(Config!$B$13&lt;&gt;"",G212&lt;&gt;"Sim",G212&lt;&gt;"N/A"),Config!$B$13&amp;"; ","")&amp;IF(AND(Config!$B$14&lt;&gt;"",H212&lt;&gt;"Sim",H212&lt;&gt;"N/A"),Config!$B$14&amp;"; ","")&amp;IF(AND(Config!$B$15&lt;&gt;"",I212&lt;&gt;"Sim",I212&lt;&gt;"N/A"),Config!$B$15&amp;"; ","")&amp;IF(AND(Config!$B$16&lt;&gt;"",J212&lt;&gt;"Sim",J212&lt;&gt;"N/A"),Config!$B$16&amp;"; ","")&amp;IF(AND(Config!$B$17&lt;&gt;"",K212&lt;&gt;"Sim",K212&lt;&gt;"N/A"),Config!$B$17&amp;"; ","")&amp;IF(AND(Config!$D$10&lt;&gt;"",L212&lt;&gt;"Sim",L212&lt;&gt;"N/A"),Config!$D$10&amp;"; ","")&amp;IF(AND(Config!$D$11&lt;&gt;"",M212&lt;&gt;"Sim",M212&lt;&gt;"N/A"),Config!$D$11&amp;"; ","")&amp;IF(AND(Config!$D$12&lt;&gt;"",N212&lt;&gt;"Sim",N212&lt;&gt;"N/A"),Config!$D$12&amp;"; ","")&amp;IF(AND(Config!$D$13&lt;&gt;"",O212&lt;&gt;"Sim",O212&lt;&gt;"N/A"),Config!$D$13&amp;"; ","")&amp;IF(AND(Config!$D$14&lt;&gt;"",P212&lt;&gt;"Sim",P212&lt;&gt;"N/A"),Config!$D$14&amp;"; ","")&amp;IF(AND(Config!$D$15&lt;&gt;"",Q212&lt;&gt;"Sim",Q212&lt;&gt;"N/A"),Config!$D$15&amp;"; ","")&amp;IF(AND(Config!$D$16&lt;&gt;"",R212&lt;&gt;"Sim",R212&lt;&gt;"N/A"),Config!$D$16&amp;"; ","")&amp;IF(AND(Config!$D$17&lt;&gt;"",S212&lt;&gt;"Sim",S212&lt;&gt;"N/A"),Config!$D$17&amp;"; ",""))</f>
        <v/>
      </c>
      <c r="AB212" s="39">
        <f>IF(A212="",0,COUNTIF($A$5:$A$304,"&gt;"&amp;A212)+1)</f>
        <v>0</v>
      </c>
    </row>
    <row r="213">
      <c r="A213" s="37" t="n"/>
      <c r="B213" s="24">
        <f>IF(A213="","",CHOOSE(WEEKDAY(A213,2),"Segunda","Terça","Quarta","Quinta","Sexta","Sábado","Domingo"))</f>
        <v/>
      </c>
      <c r="C213" s="38" t="n"/>
      <c r="D213" s="38" t="n"/>
      <c r="E213" s="38" t="n"/>
      <c r="F213" s="38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26">
        <f>IF(A213="","",IFERROR(COUNTIF(D213:K213,"Sim")/(Config!$B$19-COUNTIF(D213:K213,"N/A")),""))</f>
        <v/>
      </c>
      <c r="U213" s="26">
        <f>IF(A213="","",IFERROR(COUNTIF(L213:S213,"Sim")/(Config!$D$19-COUNTIF(L213:S213,"N/A")),""))</f>
        <v/>
      </c>
      <c r="V213" s="24">
        <f>IF(A213="","",MAX(0,Config!$B$19-COUNTIF(D213:K213,"Sim")-COUNTIF(D213:K213,"N/A")))</f>
        <v/>
      </c>
      <c r="W213" s="24">
        <f>IF(A213="","",MAX(0,Config!$D$19-COUNTIF(L213:S213,"Sim")-COUNTIF(L213:S213,"N/A")))</f>
        <v/>
      </c>
      <c r="X213" s="24">
        <f>IF(A213="","",V213+W213)</f>
        <v/>
      </c>
      <c r="Y213" s="29">
        <f>IF(OR(A213="",AA213=""),"",LEFT(AA213,LEN(AA213)-2))</f>
        <v/>
      </c>
      <c r="Z213" s="39">
        <f>IF(OR(A213="",X213=0),0,X213*100000+A213/100000)</f>
        <v>0</v>
      </c>
      <c r="AA213" s="39">
        <f>IF(A213="","",IF(AND(Config!$B$10&lt;&gt;"",D213&lt;&gt;"Sim",D213&lt;&gt;"N/A"),Config!$B$10&amp;"; ","")&amp;IF(AND(Config!$B$11&lt;&gt;"",E213&lt;&gt;"Sim",E213&lt;&gt;"N/A"),Config!$B$11&amp;"; ","")&amp;IF(AND(Config!$B$12&lt;&gt;"",F213&lt;&gt;"Sim",F213&lt;&gt;"N/A"),Config!$B$12&amp;"; ","")&amp;IF(AND(Config!$B$13&lt;&gt;"",G213&lt;&gt;"Sim",G213&lt;&gt;"N/A"),Config!$B$13&amp;"; ","")&amp;IF(AND(Config!$B$14&lt;&gt;"",H213&lt;&gt;"Sim",H213&lt;&gt;"N/A"),Config!$B$14&amp;"; ","")&amp;IF(AND(Config!$B$15&lt;&gt;"",I213&lt;&gt;"Sim",I213&lt;&gt;"N/A"),Config!$B$15&amp;"; ","")&amp;IF(AND(Config!$B$16&lt;&gt;"",J213&lt;&gt;"Sim",J213&lt;&gt;"N/A"),Config!$B$16&amp;"; ","")&amp;IF(AND(Config!$B$17&lt;&gt;"",K213&lt;&gt;"Sim",K213&lt;&gt;"N/A"),Config!$B$17&amp;"; ","")&amp;IF(AND(Config!$D$10&lt;&gt;"",L213&lt;&gt;"Sim",L213&lt;&gt;"N/A"),Config!$D$10&amp;"; ","")&amp;IF(AND(Config!$D$11&lt;&gt;"",M213&lt;&gt;"Sim",M213&lt;&gt;"N/A"),Config!$D$11&amp;"; ","")&amp;IF(AND(Config!$D$12&lt;&gt;"",N213&lt;&gt;"Sim",N213&lt;&gt;"N/A"),Config!$D$12&amp;"; ","")&amp;IF(AND(Config!$D$13&lt;&gt;"",O213&lt;&gt;"Sim",O213&lt;&gt;"N/A"),Config!$D$13&amp;"; ","")&amp;IF(AND(Config!$D$14&lt;&gt;"",P213&lt;&gt;"Sim",P213&lt;&gt;"N/A"),Config!$D$14&amp;"; ","")&amp;IF(AND(Config!$D$15&lt;&gt;"",Q213&lt;&gt;"Sim",Q213&lt;&gt;"N/A"),Config!$D$15&amp;"; ","")&amp;IF(AND(Config!$D$16&lt;&gt;"",R213&lt;&gt;"Sim",R213&lt;&gt;"N/A"),Config!$D$16&amp;"; ","")&amp;IF(AND(Config!$D$17&lt;&gt;"",S213&lt;&gt;"Sim",S213&lt;&gt;"N/A"),Config!$D$17&amp;"; ",""))</f>
        <v/>
      </c>
      <c r="AB213" s="39">
        <f>IF(A213="",0,COUNTIF($A$5:$A$304,"&gt;"&amp;A213)+1)</f>
        <v>0</v>
      </c>
    </row>
    <row r="214">
      <c r="A214" s="37" t="n"/>
      <c r="B214" s="24">
        <f>IF(A214="","",CHOOSE(WEEKDAY(A214,2),"Segunda","Terça","Quarta","Quinta","Sexta","Sábado","Domingo"))</f>
        <v/>
      </c>
      <c r="C214" s="38" t="n"/>
      <c r="D214" s="38" t="n"/>
      <c r="E214" s="38" t="n"/>
      <c r="F214" s="38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26">
        <f>IF(A214="","",IFERROR(COUNTIF(D214:K214,"Sim")/(Config!$B$19-COUNTIF(D214:K214,"N/A")),""))</f>
        <v/>
      </c>
      <c r="U214" s="26">
        <f>IF(A214="","",IFERROR(COUNTIF(L214:S214,"Sim")/(Config!$D$19-COUNTIF(L214:S214,"N/A")),""))</f>
        <v/>
      </c>
      <c r="V214" s="24">
        <f>IF(A214="","",MAX(0,Config!$B$19-COUNTIF(D214:K214,"Sim")-COUNTIF(D214:K214,"N/A")))</f>
        <v/>
      </c>
      <c r="W214" s="24">
        <f>IF(A214="","",MAX(0,Config!$D$19-COUNTIF(L214:S214,"Sim")-COUNTIF(L214:S214,"N/A")))</f>
        <v/>
      </c>
      <c r="X214" s="24">
        <f>IF(A214="","",V214+W214)</f>
        <v/>
      </c>
      <c r="Y214" s="29">
        <f>IF(OR(A214="",AA214=""),"",LEFT(AA214,LEN(AA214)-2))</f>
        <v/>
      </c>
      <c r="Z214" s="39">
        <f>IF(OR(A214="",X214=0),0,X214*100000+A214/100000)</f>
        <v>0</v>
      </c>
      <c r="AA214" s="39">
        <f>IF(A214="","",IF(AND(Config!$B$10&lt;&gt;"",D214&lt;&gt;"Sim",D214&lt;&gt;"N/A"),Config!$B$10&amp;"; ","")&amp;IF(AND(Config!$B$11&lt;&gt;"",E214&lt;&gt;"Sim",E214&lt;&gt;"N/A"),Config!$B$11&amp;"; ","")&amp;IF(AND(Config!$B$12&lt;&gt;"",F214&lt;&gt;"Sim",F214&lt;&gt;"N/A"),Config!$B$12&amp;"; ","")&amp;IF(AND(Config!$B$13&lt;&gt;"",G214&lt;&gt;"Sim",G214&lt;&gt;"N/A"),Config!$B$13&amp;"; ","")&amp;IF(AND(Config!$B$14&lt;&gt;"",H214&lt;&gt;"Sim",H214&lt;&gt;"N/A"),Config!$B$14&amp;"; ","")&amp;IF(AND(Config!$B$15&lt;&gt;"",I214&lt;&gt;"Sim",I214&lt;&gt;"N/A"),Config!$B$15&amp;"; ","")&amp;IF(AND(Config!$B$16&lt;&gt;"",J214&lt;&gt;"Sim",J214&lt;&gt;"N/A"),Config!$B$16&amp;"; ","")&amp;IF(AND(Config!$B$17&lt;&gt;"",K214&lt;&gt;"Sim",K214&lt;&gt;"N/A"),Config!$B$17&amp;"; ","")&amp;IF(AND(Config!$D$10&lt;&gt;"",L214&lt;&gt;"Sim",L214&lt;&gt;"N/A"),Config!$D$10&amp;"; ","")&amp;IF(AND(Config!$D$11&lt;&gt;"",M214&lt;&gt;"Sim",M214&lt;&gt;"N/A"),Config!$D$11&amp;"; ","")&amp;IF(AND(Config!$D$12&lt;&gt;"",N214&lt;&gt;"Sim",N214&lt;&gt;"N/A"),Config!$D$12&amp;"; ","")&amp;IF(AND(Config!$D$13&lt;&gt;"",O214&lt;&gt;"Sim",O214&lt;&gt;"N/A"),Config!$D$13&amp;"; ","")&amp;IF(AND(Config!$D$14&lt;&gt;"",P214&lt;&gt;"Sim",P214&lt;&gt;"N/A"),Config!$D$14&amp;"; ","")&amp;IF(AND(Config!$D$15&lt;&gt;"",Q214&lt;&gt;"Sim",Q214&lt;&gt;"N/A"),Config!$D$15&amp;"; ","")&amp;IF(AND(Config!$D$16&lt;&gt;"",R214&lt;&gt;"Sim",R214&lt;&gt;"N/A"),Config!$D$16&amp;"; ","")&amp;IF(AND(Config!$D$17&lt;&gt;"",S214&lt;&gt;"Sim",S214&lt;&gt;"N/A"),Config!$D$17&amp;"; ",""))</f>
        <v/>
      </c>
      <c r="AB214" s="39">
        <f>IF(A214="",0,COUNTIF($A$5:$A$304,"&gt;"&amp;A214)+1)</f>
        <v>0</v>
      </c>
    </row>
    <row r="215">
      <c r="A215" s="37" t="n"/>
      <c r="B215" s="24">
        <f>IF(A215="","",CHOOSE(WEEKDAY(A215,2),"Segunda","Terça","Quarta","Quinta","Sexta","Sábado","Domingo"))</f>
        <v/>
      </c>
      <c r="C215" s="38" t="n"/>
      <c r="D215" s="38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26">
        <f>IF(A215="","",IFERROR(COUNTIF(D215:K215,"Sim")/(Config!$B$19-COUNTIF(D215:K215,"N/A")),""))</f>
        <v/>
      </c>
      <c r="U215" s="26">
        <f>IF(A215="","",IFERROR(COUNTIF(L215:S215,"Sim")/(Config!$D$19-COUNTIF(L215:S215,"N/A")),""))</f>
        <v/>
      </c>
      <c r="V215" s="24">
        <f>IF(A215="","",MAX(0,Config!$B$19-COUNTIF(D215:K215,"Sim")-COUNTIF(D215:K215,"N/A")))</f>
        <v/>
      </c>
      <c r="W215" s="24">
        <f>IF(A215="","",MAX(0,Config!$D$19-COUNTIF(L215:S215,"Sim")-COUNTIF(L215:S215,"N/A")))</f>
        <v/>
      </c>
      <c r="X215" s="24">
        <f>IF(A215="","",V215+W215)</f>
        <v/>
      </c>
      <c r="Y215" s="29">
        <f>IF(OR(A215="",AA215=""),"",LEFT(AA215,LEN(AA215)-2))</f>
        <v/>
      </c>
      <c r="Z215" s="39">
        <f>IF(OR(A215="",X215=0),0,X215*100000+A215/100000)</f>
        <v>0</v>
      </c>
      <c r="AA215" s="39">
        <f>IF(A215="","",IF(AND(Config!$B$10&lt;&gt;"",D215&lt;&gt;"Sim",D215&lt;&gt;"N/A"),Config!$B$10&amp;"; ","")&amp;IF(AND(Config!$B$11&lt;&gt;"",E215&lt;&gt;"Sim",E215&lt;&gt;"N/A"),Config!$B$11&amp;"; ","")&amp;IF(AND(Config!$B$12&lt;&gt;"",F215&lt;&gt;"Sim",F215&lt;&gt;"N/A"),Config!$B$12&amp;"; ","")&amp;IF(AND(Config!$B$13&lt;&gt;"",G215&lt;&gt;"Sim",G215&lt;&gt;"N/A"),Config!$B$13&amp;"; ","")&amp;IF(AND(Config!$B$14&lt;&gt;"",H215&lt;&gt;"Sim",H215&lt;&gt;"N/A"),Config!$B$14&amp;"; ","")&amp;IF(AND(Config!$B$15&lt;&gt;"",I215&lt;&gt;"Sim",I215&lt;&gt;"N/A"),Config!$B$15&amp;"; ","")&amp;IF(AND(Config!$B$16&lt;&gt;"",J215&lt;&gt;"Sim",J215&lt;&gt;"N/A"),Config!$B$16&amp;"; ","")&amp;IF(AND(Config!$B$17&lt;&gt;"",K215&lt;&gt;"Sim",K215&lt;&gt;"N/A"),Config!$B$17&amp;"; ","")&amp;IF(AND(Config!$D$10&lt;&gt;"",L215&lt;&gt;"Sim",L215&lt;&gt;"N/A"),Config!$D$10&amp;"; ","")&amp;IF(AND(Config!$D$11&lt;&gt;"",M215&lt;&gt;"Sim",M215&lt;&gt;"N/A"),Config!$D$11&amp;"; ","")&amp;IF(AND(Config!$D$12&lt;&gt;"",N215&lt;&gt;"Sim",N215&lt;&gt;"N/A"),Config!$D$12&amp;"; ","")&amp;IF(AND(Config!$D$13&lt;&gt;"",O215&lt;&gt;"Sim",O215&lt;&gt;"N/A"),Config!$D$13&amp;"; ","")&amp;IF(AND(Config!$D$14&lt;&gt;"",P215&lt;&gt;"Sim",P215&lt;&gt;"N/A"),Config!$D$14&amp;"; ","")&amp;IF(AND(Config!$D$15&lt;&gt;"",Q215&lt;&gt;"Sim",Q215&lt;&gt;"N/A"),Config!$D$15&amp;"; ","")&amp;IF(AND(Config!$D$16&lt;&gt;"",R215&lt;&gt;"Sim",R215&lt;&gt;"N/A"),Config!$D$16&amp;"; ","")&amp;IF(AND(Config!$D$17&lt;&gt;"",S215&lt;&gt;"Sim",S215&lt;&gt;"N/A"),Config!$D$17&amp;"; ",""))</f>
        <v/>
      </c>
      <c r="AB215" s="39">
        <f>IF(A215="",0,COUNTIF($A$5:$A$304,"&gt;"&amp;A215)+1)</f>
        <v>0</v>
      </c>
    </row>
    <row r="216">
      <c r="A216" s="37" t="n"/>
      <c r="B216" s="24">
        <f>IF(A216="","",CHOOSE(WEEKDAY(A216,2),"Segunda","Terça","Quarta","Quinta","Sexta","Sábado","Domingo"))</f>
        <v/>
      </c>
      <c r="C216" s="38" t="n"/>
      <c r="D216" s="38" t="n"/>
      <c r="E216" s="38" t="n"/>
      <c r="F216" s="38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26">
        <f>IF(A216="","",IFERROR(COUNTIF(D216:K216,"Sim")/(Config!$B$19-COUNTIF(D216:K216,"N/A")),""))</f>
        <v/>
      </c>
      <c r="U216" s="26">
        <f>IF(A216="","",IFERROR(COUNTIF(L216:S216,"Sim")/(Config!$D$19-COUNTIF(L216:S216,"N/A")),""))</f>
        <v/>
      </c>
      <c r="V216" s="24">
        <f>IF(A216="","",MAX(0,Config!$B$19-COUNTIF(D216:K216,"Sim")-COUNTIF(D216:K216,"N/A")))</f>
        <v/>
      </c>
      <c r="W216" s="24">
        <f>IF(A216="","",MAX(0,Config!$D$19-COUNTIF(L216:S216,"Sim")-COUNTIF(L216:S216,"N/A")))</f>
        <v/>
      </c>
      <c r="X216" s="24">
        <f>IF(A216="","",V216+W216)</f>
        <v/>
      </c>
      <c r="Y216" s="29">
        <f>IF(OR(A216="",AA216=""),"",LEFT(AA216,LEN(AA216)-2))</f>
        <v/>
      </c>
      <c r="Z216" s="39">
        <f>IF(OR(A216="",X216=0),0,X216*100000+A216/100000)</f>
        <v>0</v>
      </c>
      <c r="AA216" s="39">
        <f>IF(A216="","",IF(AND(Config!$B$10&lt;&gt;"",D216&lt;&gt;"Sim",D216&lt;&gt;"N/A"),Config!$B$10&amp;"; ","")&amp;IF(AND(Config!$B$11&lt;&gt;"",E216&lt;&gt;"Sim",E216&lt;&gt;"N/A"),Config!$B$11&amp;"; ","")&amp;IF(AND(Config!$B$12&lt;&gt;"",F216&lt;&gt;"Sim",F216&lt;&gt;"N/A"),Config!$B$12&amp;"; ","")&amp;IF(AND(Config!$B$13&lt;&gt;"",G216&lt;&gt;"Sim",G216&lt;&gt;"N/A"),Config!$B$13&amp;"; ","")&amp;IF(AND(Config!$B$14&lt;&gt;"",H216&lt;&gt;"Sim",H216&lt;&gt;"N/A"),Config!$B$14&amp;"; ","")&amp;IF(AND(Config!$B$15&lt;&gt;"",I216&lt;&gt;"Sim",I216&lt;&gt;"N/A"),Config!$B$15&amp;"; ","")&amp;IF(AND(Config!$B$16&lt;&gt;"",J216&lt;&gt;"Sim",J216&lt;&gt;"N/A"),Config!$B$16&amp;"; ","")&amp;IF(AND(Config!$B$17&lt;&gt;"",K216&lt;&gt;"Sim",K216&lt;&gt;"N/A"),Config!$B$17&amp;"; ","")&amp;IF(AND(Config!$D$10&lt;&gt;"",L216&lt;&gt;"Sim",L216&lt;&gt;"N/A"),Config!$D$10&amp;"; ","")&amp;IF(AND(Config!$D$11&lt;&gt;"",M216&lt;&gt;"Sim",M216&lt;&gt;"N/A"),Config!$D$11&amp;"; ","")&amp;IF(AND(Config!$D$12&lt;&gt;"",N216&lt;&gt;"Sim",N216&lt;&gt;"N/A"),Config!$D$12&amp;"; ","")&amp;IF(AND(Config!$D$13&lt;&gt;"",O216&lt;&gt;"Sim",O216&lt;&gt;"N/A"),Config!$D$13&amp;"; ","")&amp;IF(AND(Config!$D$14&lt;&gt;"",P216&lt;&gt;"Sim",P216&lt;&gt;"N/A"),Config!$D$14&amp;"; ","")&amp;IF(AND(Config!$D$15&lt;&gt;"",Q216&lt;&gt;"Sim",Q216&lt;&gt;"N/A"),Config!$D$15&amp;"; ","")&amp;IF(AND(Config!$D$16&lt;&gt;"",R216&lt;&gt;"Sim",R216&lt;&gt;"N/A"),Config!$D$16&amp;"; ","")&amp;IF(AND(Config!$D$17&lt;&gt;"",S216&lt;&gt;"Sim",S216&lt;&gt;"N/A"),Config!$D$17&amp;"; ",""))</f>
        <v/>
      </c>
      <c r="AB216" s="39">
        <f>IF(A216="",0,COUNTIF($A$5:$A$304,"&gt;"&amp;A216)+1)</f>
        <v>0</v>
      </c>
    </row>
    <row r="217">
      <c r="A217" s="37" t="n"/>
      <c r="B217" s="24">
        <f>IF(A217="","",CHOOSE(WEEKDAY(A217,2),"Segunda","Terça","Quarta","Quinta","Sexta","Sábado","Domingo"))</f>
        <v/>
      </c>
      <c r="C217" s="38" t="n"/>
      <c r="D217" s="38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26">
        <f>IF(A217="","",IFERROR(COUNTIF(D217:K217,"Sim")/(Config!$B$19-COUNTIF(D217:K217,"N/A")),""))</f>
        <v/>
      </c>
      <c r="U217" s="26">
        <f>IF(A217="","",IFERROR(COUNTIF(L217:S217,"Sim")/(Config!$D$19-COUNTIF(L217:S217,"N/A")),""))</f>
        <v/>
      </c>
      <c r="V217" s="24">
        <f>IF(A217="","",MAX(0,Config!$B$19-COUNTIF(D217:K217,"Sim")-COUNTIF(D217:K217,"N/A")))</f>
        <v/>
      </c>
      <c r="W217" s="24">
        <f>IF(A217="","",MAX(0,Config!$D$19-COUNTIF(L217:S217,"Sim")-COUNTIF(L217:S217,"N/A")))</f>
        <v/>
      </c>
      <c r="X217" s="24">
        <f>IF(A217="","",V217+W217)</f>
        <v/>
      </c>
      <c r="Y217" s="29">
        <f>IF(OR(A217="",AA217=""),"",LEFT(AA217,LEN(AA217)-2))</f>
        <v/>
      </c>
      <c r="Z217" s="39">
        <f>IF(OR(A217="",X217=0),0,X217*100000+A217/100000)</f>
        <v>0</v>
      </c>
      <c r="AA217" s="39">
        <f>IF(A217="","",IF(AND(Config!$B$10&lt;&gt;"",D217&lt;&gt;"Sim",D217&lt;&gt;"N/A"),Config!$B$10&amp;"; ","")&amp;IF(AND(Config!$B$11&lt;&gt;"",E217&lt;&gt;"Sim",E217&lt;&gt;"N/A"),Config!$B$11&amp;"; ","")&amp;IF(AND(Config!$B$12&lt;&gt;"",F217&lt;&gt;"Sim",F217&lt;&gt;"N/A"),Config!$B$12&amp;"; ","")&amp;IF(AND(Config!$B$13&lt;&gt;"",G217&lt;&gt;"Sim",G217&lt;&gt;"N/A"),Config!$B$13&amp;"; ","")&amp;IF(AND(Config!$B$14&lt;&gt;"",H217&lt;&gt;"Sim",H217&lt;&gt;"N/A"),Config!$B$14&amp;"; ","")&amp;IF(AND(Config!$B$15&lt;&gt;"",I217&lt;&gt;"Sim",I217&lt;&gt;"N/A"),Config!$B$15&amp;"; ","")&amp;IF(AND(Config!$B$16&lt;&gt;"",J217&lt;&gt;"Sim",J217&lt;&gt;"N/A"),Config!$B$16&amp;"; ","")&amp;IF(AND(Config!$B$17&lt;&gt;"",K217&lt;&gt;"Sim",K217&lt;&gt;"N/A"),Config!$B$17&amp;"; ","")&amp;IF(AND(Config!$D$10&lt;&gt;"",L217&lt;&gt;"Sim",L217&lt;&gt;"N/A"),Config!$D$10&amp;"; ","")&amp;IF(AND(Config!$D$11&lt;&gt;"",M217&lt;&gt;"Sim",M217&lt;&gt;"N/A"),Config!$D$11&amp;"; ","")&amp;IF(AND(Config!$D$12&lt;&gt;"",N217&lt;&gt;"Sim",N217&lt;&gt;"N/A"),Config!$D$12&amp;"; ","")&amp;IF(AND(Config!$D$13&lt;&gt;"",O217&lt;&gt;"Sim",O217&lt;&gt;"N/A"),Config!$D$13&amp;"; ","")&amp;IF(AND(Config!$D$14&lt;&gt;"",P217&lt;&gt;"Sim",P217&lt;&gt;"N/A"),Config!$D$14&amp;"; ","")&amp;IF(AND(Config!$D$15&lt;&gt;"",Q217&lt;&gt;"Sim",Q217&lt;&gt;"N/A"),Config!$D$15&amp;"; ","")&amp;IF(AND(Config!$D$16&lt;&gt;"",R217&lt;&gt;"Sim",R217&lt;&gt;"N/A"),Config!$D$16&amp;"; ","")&amp;IF(AND(Config!$D$17&lt;&gt;"",S217&lt;&gt;"Sim",S217&lt;&gt;"N/A"),Config!$D$17&amp;"; ",""))</f>
        <v/>
      </c>
      <c r="AB217" s="39">
        <f>IF(A217="",0,COUNTIF($A$5:$A$304,"&gt;"&amp;A217)+1)</f>
        <v>0</v>
      </c>
    </row>
    <row r="218">
      <c r="A218" s="37" t="n"/>
      <c r="B218" s="24">
        <f>IF(A218="","",CHOOSE(WEEKDAY(A218,2),"Segunda","Terça","Quarta","Quinta","Sexta","Sábado","Domingo"))</f>
        <v/>
      </c>
      <c r="C218" s="38" t="n"/>
      <c r="D218" s="38" t="n"/>
      <c r="E218" s="38" t="n"/>
      <c r="F218" s="38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26">
        <f>IF(A218="","",IFERROR(COUNTIF(D218:K218,"Sim")/(Config!$B$19-COUNTIF(D218:K218,"N/A")),""))</f>
        <v/>
      </c>
      <c r="U218" s="26">
        <f>IF(A218="","",IFERROR(COUNTIF(L218:S218,"Sim")/(Config!$D$19-COUNTIF(L218:S218,"N/A")),""))</f>
        <v/>
      </c>
      <c r="V218" s="24">
        <f>IF(A218="","",MAX(0,Config!$B$19-COUNTIF(D218:K218,"Sim")-COUNTIF(D218:K218,"N/A")))</f>
        <v/>
      </c>
      <c r="W218" s="24">
        <f>IF(A218="","",MAX(0,Config!$D$19-COUNTIF(L218:S218,"Sim")-COUNTIF(L218:S218,"N/A")))</f>
        <v/>
      </c>
      <c r="X218" s="24">
        <f>IF(A218="","",V218+W218)</f>
        <v/>
      </c>
      <c r="Y218" s="29">
        <f>IF(OR(A218="",AA218=""),"",LEFT(AA218,LEN(AA218)-2))</f>
        <v/>
      </c>
      <c r="Z218" s="39">
        <f>IF(OR(A218="",X218=0),0,X218*100000+A218/100000)</f>
        <v>0</v>
      </c>
      <c r="AA218" s="39">
        <f>IF(A218="","",IF(AND(Config!$B$10&lt;&gt;"",D218&lt;&gt;"Sim",D218&lt;&gt;"N/A"),Config!$B$10&amp;"; ","")&amp;IF(AND(Config!$B$11&lt;&gt;"",E218&lt;&gt;"Sim",E218&lt;&gt;"N/A"),Config!$B$11&amp;"; ","")&amp;IF(AND(Config!$B$12&lt;&gt;"",F218&lt;&gt;"Sim",F218&lt;&gt;"N/A"),Config!$B$12&amp;"; ","")&amp;IF(AND(Config!$B$13&lt;&gt;"",G218&lt;&gt;"Sim",G218&lt;&gt;"N/A"),Config!$B$13&amp;"; ","")&amp;IF(AND(Config!$B$14&lt;&gt;"",H218&lt;&gt;"Sim",H218&lt;&gt;"N/A"),Config!$B$14&amp;"; ","")&amp;IF(AND(Config!$B$15&lt;&gt;"",I218&lt;&gt;"Sim",I218&lt;&gt;"N/A"),Config!$B$15&amp;"; ","")&amp;IF(AND(Config!$B$16&lt;&gt;"",J218&lt;&gt;"Sim",J218&lt;&gt;"N/A"),Config!$B$16&amp;"; ","")&amp;IF(AND(Config!$B$17&lt;&gt;"",K218&lt;&gt;"Sim",K218&lt;&gt;"N/A"),Config!$B$17&amp;"; ","")&amp;IF(AND(Config!$D$10&lt;&gt;"",L218&lt;&gt;"Sim",L218&lt;&gt;"N/A"),Config!$D$10&amp;"; ","")&amp;IF(AND(Config!$D$11&lt;&gt;"",M218&lt;&gt;"Sim",M218&lt;&gt;"N/A"),Config!$D$11&amp;"; ","")&amp;IF(AND(Config!$D$12&lt;&gt;"",N218&lt;&gt;"Sim",N218&lt;&gt;"N/A"),Config!$D$12&amp;"; ","")&amp;IF(AND(Config!$D$13&lt;&gt;"",O218&lt;&gt;"Sim",O218&lt;&gt;"N/A"),Config!$D$13&amp;"; ","")&amp;IF(AND(Config!$D$14&lt;&gt;"",P218&lt;&gt;"Sim",P218&lt;&gt;"N/A"),Config!$D$14&amp;"; ","")&amp;IF(AND(Config!$D$15&lt;&gt;"",Q218&lt;&gt;"Sim",Q218&lt;&gt;"N/A"),Config!$D$15&amp;"; ","")&amp;IF(AND(Config!$D$16&lt;&gt;"",R218&lt;&gt;"Sim",R218&lt;&gt;"N/A"),Config!$D$16&amp;"; ","")&amp;IF(AND(Config!$D$17&lt;&gt;"",S218&lt;&gt;"Sim",S218&lt;&gt;"N/A"),Config!$D$17&amp;"; ",""))</f>
        <v/>
      </c>
      <c r="AB218" s="39">
        <f>IF(A218="",0,COUNTIF($A$5:$A$304,"&gt;"&amp;A218)+1)</f>
        <v>0</v>
      </c>
    </row>
    <row r="219">
      <c r="A219" s="37" t="n"/>
      <c r="B219" s="24">
        <f>IF(A219="","",CHOOSE(WEEKDAY(A219,2),"Segunda","Terça","Quarta","Quinta","Sexta","Sábado","Domingo"))</f>
        <v/>
      </c>
      <c r="C219" s="38" t="n"/>
      <c r="D219" s="38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26">
        <f>IF(A219="","",IFERROR(COUNTIF(D219:K219,"Sim")/(Config!$B$19-COUNTIF(D219:K219,"N/A")),""))</f>
        <v/>
      </c>
      <c r="U219" s="26">
        <f>IF(A219="","",IFERROR(COUNTIF(L219:S219,"Sim")/(Config!$D$19-COUNTIF(L219:S219,"N/A")),""))</f>
        <v/>
      </c>
      <c r="V219" s="24">
        <f>IF(A219="","",MAX(0,Config!$B$19-COUNTIF(D219:K219,"Sim")-COUNTIF(D219:K219,"N/A")))</f>
        <v/>
      </c>
      <c r="W219" s="24">
        <f>IF(A219="","",MAX(0,Config!$D$19-COUNTIF(L219:S219,"Sim")-COUNTIF(L219:S219,"N/A")))</f>
        <v/>
      </c>
      <c r="X219" s="24">
        <f>IF(A219="","",V219+W219)</f>
        <v/>
      </c>
      <c r="Y219" s="29">
        <f>IF(OR(A219="",AA219=""),"",LEFT(AA219,LEN(AA219)-2))</f>
        <v/>
      </c>
      <c r="Z219" s="39">
        <f>IF(OR(A219="",X219=0),0,X219*100000+A219/100000)</f>
        <v>0</v>
      </c>
      <c r="AA219" s="39">
        <f>IF(A219="","",IF(AND(Config!$B$10&lt;&gt;"",D219&lt;&gt;"Sim",D219&lt;&gt;"N/A"),Config!$B$10&amp;"; ","")&amp;IF(AND(Config!$B$11&lt;&gt;"",E219&lt;&gt;"Sim",E219&lt;&gt;"N/A"),Config!$B$11&amp;"; ","")&amp;IF(AND(Config!$B$12&lt;&gt;"",F219&lt;&gt;"Sim",F219&lt;&gt;"N/A"),Config!$B$12&amp;"; ","")&amp;IF(AND(Config!$B$13&lt;&gt;"",G219&lt;&gt;"Sim",G219&lt;&gt;"N/A"),Config!$B$13&amp;"; ","")&amp;IF(AND(Config!$B$14&lt;&gt;"",H219&lt;&gt;"Sim",H219&lt;&gt;"N/A"),Config!$B$14&amp;"; ","")&amp;IF(AND(Config!$B$15&lt;&gt;"",I219&lt;&gt;"Sim",I219&lt;&gt;"N/A"),Config!$B$15&amp;"; ","")&amp;IF(AND(Config!$B$16&lt;&gt;"",J219&lt;&gt;"Sim",J219&lt;&gt;"N/A"),Config!$B$16&amp;"; ","")&amp;IF(AND(Config!$B$17&lt;&gt;"",K219&lt;&gt;"Sim",K219&lt;&gt;"N/A"),Config!$B$17&amp;"; ","")&amp;IF(AND(Config!$D$10&lt;&gt;"",L219&lt;&gt;"Sim",L219&lt;&gt;"N/A"),Config!$D$10&amp;"; ","")&amp;IF(AND(Config!$D$11&lt;&gt;"",M219&lt;&gt;"Sim",M219&lt;&gt;"N/A"),Config!$D$11&amp;"; ","")&amp;IF(AND(Config!$D$12&lt;&gt;"",N219&lt;&gt;"Sim",N219&lt;&gt;"N/A"),Config!$D$12&amp;"; ","")&amp;IF(AND(Config!$D$13&lt;&gt;"",O219&lt;&gt;"Sim",O219&lt;&gt;"N/A"),Config!$D$13&amp;"; ","")&amp;IF(AND(Config!$D$14&lt;&gt;"",P219&lt;&gt;"Sim",P219&lt;&gt;"N/A"),Config!$D$14&amp;"; ","")&amp;IF(AND(Config!$D$15&lt;&gt;"",Q219&lt;&gt;"Sim",Q219&lt;&gt;"N/A"),Config!$D$15&amp;"; ","")&amp;IF(AND(Config!$D$16&lt;&gt;"",R219&lt;&gt;"Sim",R219&lt;&gt;"N/A"),Config!$D$16&amp;"; ","")&amp;IF(AND(Config!$D$17&lt;&gt;"",S219&lt;&gt;"Sim",S219&lt;&gt;"N/A"),Config!$D$17&amp;"; ",""))</f>
        <v/>
      </c>
      <c r="AB219" s="39">
        <f>IF(A219="",0,COUNTIF($A$5:$A$304,"&gt;"&amp;A219)+1)</f>
        <v>0</v>
      </c>
    </row>
    <row r="220">
      <c r="A220" s="37" t="n"/>
      <c r="B220" s="24">
        <f>IF(A220="","",CHOOSE(WEEKDAY(A220,2),"Segunda","Terça","Quarta","Quinta","Sexta","Sábado","Domingo"))</f>
        <v/>
      </c>
      <c r="C220" s="38" t="n"/>
      <c r="D220" s="38" t="n"/>
      <c r="E220" s="38" t="n"/>
      <c r="F220" s="38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26">
        <f>IF(A220="","",IFERROR(COUNTIF(D220:K220,"Sim")/(Config!$B$19-COUNTIF(D220:K220,"N/A")),""))</f>
        <v/>
      </c>
      <c r="U220" s="26">
        <f>IF(A220="","",IFERROR(COUNTIF(L220:S220,"Sim")/(Config!$D$19-COUNTIF(L220:S220,"N/A")),""))</f>
        <v/>
      </c>
      <c r="V220" s="24">
        <f>IF(A220="","",MAX(0,Config!$B$19-COUNTIF(D220:K220,"Sim")-COUNTIF(D220:K220,"N/A")))</f>
        <v/>
      </c>
      <c r="W220" s="24">
        <f>IF(A220="","",MAX(0,Config!$D$19-COUNTIF(L220:S220,"Sim")-COUNTIF(L220:S220,"N/A")))</f>
        <v/>
      </c>
      <c r="X220" s="24">
        <f>IF(A220="","",V220+W220)</f>
        <v/>
      </c>
      <c r="Y220" s="29">
        <f>IF(OR(A220="",AA220=""),"",LEFT(AA220,LEN(AA220)-2))</f>
        <v/>
      </c>
      <c r="Z220" s="39">
        <f>IF(OR(A220="",X220=0),0,X220*100000+A220/100000)</f>
        <v>0</v>
      </c>
      <c r="AA220" s="39">
        <f>IF(A220="","",IF(AND(Config!$B$10&lt;&gt;"",D220&lt;&gt;"Sim",D220&lt;&gt;"N/A"),Config!$B$10&amp;"; ","")&amp;IF(AND(Config!$B$11&lt;&gt;"",E220&lt;&gt;"Sim",E220&lt;&gt;"N/A"),Config!$B$11&amp;"; ","")&amp;IF(AND(Config!$B$12&lt;&gt;"",F220&lt;&gt;"Sim",F220&lt;&gt;"N/A"),Config!$B$12&amp;"; ","")&amp;IF(AND(Config!$B$13&lt;&gt;"",G220&lt;&gt;"Sim",G220&lt;&gt;"N/A"),Config!$B$13&amp;"; ","")&amp;IF(AND(Config!$B$14&lt;&gt;"",H220&lt;&gt;"Sim",H220&lt;&gt;"N/A"),Config!$B$14&amp;"; ","")&amp;IF(AND(Config!$B$15&lt;&gt;"",I220&lt;&gt;"Sim",I220&lt;&gt;"N/A"),Config!$B$15&amp;"; ","")&amp;IF(AND(Config!$B$16&lt;&gt;"",J220&lt;&gt;"Sim",J220&lt;&gt;"N/A"),Config!$B$16&amp;"; ","")&amp;IF(AND(Config!$B$17&lt;&gt;"",K220&lt;&gt;"Sim",K220&lt;&gt;"N/A"),Config!$B$17&amp;"; ","")&amp;IF(AND(Config!$D$10&lt;&gt;"",L220&lt;&gt;"Sim",L220&lt;&gt;"N/A"),Config!$D$10&amp;"; ","")&amp;IF(AND(Config!$D$11&lt;&gt;"",M220&lt;&gt;"Sim",M220&lt;&gt;"N/A"),Config!$D$11&amp;"; ","")&amp;IF(AND(Config!$D$12&lt;&gt;"",N220&lt;&gt;"Sim",N220&lt;&gt;"N/A"),Config!$D$12&amp;"; ","")&amp;IF(AND(Config!$D$13&lt;&gt;"",O220&lt;&gt;"Sim",O220&lt;&gt;"N/A"),Config!$D$13&amp;"; ","")&amp;IF(AND(Config!$D$14&lt;&gt;"",P220&lt;&gt;"Sim",P220&lt;&gt;"N/A"),Config!$D$14&amp;"; ","")&amp;IF(AND(Config!$D$15&lt;&gt;"",Q220&lt;&gt;"Sim",Q220&lt;&gt;"N/A"),Config!$D$15&amp;"; ","")&amp;IF(AND(Config!$D$16&lt;&gt;"",R220&lt;&gt;"Sim",R220&lt;&gt;"N/A"),Config!$D$16&amp;"; ","")&amp;IF(AND(Config!$D$17&lt;&gt;"",S220&lt;&gt;"Sim",S220&lt;&gt;"N/A"),Config!$D$17&amp;"; ",""))</f>
        <v/>
      </c>
      <c r="AB220" s="39">
        <f>IF(A220="",0,COUNTIF($A$5:$A$304,"&gt;"&amp;A220)+1)</f>
        <v>0</v>
      </c>
    </row>
    <row r="221">
      <c r="A221" s="37" t="n"/>
      <c r="B221" s="24">
        <f>IF(A221="","",CHOOSE(WEEKDAY(A221,2),"Segunda","Terça","Quarta","Quinta","Sexta","Sábado","Domingo"))</f>
        <v/>
      </c>
      <c r="C221" s="38" t="n"/>
      <c r="D221" s="38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26">
        <f>IF(A221="","",IFERROR(COUNTIF(D221:K221,"Sim")/(Config!$B$19-COUNTIF(D221:K221,"N/A")),""))</f>
        <v/>
      </c>
      <c r="U221" s="26">
        <f>IF(A221="","",IFERROR(COUNTIF(L221:S221,"Sim")/(Config!$D$19-COUNTIF(L221:S221,"N/A")),""))</f>
        <v/>
      </c>
      <c r="V221" s="24">
        <f>IF(A221="","",MAX(0,Config!$B$19-COUNTIF(D221:K221,"Sim")-COUNTIF(D221:K221,"N/A")))</f>
        <v/>
      </c>
      <c r="W221" s="24">
        <f>IF(A221="","",MAX(0,Config!$D$19-COUNTIF(L221:S221,"Sim")-COUNTIF(L221:S221,"N/A")))</f>
        <v/>
      </c>
      <c r="X221" s="24">
        <f>IF(A221="","",V221+W221)</f>
        <v/>
      </c>
      <c r="Y221" s="29">
        <f>IF(OR(A221="",AA221=""),"",LEFT(AA221,LEN(AA221)-2))</f>
        <v/>
      </c>
      <c r="Z221" s="39">
        <f>IF(OR(A221="",X221=0),0,X221*100000+A221/100000)</f>
        <v>0</v>
      </c>
      <c r="AA221" s="39">
        <f>IF(A221="","",IF(AND(Config!$B$10&lt;&gt;"",D221&lt;&gt;"Sim",D221&lt;&gt;"N/A"),Config!$B$10&amp;"; ","")&amp;IF(AND(Config!$B$11&lt;&gt;"",E221&lt;&gt;"Sim",E221&lt;&gt;"N/A"),Config!$B$11&amp;"; ","")&amp;IF(AND(Config!$B$12&lt;&gt;"",F221&lt;&gt;"Sim",F221&lt;&gt;"N/A"),Config!$B$12&amp;"; ","")&amp;IF(AND(Config!$B$13&lt;&gt;"",G221&lt;&gt;"Sim",G221&lt;&gt;"N/A"),Config!$B$13&amp;"; ","")&amp;IF(AND(Config!$B$14&lt;&gt;"",H221&lt;&gt;"Sim",H221&lt;&gt;"N/A"),Config!$B$14&amp;"; ","")&amp;IF(AND(Config!$B$15&lt;&gt;"",I221&lt;&gt;"Sim",I221&lt;&gt;"N/A"),Config!$B$15&amp;"; ","")&amp;IF(AND(Config!$B$16&lt;&gt;"",J221&lt;&gt;"Sim",J221&lt;&gt;"N/A"),Config!$B$16&amp;"; ","")&amp;IF(AND(Config!$B$17&lt;&gt;"",K221&lt;&gt;"Sim",K221&lt;&gt;"N/A"),Config!$B$17&amp;"; ","")&amp;IF(AND(Config!$D$10&lt;&gt;"",L221&lt;&gt;"Sim",L221&lt;&gt;"N/A"),Config!$D$10&amp;"; ","")&amp;IF(AND(Config!$D$11&lt;&gt;"",M221&lt;&gt;"Sim",M221&lt;&gt;"N/A"),Config!$D$11&amp;"; ","")&amp;IF(AND(Config!$D$12&lt;&gt;"",N221&lt;&gt;"Sim",N221&lt;&gt;"N/A"),Config!$D$12&amp;"; ","")&amp;IF(AND(Config!$D$13&lt;&gt;"",O221&lt;&gt;"Sim",O221&lt;&gt;"N/A"),Config!$D$13&amp;"; ","")&amp;IF(AND(Config!$D$14&lt;&gt;"",P221&lt;&gt;"Sim",P221&lt;&gt;"N/A"),Config!$D$14&amp;"; ","")&amp;IF(AND(Config!$D$15&lt;&gt;"",Q221&lt;&gt;"Sim",Q221&lt;&gt;"N/A"),Config!$D$15&amp;"; ","")&amp;IF(AND(Config!$D$16&lt;&gt;"",R221&lt;&gt;"Sim",R221&lt;&gt;"N/A"),Config!$D$16&amp;"; ","")&amp;IF(AND(Config!$D$17&lt;&gt;"",S221&lt;&gt;"Sim",S221&lt;&gt;"N/A"),Config!$D$17&amp;"; ",""))</f>
        <v/>
      </c>
      <c r="AB221" s="39">
        <f>IF(A221="",0,COUNTIF($A$5:$A$304,"&gt;"&amp;A221)+1)</f>
        <v>0</v>
      </c>
    </row>
    <row r="222">
      <c r="A222" s="37" t="n"/>
      <c r="B222" s="24">
        <f>IF(A222="","",CHOOSE(WEEKDAY(A222,2),"Segunda","Terça","Quarta","Quinta","Sexta","Sábado","Domingo"))</f>
        <v/>
      </c>
      <c r="C222" s="38" t="n"/>
      <c r="D222" s="38" t="n"/>
      <c r="E222" s="38" t="n"/>
      <c r="F222" s="38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26">
        <f>IF(A222="","",IFERROR(COUNTIF(D222:K222,"Sim")/(Config!$B$19-COUNTIF(D222:K222,"N/A")),""))</f>
        <v/>
      </c>
      <c r="U222" s="26">
        <f>IF(A222="","",IFERROR(COUNTIF(L222:S222,"Sim")/(Config!$D$19-COUNTIF(L222:S222,"N/A")),""))</f>
        <v/>
      </c>
      <c r="V222" s="24">
        <f>IF(A222="","",MAX(0,Config!$B$19-COUNTIF(D222:K222,"Sim")-COUNTIF(D222:K222,"N/A")))</f>
        <v/>
      </c>
      <c r="W222" s="24">
        <f>IF(A222="","",MAX(0,Config!$D$19-COUNTIF(L222:S222,"Sim")-COUNTIF(L222:S222,"N/A")))</f>
        <v/>
      </c>
      <c r="X222" s="24">
        <f>IF(A222="","",V222+W222)</f>
        <v/>
      </c>
      <c r="Y222" s="29">
        <f>IF(OR(A222="",AA222=""),"",LEFT(AA222,LEN(AA222)-2))</f>
        <v/>
      </c>
      <c r="Z222" s="39">
        <f>IF(OR(A222="",X222=0),0,X222*100000+A222/100000)</f>
        <v>0</v>
      </c>
      <c r="AA222" s="39">
        <f>IF(A222="","",IF(AND(Config!$B$10&lt;&gt;"",D222&lt;&gt;"Sim",D222&lt;&gt;"N/A"),Config!$B$10&amp;"; ","")&amp;IF(AND(Config!$B$11&lt;&gt;"",E222&lt;&gt;"Sim",E222&lt;&gt;"N/A"),Config!$B$11&amp;"; ","")&amp;IF(AND(Config!$B$12&lt;&gt;"",F222&lt;&gt;"Sim",F222&lt;&gt;"N/A"),Config!$B$12&amp;"; ","")&amp;IF(AND(Config!$B$13&lt;&gt;"",G222&lt;&gt;"Sim",G222&lt;&gt;"N/A"),Config!$B$13&amp;"; ","")&amp;IF(AND(Config!$B$14&lt;&gt;"",H222&lt;&gt;"Sim",H222&lt;&gt;"N/A"),Config!$B$14&amp;"; ","")&amp;IF(AND(Config!$B$15&lt;&gt;"",I222&lt;&gt;"Sim",I222&lt;&gt;"N/A"),Config!$B$15&amp;"; ","")&amp;IF(AND(Config!$B$16&lt;&gt;"",J222&lt;&gt;"Sim",J222&lt;&gt;"N/A"),Config!$B$16&amp;"; ","")&amp;IF(AND(Config!$B$17&lt;&gt;"",K222&lt;&gt;"Sim",K222&lt;&gt;"N/A"),Config!$B$17&amp;"; ","")&amp;IF(AND(Config!$D$10&lt;&gt;"",L222&lt;&gt;"Sim",L222&lt;&gt;"N/A"),Config!$D$10&amp;"; ","")&amp;IF(AND(Config!$D$11&lt;&gt;"",M222&lt;&gt;"Sim",M222&lt;&gt;"N/A"),Config!$D$11&amp;"; ","")&amp;IF(AND(Config!$D$12&lt;&gt;"",N222&lt;&gt;"Sim",N222&lt;&gt;"N/A"),Config!$D$12&amp;"; ","")&amp;IF(AND(Config!$D$13&lt;&gt;"",O222&lt;&gt;"Sim",O222&lt;&gt;"N/A"),Config!$D$13&amp;"; ","")&amp;IF(AND(Config!$D$14&lt;&gt;"",P222&lt;&gt;"Sim",P222&lt;&gt;"N/A"),Config!$D$14&amp;"; ","")&amp;IF(AND(Config!$D$15&lt;&gt;"",Q222&lt;&gt;"Sim",Q222&lt;&gt;"N/A"),Config!$D$15&amp;"; ","")&amp;IF(AND(Config!$D$16&lt;&gt;"",R222&lt;&gt;"Sim",R222&lt;&gt;"N/A"),Config!$D$16&amp;"; ","")&amp;IF(AND(Config!$D$17&lt;&gt;"",S222&lt;&gt;"Sim",S222&lt;&gt;"N/A"),Config!$D$17&amp;"; ",""))</f>
        <v/>
      </c>
      <c r="AB222" s="39">
        <f>IF(A222="",0,COUNTIF($A$5:$A$304,"&gt;"&amp;A222)+1)</f>
        <v>0</v>
      </c>
    </row>
    <row r="223">
      <c r="A223" s="37" t="n"/>
      <c r="B223" s="24">
        <f>IF(A223="","",CHOOSE(WEEKDAY(A223,2),"Segunda","Terça","Quarta","Quinta","Sexta","Sábado","Domingo"))</f>
        <v/>
      </c>
      <c r="C223" s="38" t="n"/>
      <c r="D223" s="38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26">
        <f>IF(A223="","",IFERROR(COUNTIF(D223:K223,"Sim")/(Config!$B$19-COUNTIF(D223:K223,"N/A")),""))</f>
        <v/>
      </c>
      <c r="U223" s="26">
        <f>IF(A223="","",IFERROR(COUNTIF(L223:S223,"Sim")/(Config!$D$19-COUNTIF(L223:S223,"N/A")),""))</f>
        <v/>
      </c>
      <c r="V223" s="24">
        <f>IF(A223="","",MAX(0,Config!$B$19-COUNTIF(D223:K223,"Sim")-COUNTIF(D223:K223,"N/A")))</f>
        <v/>
      </c>
      <c r="W223" s="24">
        <f>IF(A223="","",MAX(0,Config!$D$19-COUNTIF(L223:S223,"Sim")-COUNTIF(L223:S223,"N/A")))</f>
        <v/>
      </c>
      <c r="X223" s="24">
        <f>IF(A223="","",V223+W223)</f>
        <v/>
      </c>
      <c r="Y223" s="29">
        <f>IF(OR(A223="",AA223=""),"",LEFT(AA223,LEN(AA223)-2))</f>
        <v/>
      </c>
      <c r="Z223" s="39">
        <f>IF(OR(A223="",X223=0),0,X223*100000+A223/100000)</f>
        <v>0</v>
      </c>
      <c r="AA223" s="39">
        <f>IF(A223="","",IF(AND(Config!$B$10&lt;&gt;"",D223&lt;&gt;"Sim",D223&lt;&gt;"N/A"),Config!$B$10&amp;"; ","")&amp;IF(AND(Config!$B$11&lt;&gt;"",E223&lt;&gt;"Sim",E223&lt;&gt;"N/A"),Config!$B$11&amp;"; ","")&amp;IF(AND(Config!$B$12&lt;&gt;"",F223&lt;&gt;"Sim",F223&lt;&gt;"N/A"),Config!$B$12&amp;"; ","")&amp;IF(AND(Config!$B$13&lt;&gt;"",G223&lt;&gt;"Sim",G223&lt;&gt;"N/A"),Config!$B$13&amp;"; ","")&amp;IF(AND(Config!$B$14&lt;&gt;"",H223&lt;&gt;"Sim",H223&lt;&gt;"N/A"),Config!$B$14&amp;"; ","")&amp;IF(AND(Config!$B$15&lt;&gt;"",I223&lt;&gt;"Sim",I223&lt;&gt;"N/A"),Config!$B$15&amp;"; ","")&amp;IF(AND(Config!$B$16&lt;&gt;"",J223&lt;&gt;"Sim",J223&lt;&gt;"N/A"),Config!$B$16&amp;"; ","")&amp;IF(AND(Config!$B$17&lt;&gt;"",K223&lt;&gt;"Sim",K223&lt;&gt;"N/A"),Config!$B$17&amp;"; ","")&amp;IF(AND(Config!$D$10&lt;&gt;"",L223&lt;&gt;"Sim",L223&lt;&gt;"N/A"),Config!$D$10&amp;"; ","")&amp;IF(AND(Config!$D$11&lt;&gt;"",M223&lt;&gt;"Sim",M223&lt;&gt;"N/A"),Config!$D$11&amp;"; ","")&amp;IF(AND(Config!$D$12&lt;&gt;"",N223&lt;&gt;"Sim",N223&lt;&gt;"N/A"),Config!$D$12&amp;"; ","")&amp;IF(AND(Config!$D$13&lt;&gt;"",O223&lt;&gt;"Sim",O223&lt;&gt;"N/A"),Config!$D$13&amp;"; ","")&amp;IF(AND(Config!$D$14&lt;&gt;"",P223&lt;&gt;"Sim",P223&lt;&gt;"N/A"),Config!$D$14&amp;"; ","")&amp;IF(AND(Config!$D$15&lt;&gt;"",Q223&lt;&gt;"Sim",Q223&lt;&gt;"N/A"),Config!$D$15&amp;"; ","")&amp;IF(AND(Config!$D$16&lt;&gt;"",R223&lt;&gt;"Sim",R223&lt;&gt;"N/A"),Config!$D$16&amp;"; ","")&amp;IF(AND(Config!$D$17&lt;&gt;"",S223&lt;&gt;"Sim",S223&lt;&gt;"N/A"),Config!$D$17&amp;"; ",""))</f>
        <v/>
      </c>
      <c r="AB223" s="39">
        <f>IF(A223="",0,COUNTIF($A$5:$A$304,"&gt;"&amp;A223)+1)</f>
        <v>0</v>
      </c>
    </row>
    <row r="224">
      <c r="A224" s="37" t="n"/>
      <c r="B224" s="24">
        <f>IF(A224="","",CHOOSE(WEEKDAY(A224,2),"Segunda","Terça","Quarta","Quinta","Sexta","Sábado","Domingo"))</f>
        <v/>
      </c>
      <c r="C224" s="38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26">
        <f>IF(A224="","",IFERROR(COUNTIF(D224:K224,"Sim")/(Config!$B$19-COUNTIF(D224:K224,"N/A")),""))</f>
        <v/>
      </c>
      <c r="U224" s="26">
        <f>IF(A224="","",IFERROR(COUNTIF(L224:S224,"Sim")/(Config!$D$19-COUNTIF(L224:S224,"N/A")),""))</f>
        <v/>
      </c>
      <c r="V224" s="24">
        <f>IF(A224="","",MAX(0,Config!$B$19-COUNTIF(D224:K224,"Sim")-COUNTIF(D224:K224,"N/A")))</f>
        <v/>
      </c>
      <c r="W224" s="24">
        <f>IF(A224="","",MAX(0,Config!$D$19-COUNTIF(L224:S224,"Sim")-COUNTIF(L224:S224,"N/A")))</f>
        <v/>
      </c>
      <c r="X224" s="24">
        <f>IF(A224="","",V224+W224)</f>
        <v/>
      </c>
      <c r="Y224" s="29">
        <f>IF(OR(A224="",AA224=""),"",LEFT(AA224,LEN(AA224)-2))</f>
        <v/>
      </c>
      <c r="Z224" s="39">
        <f>IF(OR(A224="",X224=0),0,X224*100000+A224/100000)</f>
        <v>0</v>
      </c>
      <c r="AA224" s="39">
        <f>IF(A224="","",IF(AND(Config!$B$10&lt;&gt;"",D224&lt;&gt;"Sim",D224&lt;&gt;"N/A"),Config!$B$10&amp;"; ","")&amp;IF(AND(Config!$B$11&lt;&gt;"",E224&lt;&gt;"Sim",E224&lt;&gt;"N/A"),Config!$B$11&amp;"; ","")&amp;IF(AND(Config!$B$12&lt;&gt;"",F224&lt;&gt;"Sim",F224&lt;&gt;"N/A"),Config!$B$12&amp;"; ","")&amp;IF(AND(Config!$B$13&lt;&gt;"",G224&lt;&gt;"Sim",G224&lt;&gt;"N/A"),Config!$B$13&amp;"; ","")&amp;IF(AND(Config!$B$14&lt;&gt;"",H224&lt;&gt;"Sim",H224&lt;&gt;"N/A"),Config!$B$14&amp;"; ","")&amp;IF(AND(Config!$B$15&lt;&gt;"",I224&lt;&gt;"Sim",I224&lt;&gt;"N/A"),Config!$B$15&amp;"; ","")&amp;IF(AND(Config!$B$16&lt;&gt;"",J224&lt;&gt;"Sim",J224&lt;&gt;"N/A"),Config!$B$16&amp;"; ","")&amp;IF(AND(Config!$B$17&lt;&gt;"",K224&lt;&gt;"Sim",K224&lt;&gt;"N/A"),Config!$B$17&amp;"; ","")&amp;IF(AND(Config!$D$10&lt;&gt;"",L224&lt;&gt;"Sim",L224&lt;&gt;"N/A"),Config!$D$10&amp;"; ","")&amp;IF(AND(Config!$D$11&lt;&gt;"",M224&lt;&gt;"Sim",M224&lt;&gt;"N/A"),Config!$D$11&amp;"; ","")&amp;IF(AND(Config!$D$12&lt;&gt;"",N224&lt;&gt;"Sim",N224&lt;&gt;"N/A"),Config!$D$12&amp;"; ","")&amp;IF(AND(Config!$D$13&lt;&gt;"",O224&lt;&gt;"Sim",O224&lt;&gt;"N/A"),Config!$D$13&amp;"; ","")&amp;IF(AND(Config!$D$14&lt;&gt;"",P224&lt;&gt;"Sim",P224&lt;&gt;"N/A"),Config!$D$14&amp;"; ","")&amp;IF(AND(Config!$D$15&lt;&gt;"",Q224&lt;&gt;"Sim",Q224&lt;&gt;"N/A"),Config!$D$15&amp;"; ","")&amp;IF(AND(Config!$D$16&lt;&gt;"",R224&lt;&gt;"Sim",R224&lt;&gt;"N/A"),Config!$D$16&amp;"; ","")&amp;IF(AND(Config!$D$17&lt;&gt;"",S224&lt;&gt;"Sim",S224&lt;&gt;"N/A"),Config!$D$17&amp;"; ",""))</f>
        <v/>
      </c>
      <c r="AB224" s="39">
        <f>IF(A224="",0,COUNTIF($A$5:$A$304,"&gt;"&amp;A224)+1)</f>
        <v>0</v>
      </c>
    </row>
    <row r="225">
      <c r="A225" s="37" t="n"/>
      <c r="B225" s="24">
        <f>IF(A225="","",CHOOSE(WEEKDAY(A225,2),"Segunda","Terça","Quarta","Quinta","Sexta","Sábado","Domingo"))</f>
        <v/>
      </c>
      <c r="C225" s="38" t="n"/>
      <c r="D225" s="38" t="n"/>
      <c r="E225" s="38" t="n"/>
      <c r="F225" s="38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26">
        <f>IF(A225="","",IFERROR(COUNTIF(D225:K225,"Sim")/(Config!$B$19-COUNTIF(D225:K225,"N/A")),""))</f>
        <v/>
      </c>
      <c r="U225" s="26">
        <f>IF(A225="","",IFERROR(COUNTIF(L225:S225,"Sim")/(Config!$D$19-COUNTIF(L225:S225,"N/A")),""))</f>
        <v/>
      </c>
      <c r="V225" s="24">
        <f>IF(A225="","",MAX(0,Config!$B$19-COUNTIF(D225:K225,"Sim")-COUNTIF(D225:K225,"N/A")))</f>
        <v/>
      </c>
      <c r="W225" s="24">
        <f>IF(A225="","",MAX(0,Config!$D$19-COUNTIF(L225:S225,"Sim")-COUNTIF(L225:S225,"N/A")))</f>
        <v/>
      </c>
      <c r="X225" s="24">
        <f>IF(A225="","",V225+W225)</f>
        <v/>
      </c>
      <c r="Y225" s="29">
        <f>IF(OR(A225="",AA225=""),"",LEFT(AA225,LEN(AA225)-2))</f>
        <v/>
      </c>
      <c r="Z225" s="39">
        <f>IF(OR(A225="",X225=0),0,X225*100000+A225/100000)</f>
        <v>0</v>
      </c>
      <c r="AA225" s="39">
        <f>IF(A225="","",IF(AND(Config!$B$10&lt;&gt;"",D225&lt;&gt;"Sim",D225&lt;&gt;"N/A"),Config!$B$10&amp;"; ","")&amp;IF(AND(Config!$B$11&lt;&gt;"",E225&lt;&gt;"Sim",E225&lt;&gt;"N/A"),Config!$B$11&amp;"; ","")&amp;IF(AND(Config!$B$12&lt;&gt;"",F225&lt;&gt;"Sim",F225&lt;&gt;"N/A"),Config!$B$12&amp;"; ","")&amp;IF(AND(Config!$B$13&lt;&gt;"",G225&lt;&gt;"Sim",G225&lt;&gt;"N/A"),Config!$B$13&amp;"; ","")&amp;IF(AND(Config!$B$14&lt;&gt;"",H225&lt;&gt;"Sim",H225&lt;&gt;"N/A"),Config!$B$14&amp;"; ","")&amp;IF(AND(Config!$B$15&lt;&gt;"",I225&lt;&gt;"Sim",I225&lt;&gt;"N/A"),Config!$B$15&amp;"; ","")&amp;IF(AND(Config!$B$16&lt;&gt;"",J225&lt;&gt;"Sim",J225&lt;&gt;"N/A"),Config!$B$16&amp;"; ","")&amp;IF(AND(Config!$B$17&lt;&gt;"",K225&lt;&gt;"Sim",K225&lt;&gt;"N/A"),Config!$B$17&amp;"; ","")&amp;IF(AND(Config!$D$10&lt;&gt;"",L225&lt;&gt;"Sim",L225&lt;&gt;"N/A"),Config!$D$10&amp;"; ","")&amp;IF(AND(Config!$D$11&lt;&gt;"",M225&lt;&gt;"Sim",M225&lt;&gt;"N/A"),Config!$D$11&amp;"; ","")&amp;IF(AND(Config!$D$12&lt;&gt;"",N225&lt;&gt;"Sim",N225&lt;&gt;"N/A"),Config!$D$12&amp;"; ","")&amp;IF(AND(Config!$D$13&lt;&gt;"",O225&lt;&gt;"Sim",O225&lt;&gt;"N/A"),Config!$D$13&amp;"; ","")&amp;IF(AND(Config!$D$14&lt;&gt;"",P225&lt;&gt;"Sim",P225&lt;&gt;"N/A"),Config!$D$14&amp;"; ","")&amp;IF(AND(Config!$D$15&lt;&gt;"",Q225&lt;&gt;"Sim",Q225&lt;&gt;"N/A"),Config!$D$15&amp;"; ","")&amp;IF(AND(Config!$D$16&lt;&gt;"",R225&lt;&gt;"Sim",R225&lt;&gt;"N/A"),Config!$D$16&amp;"; ","")&amp;IF(AND(Config!$D$17&lt;&gt;"",S225&lt;&gt;"Sim",S225&lt;&gt;"N/A"),Config!$D$17&amp;"; ",""))</f>
        <v/>
      </c>
      <c r="AB225" s="39">
        <f>IF(A225="",0,COUNTIF($A$5:$A$304,"&gt;"&amp;A225)+1)</f>
        <v>0</v>
      </c>
    </row>
    <row r="226">
      <c r="A226" s="37" t="n"/>
      <c r="B226" s="24">
        <f>IF(A226="","",CHOOSE(WEEKDAY(A226,2),"Segunda","Terça","Quarta","Quinta","Sexta","Sábado","Domingo"))</f>
        <v/>
      </c>
      <c r="C226" s="38" t="n"/>
      <c r="D226" s="38" t="n"/>
      <c r="E226" s="38" t="n"/>
      <c r="F226" s="38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26">
        <f>IF(A226="","",IFERROR(COUNTIF(D226:K226,"Sim")/(Config!$B$19-COUNTIF(D226:K226,"N/A")),""))</f>
        <v/>
      </c>
      <c r="U226" s="26">
        <f>IF(A226="","",IFERROR(COUNTIF(L226:S226,"Sim")/(Config!$D$19-COUNTIF(L226:S226,"N/A")),""))</f>
        <v/>
      </c>
      <c r="V226" s="24">
        <f>IF(A226="","",MAX(0,Config!$B$19-COUNTIF(D226:K226,"Sim")-COUNTIF(D226:K226,"N/A")))</f>
        <v/>
      </c>
      <c r="W226" s="24">
        <f>IF(A226="","",MAX(0,Config!$D$19-COUNTIF(L226:S226,"Sim")-COUNTIF(L226:S226,"N/A")))</f>
        <v/>
      </c>
      <c r="X226" s="24">
        <f>IF(A226="","",V226+W226)</f>
        <v/>
      </c>
      <c r="Y226" s="29">
        <f>IF(OR(A226="",AA226=""),"",LEFT(AA226,LEN(AA226)-2))</f>
        <v/>
      </c>
      <c r="Z226" s="39">
        <f>IF(OR(A226="",X226=0),0,X226*100000+A226/100000)</f>
        <v>0</v>
      </c>
      <c r="AA226" s="39">
        <f>IF(A226="","",IF(AND(Config!$B$10&lt;&gt;"",D226&lt;&gt;"Sim",D226&lt;&gt;"N/A"),Config!$B$10&amp;"; ","")&amp;IF(AND(Config!$B$11&lt;&gt;"",E226&lt;&gt;"Sim",E226&lt;&gt;"N/A"),Config!$B$11&amp;"; ","")&amp;IF(AND(Config!$B$12&lt;&gt;"",F226&lt;&gt;"Sim",F226&lt;&gt;"N/A"),Config!$B$12&amp;"; ","")&amp;IF(AND(Config!$B$13&lt;&gt;"",G226&lt;&gt;"Sim",G226&lt;&gt;"N/A"),Config!$B$13&amp;"; ","")&amp;IF(AND(Config!$B$14&lt;&gt;"",H226&lt;&gt;"Sim",H226&lt;&gt;"N/A"),Config!$B$14&amp;"; ","")&amp;IF(AND(Config!$B$15&lt;&gt;"",I226&lt;&gt;"Sim",I226&lt;&gt;"N/A"),Config!$B$15&amp;"; ","")&amp;IF(AND(Config!$B$16&lt;&gt;"",J226&lt;&gt;"Sim",J226&lt;&gt;"N/A"),Config!$B$16&amp;"; ","")&amp;IF(AND(Config!$B$17&lt;&gt;"",K226&lt;&gt;"Sim",K226&lt;&gt;"N/A"),Config!$B$17&amp;"; ","")&amp;IF(AND(Config!$D$10&lt;&gt;"",L226&lt;&gt;"Sim",L226&lt;&gt;"N/A"),Config!$D$10&amp;"; ","")&amp;IF(AND(Config!$D$11&lt;&gt;"",M226&lt;&gt;"Sim",M226&lt;&gt;"N/A"),Config!$D$11&amp;"; ","")&amp;IF(AND(Config!$D$12&lt;&gt;"",N226&lt;&gt;"Sim",N226&lt;&gt;"N/A"),Config!$D$12&amp;"; ","")&amp;IF(AND(Config!$D$13&lt;&gt;"",O226&lt;&gt;"Sim",O226&lt;&gt;"N/A"),Config!$D$13&amp;"; ","")&amp;IF(AND(Config!$D$14&lt;&gt;"",P226&lt;&gt;"Sim",P226&lt;&gt;"N/A"),Config!$D$14&amp;"; ","")&amp;IF(AND(Config!$D$15&lt;&gt;"",Q226&lt;&gt;"Sim",Q226&lt;&gt;"N/A"),Config!$D$15&amp;"; ","")&amp;IF(AND(Config!$D$16&lt;&gt;"",R226&lt;&gt;"Sim",R226&lt;&gt;"N/A"),Config!$D$16&amp;"; ","")&amp;IF(AND(Config!$D$17&lt;&gt;"",S226&lt;&gt;"Sim",S226&lt;&gt;"N/A"),Config!$D$17&amp;"; ",""))</f>
        <v/>
      </c>
      <c r="AB226" s="39">
        <f>IF(A226="",0,COUNTIF($A$5:$A$304,"&gt;"&amp;A226)+1)</f>
        <v>0</v>
      </c>
    </row>
    <row r="227">
      <c r="A227" s="37" t="n"/>
      <c r="B227" s="24">
        <f>IF(A227="","",CHOOSE(WEEKDAY(A227,2),"Segunda","Terça","Quarta","Quinta","Sexta","Sábado","Domingo"))</f>
        <v/>
      </c>
      <c r="C227" s="38" t="n"/>
      <c r="D227" s="38" t="n"/>
      <c r="E227" s="38" t="n"/>
      <c r="F227" s="38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26">
        <f>IF(A227="","",IFERROR(COUNTIF(D227:K227,"Sim")/(Config!$B$19-COUNTIF(D227:K227,"N/A")),""))</f>
        <v/>
      </c>
      <c r="U227" s="26">
        <f>IF(A227="","",IFERROR(COUNTIF(L227:S227,"Sim")/(Config!$D$19-COUNTIF(L227:S227,"N/A")),""))</f>
        <v/>
      </c>
      <c r="V227" s="24">
        <f>IF(A227="","",MAX(0,Config!$B$19-COUNTIF(D227:K227,"Sim")-COUNTIF(D227:K227,"N/A")))</f>
        <v/>
      </c>
      <c r="W227" s="24">
        <f>IF(A227="","",MAX(0,Config!$D$19-COUNTIF(L227:S227,"Sim")-COUNTIF(L227:S227,"N/A")))</f>
        <v/>
      </c>
      <c r="X227" s="24">
        <f>IF(A227="","",V227+W227)</f>
        <v/>
      </c>
      <c r="Y227" s="29">
        <f>IF(OR(A227="",AA227=""),"",LEFT(AA227,LEN(AA227)-2))</f>
        <v/>
      </c>
      <c r="Z227" s="39">
        <f>IF(OR(A227="",X227=0),0,X227*100000+A227/100000)</f>
        <v>0</v>
      </c>
      <c r="AA227" s="39">
        <f>IF(A227="","",IF(AND(Config!$B$10&lt;&gt;"",D227&lt;&gt;"Sim",D227&lt;&gt;"N/A"),Config!$B$10&amp;"; ","")&amp;IF(AND(Config!$B$11&lt;&gt;"",E227&lt;&gt;"Sim",E227&lt;&gt;"N/A"),Config!$B$11&amp;"; ","")&amp;IF(AND(Config!$B$12&lt;&gt;"",F227&lt;&gt;"Sim",F227&lt;&gt;"N/A"),Config!$B$12&amp;"; ","")&amp;IF(AND(Config!$B$13&lt;&gt;"",G227&lt;&gt;"Sim",G227&lt;&gt;"N/A"),Config!$B$13&amp;"; ","")&amp;IF(AND(Config!$B$14&lt;&gt;"",H227&lt;&gt;"Sim",H227&lt;&gt;"N/A"),Config!$B$14&amp;"; ","")&amp;IF(AND(Config!$B$15&lt;&gt;"",I227&lt;&gt;"Sim",I227&lt;&gt;"N/A"),Config!$B$15&amp;"; ","")&amp;IF(AND(Config!$B$16&lt;&gt;"",J227&lt;&gt;"Sim",J227&lt;&gt;"N/A"),Config!$B$16&amp;"; ","")&amp;IF(AND(Config!$B$17&lt;&gt;"",K227&lt;&gt;"Sim",K227&lt;&gt;"N/A"),Config!$B$17&amp;"; ","")&amp;IF(AND(Config!$D$10&lt;&gt;"",L227&lt;&gt;"Sim",L227&lt;&gt;"N/A"),Config!$D$10&amp;"; ","")&amp;IF(AND(Config!$D$11&lt;&gt;"",M227&lt;&gt;"Sim",M227&lt;&gt;"N/A"),Config!$D$11&amp;"; ","")&amp;IF(AND(Config!$D$12&lt;&gt;"",N227&lt;&gt;"Sim",N227&lt;&gt;"N/A"),Config!$D$12&amp;"; ","")&amp;IF(AND(Config!$D$13&lt;&gt;"",O227&lt;&gt;"Sim",O227&lt;&gt;"N/A"),Config!$D$13&amp;"; ","")&amp;IF(AND(Config!$D$14&lt;&gt;"",P227&lt;&gt;"Sim",P227&lt;&gt;"N/A"),Config!$D$14&amp;"; ","")&amp;IF(AND(Config!$D$15&lt;&gt;"",Q227&lt;&gt;"Sim",Q227&lt;&gt;"N/A"),Config!$D$15&amp;"; ","")&amp;IF(AND(Config!$D$16&lt;&gt;"",R227&lt;&gt;"Sim",R227&lt;&gt;"N/A"),Config!$D$16&amp;"; ","")&amp;IF(AND(Config!$D$17&lt;&gt;"",S227&lt;&gt;"Sim",S227&lt;&gt;"N/A"),Config!$D$17&amp;"; ",""))</f>
        <v/>
      </c>
      <c r="AB227" s="39">
        <f>IF(A227="",0,COUNTIF($A$5:$A$304,"&gt;"&amp;A227)+1)</f>
        <v>0</v>
      </c>
    </row>
    <row r="228">
      <c r="A228" s="37" t="n"/>
      <c r="B228" s="24">
        <f>IF(A228="","",CHOOSE(WEEKDAY(A228,2),"Segunda","Terça","Quarta","Quinta","Sexta","Sábado","Domingo"))</f>
        <v/>
      </c>
      <c r="C228" s="38" t="n"/>
      <c r="D228" s="38" t="n"/>
      <c r="E228" s="38" t="n"/>
      <c r="F228" s="38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26">
        <f>IF(A228="","",IFERROR(COUNTIF(D228:K228,"Sim")/(Config!$B$19-COUNTIF(D228:K228,"N/A")),""))</f>
        <v/>
      </c>
      <c r="U228" s="26">
        <f>IF(A228="","",IFERROR(COUNTIF(L228:S228,"Sim")/(Config!$D$19-COUNTIF(L228:S228,"N/A")),""))</f>
        <v/>
      </c>
      <c r="V228" s="24">
        <f>IF(A228="","",MAX(0,Config!$B$19-COUNTIF(D228:K228,"Sim")-COUNTIF(D228:K228,"N/A")))</f>
        <v/>
      </c>
      <c r="W228" s="24">
        <f>IF(A228="","",MAX(0,Config!$D$19-COUNTIF(L228:S228,"Sim")-COUNTIF(L228:S228,"N/A")))</f>
        <v/>
      </c>
      <c r="X228" s="24">
        <f>IF(A228="","",V228+W228)</f>
        <v/>
      </c>
      <c r="Y228" s="29">
        <f>IF(OR(A228="",AA228=""),"",LEFT(AA228,LEN(AA228)-2))</f>
        <v/>
      </c>
      <c r="Z228" s="39">
        <f>IF(OR(A228="",X228=0),0,X228*100000+A228/100000)</f>
        <v>0</v>
      </c>
      <c r="AA228" s="39">
        <f>IF(A228="","",IF(AND(Config!$B$10&lt;&gt;"",D228&lt;&gt;"Sim",D228&lt;&gt;"N/A"),Config!$B$10&amp;"; ","")&amp;IF(AND(Config!$B$11&lt;&gt;"",E228&lt;&gt;"Sim",E228&lt;&gt;"N/A"),Config!$B$11&amp;"; ","")&amp;IF(AND(Config!$B$12&lt;&gt;"",F228&lt;&gt;"Sim",F228&lt;&gt;"N/A"),Config!$B$12&amp;"; ","")&amp;IF(AND(Config!$B$13&lt;&gt;"",G228&lt;&gt;"Sim",G228&lt;&gt;"N/A"),Config!$B$13&amp;"; ","")&amp;IF(AND(Config!$B$14&lt;&gt;"",H228&lt;&gt;"Sim",H228&lt;&gt;"N/A"),Config!$B$14&amp;"; ","")&amp;IF(AND(Config!$B$15&lt;&gt;"",I228&lt;&gt;"Sim",I228&lt;&gt;"N/A"),Config!$B$15&amp;"; ","")&amp;IF(AND(Config!$B$16&lt;&gt;"",J228&lt;&gt;"Sim",J228&lt;&gt;"N/A"),Config!$B$16&amp;"; ","")&amp;IF(AND(Config!$B$17&lt;&gt;"",K228&lt;&gt;"Sim",K228&lt;&gt;"N/A"),Config!$B$17&amp;"; ","")&amp;IF(AND(Config!$D$10&lt;&gt;"",L228&lt;&gt;"Sim",L228&lt;&gt;"N/A"),Config!$D$10&amp;"; ","")&amp;IF(AND(Config!$D$11&lt;&gt;"",M228&lt;&gt;"Sim",M228&lt;&gt;"N/A"),Config!$D$11&amp;"; ","")&amp;IF(AND(Config!$D$12&lt;&gt;"",N228&lt;&gt;"Sim",N228&lt;&gt;"N/A"),Config!$D$12&amp;"; ","")&amp;IF(AND(Config!$D$13&lt;&gt;"",O228&lt;&gt;"Sim",O228&lt;&gt;"N/A"),Config!$D$13&amp;"; ","")&amp;IF(AND(Config!$D$14&lt;&gt;"",P228&lt;&gt;"Sim",P228&lt;&gt;"N/A"),Config!$D$14&amp;"; ","")&amp;IF(AND(Config!$D$15&lt;&gt;"",Q228&lt;&gt;"Sim",Q228&lt;&gt;"N/A"),Config!$D$15&amp;"; ","")&amp;IF(AND(Config!$D$16&lt;&gt;"",R228&lt;&gt;"Sim",R228&lt;&gt;"N/A"),Config!$D$16&amp;"; ","")&amp;IF(AND(Config!$D$17&lt;&gt;"",S228&lt;&gt;"Sim",S228&lt;&gt;"N/A"),Config!$D$17&amp;"; ",""))</f>
        <v/>
      </c>
      <c r="AB228" s="39">
        <f>IF(A228="",0,COUNTIF($A$5:$A$304,"&gt;"&amp;A228)+1)</f>
        <v>0</v>
      </c>
    </row>
    <row r="229">
      <c r="A229" s="37" t="n"/>
      <c r="B229" s="24">
        <f>IF(A229="","",CHOOSE(WEEKDAY(A229,2),"Segunda","Terça","Quarta","Quinta","Sexta","Sábado","Domingo"))</f>
        <v/>
      </c>
      <c r="C229" s="38" t="n"/>
      <c r="D229" s="38" t="n"/>
      <c r="E229" s="38" t="n"/>
      <c r="F229" s="38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26">
        <f>IF(A229="","",IFERROR(COUNTIF(D229:K229,"Sim")/(Config!$B$19-COUNTIF(D229:K229,"N/A")),""))</f>
        <v/>
      </c>
      <c r="U229" s="26">
        <f>IF(A229="","",IFERROR(COUNTIF(L229:S229,"Sim")/(Config!$D$19-COUNTIF(L229:S229,"N/A")),""))</f>
        <v/>
      </c>
      <c r="V229" s="24">
        <f>IF(A229="","",MAX(0,Config!$B$19-COUNTIF(D229:K229,"Sim")-COUNTIF(D229:K229,"N/A")))</f>
        <v/>
      </c>
      <c r="W229" s="24">
        <f>IF(A229="","",MAX(0,Config!$D$19-COUNTIF(L229:S229,"Sim")-COUNTIF(L229:S229,"N/A")))</f>
        <v/>
      </c>
      <c r="X229" s="24">
        <f>IF(A229="","",V229+W229)</f>
        <v/>
      </c>
      <c r="Y229" s="29">
        <f>IF(OR(A229="",AA229=""),"",LEFT(AA229,LEN(AA229)-2))</f>
        <v/>
      </c>
      <c r="Z229" s="39">
        <f>IF(OR(A229="",X229=0),0,X229*100000+A229/100000)</f>
        <v>0</v>
      </c>
      <c r="AA229" s="39">
        <f>IF(A229="","",IF(AND(Config!$B$10&lt;&gt;"",D229&lt;&gt;"Sim",D229&lt;&gt;"N/A"),Config!$B$10&amp;"; ","")&amp;IF(AND(Config!$B$11&lt;&gt;"",E229&lt;&gt;"Sim",E229&lt;&gt;"N/A"),Config!$B$11&amp;"; ","")&amp;IF(AND(Config!$B$12&lt;&gt;"",F229&lt;&gt;"Sim",F229&lt;&gt;"N/A"),Config!$B$12&amp;"; ","")&amp;IF(AND(Config!$B$13&lt;&gt;"",G229&lt;&gt;"Sim",G229&lt;&gt;"N/A"),Config!$B$13&amp;"; ","")&amp;IF(AND(Config!$B$14&lt;&gt;"",H229&lt;&gt;"Sim",H229&lt;&gt;"N/A"),Config!$B$14&amp;"; ","")&amp;IF(AND(Config!$B$15&lt;&gt;"",I229&lt;&gt;"Sim",I229&lt;&gt;"N/A"),Config!$B$15&amp;"; ","")&amp;IF(AND(Config!$B$16&lt;&gt;"",J229&lt;&gt;"Sim",J229&lt;&gt;"N/A"),Config!$B$16&amp;"; ","")&amp;IF(AND(Config!$B$17&lt;&gt;"",K229&lt;&gt;"Sim",K229&lt;&gt;"N/A"),Config!$B$17&amp;"; ","")&amp;IF(AND(Config!$D$10&lt;&gt;"",L229&lt;&gt;"Sim",L229&lt;&gt;"N/A"),Config!$D$10&amp;"; ","")&amp;IF(AND(Config!$D$11&lt;&gt;"",M229&lt;&gt;"Sim",M229&lt;&gt;"N/A"),Config!$D$11&amp;"; ","")&amp;IF(AND(Config!$D$12&lt;&gt;"",N229&lt;&gt;"Sim",N229&lt;&gt;"N/A"),Config!$D$12&amp;"; ","")&amp;IF(AND(Config!$D$13&lt;&gt;"",O229&lt;&gt;"Sim",O229&lt;&gt;"N/A"),Config!$D$13&amp;"; ","")&amp;IF(AND(Config!$D$14&lt;&gt;"",P229&lt;&gt;"Sim",P229&lt;&gt;"N/A"),Config!$D$14&amp;"; ","")&amp;IF(AND(Config!$D$15&lt;&gt;"",Q229&lt;&gt;"Sim",Q229&lt;&gt;"N/A"),Config!$D$15&amp;"; ","")&amp;IF(AND(Config!$D$16&lt;&gt;"",R229&lt;&gt;"Sim",R229&lt;&gt;"N/A"),Config!$D$16&amp;"; ","")&amp;IF(AND(Config!$D$17&lt;&gt;"",S229&lt;&gt;"Sim",S229&lt;&gt;"N/A"),Config!$D$17&amp;"; ",""))</f>
        <v/>
      </c>
      <c r="AB229" s="39">
        <f>IF(A229="",0,COUNTIF($A$5:$A$304,"&gt;"&amp;A229)+1)</f>
        <v>0</v>
      </c>
    </row>
    <row r="230">
      <c r="A230" s="37" t="n"/>
      <c r="B230" s="24">
        <f>IF(A230="","",CHOOSE(WEEKDAY(A230,2),"Segunda","Terça","Quarta","Quinta","Sexta","Sábado","Domingo"))</f>
        <v/>
      </c>
      <c r="C230" s="38" t="n"/>
      <c r="D230" s="38" t="n"/>
      <c r="E230" s="38" t="n"/>
      <c r="F230" s="38" t="n"/>
      <c r="G230" s="38" t="n"/>
      <c r="H230" s="38" t="n"/>
      <c r="I230" s="38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26">
        <f>IF(A230="","",IFERROR(COUNTIF(D230:K230,"Sim")/(Config!$B$19-COUNTIF(D230:K230,"N/A")),""))</f>
        <v/>
      </c>
      <c r="U230" s="26">
        <f>IF(A230="","",IFERROR(COUNTIF(L230:S230,"Sim")/(Config!$D$19-COUNTIF(L230:S230,"N/A")),""))</f>
        <v/>
      </c>
      <c r="V230" s="24">
        <f>IF(A230="","",MAX(0,Config!$B$19-COUNTIF(D230:K230,"Sim")-COUNTIF(D230:K230,"N/A")))</f>
        <v/>
      </c>
      <c r="W230" s="24">
        <f>IF(A230="","",MAX(0,Config!$D$19-COUNTIF(L230:S230,"Sim")-COUNTIF(L230:S230,"N/A")))</f>
        <v/>
      </c>
      <c r="X230" s="24">
        <f>IF(A230="","",V230+W230)</f>
        <v/>
      </c>
      <c r="Y230" s="29">
        <f>IF(OR(A230="",AA230=""),"",LEFT(AA230,LEN(AA230)-2))</f>
        <v/>
      </c>
      <c r="Z230" s="39">
        <f>IF(OR(A230="",X230=0),0,X230*100000+A230/100000)</f>
        <v>0</v>
      </c>
      <c r="AA230" s="39">
        <f>IF(A230="","",IF(AND(Config!$B$10&lt;&gt;"",D230&lt;&gt;"Sim",D230&lt;&gt;"N/A"),Config!$B$10&amp;"; ","")&amp;IF(AND(Config!$B$11&lt;&gt;"",E230&lt;&gt;"Sim",E230&lt;&gt;"N/A"),Config!$B$11&amp;"; ","")&amp;IF(AND(Config!$B$12&lt;&gt;"",F230&lt;&gt;"Sim",F230&lt;&gt;"N/A"),Config!$B$12&amp;"; ","")&amp;IF(AND(Config!$B$13&lt;&gt;"",G230&lt;&gt;"Sim",G230&lt;&gt;"N/A"),Config!$B$13&amp;"; ","")&amp;IF(AND(Config!$B$14&lt;&gt;"",H230&lt;&gt;"Sim",H230&lt;&gt;"N/A"),Config!$B$14&amp;"; ","")&amp;IF(AND(Config!$B$15&lt;&gt;"",I230&lt;&gt;"Sim",I230&lt;&gt;"N/A"),Config!$B$15&amp;"; ","")&amp;IF(AND(Config!$B$16&lt;&gt;"",J230&lt;&gt;"Sim",J230&lt;&gt;"N/A"),Config!$B$16&amp;"; ","")&amp;IF(AND(Config!$B$17&lt;&gt;"",K230&lt;&gt;"Sim",K230&lt;&gt;"N/A"),Config!$B$17&amp;"; ","")&amp;IF(AND(Config!$D$10&lt;&gt;"",L230&lt;&gt;"Sim",L230&lt;&gt;"N/A"),Config!$D$10&amp;"; ","")&amp;IF(AND(Config!$D$11&lt;&gt;"",M230&lt;&gt;"Sim",M230&lt;&gt;"N/A"),Config!$D$11&amp;"; ","")&amp;IF(AND(Config!$D$12&lt;&gt;"",N230&lt;&gt;"Sim",N230&lt;&gt;"N/A"),Config!$D$12&amp;"; ","")&amp;IF(AND(Config!$D$13&lt;&gt;"",O230&lt;&gt;"Sim",O230&lt;&gt;"N/A"),Config!$D$13&amp;"; ","")&amp;IF(AND(Config!$D$14&lt;&gt;"",P230&lt;&gt;"Sim",P230&lt;&gt;"N/A"),Config!$D$14&amp;"; ","")&amp;IF(AND(Config!$D$15&lt;&gt;"",Q230&lt;&gt;"Sim",Q230&lt;&gt;"N/A"),Config!$D$15&amp;"; ","")&amp;IF(AND(Config!$D$16&lt;&gt;"",R230&lt;&gt;"Sim",R230&lt;&gt;"N/A"),Config!$D$16&amp;"; ","")&amp;IF(AND(Config!$D$17&lt;&gt;"",S230&lt;&gt;"Sim",S230&lt;&gt;"N/A"),Config!$D$17&amp;"; ",""))</f>
        <v/>
      </c>
      <c r="AB230" s="39">
        <f>IF(A230="",0,COUNTIF($A$5:$A$304,"&gt;"&amp;A230)+1)</f>
        <v>0</v>
      </c>
    </row>
    <row r="231">
      <c r="A231" s="37" t="n"/>
      <c r="B231" s="24">
        <f>IF(A231="","",CHOOSE(WEEKDAY(A231,2),"Segunda","Terça","Quarta","Quinta","Sexta","Sábado","Domingo"))</f>
        <v/>
      </c>
      <c r="C231" s="38" t="n"/>
      <c r="D231" s="38" t="n"/>
      <c r="E231" s="38" t="n"/>
      <c r="F231" s="38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38" t="n"/>
      <c r="Q231" s="38" t="n"/>
      <c r="R231" s="38" t="n"/>
      <c r="S231" s="38" t="n"/>
      <c r="T231" s="26">
        <f>IF(A231="","",IFERROR(COUNTIF(D231:K231,"Sim")/(Config!$B$19-COUNTIF(D231:K231,"N/A")),""))</f>
        <v/>
      </c>
      <c r="U231" s="26">
        <f>IF(A231="","",IFERROR(COUNTIF(L231:S231,"Sim")/(Config!$D$19-COUNTIF(L231:S231,"N/A")),""))</f>
        <v/>
      </c>
      <c r="V231" s="24">
        <f>IF(A231="","",MAX(0,Config!$B$19-COUNTIF(D231:K231,"Sim")-COUNTIF(D231:K231,"N/A")))</f>
        <v/>
      </c>
      <c r="W231" s="24">
        <f>IF(A231="","",MAX(0,Config!$D$19-COUNTIF(L231:S231,"Sim")-COUNTIF(L231:S231,"N/A")))</f>
        <v/>
      </c>
      <c r="X231" s="24">
        <f>IF(A231="","",V231+W231)</f>
        <v/>
      </c>
      <c r="Y231" s="29">
        <f>IF(OR(A231="",AA231=""),"",LEFT(AA231,LEN(AA231)-2))</f>
        <v/>
      </c>
      <c r="Z231" s="39">
        <f>IF(OR(A231="",X231=0),0,X231*100000+A231/100000)</f>
        <v>0</v>
      </c>
      <c r="AA231" s="39">
        <f>IF(A231="","",IF(AND(Config!$B$10&lt;&gt;"",D231&lt;&gt;"Sim",D231&lt;&gt;"N/A"),Config!$B$10&amp;"; ","")&amp;IF(AND(Config!$B$11&lt;&gt;"",E231&lt;&gt;"Sim",E231&lt;&gt;"N/A"),Config!$B$11&amp;"; ","")&amp;IF(AND(Config!$B$12&lt;&gt;"",F231&lt;&gt;"Sim",F231&lt;&gt;"N/A"),Config!$B$12&amp;"; ","")&amp;IF(AND(Config!$B$13&lt;&gt;"",G231&lt;&gt;"Sim",G231&lt;&gt;"N/A"),Config!$B$13&amp;"; ","")&amp;IF(AND(Config!$B$14&lt;&gt;"",H231&lt;&gt;"Sim",H231&lt;&gt;"N/A"),Config!$B$14&amp;"; ","")&amp;IF(AND(Config!$B$15&lt;&gt;"",I231&lt;&gt;"Sim",I231&lt;&gt;"N/A"),Config!$B$15&amp;"; ","")&amp;IF(AND(Config!$B$16&lt;&gt;"",J231&lt;&gt;"Sim",J231&lt;&gt;"N/A"),Config!$B$16&amp;"; ","")&amp;IF(AND(Config!$B$17&lt;&gt;"",K231&lt;&gt;"Sim",K231&lt;&gt;"N/A"),Config!$B$17&amp;"; ","")&amp;IF(AND(Config!$D$10&lt;&gt;"",L231&lt;&gt;"Sim",L231&lt;&gt;"N/A"),Config!$D$10&amp;"; ","")&amp;IF(AND(Config!$D$11&lt;&gt;"",M231&lt;&gt;"Sim",M231&lt;&gt;"N/A"),Config!$D$11&amp;"; ","")&amp;IF(AND(Config!$D$12&lt;&gt;"",N231&lt;&gt;"Sim",N231&lt;&gt;"N/A"),Config!$D$12&amp;"; ","")&amp;IF(AND(Config!$D$13&lt;&gt;"",O231&lt;&gt;"Sim",O231&lt;&gt;"N/A"),Config!$D$13&amp;"; ","")&amp;IF(AND(Config!$D$14&lt;&gt;"",P231&lt;&gt;"Sim",P231&lt;&gt;"N/A"),Config!$D$14&amp;"; ","")&amp;IF(AND(Config!$D$15&lt;&gt;"",Q231&lt;&gt;"Sim",Q231&lt;&gt;"N/A"),Config!$D$15&amp;"; ","")&amp;IF(AND(Config!$D$16&lt;&gt;"",R231&lt;&gt;"Sim",R231&lt;&gt;"N/A"),Config!$D$16&amp;"; ","")&amp;IF(AND(Config!$D$17&lt;&gt;"",S231&lt;&gt;"Sim",S231&lt;&gt;"N/A"),Config!$D$17&amp;"; ",""))</f>
        <v/>
      </c>
      <c r="AB231" s="39">
        <f>IF(A231="",0,COUNTIF($A$5:$A$304,"&gt;"&amp;A231)+1)</f>
        <v>0</v>
      </c>
    </row>
    <row r="232">
      <c r="A232" s="37" t="n"/>
      <c r="B232" s="24">
        <f>IF(A232="","",CHOOSE(WEEKDAY(A232,2),"Segunda","Terça","Quarta","Quinta","Sexta","Sábado","Domingo"))</f>
        <v/>
      </c>
      <c r="C232" s="38" t="n"/>
      <c r="D232" s="38" t="n"/>
      <c r="E232" s="38" t="n"/>
      <c r="F232" s="38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38" t="n"/>
      <c r="Q232" s="38" t="n"/>
      <c r="R232" s="38" t="n"/>
      <c r="S232" s="38" t="n"/>
      <c r="T232" s="26">
        <f>IF(A232="","",IFERROR(COUNTIF(D232:K232,"Sim")/(Config!$B$19-COUNTIF(D232:K232,"N/A")),""))</f>
        <v/>
      </c>
      <c r="U232" s="26">
        <f>IF(A232="","",IFERROR(COUNTIF(L232:S232,"Sim")/(Config!$D$19-COUNTIF(L232:S232,"N/A")),""))</f>
        <v/>
      </c>
      <c r="V232" s="24">
        <f>IF(A232="","",MAX(0,Config!$B$19-COUNTIF(D232:K232,"Sim")-COUNTIF(D232:K232,"N/A")))</f>
        <v/>
      </c>
      <c r="W232" s="24">
        <f>IF(A232="","",MAX(0,Config!$D$19-COUNTIF(L232:S232,"Sim")-COUNTIF(L232:S232,"N/A")))</f>
        <v/>
      </c>
      <c r="X232" s="24">
        <f>IF(A232="","",V232+W232)</f>
        <v/>
      </c>
      <c r="Y232" s="29">
        <f>IF(OR(A232="",AA232=""),"",LEFT(AA232,LEN(AA232)-2))</f>
        <v/>
      </c>
      <c r="Z232" s="39">
        <f>IF(OR(A232="",X232=0),0,X232*100000+A232/100000)</f>
        <v>0</v>
      </c>
      <c r="AA232" s="39">
        <f>IF(A232="","",IF(AND(Config!$B$10&lt;&gt;"",D232&lt;&gt;"Sim",D232&lt;&gt;"N/A"),Config!$B$10&amp;"; ","")&amp;IF(AND(Config!$B$11&lt;&gt;"",E232&lt;&gt;"Sim",E232&lt;&gt;"N/A"),Config!$B$11&amp;"; ","")&amp;IF(AND(Config!$B$12&lt;&gt;"",F232&lt;&gt;"Sim",F232&lt;&gt;"N/A"),Config!$B$12&amp;"; ","")&amp;IF(AND(Config!$B$13&lt;&gt;"",G232&lt;&gt;"Sim",G232&lt;&gt;"N/A"),Config!$B$13&amp;"; ","")&amp;IF(AND(Config!$B$14&lt;&gt;"",H232&lt;&gt;"Sim",H232&lt;&gt;"N/A"),Config!$B$14&amp;"; ","")&amp;IF(AND(Config!$B$15&lt;&gt;"",I232&lt;&gt;"Sim",I232&lt;&gt;"N/A"),Config!$B$15&amp;"; ","")&amp;IF(AND(Config!$B$16&lt;&gt;"",J232&lt;&gt;"Sim",J232&lt;&gt;"N/A"),Config!$B$16&amp;"; ","")&amp;IF(AND(Config!$B$17&lt;&gt;"",K232&lt;&gt;"Sim",K232&lt;&gt;"N/A"),Config!$B$17&amp;"; ","")&amp;IF(AND(Config!$D$10&lt;&gt;"",L232&lt;&gt;"Sim",L232&lt;&gt;"N/A"),Config!$D$10&amp;"; ","")&amp;IF(AND(Config!$D$11&lt;&gt;"",M232&lt;&gt;"Sim",M232&lt;&gt;"N/A"),Config!$D$11&amp;"; ","")&amp;IF(AND(Config!$D$12&lt;&gt;"",N232&lt;&gt;"Sim",N232&lt;&gt;"N/A"),Config!$D$12&amp;"; ","")&amp;IF(AND(Config!$D$13&lt;&gt;"",O232&lt;&gt;"Sim",O232&lt;&gt;"N/A"),Config!$D$13&amp;"; ","")&amp;IF(AND(Config!$D$14&lt;&gt;"",P232&lt;&gt;"Sim",P232&lt;&gt;"N/A"),Config!$D$14&amp;"; ","")&amp;IF(AND(Config!$D$15&lt;&gt;"",Q232&lt;&gt;"Sim",Q232&lt;&gt;"N/A"),Config!$D$15&amp;"; ","")&amp;IF(AND(Config!$D$16&lt;&gt;"",R232&lt;&gt;"Sim",R232&lt;&gt;"N/A"),Config!$D$16&amp;"; ","")&amp;IF(AND(Config!$D$17&lt;&gt;"",S232&lt;&gt;"Sim",S232&lt;&gt;"N/A"),Config!$D$17&amp;"; ",""))</f>
        <v/>
      </c>
      <c r="AB232" s="39">
        <f>IF(A232="",0,COUNTIF($A$5:$A$304,"&gt;"&amp;A232)+1)</f>
        <v>0</v>
      </c>
    </row>
    <row r="233">
      <c r="A233" s="37" t="n"/>
      <c r="B233" s="24">
        <f>IF(A233="","",CHOOSE(WEEKDAY(A233,2),"Segunda","Terça","Quarta","Quinta","Sexta","Sábado","Domingo"))</f>
        <v/>
      </c>
      <c r="C233" s="38" t="n"/>
      <c r="D233" s="38" t="n"/>
      <c r="E233" s="38" t="n"/>
      <c r="F233" s="38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26">
        <f>IF(A233="","",IFERROR(COUNTIF(D233:K233,"Sim")/(Config!$B$19-COUNTIF(D233:K233,"N/A")),""))</f>
        <v/>
      </c>
      <c r="U233" s="26">
        <f>IF(A233="","",IFERROR(COUNTIF(L233:S233,"Sim")/(Config!$D$19-COUNTIF(L233:S233,"N/A")),""))</f>
        <v/>
      </c>
      <c r="V233" s="24">
        <f>IF(A233="","",MAX(0,Config!$B$19-COUNTIF(D233:K233,"Sim")-COUNTIF(D233:K233,"N/A")))</f>
        <v/>
      </c>
      <c r="W233" s="24">
        <f>IF(A233="","",MAX(0,Config!$D$19-COUNTIF(L233:S233,"Sim")-COUNTIF(L233:S233,"N/A")))</f>
        <v/>
      </c>
      <c r="X233" s="24">
        <f>IF(A233="","",V233+W233)</f>
        <v/>
      </c>
      <c r="Y233" s="29">
        <f>IF(OR(A233="",AA233=""),"",LEFT(AA233,LEN(AA233)-2))</f>
        <v/>
      </c>
      <c r="Z233" s="39">
        <f>IF(OR(A233="",X233=0),0,X233*100000+A233/100000)</f>
        <v>0</v>
      </c>
      <c r="AA233" s="39">
        <f>IF(A233="","",IF(AND(Config!$B$10&lt;&gt;"",D233&lt;&gt;"Sim",D233&lt;&gt;"N/A"),Config!$B$10&amp;"; ","")&amp;IF(AND(Config!$B$11&lt;&gt;"",E233&lt;&gt;"Sim",E233&lt;&gt;"N/A"),Config!$B$11&amp;"; ","")&amp;IF(AND(Config!$B$12&lt;&gt;"",F233&lt;&gt;"Sim",F233&lt;&gt;"N/A"),Config!$B$12&amp;"; ","")&amp;IF(AND(Config!$B$13&lt;&gt;"",G233&lt;&gt;"Sim",G233&lt;&gt;"N/A"),Config!$B$13&amp;"; ","")&amp;IF(AND(Config!$B$14&lt;&gt;"",H233&lt;&gt;"Sim",H233&lt;&gt;"N/A"),Config!$B$14&amp;"; ","")&amp;IF(AND(Config!$B$15&lt;&gt;"",I233&lt;&gt;"Sim",I233&lt;&gt;"N/A"),Config!$B$15&amp;"; ","")&amp;IF(AND(Config!$B$16&lt;&gt;"",J233&lt;&gt;"Sim",J233&lt;&gt;"N/A"),Config!$B$16&amp;"; ","")&amp;IF(AND(Config!$B$17&lt;&gt;"",K233&lt;&gt;"Sim",K233&lt;&gt;"N/A"),Config!$B$17&amp;"; ","")&amp;IF(AND(Config!$D$10&lt;&gt;"",L233&lt;&gt;"Sim",L233&lt;&gt;"N/A"),Config!$D$10&amp;"; ","")&amp;IF(AND(Config!$D$11&lt;&gt;"",M233&lt;&gt;"Sim",M233&lt;&gt;"N/A"),Config!$D$11&amp;"; ","")&amp;IF(AND(Config!$D$12&lt;&gt;"",N233&lt;&gt;"Sim",N233&lt;&gt;"N/A"),Config!$D$12&amp;"; ","")&amp;IF(AND(Config!$D$13&lt;&gt;"",O233&lt;&gt;"Sim",O233&lt;&gt;"N/A"),Config!$D$13&amp;"; ","")&amp;IF(AND(Config!$D$14&lt;&gt;"",P233&lt;&gt;"Sim",P233&lt;&gt;"N/A"),Config!$D$14&amp;"; ","")&amp;IF(AND(Config!$D$15&lt;&gt;"",Q233&lt;&gt;"Sim",Q233&lt;&gt;"N/A"),Config!$D$15&amp;"; ","")&amp;IF(AND(Config!$D$16&lt;&gt;"",R233&lt;&gt;"Sim",R233&lt;&gt;"N/A"),Config!$D$16&amp;"; ","")&amp;IF(AND(Config!$D$17&lt;&gt;"",S233&lt;&gt;"Sim",S233&lt;&gt;"N/A"),Config!$D$17&amp;"; ",""))</f>
        <v/>
      </c>
      <c r="AB233" s="39">
        <f>IF(A233="",0,COUNTIF($A$5:$A$304,"&gt;"&amp;A233)+1)</f>
        <v>0</v>
      </c>
    </row>
    <row r="234">
      <c r="A234" s="37" t="n"/>
      <c r="B234" s="24">
        <f>IF(A234="","",CHOOSE(WEEKDAY(A234,2),"Segunda","Terça","Quarta","Quinta","Sexta","Sábado","Domingo"))</f>
        <v/>
      </c>
      <c r="C234" s="38" t="n"/>
      <c r="D234" s="38" t="n"/>
      <c r="E234" s="38" t="n"/>
      <c r="F234" s="38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26">
        <f>IF(A234="","",IFERROR(COUNTIF(D234:K234,"Sim")/(Config!$B$19-COUNTIF(D234:K234,"N/A")),""))</f>
        <v/>
      </c>
      <c r="U234" s="26">
        <f>IF(A234="","",IFERROR(COUNTIF(L234:S234,"Sim")/(Config!$D$19-COUNTIF(L234:S234,"N/A")),""))</f>
        <v/>
      </c>
      <c r="V234" s="24">
        <f>IF(A234="","",MAX(0,Config!$B$19-COUNTIF(D234:K234,"Sim")-COUNTIF(D234:K234,"N/A")))</f>
        <v/>
      </c>
      <c r="W234" s="24">
        <f>IF(A234="","",MAX(0,Config!$D$19-COUNTIF(L234:S234,"Sim")-COUNTIF(L234:S234,"N/A")))</f>
        <v/>
      </c>
      <c r="X234" s="24">
        <f>IF(A234="","",V234+W234)</f>
        <v/>
      </c>
      <c r="Y234" s="29">
        <f>IF(OR(A234="",AA234=""),"",LEFT(AA234,LEN(AA234)-2))</f>
        <v/>
      </c>
      <c r="Z234" s="39">
        <f>IF(OR(A234="",X234=0),0,X234*100000+A234/100000)</f>
        <v>0</v>
      </c>
      <c r="AA234" s="39">
        <f>IF(A234="","",IF(AND(Config!$B$10&lt;&gt;"",D234&lt;&gt;"Sim",D234&lt;&gt;"N/A"),Config!$B$10&amp;"; ","")&amp;IF(AND(Config!$B$11&lt;&gt;"",E234&lt;&gt;"Sim",E234&lt;&gt;"N/A"),Config!$B$11&amp;"; ","")&amp;IF(AND(Config!$B$12&lt;&gt;"",F234&lt;&gt;"Sim",F234&lt;&gt;"N/A"),Config!$B$12&amp;"; ","")&amp;IF(AND(Config!$B$13&lt;&gt;"",G234&lt;&gt;"Sim",G234&lt;&gt;"N/A"),Config!$B$13&amp;"; ","")&amp;IF(AND(Config!$B$14&lt;&gt;"",H234&lt;&gt;"Sim",H234&lt;&gt;"N/A"),Config!$B$14&amp;"; ","")&amp;IF(AND(Config!$B$15&lt;&gt;"",I234&lt;&gt;"Sim",I234&lt;&gt;"N/A"),Config!$B$15&amp;"; ","")&amp;IF(AND(Config!$B$16&lt;&gt;"",J234&lt;&gt;"Sim",J234&lt;&gt;"N/A"),Config!$B$16&amp;"; ","")&amp;IF(AND(Config!$B$17&lt;&gt;"",K234&lt;&gt;"Sim",K234&lt;&gt;"N/A"),Config!$B$17&amp;"; ","")&amp;IF(AND(Config!$D$10&lt;&gt;"",L234&lt;&gt;"Sim",L234&lt;&gt;"N/A"),Config!$D$10&amp;"; ","")&amp;IF(AND(Config!$D$11&lt;&gt;"",M234&lt;&gt;"Sim",M234&lt;&gt;"N/A"),Config!$D$11&amp;"; ","")&amp;IF(AND(Config!$D$12&lt;&gt;"",N234&lt;&gt;"Sim",N234&lt;&gt;"N/A"),Config!$D$12&amp;"; ","")&amp;IF(AND(Config!$D$13&lt;&gt;"",O234&lt;&gt;"Sim",O234&lt;&gt;"N/A"),Config!$D$13&amp;"; ","")&amp;IF(AND(Config!$D$14&lt;&gt;"",P234&lt;&gt;"Sim",P234&lt;&gt;"N/A"),Config!$D$14&amp;"; ","")&amp;IF(AND(Config!$D$15&lt;&gt;"",Q234&lt;&gt;"Sim",Q234&lt;&gt;"N/A"),Config!$D$15&amp;"; ","")&amp;IF(AND(Config!$D$16&lt;&gt;"",R234&lt;&gt;"Sim",R234&lt;&gt;"N/A"),Config!$D$16&amp;"; ","")&amp;IF(AND(Config!$D$17&lt;&gt;"",S234&lt;&gt;"Sim",S234&lt;&gt;"N/A"),Config!$D$17&amp;"; ",""))</f>
        <v/>
      </c>
      <c r="AB234" s="39">
        <f>IF(A234="",0,COUNTIF($A$5:$A$304,"&gt;"&amp;A234)+1)</f>
        <v>0</v>
      </c>
    </row>
    <row r="235">
      <c r="A235" s="37" t="n"/>
      <c r="B235" s="24">
        <f>IF(A235="","",CHOOSE(WEEKDAY(A235,2),"Segunda","Terça","Quarta","Quinta","Sexta","Sábado","Domingo"))</f>
        <v/>
      </c>
      <c r="C235" s="38" t="n"/>
      <c r="D235" s="38" t="n"/>
      <c r="E235" s="38" t="n"/>
      <c r="F235" s="38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26">
        <f>IF(A235="","",IFERROR(COUNTIF(D235:K235,"Sim")/(Config!$B$19-COUNTIF(D235:K235,"N/A")),""))</f>
        <v/>
      </c>
      <c r="U235" s="26">
        <f>IF(A235="","",IFERROR(COUNTIF(L235:S235,"Sim")/(Config!$D$19-COUNTIF(L235:S235,"N/A")),""))</f>
        <v/>
      </c>
      <c r="V235" s="24">
        <f>IF(A235="","",MAX(0,Config!$B$19-COUNTIF(D235:K235,"Sim")-COUNTIF(D235:K235,"N/A")))</f>
        <v/>
      </c>
      <c r="W235" s="24">
        <f>IF(A235="","",MAX(0,Config!$D$19-COUNTIF(L235:S235,"Sim")-COUNTIF(L235:S235,"N/A")))</f>
        <v/>
      </c>
      <c r="X235" s="24">
        <f>IF(A235="","",V235+W235)</f>
        <v/>
      </c>
      <c r="Y235" s="29">
        <f>IF(OR(A235="",AA235=""),"",LEFT(AA235,LEN(AA235)-2))</f>
        <v/>
      </c>
      <c r="Z235" s="39">
        <f>IF(OR(A235="",X235=0),0,X235*100000+A235/100000)</f>
        <v>0</v>
      </c>
      <c r="AA235" s="39">
        <f>IF(A235="","",IF(AND(Config!$B$10&lt;&gt;"",D235&lt;&gt;"Sim",D235&lt;&gt;"N/A"),Config!$B$10&amp;"; ","")&amp;IF(AND(Config!$B$11&lt;&gt;"",E235&lt;&gt;"Sim",E235&lt;&gt;"N/A"),Config!$B$11&amp;"; ","")&amp;IF(AND(Config!$B$12&lt;&gt;"",F235&lt;&gt;"Sim",F235&lt;&gt;"N/A"),Config!$B$12&amp;"; ","")&amp;IF(AND(Config!$B$13&lt;&gt;"",G235&lt;&gt;"Sim",G235&lt;&gt;"N/A"),Config!$B$13&amp;"; ","")&amp;IF(AND(Config!$B$14&lt;&gt;"",H235&lt;&gt;"Sim",H235&lt;&gt;"N/A"),Config!$B$14&amp;"; ","")&amp;IF(AND(Config!$B$15&lt;&gt;"",I235&lt;&gt;"Sim",I235&lt;&gt;"N/A"),Config!$B$15&amp;"; ","")&amp;IF(AND(Config!$B$16&lt;&gt;"",J235&lt;&gt;"Sim",J235&lt;&gt;"N/A"),Config!$B$16&amp;"; ","")&amp;IF(AND(Config!$B$17&lt;&gt;"",K235&lt;&gt;"Sim",K235&lt;&gt;"N/A"),Config!$B$17&amp;"; ","")&amp;IF(AND(Config!$D$10&lt;&gt;"",L235&lt;&gt;"Sim",L235&lt;&gt;"N/A"),Config!$D$10&amp;"; ","")&amp;IF(AND(Config!$D$11&lt;&gt;"",M235&lt;&gt;"Sim",M235&lt;&gt;"N/A"),Config!$D$11&amp;"; ","")&amp;IF(AND(Config!$D$12&lt;&gt;"",N235&lt;&gt;"Sim",N235&lt;&gt;"N/A"),Config!$D$12&amp;"; ","")&amp;IF(AND(Config!$D$13&lt;&gt;"",O235&lt;&gt;"Sim",O235&lt;&gt;"N/A"),Config!$D$13&amp;"; ","")&amp;IF(AND(Config!$D$14&lt;&gt;"",P235&lt;&gt;"Sim",P235&lt;&gt;"N/A"),Config!$D$14&amp;"; ","")&amp;IF(AND(Config!$D$15&lt;&gt;"",Q235&lt;&gt;"Sim",Q235&lt;&gt;"N/A"),Config!$D$15&amp;"; ","")&amp;IF(AND(Config!$D$16&lt;&gt;"",R235&lt;&gt;"Sim",R235&lt;&gt;"N/A"),Config!$D$16&amp;"; ","")&amp;IF(AND(Config!$D$17&lt;&gt;"",S235&lt;&gt;"Sim",S235&lt;&gt;"N/A"),Config!$D$17&amp;"; ",""))</f>
        <v/>
      </c>
      <c r="AB235" s="39">
        <f>IF(A235="",0,COUNTIF($A$5:$A$304,"&gt;"&amp;A235)+1)</f>
        <v>0</v>
      </c>
    </row>
    <row r="236">
      <c r="A236" s="37" t="n"/>
      <c r="B236" s="24">
        <f>IF(A236="","",CHOOSE(WEEKDAY(A236,2),"Segunda","Terça","Quarta","Quinta","Sexta","Sábado","Domingo"))</f>
        <v/>
      </c>
      <c r="C236" s="38" t="n"/>
      <c r="D236" s="38" t="n"/>
      <c r="E236" s="38" t="n"/>
      <c r="F236" s="38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26">
        <f>IF(A236="","",IFERROR(COUNTIF(D236:K236,"Sim")/(Config!$B$19-COUNTIF(D236:K236,"N/A")),""))</f>
        <v/>
      </c>
      <c r="U236" s="26">
        <f>IF(A236="","",IFERROR(COUNTIF(L236:S236,"Sim")/(Config!$D$19-COUNTIF(L236:S236,"N/A")),""))</f>
        <v/>
      </c>
      <c r="V236" s="24">
        <f>IF(A236="","",MAX(0,Config!$B$19-COUNTIF(D236:K236,"Sim")-COUNTIF(D236:K236,"N/A")))</f>
        <v/>
      </c>
      <c r="W236" s="24">
        <f>IF(A236="","",MAX(0,Config!$D$19-COUNTIF(L236:S236,"Sim")-COUNTIF(L236:S236,"N/A")))</f>
        <v/>
      </c>
      <c r="X236" s="24">
        <f>IF(A236="","",V236+W236)</f>
        <v/>
      </c>
      <c r="Y236" s="29">
        <f>IF(OR(A236="",AA236=""),"",LEFT(AA236,LEN(AA236)-2))</f>
        <v/>
      </c>
      <c r="Z236" s="39">
        <f>IF(OR(A236="",X236=0),0,X236*100000+A236/100000)</f>
        <v>0</v>
      </c>
      <c r="AA236" s="39">
        <f>IF(A236="","",IF(AND(Config!$B$10&lt;&gt;"",D236&lt;&gt;"Sim",D236&lt;&gt;"N/A"),Config!$B$10&amp;"; ","")&amp;IF(AND(Config!$B$11&lt;&gt;"",E236&lt;&gt;"Sim",E236&lt;&gt;"N/A"),Config!$B$11&amp;"; ","")&amp;IF(AND(Config!$B$12&lt;&gt;"",F236&lt;&gt;"Sim",F236&lt;&gt;"N/A"),Config!$B$12&amp;"; ","")&amp;IF(AND(Config!$B$13&lt;&gt;"",G236&lt;&gt;"Sim",G236&lt;&gt;"N/A"),Config!$B$13&amp;"; ","")&amp;IF(AND(Config!$B$14&lt;&gt;"",H236&lt;&gt;"Sim",H236&lt;&gt;"N/A"),Config!$B$14&amp;"; ","")&amp;IF(AND(Config!$B$15&lt;&gt;"",I236&lt;&gt;"Sim",I236&lt;&gt;"N/A"),Config!$B$15&amp;"; ","")&amp;IF(AND(Config!$B$16&lt;&gt;"",J236&lt;&gt;"Sim",J236&lt;&gt;"N/A"),Config!$B$16&amp;"; ","")&amp;IF(AND(Config!$B$17&lt;&gt;"",K236&lt;&gt;"Sim",K236&lt;&gt;"N/A"),Config!$B$17&amp;"; ","")&amp;IF(AND(Config!$D$10&lt;&gt;"",L236&lt;&gt;"Sim",L236&lt;&gt;"N/A"),Config!$D$10&amp;"; ","")&amp;IF(AND(Config!$D$11&lt;&gt;"",M236&lt;&gt;"Sim",M236&lt;&gt;"N/A"),Config!$D$11&amp;"; ","")&amp;IF(AND(Config!$D$12&lt;&gt;"",N236&lt;&gt;"Sim",N236&lt;&gt;"N/A"),Config!$D$12&amp;"; ","")&amp;IF(AND(Config!$D$13&lt;&gt;"",O236&lt;&gt;"Sim",O236&lt;&gt;"N/A"),Config!$D$13&amp;"; ","")&amp;IF(AND(Config!$D$14&lt;&gt;"",P236&lt;&gt;"Sim",P236&lt;&gt;"N/A"),Config!$D$14&amp;"; ","")&amp;IF(AND(Config!$D$15&lt;&gt;"",Q236&lt;&gt;"Sim",Q236&lt;&gt;"N/A"),Config!$D$15&amp;"; ","")&amp;IF(AND(Config!$D$16&lt;&gt;"",R236&lt;&gt;"Sim",R236&lt;&gt;"N/A"),Config!$D$16&amp;"; ","")&amp;IF(AND(Config!$D$17&lt;&gt;"",S236&lt;&gt;"Sim",S236&lt;&gt;"N/A"),Config!$D$17&amp;"; ",""))</f>
        <v/>
      </c>
      <c r="AB236" s="39">
        <f>IF(A236="",0,COUNTIF($A$5:$A$304,"&gt;"&amp;A236)+1)</f>
        <v>0</v>
      </c>
    </row>
    <row r="237">
      <c r="A237" s="37" t="n"/>
      <c r="B237" s="24">
        <f>IF(A237="","",CHOOSE(WEEKDAY(A237,2),"Segunda","Terça","Quarta","Quinta","Sexta","Sábado","Domingo"))</f>
        <v/>
      </c>
      <c r="C237" s="38" t="n"/>
      <c r="D237" s="38" t="n"/>
      <c r="E237" s="38" t="n"/>
      <c r="F237" s="38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26">
        <f>IF(A237="","",IFERROR(COUNTIF(D237:K237,"Sim")/(Config!$B$19-COUNTIF(D237:K237,"N/A")),""))</f>
        <v/>
      </c>
      <c r="U237" s="26">
        <f>IF(A237="","",IFERROR(COUNTIF(L237:S237,"Sim")/(Config!$D$19-COUNTIF(L237:S237,"N/A")),""))</f>
        <v/>
      </c>
      <c r="V237" s="24">
        <f>IF(A237="","",MAX(0,Config!$B$19-COUNTIF(D237:K237,"Sim")-COUNTIF(D237:K237,"N/A")))</f>
        <v/>
      </c>
      <c r="W237" s="24">
        <f>IF(A237="","",MAX(0,Config!$D$19-COUNTIF(L237:S237,"Sim")-COUNTIF(L237:S237,"N/A")))</f>
        <v/>
      </c>
      <c r="X237" s="24">
        <f>IF(A237="","",V237+W237)</f>
        <v/>
      </c>
      <c r="Y237" s="29">
        <f>IF(OR(A237="",AA237=""),"",LEFT(AA237,LEN(AA237)-2))</f>
        <v/>
      </c>
      <c r="Z237" s="39">
        <f>IF(OR(A237="",X237=0),0,X237*100000+A237/100000)</f>
        <v>0</v>
      </c>
      <c r="AA237" s="39">
        <f>IF(A237="","",IF(AND(Config!$B$10&lt;&gt;"",D237&lt;&gt;"Sim",D237&lt;&gt;"N/A"),Config!$B$10&amp;"; ","")&amp;IF(AND(Config!$B$11&lt;&gt;"",E237&lt;&gt;"Sim",E237&lt;&gt;"N/A"),Config!$B$11&amp;"; ","")&amp;IF(AND(Config!$B$12&lt;&gt;"",F237&lt;&gt;"Sim",F237&lt;&gt;"N/A"),Config!$B$12&amp;"; ","")&amp;IF(AND(Config!$B$13&lt;&gt;"",G237&lt;&gt;"Sim",G237&lt;&gt;"N/A"),Config!$B$13&amp;"; ","")&amp;IF(AND(Config!$B$14&lt;&gt;"",H237&lt;&gt;"Sim",H237&lt;&gt;"N/A"),Config!$B$14&amp;"; ","")&amp;IF(AND(Config!$B$15&lt;&gt;"",I237&lt;&gt;"Sim",I237&lt;&gt;"N/A"),Config!$B$15&amp;"; ","")&amp;IF(AND(Config!$B$16&lt;&gt;"",J237&lt;&gt;"Sim",J237&lt;&gt;"N/A"),Config!$B$16&amp;"; ","")&amp;IF(AND(Config!$B$17&lt;&gt;"",K237&lt;&gt;"Sim",K237&lt;&gt;"N/A"),Config!$B$17&amp;"; ","")&amp;IF(AND(Config!$D$10&lt;&gt;"",L237&lt;&gt;"Sim",L237&lt;&gt;"N/A"),Config!$D$10&amp;"; ","")&amp;IF(AND(Config!$D$11&lt;&gt;"",M237&lt;&gt;"Sim",M237&lt;&gt;"N/A"),Config!$D$11&amp;"; ","")&amp;IF(AND(Config!$D$12&lt;&gt;"",N237&lt;&gt;"Sim",N237&lt;&gt;"N/A"),Config!$D$12&amp;"; ","")&amp;IF(AND(Config!$D$13&lt;&gt;"",O237&lt;&gt;"Sim",O237&lt;&gt;"N/A"),Config!$D$13&amp;"; ","")&amp;IF(AND(Config!$D$14&lt;&gt;"",P237&lt;&gt;"Sim",P237&lt;&gt;"N/A"),Config!$D$14&amp;"; ","")&amp;IF(AND(Config!$D$15&lt;&gt;"",Q237&lt;&gt;"Sim",Q237&lt;&gt;"N/A"),Config!$D$15&amp;"; ","")&amp;IF(AND(Config!$D$16&lt;&gt;"",R237&lt;&gt;"Sim",R237&lt;&gt;"N/A"),Config!$D$16&amp;"; ","")&amp;IF(AND(Config!$D$17&lt;&gt;"",S237&lt;&gt;"Sim",S237&lt;&gt;"N/A"),Config!$D$17&amp;"; ",""))</f>
        <v/>
      </c>
      <c r="AB237" s="39">
        <f>IF(A237="",0,COUNTIF($A$5:$A$304,"&gt;"&amp;A237)+1)</f>
        <v>0</v>
      </c>
    </row>
    <row r="238">
      <c r="A238" s="37" t="n"/>
      <c r="B238" s="24">
        <f>IF(A238="","",CHOOSE(WEEKDAY(A238,2),"Segunda","Terça","Quarta","Quinta","Sexta","Sábado","Domingo"))</f>
        <v/>
      </c>
      <c r="C238" s="38" t="n"/>
      <c r="D238" s="38" t="n"/>
      <c r="E238" s="38" t="n"/>
      <c r="F238" s="38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38" t="n"/>
      <c r="Q238" s="38" t="n"/>
      <c r="R238" s="38" t="n"/>
      <c r="S238" s="38" t="n"/>
      <c r="T238" s="26">
        <f>IF(A238="","",IFERROR(COUNTIF(D238:K238,"Sim")/(Config!$B$19-COUNTIF(D238:K238,"N/A")),""))</f>
        <v/>
      </c>
      <c r="U238" s="26">
        <f>IF(A238="","",IFERROR(COUNTIF(L238:S238,"Sim")/(Config!$D$19-COUNTIF(L238:S238,"N/A")),""))</f>
        <v/>
      </c>
      <c r="V238" s="24">
        <f>IF(A238="","",MAX(0,Config!$B$19-COUNTIF(D238:K238,"Sim")-COUNTIF(D238:K238,"N/A")))</f>
        <v/>
      </c>
      <c r="W238" s="24">
        <f>IF(A238="","",MAX(0,Config!$D$19-COUNTIF(L238:S238,"Sim")-COUNTIF(L238:S238,"N/A")))</f>
        <v/>
      </c>
      <c r="X238" s="24">
        <f>IF(A238="","",V238+W238)</f>
        <v/>
      </c>
      <c r="Y238" s="29">
        <f>IF(OR(A238="",AA238=""),"",LEFT(AA238,LEN(AA238)-2))</f>
        <v/>
      </c>
      <c r="Z238" s="39">
        <f>IF(OR(A238="",X238=0),0,X238*100000+A238/100000)</f>
        <v>0</v>
      </c>
      <c r="AA238" s="39">
        <f>IF(A238="","",IF(AND(Config!$B$10&lt;&gt;"",D238&lt;&gt;"Sim",D238&lt;&gt;"N/A"),Config!$B$10&amp;"; ","")&amp;IF(AND(Config!$B$11&lt;&gt;"",E238&lt;&gt;"Sim",E238&lt;&gt;"N/A"),Config!$B$11&amp;"; ","")&amp;IF(AND(Config!$B$12&lt;&gt;"",F238&lt;&gt;"Sim",F238&lt;&gt;"N/A"),Config!$B$12&amp;"; ","")&amp;IF(AND(Config!$B$13&lt;&gt;"",G238&lt;&gt;"Sim",G238&lt;&gt;"N/A"),Config!$B$13&amp;"; ","")&amp;IF(AND(Config!$B$14&lt;&gt;"",H238&lt;&gt;"Sim",H238&lt;&gt;"N/A"),Config!$B$14&amp;"; ","")&amp;IF(AND(Config!$B$15&lt;&gt;"",I238&lt;&gt;"Sim",I238&lt;&gt;"N/A"),Config!$B$15&amp;"; ","")&amp;IF(AND(Config!$B$16&lt;&gt;"",J238&lt;&gt;"Sim",J238&lt;&gt;"N/A"),Config!$B$16&amp;"; ","")&amp;IF(AND(Config!$B$17&lt;&gt;"",K238&lt;&gt;"Sim",K238&lt;&gt;"N/A"),Config!$B$17&amp;"; ","")&amp;IF(AND(Config!$D$10&lt;&gt;"",L238&lt;&gt;"Sim",L238&lt;&gt;"N/A"),Config!$D$10&amp;"; ","")&amp;IF(AND(Config!$D$11&lt;&gt;"",M238&lt;&gt;"Sim",M238&lt;&gt;"N/A"),Config!$D$11&amp;"; ","")&amp;IF(AND(Config!$D$12&lt;&gt;"",N238&lt;&gt;"Sim",N238&lt;&gt;"N/A"),Config!$D$12&amp;"; ","")&amp;IF(AND(Config!$D$13&lt;&gt;"",O238&lt;&gt;"Sim",O238&lt;&gt;"N/A"),Config!$D$13&amp;"; ","")&amp;IF(AND(Config!$D$14&lt;&gt;"",P238&lt;&gt;"Sim",P238&lt;&gt;"N/A"),Config!$D$14&amp;"; ","")&amp;IF(AND(Config!$D$15&lt;&gt;"",Q238&lt;&gt;"Sim",Q238&lt;&gt;"N/A"),Config!$D$15&amp;"; ","")&amp;IF(AND(Config!$D$16&lt;&gt;"",R238&lt;&gt;"Sim",R238&lt;&gt;"N/A"),Config!$D$16&amp;"; ","")&amp;IF(AND(Config!$D$17&lt;&gt;"",S238&lt;&gt;"Sim",S238&lt;&gt;"N/A"),Config!$D$17&amp;"; ",""))</f>
        <v/>
      </c>
      <c r="AB238" s="39">
        <f>IF(A238="",0,COUNTIF($A$5:$A$304,"&gt;"&amp;A238)+1)</f>
        <v>0</v>
      </c>
    </row>
    <row r="239">
      <c r="A239" s="37" t="n"/>
      <c r="B239" s="24">
        <f>IF(A239="","",CHOOSE(WEEKDAY(A239,2),"Segunda","Terça","Quarta","Quinta","Sexta","Sábado","Domingo"))</f>
        <v/>
      </c>
      <c r="C239" s="38" t="n"/>
      <c r="D239" s="38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38" t="n"/>
      <c r="Q239" s="38" t="n"/>
      <c r="R239" s="38" t="n"/>
      <c r="S239" s="38" t="n"/>
      <c r="T239" s="26">
        <f>IF(A239="","",IFERROR(COUNTIF(D239:K239,"Sim")/(Config!$B$19-COUNTIF(D239:K239,"N/A")),""))</f>
        <v/>
      </c>
      <c r="U239" s="26">
        <f>IF(A239="","",IFERROR(COUNTIF(L239:S239,"Sim")/(Config!$D$19-COUNTIF(L239:S239,"N/A")),""))</f>
        <v/>
      </c>
      <c r="V239" s="24">
        <f>IF(A239="","",MAX(0,Config!$B$19-COUNTIF(D239:K239,"Sim")-COUNTIF(D239:K239,"N/A")))</f>
        <v/>
      </c>
      <c r="W239" s="24">
        <f>IF(A239="","",MAX(0,Config!$D$19-COUNTIF(L239:S239,"Sim")-COUNTIF(L239:S239,"N/A")))</f>
        <v/>
      </c>
      <c r="X239" s="24">
        <f>IF(A239="","",V239+W239)</f>
        <v/>
      </c>
      <c r="Y239" s="29">
        <f>IF(OR(A239="",AA239=""),"",LEFT(AA239,LEN(AA239)-2))</f>
        <v/>
      </c>
      <c r="Z239" s="39">
        <f>IF(OR(A239="",X239=0),0,X239*100000+A239/100000)</f>
        <v>0</v>
      </c>
      <c r="AA239" s="39">
        <f>IF(A239="","",IF(AND(Config!$B$10&lt;&gt;"",D239&lt;&gt;"Sim",D239&lt;&gt;"N/A"),Config!$B$10&amp;"; ","")&amp;IF(AND(Config!$B$11&lt;&gt;"",E239&lt;&gt;"Sim",E239&lt;&gt;"N/A"),Config!$B$11&amp;"; ","")&amp;IF(AND(Config!$B$12&lt;&gt;"",F239&lt;&gt;"Sim",F239&lt;&gt;"N/A"),Config!$B$12&amp;"; ","")&amp;IF(AND(Config!$B$13&lt;&gt;"",G239&lt;&gt;"Sim",G239&lt;&gt;"N/A"),Config!$B$13&amp;"; ","")&amp;IF(AND(Config!$B$14&lt;&gt;"",H239&lt;&gt;"Sim",H239&lt;&gt;"N/A"),Config!$B$14&amp;"; ","")&amp;IF(AND(Config!$B$15&lt;&gt;"",I239&lt;&gt;"Sim",I239&lt;&gt;"N/A"),Config!$B$15&amp;"; ","")&amp;IF(AND(Config!$B$16&lt;&gt;"",J239&lt;&gt;"Sim",J239&lt;&gt;"N/A"),Config!$B$16&amp;"; ","")&amp;IF(AND(Config!$B$17&lt;&gt;"",K239&lt;&gt;"Sim",K239&lt;&gt;"N/A"),Config!$B$17&amp;"; ","")&amp;IF(AND(Config!$D$10&lt;&gt;"",L239&lt;&gt;"Sim",L239&lt;&gt;"N/A"),Config!$D$10&amp;"; ","")&amp;IF(AND(Config!$D$11&lt;&gt;"",M239&lt;&gt;"Sim",M239&lt;&gt;"N/A"),Config!$D$11&amp;"; ","")&amp;IF(AND(Config!$D$12&lt;&gt;"",N239&lt;&gt;"Sim",N239&lt;&gt;"N/A"),Config!$D$12&amp;"; ","")&amp;IF(AND(Config!$D$13&lt;&gt;"",O239&lt;&gt;"Sim",O239&lt;&gt;"N/A"),Config!$D$13&amp;"; ","")&amp;IF(AND(Config!$D$14&lt;&gt;"",P239&lt;&gt;"Sim",P239&lt;&gt;"N/A"),Config!$D$14&amp;"; ","")&amp;IF(AND(Config!$D$15&lt;&gt;"",Q239&lt;&gt;"Sim",Q239&lt;&gt;"N/A"),Config!$D$15&amp;"; ","")&amp;IF(AND(Config!$D$16&lt;&gt;"",R239&lt;&gt;"Sim",R239&lt;&gt;"N/A"),Config!$D$16&amp;"; ","")&amp;IF(AND(Config!$D$17&lt;&gt;"",S239&lt;&gt;"Sim",S239&lt;&gt;"N/A"),Config!$D$17&amp;"; ",""))</f>
        <v/>
      </c>
      <c r="AB239" s="39">
        <f>IF(A239="",0,COUNTIF($A$5:$A$304,"&gt;"&amp;A239)+1)</f>
        <v>0</v>
      </c>
    </row>
    <row r="240">
      <c r="A240" s="37" t="n"/>
      <c r="B240" s="24">
        <f>IF(A240="","",CHOOSE(WEEKDAY(A240,2),"Segunda","Terça","Quarta","Quinta","Sexta","Sábado","Domingo"))</f>
        <v/>
      </c>
      <c r="C240" s="38" t="n"/>
      <c r="D240" s="38" t="n"/>
      <c r="E240" s="38" t="n"/>
      <c r="F240" s="38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8" t="n"/>
      <c r="T240" s="26">
        <f>IF(A240="","",IFERROR(COUNTIF(D240:K240,"Sim")/(Config!$B$19-COUNTIF(D240:K240,"N/A")),""))</f>
        <v/>
      </c>
      <c r="U240" s="26">
        <f>IF(A240="","",IFERROR(COUNTIF(L240:S240,"Sim")/(Config!$D$19-COUNTIF(L240:S240,"N/A")),""))</f>
        <v/>
      </c>
      <c r="V240" s="24">
        <f>IF(A240="","",MAX(0,Config!$B$19-COUNTIF(D240:K240,"Sim")-COUNTIF(D240:K240,"N/A")))</f>
        <v/>
      </c>
      <c r="W240" s="24">
        <f>IF(A240="","",MAX(0,Config!$D$19-COUNTIF(L240:S240,"Sim")-COUNTIF(L240:S240,"N/A")))</f>
        <v/>
      </c>
      <c r="X240" s="24">
        <f>IF(A240="","",V240+W240)</f>
        <v/>
      </c>
      <c r="Y240" s="29">
        <f>IF(OR(A240="",AA240=""),"",LEFT(AA240,LEN(AA240)-2))</f>
        <v/>
      </c>
      <c r="Z240" s="39">
        <f>IF(OR(A240="",X240=0),0,X240*100000+A240/100000)</f>
        <v>0</v>
      </c>
      <c r="AA240" s="39">
        <f>IF(A240="","",IF(AND(Config!$B$10&lt;&gt;"",D240&lt;&gt;"Sim",D240&lt;&gt;"N/A"),Config!$B$10&amp;"; ","")&amp;IF(AND(Config!$B$11&lt;&gt;"",E240&lt;&gt;"Sim",E240&lt;&gt;"N/A"),Config!$B$11&amp;"; ","")&amp;IF(AND(Config!$B$12&lt;&gt;"",F240&lt;&gt;"Sim",F240&lt;&gt;"N/A"),Config!$B$12&amp;"; ","")&amp;IF(AND(Config!$B$13&lt;&gt;"",G240&lt;&gt;"Sim",G240&lt;&gt;"N/A"),Config!$B$13&amp;"; ","")&amp;IF(AND(Config!$B$14&lt;&gt;"",H240&lt;&gt;"Sim",H240&lt;&gt;"N/A"),Config!$B$14&amp;"; ","")&amp;IF(AND(Config!$B$15&lt;&gt;"",I240&lt;&gt;"Sim",I240&lt;&gt;"N/A"),Config!$B$15&amp;"; ","")&amp;IF(AND(Config!$B$16&lt;&gt;"",J240&lt;&gt;"Sim",J240&lt;&gt;"N/A"),Config!$B$16&amp;"; ","")&amp;IF(AND(Config!$B$17&lt;&gt;"",K240&lt;&gt;"Sim",K240&lt;&gt;"N/A"),Config!$B$17&amp;"; ","")&amp;IF(AND(Config!$D$10&lt;&gt;"",L240&lt;&gt;"Sim",L240&lt;&gt;"N/A"),Config!$D$10&amp;"; ","")&amp;IF(AND(Config!$D$11&lt;&gt;"",M240&lt;&gt;"Sim",M240&lt;&gt;"N/A"),Config!$D$11&amp;"; ","")&amp;IF(AND(Config!$D$12&lt;&gt;"",N240&lt;&gt;"Sim",N240&lt;&gt;"N/A"),Config!$D$12&amp;"; ","")&amp;IF(AND(Config!$D$13&lt;&gt;"",O240&lt;&gt;"Sim",O240&lt;&gt;"N/A"),Config!$D$13&amp;"; ","")&amp;IF(AND(Config!$D$14&lt;&gt;"",P240&lt;&gt;"Sim",P240&lt;&gt;"N/A"),Config!$D$14&amp;"; ","")&amp;IF(AND(Config!$D$15&lt;&gt;"",Q240&lt;&gt;"Sim",Q240&lt;&gt;"N/A"),Config!$D$15&amp;"; ","")&amp;IF(AND(Config!$D$16&lt;&gt;"",R240&lt;&gt;"Sim",R240&lt;&gt;"N/A"),Config!$D$16&amp;"; ","")&amp;IF(AND(Config!$D$17&lt;&gt;"",S240&lt;&gt;"Sim",S240&lt;&gt;"N/A"),Config!$D$17&amp;"; ",""))</f>
        <v/>
      </c>
      <c r="AB240" s="39">
        <f>IF(A240="",0,COUNTIF($A$5:$A$304,"&gt;"&amp;A240)+1)</f>
        <v>0</v>
      </c>
    </row>
    <row r="241">
      <c r="A241" s="37" t="n"/>
      <c r="B241" s="24">
        <f>IF(A241="","",CHOOSE(WEEKDAY(A241,2),"Segunda","Terça","Quarta","Quinta","Sexta","Sábado","Domingo"))</f>
        <v/>
      </c>
      <c r="C241" s="38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26">
        <f>IF(A241="","",IFERROR(COUNTIF(D241:K241,"Sim")/(Config!$B$19-COUNTIF(D241:K241,"N/A")),""))</f>
        <v/>
      </c>
      <c r="U241" s="26">
        <f>IF(A241="","",IFERROR(COUNTIF(L241:S241,"Sim")/(Config!$D$19-COUNTIF(L241:S241,"N/A")),""))</f>
        <v/>
      </c>
      <c r="V241" s="24">
        <f>IF(A241="","",MAX(0,Config!$B$19-COUNTIF(D241:K241,"Sim")-COUNTIF(D241:K241,"N/A")))</f>
        <v/>
      </c>
      <c r="W241" s="24">
        <f>IF(A241="","",MAX(0,Config!$D$19-COUNTIF(L241:S241,"Sim")-COUNTIF(L241:S241,"N/A")))</f>
        <v/>
      </c>
      <c r="X241" s="24">
        <f>IF(A241="","",V241+W241)</f>
        <v/>
      </c>
      <c r="Y241" s="29">
        <f>IF(OR(A241="",AA241=""),"",LEFT(AA241,LEN(AA241)-2))</f>
        <v/>
      </c>
      <c r="Z241" s="39">
        <f>IF(OR(A241="",X241=0),0,X241*100000+A241/100000)</f>
        <v>0</v>
      </c>
      <c r="AA241" s="39">
        <f>IF(A241="","",IF(AND(Config!$B$10&lt;&gt;"",D241&lt;&gt;"Sim",D241&lt;&gt;"N/A"),Config!$B$10&amp;"; ","")&amp;IF(AND(Config!$B$11&lt;&gt;"",E241&lt;&gt;"Sim",E241&lt;&gt;"N/A"),Config!$B$11&amp;"; ","")&amp;IF(AND(Config!$B$12&lt;&gt;"",F241&lt;&gt;"Sim",F241&lt;&gt;"N/A"),Config!$B$12&amp;"; ","")&amp;IF(AND(Config!$B$13&lt;&gt;"",G241&lt;&gt;"Sim",G241&lt;&gt;"N/A"),Config!$B$13&amp;"; ","")&amp;IF(AND(Config!$B$14&lt;&gt;"",H241&lt;&gt;"Sim",H241&lt;&gt;"N/A"),Config!$B$14&amp;"; ","")&amp;IF(AND(Config!$B$15&lt;&gt;"",I241&lt;&gt;"Sim",I241&lt;&gt;"N/A"),Config!$B$15&amp;"; ","")&amp;IF(AND(Config!$B$16&lt;&gt;"",J241&lt;&gt;"Sim",J241&lt;&gt;"N/A"),Config!$B$16&amp;"; ","")&amp;IF(AND(Config!$B$17&lt;&gt;"",K241&lt;&gt;"Sim",K241&lt;&gt;"N/A"),Config!$B$17&amp;"; ","")&amp;IF(AND(Config!$D$10&lt;&gt;"",L241&lt;&gt;"Sim",L241&lt;&gt;"N/A"),Config!$D$10&amp;"; ","")&amp;IF(AND(Config!$D$11&lt;&gt;"",M241&lt;&gt;"Sim",M241&lt;&gt;"N/A"),Config!$D$11&amp;"; ","")&amp;IF(AND(Config!$D$12&lt;&gt;"",N241&lt;&gt;"Sim",N241&lt;&gt;"N/A"),Config!$D$12&amp;"; ","")&amp;IF(AND(Config!$D$13&lt;&gt;"",O241&lt;&gt;"Sim",O241&lt;&gt;"N/A"),Config!$D$13&amp;"; ","")&amp;IF(AND(Config!$D$14&lt;&gt;"",P241&lt;&gt;"Sim",P241&lt;&gt;"N/A"),Config!$D$14&amp;"; ","")&amp;IF(AND(Config!$D$15&lt;&gt;"",Q241&lt;&gt;"Sim",Q241&lt;&gt;"N/A"),Config!$D$15&amp;"; ","")&amp;IF(AND(Config!$D$16&lt;&gt;"",R241&lt;&gt;"Sim",R241&lt;&gt;"N/A"),Config!$D$16&amp;"; ","")&amp;IF(AND(Config!$D$17&lt;&gt;"",S241&lt;&gt;"Sim",S241&lt;&gt;"N/A"),Config!$D$17&amp;"; ",""))</f>
        <v/>
      </c>
      <c r="AB241" s="39">
        <f>IF(A241="",0,COUNTIF($A$5:$A$304,"&gt;"&amp;A241)+1)</f>
        <v>0</v>
      </c>
    </row>
    <row r="242">
      <c r="A242" s="37" t="n"/>
      <c r="B242" s="24">
        <f>IF(A242="","",CHOOSE(WEEKDAY(A242,2),"Segunda","Terça","Quarta","Quinta","Sexta","Sábado","Domingo"))</f>
        <v/>
      </c>
      <c r="C242" s="38" t="n"/>
      <c r="D242" s="38" t="n"/>
      <c r="E242" s="38" t="n"/>
      <c r="F242" s="38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38" t="n"/>
      <c r="Q242" s="38" t="n"/>
      <c r="R242" s="38" t="n"/>
      <c r="S242" s="38" t="n"/>
      <c r="T242" s="26">
        <f>IF(A242="","",IFERROR(COUNTIF(D242:K242,"Sim")/(Config!$B$19-COUNTIF(D242:K242,"N/A")),""))</f>
        <v/>
      </c>
      <c r="U242" s="26">
        <f>IF(A242="","",IFERROR(COUNTIF(L242:S242,"Sim")/(Config!$D$19-COUNTIF(L242:S242,"N/A")),""))</f>
        <v/>
      </c>
      <c r="V242" s="24">
        <f>IF(A242="","",MAX(0,Config!$B$19-COUNTIF(D242:K242,"Sim")-COUNTIF(D242:K242,"N/A")))</f>
        <v/>
      </c>
      <c r="W242" s="24">
        <f>IF(A242="","",MAX(0,Config!$D$19-COUNTIF(L242:S242,"Sim")-COUNTIF(L242:S242,"N/A")))</f>
        <v/>
      </c>
      <c r="X242" s="24">
        <f>IF(A242="","",V242+W242)</f>
        <v/>
      </c>
      <c r="Y242" s="29">
        <f>IF(OR(A242="",AA242=""),"",LEFT(AA242,LEN(AA242)-2))</f>
        <v/>
      </c>
      <c r="Z242" s="39">
        <f>IF(OR(A242="",X242=0),0,X242*100000+A242/100000)</f>
        <v>0</v>
      </c>
      <c r="AA242" s="39">
        <f>IF(A242="","",IF(AND(Config!$B$10&lt;&gt;"",D242&lt;&gt;"Sim",D242&lt;&gt;"N/A"),Config!$B$10&amp;"; ","")&amp;IF(AND(Config!$B$11&lt;&gt;"",E242&lt;&gt;"Sim",E242&lt;&gt;"N/A"),Config!$B$11&amp;"; ","")&amp;IF(AND(Config!$B$12&lt;&gt;"",F242&lt;&gt;"Sim",F242&lt;&gt;"N/A"),Config!$B$12&amp;"; ","")&amp;IF(AND(Config!$B$13&lt;&gt;"",G242&lt;&gt;"Sim",G242&lt;&gt;"N/A"),Config!$B$13&amp;"; ","")&amp;IF(AND(Config!$B$14&lt;&gt;"",H242&lt;&gt;"Sim",H242&lt;&gt;"N/A"),Config!$B$14&amp;"; ","")&amp;IF(AND(Config!$B$15&lt;&gt;"",I242&lt;&gt;"Sim",I242&lt;&gt;"N/A"),Config!$B$15&amp;"; ","")&amp;IF(AND(Config!$B$16&lt;&gt;"",J242&lt;&gt;"Sim",J242&lt;&gt;"N/A"),Config!$B$16&amp;"; ","")&amp;IF(AND(Config!$B$17&lt;&gt;"",K242&lt;&gt;"Sim",K242&lt;&gt;"N/A"),Config!$B$17&amp;"; ","")&amp;IF(AND(Config!$D$10&lt;&gt;"",L242&lt;&gt;"Sim",L242&lt;&gt;"N/A"),Config!$D$10&amp;"; ","")&amp;IF(AND(Config!$D$11&lt;&gt;"",M242&lt;&gt;"Sim",M242&lt;&gt;"N/A"),Config!$D$11&amp;"; ","")&amp;IF(AND(Config!$D$12&lt;&gt;"",N242&lt;&gt;"Sim",N242&lt;&gt;"N/A"),Config!$D$12&amp;"; ","")&amp;IF(AND(Config!$D$13&lt;&gt;"",O242&lt;&gt;"Sim",O242&lt;&gt;"N/A"),Config!$D$13&amp;"; ","")&amp;IF(AND(Config!$D$14&lt;&gt;"",P242&lt;&gt;"Sim",P242&lt;&gt;"N/A"),Config!$D$14&amp;"; ","")&amp;IF(AND(Config!$D$15&lt;&gt;"",Q242&lt;&gt;"Sim",Q242&lt;&gt;"N/A"),Config!$D$15&amp;"; ","")&amp;IF(AND(Config!$D$16&lt;&gt;"",R242&lt;&gt;"Sim",R242&lt;&gt;"N/A"),Config!$D$16&amp;"; ","")&amp;IF(AND(Config!$D$17&lt;&gt;"",S242&lt;&gt;"Sim",S242&lt;&gt;"N/A"),Config!$D$17&amp;"; ",""))</f>
        <v/>
      </c>
      <c r="AB242" s="39">
        <f>IF(A242="",0,COUNTIF($A$5:$A$304,"&gt;"&amp;A242)+1)</f>
        <v>0</v>
      </c>
    </row>
    <row r="243">
      <c r="A243" s="37" t="n"/>
      <c r="B243" s="24">
        <f>IF(A243="","",CHOOSE(WEEKDAY(A243,2),"Segunda","Terça","Quarta","Quinta","Sexta","Sábado","Domingo"))</f>
        <v/>
      </c>
      <c r="C243" s="38" t="n"/>
      <c r="D243" s="38" t="n"/>
      <c r="E243" s="38" t="n"/>
      <c r="F243" s="38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38" t="n"/>
      <c r="Q243" s="38" t="n"/>
      <c r="R243" s="38" t="n"/>
      <c r="S243" s="38" t="n"/>
      <c r="T243" s="26">
        <f>IF(A243="","",IFERROR(COUNTIF(D243:K243,"Sim")/(Config!$B$19-COUNTIF(D243:K243,"N/A")),""))</f>
        <v/>
      </c>
      <c r="U243" s="26">
        <f>IF(A243="","",IFERROR(COUNTIF(L243:S243,"Sim")/(Config!$D$19-COUNTIF(L243:S243,"N/A")),""))</f>
        <v/>
      </c>
      <c r="V243" s="24">
        <f>IF(A243="","",MAX(0,Config!$B$19-COUNTIF(D243:K243,"Sim")-COUNTIF(D243:K243,"N/A")))</f>
        <v/>
      </c>
      <c r="W243" s="24">
        <f>IF(A243="","",MAX(0,Config!$D$19-COUNTIF(L243:S243,"Sim")-COUNTIF(L243:S243,"N/A")))</f>
        <v/>
      </c>
      <c r="X243" s="24">
        <f>IF(A243="","",V243+W243)</f>
        <v/>
      </c>
      <c r="Y243" s="29">
        <f>IF(OR(A243="",AA243=""),"",LEFT(AA243,LEN(AA243)-2))</f>
        <v/>
      </c>
      <c r="Z243" s="39">
        <f>IF(OR(A243="",X243=0),0,X243*100000+A243/100000)</f>
        <v>0</v>
      </c>
      <c r="AA243" s="39">
        <f>IF(A243="","",IF(AND(Config!$B$10&lt;&gt;"",D243&lt;&gt;"Sim",D243&lt;&gt;"N/A"),Config!$B$10&amp;"; ","")&amp;IF(AND(Config!$B$11&lt;&gt;"",E243&lt;&gt;"Sim",E243&lt;&gt;"N/A"),Config!$B$11&amp;"; ","")&amp;IF(AND(Config!$B$12&lt;&gt;"",F243&lt;&gt;"Sim",F243&lt;&gt;"N/A"),Config!$B$12&amp;"; ","")&amp;IF(AND(Config!$B$13&lt;&gt;"",G243&lt;&gt;"Sim",G243&lt;&gt;"N/A"),Config!$B$13&amp;"; ","")&amp;IF(AND(Config!$B$14&lt;&gt;"",H243&lt;&gt;"Sim",H243&lt;&gt;"N/A"),Config!$B$14&amp;"; ","")&amp;IF(AND(Config!$B$15&lt;&gt;"",I243&lt;&gt;"Sim",I243&lt;&gt;"N/A"),Config!$B$15&amp;"; ","")&amp;IF(AND(Config!$B$16&lt;&gt;"",J243&lt;&gt;"Sim",J243&lt;&gt;"N/A"),Config!$B$16&amp;"; ","")&amp;IF(AND(Config!$B$17&lt;&gt;"",K243&lt;&gt;"Sim",K243&lt;&gt;"N/A"),Config!$B$17&amp;"; ","")&amp;IF(AND(Config!$D$10&lt;&gt;"",L243&lt;&gt;"Sim",L243&lt;&gt;"N/A"),Config!$D$10&amp;"; ","")&amp;IF(AND(Config!$D$11&lt;&gt;"",M243&lt;&gt;"Sim",M243&lt;&gt;"N/A"),Config!$D$11&amp;"; ","")&amp;IF(AND(Config!$D$12&lt;&gt;"",N243&lt;&gt;"Sim",N243&lt;&gt;"N/A"),Config!$D$12&amp;"; ","")&amp;IF(AND(Config!$D$13&lt;&gt;"",O243&lt;&gt;"Sim",O243&lt;&gt;"N/A"),Config!$D$13&amp;"; ","")&amp;IF(AND(Config!$D$14&lt;&gt;"",P243&lt;&gt;"Sim",P243&lt;&gt;"N/A"),Config!$D$14&amp;"; ","")&amp;IF(AND(Config!$D$15&lt;&gt;"",Q243&lt;&gt;"Sim",Q243&lt;&gt;"N/A"),Config!$D$15&amp;"; ","")&amp;IF(AND(Config!$D$16&lt;&gt;"",R243&lt;&gt;"Sim",R243&lt;&gt;"N/A"),Config!$D$16&amp;"; ","")&amp;IF(AND(Config!$D$17&lt;&gt;"",S243&lt;&gt;"Sim",S243&lt;&gt;"N/A"),Config!$D$17&amp;"; ",""))</f>
        <v/>
      </c>
      <c r="AB243" s="39">
        <f>IF(A243="",0,COUNTIF($A$5:$A$304,"&gt;"&amp;A243)+1)</f>
        <v>0</v>
      </c>
    </row>
    <row r="244">
      <c r="A244" s="37" t="n"/>
      <c r="B244" s="24">
        <f>IF(A244="","",CHOOSE(WEEKDAY(A244,2),"Segunda","Terça","Quarta","Quinta","Sexta","Sábado","Domingo"))</f>
        <v/>
      </c>
      <c r="C244" s="38" t="n"/>
      <c r="D244" s="38" t="n"/>
      <c r="E244" s="38" t="n"/>
      <c r="F244" s="38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26">
        <f>IF(A244="","",IFERROR(COUNTIF(D244:K244,"Sim")/(Config!$B$19-COUNTIF(D244:K244,"N/A")),""))</f>
        <v/>
      </c>
      <c r="U244" s="26">
        <f>IF(A244="","",IFERROR(COUNTIF(L244:S244,"Sim")/(Config!$D$19-COUNTIF(L244:S244,"N/A")),""))</f>
        <v/>
      </c>
      <c r="V244" s="24">
        <f>IF(A244="","",MAX(0,Config!$B$19-COUNTIF(D244:K244,"Sim")-COUNTIF(D244:K244,"N/A")))</f>
        <v/>
      </c>
      <c r="W244" s="24">
        <f>IF(A244="","",MAX(0,Config!$D$19-COUNTIF(L244:S244,"Sim")-COUNTIF(L244:S244,"N/A")))</f>
        <v/>
      </c>
      <c r="X244" s="24">
        <f>IF(A244="","",V244+W244)</f>
        <v/>
      </c>
      <c r="Y244" s="29">
        <f>IF(OR(A244="",AA244=""),"",LEFT(AA244,LEN(AA244)-2))</f>
        <v/>
      </c>
      <c r="Z244" s="39">
        <f>IF(OR(A244="",X244=0),0,X244*100000+A244/100000)</f>
        <v>0</v>
      </c>
      <c r="AA244" s="39">
        <f>IF(A244="","",IF(AND(Config!$B$10&lt;&gt;"",D244&lt;&gt;"Sim",D244&lt;&gt;"N/A"),Config!$B$10&amp;"; ","")&amp;IF(AND(Config!$B$11&lt;&gt;"",E244&lt;&gt;"Sim",E244&lt;&gt;"N/A"),Config!$B$11&amp;"; ","")&amp;IF(AND(Config!$B$12&lt;&gt;"",F244&lt;&gt;"Sim",F244&lt;&gt;"N/A"),Config!$B$12&amp;"; ","")&amp;IF(AND(Config!$B$13&lt;&gt;"",G244&lt;&gt;"Sim",G244&lt;&gt;"N/A"),Config!$B$13&amp;"; ","")&amp;IF(AND(Config!$B$14&lt;&gt;"",H244&lt;&gt;"Sim",H244&lt;&gt;"N/A"),Config!$B$14&amp;"; ","")&amp;IF(AND(Config!$B$15&lt;&gt;"",I244&lt;&gt;"Sim",I244&lt;&gt;"N/A"),Config!$B$15&amp;"; ","")&amp;IF(AND(Config!$B$16&lt;&gt;"",J244&lt;&gt;"Sim",J244&lt;&gt;"N/A"),Config!$B$16&amp;"; ","")&amp;IF(AND(Config!$B$17&lt;&gt;"",K244&lt;&gt;"Sim",K244&lt;&gt;"N/A"),Config!$B$17&amp;"; ","")&amp;IF(AND(Config!$D$10&lt;&gt;"",L244&lt;&gt;"Sim",L244&lt;&gt;"N/A"),Config!$D$10&amp;"; ","")&amp;IF(AND(Config!$D$11&lt;&gt;"",M244&lt;&gt;"Sim",M244&lt;&gt;"N/A"),Config!$D$11&amp;"; ","")&amp;IF(AND(Config!$D$12&lt;&gt;"",N244&lt;&gt;"Sim",N244&lt;&gt;"N/A"),Config!$D$12&amp;"; ","")&amp;IF(AND(Config!$D$13&lt;&gt;"",O244&lt;&gt;"Sim",O244&lt;&gt;"N/A"),Config!$D$13&amp;"; ","")&amp;IF(AND(Config!$D$14&lt;&gt;"",P244&lt;&gt;"Sim",P244&lt;&gt;"N/A"),Config!$D$14&amp;"; ","")&amp;IF(AND(Config!$D$15&lt;&gt;"",Q244&lt;&gt;"Sim",Q244&lt;&gt;"N/A"),Config!$D$15&amp;"; ","")&amp;IF(AND(Config!$D$16&lt;&gt;"",R244&lt;&gt;"Sim",R244&lt;&gt;"N/A"),Config!$D$16&amp;"; ","")&amp;IF(AND(Config!$D$17&lt;&gt;"",S244&lt;&gt;"Sim",S244&lt;&gt;"N/A"),Config!$D$17&amp;"; ",""))</f>
        <v/>
      </c>
      <c r="AB244" s="39">
        <f>IF(A244="",0,COUNTIF($A$5:$A$304,"&gt;"&amp;A244)+1)</f>
        <v>0</v>
      </c>
    </row>
    <row r="245">
      <c r="A245" s="37" t="n"/>
      <c r="B245" s="24">
        <f>IF(A245="","",CHOOSE(WEEKDAY(A245,2),"Segunda","Terça","Quarta","Quinta","Sexta","Sábado","Domingo"))</f>
        <v/>
      </c>
      <c r="C245" s="38" t="n"/>
      <c r="D245" s="38" t="n"/>
      <c r="E245" s="38" t="n"/>
      <c r="F245" s="38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38" t="n"/>
      <c r="Q245" s="38" t="n"/>
      <c r="R245" s="38" t="n"/>
      <c r="S245" s="38" t="n"/>
      <c r="T245" s="26">
        <f>IF(A245="","",IFERROR(COUNTIF(D245:K245,"Sim")/(Config!$B$19-COUNTIF(D245:K245,"N/A")),""))</f>
        <v/>
      </c>
      <c r="U245" s="26">
        <f>IF(A245="","",IFERROR(COUNTIF(L245:S245,"Sim")/(Config!$D$19-COUNTIF(L245:S245,"N/A")),""))</f>
        <v/>
      </c>
      <c r="V245" s="24">
        <f>IF(A245="","",MAX(0,Config!$B$19-COUNTIF(D245:K245,"Sim")-COUNTIF(D245:K245,"N/A")))</f>
        <v/>
      </c>
      <c r="W245" s="24">
        <f>IF(A245="","",MAX(0,Config!$D$19-COUNTIF(L245:S245,"Sim")-COUNTIF(L245:S245,"N/A")))</f>
        <v/>
      </c>
      <c r="X245" s="24">
        <f>IF(A245="","",V245+W245)</f>
        <v/>
      </c>
      <c r="Y245" s="29">
        <f>IF(OR(A245="",AA245=""),"",LEFT(AA245,LEN(AA245)-2))</f>
        <v/>
      </c>
      <c r="Z245" s="39">
        <f>IF(OR(A245="",X245=0),0,X245*100000+A245/100000)</f>
        <v>0</v>
      </c>
      <c r="AA245" s="39">
        <f>IF(A245="","",IF(AND(Config!$B$10&lt;&gt;"",D245&lt;&gt;"Sim",D245&lt;&gt;"N/A"),Config!$B$10&amp;"; ","")&amp;IF(AND(Config!$B$11&lt;&gt;"",E245&lt;&gt;"Sim",E245&lt;&gt;"N/A"),Config!$B$11&amp;"; ","")&amp;IF(AND(Config!$B$12&lt;&gt;"",F245&lt;&gt;"Sim",F245&lt;&gt;"N/A"),Config!$B$12&amp;"; ","")&amp;IF(AND(Config!$B$13&lt;&gt;"",G245&lt;&gt;"Sim",G245&lt;&gt;"N/A"),Config!$B$13&amp;"; ","")&amp;IF(AND(Config!$B$14&lt;&gt;"",H245&lt;&gt;"Sim",H245&lt;&gt;"N/A"),Config!$B$14&amp;"; ","")&amp;IF(AND(Config!$B$15&lt;&gt;"",I245&lt;&gt;"Sim",I245&lt;&gt;"N/A"),Config!$B$15&amp;"; ","")&amp;IF(AND(Config!$B$16&lt;&gt;"",J245&lt;&gt;"Sim",J245&lt;&gt;"N/A"),Config!$B$16&amp;"; ","")&amp;IF(AND(Config!$B$17&lt;&gt;"",K245&lt;&gt;"Sim",K245&lt;&gt;"N/A"),Config!$B$17&amp;"; ","")&amp;IF(AND(Config!$D$10&lt;&gt;"",L245&lt;&gt;"Sim",L245&lt;&gt;"N/A"),Config!$D$10&amp;"; ","")&amp;IF(AND(Config!$D$11&lt;&gt;"",M245&lt;&gt;"Sim",M245&lt;&gt;"N/A"),Config!$D$11&amp;"; ","")&amp;IF(AND(Config!$D$12&lt;&gt;"",N245&lt;&gt;"Sim",N245&lt;&gt;"N/A"),Config!$D$12&amp;"; ","")&amp;IF(AND(Config!$D$13&lt;&gt;"",O245&lt;&gt;"Sim",O245&lt;&gt;"N/A"),Config!$D$13&amp;"; ","")&amp;IF(AND(Config!$D$14&lt;&gt;"",P245&lt;&gt;"Sim",P245&lt;&gt;"N/A"),Config!$D$14&amp;"; ","")&amp;IF(AND(Config!$D$15&lt;&gt;"",Q245&lt;&gt;"Sim",Q245&lt;&gt;"N/A"),Config!$D$15&amp;"; ","")&amp;IF(AND(Config!$D$16&lt;&gt;"",R245&lt;&gt;"Sim",R245&lt;&gt;"N/A"),Config!$D$16&amp;"; ","")&amp;IF(AND(Config!$D$17&lt;&gt;"",S245&lt;&gt;"Sim",S245&lt;&gt;"N/A"),Config!$D$17&amp;"; ",""))</f>
        <v/>
      </c>
      <c r="AB245" s="39">
        <f>IF(A245="",0,COUNTIF($A$5:$A$304,"&gt;"&amp;A245)+1)</f>
        <v>0</v>
      </c>
    </row>
    <row r="246">
      <c r="A246" s="37" t="n"/>
      <c r="B246" s="24">
        <f>IF(A246="","",CHOOSE(WEEKDAY(A246,2),"Segunda","Terça","Quarta","Quinta","Sexta","Sábado","Domingo"))</f>
        <v/>
      </c>
      <c r="C246" s="38" t="n"/>
      <c r="D246" s="38" t="n"/>
      <c r="E246" s="38" t="n"/>
      <c r="F246" s="38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38" t="n"/>
      <c r="Q246" s="38" t="n"/>
      <c r="R246" s="38" t="n"/>
      <c r="S246" s="38" t="n"/>
      <c r="T246" s="26">
        <f>IF(A246="","",IFERROR(COUNTIF(D246:K246,"Sim")/(Config!$B$19-COUNTIF(D246:K246,"N/A")),""))</f>
        <v/>
      </c>
      <c r="U246" s="26">
        <f>IF(A246="","",IFERROR(COUNTIF(L246:S246,"Sim")/(Config!$D$19-COUNTIF(L246:S246,"N/A")),""))</f>
        <v/>
      </c>
      <c r="V246" s="24">
        <f>IF(A246="","",MAX(0,Config!$B$19-COUNTIF(D246:K246,"Sim")-COUNTIF(D246:K246,"N/A")))</f>
        <v/>
      </c>
      <c r="W246" s="24">
        <f>IF(A246="","",MAX(0,Config!$D$19-COUNTIF(L246:S246,"Sim")-COUNTIF(L246:S246,"N/A")))</f>
        <v/>
      </c>
      <c r="X246" s="24">
        <f>IF(A246="","",V246+W246)</f>
        <v/>
      </c>
      <c r="Y246" s="29">
        <f>IF(OR(A246="",AA246=""),"",LEFT(AA246,LEN(AA246)-2))</f>
        <v/>
      </c>
      <c r="Z246" s="39">
        <f>IF(OR(A246="",X246=0),0,X246*100000+A246/100000)</f>
        <v>0</v>
      </c>
      <c r="AA246" s="39">
        <f>IF(A246="","",IF(AND(Config!$B$10&lt;&gt;"",D246&lt;&gt;"Sim",D246&lt;&gt;"N/A"),Config!$B$10&amp;"; ","")&amp;IF(AND(Config!$B$11&lt;&gt;"",E246&lt;&gt;"Sim",E246&lt;&gt;"N/A"),Config!$B$11&amp;"; ","")&amp;IF(AND(Config!$B$12&lt;&gt;"",F246&lt;&gt;"Sim",F246&lt;&gt;"N/A"),Config!$B$12&amp;"; ","")&amp;IF(AND(Config!$B$13&lt;&gt;"",G246&lt;&gt;"Sim",G246&lt;&gt;"N/A"),Config!$B$13&amp;"; ","")&amp;IF(AND(Config!$B$14&lt;&gt;"",H246&lt;&gt;"Sim",H246&lt;&gt;"N/A"),Config!$B$14&amp;"; ","")&amp;IF(AND(Config!$B$15&lt;&gt;"",I246&lt;&gt;"Sim",I246&lt;&gt;"N/A"),Config!$B$15&amp;"; ","")&amp;IF(AND(Config!$B$16&lt;&gt;"",J246&lt;&gt;"Sim",J246&lt;&gt;"N/A"),Config!$B$16&amp;"; ","")&amp;IF(AND(Config!$B$17&lt;&gt;"",K246&lt;&gt;"Sim",K246&lt;&gt;"N/A"),Config!$B$17&amp;"; ","")&amp;IF(AND(Config!$D$10&lt;&gt;"",L246&lt;&gt;"Sim",L246&lt;&gt;"N/A"),Config!$D$10&amp;"; ","")&amp;IF(AND(Config!$D$11&lt;&gt;"",M246&lt;&gt;"Sim",M246&lt;&gt;"N/A"),Config!$D$11&amp;"; ","")&amp;IF(AND(Config!$D$12&lt;&gt;"",N246&lt;&gt;"Sim",N246&lt;&gt;"N/A"),Config!$D$12&amp;"; ","")&amp;IF(AND(Config!$D$13&lt;&gt;"",O246&lt;&gt;"Sim",O246&lt;&gt;"N/A"),Config!$D$13&amp;"; ","")&amp;IF(AND(Config!$D$14&lt;&gt;"",P246&lt;&gt;"Sim",P246&lt;&gt;"N/A"),Config!$D$14&amp;"; ","")&amp;IF(AND(Config!$D$15&lt;&gt;"",Q246&lt;&gt;"Sim",Q246&lt;&gt;"N/A"),Config!$D$15&amp;"; ","")&amp;IF(AND(Config!$D$16&lt;&gt;"",R246&lt;&gt;"Sim",R246&lt;&gt;"N/A"),Config!$D$16&amp;"; ","")&amp;IF(AND(Config!$D$17&lt;&gt;"",S246&lt;&gt;"Sim",S246&lt;&gt;"N/A"),Config!$D$17&amp;"; ",""))</f>
        <v/>
      </c>
      <c r="AB246" s="39">
        <f>IF(A246="",0,COUNTIF($A$5:$A$304,"&gt;"&amp;A246)+1)</f>
        <v>0</v>
      </c>
    </row>
    <row r="247">
      <c r="A247" s="37" t="n"/>
      <c r="B247" s="24">
        <f>IF(A247="","",CHOOSE(WEEKDAY(A247,2),"Segunda","Terça","Quarta","Quinta","Sexta","Sábado","Domingo"))</f>
        <v/>
      </c>
      <c r="C247" s="38" t="n"/>
      <c r="D247" s="38" t="n"/>
      <c r="E247" s="38" t="n"/>
      <c r="F247" s="38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38" t="n"/>
      <c r="Q247" s="38" t="n"/>
      <c r="R247" s="38" t="n"/>
      <c r="S247" s="38" t="n"/>
      <c r="T247" s="26">
        <f>IF(A247="","",IFERROR(COUNTIF(D247:K247,"Sim")/(Config!$B$19-COUNTIF(D247:K247,"N/A")),""))</f>
        <v/>
      </c>
      <c r="U247" s="26">
        <f>IF(A247="","",IFERROR(COUNTIF(L247:S247,"Sim")/(Config!$D$19-COUNTIF(L247:S247,"N/A")),""))</f>
        <v/>
      </c>
      <c r="V247" s="24">
        <f>IF(A247="","",MAX(0,Config!$B$19-COUNTIF(D247:K247,"Sim")-COUNTIF(D247:K247,"N/A")))</f>
        <v/>
      </c>
      <c r="W247" s="24">
        <f>IF(A247="","",MAX(0,Config!$D$19-COUNTIF(L247:S247,"Sim")-COUNTIF(L247:S247,"N/A")))</f>
        <v/>
      </c>
      <c r="X247" s="24">
        <f>IF(A247="","",V247+W247)</f>
        <v/>
      </c>
      <c r="Y247" s="29">
        <f>IF(OR(A247="",AA247=""),"",LEFT(AA247,LEN(AA247)-2))</f>
        <v/>
      </c>
      <c r="Z247" s="39">
        <f>IF(OR(A247="",X247=0),0,X247*100000+A247/100000)</f>
        <v>0</v>
      </c>
      <c r="AA247" s="39">
        <f>IF(A247="","",IF(AND(Config!$B$10&lt;&gt;"",D247&lt;&gt;"Sim",D247&lt;&gt;"N/A"),Config!$B$10&amp;"; ","")&amp;IF(AND(Config!$B$11&lt;&gt;"",E247&lt;&gt;"Sim",E247&lt;&gt;"N/A"),Config!$B$11&amp;"; ","")&amp;IF(AND(Config!$B$12&lt;&gt;"",F247&lt;&gt;"Sim",F247&lt;&gt;"N/A"),Config!$B$12&amp;"; ","")&amp;IF(AND(Config!$B$13&lt;&gt;"",G247&lt;&gt;"Sim",G247&lt;&gt;"N/A"),Config!$B$13&amp;"; ","")&amp;IF(AND(Config!$B$14&lt;&gt;"",H247&lt;&gt;"Sim",H247&lt;&gt;"N/A"),Config!$B$14&amp;"; ","")&amp;IF(AND(Config!$B$15&lt;&gt;"",I247&lt;&gt;"Sim",I247&lt;&gt;"N/A"),Config!$B$15&amp;"; ","")&amp;IF(AND(Config!$B$16&lt;&gt;"",J247&lt;&gt;"Sim",J247&lt;&gt;"N/A"),Config!$B$16&amp;"; ","")&amp;IF(AND(Config!$B$17&lt;&gt;"",K247&lt;&gt;"Sim",K247&lt;&gt;"N/A"),Config!$B$17&amp;"; ","")&amp;IF(AND(Config!$D$10&lt;&gt;"",L247&lt;&gt;"Sim",L247&lt;&gt;"N/A"),Config!$D$10&amp;"; ","")&amp;IF(AND(Config!$D$11&lt;&gt;"",M247&lt;&gt;"Sim",M247&lt;&gt;"N/A"),Config!$D$11&amp;"; ","")&amp;IF(AND(Config!$D$12&lt;&gt;"",N247&lt;&gt;"Sim",N247&lt;&gt;"N/A"),Config!$D$12&amp;"; ","")&amp;IF(AND(Config!$D$13&lt;&gt;"",O247&lt;&gt;"Sim",O247&lt;&gt;"N/A"),Config!$D$13&amp;"; ","")&amp;IF(AND(Config!$D$14&lt;&gt;"",P247&lt;&gt;"Sim",P247&lt;&gt;"N/A"),Config!$D$14&amp;"; ","")&amp;IF(AND(Config!$D$15&lt;&gt;"",Q247&lt;&gt;"Sim",Q247&lt;&gt;"N/A"),Config!$D$15&amp;"; ","")&amp;IF(AND(Config!$D$16&lt;&gt;"",R247&lt;&gt;"Sim",R247&lt;&gt;"N/A"),Config!$D$16&amp;"; ","")&amp;IF(AND(Config!$D$17&lt;&gt;"",S247&lt;&gt;"Sim",S247&lt;&gt;"N/A"),Config!$D$17&amp;"; ",""))</f>
        <v/>
      </c>
      <c r="AB247" s="39">
        <f>IF(A247="",0,COUNTIF($A$5:$A$304,"&gt;"&amp;A247)+1)</f>
        <v>0</v>
      </c>
    </row>
    <row r="248">
      <c r="A248" s="37" t="n"/>
      <c r="B248" s="24">
        <f>IF(A248="","",CHOOSE(WEEKDAY(A248,2),"Segunda","Terça","Quarta","Quinta","Sexta","Sábado","Domingo"))</f>
        <v/>
      </c>
      <c r="C248" s="38" t="n"/>
      <c r="D248" s="38" t="n"/>
      <c r="E248" s="38" t="n"/>
      <c r="F248" s="38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38" t="n"/>
      <c r="Q248" s="38" t="n"/>
      <c r="R248" s="38" t="n"/>
      <c r="S248" s="38" t="n"/>
      <c r="T248" s="26">
        <f>IF(A248="","",IFERROR(COUNTIF(D248:K248,"Sim")/(Config!$B$19-COUNTIF(D248:K248,"N/A")),""))</f>
        <v/>
      </c>
      <c r="U248" s="26">
        <f>IF(A248="","",IFERROR(COUNTIF(L248:S248,"Sim")/(Config!$D$19-COUNTIF(L248:S248,"N/A")),""))</f>
        <v/>
      </c>
      <c r="V248" s="24">
        <f>IF(A248="","",MAX(0,Config!$B$19-COUNTIF(D248:K248,"Sim")-COUNTIF(D248:K248,"N/A")))</f>
        <v/>
      </c>
      <c r="W248" s="24">
        <f>IF(A248="","",MAX(0,Config!$D$19-COUNTIF(L248:S248,"Sim")-COUNTIF(L248:S248,"N/A")))</f>
        <v/>
      </c>
      <c r="X248" s="24">
        <f>IF(A248="","",V248+W248)</f>
        <v/>
      </c>
      <c r="Y248" s="29">
        <f>IF(OR(A248="",AA248=""),"",LEFT(AA248,LEN(AA248)-2))</f>
        <v/>
      </c>
      <c r="Z248" s="39">
        <f>IF(OR(A248="",X248=0),0,X248*100000+A248/100000)</f>
        <v>0</v>
      </c>
      <c r="AA248" s="39">
        <f>IF(A248="","",IF(AND(Config!$B$10&lt;&gt;"",D248&lt;&gt;"Sim",D248&lt;&gt;"N/A"),Config!$B$10&amp;"; ","")&amp;IF(AND(Config!$B$11&lt;&gt;"",E248&lt;&gt;"Sim",E248&lt;&gt;"N/A"),Config!$B$11&amp;"; ","")&amp;IF(AND(Config!$B$12&lt;&gt;"",F248&lt;&gt;"Sim",F248&lt;&gt;"N/A"),Config!$B$12&amp;"; ","")&amp;IF(AND(Config!$B$13&lt;&gt;"",G248&lt;&gt;"Sim",G248&lt;&gt;"N/A"),Config!$B$13&amp;"; ","")&amp;IF(AND(Config!$B$14&lt;&gt;"",H248&lt;&gt;"Sim",H248&lt;&gt;"N/A"),Config!$B$14&amp;"; ","")&amp;IF(AND(Config!$B$15&lt;&gt;"",I248&lt;&gt;"Sim",I248&lt;&gt;"N/A"),Config!$B$15&amp;"; ","")&amp;IF(AND(Config!$B$16&lt;&gt;"",J248&lt;&gt;"Sim",J248&lt;&gt;"N/A"),Config!$B$16&amp;"; ","")&amp;IF(AND(Config!$B$17&lt;&gt;"",K248&lt;&gt;"Sim",K248&lt;&gt;"N/A"),Config!$B$17&amp;"; ","")&amp;IF(AND(Config!$D$10&lt;&gt;"",L248&lt;&gt;"Sim",L248&lt;&gt;"N/A"),Config!$D$10&amp;"; ","")&amp;IF(AND(Config!$D$11&lt;&gt;"",M248&lt;&gt;"Sim",M248&lt;&gt;"N/A"),Config!$D$11&amp;"; ","")&amp;IF(AND(Config!$D$12&lt;&gt;"",N248&lt;&gt;"Sim",N248&lt;&gt;"N/A"),Config!$D$12&amp;"; ","")&amp;IF(AND(Config!$D$13&lt;&gt;"",O248&lt;&gt;"Sim",O248&lt;&gt;"N/A"),Config!$D$13&amp;"; ","")&amp;IF(AND(Config!$D$14&lt;&gt;"",P248&lt;&gt;"Sim",P248&lt;&gt;"N/A"),Config!$D$14&amp;"; ","")&amp;IF(AND(Config!$D$15&lt;&gt;"",Q248&lt;&gt;"Sim",Q248&lt;&gt;"N/A"),Config!$D$15&amp;"; ","")&amp;IF(AND(Config!$D$16&lt;&gt;"",R248&lt;&gt;"Sim",R248&lt;&gt;"N/A"),Config!$D$16&amp;"; ","")&amp;IF(AND(Config!$D$17&lt;&gt;"",S248&lt;&gt;"Sim",S248&lt;&gt;"N/A"),Config!$D$17&amp;"; ",""))</f>
        <v/>
      </c>
      <c r="AB248" s="39">
        <f>IF(A248="",0,COUNTIF($A$5:$A$304,"&gt;"&amp;A248)+1)</f>
        <v>0</v>
      </c>
    </row>
    <row r="249">
      <c r="A249" s="37" t="n"/>
      <c r="B249" s="24">
        <f>IF(A249="","",CHOOSE(WEEKDAY(A249,2),"Segunda","Terça","Quarta","Quinta","Sexta","Sábado","Domingo"))</f>
        <v/>
      </c>
      <c r="C249" s="38" t="n"/>
      <c r="D249" s="38" t="n"/>
      <c r="E249" s="38" t="n"/>
      <c r="F249" s="38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26">
        <f>IF(A249="","",IFERROR(COUNTIF(D249:K249,"Sim")/(Config!$B$19-COUNTIF(D249:K249,"N/A")),""))</f>
        <v/>
      </c>
      <c r="U249" s="26">
        <f>IF(A249="","",IFERROR(COUNTIF(L249:S249,"Sim")/(Config!$D$19-COUNTIF(L249:S249,"N/A")),""))</f>
        <v/>
      </c>
      <c r="V249" s="24">
        <f>IF(A249="","",MAX(0,Config!$B$19-COUNTIF(D249:K249,"Sim")-COUNTIF(D249:K249,"N/A")))</f>
        <v/>
      </c>
      <c r="W249" s="24">
        <f>IF(A249="","",MAX(0,Config!$D$19-COUNTIF(L249:S249,"Sim")-COUNTIF(L249:S249,"N/A")))</f>
        <v/>
      </c>
      <c r="X249" s="24">
        <f>IF(A249="","",V249+W249)</f>
        <v/>
      </c>
      <c r="Y249" s="29">
        <f>IF(OR(A249="",AA249=""),"",LEFT(AA249,LEN(AA249)-2))</f>
        <v/>
      </c>
      <c r="Z249" s="39">
        <f>IF(OR(A249="",X249=0),0,X249*100000+A249/100000)</f>
        <v>0</v>
      </c>
      <c r="AA249" s="39">
        <f>IF(A249="","",IF(AND(Config!$B$10&lt;&gt;"",D249&lt;&gt;"Sim",D249&lt;&gt;"N/A"),Config!$B$10&amp;"; ","")&amp;IF(AND(Config!$B$11&lt;&gt;"",E249&lt;&gt;"Sim",E249&lt;&gt;"N/A"),Config!$B$11&amp;"; ","")&amp;IF(AND(Config!$B$12&lt;&gt;"",F249&lt;&gt;"Sim",F249&lt;&gt;"N/A"),Config!$B$12&amp;"; ","")&amp;IF(AND(Config!$B$13&lt;&gt;"",G249&lt;&gt;"Sim",G249&lt;&gt;"N/A"),Config!$B$13&amp;"; ","")&amp;IF(AND(Config!$B$14&lt;&gt;"",H249&lt;&gt;"Sim",H249&lt;&gt;"N/A"),Config!$B$14&amp;"; ","")&amp;IF(AND(Config!$B$15&lt;&gt;"",I249&lt;&gt;"Sim",I249&lt;&gt;"N/A"),Config!$B$15&amp;"; ","")&amp;IF(AND(Config!$B$16&lt;&gt;"",J249&lt;&gt;"Sim",J249&lt;&gt;"N/A"),Config!$B$16&amp;"; ","")&amp;IF(AND(Config!$B$17&lt;&gt;"",K249&lt;&gt;"Sim",K249&lt;&gt;"N/A"),Config!$B$17&amp;"; ","")&amp;IF(AND(Config!$D$10&lt;&gt;"",L249&lt;&gt;"Sim",L249&lt;&gt;"N/A"),Config!$D$10&amp;"; ","")&amp;IF(AND(Config!$D$11&lt;&gt;"",M249&lt;&gt;"Sim",M249&lt;&gt;"N/A"),Config!$D$11&amp;"; ","")&amp;IF(AND(Config!$D$12&lt;&gt;"",N249&lt;&gt;"Sim",N249&lt;&gt;"N/A"),Config!$D$12&amp;"; ","")&amp;IF(AND(Config!$D$13&lt;&gt;"",O249&lt;&gt;"Sim",O249&lt;&gt;"N/A"),Config!$D$13&amp;"; ","")&amp;IF(AND(Config!$D$14&lt;&gt;"",P249&lt;&gt;"Sim",P249&lt;&gt;"N/A"),Config!$D$14&amp;"; ","")&amp;IF(AND(Config!$D$15&lt;&gt;"",Q249&lt;&gt;"Sim",Q249&lt;&gt;"N/A"),Config!$D$15&amp;"; ","")&amp;IF(AND(Config!$D$16&lt;&gt;"",R249&lt;&gt;"Sim",R249&lt;&gt;"N/A"),Config!$D$16&amp;"; ","")&amp;IF(AND(Config!$D$17&lt;&gt;"",S249&lt;&gt;"Sim",S249&lt;&gt;"N/A"),Config!$D$17&amp;"; ",""))</f>
        <v/>
      </c>
      <c r="AB249" s="39">
        <f>IF(A249="",0,COUNTIF($A$5:$A$304,"&gt;"&amp;A249)+1)</f>
        <v>0</v>
      </c>
    </row>
    <row r="250">
      <c r="A250" s="37" t="n"/>
      <c r="B250" s="24">
        <f>IF(A250="","",CHOOSE(WEEKDAY(A250,2),"Segunda","Terça","Quarta","Quinta","Sexta","Sábado","Domingo"))</f>
        <v/>
      </c>
      <c r="C250" s="38" t="n"/>
      <c r="D250" s="38" t="n"/>
      <c r="E250" s="38" t="n"/>
      <c r="F250" s="38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38" t="n"/>
      <c r="Q250" s="38" t="n"/>
      <c r="R250" s="38" t="n"/>
      <c r="S250" s="38" t="n"/>
      <c r="T250" s="26">
        <f>IF(A250="","",IFERROR(COUNTIF(D250:K250,"Sim")/(Config!$B$19-COUNTIF(D250:K250,"N/A")),""))</f>
        <v/>
      </c>
      <c r="U250" s="26">
        <f>IF(A250="","",IFERROR(COUNTIF(L250:S250,"Sim")/(Config!$D$19-COUNTIF(L250:S250,"N/A")),""))</f>
        <v/>
      </c>
      <c r="V250" s="24">
        <f>IF(A250="","",MAX(0,Config!$B$19-COUNTIF(D250:K250,"Sim")-COUNTIF(D250:K250,"N/A")))</f>
        <v/>
      </c>
      <c r="W250" s="24">
        <f>IF(A250="","",MAX(0,Config!$D$19-COUNTIF(L250:S250,"Sim")-COUNTIF(L250:S250,"N/A")))</f>
        <v/>
      </c>
      <c r="X250" s="24">
        <f>IF(A250="","",V250+W250)</f>
        <v/>
      </c>
      <c r="Y250" s="29">
        <f>IF(OR(A250="",AA250=""),"",LEFT(AA250,LEN(AA250)-2))</f>
        <v/>
      </c>
      <c r="Z250" s="39">
        <f>IF(OR(A250="",X250=0),0,X250*100000+A250/100000)</f>
        <v>0</v>
      </c>
      <c r="AA250" s="39">
        <f>IF(A250="","",IF(AND(Config!$B$10&lt;&gt;"",D250&lt;&gt;"Sim",D250&lt;&gt;"N/A"),Config!$B$10&amp;"; ","")&amp;IF(AND(Config!$B$11&lt;&gt;"",E250&lt;&gt;"Sim",E250&lt;&gt;"N/A"),Config!$B$11&amp;"; ","")&amp;IF(AND(Config!$B$12&lt;&gt;"",F250&lt;&gt;"Sim",F250&lt;&gt;"N/A"),Config!$B$12&amp;"; ","")&amp;IF(AND(Config!$B$13&lt;&gt;"",G250&lt;&gt;"Sim",G250&lt;&gt;"N/A"),Config!$B$13&amp;"; ","")&amp;IF(AND(Config!$B$14&lt;&gt;"",H250&lt;&gt;"Sim",H250&lt;&gt;"N/A"),Config!$B$14&amp;"; ","")&amp;IF(AND(Config!$B$15&lt;&gt;"",I250&lt;&gt;"Sim",I250&lt;&gt;"N/A"),Config!$B$15&amp;"; ","")&amp;IF(AND(Config!$B$16&lt;&gt;"",J250&lt;&gt;"Sim",J250&lt;&gt;"N/A"),Config!$B$16&amp;"; ","")&amp;IF(AND(Config!$B$17&lt;&gt;"",K250&lt;&gt;"Sim",K250&lt;&gt;"N/A"),Config!$B$17&amp;"; ","")&amp;IF(AND(Config!$D$10&lt;&gt;"",L250&lt;&gt;"Sim",L250&lt;&gt;"N/A"),Config!$D$10&amp;"; ","")&amp;IF(AND(Config!$D$11&lt;&gt;"",M250&lt;&gt;"Sim",M250&lt;&gt;"N/A"),Config!$D$11&amp;"; ","")&amp;IF(AND(Config!$D$12&lt;&gt;"",N250&lt;&gt;"Sim",N250&lt;&gt;"N/A"),Config!$D$12&amp;"; ","")&amp;IF(AND(Config!$D$13&lt;&gt;"",O250&lt;&gt;"Sim",O250&lt;&gt;"N/A"),Config!$D$13&amp;"; ","")&amp;IF(AND(Config!$D$14&lt;&gt;"",P250&lt;&gt;"Sim",P250&lt;&gt;"N/A"),Config!$D$14&amp;"; ","")&amp;IF(AND(Config!$D$15&lt;&gt;"",Q250&lt;&gt;"Sim",Q250&lt;&gt;"N/A"),Config!$D$15&amp;"; ","")&amp;IF(AND(Config!$D$16&lt;&gt;"",R250&lt;&gt;"Sim",R250&lt;&gt;"N/A"),Config!$D$16&amp;"; ","")&amp;IF(AND(Config!$D$17&lt;&gt;"",S250&lt;&gt;"Sim",S250&lt;&gt;"N/A"),Config!$D$17&amp;"; ",""))</f>
        <v/>
      </c>
      <c r="AB250" s="39">
        <f>IF(A250="",0,COUNTIF($A$5:$A$304,"&gt;"&amp;A250)+1)</f>
        <v>0</v>
      </c>
    </row>
    <row r="251">
      <c r="A251" s="37" t="n"/>
      <c r="B251" s="24">
        <f>IF(A251="","",CHOOSE(WEEKDAY(A251,2),"Segunda","Terça","Quarta","Quinta","Sexta","Sábado","Domingo"))</f>
        <v/>
      </c>
      <c r="C251" s="38" t="n"/>
      <c r="D251" s="38" t="n"/>
      <c r="E251" s="38" t="n"/>
      <c r="F251" s="38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38" t="n"/>
      <c r="Q251" s="38" t="n"/>
      <c r="R251" s="38" t="n"/>
      <c r="S251" s="38" t="n"/>
      <c r="T251" s="26">
        <f>IF(A251="","",IFERROR(COUNTIF(D251:K251,"Sim")/(Config!$B$19-COUNTIF(D251:K251,"N/A")),""))</f>
        <v/>
      </c>
      <c r="U251" s="26">
        <f>IF(A251="","",IFERROR(COUNTIF(L251:S251,"Sim")/(Config!$D$19-COUNTIF(L251:S251,"N/A")),""))</f>
        <v/>
      </c>
      <c r="V251" s="24">
        <f>IF(A251="","",MAX(0,Config!$B$19-COUNTIF(D251:K251,"Sim")-COUNTIF(D251:K251,"N/A")))</f>
        <v/>
      </c>
      <c r="W251" s="24">
        <f>IF(A251="","",MAX(0,Config!$D$19-COUNTIF(L251:S251,"Sim")-COUNTIF(L251:S251,"N/A")))</f>
        <v/>
      </c>
      <c r="X251" s="24">
        <f>IF(A251="","",V251+W251)</f>
        <v/>
      </c>
      <c r="Y251" s="29">
        <f>IF(OR(A251="",AA251=""),"",LEFT(AA251,LEN(AA251)-2))</f>
        <v/>
      </c>
      <c r="Z251" s="39">
        <f>IF(OR(A251="",X251=0),0,X251*100000+A251/100000)</f>
        <v>0</v>
      </c>
      <c r="AA251" s="39">
        <f>IF(A251="","",IF(AND(Config!$B$10&lt;&gt;"",D251&lt;&gt;"Sim",D251&lt;&gt;"N/A"),Config!$B$10&amp;"; ","")&amp;IF(AND(Config!$B$11&lt;&gt;"",E251&lt;&gt;"Sim",E251&lt;&gt;"N/A"),Config!$B$11&amp;"; ","")&amp;IF(AND(Config!$B$12&lt;&gt;"",F251&lt;&gt;"Sim",F251&lt;&gt;"N/A"),Config!$B$12&amp;"; ","")&amp;IF(AND(Config!$B$13&lt;&gt;"",G251&lt;&gt;"Sim",G251&lt;&gt;"N/A"),Config!$B$13&amp;"; ","")&amp;IF(AND(Config!$B$14&lt;&gt;"",H251&lt;&gt;"Sim",H251&lt;&gt;"N/A"),Config!$B$14&amp;"; ","")&amp;IF(AND(Config!$B$15&lt;&gt;"",I251&lt;&gt;"Sim",I251&lt;&gt;"N/A"),Config!$B$15&amp;"; ","")&amp;IF(AND(Config!$B$16&lt;&gt;"",J251&lt;&gt;"Sim",J251&lt;&gt;"N/A"),Config!$B$16&amp;"; ","")&amp;IF(AND(Config!$B$17&lt;&gt;"",K251&lt;&gt;"Sim",K251&lt;&gt;"N/A"),Config!$B$17&amp;"; ","")&amp;IF(AND(Config!$D$10&lt;&gt;"",L251&lt;&gt;"Sim",L251&lt;&gt;"N/A"),Config!$D$10&amp;"; ","")&amp;IF(AND(Config!$D$11&lt;&gt;"",M251&lt;&gt;"Sim",M251&lt;&gt;"N/A"),Config!$D$11&amp;"; ","")&amp;IF(AND(Config!$D$12&lt;&gt;"",N251&lt;&gt;"Sim",N251&lt;&gt;"N/A"),Config!$D$12&amp;"; ","")&amp;IF(AND(Config!$D$13&lt;&gt;"",O251&lt;&gt;"Sim",O251&lt;&gt;"N/A"),Config!$D$13&amp;"; ","")&amp;IF(AND(Config!$D$14&lt;&gt;"",P251&lt;&gt;"Sim",P251&lt;&gt;"N/A"),Config!$D$14&amp;"; ","")&amp;IF(AND(Config!$D$15&lt;&gt;"",Q251&lt;&gt;"Sim",Q251&lt;&gt;"N/A"),Config!$D$15&amp;"; ","")&amp;IF(AND(Config!$D$16&lt;&gt;"",R251&lt;&gt;"Sim",R251&lt;&gt;"N/A"),Config!$D$16&amp;"; ","")&amp;IF(AND(Config!$D$17&lt;&gt;"",S251&lt;&gt;"Sim",S251&lt;&gt;"N/A"),Config!$D$17&amp;"; ",""))</f>
        <v/>
      </c>
      <c r="AB251" s="39">
        <f>IF(A251="",0,COUNTIF($A$5:$A$304,"&gt;"&amp;A251)+1)</f>
        <v>0</v>
      </c>
    </row>
    <row r="252">
      <c r="A252" s="37" t="n"/>
      <c r="B252" s="24">
        <f>IF(A252="","",CHOOSE(WEEKDAY(A252,2),"Segunda","Terça","Quarta","Quinta","Sexta","Sábado","Domingo"))</f>
        <v/>
      </c>
      <c r="C252" s="38" t="n"/>
      <c r="D252" s="38" t="n"/>
      <c r="E252" s="38" t="n"/>
      <c r="F252" s="38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38" t="n"/>
      <c r="Q252" s="38" t="n"/>
      <c r="R252" s="38" t="n"/>
      <c r="S252" s="38" t="n"/>
      <c r="T252" s="26">
        <f>IF(A252="","",IFERROR(COUNTIF(D252:K252,"Sim")/(Config!$B$19-COUNTIF(D252:K252,"N/A")),""))</f>
        <v/>
      </c>
      <c r="U252" s="26">
        <f>IF(A252="","",IFERROR(COUNTIF(L252:S252,"Sim")/(Config!$D$19-COUNTIF(L252:S252,"N/A")),""))</f>
        <v/>
      </c>
      <c r="V252" s="24">
        <f>IF(A252="","",MAX(0,Config!$B$19-COUNTIF(D252:K252,"Sim")-COUNTIF(D252:K252,"N/A")))</f>
        <v/>
      </c>
      <c r="W252" s="24">
        <f>IF(A252="","",MAX(0,Config!$D$19-COUNTIF(L252:S252,"Sim")-COUNTIF(L252:S252,"N/A")))</f>
        <v/>
      </c>
      <c r="X252" s="24">
        <f>IF(A252="","",V252+W252)</f>
        <v/>
      </c>
      <c r="Y252" s="29">
        <f>IF(OR(A252="",AA252=""),"",LEFT(AA252,LEN(AA252)-2))</f>
        <v/>
      </c>
      <c r="Z252" s="39">
        <f>IF(OR(A252="",X252=0),0,X252*100000+A252/100000)</f>
        <v>0</v>
      </c>
      <c r="AA252" s="39">
        <f>IF(A252="","",IF(AND(Config!$B$10&lt;&gt;"",D252&lt;&gt;"Sim",D252&lt;&gt;"N/A"),Config!$B$10&amp;"; ","")&amp;IF(AND(Config!$B$11&lt;&gt;"",E252&lt;&gt;"Sim",E252&lt;&gt;"N/A"),Config!$B$11&amp;"; ","")&amp;IF(AND(Config!$B$12&lt;&gt;"",F252&lt;&gt;"Sim",F252&lt;&gt;"N/A"),Config!$B$12&amp;"; ","")&amp;IF(AND(Config!$B$13&lt;&gt;"",G252&lt;&gt;"Sim",G252&lt;&gt;"N/A"),Config!$B$13&amp;"; ","")&amp;IF(AND(Config!$B$14&lt;&gt;"",H252&lt;&gt;"Sim",H252&lt;&gt;"N/A"),Config!$B$14&amp;"; ","")&amp;IF(AND(Config!$B$15&lt;&gt;"",I252&lt;&gt;"Sim",I252&lt;&gt;"N/A"),Config!$B$15&amp;"; ","")&amp;IF(AND(Config!$B$16&lt;&gt;"",J252&lt;&gt;"Sim",J252&lt;&gt;"N/A"),Config!$B$16&amp;"; ","")&amp;IF(AND(Config!$B$17&lt;&gt;"",K252&lt;&gt;"Sim",K252&lt;&gt;"N/A"),Config!$B$17&amp;"; ","")&amp;IF(AND(Config!$D$10&lt;&gt;"",L252&lt;&gt;"Sim",L252&lt;&gt;"N/A"),Config!$D$10&amp;"; ","")&amp;IF(AND(Config!$D$11&lt;&gt;"",M252&lt;&gt;"Sim",M252&lt;&gt;"N/A"),Config!$D$11&amp;"; ","")&amp;IF(AND(Config!$D$12&lt;&gt;"",N252&lt;&gt;"Sim",N252&lt;&gt;"N/A"),Config!$D$12&amp;"; ","")&amp;IF(AND(Config!$D$13&lt;&gt;"",O252&lt;&gt;"Sim",O252&lt;&gt;"N/A"),Config!$D$13&amp;"; ","")&amp;IF(AND(Config!$D$14&lt;&gt;"",P252&lt;&gt;"Sim",P252&lt;&gt;"N/A"),Config!$D$14&amp;"; ","")&amp;IF(AND(Config!$D$15&lt;&gt;"",Q252&lt;&gt;"Sim",Q252&lt;&gt;"N/A"),Config!$D$15&amp;"; ","")&amp;IF(AND(Config!$D$16&lt;&gt;"",R252&lt;&gt;"Sim",R252&lt;&gt;"N/A"),Config!$D$16&amp;"; ","")&amp;IF(AND(Config!$D$17&lt;&gt;"",S252&lt;&gt;"Sim",S252&lt;&gt;"N/A"),Config!$D$17&amp;"; ",""))</f>
        <v/>
      </c>
      <c r="AB252" s="39">
        <f>IF(A252="",0,COUNTIF($A$5:$A$304,"&gt;"&amp;A252)+1)</f>
        <v>0</v>
      </c>
    </row>
    <row r="253">
      <c r="A253" s="37" t="n"/>
      <c r="B253" s="24">
        <f>IF(A253="","",CHOOSE(WEEKDAY(A253,2),"Segunda","Terça","Quarta","Quinta","Sexta","Sábado","Domingo"))</f>
        <v/>
      </c>
      <c r="C253" s="38" t="n"/>
      <c r="D253" s="38" t="n"/>
      <c r="E253" s="38" t="n"/>
      <c r="F253" s="38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26">
        <f>IF(A253="","",IFERROR(COUNTIF(D253:K253,"Sim")/(Config!$B$19-COUNTIF(D253:K253,"N/A")),""))</f>
        <v/>
      </c>
      <c r="U253" s="26">
        <f>IF(A253="","",IFERROR(COUNTIF(L253:S253,"Sim")/(Config!$D$19-COUNTIF(L253:S253,"N/A")),""))</f>
        <v/>
      </c>
      <c r="V253" s="24">
        <f>IF(A253="","",MAX(0,Config!$B$19-COUNTIF(D253:K253,"Sim")-COUNTIF(D253:K253,"N/A")))</f>
        <v/>
      </c>
      <c r="W253" s="24">
        <f>IF(A253="","",MAX(0,Config!$D$19-COUNTIF(L253:S253,"Sim")-COUNTIF(L253:S253,"N/A")))</f>
        <v/>
      </c>
      <c r="X253" s="24">
        <f>IF(A253="","",V253+W253)</f>
        <v/>
      </c>
      <c r="Y253" s="29">
        <f>IF(OR(A253="",AA253=""),"",LEFT(AA253,LEN(AA253)-2))</f>
        <v/>
      </c>
      <c r="Z253" s="39">
        <f>IF(OR(A253="",X253=0),0,X253*100000+A253/100000)</f>
        <v>0</v>
      </c>
      <c r="AA253" s="39">
        <f>IF(A253="","",IF(AND(Config!$B$10&lt;&gt;"",D253&lt;&gt;"Sim",D253&lt;&gt;"N/A"),Config!$B$10&amp;"; ","")&amp;IF(AND(Config!$B$11&lt;&gt;"",E253&lt;&gt;"Sim",E253&lt;&gt;"N/A"),Config!$B$11&amp;"; ","")&amp;IF(AND(Config!$B$12&lt;&gt;"",F253&lt;&gt;"Sim",F253&lt;&gt;"N/A"),Config!$B$12&amp;"; ","")&amp;IF(AND(Config!$B$13&lt;&gt;"",G253&lt;&gt;"Sim",G253&lt;&gt;"N/A"),Config!$B$13&amp;"; ","")&amp;IF(AND(Config!$B$14&lt;&gt;"",H253&lt;&gt;"Sim",H253&lt;&gt;"N/A"),Config!$B$14&amp;"; ","")&amp;IF(AND(Config!$B$15&lt;&gt;"",I253&lt;&gt;"Sim",I253&lt;&gt;"N/A"),Config!$B$15&amp;"; ","")&amp;IF(AND(Config!$B$16&lt;&gt;"",J253&lt;&gt;"Sim",J253&lt;&gt;"N/A"),Config!$B$16&amp;"; ","")&amp;IF(AND(Config!$B$17&lt;&gt;"",K253&lt;&gt;"Sim",K253&lt;&gt;"N/A"),Config!$B$17&amp;"; ","")&amp;IF(AND(Config!$D$10&lt;&gt;"",L253&lt;&gt;"Sim",L253&lt;&gt;"N/A"),Config!$D$10&amp;"; ","")&amp;IF(AND(Config!$D$11&lt;&gt;"",M253&lt;&gt;"Sim",M253&lt;&gt;"N/A"),Config!$D$11&amp;"; ","")&amp;IF(AND(Config!$D$12&lt;&gt;"",N253&lt;&gt;"Sim",N253&lt;&gt;"N/A"),Config!$D$12&amp;"; ","")&amp;IF(AND(Config!$D$13&lt;&gt;"",O253&lt;&gt;"Sim",O253&lt;&gt;"N/A"),Config!$D$13&amp;"; ","")&amp;IF(AND(Config!$D$14&lt;&gt;"",P253&lt;&gt;"Sim",P253&lt;&gt;"N/A"),Config!$D$14&amp;"; ","")&amp;IF(AND(Config!$D$15&lt;&gt;"",Q253&lt;&gt;"Sim",Q253&lt;&gt;"N/A"),Config!$D$15&amp;"; ","")&amp;IF(AND(Config!$D$16&lt;&gt;"",R253&lt;&gt;"Sim",R253&lt;&gt;"N/A"),Config!$D$16&amp;"; ","")&amp;IF(AND(Config!$D$17&lt;&gt;"",S253&lt;&gt;"Sim",S253&lt;&gt;"N/A"),Config!$D$17&amp;"; ",""))</f>
        <v/>
      </c>
      <c r="AB253" s="39">
        <f>IF(A253="",0,COUNTIF($A$5:$A$304,"&gt;"&amp;A253)+1)</f>
        <v>0</v>
      </c>
    </row>
    <row r="254">
      <c r="A254" s="37" t="n"/>
      <c r="B254" s="24">
        <f>IF(A254="","",CHOOSE(WEEKDAY(A254,2),"Segunda","Terça","Quarta","Quinta","Sexta","Sábado","Domingo"))</f>
        <v/>
      </c>
      <c r="C254" s="38" t="n"/>
      <c r="D254" s="38" t="n"/>
      <c r="E254" s="38" t="n"/>
      <c r="F254" s="38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38" t="n"/>
      <c r="Q254" s="38" t="n"/>
      <c r="R254" s="38" t="n"/>
      <c r="S254" s="38" t="n"/>
      <c r="T254" s="26">
        <f>IF(A254="","",IFERROR(COUNTIF(D254:K254,"Sim")/(Config!$B$19-COUNTIF(D254:K254,"N/A")),""))</f>
        <v/>
      </c>
      <c r="U254" s="26">
        <f>IF(A254="","",IFERROR(COUNTIF(L254:S254,"Sim")/(Config!$D$19-COUNTIF(L254:S254,"N/A")),""))</f>
        <v/>
      </c>
      <c r="V254" s="24">
        <f>IF(A254="","",MAX(0,Config!$B$19-COUNTIF(D254:K254,"Sim")-COUNTIF(D254:K254,"N/A")))</f>
        <v/>
      </c>
      <c r="W254" s="24">
        <f>IF(A254="","",MAX(0,Config!$D$19-COUNTIF(L254:S254,"Sim")-COUNTIF(L254:S254,"N/A")))</f>
        <v/>
      </c>
      <c r="X254" s="24">
        <f>IF(A254="","",V254+W254)</f>
        <v/>
      </c>
      <c r="Y254" s="29">
        <f>IF(OR(A254="",AA254=""),"",LEFT(AA254,LEN(AA254)-2))</f>
        <v/>
      </c>
      <c r="Z254" s="39">
        <f>IF(OR(A254="",X254=0),0,X254*100000+A254/100000)</f>
        <v>0</v>
      </c>
      <c r="AA254" s="39">
        <f>IF(A254="","",IF(AND(Config!$B$10&lt;&gt;"",D254&lt;&gt;"Sim",D254&lt;&gt;"N/A"),Config!$B$10&amp;"; ","")&amp;IF(AND(Config!$B$11&lt;&gt;"",E254&lt;&gt;"Sim",E254&lt;&gt;"N/A"),Config!$B$11&amp;"; ","")&amp;IF(AND(Config!$B$12&lt;&gt;"",F254&lt;&gt;"Sim",F254&lt;&gt;"N/A"),Config!$B$12&amp;"; ","")&amp;IF(AND(Config!$B$13&lt;&gt;"",G254&lt;&gt;"Sim",G254&lt;&gt;"N/A"),Config!$B$13&amp;"; ","")&amp;IF(AND(Config!$B$14&lt;&gt;"",H254&lt;&gt;"Sim",H254&lt;&gt;"N/A"),Config!$B$14&amp;"; ","")&amp;IF(AND(Config!$B$15&lt;&gt;"",I254&lt;&gt;"Sim",I254&lt;&gt;"N/A"),Config!$B$15&amp;"; ","")&amp;IF(AND(Config!$B$16&lt;&gt;"",J254&lt;&gt;"Sim",J254&lt;&gt;"N/A"),Config!$B$16&amp;"; ","")&amp;IF(AND(Config!$B$17&lt;&gt;"",K254&lt;&gt;"Sim",K254&lt;&gt;"N/A"),Config!$B$17&amp;"; ","")&amp;IF(AND(Config!$D$10&lt;&gt;"",L254&lt;&gt;"Sim",L254&lt;&gt;"N/A"),Config!$D$10&amp;"; ","")&amp;IF(AND(Config!$D$11&lt;&gt;"",M254&lt;&gt;"Sim",M254&lt;&gt;"N/A"),Config!$D$11&amp;"; ","")&amp;IF(AND(Config!$D$12&lt;&gt;"",N254&lt;&gt;"Sim",N254&lt;&gt;"N/A"),Config!$D$12&amp;"; ","")&amp;IF(AND(Config!$D$13&lt;&gt;"",O254&lt;&gt;"Sim",O254&lt;&gt;"N/A"),Config!$D$13&amp;"; ","")&amp;IF(AND(Config!$D$14&lt;&gt;"",P254&lt;&gt;"Sim",P254&lt;&gt;"N/A"),Config!$D$14&amp;"; ","")&amp;IF(AND(Config!$D$15&lt;&gt;"",Q254&lt;&gt;"Sim",Q254&lt;&gt;"N/A"),Config!$D$15&amp;"; ","")&amp;IF(AND(Config!$D$16&lt;&gt;"",R254&lt;&gt;"Sim",R254&lt;&gt;"N/A"),Config!$D$16&amp;"; ","")&amp;IF(AND(Config!$D$17&lt;&gt;"",S254&lt;&gt;"Sim",S254&lt;&gt;"N/A"),Config!$D$17&amp;"; ",""))</f>
        <v/>
      </c>
      <c r="AB254" s="39">
        <f>IF(A254="",0,COUNTIF($A$5:$A$304,"&gt;"&amp;A254)+1)</f>
        <v>0</v>
      </c>
    </row>
    <row r="255">
      <c r="A255" s="37" t="n"/>
      <c r="B255" s="24">
        <f>IF(A255="","",CHOOSE(WEEKDAY(A255,2),"Segunda","Terça","Quarta","Quinta","Sexta","Sábado","Domingo"))</f>
        <v/>
      </c>
      <c r="C255" s="38" t="n"/>
      <c r="D255" s="38" t="n"/>
      <c r="E255" s="38" t="n"/>
      <c r="F255" s="38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38" t="n"/>
      <c r="Q255" s="38" t="n"/>
      <c r="R255" s="38" t="n"/>
      <c r="S255" s="38" t="n"/>
      <c r="T255" s="26">
        <f>IF(A255="","",IFERROR(COUNTIF(D255:K255,"Sim")/(Config!$B$19-COUNTIF(D255:K255,"N/A")),""))</f>
        <v/>
      </c>
      <c r="U255" s="26">
        <f>IF(A255="","",IFERROR(COUNTIF(L255:S255,"Sim")/(Config!$D$19-COUNTIF(L255:S255,"N/A")),""))</f>
        <v/>
      </c>
      <c r="V255" s="24">
        <f>IF(A255="","",MAX(0,Config!$B$19-COUNTIF(D255:K255,"Sim")-COUNTIF(D255:K255,"N/A")))</f>
        <v/>
      </c>
      <c r="W255" s="24">
        <f>IF(A255="","",MAX(0,Config!$D$19-COUNTIF(L255:S255,"Sim")-COUNTIF(L255:S255,"N/A")))</f>
        <v/>
      </c>
      <c r="X255" s="24">
        <f>IF(A255="","",V255+W255)</f>
        <v/>
      </c>
      <c r="Y255" s="29">
        <f>IF(OR(A255="",AA255=""),"",LEFT(AA255,LEN(AA255)-2))</f>
        <v/>
      </c>
      <c r="Z255" s="39">
        <f>IF(OR(A255="",X255=0),0,X255*100000+A255/100000)</f>
        <v>0</v>
      </c>
      <c r="AA255" s="39">
        <f>IF(A255="","",IF(AND(Config!$B$10&lt;&gt;"",D255&lt;&gt;"Sim",D255&lt;&gt;"N/A"),Config!$B$10&amp;"; ","")&amp;IF(AND(Config!$B$11&lt;&gt;"",E255&lt;&gt;"Sim",E255&lt;&gt;"N/A"),Config!$B$11&amp;"; ","")&amp;IF(AND(Config!$B$12&lt;&gt;"",F255&lt;&gt;"Sim",F255&lt;&gt;"N/A"),Config!$B$12&amp;"; ","")&amp;IF(AND(Config!$B$13&lt;&gt;"",G255&lt;&gt;"Sim",G255&lt;&gt;"N/A"),Config!$B$13&amp;"; ","")&amp;IF(AND(Config!$B$14&lt;&gt;"",H255&lt;&gt;"Sim",H255&lt;&gt;"N/A"),Config!$B$14&amp;"; ","")&amp;IF(AND(Config!$B$15&lt;&gt;"",I255&lt;&gt;"Sim",I255&lt;&gt;"N/A"),Config!$B$15&amp;"; ","")&amp;IF(AND(Config!$B$16&lt;&gt;"",J255&lt;&gt;"Sim",J255&lt;&gt;"N/A"),Config!$B$16&amp;"; ","")&amp;IF(AND(Config!$B$17&lt;&gt;"",K255&lt;&gt;"Sim",K255&lt;&gt;"N/A"),Config!$B$17&amp;"; ","")&amp;IF(AND(Config!$D$10&lt;&gt;"",L255&lt;&gt;"Sim",L255&lt;&gt;"N/A"),Config!$D$10&amp;"; ","")&amp;IF(AND(Config!$D$11&lt;&gt;"",M255&lt;&gt;"Sim",M255&lt;&gt;"N/A"),Config!$D$11&amp;"; ","")&amp;IF(AND(Config!$D$12&lt;&gt;"",N255&lt;&gt;"Sim",N255&lt;&gt;"N/A"),Config!$D$12&amp;"; ","")&amp;IF(AND(Config!$D$13&lt;&gt;"",O255&lt;&gt;"Sim",O255&lt;&gt;"N/A"),Config!$D$13&amp;"; ","")&amp;IF(AND(Config!$D$14&lt;&gt;"",P255&lt;&gt;"Sim",P255&lt;&gt;"N/A"),Config!$D$14&amp;"; ","")&amp;IF(AND(Config!$D$15&lt;&gt;"",Q255&lt;&gt;"Sim",Q255&lt;&gt;"N/A"),Config!$D$15&amp;"; ","")&amp;IF(AND(Config!$D$16&lt;&gt;"",R255&lt;&gt;"Sim",R255&lt;&gt;"N/A"),Config!$D$16&amp;"; ","")&amp;IF(AND(Config!$D$17&lt;&gt;"",S255&lt;&gt;"Sim",S255&lt;&gt;"N/A"),Config!$D$17&amp;"; ",""))</f>
        <v/>
      </c>
      <c r="AB255" s="39">
        <f>IF(A255="",0,COUNTIF($A$5:$A$304,"&gt;"&amp;A255)+1)</f>
        <v>0</v>
      </c>
    </row>
    <row r="256">
      <c r="A256" s="37" t="n"/>
      <c r="B256" s="24">
        <f>IF(A256="","",CHOOSE(WEEKDAY(A256,2),"Segunda","Terça","Quarta","Quinta","Sexta","Sábado","Domingo"))</f>
        <v/>
      </c>
      <c r="C256" s="38" t="n"/>
      <c r="D256" s="38" t="n"/>
      <c r="E256" s="38" t="n"/>
      <c r="F256" s="38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38" t="n"/>
      <c r="Q256" s="38" t="n"/>
      <c r="R256" s="38" t="n"/>
      <c r="S256" s="38" t="n"/>
      <c r="T256" s="26">
        <f>IF(A256="","",IFERROR(COUNTIF(D256:K256,"Sim")/(Config!$B$19-COUNTIF(D256:K256,"N/A")),""))</f>
        <v/>
      </c>
      <c r="U256" s="26">
        <f>IF(A256="","",IFERROR(COUNTIF(L256:S256,"Sim")/(Config!$D$19-COUNTIF(L256:S256,"N/A")),""))</f>
        <v/>
      </c>
      <c r="V256" s="24">
        <f>IF(A256="","",MAX(0,Config!$B$19-COUNTIF(D256:K256,"Sim")-COUNTIF(D256:K256,"N/A")))</f>
        <v/>
      </c>
      <c r="W256" s="24">
        <f>IF(A256="","",MAX(0,Config!$D$19-COUNTIF(L256:S256,"Sim")-COUNTIF(L256:S256,"N/A")))</f>
        <v/>
      </c>
      <c r="X256" s="24">
        <f>IF(A256="","",V256+W256)</f>
        <v/>
      </c>
      <c r="Y256" s="29">
        <f>IF(OR(A256="",AA256=""),"",LEFT(AA256,LEN(AA256)-2))</f>
        <v/>
      </c>
      <c r="Z256" s="39">
        <f>IF(OR(A256="",X256=0),0,X256*100000+A256/100000)</f>
        <v>0</v>
      </c>
      <c r="AA256" s="39">
        <f>IF(A256="","",IF(AND(Config!$B$10&lt;&gt;"",D256&lt;&gt;"Sim",D256&lt;&gt;"N/A"),Config!$B$10&amp;"; ","")&amp;IF(AND(Config!$B$11&lt;&gt;"",E256&lt;&gt;"Sim",E256&lt;&gt;"N/A"),Config!$B$11&amp;"; ","")&amp;IF(AND(Config!$B$12&lt;&gt;"",F256&lt;&gt;"Sim",F256&lt;&gt;"N/A"),Config!$B$12&amp;"; ","")&amp;IF(AND(Config!$B$13&lt;&gt;"",G256&lt;&gt;"Sim",G256&lt;&gt;"N/A"),Config!$B$13&amp;"; ","")&amp;IF(AND(Config!$B$14&lt;&gt;"",H256&lt;&gt;"Sim",H256&lt;&gt;"N/A"),Config!$B$14&amp;"; ","")&amp;IF(AND(Config!$B$15&lt;&gt;"",I256&lt;&gt;"Sim",I256&lt;&gt;"N/A"),Config!$B$15&amp;"; ","")&amp;IF(AND(Config!$B$16&lt;&gt;"",J256&lt;&gt;"Sim",J256&lt;&gt;"N/A"),Config!$B$16&amp;"; ","")&amp;IF(AND(Config!$B$17&lt;&gt;"",K256&lt;&gt;"Sim",K256&lt;&gt;"N/A"),Config!$B$17&amp;"; ","")&amp;IF(AND(Config!$D$10&lt;&gt;"",L256&lt;&gt;"Sim",L256&lt;&gt;"N/A"),Config!$D$10&amp;"; ","")&amp;IF(AND(Config!$D$11&lt;&gt;"",M256&lt;&gt;"Sim",M256&lt;&gt;"N/A"),Config!$D$11&amp;"; ","")&amp;IF(AND(Config!$D$12&lt;&gt;"",N256&lt;&gt;"Sim",N256&lt;&gt;"N/A"),Config!$D$12&amp;"; ","")&amp;IF(AND(Config!$D$13&lt;&gt;"",O256&lt;&gt;"Sim",O256&lt;&gt;"N/A"),Config!$D$13&amp;"; ","")&amp;IF(AND(Config!$D$14&lt;&gt;"",P256&lt;&gt;"Sim",P256&lt;&gt;"N/A"),Config!$D$14&amp;"; ","")&amp;IF(AND(Config!$D$15&lt;&gt;"",Q256&lt;&gt;"Sim",Q256&lt;&gt;"N/A"),Config!$D$15&amp;"; ","")&amp;IF(AND(Config!$D$16&lt;&gt;"",R256&lt;&gt;"Sim",R256&lt;&gt;"N/A"),Config!$D$16&amp;"; ","")&amp;IF(AND(Config!$D$17&lt;&gt;"",S256&lt;&gt;"Sim",S256&lt;&gt;"N/A"),Config!$D$17&amp;"; ",""))</f>
        <v/>
      </c>
      <c r="AB256" s="39">
        <f>IF(A256="",0,COUNTIF($A$5:$A$304,"&gt;"&amp;A256)+1)</f>
        <v>0</v>
      </c>
    </row>
    <row r="257">
      <c r="A257" s="37" t="n"/>
      <c r="B257" s="24">
        <f>IF(A257="","",CHOOSE(WEEKDAY(A257,2),"Segunda","Terça","Quarta","Quinta","Sexta","Sábado","Domingo"))</f>
        <v/>
      </c>
      <c r="C257" s="38" t="n"/>
      <c r="D257" s="38" t="n"/>
      <c r="E257" s="38" t="n"/>
      <c r="F257" s="38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26">
        <f>IF(A257="","",IFERROR(COUNTIF(D257:K257,"Sim")/(Config!$B$19-COUNTIF(D257:K257,"N/A")),""))</f>
        <v/>
      </c>
      <c r="U257" s="26">
        <f>IF(A257="","",IFERROR(COUNTIF(L257:S257,"Sim")/(Config!$D$19-COUNTIF(L257:S257,"N/A")),""))</f>
        <v/>
      </c>
      <c r="V257" s="24">
        <f>IF(A257="","",MAX(0,Config!$B$19-COUNTIF(D257:K257,"Sim")-COUNTIF(D257:K257,"N/A")))</f>
        <v/>
      </c>
      <c r="W257" s="24">
        <f>IF(A257="","",MAX(0,Config!$D$19-COUNTIF(L257:S257,"Sim")-COUNTIF(L257:S257,"N/A")))</f>
        <v/>
      </c>
      <c r="X257" s="24">
        <f>IF(A257="","",V257+W257)</f>
        <v/>
      </c>
      <c r="Y257" s="29">
        <f>IF(OR(A257="",AA257=""),"",LEFT(AA257,LEN(AA257)-2))</f>
        <v/>
      </c>
      <c r="Z257" s="39">
        <f>IF(OR(A257="",X257=0),0,X257*100000+A257/100000)</f>
        <v>0</v>
      </c>
      <c r="AA257" s="39">
        <f>IF(A257="","",IF(AND(Config!$B$10&lt;&gt;"",D257&lt;&gt;"Sim",D257&lt;&gt;"N/A"),Config!$B$10&amp;"; ","")&amp;IF(AND(Config!$B$11&lt;&gt;"",E257&lt;&gt;"Sim",E257&lt;&gt;"N/A"),Config!$B$11&amp;"; ","")&amp;IF(AND(Config!$B$12&lt;&gt;"",F257&lt;&gt;"Sim",F257&lt;&gt;"N/A"),Config!$B$12&amp;"; ","")&amp;IF(AND(Config!$B$13&lt;&gt;"",G257&lt;&gt;"Sim",G257&lt;&gt;"N/A"),Config!$B$13&amp;"; ","")&amp;IF(AND(Config!$B$14&lt;&gt;"",H257&lt;&gt;"Sim",H257&lt;&gt;"N/A"),Config!$B$14&amp;"; ","")&amp;IF(AND(Config!$B$15&lt;&gt;"",I257&lt;&gt;"Sim",I257&lt;&gt;"N/A"),Config!$B$15&amp;"; ","")&amp;IF(AND(Config!$B$16&lt;&gt;"",J257&lt;&gt;"Sim",J257&lt;&gt;"N/A"),Config!$B$16&amp;"; ","")&amp;IF(AND(Config!$B$17&lt;&gt;"",K257&lt;&gt;"Sim",K257&lt;&gt;"N/A"),Config!$B$17&amp;"; ","")&amp;IF(AND(Config!$D$10&lt;&gt;"",L257&lt;&gt;"Sim",L257&lt;&gt;"N/A"),Config!$D$10&amp;"; ","")&amp;IF(AND(Config!$D$11&lt;&gt;"",M257&lt;&gt;"Sim",M257&lt;&gt;"N/A"),Config!$D$11&amp;"; ","")&amp;IF(AND(Config!$D$12&lt;&gt;"",N257&lt;&gt;"Sim",N257&lt;&gt;"N/A"),Config!$D$12&amp;"; ","")&amp;IF(AND(Config!$D$13&lt;&gt;"",O257&lt;&gt;"Sim",O257&lt;&gt;"N/A"),Config!$D$13&amp;"; ","")&amp;IF(AND(Config!$D$14&lt;&gt;"",P257&lt;&gt;"Sim",P257&lt;&gt;"N/A"),Config!$D$14&amp;"; ","")&amp;IF(AND(Config!$D$15&lt;&gt;"",Q257&lt;&gt;"Sim",Q257&lt;&gt;"N/A"),Config!$D$15&amp;"; ","")&amp;IF(AND(Config!$D$16&lt;&gt;"",R257&lt;&gt;"Sim",R257&lt;&gt;"N/A"),Config!$D$16&amp;"; ","")&amp;IF(AND(Config!$D$17&lt;&gt;"",S257&lt;&gt;"Sim",S257&lt;&gt;"N/A"),Config!$D$17&amp;"; ",""))</f>
        <v/>
      </c>
      <c r="AB257" s="39">
        <f>IF(A257="",0,COUNTIF($A$5:$A$304,"&gt;"&amp;A257)+1)</f>
        <v>0</v>
      </c>
    </row>
    <row r="258">
      <c r="A258" s="37" t="n"/>
      <c r="B258" s="24">
        <f>IF(A258="","",CHOOSE(WEEKDAY(A258,2),"Segunda","Terça","Quarta","Quinta","Sexta","Sábado","Domingo"))</f>
        <v/>
      </c>
      <c r="C258" s="38" t="n"/>
      <c r="D258" s="38" t="n"/>
      <c r="E258" s="38" t="n"/>
      <c r="F258" s="38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38" t="n"/>
      <c r="Q258" s="38" t="n"/>
      <c r="R258" s="38" t="n"/>
      <c r="S258" s="38" t="n"/>
      <c r="T258" s="26">
        <f>IF(A258="","",IFERROR(COUNTIF(D258:K258,"Sim")/(Config!$B$19-COUNTIF(D258:K258,"N/A")),""))</f>
        <v/>
      </c>
      <c r="U258" s="26">
        <f>IF(A258="","",IFERROR(COUNTIF(L258:S258,"Sim")/(Config!$D$19-COUNTIF(L258:S258,"N/A")),""))</f>
        <v/>
      </c>
      <c r="V258" s="24">
        <f>IF(A258="","",MAX(0,Config!$B$19-COUNTIF(D258:K258,"Sim")-COUNTIF(D258:K258,"N/A")))</f>
        <v/>
      </c>
      <c r="W258" s="24">
        <f>IF(A258="","",MAX(0,Config!$D$19-COUNTIF(L258:S258,"Sim")-COUNTIF(L258:S258,"N/A")))</f>
        <v/>
      </c>
      <c r="X258" s="24">
        <f>IF(A258="","",V258+W258)</f>
        <v/>
      </c>
      <c r="Y258" s="29">
        <f>IF(OR(A258="",AA258=""),"",LEFT(AA258,LEN(AA258)-2))</f>
        <v/>
      </c>
      <c r="Z258" s="39">
        <f>IF(OR(A258="",X258=0),0,X258*100000+A258/100000)</f>
        <v>0</v>
      </c>
      <c r="AA258" s="39">
        <f>IF(A258="","",IF(AND(Config!$B$10&lt;&gt;"",D258&lt;&gt;"Sim",D258&lt;&gt;"N/A"),Config!$B$10&amp;"; ","")&amp;IF(AND(Config!$B$11&lt;&gt;"",E258&lt;&gt;"Sim",E258&lt;&gt;"N/A"),Config!$B$11&amp;"; ","")&amp;IF(AND(Config!$B$12&lt;&gt;"",F258&lt;&gt;"Sim",F258&lt;&gt;"N/A"),Config!$B$12&amp;"; ","")&amp;IF(AND(Config!$B$13&lt;&gt;"",G258&lt;&gt;"Sim",G258&lt;&gt;"N/A"),Config!$B$13&amp;"; ","")&amp;IF(AND(Config!$B$14&lt;&gt;"",H258&lt;&gt;"Sim",H258&lt;&gt;"N/A"),Config!$B$14&amp;"; ","")&amp;IF(AND(Config!$B$15&lt;&gt;"",I258&lt;&gt;"Sim",I258&lt;&gt;"N/A"),Config!$B$15&amp;"; ","")&amp;IF(AND(Config!$B$16&lt;&gt;"",J258&lt;&gt;"Sim",J258&lt;&gt;"N/A"),Config!$B$16&amp;"; ","")&amp;IF(AND(Config!$B$17&lt;&gt;"",K258&lt;&gt;"Sim",K258&lt;&gt;"N/A"),Config!$B$17&amp;"; ","")&amp;IF(AND(Config!$D$10&lt;&gt;"",L258&lt;&gt;"Sim",L258&lt;&gt;"N/A"),Config!$D$10&amp;"; ","")&amp;IF(AND(Config!$D$11&lt;&gt;"",M258&lt;&gt;"Sim",M258&lt;&gt;"N/A"),Config!$D$11&amp;"; ","")&amp;IF(AND(Config!$D$12&lt;&gt;"",N258&lt;&gt;"Sim",N258&lt;&gt;"N/A"),Config!$D$12&amp;"; ","")&amp;IF(AND(Config!$D$13&lt;&gt;"",O258&lt;&gt;"Sim",O258&lt;&gt;"N/A"),Config!$D$13&amp;"; ","")&amp;IF(AND(Config!$D$14&lt;&gt;"",P258&lt;&gt;"Sim",P258&lt;&gt;"N/A"),Config!$D$14&amp;"; ","")&amp;IF(AND(Config!$D$15&lt;&gt;"",Q258&lt;&gt;"Sim",Q258&lt;&gt;"N/A"),Config!$D$15&amp;"; ","")&amp;IF(AND(Config!$D$16&lt;&gt;"",R258&lt;&gt;"Sim",R258&lt;&gt;"N/A"),Config!$D$16&amp;"; ","")&amp;IF(AND(Config!$D$17&lt;&gt;"",S258&lt;&gt;"Sim",S258&lt;&gt;"N/A"),Config!$D$17&amp;"; ",""))</f>
        <v/>
      </c>
      <c r="AB258" s="39">
        <f>IF(A258="",0,COUNTIF($A$5:$A$304,"&gt;"&amp;A258)+1)</f>
        <v>0</v>
      </c>
    </row>
    <row r="259">
      <c r="A259" s="37" t="n"/>
      <c r="B259" s="24">
        <f>IF(A259="","",CHOOSE(WEEKDAY(A259,2),"Segunda","Terça","Quarta","Quinta","Sexta","Sábado","Domingo"))</f>
        <v/>
      </c>
      <c r="C259" s="38" t="n"/>
      <c r="D259" s="38" t="n"/>
      <c r="E259" s="38" t="n"/>
      <c r="F259" s="38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38" t="n"/>
      <c r="Q259" s="38" t="n"/>
      <c r="R259" s="38" t="n"/>
      <c r="S259" s="38" t="n"/>
      <c r="T259" s="26">
        <f>IF(A259="","",IFERROR(COUNTIF(D259:K259,"Sim")/(Config!$B$19-COUNTIF(D259:K259,"N/A")),""))</f>
        <v/>
      </c>
      <c r="U259" s="26">
        <f>IF(A259="","",IFERROR(COUNTIF(L259:S259,"Sim")/(Config!$D$19-COUNTIF(L259:S259,"N/A")),""))</f>
        <v/>
      </c>
      <c r="V259" s="24">
        <f>IF(A259="","",MAX(0,Config!$B$19-COUNTIF(D259:K259,"Sim")-COUNTIF(D259:K259,"N/A")))</f>
        <v/>
      </c>
      <c r="W259" s="24">
        <f>IF(A259="","",MAX(0,Config!$D$19-COUNTIF(L259:S259,"Sim")-COUNTIF(L259:S259,"N/A")))</f>
        <v/>
      </c>
      <c r="X259" s="24">
        <f>IF(A259="","",V259+W259)</f>
        <v/>
      </c>
      <c r="Y259" s="29">
        <f>IF(OR(A259="",AA259=""),"",LEFT(AA259,LEN(AA259)-2))</f>
        <v/>
      </c>
      <c r="Z259" s="39">
        <f>IF(OR(A259="",X259=0),0,X259*100000+A259/100000)</f>
        <v>0</v>
      </c>
      <c r="AA259" s="39">
        <f>IF(A259="","",IF(AND(Config!$B$10&lt;&gt;"",D259&lt;&gt;"Sim",D259&lt;&gt;"N/A"),Config!$B$10&amp;"; ","")&amp;IF(AND(Config!$B$11&lt;&gt;"",E259&lt;&gt;"Sim",E259&lt;&gt;"N/A"),Config!$B$11&amp;"; ","")&amp;IF(AND(Config!$B$12&lt;&gt;"",F259&lt;&gt;"Sim",F259&lt;&gt;"N/A"),Config!$B$12&amp;"; ","")&amp;IF(AND(Config!$B$13&lt;&gt;"",G259&lt;&gt;"Sim",G259&lt;&gt;"N/A"),Config!$B$13&amp;"; ","")&amp;IF(AND(Config!$B$14&lt;&gt;"",H259&lt;&gt;"Sim",H259&lt;&gt;"N/A"),Config!$B$14&amp;"; ","")&amp;IF(AND(Config!$B$15&lt;&gt;"",I259&lt;&gt;"Sim",I259&lt;&gt;"N/A"),Config!$B$15&amp;"; ","")&amp;IF(AND(Config!$B$16&lt;&gt;"",J259&lt;&gt;"Sim",J259&lt;&gt;"N/A"),Config!$B$16&amp;"; ","")&amp;IF(AND(Config!$B$17&lt;&gt;"",K259&lt;&gt;"Sim",K259&lt;&gt;"N/A"),Config!$B$17&amp;"; ","")&amp;IF(AND(Config!$D$10&lt;&gt;"",L259&lt;&gt;"Sim",L259&lt;&gt;"N/A"),Config!$D$10&amp;"; ","")&amp;IF(AND(Config!$D$11&lt;&gt;"",M259&lt;&gt;"Sim",M259&lt;&gt;"N/A"),Config!$D$11&amp;"; ","")&amp;IF(AND(Config!$D$12&lt;&gt;"",N259&lt;&gt;"Sim",N259&lt;&gt;"N/A"),Config!$D$12&amp;"; ","")&amp;IF(AND(Config!$D$13&lt;&gt;"",O259&lt;&gt;"Sim",O259&lt;&gt;"N/A"),Config!$D$13&amp;"; ","")&amp;IF(AND(Config!$D$14&lt;&gt;"",P259&lt;&gt;"Sim",P259&lt;&gt;"N/A"),Config!$D$14&amp;"; ","")&amp;IF(AND(Config!$D$15&lt;&gt;"",Q259&lt;&gt;"Sim",Q259&lt;&gt;"N/A"),Config!$D$15&amp;"; ","")&amp;IF(AND(Config!$D$16&lt;&gt;"",R259&lt;&gt;"Sim",R259&lt;&gt;"N/A"),Config!$D$16&amp;"; ","")&amp;IF(AND(Config!$D$17&lt;&gt;"",S259&lt;&gt;"Sim",S259&lt;&gt;"N/A"),Config!$D$17&amp;"; ",""))</f>
        <v/>
      </c>
      <c r="AB259" s="39">
        <f>IF(A259="",0,COUNTIF($A$5:$A$304,"&gt;"&amp;A259)+1)</f>
        <v>0</v>
      </c>
    </row>
    <row r="260">
      <c r="A260" s="37" t="n"/>
      <c r="B260" s="24">
        <f>IF(A260="","",CHOOSE(WEEKDAY(A260,2),"Segunda","Terça","Quarta","Quinta","Sexta","Sábado","Domingo"))</f>
        <v/>
      </c>
      <c r="C260" s="38" t="n"/>
      <c r="D260" s="38" t="n"/>
      <c r="E260" s="38" t="n"/>
      <c r="F260" s="38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38" t="n"/>
      <c r="Q260" s="38" t="n"/>
      <c r="R260" s="38" t="n"/>
      <c r="S260" s="38" t="n"/>
      <c r="T260" s="26">
        <f>IF(A260="","",IFERROR(COUNTIF(D260:K260,"Sim")/(Config!$B$19-COUNTIF(D260:K260,"N/A")),""))</f>
        <v/>
      </c>
      <c r="U260" s="26">
        <f>IF(A260="","",IFERROR(COUNTIF(L260:S260,"Sim")/(Config!$D$19-COUNTIF(L260:S260,"N/A")),""))</f>
        <v/>
      </c>
      <c r="V260" s="24">
        <f>IF(A260="","",MAX(0,Config!$B$19-COUNTIF(D260:K260,"Sim")-COUNTIF(D260:K260,"N/A")))</f>
        <v/>
      </c>
      <c r="W260" s="24">
        <f>IF(A260="","",MAX(0,Config!$D$19-COUNTIF(L260:S260,"Sim")-COUNTIF(L260:S260,"N/A")))</f>
        <v/>
      </c>
      <c r="X260" s="24">
        <f>IF(A260="","",V260+W260)</f>
        <v/>
      </c>
      <c r="Y260" s="29">
        <f>IF(OR(A260="",AA260=""),"",LEFT(AA260,LEN(AA260)-2))</f>
        <v/>
      </c>
      <c r="Z260" s="39">
        <f>IF(OR(A260="",X260=0),0,X260*100000+A260/100000)</f>
        <v>0</v>
      </c>
      <c r="AA260" s="39">
        <f>IF(A260="","",IF(AND(Config!$B$10&lt;&gt;"",D260&lt;&gt;"Sim",D260&lt;&gt;"N/A"),Config!$B$10&amp;"; ","")&amp;IF(AND(Config!$B$11&lt;&gt;"",E260&lt;&gt;"Sim",E260&lt;&gt;"N/A"),Config!$B$11&amp;"; ","")&amp;IF(AND(Config!$B$12&lt;&gt;"",F260&lt;&gt;"Sim",F260&lt;&gt;"N/A"),Config!$B$12&amp;"; ","")&amp;IF(AND(Config!$B$13&lt;&gt;"",G260&lt;&gt;"Sim",G260&lt;&gt;"N/A"),Config!$B$13&amp;"; ","")&amp;IF(AND(Config!$B$14&lt;&gt;"",H260&lt;&gt;"Sim",H260&lt;&gt;"N/A"),Config!$B$14&amp;"; ","")&amp;IF(AND(Config!$B$15&lt;&gt;"",I260&lt;&gt;"Sim",I260&lt;&gt;"N/A"),Config!$B$15&amp;"; ","")&amp;IF(AND(Config!$B$16&lt;&gt;"",J260&lt;&gt;"Sim",J260&lt;&gt;"N/A"),Config!$B$16&amp;"; ","")&amp;IF(AND(Config!$B$17&lt;&gt;"",K260&lt;&gt;"Sim",K260&lt;&gt;"N/A"),Config!$B$17&amp;"; ","")&amp;IF(AND(Config!$D$10&lt;&gt;"",L260&lt;&gt;"Sim",L260&lt;&gt;"N/A"),Config!$D$10&amp;"; ","")&amp;IF(AND(Config!$D$11&lt;&gt;"",M260&lt;&gt;"Sim",M260&lt;&gt;"N/A"),Config!$D$11&amp;"; ","")&amp;IF(AND(Config!$D$12&lt;&gt;"",N260&lt;&gt;"Sim",N260&lt;&gt;"N/A"),Config!$D$12&amp;"; ","")&amp;IF(AND(Config!$D$13&lt;&gt;"",O260&lt;&gt;"Sim",O260&lt;&gt;"N/A"),Config!$D$13&amp;"; ","")&amp;IF(AND(Config!$D$14&lt;&gt;"",P260&lt;&gt;"Sim",P260&lt;&gt;"N/A"),Config!$D$14&amp;"; ","")&amp;IF(AND(Config!$D$15&lt;&gt;"",Q260&lt;&gt;"Sim",Q260&lt;&gt;"N/A"),Config!$D$15&amp;"; ","")&amp;IF(AND(Config!$D$16&lt;&gt;"",R260&lt;&gt;"Sim",R260&lt;&gt;"N/A"),Config!$D$16&amp;"; ","")&amp;IF(AND(Config!$D$17&lt;&gt;"",S260&lt;&gt;"Sim",S260&lt;&gt;"N/A"),Config!$D$17&amp;"; ",""))</f>
        <v/>
      </c>
      <c r="AB260" s="39">
        <f>IF(A260="",0,COUNTIF($A$5:$A$304,"&gt;"&amp;A260)+1)</f>
        <v>0</v>
      </c>
    </row>
    <row r="261">
      <c r="A261" s="37" t="n"/>
      <c r="B261" s="24">
        <f>IF(A261="","",CHOOSE(WEEKDAY(A261,2),"Segunda","Terça","Quarta","Quinta","Sexta","Sábado","Domingo"))</f>
        <v/>
      </c>
      <c r="C261" s="38" t="n"/>
      <c r="D261" s="38" t="n"/>
      <c r="E261" s="38" t="n"/>
      <c r="F261" s="38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38" t="n"/>
      <c r="Q261" s="38" t="n"/>
      <c r="R261" s="38" t="n"/>
      <c r="S261" s="38" t="n"/>
      <c r="T261" s="26">
        <f>IF(A261="","",IFERROR(COUNTIF(D261:K261,"Sim")/(Config!$B$19-COUNTIF(D261:K261,"N/A")),""))</f>
        <v/>
      </c>
      <c r="U261" s="26">
        <f>IF(A261="","",IFERROR(COUNTIF(L261:S261,"Sim")/(Config!$D$19-COUNTIF(L261:S261,"N/A")),""))</f>
        <v/>
      </c>
      <c r="V261" s="24">
        <f>IF(A261="","",MAX(0,Config!$B$19-COUNTIF(D261:K261,"Sim")-COUNTIF(D261:K261,"N/A")))</f>
        <v/>
      </c>
      <c r="W261" s="24">
        <f>IF(A261="","",MAX(0,Config!$D$19-COUNTIF(L261:S261,"Sim")-COUNTIF(L261:S261,"N/A")))</f>
        <v/>
      </c>
      <c r="X261" s="24">
        <f>IF(A261="","",V261+W261)</f>
        <v/>
      </c>
      <c r="Y261" s="29">
        <f>IF(OR(A261="",AA261=""),"",LEFT(AA261,LEN(AA261)-2))</f>
        <v/>
      </c>
      <c r="Z261" s="39">
        <f>IF(OR(A261="",X261=0),0,X261*100000+A261/100000)</f>
        <v>0</v>
      </c>
      <c r="AA261" s="39">
        <f>IF(A261="","",IF(AND(Config!$B$10&lt;&gt;"",D261&lt;&gt;"Sim",D261&lt;&gt;"N/A"),Config!$B$10&amp;"; ","")&amp;IF(AND(Config!$B$11&lt;&gt;"",E261&lt;&gt;"Sim",E261&lt;&gt;"N/A"),Config!$B$11&amp;"; ","")&amp;IF(AND(Config!$B$12&lt;&gt;"",F261&lt;&gt;"Sim",F261&lt;&gt;"N/A"),Config!$B$12&amp;"; ","")&amp;IF(AND(Config!$B$13&lt;&gt;"",G261&lt;&gt;"Sim",G261&lt;&gt;"N/A"),Config!$B$13&amp;"; ","")&amp;IF(AND(Config!$B$14&lt;&gt;"",H261&lt;&gt;"Sim",H261&lt;&gt;"N/A"),Config!$B$14&amp;"; ","")&amp;IF(AND(Config!$B$15&lt;&gt;"",I261&lt;&gt;"Sim",I261&lt;&gt;"N/A"),Config!$B$15&amp;"; ","")&amp;IF(AND(Config!$B$16&lt;&gt;"",J261&lt;&gt;"Sim",J261&lt;&gt;"N/A"),Config!$B$16&amp;"; ","")&amp;IF(AND(Config!$B$17&lt;&gt;"",K261&lt;&gt;"Sim",K261&lt;&gt;"N/A"),Config!$B$17&amp;"; ","")&amp;IF(AND(Config!$D$10&lt;&gt;"",L261&lt;&gt;"Sim",L261&lt;&gt;"N/A"),Config!$D$10&amp;"; ","")&amp;IF(AND(Config!$D$11&lt;&gt;"",M261&lt;&gt;"Sim",M261&lt;&gt;"N/A"),Config!$D$11&amp;"; ","")&amp;IF(AND(Config!$D$12&lt;&gt;"",N261&lt;&gt;"Sim",N261&lt;&gt;"N/A"),Config!$D$12&amp;"; ","")&amp;IF(AND(Config!$D$13&lt;&gt;"",O261&lt;&gt;"Sim",O261&lt;&gt;"N/A"),Config!$D$13&amp;"; ","")&amp;IF(AND(Config!$D$14&lt;&gt;"",P261&lt;&gt;"Sim",P261&lt;&gt;"N/A"),Config!$D$14&amp;"; ","")&amp;IF(AND(Config!$D$15&lt;&gt;"",Q261&lt;&gt;"Sim",Q261&lt;&gt;"N/A"),Config!$D$15&amp;"; ","")&amp;IF(AND(Config!$D$16&lt;&gt;"",R261&lt;&gt;"Sim",R261&lt;&gt;"N/A"),Config!$D$16&amp;"; ","")&amp;IF(AND(Config!$D$17&lt;&gt;"",S261&lt;&gt;"Sim",S261&lt;&gt;"N/A"),Config!$D$17&amp;"; ",""))</f>
        <v/>
      </c>
      <c r="AB261" s="39">
        <f>IF(A261="",0,COUNTIF($A$5:$A$304,"&gt;"&amp;A261)+1)</f>
        <v>0</v>
      </c>
    </row>
    <row r="262">
      <c r="A262" s="37" t="n"/>
      <c r="B262" s="24">
        <f>IF(A262="","",CHOOSE(WEEKDAY(A262,2),"Segunda","Terça","Quarta","Quinta","Sexta","Sábado","Domingo"))</f>
        <v/>
      </c>
      <c r="C262" s="38" t="n"/>
      <c r="D262" s="38" t="n"/>
      <c r="E262" s="38" t="n"/>
      <c r="F262" s="38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38" t="n"/>
      <c r="Q262" s="38" t="n"/>
      <c r="R262" s="38" t="n"/>
      <c r="S262" s="38" t="n"/>
      <c r="T262" s="26">
        <f>IF(A262="","",IFERROR(COUNTIF(D262:K262,"Sim")/(Config!$B$19-COUNTIF(D262:K262,"N/A")),""))</f>
        <v/>
      </c>
      <c r="U262" s="26">
        <f>IF(A262="","",IFERROR(COUNTIF(L262:S262,"Sim")/(Config!$D$19-COUNTIF(L262:S262,"N/A")),""))</f>
        <v/>
      </c>
      <c r="V262" s="24">
        <f>IF(A262="","",MAX(0,Config!$B$19-COUNTIF(D262:K262,"Sim")-COUNTIF(D262:K262,"N/A")))</f>
        <v/>
      </c>
      <c r="W262" s="24">
        <f>IF(A262="","",MAX(0,Config!$D$19-COUNTIF(L262:S262,"Sim")-COUNTIF(L262:S262,"N/A")))</f>
        <v/>
      </c>
      <c r="X262" s="24">
        <f>IF(A262="","",V262+W262)</f>
        <v/>
      </c>
      <c r="Y262" s="29">
        <f>IF(OR(A262="",AA262=""),"",LEFT(AA262,LEN(AA262)-2))</f>
        <v/>
      </c>
      <c r="Z262" s="39">
        <f>IF(OR(A262="",X262=0),0,X262*100000+A262/100000)</f>
        <v>0</v>
      </c>
      <c r="AA262" s="39">
        <f>IF(A262="","",IF(AND(Config!$B$10&lt;&gt;"",D262&lt;&gt;"Sim",D262&lt;&gt;"N/A"),Config!$B$10&amp;"; ","")&amp;IF(AND(Config!$B$11&lt;&gt;"",E262&lt;&gt;"Sim",E262&lt;&gt;"N/A"),Config!$B$11&amp;"; ","")&amp;IF(AND(Config!$B$12&lt;&gt;"",F262&lt;&gt;"Sim",F262&lt;&gt;"N/A"),Config!$B$12&amp;"; ","")&amp;IF(AND(Config!$B$13&lt;&gt;"",G262&lt;&gt;"Sim",G262&lt;&gt;"N/A"),Config!$B$13&amp;"; ","")&amp;IF(AND(Config!$B$14&lt;&gt;"",H262&lt;&gt;"Sim",H262&lt;&gt;"N/A"),Config!$B$14&amp;"; ","")&amp;IF(AND(Config!$B$15&lt;&gt;"",I262&lt;&gt;"Sim",I262&lt;&gt;"N/A"),Config!$B$15&amp;"; ","")&amp;IF(AND(Config!$B$16&lt;&gt;"",J262&lt;&gt;"Sim",J262&lt;&gt;"N/A"),Config!$B$16&amp;"; ","")&amp;IF(AND(Config!$B$17&lt;&gt;"",K262&lt;&gt;"Sim",K262&lt;&gt;"N/A"),Config!$B$17&amp;"; ","")&amp;IF(AND(Config!$D$10&lt;&gt;"",L262&lt;&gt;"Sim",L262&lt;&gt;"N/A"),Config!$D$10&amp;"; ","")&amp;IF(AND(Config!$D$11&lt;&gt;"",M262&lt;&gt;"Sim",M262&lt;&gt;"N/A"),Config!$D$11&amp;"; ","")&amp;IF(AND(Config!$D$12&lt;&gt;"",N262&lt;&gt;"Sim",N262&lt;&gt;"N/A"),Config!$D$12&amp;"; ","")&amp;IF(AND(Config!$D$13&lt;&gt;"",O262&lt;&gt;"Sim",O262&lt;&gt;"N/A"),Config!$D$13&amp;"; ","")&amp;IF(AND(Config!$D$14&lt;&gt;"",P262&lt;&gt;"Sim",P262&lt;&gt;"N/A"),Config!$D$14&amp;"; ","")&amp;IF(AND(Config!$D$15&lt;&gt;"",Q262&lt;&gt;"Sim",Q262&lt;&gt;"N/A"),Config!$D$15&amp;"; ","")&amp;IF(AND(Config!$D$16&lt;&gt;"",R262&lt;&gt;"Sim",R262&lt;&gt;"N/A"),Config!$D$16&amp;"; ","")&amp;IF(AND(Config!$D$17&lt;&gt;"",S262&lt;&gt;"Sim",S262&lt;&gt;"N/A"),Config!$D$17&amp;"; ",""))</f>
        <v/>
      </c>
      <c r="AB262" s="39">
        <f>IF(A262="",0,COUNTIF($A$5:$A$304,"&gt;"&amp;A262)+1)</f>
        <v>0</v>
      </c>
    </row>
    <row r="263">
      <c r="A263" s="37" t="n"/>
      <c r="B263" s="24">
        <f>IF(A263="","",CHOOSE(WEEKDAY(A263,2),"Segunda","Terça","Quarta","Quinta","Sexta","Sábado","Domingo"))</f>
        <v/>
      </c>
      <c r="C263" s="38" t="n"/>
      <c r="D263" s="38" t="n"/>
      <c r="E263" s="38" t="n"/>
      <c r="F263" s="38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38" t="n"/>
      <c r="Q263" s="38" t="n"/>
      <c r="R263" s="38" t="n"/>
      <c r="S263" s="38" t="n"/>
      <c r="T263" s="26">
        <f>IF(A263="","",IFERROR(COUNTIF(D263:K263,"Sim")/(Config!$B$19-COUNTIF(D263:K263,"N/A")),""))</f>
        <v/>
      </c>
      <c r="U263" s="26">
        <f>IF(A263="","",IFERROR(COUNTIF(L263:S263,"Sim")/(Config!$D$19-COUNTIF(L263:S263,"N/A")),""))</f>
        <v/>
      </c>
      <c r="V263" s="24">
        <f>IF(A263="","",MAX(0,Config!$B$19-COUNTIF(D263:K263,"Sim")-COUNTIF(D263:K263,"N/A")))</f>
        <v/>
      </c>
      <c r="W263" s="24">
        <f>IF(A263="","",MAX(0,Config!$D$19-COUNTIF(L263:S263,"Sim")-COUNTIF(L263:S263,"N/A")))</f>
        <v/>
      </c>
      <c r="X263" s="24">
        <f>IF(A263="","",V263+W263)</f>
        <v/>
      </c>
      <c r="Y263" s="29">
        <f>IF(OR(A263="",AA263=""),"",LEFT(AA263,LEN(AA263)-2))</f>
        <v/>
      </c>
      <c r="Z263" s="39">
        <f>IF(OR(A263="",X263=0),0,X263*100000+A263/100000)</f>
        <v>0</v>
      </c>
      <c r="AA263" s="39">
        <f>IF(A263="","",IF(AND(Config!$B$10&lt;&gt;"",D263&lt;&gt;"Sim",D263&lt;&gt;"N/A"),Config!$B$10&amp;"; ","")&amp;IF(AND(Config!$B$11&lt;&gt;"",E263&lt;&gt;"Sim",E263&lt;&gt;"N/A"),Config!$B$11&amp;"; ","")&amp;IF(AND(Config!$B$12&lt;&gt;"",F263&lt;&gt;"Sim",F263&lt;&gt;"N/A"),Config!$B$12&amp;"; ","")&amp;IF(AND(Config!$B$13&lt;&gt;"",G263&lt;&gt;"Sim",G263&lt;&gt;"N/A"),Config!$B$13&amp;"; ","")&amp;IF(AND(Config!$B$14&lt;&gt;"",H263&lt;&gt;"Sim",H263&lt;&gt;"N/A"),Config!$B$14&amp;"; ","")&amp;IF(AND(Config!$B$15&lt;&gt;"",I263&lt;&gt;"Sim",I263&lt;&gt;"N/A"),Config!$B$15&amp;"; ","")&amp;IF(AND(Config!$B$16&lt;&gt;"",J263&lt;&gt;"Sim",J263&lt;&gt;"N/A"),Config!$B$16&amp;"; ","")&amp;IF(AND(Config!$B$17&lt;&gt;"",K263&lt;&gt;"Sim",K263&lt;&gt;"N/A"),Config!$B$17&amp;"; ","")&amp;IF(AND(Config!$D$10&lt;&gt;"",L263&lt;&gt;"Sim",L263&lt;&gt;"N/A"),Config!$D$10&amp;"; ","")&amp;IF(AND(Config!$D$11&lt;&gt;"",M263&lt;&gt;"Sim",M263&lt;&gt;"N/A"),Config!$D$11&amp;"; ","")&amp;IF(AND(Config!$D$12&lt;&gt;"",N263&lt;&gt;"Sim",N263&lt;&gt;"N/A"),Config!$D$12&amp;"; ","")&amp;IF(AND(Config!$D$13&lt;&gt;"",O263&lt;&gt;"Sim",O263&lt;&gt;"N/A"),Config!$D$13&amp;"; ","")&amp;IF(AND(Config!$D$14&lt;&gt;"",P263&lt;&gt;"Sim",P263&lt;&gt;"N/A"),Config!$D$14&amp;"; ","")&amp;IF(AND(Config!$D$15&lt;&gt;"",Q263&lt;&gt;"Sim",Q263&lt;&gt;"N/A"),Config!$D$15&amp;"; ","")&amp;IF(AND(Config!$D$16&lt;&gt;"",R263&lt;&gt;"Sim",R263&lt;&gt;"N/A"),Config!$D$16&amp;"; ","")&amp;IF(AND(Config!$D$17&lt;&gt;"",S263&lt;&gt;"Sim",S263&lt;&gt;"N/A"),Config!$D$17&amp;"; ",""))</f>
        <v/>
      </c>
      <c r="AB263" s="39">
        <f>IF(A263="",0,COUNTIF($A$5:$A$304,"&gt;"&amp;A263)+1)</f>
        <v>0</v>
      </c>
    </row>
    <row r="264">
      <c r="A264" s="37" t="n"/>
      <c r="B264" s="24">
        <f>IF(A264="","",CHOOSE(WEEKDAY(A264,2),"Segunda","Terça","Quarta","Quinta","Sexta","Sábado","Domingo"))</f>
        <v/>
      </c>
      <c r="C264" s="38" t="n"/>
      <c r="D264" s="38" t="n"/>
      <c r="E264" s="38" t="n"/>
      <c r="F264" s="38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38" t="n"/>
      <c r="Q264" s="38" t="n"/>
      <c r="R264" s="38" t="n"/>
      <c r="S264" s="38" t="n"/>
      <c r="T264" s="26">
        <f>IF(A264="","",IFERROR(COUNTIF(D264:K264,"Sim")/(Config!$B$19-COUNTIF(D264:K264,"N/A")),""))</f>
        <v/>
      </c>
      <c r="U264" s="26">
        <f>IF(A264="","",IFERROR(COUNTIF(L264:S264,"Sim")/(Config!$D$19-COUNTIF(L264:S264,"N/A")),""))</f>
        <v/>
      </c>
      <c r="V264" s="24">
        <f>IF(A264="","",MAX(0,Config!$B$19-COUNTIF(D264:K264,"Sim")-COUNTIF(D264:K264,"N/A")))</f>
        <v/>
      </c>
      <c r="W264" s="24">
        <f>IF(A264="","",MAX(0,Config!$D$19-COUNTIF(L264:S264,"Sim")-COUNTIF(L264:S264,"N/A")))</f>
        <v/>
      </c>
      <c r="X264" s="24">
        <f>IF(A264="","",V264+W264)</f>
        <v/>
      </c>
      <c r="Y264" s="29">
        <f>IF(OR(A264="",AA264=""),"",LEFT(AA264,LEN(AA264)-2))</f>
        <v/>
      </c>
      <c r="Z264" s="39">
        <f>IF(OR(A264="",X264=0),0,X264*100000+A264/100000)</f>
        <v>0</v>
      </c>
      <c r="AA264" s="39">
        <f>IF(A264="","",IF(AND(Config!$B$10&lt;&gt;"",D264&lt;&gt;"Sim",D264&lt;&gt;"N/A"),Config!$B$10&amp;"; ","")&amp;IF(AND(Config!$B$11&lt;&gt;"",E264&lt;&gt;"Sim",E264&lt;&gt;"N/A"),Config!$B$11&amp;"; ","")&amp;IF(AND(Config!$B$12&lt;&gt;"",F264&lt;&gt;"Sim",F264&lt;&gt;"N/A"),Config!$B$12&amp;"; ","")&amp;IF(AND(Config!$B$13&lt;&gt;"",G264&lt;&gt;"Sim",G264&lt;&gt;"N/A"),Config!$B$13&amp;"; ","")&amp;IF(AND(Config!$B$14&lt;&gt;"",H264&lt;&gt;"Sim",H264&lt;&gt;"N/A"),Config!$B$14&amp;"; ","")&amp;IF(AND(Config!$B$15&lt;&gt;"",I264&lt;&gt;"Sim",I264&lt;&gt;"N/A"),Config!$B$15&amp;"; ","")&amp;IF(AND(Config!$B$16&lt;&gt;"",J264&lt;&gt;"Sim",J264&lt;&gt;"N/A"),Config!$B$16&amp;"; ","")&amp;IF(AND(Config!$B$17&lt;&gt;"",K264&lt;&gt;"Sim",K264&lt;&gt;"N/A"),Config!$B$17&amp;"; ","")&amp;IF(AND(Config!$D$10&lt;&gt;"",L264&lt;&gt;"Sim",L264&lt;&gt;"N/A"),Config!$D$10&amp;"; ","")&amp;IF(AND(Config!$D$11&lt;&gt;"",M264&lt;&gt;"Sim",M264&lt;&gt;"N/A"),Config!$D$11&amp;"; ","")&amp;IF(AND(Config!$D$12&lt;&gt;"",N264&lt;&gt;"Sim",N264&lt;&gt;"N/A"),Config!$D$12&amp;"; ","")&amp;IF(AND(Config!$D$13&lt;&gt;"",O264&lt;&gt;"Sim",O264&lt;&gt;"N/A"),Config!$D$13&amp;"; ","")&amp;IF(AND(Config!$D$14&lt;&gt;"",P264&lt;&gt;"Sim",P264&lt;&gt;"N/A"),Config!$D$14&amp;"; ","")&amp;IF(AND(Config!$D$15&lt;&gt;"",Q264&lt;&gt;"Sim",Q264&lt;&gt;"N/A"),Config!$D$15&amp;"; ","")&amp;IF(AND(Config!$D$16&lt;&gt;"",R264&lt;&gt;"Sim",R264&lt;&gt;"N/A"),Config!$D$16&amp;"; ","")&amp;IF(AND(Config!$D$17&lt;&gt;"",S264&lt;&gt;"Sim",S264&lt;&gt;"N/A"),Config!$D$17&amp;"; ",""))</f>
        <v/>
      </c>
      <c r="AB264" s="39">
        <f>IF(A264="",0,COUNTIF($A$5:$A$304,"&gt;"&amp;A264)+1)</f>
        <v>0</v>
      </c>
    </row>
    <row r="265">
      <c r="A265" s="37" t="n"/>
      <c r="B265" s="24">
        <f>IF(A265="","",CHOOSE(WEEKDAY(A265,2),"Segunda","Terça","Quarta","Quinta","Sexta","Sábado","Domingo"))</f>
        <v/>
      </c>
      <c r="C265" s="38" t="n"/>
      <c r="D265" s="38" t="n"/>
      <c r="E265" s="38" t="n"/>
      <c r="F265" s="38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26">
        <f>IF(A265="","",IFERROR(COUNTIF(D265:K265,"Sim")/(Config!$B$19-COUNTIF(D265:K265,"N/A")),""))</f>
        <v/>
      </c>
      <c r="U265" s="26">
        <f>IF(A265="","",IFERROR(COUNTIF(L265:S265,"Sim")/(Config!$D$19-COUNTIF(L265:S265,"N/A")),""))</f>
        <v/>
      </c>
      <c r="V265" s="24">
        <f>IF(A265="","",MAX(0,Config!$B$19-COUNTIF(D265:K265,"Sim")-COUNTIF(D265:K265,"N/A")))</f>
        <v/>
      </c>
      <c r="W265" s="24">
        <f>IF(A265="","",MAX(0,Config!$D$19-COUNTIF(L265:S265,"Sim")-COUNTIF(L265:S265,"N/A")))</f>
        <v/>
      </c>
      <c r="X265" s="24">
        <f>IF(A265="","",V265+W265)</f>
        <v/>
      </c>
      <c r="Y265" s="29">
        <f>IF(OR(A265="",AA265=""),"",LEFT(AA265,LEN(AA265)-2))</f>
        <v/>
      </c>
      <c r="Z265" s="39">
        <f>IF(OR(A265="",X265=0),0,X265*100000+A265/100000)</f>
        <v>0</v>
      </c>
      <c r="AA265" s="39">
        <f>IF(A265="","",IF(AND(Config!$B$10&lt;&gt;"",D265&lt;&gt;"Sim",D265&lt;&gt;"N/A"),Config!$B$10&amp;"; ","")&amp;IF(AND(Config!$B$11&lt;&gt;"",E265&lt;&gt;"Sim",E265&lt;&gt;"N/A"),Config!$B$11&amp;"; ","")&amp;IF(AND(Config!$B$12&lt;&gt;"",F265&lt;&gt;"Sim",F265&lt;&gt;"N/A"),Config!$B$12&amp;"; ","")&amp;IF(AND(Config!$B$13&lt;&gt;"",G265&lt;&gt;"Sim",G265&lt;&gt;"N/A"),Config!$B$13&amp;"; ","")&amp;IF(AND(Config!$B$14&lt;&gt;"",H265&lt;&gt;"Sim",H265&lt;&gt;"N/A"),Config!$B$14&amp;"; ","")&amp;IF(AND(Config!$B$15&lt;&gt;"",I265&lt;&gt;"Sim",I265&lt;&gt;"N/A"),Config!$B$15&amp;"; ","")&amp;IF(AND(Config!$B$16&lt;&gt;"",J265&lt;&gt;"Sim",J265&lt;&gt;"N/A"),Config!$B$16&amp;"; ","")&amp;IF(AND(Config!$B$17&lt;&gt;"",K265&lt;&gt;"Sim",K265&lt;&gt;"N/A"),Config!$B$17&amp;"; ","")&amp;IF(AND(Config!$D$10&lt;&gt;"",L265&lt;&gt;"Sim",L265&lt;&gt;"N/A"),Config!$D$10&amp;"; ","")&amp;IF(AND(Config!$D$11&lt;&gt;"",M265&lt;&gt;"Sim",M265&lt;&gt;"N/A"),Config!$D$11&amp;"; ","")&amp;IF(AND(Config!$D$12&lt;&gt;"",N265&lt;&gt;"Sim",N265&lt;&gt;"N/A"),Config!$D$12&amp;"; ","")&amp;IF(AND(Config!$D$13&lt;&gt;"",O265&lt;&gt;"Sim",O265&lt;&gt;"N/A"),Config!$D$13&amp;"; ","")&amp;IF(AND(Config!$D$14&lt;&gt;"",P265&lt;&gt;"Sim",P265&lt;&gt;"N/A"),Config!$D$14&amp;"; ","")&amp;IF(AND(Config!$D$15&lt;&gt;"",Q265&lt;&gt;"Sim",Q265&lt;&gt;"N/A"),Config!$D$15&amp;"; ","")&amp;IF(AND(Config!$D$16&lt;&gt;"",R265&lt;&gt;"Sim",R265&lt;&gt;"N/A"),Config!$D$16&amp;"; ","")&amp;IF(AND(Config!$D$17&lt;&gt;"",S265&lt;&gt;"Sim",S265&lt;&gt;"N/A"),Config!$D$17&amp;"; ",""))</f>
        <v/>
      </c>
      <c r="AB265" s="39">
        <f>IF(A265="",0,COUNTIF($A$5:$A$304,"&gt;"&amp;A265)+1)</f>
        <v>0</v>
      </c>
    </row>
    <row r="266">
      <c r="A266" s="37" t="n"/>
      <c r="B266" s="24">
        <f>IF(A266="","",CHOOSE(WEEKDAY(A266,2),"Segunda","Terça","Quarta","Quinta","Sexta","Sábado","Domingo"))</f>
        <v/>
      </c>
      <c r="C266" s="38" t="n"/>
      <c r="D266" s="38" t="n"/>
      <c r="E266" s="38" t="n"/>
      <c r="F266" s="38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38" t="n"/>
      <c r="Q266" s="38" t="n"/>
      <c r="R266" s="38" t="n"/>
      <c r="S266" s="38" t="n"/>
      <c r="T266" s="26">
        <f>IF(A266="","",IFERROR(COUNTIF(D266:K266,"Sim")/(Config!$B$19-COUNTIF(D266:K266,"N/A")),""))</f>
        <v/>
      </c>
      <c r="U266" s="26">
        <f>IF(A266="","",IFERROR(COUNTIF(L266:S266,"Sim")/(Config!$D$19-COUNTIF(L266:S266,"N/A")),""))</f>
        <v/>
      </c>
      <c r="V266" s="24">
        <f>IF(A266="","",MAX(0,Config!$B$19-COUNTIF(D266:K266,"Sim")-COUNTIF(D266:K266,"N/A")))</f>
        <v/>
      </c>
      <c r="W266" s="24">
        <f>IF(A266="","",MAX(0,Config!$D$19-COUNTIF(L266:S266,"Sim")-COUNTIF(L266:S266,"N/A")))</f>
        <v/>
      </c>
      <c r="X266" s="24">
        <f>IF(A266="","",V266+W266)</f>
        <v/>
      </c>
      <c r="Y266" s="29">
        <f>IF(OR(A266="",AA266=""),"",LEFT(AA266,LEN(AA266)-2))</f>
        <v/>
      </c>
      <c r="Z266" s="39">
        <f>IF(OR(A266="",X266=0),0,X266*100000+A266/100000)</f>
        <v>0</v>
      </c>
      <c r="AA266" s="39">
        <f>IF(A266="","",IF(AND(Config!$B$10&lt;&gt;"",D266&lt;&gt;"Sim",D266&lt;&gt;"N/A"),Config!$B$10&amp;"; ","")&amp;IF(AND(Config!$B$11&lt;&gt;"",E266&lt;&gt;"Sim",E266&lt;&gt;"N/A"),Config!$B$11&amp;"; ","")&amp;IF(AND(Config!$B$12&lt;&gt;"",F266&lt;&gt;"Sim",F266&lt;&gt;"N/A"),Config!$B$12&amp;"; ","")&amp;IF(AND(Config!$B$13&lt;&gt;"",G266&lt;&gt;"Sim",G266&lt;&gt;"N/A"),Config!$B$13&amp;"; ","")&amp;IF(AND(Config!$B$14&lt;&gt;"",H266&lt;&gt;"Sim",H266&lt;&gt;"N/A"),Config!$B$14&amp;"; ","")&amp;IF(AND(Config!$B$15&lt;&gt;"",I266&lt;&gt;"Sim",I266&lt;&gt;"N/A"),Config!$B$15&amp;"; ","")&amp;IF(AND(Config!$B$16&lt;&gt;"",J266&lt;&gt;"Sim",J266&lt;&gt;"N/A"),Config!$B$16&amp;"; ","")&amp;IF(AND(Config!$B$17&lt;&gt;"",K266&lt;&gt;"Sim",K266&lt;&gt;"N/A"),Config!$B$17&amp;"; ","")&amp;IF(AND(Config!$D$10&lt;&gt;"",L266&lt;&gt;"Sim",L266&lt;&gt;"N/A"),Config!$D$10&amp;"; ","")&amp;IF(AND(Config!$D$11&lt;&gt;"",M266&lt;&gt;"Sim",M266&lt;&gt;"N/A"),Config!$D$11&amp;"; ","")&amp;IF(AND(Config!$D$12&lt;&gt;"",N266&lt;&gt;"Sim",N266&lt;&gt;"N/A"),Config!$D$12&amp;"; ","")&amp;IF(AND(Config!$D$13&lt;&gt;"",O266&lt;&gt;"Sim",O266&lt;&gt;"N/A"),Config!$D$13&amp;"; ","")&amp;IF(AND(Config!$D$14&lt;&gt;"",P266&lt;&gt;"Sim",P266&lt;&gt;"N/A"),Config!$D$14&amp;"; ","")&amp;IF(AND(Config!$D$15&lt;&gt;"",Q266&lt;&gt;"Sim",Q266&lt;&gt;"N/A"),Config!$D$15&amp;"; ","")&amp;IF(AND(Config!$D$16&lt;&gt;"",R266&lt;&gt;"Sim",R266&lt;&gt;"N/A"),Config!$D$16&amp;"; ","")&amp;IF(AND(Config!$D$17&lt;&gt;"",S266&lt;&gt;"Sim",S266&lt;&gt;"N/A"),Config!$D$17&amp;"; ",""))</f>
        <v/>
      </c>
      <c r="AB266" s="39">
        <f>IF(A266="",0,COUNTIF($A$5:$A$304,"&gt;"&amp;A266)+1)</f>
        <v>0</v>
      </c>
    </row>
    <row r="267">
      <c r="A267" s="37" t="n"/>
      <c r="B267" s="24">
        <f>IF(A267="","",CHOOSE(WEEKDAY(A267,2),"Segunda","Terça","Quarta","Quinta","Sexta","Sábado","Domingo"))</f>
        <v/>
      </c>
      <c r="C267" s="38" t="n"/>
      <c r="D267" s="38" t="n"/>
      <c r="E267" s="38" t="n"/>
      <c r="F267" s="38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38" t="n"/>
      <c r="Q267" s="38" t="n"/>
      <c r="R267" s="38" t="n"/>
      <c r="S267" s="38" t="n"/>
      <c r="T267" s="26">
        <f>IF(A267="","",IFERROR(COUNTIF(D267:K267,"Sim")/(Config!$B$19-COUNTIF(D267:K267,"N/A")),""))</f>
        <v/>
      </c>
      <c r="U267" s="26">
        <f>IF(A267="","",IFERROR(COUNTIF(L267:S267,"Sim")/(Config!$D$19-COUNTIF(L267:S267,"N/A")),""))</f>
        <v/>
      </c>
      <c r="V267" s="24">
        <f>IF(A267="","",MAX(0,Config!$B$19-COUNTIF(D267:K267,"Sim")-COUNTIF(D267:K267,"N/A")))</f>
        <v/>
      </c>
      <c r="W267" s="24">
        <f>IF(A267="","",MAX(0,Config!$D$19-COUNTIF(L267:S267,"Sim")-COUNTIF(L267:S267,"N/A")))</f>
        <v/>
      </c>
      <c r="X267" s="24">
        <f>IF(A267="","",V267+W267)</f>
        <v/>
      </c>
      <c r="Y267" s="29">
        <f>IF(OR(A267="",AA267=""),"",LEFT(AA267,LEN(AA267)-2))</f>
        <v/>
      </c>
      <c r="Z267" s="39">
        <f>IF(OR(A267="",X267=0),0,X267*100000+A267/100000)</f>
        <v>0</v>
      </c>
      <c r="AA267" s="39">
        <f>IF(A267="","",IF(AND(Config!$B$10&lt;&gt;"",D267&lt;&gt;"Sim",D267&lt;&gt;"N/A"),Config!$B$10&amp;"; ","")&amp;IF(AND(Config!$B$11&lt;&gt;"",E267&lt;&gt;"Sim",E267&lt;&gt;"N/A"),Config!$B$11&amp;"; ","")&amp;IF(AND(Config!$B$12&lt;&gt;"",F267&lt;&gt;"Sim",F267&lt;&gt;"N/A"),Config!$B$12&amp;"; ","")&amp;IF(AND(Config!$B$13&lt;&gt;"",G267&lt;&gt;"Sim",G267&lt;&gt;"N/A"),Config!$B$13&amp;"; ","")&amp;IF(AND(Config!$B$14&lt;&gt;"",H267&lt;&gt;"Sim",H267&lt;&gt;"N/A"),Config!$B$14&amp;"; ","")&amp;IF(AND(Config!$B$15&lt;&gt;"",I267&lt;&gt;"Sim",I267&lt;&gt;"N/A"),Config!$B$15&amp;"; ","")&amp;IF(AND(Config!$B$16&lt;&gt;"",J267&lt;&gt;"Sim",J267&lt;&gt;"N/A"),Config!$B$16&amp;"; ","")&amp;IF(AND(Config!$B$17&lt;&gt;"",K267&lt;&gt;"Sim",K267&lt;&gt;"N/A"),Config!$B$17&amp;"; ","")&amp;IF(AND(Config!$D$10&lt;&gt;"",L267&lt;&gt;"Sim",L267&lt;&gt;"N/A"),Config!$D$10&amp;"; ","")&amp;IF(AND(Config!$D$11&lt;&gt;"",M267&lt;&gt;"Sim",M267&lt;&gt;"N/A"),Config!$D$11&amp;"; ","")&amp;IF(AND(Config!$D$12&lt;&gt;"",N267&lt;&gt;"Sim",N267&lt;&gt;"N/A"),Config!$D$12&amp;"; ","")&amp;IF(AND(Config!$D$13&lt;&gt;"",O267&lt;&gt;"Sim",O267&lt;&gt;"N/A"),Config!$D$13&amp;"; ","")&amp;IF(AND(Config!$D$14&lt;&gt;"",P267&lt;&gt;"Sim",P267&lt;&gt;"N/A"),Config!$D$14&amp;"; ","")&amp;IF(AND(Config!$D$15&lt;&gt;"",Q267&lt;&gt;"Sim",Q267&lt;&gt;"N/A"),Config!$D$15&amp;"; ","")&amp;IF(AND(Config!$D$16&lt;&gt;"",R267&lt;&gt;"Sim",R267&lt;&gt;"N/A"),Config!$D$16&amp;"; ","")&amp;IF(AND(Config!$D$17&lt;&gt;"",S267&lt;&gt;"Sim",S267&lt;&gt;"N/A"),Config!$D$17&amp;"; ",""))</f>
        <v/>
      </c>
      <c r="AB267" s="39">
        <f>IF(A267="",0,COUNTIF($A$5:$A$304,"&gt;"&amp;A267)+1)</f>
        <v>0</v>
      </c>
    </row>
    <row r="268">
      <c r="A268" s="37" t="n"/>
      <c r="B268" s="24">
        <f>IF(A268="","",CHOOSE(WEEKDAY(A268,2),"Segunda","Terça","Quarta","Quinta","Sexta","Sábado","Domingo"))</f>
        <v/>
      </c>
      <c r="C268" s="38" t="n"/>
      <c r="D268" s="38" t="n"/>
      <c r="E268" s="38" t="n"/>
      <c r="F268" s="38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38" t="n"/>
      <c r="Q268" s="38" t="n"/>
      <c r="R268" s="38" t="n"/>
      <c r="S268" s="38" t="n"/>
      <c r="T268" s="26">
        <f>IF(A268="","",IFERROR(COUNTIF(D268:K268,"Sim")/(Config!$B$19-COUNTIF(D268:K268,"N/A")),""))</f>
        <v/>
      </c>
      <c r="U268" s="26">
        <f>IF(A268="","",IFERROR(COUNTIF(L268:S268,"Sim")/(Config!$D$19-COUNTIF(L268:S268,"N/A")),""))</f>
        <v/>
      </c>
      <c r="V268" s="24">
        <f>IF(A268="","",MAX(0,Config!$B$19-COUNTIF(D268:K268,"Sim")-COUNTIF(D268:K268,"N/A")))</f>
        <v/>
      </c>
      <c r="W268" s="24">
        <f>IF(A268="","",MAX(0,Config!$D$19-COUNTIF(L268:S268,"Sim")-COUNTIF(L268:S268,"N/A")))</f>
        <v/>
      </c>
      <c r="X268" s="24">
        <f>IF(A268="","",V268+W268)</f>
        <v/>
      </c>
      <c r="Y268" s="29">
        <f>IF(OR(A268="",AA268=""),"",LEFT(AA268,LEN(AA268)-2))</f>
        <v/>
      </c>
      <c r="Z268" s="39">
        <f>IF(OR(A268="",X268=0),0,X268*100000+A268/100000)</f>
        <v>0</v>
      </c>
      <c r="AA268" s="39">
        <f>IF(A268="","",IF(AND(Config!$B$10&lt;&gt;"",D268&lt;&gt;"Sim",D268&lt;&gt;"N/A"),Config!$B$10&amp;"; ","")&amp;IF(AND(Config!$B$11&lt;&gt;"",E268&lt;&gt;"Sim",E268&lt;&gt;"N/A"),Config!$B$11&amp;"; ","")&amp;IF(AND(Config!$B$12&lt;&gt;"",F268&lt;&gt;"Sim",F268&lt;&gt;"N/A"),Config!$B$12&amp;"; ","")&amp;IF(AND(Config!$B$13&lt;&gt;"",G268&lt;&gt;"Sim",G268&lt;&gt;"N/A"),Config!$B$13&amp;"; ","")&amp;IF(AND(Config!$B$14&lt;&gt;"",H268&lt;&gt;"Sim",H268&lt;&gt;"N/A"),Config!$B$14&amp;"; ","")&amp;IF(AND(Config!$B$15&lt;&gt;"",I268&lt;&gt;"Sim",I268&lt;&gt;"N/A"),Config!$B$15&amp;"; ","")&amp;IF(AND(Config!$B$16&lt;&gt;"",J268&lt;&gt;"Sim",J268&lt;&gt;"N/A"),Config!$B$16&amp;"; ","")&amp;IF(AND(Config!$B$17&lt;&gt;"",K268&lt;&gt;"Sim",K268&lt;&gt;"N/A"),Config!$B$17&amp;"; ","")&amp;IF(AND(Config!$D$10&lt;&gt;"",L268&lt;&gt;"Sim",L268&lt;&gt;"N/A"),Config!$D$10&amp;"; ","")&amp;IF(AND(Config!$D$11&lt;&gt;"",M268&lt;&gt;"Sim",M268&lt;&gt;"N/A"),Config!$D$11&amp;"; ","")&amp;IF(AND(Config!$D$12&lt;&gt;"",N268&lt;&gt;"Sim",N268&lt;&gt;"N/A"),Config!$D$12&amp;"; ","")&amp;IF(AND(Config!$D$13&lt;&gt;"",O268&lt;&gt;"Sim",O268&lt;&gt;"N/A"),Config!$D$13&amp;"; ","")&amp;IF(AND(Config!$D$14&lt;&gt;"",P268&lt;&gt;"Sim",P268&lt;&gt;"N/A"),Config!$D$14&amp;"; ","")&amp;IF(AND(Config!$D$15&lt;&gt;"",Q268&lt;&gt;"Sim",Q268&lt;&gt;"N/A"),Config!$D$15&amp;"; ","")&amp;IF(AND(Config!$D$16&lt;&gt;"",R268&lt;&gt;"Sim",R268&lt;&gt;"N/A"),Config!$D$16&amp;"; ","")&amp;IF(AND(Config!$D$17&lt;&gt;"",S268&lt;&gt;"Sim",S268&lt;&gt;"N/A"),Config!$D$17&amp;"; ",""))</f>
        <v/>
      </c>
      <c r="AB268" s="39">
        <f>IF(A268="",0,COUNTIF($A$5:$A$304,"&gt;"&amp;A268)+1)</f>
        <v>0</v>
      </c>
    </row>
    <row r="269">
      <c r="A269" s="37" t="n"/>
      <c r="B269" s="24">
        <f>IF(A269="","",CHOOSE(WEEKDAY(A269,2),"Segunda","Terça","Quarta","Quinta","Sexta","Sábado","Domingo"))</f>
        <v/>
      </c>
      <c r="C269" s="38" t="n"/>
      <c r="D269" s="38" t="n"/>
      <c r="E269" s="38" t="n"/>
      <c r="F269" s="38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38" t="n"/>
      <c r="Q269" s="38" t="n"/>
      <c r="R269" s="38" t="n"/>
      <c r="S269" s="38" t="n"/>
      <c r="T269" s="26">
        <f>IF(A269="","",IFERROR(COUNTIF(D269:K269,"Sim")/(Config!$B$19-COUNTIF(D269:K269,"N/A")),""))</f>
        <v/>
      </c>
      <c r="U269" s="26">
        <f>IF(A269="","",IFERROR(COUNTIF(L269:S269,"Sim")/(Config!$D$19-COUNTIF(L269:S269,"N/A")),""))</f>
        <v/>
      </c>
      <c r="V269" s="24">
        <f>IF(A269="","",MAX(0,Config!$B$19-COUNTIF(D269:K269,"Sim")-COUNTIF(D269:K269,"N/A")))</f>
        <v/>
      </c>
      <c r="W269" s="24">
        <f>IF(A269="","",MAX(0,Config!$D$19-COUNTIF(L269:S269,"Sim")-COUNTIF(L269:S269,"N/A")))</f>
        <v/>
      </c>
      <c r="X269" s="24">
        <f>IF(A269="","",V269+W269)</f>
        <v/>
      </c>
      <c r="Y269" s="29">
        <f>IF(OR(A269="",AA269=""),"",LEFT(AA269,LEN(AA269)-2))</f>
        <v/>
      </c>
      <c r="Z269" s="39">
        <f>IF(OR(A269="",X269=0),0,X269*100000+A269/100000)</f>
        <v>0</v>
      </c>
      <c r="AA269" s="39">
        <f>IF(A269="","",IF(AND(Config!$B$10&lt;&gt;"",D269&lt;&gt;"Sim",D269&lt;&gt;"N/A"),Config!$B$10&amp;"; ","")&amp;IF(AND(Config!$B$11&lt;&gt;"",E269&lt;&gt;"Sim",E269&lt;&gt;"N/A"),Config!$B$11&amp;"; ","")&amp;IF(AND(Config!$B$12&lt;&gt;"",F269&lt;&gt;"Sim",F269&lt;&gt;"N/A"),Config!$B$12&amp;"; ","")&amp;IF(AND(Config!$B$13&lt;&gt;"",G269&lt;&gt;"Sim",G269&lt;&gt;"N/A"),Config!$B$13&amp;"; ","")&amp;IF(AND(Config!$B$14&lt;&gt;"",H269&lt;&gt;"Sim",H269&lt;&gt;"N/A"),Config!$B$14&amp;"; ","")&amp;IF(AND(Config!$B$15&lt;&gt;"",I269&lt;&gt;"Sim",I269&lt;&gt;"N/A"),Config!$B$15&amp;"; ","")&amp;IF(AND(Config!$B$16&lt;&gt;"",J269&lt;&gt;"Sim",J269&lt;&gt;"N/A"),Config!$B$16&amp;"; ","")&amp;IF(AND(Config!$B$17&lt;&gt;"",K269&lt;&gt;"Sim",K269&lt;&gt;"N/A"),Config!$B$17&amp;"; ","")&amp;IF(AND(Config!$D$10&lt;&gt;"",L269&lt;&gt;"Sim",L269&lt;&gt;"N/A"),Config!$D$10&amp;"; ","")&amp;IF(AND(Config!$D$11&lt;&gt;"",M269&lt;&gt;"Sim",M269&lt;&gt;"N/A"),Config!$D$11&amp;"; ","")&amp;IF(AND(Config!$D$12&lt;&gt;"",N269&lt;&gt;"Sim",N269&lt;&gt;"N/A"),Config!$D$12&amp;"; ","")&amp;IF(AND(Config!$D$13&lt;&gt;"",O269&lt;&gt;"Sim",O269&lt;&gt;"N/A"),Config!$D$13&amp;"; ","")&amp;IF(AND(Config!$D$14&lt;&gt;"",P269&lt;&gt;"Sim",P269&lt;&gt;"N/A"),Config!$D$14&amp;"; ","")&amp;IF(AND(Config!$D$15&lt;&gt;"",Q269&lt;&gt;"Sim",Q269&lt;&gt;"N/A"),Config!$D$15&amp;"; ","")&amp;IF(AND(Config!$D$16&lt;&gt;"",R269&lt;&gt;"Sim",R269&lt;&gt;"N/A"),Config!$D$16&amp;"; ","")&amp;IF(AND(Config!$D$17&lt;&gt;"",S269&lt;&gt;"Sim",S269&lt;&gt;"N/A"),Config!$D$17&amp;"; ",""))</f>
        <v/>
      </c>
      <c r="AB269" s="39">
        <f>IF(A269="",0,COUNTIF($A$5:$A$304,"&gt;"&amp;A269)+1)</f>
        <v>0</v>
      </c>
    </row>
    <row r="270">
      <c r="A270" s="37" t="n"/>
      <c r="B270" s="24">
        <f>IF(A270="","",CHOOSE(WEEKDAY(A270,2),"Segunda","Terça","Quarta","Quinta","Sexta","Sábado","Domingo"))</f>
        <v/>
      </c>
      <c r="C270" s="38" t="n"/>
      <c r="D270" s="38" t="n"/>
      <c r="E270" s="38" t="n"/>
      <c r="F270" s="38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38" t="n"/>
      <c r="Q270" s="38" t="n"/>
      <c r="R270" s="38" t="n"/>
      <c r="S270" s="38" t="n"/>
      <c r="T270" s="26">
        <f>IF(A270="","",IFERROR(COUNTIF(D270:K270,"Sim")/(Config!$B$19-COUNTIF(D270:K270,"N/A")),""))</f>
        <v/>
      </c>
      <c r="U270" s="26">
        <f>IF(A270="","",IFERROR(COUNTIF(L270:S270,"Sim")/(Config!$D$19-COUNTIF(L270:S270,"N/A")),""))</f>
        <v/>
      </c>
      <c r="V270" s="24">
        <f>IF(A270="","",MAX(0,Config!$B$19-COUNTIF(D270:K270,"Sim")-COUNTIF(D270:K270,"N/A")))</f>
        <v/>
      </c>
      <c r="W270" s="24">
        <f>IF(A270="","",MAX(0,Config!$D$19-COUNTIF(L270:S270,"Sim")-COUNTIF(L270:S270,"N/A")))</f>
        <v/>
      </c>
      <c r="X270" s="24">
        <f>IF(A270="","",V270+W270)</f>
        <v/>
      </c>
      <c r="Y270" s="29">
        <f>IF(OR(A270="",AA270=""),"",LEFT(AA270,LEN(AA270)-2))</f>
        <v/>
      </c>
      <c r="Z270" s="39">
        <f>IF(OR(A270="",X270=0),0,X270*100000+A270/100000)</f>
        <v>0</v>
      </c>
      <c r="AA270" s="39">
        <f>IF(A270="","",IF(AND(Config!$B$10&lt;&gt;"",D270&lt;&gt;"Sim",D270&lt;&gt;"N/A"),Config!$B$10&amp;"; ","")&amp;IF(AND(Config!$B$11&lt;&gt;"",E270&lt;&gt;"Sim",E270&lt;&gt;"N/A"),Config!$B$11&amp;"; ","")&amp;IF(AND(Config!$B$12&lt;&gt;"",F270&lt;&gt;"Sim",F270&lt;&gt;"N/A"),Config!$B$12&amp;"; ","")&amp;IF(AND(Config!$B$13&lt;&gt;"",G270&lt;&gt;"Sim",G270&lt;&gt;"N/A"),Config!$B$13&amp;"; ","")&amp;IF(AND(Config!$B$14&lt;&gt;"",H270&lt;&gt;"Sim",H270&lt;&gt;"N/A"),Config!$B$14&amp;"; ","")&amp;IF(AND(Config!$B$15&lt;&gt;"",I270&lt;&gt;"Sim",I270&lt;&gt;"N/A"),Config!$B$15&amp;"; ","")&amp;IF(AND(Config!$B$16&lt;&gt;"",J270&lt;&gt;"Sim",J270&lt;&gt;"N/A"),Config!$B$16&amp;"; ","")&amp;IF(AND(Config!$B$17&lt;&gt;"",K270&lt;&gt;"Sim",K270&lt;&gt;"N/A"),Config!$B$17&amp;"; ","")&amp;IF(AND(Config!$D$10&lt;&gt;"",L270&lt;&gt;"Sim",L270&lt;&gt;"N/A"),Config!$D$10&amp;"; ","")&amp;IF(AND(Config!$D$11&lt;&gt;"",M270&lt;&gt;"Sim",M270&lt;&gt;"N/A"),Config!$D$11&amp;"; ","")&amp;IF(AND(Config!$D$12&lt;&gt;"",N270&lt;&gt;"Sim",N270&lt;&gt;"N/A"),Config!$D$12&amp;"; ","")&amp;IF(AND(Config!$D$13&lt;&gt;"",O270&lt;&gt;"Sim",O270&lt;&gt;"N/A"),Config!$D$13&amp;"; ","")&amp;IF(AND(Config!$D$14&lt;&gt;"",P270&lt;&gt;"Sim",P270&lt;&gt;"N/A"),Config!$D$14&amp;"; ","")&amp;IF(AND(Config!$D$15&lt;&gt;"",Q270&lt;&gt;"Sim",Q270&lt;&gt;"N/A"),Config!$D$15&amp;"; ","")&amp;IF(AND(Config!$D$16&lt;&gt;"",R270&lt;&gt;"Sim",R270&lt;&gt;"N/A"),Config!$D$16&amp;"; ","")&amp;IF(AND(Config!$D$17&lt;&gt;"",S270&lt;&gt;"Sim",S270&lt;&gt;"N/A"),Config!$D$17&amp;"; ",""))</f>
        <v/>
      </c>
      <c r="AB270" s="39">
        <f>IF(A270="",0,COUNTIF($A$5:$A$304,"&gt;"&amp;A270)+1)</f>
        <v>0</v>
      </c>
    </row>
    <row r="271">
      <c r="A271" s="37" t="n"/>
      <c r="B271" s="24">
        <f>IF(A271="","",CHOOSE(WEEKDAY(A271,2),"Segunda","Terça","Quarta","Quinta","Sexta","Sábado","Domingo"))</f>
        <v/>
      </c>
      <c r="C271" s="38" t="n"/>
      <c r="D271" s="38" t="n"/>
      <c r="E271" s="38" t="n"/>
      <c r="F271" s="38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38" t="n"/>
      <c r="Q271" s="38" t="n"/>
      <c r="R271" s="38" t="n"/>
      <c r="S271" s="38" t="n"/>
      <c r="T271" s="26">
        <f>IF(A271="","",IFERROR(COUNTIF(D271:K271,"Sim")/(Config!$B$19-COUNTIF(D271:K271,"N/A")),""))</f>
        <v/>
      </c>
      <c r="U271" s="26">
        <f>IF(A271="","",IFERROR(COUNTIF(L271:S271,"Sim")/(Config!$D$19-COUNTIF(L271:S271,"N/A")),""))</f>
        <v/>
      </c>
      <c r="V271" s="24">
        <f>IF(A271="","",MAX(0,Config!$B$19-COUNTIF(D271:K271,"Sim")-COUNTIF(D271:K271,"N/A")))</f>
        <v/>
      </c>
      <c r="W271" s="24">
        <f>IF(A271="","",MAX(0,Config!$D$19-COUNTIF(L271:S271,"Sim")-COUNTIF(L271:S271,"N/A")))</f>
        <v/>
      </c>
      <c r="X271" s="24">
        <f>IF(A271="","",V271+W271)</f>
        <v/>
      </c>
      <c r="Y271" s="29">
        <f>IF(OR(A271="",AA271=""),"",LEFT(AA271,LEN(AA271)-2))</f>
        <v/>
      </c>
      <c r="Z271" s="39">
        <f>IF(OR(A271="",X271=0),0,X271*100000+A271/100000)</f>
        <v>0</v>
      </c>
      <c r="AA271" s="39">
        <f>IF(A271="","",IF(AND(Config!$B$10&lt;&gt;"",D271&lt;&gt;"Sim",D271&lt;&gt;"N/A"),Config!$B$10&amp;"; ","")&amp;IF(AND(Config!$B$11&lt;&gt;"",E271&lt;&gt;"Sim",E271&lt;&gt;"N/A"),Config!$B$11&amp;"; ","")&amp;IF(AND(Config!$B$12&lt;&gt;"",F271&lt;&gt;"Sim",F271&lt;&gt;"N/A"),Config!$B$12&amp;"; ","")&amp;IF(AND(Config!$B$13&lt;&gt;"",G271&lt;&gt;"Sim",G271&lt;&gt;"N/A"),Config!$B$13&amp;"; ","")&amp;IF(AND(Config!$B$14&lt;&gt;"",H271&lt;&gt;"Sim",H271&lt;&gt;"N/A"),Config!$B$14&amp;"; ","")&amp;IF(AND(Config!$B$15&lt;&gt;"",I271&lt;&gt;"Sim",I271&lt;&gt;"N/A"),Config!$B$15&amp;"; ","")&amp;IF(AND(Config!$B$16&lt;&gt;"",J271&lt;&gt;"Sim",J271&lt;&gt;"N/A"),Config!$B$16&amp;"; ","")&amp;IF(AND(Config!$B$17&lt;&gt;"",K271&lt;&gt;"Sim",K271&lt;&gt;"N/A"),Config!$B$17&amp;"; ","")&amp;IF(AND(Config!$D$10&lt;&gt;"",L271&lt;&gt;"Sim",L271&lt;&gt;"N/A"),Config!$D$10&amp;"; ","")&amp;IF(AND(Config!$D$11&lt;&gt;"",M271&lt;&gt;"Sim",M271&lt;&gt;"N/A"),Config!$D$11&amp;"; ","")&amp;IF(AND(Config!$D$12&lt;&gt;"",N271&lt;&gt;"Sim",N271&lt;&gt;"N/A"),Config!$D$12&amp;"; ","")&amp;IF(AND(Config!$D$13&lt;&gt;"",O271&lt;&gt;"Sim",O271&lt;&gt;"N/A"),Config!$D$13&amp;"; ","")&amp;IF(AND(Config!$D$14&lt;&gt;"",P271&lt;&gt;"Sim",P271&lt;&gt;"N/A"),Config!$D$14&amp;"; ","")&amp;IF(AND(Config!$D$15&lt;&gt;"",Q271&lt;&gt;"Sim",Q271&lt;&gt;"N/A"),Config!$D$15&amp;"; ","")&amp;IF(AND(Config!$D$16&lt;&gt;"",R271&lt;&gt;"Sim",R271&lt;&gt;"N/A"),Config!$D$16&amp;"; ","")&amp;IF(AND(Config!$D$17&lt;&gt;"",S271&lt;&gt;"Sim",S271&lt;&gt;"N/A"),Config!$D$17&amp;"; ",""))</f>
        <v/>
      </c>
      <c r="AB271" s="39">
        <f>IF(A271="",0,COUNTIF($A$5:$A$304,"&gt;"&amp;A271)+1)</f>
        <v>0</v>
      </c>
    </row>
    <row r="272">
      <c r="A272" s="37" t="n"/>
      <c r="B272" s="24">
        <f>IF(A272="","",CHOOSE(WEEKDAY(A272,2),"Segunda","Terça","Quarta","Quinta","Sexta","Sábado","Domingo"))</f>
        <v/>
      </c>
      <c r="C272" s="38" t="n"/>
      <c r="D272" s="38" t="n"/>
      <c r="E272" s="38" t="n"/>
      <c r="F272" s="38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38" t="n"/>
      <c r="Q272" s="38" t="n"/>
      <c r="R272" s="38" t="n"/>
      <c r="S272" s="38" t="n"/>
      <c r="T272" s="26">
        <f>IF(A272="","",IFERROR(COUNTIF(D272:K272,"Sim")/(Config!$B$19-COUNTIF(D272:K272,"N/A")),""))</f>
        <v/>
      </c>
      <c r="U272" s="26">
        <f>IF(A272="","",IFERROR(COUNTIF(L272:S272,"Sim")/(Config!$D$19-COUNTIF(L272:S272,"N/A")),""))</f>
        <v/>
      </c>
      <c r="V272" s="24">
        <f>IF(A272="","",MAX(0,Config!$B$19-COUNTIF(D272:K272,"Sim")-COUNTIF(D272:K272,"N/A")))</f>
        <v/>
      </c>
      <c r="W272" s="24">
        <f>IF(A272="","",MAX(0,Config!$D$19-COUNTIF(L272:S272,"Sim")-COUNTIF(L272:S272,"N/A")))</f>
        <v/>
      </c>
      <c r="X272" s="24">
        <f>IF(A272="","",V272+W272)</f>
        <v/>
      </c>
      <c r="Y272" s="29">
        <f>IF(OR(A272="",AA272=""),"",LEFT(AA272,LEN(AA272)-2))</f>
        <v/>
      </c>
      <c r="Z272" s="39">
        <f>IF(OR(A272="",X272=0),0,X272*100000+A272/100000)</f>
        <v>0</v>
      </c>
      <c r="AA272" s="39">
        <f>IF(A272="","",IF(AND(Config!$B$10&lt;&gt;"",D272&lt;&gt;"Sim",D272&lt;&gt;"N/A"),Config!$B$10&amp;"; ","")&amp;IF(AND(Config!$B$11&lt;&gt;"",E272&lt;&gt;"Sim",E272&lt;&gt;"N/A"),Config!$B$11&amp;"; ","")&amp;IF(AND(Config!$B$12&lt;&gt;"",F272&lt;&gt;"Sim",F272&lt;&gt;"N/A"),Config!$B$12&amp;"; ","")&amp;IF(AND(Config!$B$13&lt;&gt;"",G272&lt;&gt;"Sim",G272&lt;&gt;"N/A"),Config!$B$13&amp;"; ","")&amp;IF(AND(Config!$B$14&lt;&gt;"",H272&lt;&gt;"Sim",H272&lt;&gt;"N/A"),Config!$B$14&amp;"; ","")&amp;IF(AND(Config!$B$15&lt;&gt;"",I272&lt;&gt;"Sim",I272&lt;&gt;"N/A"),Config!$B$15&amp;"; ","")&amp;IF(AND(Config!$B$16&lt;&gt;"",J272&lt;&gt;"Sim",J272&lt;&gt;"N/A"),Config!$B$16&amp;"; ","")&amp;IF(AND(Config!$B$17&lt;&gt;"",K272&lt;&gt;"Sim",K272&lt;&gt;"N/A"),Config!$B$17&amp;"; ","")&amp;IF(AND(Config!$D$10&lt;&gt;"",L272&lt;&gt;"Sim",L272&lt;&gt;"N/A"),Config!$D$10&amp;"; ","")&amp;IF(AND(Config!$D$11&lt;&gt;"",M272&lt;&gt;"Sim",M272&lt;&gt;"N/A"),Config!$D$11&amp;"; ","")&amp;IF(AND(Config!$D$12&lt;&gt;"",N272&lt;&gt;"Sim",N272&lt;&gt;"N/A"),Config!$D$12&amp;"; ","")&amp;IF(AND(Config!$D$13&lt;&gt;"",O272&lt;&gt;"Sim",O272&lt;&gt;"N/A"),Config!$D$13&amp;"; ","")&amp;IF(AND(Config!$D$14&lt;&gt;"",P272&lt;&gt;"Sim",P272&lt;&gt;"N/A"),Config!$D$14&amp;"; ","")&amp;IF(AND(Config!$D$15&lt;&gt;"",Q272&lt;&gt;"Sim",Q272&lt;&gt;"N/A"),Config!$D$15&amp;"; ","")&amp;IF(AND(Config!$D$16&lt;&gt;"",R272&lt;&gt;"Sim",R272&lt;&gt;"N/A"),Config!$D$16&amp;"; ","")&amp;IF(AND(Config!$D$17&lt;&gt;"",S272&lt;&gt;"Sim",S272&lt;&gt;"N/A"),Config!$D$17&amp;"; ",""))</f>
        <v/>
      </c>
      <c r="AB272" s="39">
        <f>IF(A272="",0,COUNTIF($A$5:$A$304,"&gt;"&amp;A272)+1)</f>
        <v>0</v>
      </c>
    </row>
    <row r="273">
      <c r="A273" s="37" t="n"/>
      <c r="B273" s="24">
        <f>IF(A273="","",CHOOSE(WEEKDAY(A273,2),"Segunda","Terça","Quarta","Quinta","Sexta","Sábado","Domingo"))</f>
        <v/>
      </c>
      <c r="C273" s="38" t="n"/>
      <c r="D273" s="38" t="n"/>
      <c r="E273" s="38" t="n"/>
      <c r="F273" s="38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26">
        <f>IF(A273="","",IFERROR(COUNTIF(D273:K273,"Sim")/(Config!$B$19-COUNTIF(D273:K273,"N/A")),""))</f>
        <v/>
      </c>
      <c r="U273" s="26">
        <f>IF(A273="","",IFERROR(COUNTIF(L273:S273,"Sim")/(Config!$D$19-COUNTIF(L273:S273,"N/A")),""))</f>
        <v/>
      </c>
      <c r="V273" s="24">
        <f>IF(A273="","",MAX(0,Config!$B$19-COUNTIF(D273:K273,"Sim")-COUNTIF(D273:K273,"N/A")))</f>
        <v/>
      </c>
      <c r="W273" s="24">
        <f>IF(A273="","",MAX(0,Config!$D$19-COUNTIF(L273:S273,"Sim")-COUNTIF(L273:S273,"N/A")))</f>
        <v/>
      </c>
      <c r="X273" s="24">
        <f>IF(A273="","",V273+W273)</f>
        <v/>
      </c>
      <c r="Y273" s="29">
        <f>IF(OR(A273="",AA273=""),"",LEFT(AA273,LEN(AA273)-2))</f>
        <v/>
      </c>
      <c r="Z273" s="39">
        <f>IF(OR(A273="",X273=0),0,X273*100000+A273/100000)</f>
        <v>0</v>
      </c>
      <c r="AA273" s="39">
        <f>IF(A273="","",IF(AND(Config!$B$10&lt;&gt;"",D273&lt;&gt;"Sim",D273&lt;&gt;"N/A"),Config!$B$10&amp;"; ","")&amp;IF(AND(Config!$B$11&lt;&gt;"",E273&lt;&gt;"Sim",E273&lt;&gt;"N/A"),Config!$B$11&amp;"; ","")&amp;IF(AND(Config!$B$12&lt;&gt;"",F273&lt;&gt;"Sim",F273&lt;&gt;"N/A"),Config!$B$12&amp;"; ","")&amp;IF(AND(Config!$B$13&lt;&gt;"",G273&lt;&gt;"Sim",G273&lt;&gt;"N/A"),Config!$B$13&amp;"; ","")&amp;IF(AND(Config!$B$14&lt;&gt;"",H273&lt;&gt;"Sim",H273&lt;&gt;"N/A"),Config!$B$14&amp;"; ","")&amp;IF(AND(Config!$B$15&lt;&gt;"",I273&lt;&gt;"Sim",I273&lt;&gt;"N/A"),Config!$B$15&amp;"; ","")&amp;IF(AND(Config!$B$16&lt;&gt;"",J273&lt;&gt;"Sim",J273&lt;&gt;"N/A"),Config!$B$16&amp;"; ","")&amp;IF(AND(Config!$B$17&lt;&gt;"",K273&lt;&gt;"Sim",K273&lt;&gt;"N/A"),Config!$B$17&amp;"; ","")&amp;IF(AND(Config!$D$10&lt;&gt;"",L273&lt;&gt;"Sim",L273&lt;&gt;"N/A"),Config!$D$10&amp;"; ","")&amp;IF(AND(Config!$D$11&lt;&gt;"",M273&lt;&gt;"Sim",M273&lt;&gt;"N/A"),Config!$D$11&amp;"; ","")&amp;IF(AND(Config!$D$12&lt;&gt;"",N273&lt;&gt;"Sim",N273&lt;&gt;"N/A"),Config!$D$12&amp;"; ","")&amp;IF(AND(Config!$D$13&lt;&gt;"",O273&lt;&gt;"Sim",O273&lt;&gt;"N/A"),Config!$D$13&amp;"; ","")&amp;IF(AND(Config!$D$14&lt;&gt;"",P273&lt;&gt;"Sim",P273&lt;&gt;"N/A"),Config!$D$14&amp;"; ","")&amp;IF(AND(Config!$D$15&lt;&gt;"",Q273&lt;&gt;"Sim",Q273&lt;&gt;"N/A"),Config!$D$15&amp;"; ","")&amp;IF(AND(Config!$D$16&lt;&gt;"",R273&lt;&gt;"Sim",R273&lt;&gt;"N/A"),Config!$D$16&amp;"; ","")&amp;IF(AND(Config!$D$17&lt;&gt;"",S273&lt;&gt;"Sim",S273&lt;&gt;"N/A"),Config!$D$17&amp;"; ",""))</f>
        <v/>
      </c>
      <c r="AB273" s="39">
        <f>IF(A273="",0,COUNTIF($A$5:$A$304,"&gt;"&amp;A273)+1)</f>
        <v>0</v>
      </c>
    </row>
    <row r="274">
      <c r="A274" s="37" t="n"/>
      <c r="B274" s="24">
        <f>IF(A274="","",CHOOSE(WEEKDAY(A274,2),"Segunda","Terça","Quarta","Quinta","Sexta","Sábado","Domingo"))</f>
        <v/>
      </c>
      <c r="C274" s="38" t="n"/>
      <c r="D274" s="38" t="n"/>
      <c r="E274" s="38" t="n"/>
      <c r="F274" s="38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38" t="n"/>
      <c r="Q274" s="38" t="n"/>
      <c r="R274" s="38" t="n"/>
      <c r="S274" s="38" t="n"/>
      <c r="T274" s="26">
        <f>IF(A274="","",IFERROR(COUNTIF(D274:K274,"Sim")/(Config!$B$19-COUNTIF(D274:K274,"N/A")),""))</f>
        <v/>
      </c>
      <c r="U274" s="26">
        <f>IF(A274="","",IFERROR(COUNTIF(L274:S274,"Sim")/(Config!$D$19-COUNTIF(L274:S274,"N/A")),""))</f>
        <v/>
      </c>
      <c r="V274" s="24">
        <f>IF(A274="","",MAX(0,Config!$B$19-COUNTIF(D274:K274,"Sim")-COUNTIF(D274:K274,"N/A")))</f>
        <v/>
      </c>
      <c r="W274" s="24">
        <f>IF(A274="","",MAX(0,Config!$D$19-COUNTIF(L274:S274,"Sim")-COUNTIF(L274:S274,"N/A")))</f>
        <v/>
      </c>
      <c r="X274" s="24">
        <f>IF(A274="","",V274+W274)</f>
        <v/>
      </c>
      <c r="Y274" s="29">
        <f>IF(OR(A274="",AA274=""),"",LEFT(AA274,LEN(AA274)-2))</f>
        <v/>
      </c>
      <c r="Z274" s="39">
        <f>IF(OR(A274="",X274=0),0,X274*100000+A274/100000)</f>
        <v>0</v>
      </c>
      <c r="AA274" s="39">
        <f>IF(A274="","",IF(AND(Config!$B$10&lt;&gt;"",D274&lt;&gt;"Sim",D274&lt;&gt;"N/A"),Config!$B$10&amp;"; ","")&amp;IF(AND(Config!$B$11&lt;&gt;"",E274&lt;&gt;"Sim",E274&lt;&gt;"N/A"),Config!$B$11&amp;"; ","")&amp;IF(AND(Config!$B$12&lt;&gt;"",F274&lt;&gt;"Sim",F274&lt;&gt;"N/A"),Config!$B$12&amp;"; ","")&amp;IF(AND(Config!$B$13&lt;&gt;"",G274&lt;&gt;"Sim",G274&lt;&gt;"N/A"),Config!$B$13&amp;"; ","")&amp;IF(AND(Config!$B$14&lt;&gt;"",H274&lt;&gt;"Sim",H274&lt;&gt;"N/A"),Config!$B$14&amp;"; ","")&amp;IF(AND(Config!$B$15&lt;&gt;"",I274&lt;&gt;"Sim",I274&lt;&gt;"N/A"),Config!$B$15&amp;"; ","")&amp;IF(AND(Config!$B$16&lt;&gt;"",J274&lt;&gt;"Sim",J274&lt;&gt;"N/A"),Config!$B$16&amp;"; ","")&amp;IF(AND(Config!$B$17&lt;&gt;"",K274&lt;&gt;"Sim",K274&lt;&gt;"N/A"),Config!$B$17&amp;"; ","")&amp;IF(AND(Config!$D$10&lt;&gt;"",L274&lt;&gt;"Sim",L274&lt;&gt;"N/A"),Config!$D$10&amp;"; ","")&amp;IF(AND(Config!$D$11&lt;&gt;"",M274&lt;&gt;"Sim",M274&lt;&gt;"N/A"),Config!$D$11&amp;"; ","")&amp;IF(AND(Config!$D$12&lt;&gt;"",N274&lt;&gt;"Sim",N274&lt;&gt;"N/A"),Config!$D$12&amp;"; ","")&amp;IF(AND(Config!$D$13&lt;&gt;"",O274&lt;&gt;"Sim",O274&lt;&gt;"N/A"),Config!$D$13&amp;"; ","")&amp;IF(AND(Config!$D$14&lt;&gt;"",P274&lt;&gt;"Sim",P274&lt;&gt;"N/A"),Config!$D$14&amp;"; ","")&amp;IF(AND(Config!$D$15&lt;&gt;"",Q274&lt;&gt;"Sim",Q274&lt;&gt;"N/A"),Config!$D$15&amp;"; ","")&amp;IF(AND(Config!$D$16&lt;&gt;"",R274&lt;&gt;"Sim",R274&lt;&gt;"N/A"),Config!$D$16&amp;"; ","")&amp;IF(AND(Config!$D$17&lt;&gt;"",S274&lt;&gt;"Sim",S274&lt;&gt;"N/A"),Config!$D$17&amp;"; ",""))</f>
        <v/>
      </c>
      <c r="AB274" s="39">
        <f>IF(A274="",0,COUNTIF($A$5:$A$304,"&gt;"&amp;A274)+1)</f>
        <v>0</v>
      </c>
    </row>
    <row r="275">
      <c r="A275" s="37" t="n"/>
      <c r="B275" s="24">
        <f>IF(A275="","",CHOOSE(WEEKDAY(A275,2),"Segunda","Terça","Quarta","Quinta","Sexta","Sábado","Domingo"))</f>
        <v/>
      </c>
      <c r="C275" s="38" t="n"/>
      <c r="D275" s="38" t="n"/>
      <c r="E275" s="38" t="n"/>
      <c r="F275" s="38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26">
        <f>IF(A275="","",IFERROR(COUNTIF(D275:K275,"Sim")/(Config!$B$19-COUNTIF(D275:K275,"N/A")),""))</f>
        <v/>
      </c>
      <c r="U275" s="26">
        <f>IF(A275="","",IFERROR(COUNTIF(L275:S275,"Sim")/(Config!$D$19-COUNTIF(L275:S275,"N/A")),""))</f>
        <v/>
      </c>
      <c r="V275" s="24">
        <f>IF(A275="","",MAX(0,Config!$B$19-COUNTIF(D275:K275,"Sim")-COUNTIF(D275:K275,"N/A")))</f>
        <v/>
      </c>
      <c r="W275" s="24">
        <f>IF(A275="","",MAX(0,Config!$D$19-COUNTIF(L275:S275,"Sim")-COUNTIF(L275:S275,"N/A")))</f>
        <v/>
      </c>
      <c r="X275" s="24">
        <f>IF(A275="","",V275+W275)</f>
        <v/>
      </c>
      <c r="Y275" s="29">
        <f>IF(OR(A275="",AA275=""),"",LEFT(AA275,LEN(AA275)-2))</f>
        <v/>
      </c>
      <c r="Z275" s="39">
        <f>IF(OR(A275="",X275=0),0,X275*100000+A275/100000)</f>
        <v>0</v>
      </c>
      <c r="AA275" s="39">
        <f>IF(A275="","",IF(AND(Config!$B$10&lt;&gt;"",D275&lt;&gt;"Sim",D275&lt;&gt;"N/A"),Config!$B$10&amp;"; ","")&amp;IF(AND(Config!$B$11&lt;&gt;"",E275&lt;&gt;"Sim",E275&lt;&gt;"N/A"),Config!$B$11&amp;"; ","")&amp;IF(AND(Config!$B$12&lt;&gt;"",F275&lt;&gt;"Sim",F275&lt;&gt;"N/A"),Config!$B$12&amp;"; ","")&amp;IF(AND(Config!$B$13&lt;&gt;"",G275&lt;&gt;"Sim",G275&lt;&gt;"N/A"),Config!$B$13&amp;"; ","")&amp;IF(AND(Config!$B$14&lt;&gt;"",H275&lt;&gt;"Sim",H275&lt;&gt;"N/A"),Config!$B$14&amp;"; ","")&amp;IF(AND(Config!$B$15&lt;&gt;"",I275&lt;&gt;"Sim",I275&lt;&gt;"N/A"),Config!$B$15&amp;"; ","")&amp;IF(AND(Config!$B$16&lt;&gt;"",J275&lt;&gt;"Sim",J275&lt;&gt;"N/A"),Config!$B$16&amp;"; ","")&amp;IF(AND(Config!$B$17&lt;&gt;"",K275&lt;&gt;"Sim",K275&lt;&gt;"N/A"),Config!$B$17&amp;"; ","")&amp;IF(AND(Config!$D$10&lt;&gt;"",L275&lt;&gt;"Sim",L275&lt;&gt;"N/A"),Config!$D$10&amp;"; ","")&amp;IF(AND(Config!$D$11&lt;&gt;"",M275&lt;&gt;"Sim",M275&lt;&gt;"N/A"),Config!$D$11&amp;"; ","")&amp;IF(AND(Config!$D$12&lt;&gt;"",N275&lt;&gt;"Sim",N275&lt;&gt;"N/A"),Config!$D$12&amp;"; ","")&amp;IF(AND(Config!$D$13&lt;&gt;"",O275&lt;&gt;"Sim",O275&lt;&gt;"N/A"),Config!$D$13&amp;"; ","")&amp;IF(AND(Config!$D$14&lt;&gt;"",P275&lt;&gt;"Sim",P275&lt;&gt;"N/A"),Config!$D$14&amp;"; ","")&amp;IF(AND(Config!$D$15&lt;&gt;"",Q275&lt;&gt;"Sim",Q275&lt;&gt;"N/A"),Config!$D$15&amp;"; ","")&amp;IF(AND(Config!$D$16&lt;&gt;"",R275&lt;&gt;"Sim",R275&lt;&gt;"N/A"),Config!$D$16&amp;"; ","")&amp;IF(AND(Config!$D$17&lt;&gt;"",S275&lt;&gt;"Sim",S275&lt;&gt;"N/A"),Config!$D$17&amp;"; ",""))</f>
        <v/>
      </c>
      <c r="AB275" s="39">
        <f>IF(A275="",0,COUNTIF($A$5:$A$304,"&gt;"&amp;A275)+1)</f>
        <v>0</v>
      </c>
    </row>
    <row r="276">
      <c r="A276" s="37" t="n"/>
      <c r="B276" s="24">
        <f>IF(A276="","",CHOOSE(WEEKDAY(A276,2),"Segunda","Terça","Quarta","Quinta","Sexta","Sábado","Domingo"))</f>
        <v/>
      </c>
      <c r="C276" s="38" t="n"/>
      <c r="D276" s="38" t="n"/>
      <c r="E276" s="38" t="n"/>
      <c r="F276" s="38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26">
        <f>IF(A276="","",IFERROR(COUNTIF(D276:K276,"Sim")/(Config!$B$19-COUNTIF(D276:K276,"N/A")),""))</f>
        <v/>
      </c>
      <c r="U276" s="26">
        <f>IF(A276="","",IFERROR(COUNTIF(L276:S276,"Sim")/(Config!$D$19-COUNTIF(L276:S276,"N/A")),""))</f>
        <v/>
      </c>
      <c r="V276" s="24">
        <f>IF(A276="","",MAX(0,Config!$B$19-COUNTIF(D276:K276,"Sim")-COUNTIF(D276:K276,"N/A")))</f>
        <v/>
      </c>
      <c r="W276" s="24">
        <f>IF(A276="","",MAX(0,Config!$D$19-COUNTIF(L276:S276,"Sim")-COUNTIF(L276:S276,"N/A")))</f>
        <v/>
      </c>
      <c r="X276" s="24">
        <f>IF(A276="","",V276+W276)</f>
        <v/>
      </c>
      <c r="Y276" s="29">
        <f>IF(OR(A276="",AA276=""),"",LEFT(AA276,LEN(AA276)-2))</f>
        <v/>
      </c>
      <c r="Z276" s="39">
        <f>IF(OR(A276="",X276=0),0,X276*100000+A276/100000)</f>
        <v>0</v>
      </c>
      <c r="AA276" s="39">
        <f>IF(A276="","",IF(AND(Config!$B$10&lt;&gt;"",D276&lt;&gt;"Sim",D276&lt;&gt;"N/A"),Config!$B$10&amp;"; ","")&amp;IF(AND(Config!$B$11&lt;&gt;"",E276&lt;&gt;"Sim",E276&lt;&gt;"N/A"),Config!$B$11&amp;"; ","")&amp;IF(AND(Config!$B$12&lt;&gt;"",F276&lt;&gt;"Sim",F276&lt;&gt;"N/A"),Config!$B$12&amp;"; ","")&amp;IF(AND(Config!$B$13&lt;&gt;"",G276&lt;&gt;"Sim",G276&lt;&gt;"N/A"),Config!$B$13&amp;"; ","")&amp;IF(AND(Config!$B$14&lt;&gt;"",H276&lt;&gt;"Sim",H276&lt;&gt;"N/A"),Config!$B$14&amp;"; ","")&amp;IF(AND(Config!$B$15&lt;&gt;"",I276&lt;&gt;"Sim",I276&lt;&gt;"N/A"),Config!$B$15&amp;"; ","")&amp;IF(AND(Config!$B$16&lt;&gt;"",J276&lt;&gt;"Sim",J276&lt;&gt;"N/A"),Config!$B$16&amp;"; ","")&amp;IF(AND(Config!$B$17&lt;&gt;"",K276&lt;&gt;"Sim",K276&lt;&gt;"N/A"),Config!$B$17&amp;"; ","")&amp;IF(AND(Config!$D$10&lt;&gt;"",L276&lt;&gt;"Sim",L276&lt;&gt;"N/A"),Config!$D$10&amp;"; ","")&amp;IF(AND(Config!$D$11&lt;&gt;"",M276&lt;&gt;"Sim",M276&lt;&gt;"N/A"),Config!$D$11&amp;"; ","")&amp;IF(AND(Config!$D$12&lt;&gt;"",N276&lt;&gt;"Sim",N276&lt;&gt;"N/A"),Config!$D$12&amp;"; ","")&amp;IF(AND(Config!$D$13&lt;&gt;"",O276&lt;&gt;"Sim",O276&lt;&gt;"N/A"),Config!$D$13&amp;"; ","")&amp;IF(AND(Config!$D$14&lt;&gt;"",P276&lt;&gt;"Sim",P276&lt;&gt;"N/A"),Config!$D$14&amp;"; ","")&amp;IF(AND(Config!$D$15&lt;&gt;"",Q276&lt;&gt;"Sim",Q276&lt;&gt;"N/A"),Config!$D$15&amp;"; ","")&amp;IF(AND(Config!$D$16&lt;&gt;"",R276&lt;&gt;"Sim",R276&lt;&gt;"N/A"),Config!$D$16&amp;"; ","")&amp;IF(AND(Config!$D$17&lt;&gt;"",S276&lt;&gt;"Sim",S276&lt;&gt;"N/A"),Config!$D$17&amp;"; ",""))</f>
        <v/>
      </c>
      <c r="AB276" s="39">
        <f>IF(A276="",0,COUNTIF($A$5:$A$304,"&gt;"&amp;A276)+1)</f>
        <v>0</v>
      </c>
    </row>
    <row r="277">
      <c r="A277" s="37" t="n"/>
      <c r="B277" s="24">
        <f>IF(A277="","",CHOOSE(WEEKDAY(A277,2),"Segunda","Terça","Quarta","Quinta","Sexta","Sábado","Domingo"))</f>
        <v/>
      </c>
      <c r="C277" s="38" t="n"/>
      <c r="D277" s="38" t="n"/>
      <c r="E277" s="38" t="n"/>
      <c r="F277" s="38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38" t="n"/>
      <c r="Q277" s="38" t="n"/>
      <c r="R277" s="38" t="n"/>
      <c r="S277" s="38" t="n"/>
      <c r="T277" s="26">
        <f>IF(A277="","",IFERROR(COUNTIF(D277:K277,"Sim")/(Config!$B$19-COUNTIF(D277:K277,"N/A")),""))</f>
        <v/>
      </c>
      <c r="U277" s="26">
        <f>IF(A277="","",IFERROR(COUNTIF(L277:S277,"Sim")/(Config!$D$19-COUNTIF(L277:S277,"N/A")),""))</f>
        <v/>
      </c>
      <c r="V277" s="24">
        <f>IF(A277="","",MAX(0,Config!$B$19-COUNTIF(D277:K277,"Sim")-COUNTIF(D277:K277,"N/A")))</f>
        <v/>
      </c>
      <c r="W277" s="24">
        <f>IF(A277="","",MAX(0,Config!$D$19-COUNTIF(L277:S277,"Sim")-COUNTIF(L277:S277,"N/A")))</f>
        <v/>
      </c>
      <c r="X277" s="24">
        <f>IF(A277="","",V277+W277)</f>
        <v/>
      </c>
      <c r="Y277" s="29">
        <f>IF(OR(A277="",AA277=""),"",LEFT(AA277,LEN(AA277)-2))</f>
        <v/>
      </c>
      <c r="Z277" s="39">
        <f>IF(OR(A277="",X277=0),0,X277*100000+A277/100000)</f>
        <v>0</v>
      </c>
      <c r="AA277" s="39">
        <f>IF(A277="","",IF(AND(Config!$B$10&lt;&gt;"",D277&lt;&gt;"Sim",D277&lt;&gt;"N/A"),Config!$B$10&amp;"; ","")&amp;IF(AND(Config!$B$11&lt;&gt;"",E277&lt;&gt;"Sim",E277&lt;&gt;"N/A"),Config!$B$11&amp;"; ","")&amp;IF(AND(Config!$B$12&lt;&gt;"",F277&lt;&gt;"Sim",F277&lt;&gt;"N/A"),Config!$B$12&amp;"; ","")&amp;IF(AND(Config!$B$13&lt;&gt;"",G277&lt;&gt;"Sim",G277&lt;&gt;"N/A"),Config!$B$13&amp;"; ","")&amp;IF(AND(Config!$B$14&lt;&gt;"",H277&lt;&gt;"Sim",H277&lt;&gt;"N/A"),Config!$B$14&amp;"; ","")&amp;IF(AND(Config!$B$15&lt;&gt;"",I277&lt;&gt;"Sim",I277&lt;&gt;"N/A"),Config!$B$15&amp;"; ","")&amp;IF(AND(Config!$B$16&lt;&gt;"",J277&lt;&gt;"Sim",J277&lt;&gt;"N/A"),Config!$B$16&amp;"; ","")&amp;IF(AND(Config!$B$17&lt;&gt;"",K277&lt;&gt;"Sim",K277&lt;&gt;"N/A"),Config!$B$17&amp;"; ","")&amp;IF(AND(Config!$D$10&lt;&gt;"",L277&lt;&gt;"Sim",L277&lt;&gt;"N/A"),Config!$D$10&amp;"; ","")&amp;IF(AND(Config!$D$11&lt;&gt;"",M277&lt;&gt;"Sim",M277&lt;&gt;"N/A"),Config!$D$11&amp;"; ","")&amp;IF(AND(Config!$D$12&lt;&gt;"",N277&lt;&gt;"Sim",N277&lt;&gt;"N/A"),Config!$D$12&amp;"; ","")&amp;IF(AND(Config!$D$13&lt;&gt;"",O277&lt;&gt;"Sim",O277&lt;&gt;"N/A"),Config!$D$13&amp;"; ","")&amp;IF(AND(Config!$D$14&lt;&gt;"",P277&lt;&gt;"Sim",P277&lt;&gt;"N/A"),Config!$D$14&amp;"; ","")&amp;IF(AND(Config!$D$15&lt;&gt;"",Q277&lt;&gt;"Sim",Q277&lt;&gt;"N/A"),Config!$D$15&amp;"; ","")&amp;IF(AND(Config!$D$16&lt;&gt;"",R277&lt;&gt;"Sim",R277&lt;&gt;"N/A"),Config!$D$16&amp;"; ","")&amp;IF(AND(Config!$D$17&lt;&gt;"",S277&lt;&gt;"Sim",S277&lt;&gt;"N/A"),Config!$D$17&amp;"; ",""))</f>
        <v/>
      </c>
      <c r="AB277" s="39">
        <f>IF(A277="",0,COUNTIF($A$5:$A$304,"&gt;"&amp;A277)+1)</f>
        <v>0</v>
      </c>
    </row>
    <row r="278">
      <c r="A278" s="37" t="n"/>
      <c r="B278" s="24">
        <f>IF(A278="","",CHOOSE(WEEKDAY(A278,2),"Segunda","Terça","Quarta","Quinta","Sexta","Sábado","Domingo"))</f>
        <v/>
      </c>
      <c r="C278" s="38" t="n"/>
      <c r="D278" s="38" t="n"/>
      <c r="E278" s="38" t="n"/>
      <c r="F278" s="38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38" t="n"/>
      <c r="Q278" s="38" t="n"/>
      <c r="R278" s="38" t="n"/>
      <c r="S278" s="38" t="n"/>
      <c r="T278" s="26">
        <f>IF(A278="","",IFERROR(COUNTIF(D278:K278,"Sim")/(Config!$B$19-COUNTIF(D278:K278,"N/A")),""))</f>
        <v/>
      </c>
      <c r="U278" s="26">
        <f>IF(A278="","",IFERROR(COUNTIF(L278:S278,"Sim")/(Config!$D$19-COUNTIF(L278:S278,"N/A")),""))</f>
        <v/>
      </c>
      <c r="V278" s="24">
        <f>IF(A278="","",MAX(0,Config!$B$19-COUNTIF(D278:K278,"Sim")-COUNTIF(D278:K278,"N/A")))</f>
        <v/>
      </c>
      <c r="W278" s="24">
        <f>IF(A278="","",MAX(0,Config!$D$19-COUNTIF(L278:S278,"Sim")-COUNTIF(L278:S278,"N/A")))</f>
        <v/>
      </c>
      <c r="X278" s="24">
        <f>IF(A278="","",V278+W278)</f>
        <v/>
      </c>
      <c r="Y278" s="29">
        <f>IF(OR(A278="",AA278=""),"",LEFT(AA278,LEN(AA278)-2))</f>
        <v/>
      </c>
      <c r="Z278" s="39">
        <f>IF(OR(A278="",X278=0),0,X278*100000+A278/100000)</f>
        <v>0</v>
      </c>
      <c r="AA278" s="39">
        <f>IF(A278="","",IF(AND(Config!$B$10&lt;&gt;"",D278&lt;&gt;"Sim",D278&lt;&gt;"N/A"),Config!$B$10&amp;"; ","")&amp;IF(AND(Config!$B$11&lt;&gt;"",E278&lt;&gt;"Sim",E278&lt;&gt;"N/A"),Config!$B$11&amp;"; ","")&amp;IF(AND(Config!$B$12&lt;&gt;"",F278&lt;&gt;"Sim",F278&lt;&gt;"N/A"),Config!$B$12&amp;"; ","")&amp;IF(AND(Config!$B$13&lt;&gt;"",G278&lt;&gt;"Sim",G278&lt;&gt;"N/A"),Config!$B$13&amp;"; ","")&amp;IF(AND(Config!$B$14&lt;&gt;"",H278&lt;&gt;"Sim",H278&lt;&gt;"N/A"),Config!$B$14&amp;"; ","")&amp;IF(AND(Config!$B$15&lt;&gt;"",I278&lt;&gt;"Sim",I278&lt;&gt;"N/A"),Config!$B$15&amp;"; ","")&amp;IF(AND(Config!$B$16&lt;&gt;"",J278&lt;&gt;"Sim",J278&lt;&gt;"N/A"),Config!$B$16&amp;"; ","")&amp;IF(AND(Config!$B$17&lt;&gt;"",K278&lt;&gt;"Sim",K278&lt;&gt;"N/A"),Config!$B$17&amp;"; ","")&amp;IF(AND(Config!$D$10&lt;&gt;"",L278&lt;&gt;"Sim",L278&lt;&gt;"N/A"),Config!$D$10&amp;"; ","")&amp;IF(AND(Config!$D$11&lt;&gt;"",M278&lt;&gt;"Sim",M278&lt;&gt;"N/A"),Config!$D$11&amp;"; ","")&amp;IF(AND(Config!$D$12&lt;&gt;"",N278&lt;&gt;"Sim",N278&lt;&gt;"N/A"),Config!$D$12&amp;"; ","")&amp;IF(AND(Config!$D$13&lt;&gt;"",O278&lt;&gt;"Sim",O278&lt;&gt;"N/A"),Config!$D$13&amp;"; ","")&amp;IF(AND(Config!$D$14&lt;&gt;"",P278&lt;&gt;"Sim",P278&lt;&gt;"N/A"),Config!$D$14&amp;"; ","")&amp;IF(AND(Config!$D$15&lt;&gt;"",Q278&lt;&gt;"Sim",Q278&lt;&gt;"N/A"),Config!$D$15&amp;"; ","")&amp;IF(AND(Config!$D$16&lt;&gt;"",R278&lt;&gt;"Sim",R278&lt;&gt;"N/A"),Config!$D$16&amp;"; ","")&amp;IF(AND(Config!$D$17&lt;&gt;"",S278&lt;&gt;"Sim",S278&lt;&gt;"N/A"),Config!$D$17&amp;"; ",""))</f>
        <v/>
      </c>
      <c r="AB278" s="39">
        <f>IF(A278="",0,COUNTIF($A$5:$A$304,"&gt;"&amp;A278)+1)</f>
        <v>0</v>
      </c>
    </row>
    <row r="279">
      <c r="A279" s="37" t="n"/>
      <c r="B279" s="24">
        <f>IF(A279="","",CHOOSE(WEEKDAY(A279,2),"Segunda","Terça","Quarta","Quinta","Sexta","Sábado","Domingo"))</f>
        <v/>
      </c>
      <c r="C279" s="38" t="n"/>
      <c r="D279" s="38" t="n"/>
      <c r="E279" s="38" t="n"/>
      <c r="F279" s="38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38" t="n"/>
      <c r="Q279" s="38" t="n"/>
      <c r="R279" s="38" t="n"/>
      <c r="S279" s="38" t="n"/>
      <c r="T279" s="26">
        <f>IF(A279="","",IFERROR(COUNTIF(D279:K279,"Sim")/(Config!$B$19-COUNTIF(D279:K279,"N/A")),""))</f>
        <v/>
      </c>
      <c r="U279" s="26">
        <f>IF(A279="","",IFERROR(COUNTIF(L279:S279,"Sim")/(Config!$D$19-COUNTIF(L279:S279,"N/A")),""))</f>
        <v/>
      </c>
      <c r="V279" s="24">
        <f>IF(A279="","",MAX(0,Config!$B$19-COUNTIF(D279:K279,"Sim")-COUNTIF(D279:K279,"N/A")))</f>
        <v/>
      </c>
      <c r="W279" s="24">
        <f>IF(A279="","",MAX(0,Config!$D$19-COUNTIF(L279:S279,"Sim")-COUNTIF(L279:S279,"N/A")))</f>
        <v/>
      </c>
      <c r="X279" s="24">
        <f>IF(A279="","",V279+W279)</f>
        <v/>
      </c>
      <c r="Y279" s="29">
        <f>IF(OR(A279="",AA279=""),"",LEFT(AA279,LEN(AA279)-2))</f>
        <v/>
      </c>
      <c r="Z279" s="39">
        <f>IF(OR(A279="",X279=0),0,X279*100000+A279/100000)</f>
        <v>0</v>
      </c>
      <c r="AA279" s="39">
        <f>IF(A279="","",IF(AND(Config!$B$10&lt;&gt;"",D279&lt;&gt;"Sim",D279&lt;&gt;"N/A"),Config!$B$10&amp;"; ","")&amp;IF(AND(Config!$B$11&lt;&gt;"",E279&lt;&gt;"Sim",E279&lt;&gt;"N/A"),Config!$B$11&amp;"; ","")&amp;IF(AND(Config!$B$12&lt;&gt;"",F279&lt;&gt;"Sim",F279&lt;&gt;"N/A"),Config!$B$12&amp;"; ","")&amp;IF(AND(Config!$B$13&lt;&gt;"",G279&lt;&gt;"Sim",G279&lt;&gt;"N/A"),Config!$B$13&amp;"; ","")&amp;IF(AND(Config!$B$14&lt;&gt;"",H279&lt;&gt;"Sim",H279&lt;&gt;"N/A"),Config!$B$14&amp;"; ","")&amp;IF(AND(Config!$B$15&lt;&gt;"",I279&lt;&gt;"Sim",I279&lt;&gt;"N/A"),Config!$B$15&amp;"; ","")&amp;IF(AND(Config!$B$16&lt;&gt;"",J279&lt;&gt;"Sim",J279&lt;&gt;"N/A"),Config!$B$16&amp;"; ","")&amp;IF(AND(Config!$B$17&lt;&gt;"",K279&lt;&gt;"Sim",K279&lt;&gt;"N/A"),Config!$B$17&amp;"; ","")&amp;IF(AND(Config!$D$10&lt;&gt;"",L279&lt;&gt;"Sim",L279&lt;&gt;"N/A"),Config!$D$10&amp;"; ","")&amp;IF(AND(Config!$D$11&lt;&gt;"",M279&lt;&gt;"Sim",M279&lt;&gt;"N/A"),Config!$D$11&amp;"; ","")&amp;IF(AND(Config!$D$12&lt;&gt;"",N279&lt;&gt;"Sim",N279&lt;&gt;"N/A"),Config!$D$12&amp;"; ","")&amp;IF(AND(Config!$D$13&lt;&gt;"",O279&lt;&gt;"Sim",O279&lt;&gt;"N/A"),Config!$D$13&amp;"; ","")&amp;IF(AND(Config!$D$14&lt;&gt;"",P279&lt;&gt;"Sim",P279&lt;&gt;"N/A"),Config!$D$14&amp;"; ","")&amp;IF(AND(Config!$D$15&lt;&gt;"",Q279&lt;&gt;"Sim",Q279&lt;&gt;"N/A"),Config!$D$15&amp;"; ","")&amp;IF(AND(Config!$D$16&lt;&gt;"",R279&lt;&gt;"Sim",R279&lt;&gt;"N/A"),Config!$D$16&amp;"; ","")&amp;IF(AND(Config!$D$17&lt;&gt;"",S279&lt;&gt;"Sim",S279&lt;&gt;"N/A"),Config!$D$17&amp;"; ",""))</f>
        <v/>
      </c>
      <c r="AB279" s="39">
        <f>IF(A279="",0,COUNTIF($A$5:$A$304,"&gt;"&amp;A279)+1)</f>
        <v>0</v>
      </c>
    </row>
    <row r="280">
      <c r="A280" s="37" t="n"/>
      <c r="B280" s="24">
        <f>IF(A280="","",CHOOSE(WEEKDAY(A280,2),"Segunda","Terça","Quarta","Quinta","Sexta","Sábado","Domingo"))</f>
        <v/>
      </c>
      <c r="C280" s="38" t="n"/>
      <c r="D280" s="38" t="n"/>
      <c r="E280" s="38" t="n"/>
      <c r="F280" s="38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38" t="n"/>
      <c r="Q280" s="38" t="n"/>
      <c r="R280" s="38" t="n"/>
      <c r="S280" s="38" t="n"/>
      <c r="T280" s="26">
        <f>IF(A280="","",IFERROR(COUNTIF(D280:K280,"Sim")/(Config!$B$19-COUNTIF(D280:K280,"N/A")),""))</f>
        <v/>
      </c>
      <c r="U280" s="26">
        <f>IF(A280="","",IFERROR(COUNTIF(L280:S280,"Sim")/(Config!$D$19-COUNTIF(L280:S280,"N/A")),""))</f>
        <v/>
      </c>
      <c r="V280" s="24">
        <f>IF(A280="","",MAX(0,Config!$B$19-COUNTIF(D280:K280,"Sim")-COUNTIF(D280:K280,"N/A")))</f>
        <v/>
      </c>
      <c r="W280" s="24">
        <f>IF(A280="","",MAX(0,Config!$D$19-COUNTIF(L280:S280,"Sim")-COUNTIF(L280:S280,"N/A")))</f>
        <v/>
      </c>
      <c r="X280" s="24">
        <f>IF(A280="","",V280+W280)</f>
        <v/>
      </c>
      <c r="Y280" s="29">
        <f>IF(OR(A280="",AA280=""),"",LEFT(AA280,LEN(AA280)-2))</f>
        <v/>
      </c>
      <c r="Z280" s="39">
        <f>IF(OR(A280="",X280=0),0,X280*100000+A280/100000)</f>
        <v>0</v>
      </c>
      <c r="AA280" s="39">
        <f>IF(A280="","",IF(AND(Config!$B$10&lt;&gt;"",D280&lt;&gt;"Sim",D280&lt;&gt;"N/A"),Config!$B$10&amp;"; ","")&amp;IF(AND(Config!$B$11&lt;&gt;"",E280&lt;&gt;"Sim",E280&lt;&gt;"N/A"),Config!$B$11&amp;"; ","")&amp;IF(AND(Config!$B$12&lt;&gt;"",F280&lt;&gt;"Sim",F280&lt;&gt;"N/A"),Config!$B$12&amp;"; ","")&amp;IF(AND(Config!$B$13&lt;&gt;"",G280&lt;&gt;"Sim",G280&lt;&gt;"N/A"),Config!$B$13&amp;"; ","")&amp;IF(AND(Config!$B$14&lt;&gt;"",H280&lt;&gt;"Sim",H280&lt;&gt;"N/A"),Config!$B$14&amp;"; ","")&amp;IF(AND(Config!$B$15&lt;&gt;"",I280&lt;&gt;"Sim",I280&lt;&gt;"N/A"),Config!$B$15&amp;"; ","")&amp;IF(AND(Config!$B$16&lt;&gt;"",J280&lt;&gt;"Sim",J280&lt;&gt;"N/A"),Config!$B$16&amp;"; ","")&amp;IF(AND(Config!$B$17&lt;&gt;"",K280&lt;&gt;"Sim",K280&lt;&gt;"N/A"),Config!$B$17&amp;"; ","")&amp;IF(AND(Config!$D$10&lt;&gt;"",L280&lt;&gt;"Sim",L280&lt;&gt;"N/A"),Config!$D$10&amp;"; ","")&amp;IF(AND(Config!$D$11&lt;&gt;"",M280&lt;&gt;"Sim",M280&lt;&gt;"N/A"),Config!$D$11&amp;"; ","")&amp;IF(AND(Config!$D$12&lt;&gt;"",N280&lt;&gt;"Sim",N280&lt;&gt;"N/A"),Config!$D$12&amp;"; ","")&amp;IF(AND(Config!$D$13&lt;&gt;"",O280&lt;&gt;"Sim",O280&lt;&gt;"N/A"),Config!$D$13&amp;"; ","")&amp;IF(AND(Config!$D$14&lt;&gt;"",P280&lt;&gt;"Sim",P280&lt;&gt;"N/A"),Config!$D$14&amp;"; ","")&amp;IF(AND(Config!$D$15&lt;&gt;"",Q280&lt;&gt;"Sim",Q280&lt;&gt;"N/A"),Config!$D$15&amp;"; ","")&amp;IF(AND(Config!$D$16&lt;&gt;"",R280&lt;&gt;"Sim",R280&lt;&gt;"N/A"),Config!$D$16&amp;"; ","")&amp;IF(AND(Config!$D$17&lt;&gt;"",S280&lt;&gt;"Sim",S280&lt;&gt;"N/A"),Config!$D$17&amp;"; ",""))</f>
        <v/>
      </c>
      <c r="AB280" s="39">
        <f>IF(A280="",0,COUNTIF($A$5:$A$304,"&gt;"&amp;A280)+1)</f>
        <v>0</v>
      </c>
    </row>
    <row r="281">
      <c r="A281" s="37" t="n"/>
      <c r="B281" s="24">
        <f>IF(A281="","",CHOOSE(WEEKDAY(A281,2),"Segunda","Terça","Quarta","Quinta","Sexta","Sábado","Domingo"))</f>
        <v/>
      </c>
      <c r="C281" s="38" t="n"/>
      <c r="D281" s="38" t="n"/>
      <c r="E281" s="38" t="n"/>
      <c r="F281" s="38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  <c r="Q281" s="38" t="n"/>
      <c r="R281" s="38" t="n"/>
      <c r="S281" s="38" t="n"/>
      <c r="T281" s="26">
        <f>IF(A281="","",IFERROR(COUNTIF(D281:K281,"Sim")/(Config!$B$19-COUNTIF(D281:K281,"N/A")),""))</f>
        <v/>
      </c>
      <c r="U281" s="26">
        <f>IF(A281="","",IFERROR(COUNTIF(L281:S281,"Sim")/(Config!$D$19-COUNTIF(L281:S281,"N/A")),""))</f>
        <v/>
      </c>
      <c r="V281" s="24">
        <f>IF(A281="","",MAX(0,Config!$B$19-COUNTIF(D281:K281,"Sim")-COUNTIF(D281:K281,"N/A")))</f>
        <v/>
      </c>
      <c r="W281" s="24">
        <f>IF(A281="","",MAX(0,Config!$D$19-COUNTIF(L281:S281,"Sim")-COUNTIF(L281:S281,"N/A")))</f>
        <v/>
      </c>
      <c r="X281" s="24">
        <f>IF(A281="","",V281+W281)</f>
        <v/>
      </c>
      <c r="Y281" s="29">
        <f>IF(OR(A281="",AA281=""),"",LEFT(AA281,LEN(AA281)-2))</f>
        <v/>
      </c>
      <c r="Z281" s="39">
        <f>IF(OR(A281="",X281=0),0,X281*100000+A281/100000)</f>
        <v>0</v>
      </c>
      <c r="AA281" s="39">
        <f>IF(A281="","",IF(AND(Config!$B$10&lt;&gt;"",D281&lt;&gt;"Sim",D281&lt;&gt;"N/A"),Config!$B$10&amp;"; ","")&amp;IF(AND(Config!$B$11&lt;&gt;"",E281&lt;&gt;"Sim",E281&lt;&gt;"N/A"),Config!$B$11&amp;"; ","")&amp;IF(AND(Config!$B$12&lt;&gt;"",F281&lt;&gt;"Sim",F281&lt;&gt;"N/A"),Config!$B$12&amp;"; ","")&amp;IF(AND(Config!$B$13&lt;&gt;"",G281&lt;&gt;"Sim",G281&lt;&gt;"N/A"),Config!$B$13&amp;"; ","")&amp;IF(AND(Config!$B$14&lt;&gt;"",H281&lt;&gt;"Sim",H281&lt;&gt;"N/A"),Config!$B$14&amp;"; ","")&amp;IF(AND(Config!$B$15&lt;&gt;"",I281&lt;&gt;"Sim",I281&lt;&gt;"N/A"),Config!$B$15&amp;"; ","")&amp;IF(AND(Config!$B$16&lt;&gt;"",J281&lt;&gt;"Sim",J281&lt;&gt;"N/A"),Config!$B$16&amp;"; ","")&amp;IF(AND(Config!$B$17&lt;&gt;"",K281&lt;&gt;"Sim",K281&lt;&gt;"N/A"),Config!$B$17&amp;"; ","")&amp;IF(AND(Config!$D$10&lt;&gt;"",L281&lt;&gt;"Sim",L281&lt;&gt;"N/A"),Config!$D$10&amp;"; ","")&amp;IF(AND(Config!$D$11&lt;&gt;"",M281&lt;&gt;"Sim",M281&lt;&gt;"N/A"),Config!$D$11&amp;"; ","")&amp;IF(AND(Config!$D$12&lt;&gt;"",N281&lt;&gt;"Sim",N281&lt;&gt;"N/A"),Config!$D$12&amp;"; ","")&amp;IF(AND(Config!$D$13&lt;&gt;"",O281&lt;&gt;"Sim",O281&lt;&gt;"N/A"),Config!$D$13&amp;"; ","")&amp;IF(AND(Config!$D$14&lt;&gt;"",P281&lt;&gt;"Sim",P281&lt;&gt;"N/A"),Config!$D$14&amp;"; ","")&amp;IF(AND(Config!$D$15&lt;&gt;"",Q281&lt;&gt;"Sim",Q281&lt;&gt;"N/A"),Config!$D$15&amp;"; ","")&amp;IF(AND(Config!$D$16&lt;&gt;"",R281&lt;&gt;"Sim",R281&lt;&gt;"N/A"),Config!$D$16&amp;"; ","")&amp;IF(AND(Config!$D$17&lt;&gt;"",S281&lt;&gt;"Sim",S281&lt;&gt;"N/A"),Config!$D$17&amp;"; ",""))</f>
        <v/>
      </c>
      <c r="AB281" s="39">
        <f>IF(A281="",0,COUNTIF($A$5:$A$304,"&gt;"&amp;A281)+1)</f>
        <v>0</v>
      </c>
    </row>
    <row r="282">
      <c r="A282" s="37" t="n"/>
      <c r="B282" s="24">
        <f>IF(A282="","",CHOOSE(WEEKDAY(A282,2),"Segunda","Terça","Quarta","Quinta","Sexta","Sábado","Domingo"))</f>
        <v/>
      </c>
      <c r="C282" s="38" t="n"/>
      <c r="D282" s="38" t="n"/>
      <c r="E282" s="38" t="n"/>
      <c r="F282" s="38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38" t="n"/>
      <c r="Q282" s="38" t="n"/>
      <c r="R282" s="38" t="n"/>
      <c r="S282" s="38" t="n"/>
      <c r="T282" s="26">
        <f>IF(A282="","",IFERROR(COUNTIF(D282:K282,"Sim")/(Config!$B$19-COUNTIF(D282:K282,"N/A")),""))</f>
        <v/>
      </c>
      <c r="U282" s="26">
        <f>IF(A282="","",IFERROR(COUNTIF(L282:S282,"Sim")/(Config!$D$19-COUNTIF(L282:S282,"N/A")),""))</f>
        <v/>
      </c>
      <c r="V282" s="24">
        <f>IF(A282="","",MAX(0,Config!$B$19-COUNTIF(D282:K282,"Sim")-COUNTIF(D282:K282,"N/A")))</f>
        <v/>
      </c>
      <c r="W282" s="24">
        <f>IF(A282="","",MAX(0,Config!$D$19-COUNTIF(L282:S282,"Sim")-COUNTIF(L282:S282,"N/A")))</f>
        <v/>
      </c>
      <c r="X282" s="24">
        <f>IF(A282="","",V282+W282)</f>
        <v/>
      </c>
      <c r="Y282" s="29">
        <f>IF(OR(A282="",AA282=""),"",LEFT(AA282,LEN(AA282)-2))</f>
        <v/>
      </c>
      <c r="Z282" s="39">
        <f>IF(OR(A282="",X282=0),0,X282*100000+A282/100000)</f>
        <v>0</v>
      </c>
      <c r="AA282" s="39">
        <f>IF(A282="","",IF(AND(Config!$B$10&lt;&gt;"",D282&lt;&gt;"Sim",D282&lt;&gt;"N/A"),Config!$B$10&amp;"; ","")&amp;IF(AND(Config!$B$11&lt;&gt;"",E282&lt;&gt;"Sim",E282&lt;&gt;"N/A"),Config!$B$11&amp;"; ","")&amp;IF(AND(Config!$B$12&lt;&gt;"",F282&lt;&gt;"Sim",F282&lt;&gt;"N/A"),Config!$B$12&amp;"; ","")&amp;IF(AND(Config!$B$13&lt;&gt;"",G282&lt;&gt;"Sim",G282&lt;&gt;"N/A"),Config!$B$13&amp;"; ","")&amp;IF(AND(Config!$B$14&lt;&gt;"",H282&lt;&gt;"Sim",H282&lt;&gt;"N/A"),Config!$B$14&amp;"; ","")&amp;IF(AND(Config!$B$15&lt;&gt;"",I282&lt;&gt;"Sim",I282&lt;&gt;"N/A"),Config!$B$15&amp;"; ","")&amp;IF(AND(Config!$B$16&lt;&gt;"",J282&lt;&gt;"Sim",J282&lt;&gt;"N/A"),Config!$B$16&amp;"; ","")&amp;IF(AND(Config!$B$17&lt;&gt;"",K282&lt;&gt;"Sim",K282&lt;&gt;"N/A"),Config!$B$17&amp;"; ","")&amp;IF(AND(Config!$D$10&lt;&gt;"",L282&lt;&gt;"Sim",L282&lt;&gt;"N/A"),Config!$D$10&amp;"; ","")&amp;IF(AND(Config!$D$11&lt;&gt;"",M282&lt;&gt;"Sim",M282&lt;&gt;"N/A"),Config!$D$11&amp;"; ","")&amp;IF(AND(Config!$D$12&lt;&gt;"",N282&lt;&gt;"Sim",N282&lt;&gt;"N/A"),Config!$D$12&amp;"; ","")&amp;IF(AND(Config!$D$13&lt;&gt;"",O282&lt;&gt;"Sim",O282&lt;&gt;"N/A"),Config!$D$13&amp;"; ","")&amp;IF(AND(Config!$D$14&lt;&gt;"",P282&lt;&gt;"Sim",P282&lt;&gt;"N/A"),Config!$D$14&amp;"; ","")&amp;IF(AND(Config!$D$15&lt;&gt;"",Q282&lt;&gt;"Sim",Q282&lt;&gt;"N/A"),Config!$D$15&amp;"; ","")&amp;IF(AND(Config!$D$16&lt;&gt;"",R282&lt;&gt;"Sim",R282&lt;&gt;"N/A"),Config!$D$16&amp;"; ","")&amp;IF(AND(Config!$D$17&lt;&gt;"",S282&lt;&gt;"Sim",S282&lt;&gt;"N/A"),Config!$D$17&amp;"; ",""))</f>
        <v/>
      </c>
      <c r="AB282" s="39">
        <f>IF(A282="",0,COUNTIF($A$5:$A$304,"&gt;"&amp;A282)+1)</f>
        <v>0</v>
      </c>
    </row>
    <row r="283">
      <c r="A283" s="37" t="n"/>
      <c r="B283" s="24">
        <f>IF(A283="","",CHOOSE(WEEKDAY(A283,2),"Segunda","Terça","Quarta","Quinta","Sexta","Sábado","Domingo"))</f>
        <v/>
      </c>
      <c r="C283" s="38" t="n"/>
      <c r="D283" s="38" t="n"/>
      <c r="E283" s="38" t="n"/>
      <c r="F283" s="38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38" t="n"/>
      <c r="Q283" s="38" t="n"/>
      <c r="R283" s="38" t="n"/>
      <c r="S283" s="38" t="n"/>
      <c r="T283" s="26">
        <f>IF(A283="","",IFERROR(COUNTIF(D283:K283,"Sim")/(Config!$B$19-COUNTIF(D283:K283,"N/A")),""))</f>
        <v/>
      </c>
      <c r="U283" s="26">
        <f>IF(A283="","",IFERROR(COUNTIF(L283:S283,"Sim")/(Config!$D$19-COUNTIF(L283:S283,"N/A")),""))</f>
        <v/>
      </c>
      <c r="V283" s="24">
        <f>IF(A283="","",MAX(0,Config!$B$19-COUNTIF(D283:K283,"Sim")-COUNTIF(D283:K283,"N/A")))</f>
        <v/>
      </c>
      <c r="W283" s="24">
        <f>IF(A283="","",MAX(0,Config!$D$19-COUNTIF(L283:S283,"Sim")-COUNTIF(L283:S283,"N/A")))</f>
        <v/>
      </c>
      <c r="X283" s="24">
        <f>IF(A283="","",V283+W283)</f>
        <v/>
      </c>
      <c r="Y283" s="29">
        <f>IF(OR(A283="",AA283=""),"",LEFT(AA283,LEN(AA283)-2))</f>
        <v/>
      </c>
      <c r="Z283" s="39">
        <f>IF(OR(A283="",X283=0),0,X283*100000+A283/100000)</f>
        <v>0</v>
      </c>
      <c r="AA283" s="39">
        <f>IF(A283="","",IF(AND(Config!$B$10&lt;&gt;"",D283&lt;&gt;"Sim",D283&lt;&gt;"N/A"),Config!$B$10&amp;"; ","")&amp;IF(AND(Config!$B$11&lt;&gt;"",E283&lt;&gt;"Sim",E283&lt;&gt;"N/A"),Config!$B$11&amp;"; ","")&amp;IF(AND(Config!$B$12&lt;&gt;"",F283&lt;&gt;"Sim",F283&lt;&gt;"N/A"),Config!$B$12&amp;"; ","")&amp;IF(AND(Config!$B$13&lt;&gt;"",G283&lt;&gt;"Sim",G283&lt;&gt;"N/A"),Config!$B$13&amp;"; ","")&amp;IF(AND(Config!$B$14&lt;&gt;"",H283&lt;&gt;"Sim",H283&lt;&gt;"N/A"),Config!$B$14&amp;"; ","")&amp;IF(AND(Config!$B$15&lt;&gt;"",I283&lt;&gt;"Sim",I283&lt;&gt;"N/A"),Config!$B$15&amp;"; ","")&amp;IF(AND(Config!$B$16&lt;&gt;"",J283&lt;&gt;"Sim",J283&lt;&gt;"N/A"),Config!$B$16&amp;"; ","")&amp;IF(AND(Config!$B$17&lt;&gt;"",K283&lt;&gt;"Sim",K283&lt;&gt;"N/A"),Config!$B$17&amp;"; ","")&amp;IF(AND(Config!$D$10&lt;&gt;"",L283&lt;&gt;"Sim",L283&lt;&gt;"N/A"),Config!$D$10&amp;"; ","")&amp;IF(AND(Config!$D$11&lt;&gt;"",M283&lt;&gt;"Sim",M283&lt;&gt;"N/A"),Config!$D$11&amp;"; ","")&amp;IF(AND(Config!$D$12&lt;&gt;"",N283&lt;&gt;"Sim",N283&lt;&gt;"N/A"),Config!$D$12&amp;"; ","")&amp;IF(AND(Config!$D$13&lt;&gt;"",O283&lt;&gt;"Sim",O283&lt;&gt;"N/A"),Config!$D$13&amp;"; ","")&amp;IF(AND(Config!$D$14&lt;&gt;"",P283&lt;&gt;"Sim",P283&lt;&gt;"N/A"),Config!$D$14&amp;"; ","")&amp;IF(AND(Config!$D$15&lt;&gt;"",Q283&lt;&gt;"Sim",Q283&lt;&gt;"N/A"),Config!$D$15&amp;"; ","")&amp;IF(AND(Config!$D$16&lt;&gt;"",R283&lt;&gt;"Sim",R283&lt;&gt;"N/A"),Config!$D$16&amp;"; ","")&amp;IF(AND(Config!$D$17&lt;&gt;"",S283&lt;&gt;"Sim",S283&lt;&gt;"N/A"),Config!$D$17&amp;"; ",""))</f>
        <v/>
      </c>
      <c r="AB283" s="39">
        <f>IF(A283="",0,COUNTIF($A$5:$A$304,"&gt;"&amp;A283)+1)</f>
        <v>0</v>
      </c>
    </row>
    <row r="284">
      <c r="A284" s="37" t="n"/>
      <c r="B284" s="24">
        <f>IF(A284="","",CHOOSE(WEEKDAY(A284,2),"Segunda","Terça","Quarta","Quinta","Sexta","Sábado","Domingo"))</f>
        <v/>
      </c>
      <c r="C284" s="38" t="n"/>
      <c r="D284" s="38" t="n"/>
      <c r="E284" s="38" t="n"/>
      <c r="F284" s="38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38" t="n"/>
      <c r="Q284" s="38" t="n"/>
      <c r="R284" s="38" t="n"/>
      <c r="S284" s="38" t="n"/>
      <c r="T284" s="26">
        <f>IF(A284="","",IFERROR(COUNTIF(D284:K284,"Sim")/(Config!$B$19-COUNTIF(D284:K284,"N/A")),""))</f>
        <v/>
      </c>
      <c r="U284" s="26">
        <f>IF(A284="","",IFERROR(COUNTIF(L284:S284,"Sim")/(Config!$D$19-COUNTIF(L284:S284,"N/A")),""))</f>
        <v/>
      </c>
      <c r="V284" s="24">
        <f>IF(A284="","",MAX(0,Config!$B$19-COUNTIF(D284:K284,"Sim")-COUNTIF(D284:K284,"N/A")))</f>
        <v/>
      </c>
      <c r="W284" s="24">
        <f>IF(A284="","",MAX(0,Config!$D$19-COUNTIF(L284:S284,"Sim")-COUNTIF(L284:S284,"N/A")))</f>
        <v/>
      </c>
      <c r="X284" s="24">
        <f>IF(A284="","",V284+W284)</f>
        <v/>
      </c>
      <c r="Y284" s="29">
        <f>IF(OR(A284="",AA284=""),"",LEFT(AA284,LEN(AA284)-2))</f>
        <v/>
      </c>
      <c r="Z284" s="39">
        <f>IF(OR(A284="",X284=0),0,X284*100000+A284/100000)</f>
        <v>0</v>
      </c>
      <c r="AA284" s="39">
        <f>IF(A284="","",IF(AND(Config!$B$10&lt;&gt;"",D284&lt;&gt;"Sim",D284&lt;&gt;"N/A"),Config!$B$10&amp;"; ","")&amp;IF(AND(Config!$B$11&lt;&gt;"",E284&lt;&gt;"Sim",E284&lt;&gt;"N/A"),Config!$B$11&amp;"; ","")&amp;IF(AND(Config!$B$12&lt;&gt;"",F284&lt;&gt;"Sim",F284&lt;&gt;"N/A"),Config!$B$12&amp;"; ","")&amp;IF(AND(Config!$B$13&lt;&gt;"",G284&lt;&gt;"Sim",G284&lt;&gt;"N/A"),Config!$B$13&amp;"; ","")&amp;IF(AND(Config!$B$14&lt;&gt;"",H284&lt;&gt;"Sim",H284&lt;&gt;"N/A"),Config!$B$14&amp;"; ","")&amp;IF(AND(Config!$B$15&lt;&gt;"",I284&lt;&gt;"Sim",I284&lt;&gt;"N/A"),Config!$B$15&amp;"; ","")&amp;IF(AND(Config!$B$16&lt;&gt;"",J284&lt;&gt;"Sim",J284&lt;&gt;"N/A"),Config!$B$16&amp;"; ","")&amp;IF(AND(Config!$B$17&lt;&gt;"",K284&lt;&gt;"Sim",K284&lt;&gt;"N/A"),Config!$B$17&amp;"; ","")&amp;IF(AND(Config!$D$10&lt;&gt;"",L284&lt;&gt;"Sim",L284&lt;&gt;"N/A"),Config!$D$10&amp;"; ","")&amp;IF(AND(Config!$D$11&lt;&gt;"",M284&lt;&gt;"Sim",M284&lt;&gt;"N/A"),Config!$D$11&amp;"; ","")&amp;IF(AND(Config!$D$12&lt;&gt;"",N284&lt;&gt;"Sim",N284&lt;&gt;"N/A"),Config!$D$12&amp;"; ","")&amp;IF(AND(Config!$D$13&lt;&gt;"",O284&lt;&gt;"Sim",O284&lt;&gt;"N/A"),Config!$D$13&amp;"; ","")&amp;IF(AND(Config!$D$14&lt;&gt;"",P284&lt;&gt;"Sim",P284&lt;&gt;"N/A"),Config!$D$14&amp;"; ","")&amp;IF(AND(Config!$D$15&lt;&gt;"",Q284&lt;&gt;"Sim",Q284&lt;&gt;"N/A"),Config!$D$15&amp;"; ","")&amp;IF(AND(Config!$D$16&lt;&gt;"",R284&lt;&gt;"Sim",R284&lt;&gt;"N/A"),Config!$D$16&amp;"; ","")&amp;IF(AND(Config!$D$17&lt;&gt;"",S284&lt;&gt;"Sim",S284&lt;&gt;"N/A"),Config!$D$17&amp;"; ",""))</f>
        <v/>
      </c>
      <c r="AB284" s="39">
        <f>IF(A284="",0,COUNTIF($A$5:$A$304,"&gt;"&amp;A284)+1)</f>
        <v>0</v>
      </c>
    </row>
    <row r="285">
      <c r="A285" s="37" t="n"/>
      <c r="B285" s="24">
        <f>IF(A285="","",CHOOSE(WEEKDAY(A285,2),"Segunda","Terça","Quarta","Quinta","Sexta","Sábado","Domingo"))</f>
        <v/>
      </c>
      <c r="C285" s="38" t="n"/>
      <c r="D285" s="38" t="n"/>
      <c r="E285" s="38" t="n"/>
      <c r="F285" s="38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38" t="n"/>
      <c r="Q285" s="38" t="n"/>
      <c r="R285" s="38" t="n"/>
      <c r="S285" s="38" t="n"/>
      <c r="T285" s="26">
        <f>IF(A285="","",IFERROR(COUNTIF(D285:K285,"Sim")/(Config!$B$19-COUNTIF(D285:K285,"N/A")),""))</f>
        <v/>
      </c>
      <c r="U285" s="26">
        <f>IF(A285="","",IFERROR(COUNTIF(L285:S285,"Sim")/(Config!$D$19-COUNTIF(L285:S285,"N/A")),""))</f>
        <v/>
      </c>
      <c r="V285" s="24">
        <f>IF(A285="","",MAX(0,Config!$B$19-COUNTIF(D285:K285,"Sim")-COUNTIF(D285:K285,"N/A")))</f>
        <v/>
      </c>
      <c r="W285" s="24">
        <f>IF(A285="","",MAX(0,Config!$D$19-COUNTIF(L285:S285,"Sim")-COUNTIF(L285:S285,"N/A")))</f>
        <v/>
      </c>
      <c r="X285" s="24">
        <f>IF(A285="","",V285+W285)</f>
        <v/>
      </c>
      <c r="Y285" s="29">
        <f>IF(OR(A285="",AA285=""),"",LEFT(AA285,LEN(AA285)-2))</f>
        <v/>
      </c>
      <c r="Z285" s="39">
        <f>IF(OR(A285="",X285=0),0,X285*100000+A285/100000)</f>
        <v>0</v>
      </c>
      <c r="AA285" s="39">
        <f>IF(A285="","",IF(AND(Config!$B$10&lt;&gt;"",D285&lt;&gt;"Sim",D285&lt;&gt;"N/A"),Config!$B$10&amp;"; ","")&amp;IF(AND(Config!$B$11&lt;&gt;"",E285&lt;&gt;"Sim",E285&lt;&gt;"N/A"),Config!$B$11&amp;"; ","")&amp;IF(AND(Config!$B$12&lt;&gt;"",F285&lt;&gt;"Sim",F285&lt;&gt;"N/A"),Config!$B$12&amp;"; ","")&amp;IF(AND(Config!$B$13&lt;&gt;"",G285&lt;&gt;"Sim",G285&lt;&gt;"N/A"),Config!$B$13&amp;"; ","")&amp;IF(AND(Config!$B$14&lt;&gt;"",H285&lt;&gt;"Sim",H285&lt;&gt;"N/A"),Config!$B$14&amp;"; ","")&amp;IF(AND(Config!$B$15&lt;&gt;"",I285&lt;&gt;"Sim",I285&lt;&gt;"N/A"),Config!$B$15&amp;"; ","")&amp;IF(AND(Config!$B$16&lt;&gt;"",J285&lt;&gt;"Sim",J285&lt;&gt;"N/A"),Config!$B$16&amp;"; ","")&amp;IF(AND(Config!$B$17&lt;&gt;"",K285&lt;&gt;"Sim",K285&lt;&gt;"N/A"),Config!$B$17&amp;"; ","")&amp;IF(AND(Config!$D$10&lt;&gt;"",L285&lt;&gt;"Sim",L285&lt;&gt;"N/A"),Config!$D$10&amp;"; ","")&amp;IF(AND(Config!$D$11&lt;&gt;"",M285&lt;&gt;"Sim",M285&lt;&gt;"N/A"),Config!$D$11&amp;"; ","")&amp;IF(AND(Config!$D$12&lt;&gt;"",N285&lt;&gt;"Sim",N285&lt;&gt;"N/A"),Config!$D$12&amp;"; ","")&amp;IF(AND(Config!$D$13&lt;&gt;"",O285&lt;&gt;"Sim",O285&lt;&gt;"N/A"),Config!$D$13&amp;"; ","")&amp;IF(AND(Config!$D$14&lt;&gt;"",P285&lt;&gt;"Sim",P285&lt;&gt;"N/A"),Config!$D$14&amp;"; ","")&amp;IF(AND(Config!$D$15&lt;&gt;"",Q285&lt;&gt;"Sim",Q285&lt;&gt;"N/A"),Config!$D$15&amp;"; ","")&amp;IF(AND(Config!$D$16&lt;&gt;"",R285&lt;&gt;"Sim",R285&lt;&gt;"N/A"),Config!$D$16&amp;"; ","")&amp;IF(AND(Config!$D$17&lt;&gt;"",S285&lt;&gt;"Sim",S285&lt;&gt;"N/A"),Config!$D$17&amp;"; ",""))</f>
        <v/>
      </c>
      <c r="AB285" s="39">
        <f>IF(A285="",0,COUNTIF($A$5:$A$304,"&gt;"&amp;A285)+1)</f>
        <v>0</v>
      </c>
    </row>
    <row r="286">
      <c r="A286" s="37" t="n"/>
      <c r="B286" s="24">
        <f>IF(A286="","",CHOOSE(WEEKDAY(A286,2),"Segunda","Terça","Quarta","Quinta","Sexta","Sábado","Domingo"))</f>
        <v/>
      </c>
      <c r="C286" s="38" t="n"/>
      <c r="D286" s="38" t="n"/>
      <c r="E286" s="38" t="n"/>
      <c r="F286" s="38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38" t="n"/>
      <c r="Q286" s="38" t="n"/>
      <c r="R286" s="38" t="n"/>
      <c r="S286" s="38" t="n"/>
      <c r="T286" s="26">
        <f>IF(A286="","",IFERROR(COUNTIF(D286:K286,"Sim")/(Config!$B$19-COUNTIF(D286:K286,"N/A")),""))</f>
        <v/>
      </c>
      <c r="U286" s="26">
        <f>IF(A286="","",IFERROR(COUNTIF(L286:S286,"Sim")/(Config!$D$19-COUNTIF(L286:S286,"N/A")),""))</f>
        <v/>
      </c>
      <c r="V286" s="24">
        <f>IF(A286="","",MAX(0,Config!$B$19-COUNTIF(D286:K286,"Sim")-COUNTIF(D286:K286,"N/A")))</f>
        <v/>
      </c>
      <c r="W286" s="24">
        <f>IF(A286="","",MAX(0,Config!$D$19-COUNTIF(L286:S286,"Sim")-COUNTIF(L286:S286,"N/A")))</f>
        <v/>
      </c>
      <c r="X286" s="24">
        <f>IF(A286="","",V286+W286)</f>
        <v/>
      </c>
      <c r="Y286" s="29">
        <f>IF(OR(A286="",AA286=""),"",LEFT(AA286,LEN(AA286)-2))</f>
        <v/>
      </c>
      <c r="Z286" s="39">
        <f>IF(OR(A286="",X286=0),0,X286*100000+A286/100000)</f>
        <v>0</v>
      </c>
      <c r="AA286" s="39">
        <f>IF(A286="","",IF(AND(Config!$B$10&lt;&gt;"",D286&lt;&gt;"Sim",D286&lt;&gt;"N/A"),Config!$B$10&amp;"; ","")&amp;IF(AND(Config!$B$11&lt;&gt;"",E286&lt;&gt;"Sim",E286&lt;&gt;"N/A"),Config!$B$11&amp;"; ","")&amp;IF(AND(Config!$B$12&lt;&gt;"",F286&lt;&gt;"Sim",F286&lt;&gt;"N/A"),Config!$B$12&amp;"; ","")&amp;IF(AND(Config!$B$13&lt;&gt;"",G286&lt;&gt;"Sim",G286&lt;&gt;"N/A"),Config!$B$13&amp;"; ","")&amp;IF(AND(Config!$B$14&lt;&gt;"",H286&lt;&gt;"Sim",H286&lt;&gt;"N/A"),Config!$B$14&amp;"; ","")&amp;IF(AND(Config!$B$15&lt;&gt;"",I286&lt;&gt;"Sim",I286&lt;&gt;"N/A"),Config!$B$15&amp;"; ","")&amp;IF(AND(Config!$B$16&lt;&gt;"",J286&lt;&gt;"Sim",J286&lt;&gt;"N/A"),Config!$B$16&amp;"; ","")&amp;IF(AND(Config!$B$17&lt;&gt;"",K286&lt;&gt;"Sim",K286&lt;&gt;"N/A"),Config!$B$17&amp;"; ","")&amp;IF(AND(Config!$D$10&lt;&gt;"",L286&lt;&gt;"Sim",L286&lt;&gt;"N/A"),Config!$D$10&amp;"; ","")&amp;IF(AND(Config!$D$11&lt;&gt;"",M286&lt;&gt;"Sim",M286&lt;&gt;"N/A"),Config!$D$11&amp;"; ","")&amp;IF(AND(Config!$D$12&lt;&gt;"",N286&lt;&gt;"Sim",N286&lt;&gt;"N/A"),Config!$D$12&amp;"; ","")&amp;IF(AND(Config!$D$13&lt;&gt;"",O286&lt;&gt;"Sim",O286&lt;&gt;"N/A"),Config!$D$13&amp;"; ","")&amp;IF(AND(Config!$D$14&lt;&gt;"",P286&lt;&gt;"Sim",P286&lt;&gt;"N/A"),Config!$D$14&amp;"; ","")&amp;IF(AND(Config!$D$15&lt;&gt;"",Q286&lt;&gt;"Sim",Q286&lt;&gt;"N/A"),Config!$D$15&amp;"; ","")&amp;IF(AND(Config!$D$16&lt;&gt;"",R286&lt;&gt;"Sim",R286&lt;&gt;"N/A"),Config!$D$16&amp;"; ","")&amp;IF(AND(Config!$D$17&lt;&gt;"",S286&lt;&gt;"Sim",S286&lt;&gt;"N/A"),Config!$D$17&amp;"; ",""))</f>
        <v/>
      </c>
      <c r="AB286" s="39">
        <f>IF(A286="",0,COUNTIF($A$5:$A$304,"&gt;"&amp;A286)+1)</f>
        <v>0</v>
      </c>
    </row>
    <row r="287">
      <c r="A287" s="37" t="n"/>
      <c r="B287" s="24">
        <f>IF(A287="","",CHOOSE(WEEKDAY(A287,2),"Segunda","Terça","Quarta","Quinta","Sexta","Sábado","Domingo"))</f>
        <v/>
      </c>
      <c r="C287" s="38" t="n"/>
      <c r="D287" s="38" t="n"/>
      <c r="E287" s="38" t="n"/>
      <c r="F287" s="38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38" t="n"/>
      <c r="Q287" s="38" t="n"/>
      <c r="R287" s="38" t="n"/>
      <c r="S287" s="38" t="n"/>
      <c r="T287" s="26">
        <f>IF(A287="","",IFERROR(COUNTIF(D287:K287,"Sim")/(Config!$B$19-COUNTIF(D287:K287,"N/A")),""))</f>
        <v/>
      </c>
      <c r="U287" s="26">
        <f>IF(A287="","",IFERROR(COUNTIF(L287:S287,"Sim")/(Config!$D$19-COUNTIF(L287:S287,"N/A")),""))</f>
        <v/>
      </c>
      <c r="V287" s="24">
        <f>IF(A287="","",MAX(0,Config!$B$19-COUNTIF(D287:K287,"Sim")-COUNTIF(D287:K287,"N/A")))</f>
        <v/>
      </c>
      <c r="W287" s="24">
        <f>IF(A287="","",MAX(0,Config!$D$19-COUNTIF(L287:S287,"Sim")-COUNTIF(L287:S287,"N/A")))</f>
        <v/>
      </c>
      <c r="X287" s="24">
        <f>IF(A287="","",V287+W287)</f>
        <v/>
      </c>
      <c r="Y287" s="29">
        <f>IF(OR(A287="",AA287=""),"",LEFT(AA287,LEN(AA287)-2))</f>
        <v/>
      </c>
      <c r="Z287" s="39">
        <f>IF(OR(A287="",X287=0),0,X287*100000+A287/100000)</f>
        <v>0</v>
      </c>
      <c r="AA287" s="39">
        <f>IF(A287="","",IF(AND(Config!$B$10&lt;&gt;"",D287&lt;&gt;"Sim",D287&lt;&gt;"N/A"),Config!$B$10&amp;"; ","")&amp;IF(AND(Config!$B$11&lt;&gt;"",E287&lt;&gt;"Sim",E287&lt;&gt;"N/A"),Config!$B$11&amp;"; ","")&amp;IF(AND(Config!$B$12&lt;&gt;"",F287&lt;&gt;"Sim",F287&lt;&gt;"N/A"),Config!$B$12&amp;"; ","")&amp;IF(AND(Config!$B$13&lt;&gt;"",G287&lt;&gt;"Sim",G287&lt;&gt;"N/A"),Config!$B$13&amp;"; ","")&amp;IF(AND(Config!$B$14&lt;&gt;"",H287&lt;&gt;"Sim",H287&lt;&gt;"N/A"),Config!$B$14&amp;"; ","")&amp;IF(AND(Config!$B$15&lt;&gt;"",I287&lt;&gt;"Sim",I287&lt;&gt;"N/A"),Config!$B$15&amp;"; ","")&amp;IF(AND(Config!$B$16&lt;&gt;"",J287&lt;&gt;"Sim",J287&lt;&gt;"N/A"),Config!$B$16&amp;"; ","")&amp;IF(AND(Config!$B$17&lt;&gt;"",K287&lt;&gt;"Sim",K287&lt;&gt;"N/A"),Config!$B$17&amp;"; ","")&amp;IF(AND(Config!$D$10&lt;&gt;"",L287&lt;&gt;"Sim",L287&lt;&gt;"N/A"),Config!$D$10&amp;"; ","")&amp;IF(AND(Config!$D$11&lt;&gt;"",M287&lt;&gt;"Sim",M287&lt;&gt;"N/A"),Config!$D$11&amp;"; ","")&amp;IF(AND(Config!$D$12&lt;&gt;"",N287&lt;&gt;"Sim",N287&lt;&gt;"N/A"),Config!$D$12&amp;"; ","")&amp;IF(AND(Config!$D$13&lt;&gt;"",O287&lt;&gt;"Sim",O287&lt;&gt;"N/A"),Config!$D$13&amp;"; ","")&amp;IF(AND(Config!$D$14&lt;&gt;"",P287&lt;&gt;"Sim",P287&lt;&gt;"N/A"),Config!$D$14&amp;"; ","")&amp;IF(AND(Config!$D$15&lt;&gt;"",Q287&lt;&gt;"Sim",Q287&lt;&gt;"N/A"),Config!$D$15&amp;"; ","")&amp;IF(AND(Config!$D$16&lt;&gt;"",R287&lt;&gt;"Sim",R287&lt;&gt;"N/A"),Config!$D$16&amp;"; ","")&amp;IF(AND(Config!$D$17&lt;&gt;"",S287&lt;&gt;"Sim",S287&lt;&gt;"N/A"),Config!$D$17&amp;"; ",""))</f>
        <v/>
      </c>
      <c r="AB287" s="39">
        <f>IF(A287="",0,COUNTIF($A$5:$A$304,"&gt;"&amp;A287)+1)</f>
        <v>0</v>
      </c>
    </row>
    <row r="288">
      <c r="A288" s="37" t="n"/>
      <c r="B288" s="24">
        <f>IF(A288="","",CHOOSE(WEEKDAY(A288,2),"Segunda","Terça","Quarta","Quinta","Sexta","Sábado","Domingo"))</f>
        <v/>
      </c>
      <c r="C288" s="38" t="n"/>
      <c r="D288" s="38" t="n"/>
      <c r="E288" s="38" t="n"/>
      <c r="F288" s="38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38" t="n"/>
      <c r="Q288" s="38" t="n"/>
      <c r="R288" s="38" t="n"/>
      <c r="S288" s="38" t="n"/>
      <c r="T288" s="26">
        <f>IF(A288="","",IFERROR(COUNTIF(D288:K288,"Sim")/(Config!$B$19-COUNTIF(D288:K288,"N/A")),""))</f>
        <v/>
      </c>
      <c r="U288" s="26">
        <f>IF(A288="","",IFERROR(COUNTIF(L288:S288,"Sim")/(Config!$D$19-COUNTIF(L288:S288,"N/A")),""))</f>
        <v/>
      </c>
      <c r="V288" s="24">
        <f>IF(A288="","",MAX(0,Config!$B$19-COUNTIF(D288:K288,"Sim")-COUNTIF(D288:K288,"N/A")))</f>
        <v/>
      </c>
      <c r="W288" s="24">
        <f>IF(A288="","",MAX(0,Config!$D$19-COUNTIF(L288:S288,"Sim")-COUNTIF(L288:S288,"N/A")))</f>
        <v/>
      </c>
      <c r="X288" s="24">
        <f>IF(A288="","",V288+W288)</f>
        <v/>
      </c>
      <c r="Y288" s="29">
        <f>IF(OR(A288="",AA288=""),"",LEFT(AA288,LEN(AA288)-2))</f>
        <v/>
      </c>
      <c r="Z288" s="39">
        <f>IF(OR(A288="",X288=0),0,X288*100000+A288/100000)</f>
        <v>0</v>
      </c>
      <c r="AA288" s="39">
        <f>IF(A288="","",IF(AND(Config!$B$10&lt;&gt;"",D288&lt;&gt;"Sim",D288&lt;&gt;"N/A"),Config!$B$10&amp;"; ","")&amp;IF(AND(Config!$B$11&lt;&gt;"",E288&lt;&gt;"Sim",E288&lt;&gt;"N/A"),Config!$B$11&amp;"; ","")&amp;IF(AND(Config!$B$12&lt;&gt;"",F288&lt;&gt;"Sim",F288&lt;&gt;"N/A"),Config!$B$12&amp;"; ","")&amp;IF(AND(Config!$B$13&lt;&gt;"",G288&lt;&gt;"Sim",G288&lt;&gt;"N/A"),Config!$B$13&amp;"; ","")&amp;IF(AND(Config!$B$14&lt;&gt;"",H288&lt;&gt;"Sim",H288&lt;&gt;"N/A"),Config!$B$14&amp;"; ","")&amp;IF(AND(Config!$B$15&lt;&gt;"",I288&lt;&gt;"Sim",I288&lt;&gt;"N/A"),Config!$B$15&amp;"; ","")&amp;IF(AND(Config!$B$16&lt;&gt;"",J288&lt;&gt;"Sim",J288&lt;&gt;"N/A"),Config!$B$16&amp;"; ","")&amp;IF(AND(Config!$B$17&lt;&gt;"",K288&lt;&gt;"Sim",K288&lt;&gt;"N/A"),Config!$B$17&amp;"; ","")&amp;IF(AND(Config!$D$10&lt;&gt;"",L288&lt;&gt;"Sim",L288&lt;&gt;"N/A"),Config!$D$10&amp;"; ","")&amp;IF(AND(Config!$D$11&lt;&gt;"",M288&lt;&gt;"Sim",M288&lt;&gt;"N/A"),Config!$D$11&amp;"; ","")&amp;IF(AND(Config!$D$12&lt;&gt;"",N288&lt;&gt;"Sim",N288&lt;&gt;"N/A"),Config!$D$12&amp;"; ","")&amp;IF(AND(Config!$D$13&lt;&gt;"",O288&lt;&gt;"Sim",O288&lt;&gt;"N/A"),Config!$D$13&amp;"; ","")&amp;IF(AND(Config!$D$14&lt;&gt;"",P288&lt;&gt;"Sim",P288&lt;&gt;"N/A"),Config!$D$14&amp;"; ","")&amp;IF(AND(Config!$D$15&lt;&gt;"",Q288&lt;&gt;"Sim",Q288&lt;&gt;"N/A"),Config!$D$15&amp;"; ","")&amp;IF(AND(Config!$D$16&lt;&gt;"",R288&lt;&gt;"Sim",R288&lt;&gt;"N/A"),Config!$D$16&amp;"; ","")&amp;IF(AND(Config!$D$17&lt;&gt;"",S288&lt;&gt;"Sim",S288&lt;&gt;"N/A"),Config!$D$17&amp;"; ",""))</f>
        <v/>
      </c>
      <c r="AB288" s="39">
        <f>IF(A288="",0,COUNTIF($A$5:$A$304,"&gt;"&amp;A288)+1)</f>
        <v>0</v>
      </c>
    </row>
    <row r="289">
      <c r="A289" s="37" t="n"/>
      <c r="B289" s="24">
        <f>IF(A289="","",CHOOSE(WEEKDAY(A289,2),"Segunda","Terça","Quarta","Quinta","Sexta","Sábado","Domingo"))</f>
        <v/>
      </c>
      <c r="C289" s="38" t="n"/>
      <c r="D289" s="38" t="n"/>
      <c r="E289" s="38" t="n"/>
      <c r="F289" s="38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  <c r="Q289" s="38" t="n"/>
      <c r="R289" s="38" t="n"/>
      <c r="S289" s="38" t="n"/>
      <c r="T289" s="26">
        <f>IF(A289="","",IFERROR(COUNTIF(D289:K289,"Sim")/(Config!$B$19-COUNTIF(D289:K289,"N/A")),""))</f>
        <v/>
      </c>
      <c r="U289" s="26">
        <f>IF(A289="","",IFERROR(COUNTIF(L289:S289,"Sim")/(Config!$D$19-COUNTIF(L289:S289,"N/A")),""))</f>
        <v/>
      </c>
      <c r="V289" s="24">
        <f>IF(A289="","",MAX(0,Config!$B$19-COUNTIF(D289:K289,"Sim")-COUNTIF(D289:K289,"N/A")))</f>
        <v/>
      </c>
      <c r="W289" s="24">
        <f>IF(A289="","",MAX(0,Config!$D$19-COUNTIF(L289:S289,"Sim")-COUNTIF(L289:S289,"N/A")))</f>
        <v/>
      </c>
      <c r="X289" s="24">
        <f>IF(A289="","",V289+W289)</f>
        <v/>
      </c>
      <c r="Y289" s="29">
        <f>IF(OR(A289="",AA289=""),"",LEFT(AA289,LEN(AA289)-2))</f>
        <v/>
      </c>
      <c r="Z289" s="39">
        <f>IF(OR(A289="",X289=0),0,X289*100000+A289/100000)</f>
        <v>0</v>
      </c>
      <c r="AA289" s="39">
        <f>IF(A289="","",IF(AND(Config!$B$10&lt;&gt;"",D289&lt;&gt;"Sim",D289&lt;&gt;"N/A"),Config!$B$10&amp;"; ","")&amp;IF(AND(Config!$B$11&lt;&gt;"",E289&lt;&gt;"Sim",E289&lt;&gt;"N/A"),Config!$B$11&amp;"; ","")&amp;IF(AND(Config!$B$12&lt;&gt;"",F289&lt;&gt;"Sim",F289&lt;&gt;"N/A"),Config!$B$12&amp;"; ","")&amp;IF(AND(Config!$B$13&lt;&gt;"",G289&lt;&gt;"Sim",G289&lt;&gt;"N/A"),Config!$B$13&amp;"; ","")&amp;IF(AND(Config!$B$14&lt;&gt;"",H289&lt;&gt;"Sim",H289&lt;&gt;"N/A"),Config!$B$14&amp;"; ","")&amp;IF(AND(Config!$B$15&lt;&gt;"",I289&lt;&gt;"Sim",I289&lt;&gt;"N/A"),Config!$B$15&amp;"; ","")&amp;IF(AND(Config!$B$16&lt;&gt;"",J289&lt;&gt;"Sim",J289&lt;&gt;"N/A"),Config!$B$16&amp;"; ","")&amp;IF(AND(Config!$B$17&lt;&gt;"",K289&lt;&gt;"Sim",K289&lt;&gt;"N/A"),Config!$B$17&amp;"; ","")&amp;IF(AND(Config!$D$10&lt;&gt;"",L289&lt;&gt;"Sim",L289&lt;&gt;"N/A"),Config!$D$10&amp;"; ","")&amp;IF(AND(Config!$D$11&lt;&gt;"",M289&lt;&gt;"Sim",M289&lt;&gt;"N/A"),Config!$D$11&amp;"; ","")&amp;IF(AND(Config!$D$12&lt;&gt;"",N289&lt;&gt;"Sim",N289&lt;&gt;"N/A"),Config!$D$12&amp;"; ","")&amp;IF(AND(Config!$D$13&lt;&gt;"",O289&lt;&gt;"Sim",O289&lt;&gt;"N/A"),Config!$D$13&amp;"; ","")&amp;IF(AND(Config!$D$14&lt;&gt;"",P289&lt;&gt;"Sim",P289&lt;&gt;"N/A"),Config!$D$14&amp;"; ","")&amp;IF(AND(Config!$D$15&lt;&gt;"",Q289&lt;&gt;"Sim",Q289&lt;&gt;"N/A"),Config!$D$15&amp;"; ","")&amp;IF(AND(Config!$D$16&lt;&gt;"",R289&lt;&gt;"Sim",R289&lt;&gt;"N/A"),Config!$D$16&amp;"; ","")&amp;IF(AND(Config!$D$17&lt;&gt;"",S289&lt;&gt;"Sim",S289&lt;&gt;"N/A"),Config!$D$17&amp;"; ",""))</f>
        <v/>
      </c>
      <c r="AB289" s="39">
        <f>IF(A289="",0,COUNTIF($A$5:$A$304,"&gt;"&amp;A289)+1)</f>
        <v>0</v>
      </c>
    </row>
    <row r="290">
      <c r="A290" s="37" t="n"/>
      <c r="B290" s="24">
        <f>IF(A290="","",CHOOSE(WEEKDAY(A290,2),"Segunda","Terça","Quarta","Quinta","Sexta","Sábado","Domingo"))</f>
        <v/>
      </c>
      <c r="C290" s="38" t="n"/>
      <c r="D290" s="38" t="n"/>
      <c r="E290" s="38" t="n"/>
      <c r="F290" s="38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38" t="n"/>
      <c r="Q290" s="38" t="n"/>
      <c r="R290" s="38" t="n"/>
      <c r="S290" s="38" t="n"/>
      <c r="T290" s="26">
        <f>IF(A290="","",IFERROR(COUNTIF(D290:K290,"Sim")/(Config!$B$19-COUNTIF(D290:K290,"N/A")),""))</f>
        <v/>
      </c>
      <c r="U290" s="26">
        <f>IF(A290="","",IFERROR(COUNTIF(L290:S290,"Sim")/(Config!$D$19-COUNTIF(L290:S290,"N/A")),""))</f>
        <v/>
      </c>
      <c r="V290" s="24">
        <f>IF(A290="","",MAX(0,Config!$B$19-COUNTIF(D290:K290,"Sim")-COUNTIF(D290:K290,"N/A")))</f>
        <v/>
      </c>
      <c r="W290" s="24">
        <f>IF(A290="","",MAX(0,Config!$D$19-COUNTIF(L290:S290,"Sim")-COUNTIF(L290:S290,"N/A")))</f>
        <v/>
      </c>
      <c r="X290" s="24">
        <f>IF(A290="","",V290+W290)</f>
        <v/>
      </c>
      <c r="Y290" s="29">
        <f>IF(OR(A290="",AA290=""),"",LEFT(AA290,LEN(AA290)-2))</f>
        <v/>
      </c>
      <c r="Z290" s="39">
        <f>IF(OR(A290="",X290=0),0,X290*100000+A290/100000)</f>
        <v>0</v>
      </c>
      <c r="AA290" s="39">
        <f>IF(A290="","",IF(AND(Config!$B$10&lt;&gt;"",D290&lt;&gt;"Sim",D290&lt;&gt;"N/A"),Config!$B$10&amp;"; ","")&amp;IF(AND(Config!$B$11&lt;&gt;"",E290&lt;&gt;"Sim",E290&lt;&gt;"N/A"),Config!$B$11&amp;"; ","")&amp;IF(AND(Config!$B$12&lt;&gt;"",F290&lt;&gt;"Sim",F290&lt;&gt;"N/A"),Config!$B$12&amp;"; ","")&amp;IF(AND(Config!$B$13&lt;&gt;"",G290&lt;&gt;"Sim",G290&lt;&gt;"N/A"),Config!$B$13&amp;"; ","")&amp;IF(AND(Config!$B$14&lt;&gt;"",H290&lt;&gt;"Sim",H290&lt;&gt;"N/A"),Config!$B$14&amp;"; ","")&amp;IF(AND(Config!$B$15&lt;&gt;"",I290&lt;&gt;"Sim",I290&lt;&gt;"N/A"),Config!$B$15&amp;"; ","")&amp;IF(AND(Config!$B$16&lt;&gt;"",J290&lt;&gt;"Sim",J290&lt;&gt;"N/A"),Config!$B$16&amp;"; ","")&amp;IF(AND(Config!$B$17&lt;&gt;"",K290&lt;&gt;"Sim",K290&lt;&gt;"N/A"),Config!$B$17&amp;"; ","")&amp;IF(AND(Config!$D$10&lt;&gt;"",L290&lt;&gt;"Sim",L290&lt;&gt;"N/A"),Config!$D$10&amp;"; ","")&amp;IF(AND(Config!$D$11&lt;&gt;"",M290&lt;&gt;"Sim",M290&lt;&gt;"N/A"),Config!$D$11&amp;"; ","")&amp;IF(AND(Config!$D$12&lt;&gt;"",N290&lt;&gt;"Sim",N290&lt;&gt;"N/A"),Config!$D$12&amp;"; ","")&amp;IF(AND(Config!$D$13&lt;&gt;"",O290&lt;&gt;"Sim",O290&lt;&gt;"N/A"),Config!$D$13&amp;"; ","")&amp;IF(AND(Config!$D$14&lt;&gt;"",P290&lt;&gt;"Sim",P290&lt;&gt;"N/A"),Config!$D$14&amp;"; ","")&amp;IF(AND(Config!$D$15&lt;&gt;"",Q290&lt;&gt;"Sim",Q290&lt;&gt;"N/A"),Config!$D$15&amp;"; ","")&amp;IF(AND(Config!$D$16&lt;&gt;"",R290&lt;&gt;"Sim",R290&lt;&gt;"N/A"),Config!$D$16&amp;"; ","")&amp;IF(AND(Config!$D$17&lt;&gt;"",S290&lt;&gt;"Sim",S290&lt;&gt;"N/A"),Config!$D$17&amp;"; ",""))</f>
        <v/>
      </c>
      <c r="AB290" s="39">
        <f>IF(A290="",0,COUNTIF($A$5:$A$304,"&gt;"&amp;A290)+1)</f>
        <v>0</v>
      </c>
    </row>
    <row r="291">
      <c r="A291" s="37" t="n"/>
      <c r="B291" s="24">
        <f>IF(A291="","",CHOOSE(WEEKDAY(A291,2),"Segunda","Terça","Quarta","Quinta","Sexta","Sábado","Domingo"))</f>
        <v/>
      </c>
      <c r="C291" s="38" t="n"/>
      <c r="D291" s="38" t="n"/>
      <c r="E291" s="38" t="n"/>
      <c r="F291" s="38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38" t="n"/>
      <c r="Q291" s="38" t="n"/>
      <c r="R291" s="38" t="n"/>
      <c r="S291" s="38" t="n"/>
      <c r="T291" s="26">
        <f>IF(A291="","",IFERROR(COUNTIF(D291:K291,"Sim")/(Config!$B$19-COUNTIF(D291:K291,"N/A")),""))</f>
        <v/>
      </c>
      <c r="U291" s="26">
        <f>IF(A291="","",IFERROR(COUNTIF(L291:S291,"Sim")/(Config!$D$19-COUNTIF(L291:S291,"N/A")),""))</f>
        <v/>
      </c>
      <c r="V291" s="24">
        <f>IF(A291="","",MAX(0,Config!$B$19-COUNTIF(D291:K291,"Sim")-COUNTIF(D291:K291,"N/A")))</f>
        <v/>
      </c>
      <c r="W291" s="24">
        <f>IF(A291="","",MAX(0,Config!$D$19-COUNTIF(L291:S291,"Sim")-COUNTIF(L291:S291,"N/A")))</f>
        <v/>
      </c>
      <c r="X291" s="24">
        <f>IF(A291="","",V291+W291)</f>
        <v/>
      </c>
      <c r="Y291" s="29">
        <f>IF(OR(A291="",AA291=""),"",LEFT(AA291,LEN(AA291)-2))</f>
        <v/>
      </c>
      <c r="Z291" s="39">
        <f>IF(OR(A291="",X291=0),0,X291*100000+A291/100000)</f>
        <v>0</v>
      </c>
      <c r="AA291" s="39">
        <f>IF(A291="","",IF(AND(Config!$B$10&lt;&gt;"",D291&lt;&gt;"Sim",D291&lt;&gt;"N/A"),Config!$B$10&amp;"; ","")&amp;IF(AND(Config!$B$11&lt;&gt;"",E291&lt;&gt;"Sim",E291&lt;&gt;"N/A"),Config!$B$11&amp;"; ","")&amp;IF(AND(Config!$B$12&lt;&gt;"",F291&lt;&gt;"Sim",F291&lt;&gt;"N/A"),Config!$B$12&amp;"; ","")&amp;IF(AND(Config!$B$13&lt;&gt;"",G291&lt;&gt;"Sim",G291&lt;&gt;"N/A"),Config!$B$13&amp;"; ","")&amp;IF(AND(Config!$B$14&lt;&gt;"",H291&lt;&gt;"Sim",H291&lt;&gt;"N/A"),Config!$B$14&amp;"; ","")&amp;IF(AND(Config!$B$15&lt;&gt;"",I291&lt;&gt;"Sim",I291&lt;&gt;"N/A"),Config!$B$15&amp;"; ","")&amp;IF(AND(Config!$B$16&lt;&gt;"",J291&lt;&gt;"Sim",J291&lt;&gt;"N/A"),Config!$B$16&amp;"; ","")&amp;IF(AND(Config!$B$17&lt;&gt;"",K291&lt;&gt;"Sim",K291&lt;&gt;"N/A"),Config!$B$17&amp;"; ","")&amp;IF(AND(Config!$D$10&lt;&gt;"",L291&lt;&gt;"Sim",L291&lt;&gt;"N/A"),Config!$D$10&amp;"; ","")&amp;IF(AND(Config!$D$11&lt;&gt;"",M291&lt;&gt;"Sim",M291&lt;&gt;"N/A"),Config!$D$11&amp;"; ","")&amp;IF(AND(Config!$D$12&lt;&gt;"",N291&lt;&gt;"Sim",N291&lt;&gt;"N/A"),Config!$D$12&amp;"; ","")&amp;IF(AND(Config!$D$13&lt;&gt;"",O291&lt;&gt;"Sim",O291&lt;&gt;"N/A"),Config!$D$13&amp;"; ","")&amp;IF(AND(Config!$D$14&lt;&gt;"",P291&lt;&gt;"Sim",P291&lt;&gt;"N/A"),Config!$D$14&amp;"; ","")&amp;IF(AND(Config!$D$15&lt;&gt;"",Q291&lt;&gt;"Sim",Q291&lt;&gt;"N/A"),Config!$D$15&amp;"; ","")&amp;IF(AND(Config!$D$16&lt;&gt;"",R291&lt;&gt;"Sim",R291&lt;&gt;"N/A"),Config!$D$16&amp;"; ","")&amp;IF(AND(Config!$D$17&lt;&gt;"",S291&lt;&gt;"Sim",S291&lt;&gt;"N/A"),Config!$D$17&amp;"; ",""))</f>
        <v/>
      </c>
      <c r="AB291" s="39">
        <f>IF(A291="",0,COUNTIF($A$5:$A$304,"&gt;"&amp;A291)+1)</f>
        <v>0</v>
      </c>
    </row>
    <row r="292">
      <c r="A292" s="37" t="n"/>
      <c r="B292" s="24">
        <f>IF(A292="","",CHOOSE(WEEKDAY(A292,2),"Segunda","Terça","Quarta","Quinta","Sexta","Sábado","Domingo"))</f>
        <v/>
      </c>
      <c r="C292" s="38" t="n"/>
      <c r="D292" s="38" t="n"/>
      <c r="E292" s="38" t="n"/>
      <c r="F292" s="38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38" t="n"/>
      <c r="Q292" s="38" t="n"/>
      <c r="R292" s="38" t="n"/>
      <c r="S292" s="38" t="n"/>
      <c r="T292" s="26">
        <f>IF(A292="","",IFERROR(COUNTIF(D292:K292,"Sim")/(Config!$B$19-COUNTIF(D292:K292,"N/A")),""))</f>
        <v/>
      </c>
      <c r="U292" s="26">
        <f>IF(A292="","",IFERROR(COUNTIF(L292:S292,"Sim")/(Config!$D$19-COUNTIF(L292:S292,"N/A")),""))</f>
        <v/>
      </c>
      <c r="V292" s="24">
        <f>IF(A292="","",MAX(0,Config!$B$19-COUNTIF(D292:K292,"Sim")-COUNTIF(D292:K292,"N/A")))</f>
        <v/>
      </c>
      <c r="W292" s="24">
        <f>IF(A292="","",MAX(0,Config!$D$19-COUNTIF(L292:S292,"Sim")-COUNTIF(L292:S292,"N/A")))</f>
        <v/>
      </c>
      <c r="X292" s="24">
        <f>IF(A292="","",V292+W292)</f>
        <v/>
      </c>
      <c r="Y292" s="29">
        <f>IF(OR(A292="",AA292=""),"",LEFT(AA292,LEN(AA292)-2))</f>
        <v/>
      </c>
      <c r="Z292" s="39">
        <f>IF(OR(A292="",X292=0),0,X292*100000+A292/100000)</f>
        <v>0</v>
      </c>
      <c r="AA292" s="39">
        <f>IF(A292="","",IF(AND(Config!$B$10&lt;&gt;"",D292&lt;&gt;"Sim",D292&lt;&gt;"N/A"),Config!$B$10&amp;"; ","")&amp;IF(AND(Config!$B$11&lt;&gt;"",E292&lt;&gt;"Sim",E292&lt;&gt;"N/A"),Config!$B$11&amp;"; ","")&amp;IF(AND(Config!$B$12&lt;&gt;"",F292&lt;&gt;"Sim",F292&lt;&gt;"N/A"),Config!$B$12&amp;"; ","")&amp;IF(AND(Config!$B$13&lt;&gt;"",G292&lt;&gt;"Sim",G292&lt;&gt;"N/A"),Config!$B$13&amp;"; ","")&amp;IF(AND(Config!$B$14&lt;&gt;"",H292&lt;&gt;"Sim",H292&lt;&gt;"N/A"),Config!$B$14&amp;"; ","")&amp;IF(AND(Config!$B$15&lt;&gt;"",I292&lt;&gt;"Sim",I292&lt;&gt;"N/A"),Config!$B$15&amp;"; ","")&amp;IF(AND(Config!$B$16&lt;&gt;"",J292&lt;&gt;"Sim",J292&lt;&gt;"N/A"),Config!$B$16&amp;"; ","")&amp;IF(AND(Config!$B$17&lt;&gt;"",K292&lt;&gt;"Sim",K292&lt;&gt;"N/A"),Config!$B$17&amp;"; ","")&amp;IF(AND(Config!$D$10&lt;&gt;"",L292&lt;&gt;"Sim",L292&lt;&gt;"N/A"),Config!$D$10&amp;"; ","")&amp;IF(AND(Config!$D$11&lt;&gt;"",M292&lt;&gt;"Sim",M292&lt;&gt;"N/A"),Config!$D$11&amp;"; ","")&amp;IF(AND(Config!$D$12&lt;&gt;"",N292&lt;&gt;"Sim",N292&lt;&gt;"N/A"),Config!$D$12&amp;"; ","")&amp;IF(AND(Config!$D$13&lt;&gt;"",O292&lt;&gt;"Sim",O292&lt;&gt;"N/A"),Config!$D$13&amp;"; ","")&amp;IF(AND(Config!$D$14&lt;&gt;"",P292&lt;&gt;"Sim",P292&lt;&gt;"N/A"),Config!$D$14&amp;"; ","")&amp;IF(AND(Config!$D$15&lt;&gt;"",Q292&lt;&gt;"Sim",Q292&lt;&gt;"N/A"),Config!$D$15&amp;"; ","")&amp;IF(AND(Config!$D$16&lt;&gt;"",R292&lt;&gt;"Sim",R292&lt;&gt;"N/A"),Config!$D$16&amp;"; ","")&amp;IF(AND(Config!$D$17&lt;&gt;"",S292&lt;&gt;"Sim",S292&lt;&gt;"N/A"),Config!$D$17&amp;"; ",""))</f>
        <v/>
      </c>
      <c r="AB292" s="39">
        <f>IF(A292="",0,COUNTIF($A$5:$A$304,"&gt;"&amp;A292)+1)</f>
        <v>0</v>
      </c>
    </row>
    <row r="293">
      <c r="A293" s="37" t="n"/>
      <c r="B293" s="24">
        <f>IF(A293="","",CHOOSE(WEEKDAY(A293,2),"Segunda","Terça","Quarta","Quinta","Sexta","Sábado","Domingo"))</f>
        <v/>
      </c>
      <c r="C293" s="38" t="n"/>
      <c r="D293" s="38" t="n"/>
      <c r="E293" s="38" t="n"/>
      <c r="F293" s="38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38" t="n"/>
      <c r="Q293" s="38" t="n"/>
      <c r="R293" s="38" t="n"/>
      <c r="S293" s="38" t="n"/>
      <c r="T293" s="26">
        <f>IF(A293="","",IFERROR(COUNTIF(D293:K293,"Sim")/(Config!$B$19-COUNTIF(D293:K293,"N/A")),""))</f>
        <v/>
      </c>
      <c r="U293" s="26">
        <f>IF(A293="","",IFERROR(COUNTIF(L293:S293,"Sim")/(Config!$D$19-COUNTIF(L293:S293,"N/A")),""))</f>
        <v/>
      </c>
      <c r="V293" s="24">
        <f>IF(A293="","",MAX(0,Config!$B$19-COUNTIF(D293:K293,"Sim")-COUNTIF(D293:K293,"N/A")))</f>
        <v/>
      </c>
      <c r="W293" s="24">
        <f>IF(A293="","",MAX(0,Config!$D$19-COUNTIF(L293:S293,"Sim")-COUNTIF(L293:S293,"N/A")))</f>
        <v/>
      </c>
      <c r="X293" s="24">
        <f>IF(A293="","",V293+W293)</f>
        <v/>
      </c>
      <c r="Y293" s="29">
        <f>IF(OR(A293="",AA293=""),"",LEFT(AA293,LEN(AA293)-2))</f>
        <v/>
      </c>
      <c r="Z293" s="39">
        <f>IF(OR(A293="",X293=0),0,X293*100000+A293/100000)</f>
        <v>0</v>
      </c>
      <c r="AA293" s="39">
        <f>IF(A293="","",IF(AND(Config!$B$10&lt;&gt;"",D293&lt;&gt;"Sim",D293&lt;&gt;"N/A"),Config!$B$10&amp;"; ","")&amp;IF(AND(Config!$B$11&lt;&gt;"",E293&lt;&gt;"Sim",E293&lt;&gt;"N/A"),Config!$B$11&amp;"; ","")&amp;IF(AND(Config!$B$12&lt;&gt;"",F293&lt;&gt;"Sim",F293&lt;&gt;"N/A"),Config!$B$12&amp;"; ","")&amp;IF(AND(Config!$B$13&lt;&gt;"",G293&lt;&gt;"Sim",G293&lt;&gt;"N/A"),Config!$B$13&amp;"; ","")&amp;IF(AND(Config!$B$14&lt;&gt;"",H293&lt;&gt;"Sim",H293&lt;&gt;"N/A"),Config!$B$14&amp;"; ","")&amp;IF(AND(Config!$B$15&lt;&gt;"",I293&lt;&gt;"Sim",I293&lt;&gt;"N/A"),Config!$B$15&amp;"; ","")&amp;IF(AND(Config!$B$16&lt;&gt;"",J293&lt;&gt;"Sim",J293&lt;&gt;"N/A"),Config!$B$16&amp;"; ","")&amp;IF(AND(Config!$B$17&lt;&gt;"",K293&lt;&gt;"Sim",K293&lt;&gt;"N/A"),Config!$B$17&amp;"; ","")&amp;IF(AND(Config!$D$10&lt;&gt;"",L293&lt;&gt;"Sim",L293&lt;&gt;"N/A"),Config!$D$10&amp;"; ","")&amp;IF(AND(Config!$D$11&lt;&gt;"",M293&lt;&gt;"Sim",M293&lt;&gt;"N/A"),Config!$D$11&amp;"; ","")&amp;IF(AND(Config!$D$12&lt;&gt;"",N293&lt;&gt;"Sim",N293&lt;&gt;"N/A"),Config!$D$12&amp;"; ","")&amp;IF(AND(Config!$D$13&lt;&gt;"",O293&lt;&gt;"Sim",O293&lt;&gt;"N/A"),Config!$D$13&amp;"; ","")&amp;IF(AND(Config!$D$14&lt;&gt;"",P293&lt;&gt;"Sim",P293&lt;&gt;"N/A"),Config!$D$14&amp;"; ","")&amp;IF(AND(Config!$D$15&lt;&gt;"",Q293&lt;&gt;"Sim",Q293&lt;&gt;"N/A"),Config!$D$15&amp;"; ","")&amp;IF(AND(Config!$D$16&lt;&gt;"",R293&lt;&gt;"Sim",R293&lt;&gt;"N/A"),Config!$D$16&amp;"; ","")&amp;IF(AND(Config!$D$17&lt;&gt;"",S293&lt;&gt;"Sim",S293&lt;&gt;"N/A"),Config!$D$17&amp;"; ",""))</f>
        <v/>
      </c>
      <c r="AB293" s="39">
        <f>IF(A293="",0,COUNTIF($A$5:$A$304,"&gt;"&amp;A293)+1)</f>
        <v>0</v>
      </c>
    </row>
    <row r="294">
      <c r="A294" s="37" t="n"/>
      <c r="B294" s="24">
        <f>IF(A294="","",CHOOSE(WEEKDAY(A294,2),"Segunda","Terça","Quarta","Quinta","Sexta","Sábado","Domingo"))</f>
        <v/>
      </c>
      <c r="C294" s="38" t="n"/>
      <c r="D294" s="38" t="n"/>
      <c r="E294" s="38" t="n"/>
      <c r="F294" s="38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38" t="n"/>
      <c r="Q294" s="38" t="n"/>
      <c r="R294" s="38" t="n"/>
      <c r="S294" s="38" t="n"/>
      <c r="T294" s="26">
        <f>IF(A294="","",IFERROR(COUNTIF(D294:K294,"Sim")/(Config!$B$19-COUNTIF(D294:K294,"N/A")),""))</f>
        <v/>
      </c>
      <c r="U294" s="26">
        <f>IF(A294="","",IFERROR(COUNTIF(L294:S294,"Sim")/(Config!$D$19-COUNTIF(L294:S294,"N/A")),""))</f>
        <v/>
      </c>
      <c r="V294" s="24">
        <f>IF(A294="","",MAX(0,Config!$B$19-COUNTIF(D294:K294,"Sim")-COUNTIF(D294:K294,"N/A")))</f>
        <v/>
      </c>
      <c r="W294" s="24">
        <f>IF(A294="","",MAX(0,Config!$D$19-COUNTIF(L294:S294,"Sim")-COUNTIF(L294:S294,"N/A")))</f>
        <v/>
      </c>
      <c r="X294" s="24">
        <f>IF(A294="","",V294+W294)</f>
        <v/>
      </c>
      <c r="Y294" s="29">
        <f>IF(OR(A294="",AA294=""),"",LEFT(AA294,LEN(AA294)-2))</f>
        <v/>
      </c>
      <c r="Z294" s="39">
        <f>IF(OR(A294="",X294=0),0,X294*100000+A294/100000)</f>
        <v>0</v>
      </c>
      <c r="AA294" s="39">
        <f>IF(A294="","",IF(AND(Config!$B$10&lt;&gt;"",D294&lt;&gt;"Sim",D294&lt;&gt;"N/A"),Config!$B$10&amp;"; ","")&amp;IF(AND(Config!$B$11&lt;&gt;"",E294&lt;&gt;"Sim",E294&lt;&gt;"N/A"),Config!$B$11&amp;"; ","")&amp;IF(AND(Config!$B$12&lt;&gt;"",F294&lt;&gt;"Sim",F294&lt;&gt;"N/A"),Config!$B$12&amp;"; ","")&amp;IF(AND(Config!$B$13&lt;&gt;"",G294&lt;&gt;"Sim",G294&lt;&gt;"N/A"),Config!$B$13&amp;"; ","")&amp;IF(AND(Config!$B$14&lt;&gt;"",H294&lt;&gt;"Sim",H294&lt;&gt;"N/A"),Config!$B$14&amp;"; ","")&amp;IF(AND(Config!$B$15&lt;&gt;"",I294&lt;&gt;"Sim",I294&lt;&gt;"N/A"),Config!$B$15&amp;"; ","")&amp;IF(AND(Config!$B$16&lt;&gt;"",J294&lt;&gt;"Sim",J294&lt;&gt;"N/A"),Config!$B$16&amp;"; ","")&amp;IF(AND(Config!$B$17&lt;&gt;"",K294&lt;&gt;"Sim",K294&lt;&gt;"N/A"),Config!$B$17&amp;"; ","")&amp;IF(AND(Config!$D$10&lt;&gt;"",L294&lt;&gt;"Sim",L294&lt;&gt;"N/A"),Config!$D$10&amp;"; ","")&amp;IF(AND(Config!$D$11&lt;&gt;"",M294&lt;&gt;"Sim",M294&lt;&gt;"N/A"),Config!$D$11&amp;"; ","")&amp;IF(AND(Config!$D$12&lt;&gt;"",N294&lt;&gt;"Sim",N294&lt;&gt;"N/A"),Config!$D$12&amp;"; ","")&amp;IF(AND(Config!$D$13&lt;&gt;"",O294&lt;&gt;"Sim",O294&lt;&gt;"N/A"),Config!$D$13&amp;"; ","")&amp;IF(AND(Config!$D$14&lt;&gt;"",P294&lt;&gt;"Sim",P294&lt;&gt;"N/A"),Config!$D$14&amp;"; ","")&amp;IF(AND(Config!$D$15&lt;&gt;"",Q294&lt;&gt;"Sim",Q294&lt;&gt;"N/A"),Config!$D$15&amp;"; ","")&amp;IF(AND(Config!$D$16&lt;&gt;"",R294&lt;&gt;"Sim",R294&lt;&gt;"N/A"),Config!$D$16&amp;"; ","")&amp;IF(AND(Config!$D$17&lt;&gt;"",S294&lt;&gt;"Sim",S294&lt;&gt;"N/A"),Config!$D$17&amp;"; ",""))</f>
        <v/>
      </c>
      <c r="AB294" s="39">
        <f>IF(A294="",0,COUNTIF($A$5:$A$304,"&gt;"&amp;A294)+1)</f>
        <v>0</v>
      </c>
    </row>
    <row r="295">
      <c r="A295" s="37" t="n"/>
      <c r="B295" s="24">
        <f>IF(A295="","",CHOOSE(WEEKDAY(A295,2),"Segunda","Terça","Quarta","Quinta","Sexta","Sábado","Domingo"))</f>
        <v/>
      </c>
      <c r="C295" s="38" t="n"/>
      <c r="D295" s="38" t="n"/>
      <c r="E295" s="38" t="n"/>
      <c r="F295" s="38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38" t="n"/>
      <c r="Q295" s="38" t="n"/>
      <c r="R295" s="38" t="n"/>
      <c r="S295" s="38" t="n"/>
      <c r="T295" s="26">
        <f>IF(A295="","",IFERROR(COUNTIF(D295:K295,"Sim")/(Config!$B$19-COUNTIF(D295:K295,"N/A")),""))</f>
        <v/>
      </c>
      <c r="U295" s="26">
        <f>IF(A295="","",IFERROR(COUNTIF(L295:S295,"Sim")/(Config!$D$19-COUNTIF(L295:S295,"N/A")),""))</f>
        <v/>
      </c>
      <c r="V295" s="24">
        <f>IF(A295="","",MAX(0,Config!$B$19-COUNTIF(D295:K295,"Sim")-COUNTIF(D295:K295,"N/A")))</f>
        <v/>
      </c>
      <c r="W295" s="24">
        <f>IF(A295="","",MAX(0,Config!$D$19-COUNTIF(L295:S295,"Sim")-COUNTIF(L295:S295,"N/A")))</f>
        <v/>
      </c>
      <c r="X295" s="24">
        <f>IF(A295="","",V295+W295)</f>
        <v/>
      </c>
      <c r="Y295" s="29">
        <f>IF(OR(A295="",AA295=""),"",LEFT(AA295,LEN(AA295)-2))</f>
        <v/>
      </c>
      <c r="Z295" s="39">
        <f>IF(OR(A295="",X295=0),0,X295*100000+A295/100000)</f>
        <v>0</v>
      </c>
      <c r="AA295" s="39">
        <f>IF(A295="","",IF(AND(Config!$B$10&lt;&gt;"",D295&lt;&gt;"Sim",D295&lt;&gt;"N/A"),Config!$B$10&amp;"; ","")&amp;IF(AND(Config!$B$11&lt;&gt;"",E295&lt;&gt;"Sim",E295&lt;&gt;"N/A"),Config!$B$11&amp;"; ","")&amp;IF(AND(Config!$B$12&lt;&gt;"",F295&lt;&gt;"Sim",F295&lt;&gt;"N/A"),Config!$B$12&amp;"; ","")&amp;IF(AND(Config!$B$13&lt;&gt;"",G295&lt;&gt;"Sim",G295&lt;&gt;"N/A"),Config!$B$13&amp;"; ","")&amp;IF(AND(Config!$B$14&lt;&gt;"",H295&lt;&gt;"Sim",H295&lt;&gt;"N/A"),Config!$B$14&amp;"; ","")&amp;IF(AND(Config!$B$15&lt;&gt;"",I295&lt;&gt;"Sim",I295&lt;&gt;"N/A"),Config!$B$15&amp;"; ","")&amp;IF(AND(Config!$B$16&lt;&gt;"",J295&lt;&gt;"Sim",J295&lt;&gt;"N/A"),Config!$B$16&amp;"; ","")&amp;IF(AND(Config!$B$17&lt;&gt;"",K295&lt;&gt;"Sim",K295&lt;&gt;"N/A"),Config!$B$17&amp;"; ","")&amp;IF(AND(Config!$D$10&lt;&gt;"",L295&lt;&gt;"Sim",L295&lt;&gt;"N/A"),Config!$D$10&amp;"; ","")&amp;IF(AND(Config!$D$11&lt;&gt;"",M295&lt;&gt;"Sim",M295&lt;&gt;"N/A"),Config!$D$11&amp;"; ","")&amp;IF(AND(Config!$D$12&lt;&gt;"",N295&lt;&gt;"Sim",N295&lt;&gt;"N/A"),Config!$D$12&amp;"; ","")&amp;IF(AND(Config!$D$13&lt;&gt;"",O295&lt;&gt;"Sim",O295&lt;&gt;"N/A"),Config!$D$13&amp;"; ","")&amp;IF(AND(Config!$D$14&lt;&gt;"",P295&lt;&gt;"Sim",P295&lt;&gt;"N/A"),Config!$D$14&amp;"; ","")&amp;IF(AND(Config!$D$15&lt;&gt;"",Q295&lt;&gt;"Sim",Q295&lt;&gt;"N/A"),Config!$D$15&amp;"; ","")&amp;IF(AND(Config!$D$16&lt;&gt;"",R295&lt;&gt;"Sim",R295&lt;&gt;"N/A"),Config!$D$16&amp;"; ","")&amp;IF(AND(Config!$D$17&lt;&gt;"",S295&lt;&gt;"Sim",S295&lt;&gt;"N/A"),Config!$D$17&amp;"; ",""))</f>
        <v/>
      </c>
      <c r="AB295" s="39">
        <f>IF(A295="",0,COUNTIF($A$5:$A$304,"&gt;"&amp;A295)+1)</f>
        <v>0</v>
      </c>
    </row>
    <row r="296">
      <c r="A296" s="37" t="n"/>
      <c r="B296" s="24">
        <f>IF(A296="","",CHOOSE(WEEKDAY(A296,2),"Segunda","Terça","Quarta","Quinta","Sexta","Sábado","Domingo"))</f>
        <v/>
      </c>
      <c r="C296" s="38" t="n"/>
      <c r="D296" s="38" t="n"/>
      <c r="E296" s="38" t="n"/>
      <c r="F296" s="38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38" t="n"/>
      <c r="Q296" s="38" t="n"/>
      <c r="R296" s="38" t="n"/>
      <c r="S296" s="38" t="n"/>
      <c r="T296" s="26">
        <f>IF(A296="","",IFERROR(COUNTIF(D296:K296,"Sim")/(Config!$B$19-COUNTIF(D296:K296,"N/A")),""))</f>
        <v/>
      </c>
      <c r="U296" s="26">
        <f>IF(A296="","",IFERROR(COUNTIF(L296:S296,"Sim")/(Config!$D$19-COUNTIF(L296:S296,"N/A")),""))</f>
        <v/>
      </c>
      <c r="V296" s="24">
        <f>IF(A296="","",MAX(0,Config!$B$19-COUNTIF(D296:K296,"Sim")-COUNTIF(D296:K296,"N/A")))</f>
        <v/>
      </c>
      <c r="W296" s="24">
        <f>IF(A296="","",MAX(0,Config!$D$19-COUNTIF(L296:S296,"Sim")-COUNTIF(L296:S296,"N/A")))</f>
        <v/>
      </c>
      <c r="X296" s="24">
        <f>IF(A296="","",V296+W296)</f>
        <v/>
      </c>
      <c r="Y296" s="29">
        <f>IF(OR(A296="",AA296=""),"",LEFT(AA296,LEN(AA296)-2))</f>
        <v/>
      </c>
      <c r="Z296" s="39">
        <f>IF(OR(A296="",X296=0),0,X296*100000+A296/100000)</f>
        <v>0</v>
      </c>
      <c r="AA296" s="39">
        <f>IF(A296="","",IF(AND(Config!$B$10&lt;&gt;"",D296&lt;&gt;"Sim",D296&lt;&gt;"N/A"),Config!$B$10&amp;"; ","")&amp;IF(AND(Config!$B$11&lt;&gt;"",E296&lt;&gt;"Sim",E296&lt;&gt;"N/A"),Config!$B$11&amp;"; ","")&amp;IF(AND(Config!$B$12&lt;&gt;"",F296&lt;&gt;"Sim",F296&lt;&gt;"N/A"),Config!$B$12&amp;"; ","")&amp;IF(AND(Config!$B$13&lt;&gt;"",G296&lt;&gt;"Sim",G296&lt;&gt;"N/A"),Config!$B$13&amp;"; ","")&amp;IF(AND(Config!$B$14&lt;&gt;"",H296&lt;&gt;"Sim",H296&lt;&gt;"N/A"),Config!$B$14&amp;"; ","")&amp;IF(AND(Config!$B$15&lt;&gt;"",I296&lt;&gt;"Sim",I296&lt;&gt;"N/A"),Config!$B$15&amp;"; ","")&amp;IF(AND(Config!$B$16&lt;&gt;"",J296&lt;&gt;"Sim",J296&lt;&gt;"N/A"),Config!$B$16&amp;"; ","")&amp;IF(AND(Config!$B$17&lt;&gt;"",K296&lt;&gt;"Sim",K296&lt;&gt;"N/A"),Config!$B$17&amp;"; ","")&amp;IF(AND(Config!$D$10&lt;&gt;"",L296&lt;&gt;"Sim",L296&lt;&gt;"N/A"),Config!$D$10&amp;"; ","")&amp;IF(AND(Config!$D$11&lt;&gt;"",M296&lt;&gt;"Sim",M296&lt;&gt;"N/A"),Config!$D$11&amp;"; ","")&amp;IF(AND(Config!$D$12&lt;&gt;"",N296&lt;&gt;"Sim",N296&lt;&gt;"N/A"),Config!$D$12&amp;"; ","")&amp;IF(AND(Config!$D$13&lt;&gt;"",O296&lt;&gt;"Sim",O296&lt;&gt;"N/A"),Config!$D$13&amp;"; ","")&amp;IF(AND(Config!$D$14&lt;&gt;"",P296&lt;&gt;"Sim",P296&lt;&gt;"N/A"),Config!$D$14&amp;"; ","")&amp;IF(AND(Config!$D$15&lt;&gt;"",Q296&lt;&gt;"Sim",Q296&lt;&gt;"N/A"),Config!$D$15&amp;"; ","")&amp;IF(AND(Config!$D$16&lt;&gt;"",R296&lt;&gt;"Sim",R296&lt;&gt;"N/A"),Config!$D$16&amp;"; ","")&amp;IF(AND(Config!$D$17&lt;&gt;"",S296&lt;&gt;"Sim",S296&lt;&gt;"N/A"),Config!$D$17&amp;"; ",""))</f>
        <v/>
      </c>
      <c r="AB296" s="39">
        <f>IF(A296="",0,COUNTIF($A$5:$A$304,"&gt;"&amp;A296)+1)</f>
        <v>0</v>
      </c>
    </row>
    <row r="297">
      <c r="A297" s="37" t="n"/>
      <c r="B297" s="24">
        <f>IF(A297="","",CHOOSE(WEEKDAY(A297,2),"Segunda","Terça","Quarta","Quinta","Sexta","Sábado","Domingo"))</f>
        <v/>
      </c>
      <c r="C297" s="38" t="n"/>
      <c r="D297" s="38" t="n"/>
      <c r="E297" s="38" t="n"/>
      <c r="F297" s="38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  <c r="Q297" s="38" t="n"/>
      <c r="R297" s="38" t="n"/>
      <c r="S297" s="38" t="n"/>
      <c r="T297" s="26">
        <f>IF(A297="","",IFERROR(COUNTIF(D297:K297,"Sim")/(Config!$B$19-COUNTIF(D297:K297,"N/A")),""))</f>
        <v/>
      </c>
      <c r="U297" s="26">
        <f>IF(A297="","",IFERROR(COUNTIF(L297:S297,"Sim")/(Config!$D$19-COUNTIF(L297:S297,"N/A")),""))</f>
        <v/>
      </c>
      <c r="V297" s="24">
        <f>IF(A297="","",MAX(0,Config!$B$19-COUNTIF(D297:K297,"Sim")-COUNTIF(D297:K297,"N/A")))</f>
        <v/>
      </c>
      <c r="W297" s="24">
        <f>IF(A297="","",MAX(0,Config!$D$19-COUNTIF(L297:S297,"Sim")-COUNTIF(L297:S297,"N/A")))</f>
        <v/>
      </c>
      <c r="X297" s="24">
        <f>IF(A297="","",V297+W297)</f>
        <v/>
      </c>
      <c r="Y297" s="29">
        <f>IF(OR(A297="",AA297=""),"",LEFT(AA297,LEN(AA297)-2))</f>
        <v/>
      </c>
      <c r="Z297" s="39">
        <f>IF(OR(A297="",X297=0),0,X297*100000+A297/100000)</f>
        <v>0</v>
      </c>
      <c r="AA297" s="39">
        <f>IF(A297="","",IF(AND(Config!$B$10&lt;&gt;"",D297&lt;&gt;"Sim",D297&lt;&gt;"N/A"),Config!$B$10&amp;"; ","")&amp;IF(AND(Config!$B$11&lt;&gt;"",E297&lt;&gt;"Sim",E297&lt;&gt;"N/A"),Config!$B$11&amp;"; ","")&amp;IF(AND(Config!$B$12&lt;&gt;"",F297&lt;&gt;"Sim",F297&lt;&gt;"N/A"),Config!$B$12&amp;"; ","")&amp;IF(AND(Config!$B$13&lt;&gt;"",G297&lt;&gt;"Sim",G297&lt;&gt;"N/A"),Config!$B$13&amp;"; ","")&amp;IF(AND(Config!$B$14&lt;&gt;"",H297&lt;&gt;"Sim",H297&lt;&gt;"N/A"),Config!$B$14&amp;"; ","")&amp;IF(AND(Config!$B$15&lt;&gt;"",I297&lt;&gt;"Sim",I297&lt;&gt;"N/A"),Config!$B$15&amp;"; ","")&amp;IF(AND(Config!$B$16&lt;&gt;"",J297&lt;&gt;"Sim",J297&lt;&gt;"N/A"),Config!$B$16&amp;"; ","")&amp;IF(AND(Config!$B$17&lt;&gt;"",K297&lt;&gt;"Sim",K297&lt;&gt;"N/A"),Config!$B$17&amp;"; ","")&amp;IF(AND(Config!$D$10&lt;&gt;"",L297&lt;&gt;"Sim",L297&lt;&gt;"N/A"),Config!$D$10&amp;"; ","")&amp;IF(AND(Config!$D$11&lt;&gt;"",M297&lt;&gt;"Sim",M297&lt;&gt;"N/A"),Config!$D$11&amp;"; ","")&amp;IF(AND(Config!$D$12&lt;&gt;"",N297&lt;&gt;"Sim",N297&lt;&gt;"N/A"),Config!$D$12&amp;"; ","")&amp;IF(AND(Config!$D$13&lt;&gt;"",O297&lt;&gt;"Sim",O297&lt;&gt;"N/A"),Config!$D$13&amp;"; ","")&amp;IF(AND(Config!$D$14&lt;&gt;"",P297&lt;&gt;"Sim",P297&lt;&gt;"N/A"),Config!$D$14&amp;"; ","")&amp;IF(AND(Config!$D$15&lt;&gt;"",Q297&lt;&gt;"Sim",Q297&lt;&gt;"N/A"),Config!$D$15&amp;"; ","")&amp;IF(AND(Config!$D$16&lt;&gt;"",R297&lt;&gt;"Sim",R297&lt;&gt;"N/A"),Config!$D$16&amp;"; ","")&amp;IF(AND(Config!$D$17&lt;&gt;"",S297&lt;&gt;"Sim",S297&lt;&gt;"N/A"),Config!$D$17&amp;"; ",""))</f>
        <v/>
      </c>
      <c r="AB297" s="39">
        <f>IF(A297="",0,COUNTIF($A$5:$A$304,"&gt;"&amp;A297)+1)</f>
        <v>0</v>
      </c>
    </row>
    <row r="298">
      <c r="A298" s="37" t="n"/>
      <c r="B298" s="24">
        <f>IF(A298="","",CHOOSE(WEEKDAY(A298,2),"Segunda","Terça","Quarta","Quinta","Sexta","Sábado","Domingo"))</f>
        <v/>
      </c>
      <c r="C298" s="38" t="n"/>
      <c r="D298" s="38" t="n"/>
      <c r="E298" s="38" t="n"/>
      <c r="F298" s="38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38" t="n"/>
      <c r="Q298" s="38" t="n"/>
      <c r="R298" s="38" t="n"/>
      <c r="S298" s="38" t="n"/>
      <c r="T298" s="26">
        <f>IF(A298="","",IFERROR(COUNTIF(D298:K298,"Sim")/(Config!$B$19-COUNTIF(D298:K298,"N/A")),""))</f>
        <v/>
      </c>
      <c r="U298" s="26">
        <f>IF(A298="","",IFERROR(COUNTIF(L298:S298,"Sim")/(Config!$D$19-COUNTIF(L298:S298,"N/A")),""))</f>
        <v/>
      </c>
      <c r="V298" s="24">
        <f>IF(A298="","",MAX(0,Config!$B$19-COUNTIF(D298:K298,"Sim")-COUNTIF(D298:K298,"N/A")))</f>
        <v/>
      </c>
      <c r="W298" s="24">
        <f>IF(A298="","",MAX(0,Config!$D$19-COUNTIF(L298:S298,"Sim")-COUNTIF(L298:S298,"N/A")))</f>
        <v/>
      </c>
      <c r="X298" s="24">
        <f>IF(A298="","",V298+W298)</f>
        <v/>
      </c>
      <c r="Y298" s="29">
        <f>IF(OR(A298="",AA298=""),"",LEFT(AA298,LEN(AA298)-2))</f>
        <v/>
      </c>
      <c r="Z298" s="39">
        <f>IF(OR(A298="",X298=0),0,X298*100000+A298/100000)</f>
        <v>0</v>
      </c>
      <c r="AA298" s="39">
        <f>IF(A298="","",IF(AND(Config!$B$10&lt;&gt;"",D298&lt;&gt;"Sim",D298&lt;&gt;"N/A"),Config!$B$10&amp;"; ","")&amp;IF(AND(Config!$B$11&lt;&gt;"",E298&lt;&gt;"Sim",E298&lt;&gt;"N/A"),Config!$B$11&amp;"; ","")&amp;IF(AND(Config!$B$12&lt;&gt;"",F298&lt;&gt;"Sim",F298&lt;&gt;"N/A"),Config!$B$12&amp;"; ","")&amp;IF(AND(Config!$B$13&lt;&gt;"",G298&lt;&gt;"Sim",G298&lt;&gt;"N/A"),Config!$B$13&amp;"; ","")&amp;IF(AND(Config!$B$14&lt;&gt;"",H298&lt;&gt;"Sim",H298&lt;&gt;"N/A"),Config!$B$14&amp;"; ","")&amp;IF(AND(Config!$B$15&lt;&gt;"",I298&lt;&gt;"Sim",I298&lt;&gt;"N/A"),Config!$B$15&amp;"; ","")&amp;IF(AND(Config!$B$16&lt;&gt;"",J298&lt;&gt;"Sim",J298&lt;&gt;"N/A"),Config!$B$16&amp;"; ","")&amp;IF(AND(Config!$B$17&lt;&gt;"",K298&lt;&gt;"Sim",K298&lt;&gt;"N/A"),Config!$B$17&amp;"; ","")&amp;IF(AND(Config!$D$10&lt;&gt;"",L298&lt;&gt;"Sim",L298&lt;&gt;"N/A"),Config!$D$10&amp;"; ","")&amp;IF(AND(Config!$D$11&lt;&gt;"",M298&lt;&gt;"Sim",M298&lt;&gt;"N/A"),Config!$D$11&amp;"; ","")&amp;IF(AND(Config!$D$12&lt;&gt;"",N298&lt;&gt;"Sim",N298&lt;&gt;"N/A"),Config!$D$12&amp;"; ","")&amp;IF(AND(Config!$D$13&lt;&gt;"",O298&lt;&gt;"Sim",O298&lt;&gt;"N/A"),Config!$D$13&amp;"; ","")&amp;IF(AND(Config!$D$14&lt;&gt;"",P298&lt;&gt;"Sim",P298&lt;&gt;"N/A"),Config!$D$14&amp;"; ","")&amp;IF(AND(Config!$D$15&lt;&gt;"",Q298&lt;&gt;"Sim",Q298&lt;&gt;"N/A"),Config!$D$15&amp;"; ","")&amp;IF(AND(Config!$D$16&lt;&gt;"",R298&lt;&gt;"Sim",R298&lt;&gt;"N/A"),Config!$D$16&amp;"; ","")&amp;IF(AND(Config!$D$17&lt;&gt;"",S298&lt;&gt;"Sim",S298&lt;&gt;"N/A"),Config!$D$17&amp;"; ",""))</f>
        <v/>
      </c>
      <c r="AB298" s="39">
        <f>IF(A298="",0,COUNTIF($A$5:$A$304,"&gt;"&amp;A298)+1)</f>
        <v>0</v>
      </c>
    </row>
    <row r="299">
      <c r="A299" s="37" t="n"/>
      <c r="B299" s="24">
        <f>IF(A299="","",CHOOSE(WEEKDAY(A299,2),"Segunda","Terça","Quarta","Quinta","Sexta","Sábado","Domingo"))</f>
        <v/>
      </c>
      <c r="C299" s="38" t="n"/>
      <c r="D299" s="38" t="n"/>
      <c r="E299" s="38" t="n"/>
      <c r="F299" s="38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38" t="n"/>
      <c r="Q299" s="38" t="n"/>
      <c r="R299" s="38" t="n"/>
      <c r="S299" s="38" t="n"/>
      <c r="T299" s="26">
        <f>IF(A299="","",IFERROR(COUNTIF(D299:K299,"Sim")/(Config!$B$19-COUNTIF(D299:K299,"N/A")),""))</f>
        <v/>
      </c>
      <c r="U299" s="26">
        <f>IF(A299="","",IFERROR(COUNTIF(L299:S299,"Sim")/(Config!$D$19-COUNTIF(L299:S299,"N/A")),""))</f>
        <v/>
      </c>
      <c r="V299" s="24">
        <f>IF(A299="","",MAX(0,Config!$B$19-COUNTIF(D299:K299,"Sim")-COUNTIF(D299:K299,"N/A")))</f>
        <v/>
      </c>
      <c r="W299" s="24">
        <f>IF(A299="","",MAX(0,Config!$D$19-COUNTIF(L299:S299,"Sim")-COUNTIF(L299:S299,"N/A")))</f>
        <v/>
      </c>
      <c r="X299" s="24">
        <f>IF(A299="","",V299+W299)</f>
        <v/>
      </c>
      <c r="Y299" s="29">
        <f>IF(OR(A299="",AA299=""),"",LEFT(AA299,LEN(AA299)-2))</f>
        <v/>
      </c>
      <c r="Z299" s="39">
        <f>IF(OR(A299="",X299=0),0,X299*100000+A299/100000)</f>
        <v>0</v>
      </c>
      <c r="AA299" s="39">
        <f>IF(A299="","",IF(AND(Config!$B$10&lt;&gt;"",D299&lt;&gt;"Sim",D299&lt;&gt;"N/A"),Config!$B$10&amp;"; ","")&amp;IF(AND(Config!$B$11&lt;&gt;"",E299&lt;&gt;"Sim",E299&lt;&gt;"N/A"),Config!$B$11&amp;"; ","")&amp;IF(AND(Config!$B$12&lt;&gt;"",F299&lt;&gt;"Sim",F299&lt;&gt;"N/A"),Config!$B$12&amp;"; ","")&amp;IF(AND(Config!$B$13&lt;&gt;"",G299&lt;&gt;"Sim",G299&lt;&gt;"N/A"),Config!$B$13&amp;"; ","")&amp;IF(AND(Config!$B$14&lt;&gt;"",H299&lt;&gt;"Sim",H299&lt;&gt;"N/A"),Config!$B$14&amp;"; ","")&amp;IF(AND(Config!$B$15&lt;&gt;"",I299&lt;&gt;"Sim",I299&lt;&gt;"N/A"),Config!$B$15&amp;"; ","")&amp;IF(AND(Config!$B$16&lt;&gt;"",J299&lt;&gt;"Sim",J299&lt;&gt;"N/A"),Config!$B$16&amp;"; ","")&amp;IF(AND(Config!$B$17&lt;&gt;"",K299&lt;&gt;"Sim",K299&lt;&gt;"N/A"),Config!$B$17&amp;"; ","")&amp;IF(AND(Config!$D$10&lt;&gt;"",L299&lt;&gt;"Sim",L299&lt;&gt;"N/A"),Config!$D$10&amp;"; ","")&amp;IF(AND(Config!$D$11&lt;&gt;"",M299&lt;&gt;"Sim",M299&lt;&gt;"N/A"),Config!$D$11&amp;"; ","")&amp;IF(AND(Config!$D$12&lt;&gt;"",N299&lt;&gt;"Sim",N299&lt;&gt;"N/A"),Config!$D$12&amp;"; ","")&amp;IF(AND(Config!$D$13&lt;&gt;"",O299&lt;&gt;"Sim",O299&lt;&gt;"N/A"),Config!$D$13&amp;"; ","")&amp;IF(AND(Config!$D$14&lt;&gt;"",P299&lt;&gt;"Sim",P299&lt;&gt;"N/A"),Config!$D$14&amp;"; ","")&amp;IF(AND(Config!$D$15&lt;&gt;"",Q299&lt;&gt;"Sim",Q299&lt;&gt;"N/A"),Config!$D$15&amp;"; ","")&amp;IF(AND(Config!$D$16&lt;&gt;"",R299&lt;&gt;"Sim",R299&lt;&gt;"N/A"),Config!$D$16&amp;"; ","")&amp;IF(AND(Config!$D$17&lt;&gt;"",S299&lt;&gt;"Sim",S299&lt;&gt;"N/A"),Config!$D$17&amp;"; ",""))</f>
        <v/>
      </c>
      <c r="AB299" s="39">
        <f>IF(A299="",0,COUNTIF($A$5:$A$304,"&gt;"&amp;A299)+1)</f>
        <v>0</v>
      </c>
    </row>
    <row r="300">
      <c r="A300" s="37" t="n"/>
      <c r="B300" s="24">
        <f>IF(A300="","",CHOOSE(WEEKDAY(A300,2),"Segunda","Terça","Quarta","Quinta","Sexta","Sábado","Domingo"))</f>
        <v/>
      </c>
      <c r="C300" s="38" t="n"/>
      <c r="D300" s="38" t="n"/>
      <c r="E300" s="38" t="n"/>
      <c r="F300" s="38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38" t="n"/>
      <c r="Q300" s="38" t="n"/>
      <c r="R300" s="38" t="n"/>
      <c r="S300" s="38" t="n"/>
      <c r="T300" s="26">
        <f>IF(A300="","",IFERROR(COUNTIF(D300:K300,"Sim")/(Config!$B$19-COUNTIF(D300:K300,"N/A")),""))</f>
        <v/>
      </c>
      <c r="U300" s="26">
        <f>IF(A300="","",IFERROR(COUNTIF(L300:S300,"Sim")/(Config!$D$19-COUNTIF(L300:S300,"N/A")),""))</f>
        <v/>
      </c>
      <c r="V300" s="24">
        <f>IF(A300="","",MAX(0,Config!$B$19-COUNTIF(D300:K300,"Sim")-COUNTIF(D300:K300,"N/A")))</f>
        <v/>
      </c>
      <c r="W300" s="24">
        <f>IF(A300="","",MAX(0,Config!$D$19-COUNTIF(L300:S300,"Sim")-COUNTIF(L300:S300,"N/A")))</f>
        <v/>
      </c>
      <c r="X300" s="24">
        <f>IF(A300="","",V300+W300)</f>
        <v/>
      </c>
      <c r="Y300" s="29">
        <f>IF(OR(A300="",AA300=""),"",LEFT(AA300,LEN(AA300)-2))</f>
        <v/>
      </c>
      <c r="Z300" s="39">
        <f>IF(OR(A300="",X300=0),0,X300*100000+A300/100000)</f>
        <v>0</v>
      </c>
      <c r="AA300" s="39">
        <f>IF(A300="","",IF(AND(Config!$B$10&lt;&gt;"",D300&lt;&gt;"Sim",D300&lt;&gt;"N/A"),Config!$B$10&amp;"; ","")&amp;IF(AND(Config!$B$11&lt;&gt;"",E300&lt;&gt;"Sim",E300&lt;&gt;"N/A"),Config!$B$11&amp;"; ","")&amp;IF(AND(Config!$B$12&lt;&gt;"",F300&lt;&gt;"Sim",F300&lt;&gt;"N/A"),Config!$B$12&amp;"; ","")&amp;IF(AND(Config!$B$13&lt;&gt;"",G300&lt;&gt;"Sim",G300&lt;&gt;"N/A"),Config!$B$13&amp;"; ","")&amp;IF(AND(Config!$B$14&lt;&gt;"",H300&lt;&gt;"Sim",H300&lt;&gt;"N/A"),Config!$B$14&amp;"; ","")&amp;IF(AND(Config!$B$15&lt;&gt;"",I300&lt;&gt;"Sim",I300&lt;&gt;"N/A"),Config!$B$15&amp;"; ","")&amp;IF(AND(Config!$B$16&lt;&gt;"",J300&lt;&gt;"Sim",J300&lt;&gt;"N/A"),Config!$B$16&amp;"; ","")&amp;IF(AND(Config!$B$17&lt;&gt;"",K300&lt;&gt;"Sim",K300&lt;&gt;"N/A"),Config!$B$17&amp;"; ","")&amp;IF(AND(Config!$D$10&lt;&gt;"",L300&lt;&gt;"Sim",L300&lt;&gt;"N/A"),Config!$D$10&amp;"; ","")&amp;IF(AND(Config!$D$11&lt;&gt;"",M300&lt;&gt;"Sim",M300&lt;&gt;"N/A"),Config!$D$11&amp;"; ","")&amp;IF(AND(Config!$D$12&lt;&gt;"",N300&lt;&gt;"Sim",N300&lt;&gt;"N/A"),Config!$D$12&amp;"; ","")&amp;IF(AND(Config!$D$13&lt;&gt;"",O300&lt;&gt;"Sim",O300&lt;&gt;"N/A"),Config!$D$13&amp;"; ","")&amp;IF(AND(Config!$D$14&lt;&gt;"",P300&lt;&gt;"Sim",P300&lt;&gt;"N/A"),Config!$D$14&amp;"; ","")&amp;IF(AND(Config!$D$15&lt;&gt;"",Q300&lt;&gt;"Sim",Q300&lt;&gt;"N/A"),Config!$D$15&amp;"; ","")&amp;IF(AND(Config!$D$16&lt;&gt;"",R300&lt;&gt;"Sim",R300&lt;&gt;"N/A"),Config!$D$16&amp;"; ","")&amp;IF(AND(Config!$D$17&lt;&gt;"",S300&lt;&gt;"Sim",S300&lt;&gt;"N/A"),Config!$D$17&amp;"; ",""))</f>
        <v/>
      </c>
      <c r="AB300" s="39">
        <f>IF(A300="",0,COUNTIF($A$5:$A$304,"&gt;"&amp;A300)+1)</f>
        <v>0</v>
      </c>
    </row>
    <row r="301">
      <c r="A301" s="37" t="n"/>
      <c r="B301" s="24">
        <f>IF(A301="","",CHOOSE(WEEKDAY(A301,2),"Segunda","Terça","Quarta","Quinta","Sexta","Sábado","Domingo"))</f>
        <v/>
      </c>
      <c r="C301" s="38" t="n"/>
      <c r="D301" s="38" t="n"/>
      <c r="E301" s="38" t="n"/>
      <c r="F301" s="38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38" t="n"/>
      <c r="Q301" s="38" t="n"/>
      <c r="R301" s="38" t="n"/>
      <c r="S301" s="38" t="n"/>
      <c r="T301" s="26">
        <f>IF(A301="","",IFERROR(COUNTIF(D301:K301,"Sim")/(Config!$B$19-COUNTIF(D301:K301,"N/A")),""))</f>
        <v/>
      </c>
      <c r="U301" s="26">
        <f>IF(A301="","",IFERROR(COUNTIF(L301:S301,"Sim")/(Config!$D$19-COUNTIF(L301:S301,"N/A")),""))</f>
        <v/>
      </c>
      <c r="V301" s="24">
        <f>IF(A301="","",MAX(0,Config!$B$19-COUNTIF(D301:K301,"Sim")-COUNTIF(D301:K301,"N/A")))</f>
        <v/>
      </c>
      <c r="W301" s="24">
        <f>IF(A301="","",MAX(0,Config!$D$19-COUNTIF(L301:S301,"Sim")-COUNTIF(L301:S301,"N/A")))</f>
        <v/>
      </c>
      <c r="X301" s="24">
        <f>IF(A301="","",V301+W301)</f>
        <v/>
      </c>
      <c r="Y301" s="29">
        <f>IF(OR(A301="",AA301=""),"",LEFT(AA301,LEN(AA301)-2))</f>
        <v/>
      </c>
      <c r="Z301" s="39">
        <f>IF(OR(A301="",X301=0),0,X301*100000+A301/100000)</f>
        <v>0</v>
      </c>
      <c r="AA301" s="39">
        <f>IF(A301="","",IF(AND(Config!$B$10&lt;&gt;"",D301&lt;&gt;"Sim",D301&lt;&gt;"N/A"),Config!$B$10&amp;"; ","")&amp;IF(AND(Config!$B$11&lt;&gt;"",E301&lt;&gt;"Sim",E301&lt;&gt;"N/A"),Config!$B$11&amp;"; ","")&amp;IF(AND(Config!$B$12&lt;&gt;"",F301&lt;&gt;"Sim",F301&lt;&gt;"N/A"),Config!$B$12&amp;"; ","")&amp;IF(AND(Config!$B$13&lt;&gt;"",G301&lt;&gt;"Sim",G301&lt;&gt;"N/A"),Config!$B$13&amp;"; ","")&amp;IF(AND(Config!$B$14&lt;&gt;"",H301&lt;&gt;"Sim",H301&lt;&gt;"N/A"),Config!$B$14&amp;"; ","")&amp;IF(AND(Config!$B$15&lt;&gt;"",I301&lt;&gt;"Sim",I301&lt;&gt;"N/A"),Config!$B$15&amp;"; ","")&amp;IF(AND(Config!$B$16&lt;&gt;"",J301&lt;&gt;"Sim",J301&lt;&gt;"N/A"),Config!$B$16&amp;"; ","")&amp;IF(AND(Config!$B$17&lt;&gt;"",K301&lt;&gt;"Sim",K301&lt;&gt;"N/A"),Config!$B$17&amp;"; ","")&amp;IF(AND(Config!$D$10&lt;&gt;"",L301&lt;&gt;"Sim",L301&lt;&gt;"N/A"),Config!$D$10&amp;"; ","")&amp;IF(AND(Config!$D$11&lt;&gt;"",M301&lt;&gt;"Sim",M301&lt;&gt;"N/A"),Config!$D$11&amp;"; ","")&amp;IF(AND(Config!$D$12&lt;&gt;"",N301&lt;&gt;"Sim",N301&lt;&gt;"N/A"),Config!$D$12&amp;"; ","")&amp;IF(AND(Config!$D$13&lt;&gt;"",O301&lt;&gt;"Sim",O301&lt;&gt;"N/A"),Config!$D$13&amp;"; ","")&amp;IF(AND(Config!$D$14&lt;&gt;"",P301&lt;&gt;"Sim",P301&lt;&gt;"N/A"),Config!$D$14&amp;"; ","")&amp;IF(AND(Config!$D$15&lt;&gt;"",Q301&lt;&gt;"Sim",Q301&lt;&gt;"N/A"),Config!$D$15&amp;"; ","")&amp;IF(AND(Config!$D$16&lt;&gt;"",R301&lt;&gt;"Sim",R301&lt;&gt;"N/A"),Config!$D$16&amp;"; ","")&amp;IF(AND(Config!$D$17&lt;&gt;"",S301&lt;&gt;"Sim",S301&lt;&gt;"N/A"),Config!$D$17&amp;"; ",""))</f>
        <v/>
      </c>
      <c r="AB301" s="39">
        <f>IF(A301="",0,COUNTIF($A$5:$A$304,"&gt;"&amp;A301)+1)</f>
        <v>0</v>
      </c>
    </row>
    <row r="302">
      <c r="A302" s="37" t="n"/>
      <c r="B302" s="24">
        <f>IF(A302="","",CHOOSE(WEEKDAY(A302,2),"Segunda","Terça","Quarta","Quinta","Sexta","Sábado","Domingo"))</f>
        <v/>
      </c>
      <c r="C302" s="38" t="n"/>
      <c r="D302" s="38" t="n"/>
      <c r="E302" s="38" t="n"/>
      <c r="F302" s="38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38" t="n"/>
      <c r="Q302" s="38" t="n"/>
      <c r="R302" s="38" t="n"/>
      <c r="S302" s="38" t="n"/>
      <c r="T302" s="26">
        <f>IF(A302="","",IFERROR(COUNTIF(D302:K302,"Sim")/(Config!$B$19-COUNTIF(D302:K302,"N/A")),""))</f>
        <v/>
      </c>
      <c r="U302" s="26">
        <f>IF(A302="","",IFERROR(COUNTIF(L302:S302,"Sim")/(Config!$D$19-COUNTIF(L302:S302,"N/A")),""))</f>
        <v/>
      </c>
      <c r="V302" s="24">
        <f>IF(A302="","",MAX(0,Config!$B$19-COUNTIF(D302:K302,"Sim")-COUNTIF(D302:K302,"N/A")))</f>
        <v/>
      </c>
      <c r="W302" s="24">
        <f>IF(A302="","",MAX(0,Config!$D$19-COUNTIF(L302:S302,"Sim")-COUNTIF(L302:S302,"N/A")))</f>
        <v/>
      </c>
      <c r="X302" s="24">
        <f>IF(A302="","",V302+W302)</f>
        <v/>
      </c>
      <c r="Y302" s="29">
        <f>IF(OR(A302="",AA302=""),"",LEFT(AA302,LEN(AA302)-2))</f>
        <v/>
      </c>
      <c r="Z302" s="39">
        <f>IF(OR(A302="",X302=0),0,X302*100000+A302/100000)</f>
        <v>0</v>
      </c>
      <c r="AA302" s="39">
        <f>IF(A302="","",IF(AND(Config!$B$10&lt;&gt;"",D302&lt;&gt;"Sim",D302&lt;&gt;"N/A"),Config!$B$10&amp;"; ","")&amp;IF(AND(Config!$B$11&lt;&gt;"",E302&lt;&gt;"Sim",E302&lt;&gt;"N/A"),Config!$B$11&amp;"; ","")&amp;IF(AND(Config!$B$12&lt;&gt;"",F302&lt;&gt;"Sim",F302&lt;&gt;"N/A"),Config!$B$12&amp;"; ","")&amp;IF(AND(Config!$B$13&lt;&gt;"",G302&lt;&gt;"Sim",G302&lt;&gt;"N/A"),Config!$B$13&amp;"; ","")&amp;IF(AND(Config!$B$14&lt;&gt;"",H302&lt;&gt;"Sim",H302&lt;&gt;"N/A"),Config!$B$14&amp;"; ","")&amp;IF(AND(Config!$B$15&lt;&gt;"",I302&lt;&gt;"Sim",I302&lt;&gt;"N/A"),Config!$B$15&amp;"; ","")&amp;IF(AND(Config!$B$16&lt;&gt;"",J302&lt;&gt;"Sim",J302&lt;&gt;"N/A"),Config!$B$16&amp;"; ","")&amp;IF(AND(Config!$B$17&lt;&gt;"",K302&lt;&gt;"Sim",K302&lt;&gt;"N/A"),Config!$B$17&amp;"; ","")&amp;IF(AND(Config!$D$10&lt;&gt;"",L302&lt;&gt;"Sim",L302&lt;&gt;"N/A"),Config!$D$10&amp;"; ","")&amp;IF(AND(Config!$D$11&lt;&gt;"",M302&lt;&gt;"Sim",M302&lt;&gt;"N/A"),Config!$D$11&amp;"; ","")&amp;IF(AND(Config!$D$12&lt;&gt;"",N302&lt;&gt;"Sim",N302&lt;&gt;"N/A"),Config!$D$12&amp;"; ","")&amp;IF(AND(Config!$D$13&lt;&gt;"",O302&lt;&gt;"Sim",O302&lt;&gt;"N/A"),Config!$D$13&amp;"; ","")&amp;IF(AND(Config!$D$14&lt;&gt;"",P302&lt;&gt;"Sim",P302&lt;&gt;"N/A"),Config!$D$14&amp;"; ","")&amp;IF(AND(Config!$D$15&lt;&gt;"",Q302&lt;&gt;"Sim",Q302&lt;&gt;"N/A"),Config!$D$15&amp;"; ","")&amp;IF(AND(Config!$D$16&lt;&gt;"",R302&lt;&gt;"Sim",R302&lt;&gt;"N/A"),Config!$D$16&amp;"; ","")&amp;IF(AND(Config!$D$17&lt;&gt;"",S302&lt;&gt;"Sim",S302&lt;&gt;"N/A"),Config!$D$17&amp;"; ",""))</f>
        <v/>
      </c>
      <c r="AB302" s="39">
        <f>IF(A302="",0,COUNTIF($A$5:$A$304,"&gt;"&amp;A302)+1)</f>
        <v>0</v>
      </c>
    </row>
    <row r="303">
      <c r="A303" s="37" t="n"/>
      <c r="B303" s="24">
        <f>IF(A303="","",CHOOSE(WEEKDAY(A303,2),"Segunda","Terça","Quarta","Quinta","Sexta","Sábado","Domingo"))</f>
        <v/>
      </c>
      <c r="C303" s="38" t="n"/>
      <c r="D303" s="38" t="n"/>
      <c r="E303" s="38" t="n"/>
      <c r="F303" s="38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38" t="n"/>
      <c r="Q303" s="38" t="n"/>
      <c r="R303" s="38" t="n"/>
      <c r="S303" s="38" t="n"/>
      <c r="T303" s="26">
        <f>IF(A303="","",IFERROR(COUNTIF(D303:K303,"Sim")/(Config!$B$19-COUNTIF(D303:K303,"N/A")),""))</f>
        <v/>
      </c>
      <c r="U303" s="26">
        <f>IF(A303="","",IFERROR(COUNTIF(L303:S303,"Sim")/(Config!$D$19-COUNTIF(L303:S303,"N/A")),""))</f>
        <v/>
      </c>
      <c r="V303" s="24">
        <f>IF(A303="","",MAX(0,Config!$B$19-COUNTIF(D303:K303,"Sim")-COUNTIF(D303:K303,"N/A")))</f>
        <v/>
      </c>
      <c r="W303" s="24">
        <f>IF(A303="","",MAX(0,Config!$D$19-COUNTIF(L303:S303,"Sim")-COUNTIF(L303:S303,"N/A")))</f>
        <v/>
      </c>
      <c r="X303" s="24">
        <f>IF(A303="","",V303+W303)</f>
        <v/>
      </c>
      <c r="Y303" s="29">
        <f>IF(OR(A303="",AA303=""),"",LEFT(AA303,LEN(AA303)-2))</f>
        <v/>
      </c>
      <c r="Z303" s="39">
        <f>IF(OR(A303="",X303=0),0,X303*100000+A303/100000)</f>
        <v>0</v>
      </c>
      <c r="AA303" s="39">
        <f>IF(A303="","",IF(AND(Config!$B$10&lt;&gt;"",D303&lt;&gt;"Sim",D303&lt;&gt;"N/A"),Config!$B$10&amp;"; ","")&amp;IF(AND(Config!$B$11&lt;&gt;"",E303&lt;&gt;"Sim",E303&lt;&gt;"N/A"),Config!$B$11&amp;"; ","")&amp;IF(AND(Config!$B$12&lt;&gt;"",F303&lt;&gt;"Sim",F303&lt;&gt;"N/A"),Config!$B$12&amp;"; ","")&amp;IF(AND(Config!$B$13&lt;&gt;"",G303&lt;&gt;"Sim",G303&lt;&gt;"N/A"),Config!$B$13&amp;"; ","")&amp;IF(AND(Config!$B$14&lt;&gt;"",H303&lt;&gt;"Sim",H303&lt;&gt;"N/A"),Config!$B$14&amp;"; ","")&amp;IF(AND(Config!$B$15&lt;&gt;"",I303&lt;&gt;"Sim",I303&lt;&gt;"N/A"),Config!$B$15&amp;"; ","")&amp;IF(AND(Config!$B$16&lt;&gt;"",J303&lt;&gt;"Sim",J303&lt;&gt;"N/A"),Config!$B$16&amp;"; ","")&amp;IF(AND(Config!$B$17&lt;&gt;"",K303&lt;&gt;"Sim",K303&lt;&gt;"N/A"),Config!$B$17&amp;"; ","")&amp;IF(AND(Config!$D$10&lt;&gt;"",L303&lt;&gt;"Sim",L303&lt;&gt;"N/A"),Config!$D$10&amp;"; ","")&amp;IF(AND(Config!$D$11&lt;&gt;"",M303&lt;&gt;"Sim",M303&lt;&gt;"N/A"),Config!$D$11&amp;"; ","")&amp;IF(AND(Config!$D$12&lt;&gt;"",N303&lt;&gt;"Sim",N303&lt;&gt;"N/A"),Config!$D$12&amp;"; ","")&amp;IF(AND(Config!$D$13&lt;&gt;"",O303&lt;&gt;"Sim",O303&lt;&gt;"N/A"),Config!$D$13&amp;"; ","")&amp;IF(AND(Config!$D$14&lt;&gt;"",P303&lt;&gt;"Sim",P303&lt;&gt;"N/A"),Config!$D$14&amp;"; ","")&amp;IF(AND(Config!$D$15&lt;&gt;"",Q303&lt;&gt;"Sim",Q303&lt;&gt;"N/A"),Config!$D$15&amp;"; ","")&amp;IF(AND(Config!$D$16&lt;&gt;"",R303&lt;&gt;"Sim",R303&lt;&gt;"N/A"),Config!$D$16&amp;"; ","")&amp;IF(AND(Config!$D$17&lt;&gt;"",S303&lt;&gt;"Sim",S303&lt;&gt;"N/A"),Config!$D$17&amp;"; ",""))</f>
        <v/>
      </c>
      <c r="AB303" s="39">
        <f>IF(A303="",0,COUNTIF($A$5:$A$304,"&gt;"&amp;A303)+1)</f>
        <v>0</v>
      </c>
    </row>
    <row r="304">
      <c r="A304" s="37" t="n"/>
      <c r="B304" s="24">
        <f>IF(A304="","",CHOOSE(WEEKDAY(A304,2),"Segunda","Terça","Quarta","Quinta","Sexta","Sábado","Domingo"))</f>
        <v/>
      </c>
      <c r="C304" s="38" t="n"/>
      <c r="D304" s="38" t="n"/>
      <c r="E304" s="38" t="n"/>
      <c r="F304" s="38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38" t="n"/>
      <c r="Q304" s="38" t="n"/>
      <c r="R304" s="38" t="n"/>
      <c r="S304" s="38" t="n"/>
      <c r="T304" s="26">
        <f>IF(A304="","",IFERROR(COUNTIF(D304:K304,"Sim")/(Config!$B$19-COUNTIF(D304:K304,"N/A")),""))</f>
        <v/>
      </c>
      <c r="U304" s="26">
        <f>IF(A304="","",IFERROR(COUNTIF(L304:S304,"Sim")/(Config!$D$19-COUNTIF(L304:S304,"N/A")),""))</f>
        <v/>
      </c>
      <c r="V304" s="24">
        <f>IF(A304="","",MAX(0,Config!$B$19-COUNTIF(D304:K304,"Sim")-COUNTIF(D304:K304,"N/A")))</f>
        <v/>
      </c>
      <c r="W304" s="24">
        <f>IF(A304="","",MAX(0,Config!$D$19-COUNTIF(L304:S304,"Sim")-COUNTIF(L304:S304,"N/A")))</f>
        <v/>
      </c>
      <c r="X304" s="24">
        <f>IF(A304="","",V304+W304)</f>
        <v/>
      </c>
      <c r="Y304" s="29">
        <f>IF(OR(A304="",AA304=""),"",LEFT(AA304,LEN(AA304)-2))</f>
        <v/>
      </c>
      <c r="Z304" s="39">
        <f>IF(OR(A304="",X304=0),0,X304*100000+A304/100000)</f>
        <v>0</v>
      </c>
      <c r="AA304" s="39">
        <f>IF(A304="","",IF(AND(Config!$B$10&lt;&gt;"",D304&lt;&gt;"Sim",D304&lt;&gt;"N/A"),Config!$B$10&amp;"; ","")&amp;IF(AND(Config!$B$11&lt;&gt;"",E304&lt;&gt;"Sim",E304&lt;&gt;"N/A"),Config!$B$11&amp;"; ","")&amp;IF(AND(Config!$B$12&lt;&gt;"",F304&lt;&gt;"Sim",F304&lt;&gt;"N/A"),Config!$B$12&amp;"; ","")&amp;IF(AND(Config!$B$13&lt;&gt;"",G304&lt;&gt;"Sim",G304&lt;&gt;"N/A"),Config!$B$13&amp;"; ","")&amp;IF(AND(Config!$B$14&lt;&gt;"",H304&lt;&gt;"Sim",H304&lt;&gt;"N/A"),Config!$B$14&amp;"; ","")&amp;IF(AND(Config!$B$15&lt;&gt;"",I304&lt;&gt;"Sim",I304&lt;&gt;"N/A"),Config!$B$15&amp;"; ","")&amp;IF(AND(Config!$B$16&lt;&gt;"",J304&lt;&gt;"Sim",J304&lt;&gt;"N/A"),Config!$B$16&amp;"; ","")&amp;IF(AND(Config!$B$17&lt;&gt;"",K304&lt;&gt;"Sim",K304&lt;&gt;"N/A"),Config!$B$17&amp;"; ","")&amp;IF(AND(Config!$D$10&lt;&gt;"",L304&lt;&gt;"Sim",L304&lt;&gt;"N/A"),Config!$D$10&amp;"; ","")&amp;IF(AND(Config!$D$11&lt;&gt;"",M304&lt;&gt;"Sim",M304&lt;&gt;"N/A"),Config!$D$11&amp;"; ","")&amp;IF(AND(Config!$D$12&lt;&gt;"",N304&lt;&gt;"Sim",N304&lt;&gt;"N/A"),Config!$D$12&amp;"; ","")&amp;IF(AND(Config!$D$13&lt;&gt;"",O304&lt;&gt;"Sim",O304&lt;&gt;"N/A"),Config!$D$13&amp;"; ","")&amp;IF(AND(Config!$D$14&lt;&gt;"",P304&lt;&gt;"Sim",P304&lt;&gt;"N/A"),Config!$D$14&amp;"; ","")&amp;IF(AND(Config!$D$15&lt;&gt;"",Q304&lt;&gt;"Sim",Q304&lt;&gt;"N/A"),Config!$D$15&amp;"; ","")&amp;IF(AND(Config!$D$16&lt;&gt;"",R304&lt;&gt;"Sim",R304&lt;&gt;"N/A"),Config!$D$16&amp;"; ","")&amp;IF(AND(Config!$D$17&lt;&gt;"",S304&lt;&gt;"Sim",S304&lt;&gt;"N/A"),Config!$D$17&amp;"; ",""))</f>
        <v/>
      </c>
      <c r="AB304" s="39">
        <f>IF(A304="",0,COUNTIF($A$5:$A$304,"&gt;"&amp;A304)+1)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Y304"/>
  <mergeCells count="4">
    <mergeCell ref="L3:S3"/>
    <mergeCell ref="A1:P1"/>
    <mergeCell ref="D3:K3"/>
    <mergeCell ref="A2:P2"/>
  </mergeCells>
  <conditionalFormatting sqref="D5:S304">
    <cfRule type="expression" priority="1" dxfId="2">
      <formula>D5="Sim"</formula>
    </cfRule>
    <cfRule type="expression" priority="2" dxfId="3">
      <formula>D5="Não"</formula>
    </cfRule>
    <cfRule type="expression" priority="3" dxfId="4">
      <formula>D5="N/A"</formula>
    </cfRule>
  </conditionalFormatting>
  <conditionalFormatting sqref="A5:C304">
    <cfRule type="expression" priority="4" dxfId="0">
      <formula>AND(ISNUMBER($X5),$X5&gt;0)</formula>
    </cfRule>
  </conditionalFormatting>
  <conditionalFormatting sqref="T5:U304">
    <cfRule type="expression" priority="5" dxfId="0">
      <formula>AND(ISNUMBER(T5),T5&lt;1)</formula>
    </cfRule>
  </conditionalFormatting>
  <dataValidations count="3">
    <dataValidation sqref="C5:C304" showDropDown="0" showInputMessage="0" showErrorMessage="1" allowBlank="1" type="list">
      <formula1>=OFFSET(Config!$F$10,0,0,MAX(1,COUNTA(Config!$F$10:$F$19)),1)</formula1>
    </dataValidation>
    <dataValidation sqref="D5:S304" showDropDown="0" showInputMessage="0" showErrorMessage="1" allowBlank="1" type="list">
      <formula1>"Sim,Não,N/A"</formula1>
    </dataValidation>
    <dataValidation sqref="A5:A304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Checklist de abertura e fechamento do dia · Kit de Gestão para Médicos</dc:title>
  <dcterms:created xmlns:dcterms="http://purl.org/dc/terms/" xmlns:xsi="http://www.w3.org/2001/XMLSchema-instance" xsi:type="dcterms:W3CDTF">2026-09-18T15:07:11Z</dcterms:created>
  <dcterms:modified xmlns:dcterms="http://purl.org/dc/terms/" xmlns:xsi="http://www.w3.org/2001/XMLSchema-instance" xsi:type="dcterms:W3CDTF">2026-09-18T15:07:12Z</dcterms:modified>
</cp:coreProperties>
</file>