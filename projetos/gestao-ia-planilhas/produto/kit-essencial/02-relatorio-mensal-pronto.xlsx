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Painel" sheetId="2" state="visible" r:id="rId4"/>
    <sheet name="Resumo" sheetId="3" state="visible" r:id="rId5"/>
    <sheet name="Config" sheetId="4" state="visible" r:id="rId6"/>
    <sheet name="Indicado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<sst xmlns="http://schemas.openxmlformats.org/spreadsheetml/2006/main" count="138" uniqueCount="102">
  <si>
    <t xml:space="preserve">Relatório Mensal Pronto</t>
  </si>
  <si>
    <t xml:space="preserve">Kit IA no Trabalho · Essencial · Seu Sócio Gestor · versão 1.0 (setembro de 2026)</t>
  </si>
  <si>
    <t xml:space="preserve">O que esta planilha faz</t>
  </si>
  <si>
    <t xml:space="preserve">Você digita até 12 indicadores por mês; ela calcula variação contra o mês anterior, comparação com a meta, acumulado e média, monta o painel e escreve as frases-base do relatório para você colar na IA.</t>
  </si>
  <si>
    <t xml:space="preserve">Passo 1</t>
  </si>
  <si>
    <t xml:space="preserve">Em Config, preencha o nome da empresa ou área, o ano e escolha o mês do relatório.</t>
  </si>
  <si>
    <t xml:space="preserve">Passo 2</t>
  </si>
  <si>
    <t xml:space="preserve">Em Indicadores, troque os exemplos pelos seus: nome, unidade (R$, %, un, h, pts), casas decimais, meta mensal e se maior é melhor. Depois, o valor de cada mês. Em %, digite 4,5 e não 0,045.</t>
  </si>
  <si>
    <t xml:space="preserve">Passo 3</t>
  </si>
  <si>
    <t xml:space="preserve">Abra Painel: cada indicador com mês, mês anterior, variação, meta e situação (verde no alvo, vermelho fora). Escolha um indicador para o gráfico de evolução.</t>
  </si>
  <si>
    <t xml:space="preserve">Passo 4</t>
  </si>
  <si>
    <t xml:space="preserve">Abra Resumo: as frases do mês já estão escritas. Copie o bloco único e cole no prompt "Escrever 01" (relatório executivo) ou "Apresentar 01" (roteiro de 8 slides) da biblioteca do kit, junto com os seus comentários sobre o porquê dos números.</t>
  </si>
  <si>
    <t xml:space="preserve">Todo mês</t>
  </si>
  <si>
    <t xml:space="preserve">Digite os valores do novo mês em Indicadores e troque o mês em Config. O resto se refaz sozinho.</t>
  </si>
  <si>
    <t xml:space="preserve">Legenda</t>
  </si>
  <si>
    <t xml:space="preserve">Células amarelas: você preenche. Células brancas: calculadas. Verde: no alvo. Vermelho: fora da meta.</t>
  </si>
  <si>
    <t xml:space="preserve">Proteção</t>
  </si>
  <si>
    <t xml:space="preserve">Fórmulas protegidas sem senha. Para editar: Revisar &gt; Desproteger planilha (Excel) ou Dados &gt; Proteger intervalos (Google Sheets).</t>
  </si>
  <si>
    <t xml:space="preserve">Google Sheets</t>
  </si>
  <si>
    <t xml:space="preserve">Faça upload no Google Drive e abra com o Google Sheets. Fórmulas, listas, cores e gráfico funcionam.</t>
  </si>
  <si>
    <t xml:space="preserve">Exemplos</t>
  </si>
  <si>
    <t xml:space="preserve">A Prisma Comunicação é uma empresa fictícia. Os números são inventados. Apague-os antes de começar.</t>
  </si>
  <si>
    <t xml:space="preserve">Suporte</t>
  </si>
  <si>
    <t xml:space="preserve">suporte@seusociogestor.com.br · resposta em até 5 dias úteis · reembolso em até 7 dias pelo mesmo canal.</t>
  </si>
  <si>
    <t xml:space="preserve">Nada para preencher aqui. Escolha o mês em Config; os números vêm de Indicadores.</t>
  </si>
  <si>
    <t xml:space="preserve">Indicador</t>
  </si>
  <si>
    <t xml:space="preserve">Mês</t>
  </si>
  <si>
    <t xml:space="preserve">Mês anterior</t>
  </si>
  <si>
    <t xml:space="preserve">Variação</t>
  </si>
  <si>
    <t xml:space="preserve">Meta</t>
  </si>
  <si>
    <t xml:space="preserve">Vs. meta</t>
  </si>
  <si>
    <t xml:space="preserve">Situação</t>
  </si>
  <si>
    <t xml:space="preserve">Acumulado</t>
  </si>
  <si>
    <t xml:space="preserve">Unidade</t>
  </si>
  <si>
    <t xml:space="preserve">Indicador do gráfico</t>
  </si>
  <si>
    <t xml:space="preserve">Evolução no ano do indicador escolhido (linha cheia) e sua meta (tracejada).</t>
  </si>
  <si>
    <t xml:space="preserve">Dados do gráfico (automáticos; meses sem valor aparecem como erro de propósito, para o gráfico deixar a lacuna)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</si>
  <si>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</si>
  <si>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</si>
  <si>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</si>
  <si>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</si>
  <si>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</si>
  <si>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</si>
  <si>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</si>
  <si>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</si>
  <si>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</si>
  <si>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</si>
  <si>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</si>
  <si>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</si>
  <si>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Valor</t>
  </si>
  <si>
    <t xml:space="preserve">Resumo do mês, pronto para a IA</t>
  </si>
  <si>
    <t xml:space="preserve">Copie o bloco abaixo e cole no prompt "Escrever 01: relatório executivo" ou "Apresentar 01: roteiro de 8 slides" da biblioteca do kit.</t>
  </si>
  <si>
    <t xml:space="preserve">Destaques automáticos</t>
  </si>
  <si>
    <t xml:space="preserve">Bloco único para copiar</t>
  </si>
  <si>
    <t xml:space="preserve">Os textos são gerados por fórmula. Revise antes de enviar; a IA precisa dos seus comentários sobre o porquê dos números.</t>
  </si>
  <si>
    <t xml:space="preserve">Configurações</t>
  </si>
  <si>
    <t xml:space="preserve">Células amarelas: você preenche.</t>
  </si>
  <si>
    <t xml:space="preserve">Nome da empresa ou área</t>
  </si>
  <si>
    <t xml:space="preserve">Prisma Comunicação (exemplo fictício)</t>
  </si>
  <si>
    <t xml:space="preserve">Meses</t>
  </si>
  <si>
    <t xml:space="preserve">Ano</t>
  </si>
  <si>
    <t xml:space="preserve">Janeiro</t>
  </si>
  <si>
    <t xml:space="preserve">Mês do relatório</t>
  </si>
  <si>
    <t xml:space="preserve">Setembro</t>
  </si>
  <si>
    <t xml:space="preserve">Fevereiro</t>
  </si>
  <si>
    <t xml:space="preserve">Número do mês</t>
  </si>
  <si>
    <t xml:space="preserve">Março</t>
  </si>
  <si>
    <t xml:space="preserve">Abril</t>
  </si>
  <si>
    <t xml:space="preserve">Maio</t>
  </si>
  <si>
    <t xml:space="preserve">Use a mesma planilha o ano inteiro: só troque o mês do relatório.</t>
  </si>
  <si>
    <t xml:space="preserve">Junho</t>
  </si>
  <si>
    <t xml:space="preserve">Julho</t>
  </si>
  <si>
    <t xml:space="preserve">Agosto</t>
  </si>
  <si>
    <t xml:space="preserve">Outubro</t>
  </si>
  <si>
    <t xml:space="preserve">Novembro</t>
  </si>
  <si>
    <t xml:space="preserve">Dezembro</t>
  </si>
  <si>
    <t xml:space="preserve">Indicadores do ano</t>
  </si>
  <si>
    <t xml:space="preserve">Preencha o nome, a unidade, a meta mensal, se maior é melhor, e o valor de cada mês. Deixe em branco o que ainda não aconteceu.</t>
  </si>
  <si>
    <t xml:space="preserve">Casas decimais</t>
  </si>
  <si>
    <t xml:space="preserve">Meta mensal</t>
  </si>
  <si>
    <t xml:space="preserve">Maior é melhor?</t>
  </si>
  <si>
    <t xml:space="preserve">Média</t>
  </si>
  <si>
    <t xml:space="preserve">Receita</t>
  </si>
  <si>
    <t xml:space="preserve">R$</t>
  </si>
  <si>
    <t xml:space="preserve">Sim</t>
  </si>
  <si>
    <t xml:space="preserve">Despesas</t>
  </si>
  <si>
    <t xml:space="preserve">Não</t>
  </si>
  <si>
    <t xml:space="preserve">Resultado (receita - despesas)</t>
  </si>
  <si>
    <t xml:space="preserve">Novos clientes</t>
  </si>
  <si>
    <t xml:space="preserve">un</t>
  </si>
  <si>
    <t xml:space="preserve">Leads recebidos</t>
  </si>
  <si>
    <t xml:space="preserve">Taxa de conversão de leads</t>
  </si>
  <si>
    <t xml:space="preserve">%</t>
  </si>
  <si>
    <t xml:space="preserve">Ticket médio</t>
  </si>
  <si>
    <t xml:space="preserve">Inadimplência</t>
  </si>
  <si>
    <t xml:space="preserve">Atendimentos realizados</t>
  </si>
  <si>
    <t xml:space="preserve">NPS</t>
  </si>
  <si>
    <t xml:space="preserve">pts</t>
  </si>
  <si>
    <t xml:space="preserve">Horas extras da equipe</t>
  </si>
  <si>
    <t xml:space="preserve">h</t>
  </si>
  <si>
    <t xml:space="preserve">Custo por lead</t>
  </si>
  <si>
    <t xml:space="preserve">"Acumulado" soma os meses preenchidos; para taxas e médias, use a coluna "Média". Para indicadores em %, digite 4,5 (não 0,045).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</si>
</sst>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\+0.0%;\-0.0%;0.0%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B1F5E"/>
      <name val="Arial"/>
      <family val="0"/>
      <charset val="1"/>
    </font>
    <font>
      <sz val="10"/>
      <color rgb="FF7A5AA8"/>
      <name val="Arial"/>
      <family val="0"/>
      <charset val="1"/>
    </font>
    <font>
      <b val="true"/>
      <sz val="11"/>
      <color rgb="FF3B1F5E"/>
      <name val="Arial"/>
      <family val="0"/>
      <charset val="1"/>
    </font>
    <font>
      <sz val="11"/>
      <color rgb="FF1F1235"/>
      <name val="Arial"/>
      <family val="0"/>
      <charset val="1"/>
    </font>
    <font>
      <b val="true"/>
      <sz val="16"/>
      <color rgb="FF3B1F5E"/>
      <name val="Arial"/>
      <family val="0"/>
      <charset val="1"/>
    </font>
    <font>
      <i val="true"/>
      <sz val="10"/>
      <color rgb="FF7A5AA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235"/>
      <name val="Arial"/>
      <family val="0"/>
      <charset val="1"/>
    </font>
    <font>
      <sz val="9"/>
      <color rgb="FFB0A6C4"/>
      <name val="Arial"/>
      <family val="0"/>
      <charset val="1"/>
    </font>
    <font>
      <sz val="9"/>
      <color rgb="FF7A5AA8"/>
      <name val="Arial"/>
      <family val="0"/>
      <charset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B1F5E"/>
        <bgColor rgb="FF1F1235"/>
      </patternFill>
    </fill>
    <fill>
      <patternFill patternType="solid">
        <fgColor rgb="FFFFF4CC"/>
        <bgColor rgb="FFFBE4E4"/>
      </patternFill>
    </fill>
    <fill>
      <patternFill patternType="solid">
        <fgColor rgb="FFF3EEFB"/>
        <bgColor rgb="FFFB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2EC"/>
      </left>
      <right style="thin">
        <color rgb="FFDCD2EC"/>
      </right>
      <top style="thin">
        <color rgb="FFDCD2EC"/>
      </top>
      <bottom style="thin">
        <color rgb="FFDCD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1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7A1F1F"/>
        <sz val="10"/>
      </font>
      <fill>
        <patternFill>
          <bgColor rgb="FFFBE4E4"/>
        </patternFill>
      </fill>
    </dxf>
    <dxf>
      <fill>
        <patternFill>
          <bgColor rgb="FFDDF3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A6C4"/>
      <rgbColor rgb="FF878787"/>
      <rgbColor rgb="FF9999FF"/>
      <rgbColor rgb="FF993366"/>
      <rgbColor rgb="FFFFF4CC"/>
      <rgbColor rgb="FFDDF3E7"/>
      <rgbColor rgb="FF660066"/>
      <rgbColor rgb="FFFF8080"/>
      <rgbColor rgb="FF0066CC"/>
      <rgbColor rgb="FFDCD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EFB"/>
      <rgbColor rgb="FFD9D9D9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83D"/>
      <rgbColor rgb="FFFF9900"/>
      <rgbColor rgb="FFFF6600"/>
      <rgbColor rgb="FF7A5AA8"/>
      <rgbColor rgb="FF969696"/>
      <rgbColor rgb="FF003366"/>
      <rgbColor rgb="FF339966"/>
      <rgbColor rgb="FF003300"/>
      <rgbColor rgb="FF1F1235"/>
      <rgbColor rgb="FF7A1F1F"/>
      <rgbColor rgb="FF993366"/>
      <rgbColor rgb="FF333399"/>
      <rgbColor rgb="FF3B1F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Painel!A39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3b1f5e"/>
            </a:solidFill>
            <a:ln w="28080">
              <a:solidFill>
                <a:srgbClr val="3b1f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Painel!$B$38:$M$38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Painel!$B$39:$M$39</c:f>
              <c:numCache>
                <c:formatCode>#,##0.00</c:formatCode>
                <c:ptCount val="11"/>
                <c:pt idx="0">
                  <c:v>98500</c:v>
                </c:pt>
                <c:pt idx="1">
                  <c:v>101200</c:v>
                </c:pt>
                <c:pt idx="2">
                  <c:v>112400</c:v>
                </c:pt>
                <c:pt idx="3">
                  <c:v>109800</c:v>
                </c:pt>
                <c:pt idx="4">
                  <c:v>118300</c:v>
                </c:pt>
                <c:pt idx="5">
                  <c:v>121900</c:v>
                </c:pt>
                <c:pt idx="6">
                  <c:v>115700</c:v>
                </c:pt>
                <c:pt idx="7">
                  <c:v>124600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Painel!A40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ffc83d"/>
            </a:solidFill>
            <a:ln w="28440">
              <a:solidFill>
                <a:srgbClr val="ffc83d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Painel!$B$38:$M$38</c:f>
              <c:strCache>
                <c:ptCount val="11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Painel!$B$40:$M$40</c:f>
              <c:numCache>
                <c:formatCode>General</c:formatCode>
                <c:ptCount val="11"/>
                <c:pt idx="0">
                  <c:v>120000</c:v>
                </c:pt>
                <c:pt idx="1">
                  <c:v>120000</c:v>
                </c:pt>
                <c:pt idx="2">
                  <c:v>120000</c:v>
                </c:pt>
                <c:pt idx="3">
                  <c:v>120000</c:v>
                </c:pt>
                <c:pt idx="4">
                  <c:v>120000</c:v>
                </c:pt>
                <c:pt idx="5">
                  <c:v>120000</c:v>
                </c:pt>
                <c:pt idx="6">
                  <c:v>120000</c:v>
                </c:pt>
                <c:pt idx="7">
                  <c:v>120000</c:v>
                </c:pt>
                <c:pt idx="8">
                  <c:v>120000</c:v>
                </c:pt>
                <c:pt idx="9">
                  <c:v>120000</c:v>
                </c:pt>
                <c:pt idx="10">
                  <c:v>120000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379599"/>
        <c:axId val="69429372"/>
      </c:lineChart>
      <c:catAx>
        <c:axId val="4337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29372"/>
        <c:crosses val="autoZero"/>
        <c:auto val="1"/>
        <c:lblAlgn val="ctr"/>
        <c:lblOffset val="100"/>
        <c:noMultiLvlLbl val="0"/>
      </c:catAx>
      <c:valAx>
        <c:axId val="694293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795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130680</xdr:rowOff>
    </xdr:from>
    <xdr:to>
      <xdr:col>4</xdr:col>
      <xdr:colOff>790200</xdr:colOff>
      <xdr:row>33</xdr:row>
      <xdr:rowOff>163440</xdr:rowOff>
    </xdr:to>
    <xdr:graphicFrame>
      <xdr:nvGraphicFramePr>
        <xdr:cNvPr id="0" name="Chart 1"/>
        <xdr:cNvGraphicFramePr/>
      </xdr:nvGraphicFramePr>
      <xdr:xfrm>
        <a:off x="0" y="397188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.75" hidden="false" customHeight="true" outlineLevel="0" collapsed="false">
      <c r="A4" s="3" t="s">
        <v>2</v>
      </c>
      <c r="B4" s="4" t="s">
        <v>3</v>
      </c>
    </row>
    <row r="5" customFormat="false" ht="45.75" hidden="false" customHeight="true" outlineLevel="0" collapsed="false">
      <c r="A5" s="3" t="s">
        <v>4</v>
      </c>
      <c r="B5" s="4" t="s">
        <v>5</v>
      </c>
    </row>
    <row r="6" customFormat="false" ht="45.75" hidden="false" customHeight="true" outlineLevel="0" collapsed="false">
      <c r="A6" s="3" t="s">
        <v>6</v>
      </c>
      <c r="B6" s="4" t="s">
        <v>7</v>
      </c>
    </row>
    <row r="7" customFormat="false" ht="45.75" hidden="false" customHeight="true" outlineLevel="0" collapsed="false">
      <c r="A7" s="3" t="s">
        <v>8</v>
      </c>
      <c r="B7" s="4" t="s">
        <v>9</v>
      </c>
    </row>
    <row r="8" customFormat="false" ht="45.75" hidden="false" customHeight="true" outlineLevel="0" collapsed="false">
      <c r="A8" s="3" t="s">
        <v>10</v>
      </c>
      <c r="B8" s="4" t="s">
        <v>11</v>
      </c>
    </row>
    <row r="9" customFormat="false" ht="45.75" hidden="false" customHeight="true" outlineLevel="0" collapsed="false">
      <c r="A9" s="3" t="s">
        <v>12</v>
      </c>
      <c r="B9" s="4" t="s">
        <v>13</v>
      </c>
    </row>
    <row r="10" customFormat="false" ht="45.75" hidden="false" customHeight="true" outlineLevel="0" collapsed="false">
      <c r="A10" s="3" t="s">
        <v>14</v>
      </c>
      <c r="B10" s="4" t="s">
        <v>15</v>
      </c>
    </row>
    <row r="11" customFormat="false" ht="45.75" hidden="false" customHeight="true" outlineLevel="0" collapsed="false">
      <c r="A11" s="3" t="s">
        <v>16</v>
      </c>
      <c r="B11" s="4" t="s">
        <v>17</v>
      </c>
    </row>
    <row r="12" customFormat="false" ht="45.75" hidden="false" customHeight="true" outlineLevel="0" collapsed="false">
      <c r="A12" s="3" t="s">
        <v>18</v>
      </c>
      <c r="B12" s="4" t="s">
        <v>19</v>
      </c>
    </row>
    <row r="13" customFormat="false" ht="45.75" hidden="false" customHeight="true" outlineLevel="0" collapsed="false">
      <c r="A13" s="3" t="s">
        <v>20</v>
      </c>
      <c r="B13" s="4" t="s">
        <v>21</v>
      </c>
    </row>
    <row r="14" customFormat="false" ht="45.75" hidden="false" customHeight="true" outlineLevel="0" collapsed="false">
      <c r="A14" s="3" t="s">
        <v>22</v>
      </c>
      <c r="B14" s="4" t="s">
        <v>23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true" outlineLevel="0" max="10" min="10" style="0" width="9"/>
    <col collapsed="false" customWidth="true" hidden="false" outlineLevel="0" max="13" min="11" style="0" width="9"/>
  </cols>
  <sheetData>
    <row r="1" customFormat="false" ht="19.7" hidden="false" customHeight="false" outlineLevel="0" collapsed="false">
      <c r="A1" s="5" t="str">
        <f aca="false">Config!B4&amp;" · Relatório de "&amp;Config!B6&amp;" de "&amp;Config!B5</f>
        <v>Prisma Comunicação (exemplo fictício) · Relatório de Setembro de 2026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24</v>
      </c>
      <c r="B2" s="6"/>
      <c r="C2" s="6"/>
      <c r="D2" s="6"/>
      <c r="E2" s="6"/>
      <c r="F2" s="6"/>
      <c r="G2" s="6"/>
      <c r="H2" s="6"/>
      <c r="I2" s="6"/>
    </row>
    <row r="4" customFormat="false" ht="27.75" hidden="false" customHeight="true" outlineLevel="0" collapsed="false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</row>
    <row r="5" customFormat="false" ht="15" hidden="false" customHeight="false" outlineLevel="0" collapsed="false">
      <c r="A5" s="8" t="str">
        <f aca="false">IF(Indicadores!A5="","",Indicadores!A5)</f>
        <v>Receita</v>
      </c>
      <c r="B5" s="9" t="n">
        <f aca="false">IF(Indicadores!A5="","",IF(INDEX(Indicadores!$F5:$Q5,Config!$B$7)="","",INDEX(Indicadores!$F5:$Q5,Config!$B$7)))</f>
        <v>131200</v>
      </c>
      <c r="C5" s="9" t="n">
        <f aca="false">IF(OR(Indicadores!A5="",Config!$B$7=1),"",IF(INDEX(Indicadores!$F5:$Q5,Config!$B$7-1)="","",INDEX(Indicadores!$F5:$Q5,Config!$B$7-1)))</f>
        <v>124600</v>
      </c>
      <c r="D5" s="10" t="n">
        <f aca="false">IF(OR(B5="",C5="",C5=0),"",(B5-C5)/ABS(C5))</f>
        <v>0.0529695024077047</v>
      </c>
      <c r="E5" s="9" t="n">
        <f aca="false">IF(OR(Indicadores!A5="",Indicadores!D5=""),"",Indicadores!D5)</f>
        <v>120000</v>
      </c>
      <c r="F5" s="10" t="n">
        <f aca="false">IF(OR(B5="",E5="",E5=0),"",(B5-E5)/ABS(E5))</f>
        <v>0.0933333333333333</v>
      </c>
      <c r="G5" s="11" t="str">
        <f aca="false">IF(OR(B5="",E5=""),"",IF(Indicadores!E5="Não",IF(B5&lt;=E5,"No alvo","Acima da meta"),IF(B5&gt;=E5,"No alvo","Abaixo da meta")))</f>
        <v>No alvo</v>
      </c>
      <c r="H5" s="9" t="n">
        <f aca="false">IF(Indicadores!A5="","",Indicadores!R5)</f>
        <v>1033600</v>
      </c>
      <c r="I5" s="11" t="str">
        <f aca="false">IF(Indicadores!A5="","",Indicadores!B5)</f>
        <v>R$</v>
      </c>
      <c r="J5" s="12" t="n">
        <f aca="false">IF(F5="","",ABS(F5))</f>
        <v>0.0933333333333333</v>
      </c>
    </row>
    <row r="6" customFormat="false" ht="15" hidden="false" customHeight="false" outlineLevel="0" collapsed="false">
      <c r="A6" s="8" t="str">
        <f aca="false">IF(Indicadores!A6="","",Indicadores!A6)</f>
        <v>Despesas</v>
      </c>
      <c r="B6" s="9" t="n">
        <f aca="false">IF(Indicadores!A6="","",IF(INDEX(Indicadores!$F6:$Q6,Config!$B$7)="","",INDEX(Indicadores!$F6:$Q6,Config!$B$7)))</f>
        <v>89800</v>
      </c>
      <c r="C6" s="9" t="n">
        <f aca="false">IF(OR(Indicadores!A6="",Config!$B$7=1),"",IF(INDEX(Indicadores!$F6:$Q6,Config!$B$7-1)="","",INDEX(Indicadores!$F6:$Q6,Config!$B$7-1)))</f>
        <v>87300</v>
      </c>
      <c r="D6" s="10" t="n">
        <f aca="false">IF(OR(B6="",C6="",C6=0),"",(B6-C6)/ABS(C6))</f>
        <v>0.0286368843069874</v>
      </c>
      <c r="E6" s="9" t="n">
        <f aca="false">IF(OR(Indicadores!A6="",Indicadores!D6=""),"",Indicadores!D6)</f>
        <v>85000</v>
      </c>
      <c r="F6" s="10" t="n">
        <f aca="false">IF(OR(B6="",E6="",E6=0),"",(B6-E6)/ABS(E6))</f>
        <v>0.0564705882352941</v>
      </c>
      <c r="G6" s="11" t="str">
        <f aca="false">IF(OR(B6="",E6=""),"",IF(Indicadores!E6="Não",IF(B6&lt;=E6,"No alvo","Acima da meta"),IF(B6&gt;=E6,"No alvo","Abaixo da meta")))</f>
        <v>Acima da meta</v>
      </c>
      <c r="H6" s="9" t="n">
        <f aca="false">IF(Indicadores!A6="","",Indicadores!R6)</f>
        <v>766600</v>
      </c>
      <c r="I6" s="11" t="str">
        <f aca="false">IF(Indicadores!A6="","",Indicadores!B6)</f>
        <v>R$</v>
      </c>
      <c r="J6" s="12" t="n">
        <f aca="false">IF(F6="","",ABS(F6))</f>
        <v>0.0564705882352941</v>
      </c>
    </row>
    <row r="7" customFormat="false" ht="15" hidden="false" customHeight="false" outlineLevel="0" collapsed="false">
      <c r="A7" s="8" t="str">
        <f aca="false">IF(Indicadores!A7="","",Indicadores!A7)</f>
        <v>Resultado (receita - despesas)</v>
      </c>
      <c r="B7" s="9" t="n">
        <f aca="false">IF(Indicadores!A7="","",IF(INDEX(Indicadores!$F7:$Q7,Config!$B$7)="","",INDEX(Indicadores!$F7:$Q7,Config!$B$7)))</f>
        <v>41400</v>
      </c>
      <c r="C7" s="9" t="n">
        <f aca="false">IF(OR(Indicadores!A7="",Config!$B$7=1),"",IF(INDEX(Indicadores!$F7:$Q7,Config!$B$7-1)="","",INDEX(Indicadores!$F7:$Q7,Config!$B$7-1)))</f>
        <v>37300</v>
      </c>
      <c r="D7" s="10" t="n">
        <f aca="false">IF(OR(B7="",C7="",C7=0),"",(B7-C7)/ABS(C7))</f>
        <v>0.109919571045576</v>
      </c>
      <c r="E7" s="9" t="n">
        <f aca="false">IF(OR(Indicadores!A7="",Indicadores!D7=""),"",Indicadores!D7)</f>
        <v>35000</v>
      </c>
      <c r="F7" s="10" t="n">
        <f aca="false">IF(OR(B7="",E7="",E7=0),"",(B7-E7)/ABS(E7))</f>
        <v>0.182857142857143</v>
      </c>
      <c r="G7" s="11" t="str">
        <f aca="false">IF(OR(B7="",E7=""),"",IF(Indicadores!E7="Não",IF(B7&lt;=E7,"No alvo","Acima da meta"),IF(B7&gt;=E7,"No alvo","Abaixo da meta")))</f>
        <v>No alvo</v>
      </c>
      <c r="H7" s="9" t="n">
        <f aca="false">IF(Indicadores!A7="","",Indicadores!R7)</f>
        <v>267000</v>
      </c>
      <c r="I7" s="11" t="str">
        <f aca="false">IF(Indicadores!A7="","",Indicadores!B7)</f>
        <v>R$</v>
      </c>
      <c r="J7" s="12" t="n">
        <f aca="false">IF(F7="","",ABS(F7))</f>
        <v>0.182857142857143</v>
      </c>
    </row>
    <row r="8" customFormat="false" ht="15" hidden="false" customHeight="false" outlineLevel="0" collapsed="false">
      <c r="A8" s="8" t="str">
        <f aca="false">IF(Indicadores!A8="","",Indicadores!A8)</f>
        <v>Novos clientes</v>
      </c>
      <c r="B8" s="9" t="n">
        <f aca="false">IF(Indicadores!A8="","",IF(INDEX(Indicadores!$F8:$Q8,Config!$B$7)="","",INDEX(Indicadores!$F8:$Q8,Config!$B$7)))</f>
        <v>6</v>
      </c>
      <c r="C8" s="9" t="n">
        <f aca="false">IF(OR(Indicadores!A8="",Config!$B$7=1),"",IF(INDEX(Indicadores!$F8:$Q8,Config!$B$7-1)="","",INDEX(Indicadores!$F8:$Q8,Config!$B$7-1)))</f>
        <v>7</v>
      </c>
      <c r="D8" s="10" t="n">
        <f aca="false">IF(OR(B8="",C8="",C8=0),"",(B8-C8)/ABS(C8))</f>
        <v>-0.142857142857143</v>
      </c>
      <c r="E8" s="9" t="n">
        <f aca="false">IF(OR(Indicadores!A8="",Indicadores!D8=""),"",Indicadores!D8)</f>
        <v>6</v>
      </c>
      <c r="F8" s="10" t="n">
        <f aca="false">IF(OR(B8="",E8="",E8=0),"",(B8-E8)/ABS(E8))</f>
        <v>0</v>
      </c>
      <c r="G8" s="11" t="str">
        <f aca="false">IF(OR(B8="",E8=""),"",IF(Indicadores!E8="Não",IF(B8&lt;=E8,"No alvo","Acima da meta"),IF(B8&gt;=E8,"No alvo","Abaixo da meta")))</f>
        <v>No alvo</v>
      </c>
      <c r="H8" s="9" t="n">
        <f aca="false">IF(Indicadores!A8="","",Indicadores!R8)</f>
        <v>44</v>
      </c>
      <c r="I8" s="11" t="str">
        <f aca="false">IF(Indicadores!A8="","",Indicadores!B8)</f>
        <v>un</v>
      </c>
      <c r="J8" s="12" t="n">
        <f aca="false">IF(F8="","",ABS(F8))</f>
        <v>0</v>
      </c>
    </row>
    <row r="9" customFormat="false" ht="15" hidden="false" customHeight="false" outlineLevel="0" collapsed="false">
      <c r="A9" s="8" t="str">
        <f aca="false">IF(Indicadores!A9="","",Indicadores!A9)</f>
        <v>Leads recebidos</v>
      </c>
      <c r="B9" s="9" t="n">
        <f aca="false">IF(Indicadores!A9="","",IF(INDEX(Indicadores!$F9:$Q9,Config!$B$7)="","",INDEX(Indicadores!$F9:$Q9,Config!$B$7)))</f>
        <v>137</v>
      </c>
      <c r="C9" s="9" t="n">
        <f aca="false">IF(OR(Indicadores!A9="",Config!$B$7=1),"",IF(INDEX(Indicadores!$F9:$Q9,Config!$B$7-1)="","",INDEX(Indicadores!$F9:$Q9,Config!$B$7-1)))</f>
        <v>142</v>
      </c>
      <c r="D9" s="10" t="n">
        <f aca="false">IF(OR(B9="",C9="",C9=0),"",(B9-C9)/ABS(C9))</f>
        <v>-0.0352112676056338</v>
      </c>
      <c r="E9" s="9" t="n">
        <f aca="false">IF(OR(Indicadores!A9="",Indicadores!D9=""),"",Indicadores!D9)</f>
        <v>120</v>
      </c>
      <c r="F9" s="10" t="n">
        <f aca="false">IF(OR(B9="",E9="",E9=0),"",(B9-E9)/ABS(E9))</f>
        <v>0.141666666666667</v>
      </c>
      <c r="G9" s="11" t="str">
        <f aca="false">IF(OR(B9="",E9=""),"",IF(Indicadores!E9="Não",IF(B9&lt;=E9,"No alvo","Acima da meta"),IF(B9&gt;=E9,"No alvo","Abaixo da meta")))</f>
        <v>No alvo</v>
      </c>
      <c r="H9" s="9" t="n">
        <f aca="false">IF(Indicadores!A9="","",Indicadores!R9)</f>
        <v>1032</v>
      </c>
      <c r="I9" s="11" t="str">
        <f aca="false">IF(Indicadores!A9="","",Indicadores!B9)</f>
        <v>un</v>
      </c>
      <c r="J9" s="12" t="n">
        <f aca="false">IF(F9="","",ABS(F9))</f>
        <v>0.141666666666667</v>
      </c>
    </row>
    <row r="10" customFormat="false" ht="15" hidden="false" customHeight="false" outlineLevel="0" collapsed="false">
      <c r="A10" s="8" t="str">
        <f aca="false">IF(Indicadores!A10="","",Indicadores!A10)</f>
        <v>Taxa de conversão de leads</v>
      </c>
      <c r="B10" s="9" t="n">
        <f aca="false">IF(Indicadores!A10="","",IF(INDEX(Indicadores!$F10:$Q10,Config!$B$7)="","",INDEX(Indicadores!$F10:$Q10,Config!$B$7)))</f>
        <v>4.4</v>
      </c>
      <c r="C10" s="9" t="n">
        <f aca="false">IF(OR(Indicadores!A10="",Config!$B$7=1),"",IF(INDEX(Indicadores!$F10:$Q10,Config!$B$7-1)="","",INDEX(Indicadores!$F10:$Q10,Config!$B$7-1)))</f>
        <v>4.9</v>
      </c>
      <c r="D10" s="10" t="n">
        <f aca="false">IF(OR(B10="",C10="",C10=0),"",(B10-C10)/ABS(C10))</f>
        <v>-0.102040816326531</v>
      </c>
      <c r="E10" s="9" t="n">
        <f aca="false">IF(OR(Indicadores!A10="",Indicadores!D10=""),"",Indicadores!D10)</f>
        <v>5</v>
      </c>
      <c r="F10" s="10" t="n">
        <f aca="false">IF(OR(B10="",E10="",E10=0),"",(B10-E10)/ABS(E10))</f>
        <v>-0.12</v>
      </c>
      <c r="G10" s="11" t="str">
        <f aca="false">IF(OR(B10="",E10=""),"",IF(Indicadores!E10="Não",IF(B10&lt;=E10,"No alvo","Acima da meta"),IF(B10&gt;=E10,"No alvo","Abaixo da meta")))</f>
        <v>Abaixo da meta</v>
      </c>
      <c r="H10" s="9" t="n">
        <f aca="false">IF(Indicadores!A10="","",Indicadores!R10)</f>
        <v>37.8</v>
      </c>
      <c r="I10" s="11" t="str">
        <f aca="false">IF(Indicadores!A10="","",Indicadores!B10)</f>
        <v>%</v>
      </c>
      <c r="J10" s="12" t="n">
        <f aca="false">IF(F10="","",ABS(F10))</f>
        <v>0.12</v>
      </c>
    </row>
    <row r="11" customFormat="false" ht="15" hidden="false" customHeight="false" outlineLevel="0" collapsed="false">
      <c r="A11" s="8" t="str">
        <f aca="false">IF(Indicadores!A11="","",Indicadores!A11)</f>
        <v>Ticket médio</v>
      </c>
      <c r="B11" s="9" t="n">
        <f aca="false">IF(Indicadores!A11="","",IF(INDEX(Indicadores!$F11:$Q11,Config!$B$7)="","",INDEX(Indicadores!$F11:$Q11,Config!$B$7)))</f>
        <v>9700</v>
      </c>
      <c r="C11" s="9" t="n">
        <f aca="false">IF(OR(Indicadores!A11="",Config!$B$7=1),"",IF(INDEX(Indicadores!$F11:$Q11,Config!$B$7-1)="","",INDEX(Indicadores!$F11:$Q11,Config!$B$7-1)))</f>
        <v>9400</v>
      </c>
      <c r="D11" s="10" t="n">
        <f aca="false">IF(OR(B11="",C11="",C11=0),"",(B11-C11)/ABS(C11))</f>
        <v>0.0319148936170213</v>
      </c>
      <c r="E11" s="9" t="n">
        <f aca="false">IF(OR(Indicadores!A11="",Indicadores!D11=""),"",Indicadores!D11)</f>
        <v>9000</v>
      </c>
      <c r="F11" s="10" t="n">
        <f aca="false">IF(OR(B11="",E11="",E11=0),"",(B11-E11)/ABS(E11))</f>
        <v>0.0777777777777778</v>
      </c>
      <c r="G11" s="11" t="str">
        <f aca="false">IF(OR(B11="",E11=""),"",IF(Indicadores!E11="Não",IF(B11&lt;=E11,"No alvo","Acima da meta"),IF(B11&gt;=E11,"No alvo","Abaixo da meta")))</f>
        <v>No alvo</v>
      </c>
      <c r="H11" s="9" t="n">
        <f aca="false">IF(Indicadores!A11="","",Indicadores!R11)</f>
        <v>80700</v>
      </c>
      <c r="I11" s="11" t="str">
        <f aca="false">IF(Indicadores!A11="","",Indicadores!B11)</f>
        <v>R$</v>
      </c>
      <c r="J11" s="12" t="n">
        <f aca="false">IF(F11="","",ABS(F11))</f>
        <v>0.0777777777777778</v>
      </c>
    </row>
    <row r="12" customFormat="false" ht="15" hidden="false" customHeight="false" outlineLevel="0" collapsed="false">
      <c r="A12" s="8" t="str">
        <f aca="false">IF(Indicadores!A12="","",Indicadores!A12)</f>
        <v>Inadimplência</v>
      </c>
      <c r="B12" s="9" t="n">
        <f aca="false">IF(Indicadores!A12="","",IF(INDEX(Indicadores!$F12:$Q12,Config!$B$7)="","",INDEX(Indicadores!$F12:$Q12,Config!$B$7)))</f>
        <v>2.4</v>
      </c>
      <c r="C12" s="9" t="n">
        <f aca="false">IF(OR(Indicadores!A12="",Config!$B$7=1),"",IF(INDEX(Indicadores!$F12:$Q12,Config!$B$7-1)="","",INDEX(Indicadores!$F12:$Q12,Config!$B$7-1)))</f>
        <v>2.6</v>
      </c>
      <c r="D12" s="10" t="n">
        <f aca="false">IF(OR(B12="",C12="",C12=0),"",(B12-C12)/ABS(C12))</f>
        <v>-0.076923076923077</v>
      </c>
      <c r="E12" s="9" t="n">
        <f aca="false">IF(OR(Indicadores!A12="",Indicadores!D12=""),"",Indicadores!D12)</f>
        <v>3</v>
      </c>
      <c r="F12" s="10" t="n">
        <f aca="false">IF(OR(B12="",E12="",E12=0),"",(B12-E12)/ABS(E12))</f>
        <v>-0.2</v>
      </c>
      <c r="G12" s="11" t="str">
        <f aca="false">IF(OR(B12="",E12=""),"",IF(Indicadores!E12="Não",IF(B12&lt;=E12,"No alvo","Acima da meta"),IF(B12&gt;=E12,"No alvo","Abaixo da meta")))</f>
        <v>No alvo</v>
      </c>
      <c r="H12" s="9" t="n">
        <f aca="false">IF(Indicadores!A12="","",Indicadores!R12)</f>
        <v>29</v>
      </c>
      <c r="I12" s="11" t="str">
        <f aca="false">IF(Indicadores!A12="","",Indicadores!B12)</f>
        <v>%</v>
      </c>
      <c r="J12" s="12" t="n">
        <f aca="false">IF(F12="","",ABS(F12))</f>
        <v>0.2</v>
      </c>
    </row>
    <row r="13" customFormat="false" ht="15" hidden="false" customHeight="false" outlineLevel="0" collapsed="false">
      <c r="A13" s="8" t="str">
        <f aca="false">IF(Indicadores!A13="","",Indicadores!A13)</f>
        <v>Atendimentos realizados</v>
      </c>
      <c r="B13" s="9" t="n">
        <f aca="false">IF(Indicadores!A13="","",IF(INDEX(Indicadores!$F13:$Q13,Config!$B$7)="","",INDEX(Indicadores!$F13:$Q13,Config!$B$7)))</f>
        <v>63</v>
      </c>
      <c r="C13" s="9" t="n">
        <f aca="false">IF(OR(Indicadores!A13="",Config!$B$7=1),"",IF(INDEX(Indicadores!$F13:$Q13,Config!$B$7-1)="","",INDEX(Indicadores!$F13:$Q13,Config!$B$7-1)))</f>
        <v>66</v>
      </c>
      <c r="D13" s="10" t="n">
        <f aca="false">IF(OR(B13="",C13="",C13=0),"",(B13-C13)/ABS(C13))</f>
        <v>-0.0454545454545455</v>
      </c>
      <c r="E13" s="9" t="n">
        <f aca="false">IF(OR(Indicadores!A13="",Indicadores!D13=""),"",Indicadores!D13)</f>
        <v>60</v>
      </c>
      <c r="F13" s="10" t="n">
        <f aca="false">IF(OR(B13="",E13="",E13=0),"",(B13-E13)/ABS(E13))</f>
        <v>0.05</v>
      </c>
      <c r="G13" s="11" t="str">
        <f aca="false">IF(OR(B13="",E13=""),"",IF(Indicadores!E13="Não",IF(B13&lt;=E13,"No alvo","Acima da meta"),IF(B13&gt;=E13,"No alvo","Abaixo da meta")))</f>
        <v>No alvo</v>
      </c>
      <c r="H13" s="9" t="n">
        <f aca="false">IF(Indicadores!A13="","",Indicadores!R13)</f>
        <v>536</v>
      </c>
      <c r="I13" s="11" t="str">
        <f aca="false">IF(Indicadores!A13="","",Indicadores!B13)</f>
        <v>un</v>
      </c>
      <c r="J13" s="12" t="n">
        <f aca="false">IF(F13="","",ABS(F13))</f>
        <v>0.05</v>
      </c>
    </row>
    <row r="14" customFormat="false" ht="15" hidden="false" customHeight="false" outlineLevel="0" collapsed="false">
      <c r="A14" s="8" t="str">
        <f aca="false">IF(Indicadores!A14="","",Indicadores!A14)</f>
        <v>NPS</v>
      </c>
      <c r="B14" s="9" t="n">
        <f aca="false">IF(Indicadores!A14="","",IF(INDEX(Indicadores!$F14:$Q14,Config!$B$7)="","",INDEX(Indicadores!$F14:$Q14,Config!$B$7)))</f>
        <v>72</v>
      </c>
      <c r="C14" s="9" t="n">
        <f aca="false">IF(OR(Indicadores!A14="",Config!$B$7=1),"",IF(INDEX(Indicadores!$F14:$Q14,Config!$B$7-1)="","",INDEX(Indicadores!$F14:$Q14,Config!$B$7-1)))</f>
        <v>73</v>
      </c>
      <c r="D14" s="10" t="n">
        <f aca="false">IF(OR(B14="",C14="",C14=0),"",(B14-C14)/ABS(C14))</f>
        <v>-0.0136986301369863</v>
      </c>
      <c r="E14" s="9" t="n">
        <f aca="false">IF(OR(Indicadores!A14="",Indicadores!D14=""),"",Indicadores!D14)</f>
        <v>70</v>
      </c>
      <c r="F14" s="10" t="n">
        <f aca="false">IF(OR(B14="",E14="",E14=0),"",(B14-E14)/ABS(E14))</f>
        <v>0.0285714285714286</v>
      </c>
      <c r="G14" s="11" t="str">
        <f aca="false">IF(OR(B14="",E14=""),"",IF(Indicadores!E14="Não",IF(B14&lt;=E14,"No alvo","Acima da meta"),IF(B14&gt;=E14,"No alvo","Abaixo da meta")))</f>
        <v>No alvo</v>
      </c>
      <c r="H14" s="9" t="n">
        <f aca="false">IF(Indicadores!A14="","",Indicadores!R14)</f>
        <v>620</v>
      </c>
      <c r="I14" s="11" t="str">
        <f aca="false">IF(Indicadores!A14="","",Indicadores!B14)</f>
        <v>pts</v>
      </c>
      <c r="J14" s="12" t="n">
        <f aca="false">IF(F14="","",ABS(F14))</f>
        <v>0.0285714285714286</v>
      </c>
    </row>
    <row r="15" customFormat="false" ht="15" hidden="false" customHeight="false" outlineLevel="0" collapsed="false">
      <c r="A15" s="8" t="str">
        <f aca="false">IF(Indicadores!A15="","",Indicadores!A15)</f>
        <v>Horas extras da equipe</v>
      </c>
      <c r="B15" s="9" t="n">
        <f aca="false">IF(Indicadores!A15="","",IF(INDEX(Indicadores!$F15:$Q15,Config!$B$7)="","",INDEX(Indicadores!$F15:$Q15,Config!$B$7)))</f>
        <v>12</v>
      </c>
      <c r="C15" s="9" t="n">
        <f aca="false">IF(OR(Indicadores!A15="",Config!$B$7=1),"",IF(INDEX(Indicadores!$F15:$Q15,Config!$B$7-1)="","",INDEX(Indicadores!$F15:$Q15,Config!$B$7-1)))</f>
        <v>14</v>
      </c>
      <c r="D15" s="10" t="n">
        <f aca="false">IF(OR(B15="",C15="",C15=0),"",(B15-C15)/ABS(C15))</f>
        <v>-0.142857142857143</v>
      </c>
      <c r="E15" s="9" t="n">
        <f aca="false">IF(OR(Indicadores!A15="",Indicadores!D15=""),"",Indicadores!D15)</f>
        <v>20</v>
      </c>
      <c r="F15" s="10" t="n">
        <f aca="false">IF(OR(B15="",E15="",E15=0),"",(B15-E15)/ABS(E15))</f>
        <v>-0.4</v>
      </c>
      <c r="G15" s="11" t="str">
        <f aca="false">IF(OR(B15="",E15=""),"",IF(Indicadores!E15="Não",IF(B15&lt;=E15,"No alvo","Acima da meta"),IF(B15&gt;=E15,"No alvo","Abaixo da meta")))</f>
        <v>No alvo</v>
      </c>
      <c r="H15" s="9" t="n">
        <f aca="false">IF(Indicadores!A15="","",Indicadores!R15)</f>
        <v>173</v>
      </c>
      <c r="I15" s="11" t="str">
        <f aca="false">IF(Indicadores!A15="","",Indicadores!B15)</f>
        <v>h</v>
      </c>
      <c r="J15" s="12" t="n">
        <f aca="false">IF(F15="","",ABS(F15))</f>
        <v>0.4</v>
      </c>
    </row>
    <row r="16" customFormat="false" ht="15" hidden="false" customHeight="false" outlineLevel="0" collapsed="false">
      <c r="A16" s="8" t="str">
        <f aca="false">IF(Indicadores!A16="","",Indicadores!A16)</f>
        <v>Custo por lead</v>
      </c>
      <c r="B16" s="9" t="n">
        <f aca="false">IF(Indicadores!A16="","",IF(INDEX(Indicadores!$F16:$Q16,Config!$B$7)="","",INDEX(Indicadores!$F16:$Q16,Config!$B$7)))</f>
        <v>40.7</v>
      </c>
      <c r="C16" s="9" t="n">
        <f aca="false">IF(OR(Indicadores!A16="",Config!$B$7=1),"",IF(INDEX(Indicadores!$F16:$Q16,Config!$B$7-1)="","",INDEX(Indicadores!$F16:$Q16,Config!$B$7-1)))</f>
        <v>39.5</v>
      </c>
      <c r="D16" s="10" t="n">
        <f aca="false">IF(OR(B16="",C16="",C16=0),"",(B16-C16)/ABS(C16))</f>
        <v>0.0303797468354431</v>
      </c>
      <c r="E16" s="9" t="n">
        <f aca="false">IF(OR(Indicadores!A16="",Indicadores!D16=""),"",Indicadores!D16)</f>
        <v>45</v>
      </c>
      <c r="F16" s="10" t="n">
        <f aca="false">IF(OR(B16="",E16="",E16=0),"",(B16-E16)/ABS(E16))</f>
        <v>-0.0955555555555555</v>
      </c>
      <c r="G16" s="11" t="str">
        <f aca="false">IF(OR(B16="",E16=""),"",IF(Indicadores!E16="Não",IF(B16&lt;=E16,"No alvo","Acima da meta"),IF(B16&gt;=E16,"No alvo","Abaixo da meta")))</f>
        <v>No alvo</v>
      </c>
      <c r="H16" s="9" t="n">
        <f aca="false">IF(Indicadores!A16="","",Indicadores!R16)</f>
        <v>405.8</v>
      </c>
      <c r="I16" s="11" t="str">
        <f aca="false">IF(Indicadores!A16="","",Indicadores!B16)</f>
        <v>R$</v>
      </c>
      <c r="J16" s="12" t="n">
        <f aca="false">IF(F16="","",ABS(F16))</f>
        <v>0.0955555555555555</v>
      </c>
    </row>
    <row r="18" customFormat="false" ht="15" hidden="false" customHeight="false" outlineLevel="0" collapsed="false">
      <c r="A18" s="13" t="s">
        <v>34</v>
      </c>
      <c r="B18" s="14" t="str">
        <f aca="false">Indicadores!A5</f>
        <v>Receita</v>
      </c>
      <c r="C18" s="14"/>
      <c r="D18" s="14"/>
    </row>
    <row r="20" customFormat="false" ht="15" hidden="false" customHeight="false" outlineLevel="0" collapsed="false">
      <c r="A20" s="15" t="s">
        <v>35</v>
      </c>
    </row>
    <row r="37" customFormat="false" ht="15" hidden="false" customHeight="false" outlineLevel="0" collapsed="false">
      <c r="A37" s="12" t="s">
        <v>36</v>
      </c>
    </row>
    <row r="38" customFormat="false" ht="15" hidden="false" customHeight="false" outlineLevel="0" collapsed="false">
      <c r="A38" s="15" t="s">
        <v>26</v>
      </c>
      <c r="B38" s="15" t="s">
        <v>37</v>
      </c>
      <c r="C38" s="15" t="s">
        <v>38</v>
      </c>
      <c r="D38" s="15" t="s">
        <v>39</v>
      </c>
      <c r="E38" s="15" t="s">
        <v>40</v>
      </c>
      <c r="F38" s="15" t="s">
        <v>41</v>
      </c>
      <c r="G38" s="15" t="s">
        <v>42</v>
      </c>
      <c r="H38" s="15" t="s">
        <v>43</v>
      </c>
      <c r="I38" s="15" t="s">
        <v>44</v>
      </c>
      <c r="J38" s="15" t="s">
        <v>45</v>
      </c>
      <c r="K38" s="15" t="s">
        <v>46</v>
      </c>
      <c r="L38" s="15" t="s">
        <v>47</v>
      </c>
      <c r="M38" s="15" t="s">
        <v>48</v>
      </c>
    </row>
    <row r="39" customFormat="false" ht="15" hidden="false" customHeight="false" outlineLevel="0" collapsed="false">
      <c r="A39" s="15" t="s">
        <v>49</v>
      </c>
      <c r="B39" s="16" t="n">
        <f aca="false">IFERROR(IF(INDEX(Indicadores!$F$5:$Q$16,MATCH($B$18,Indicadores!$A$5:$A$16,0),1)="",NA(),INDEX(Indicadores!$F$5:$Q$16,MATCH($B$18,Indicadores!$A$5:$A$16,0),1)),NA())</f>
        <v>98500</v>
      </c>
      <c r="C39" s="16" t="n">
        <f aca="false">IFERROR(IF(INDEX(Indicadores!$F$5:$Q$16,MATCH($B$18,Indicadores!$A$5:$A$16,0),2)="",NA(),INDEX(Indicadores!$F$5:$Q$16,MATCH($B$18,Indicadores!$A$5:$A$16,0),2)),NA())</f>
        <v>101200</v>
      </c>
      <c r="D39" s="16" t="n">
        <f aca="false">IFERROR(IF(INDEX(Indicadores!$F$5:$Q$16,MATCH($B$18,Indicadores!$A$5:$A$16,0),3)="",NA(),INDEX(Indicadores!$F$5:$Q$16,MATCH($B$18,Indicadores!$A$5:$A$16,0),3)),NA())</f>
        <v>112400</v>
      </c>
      <c r="E39" s="16" t="n">
        <f aca="false">IFERROR(IF(INDEX(Indicadores!$F$5:$Q$16,MATCH($B$18,Indicadores!$A$5:$A$16,0),4)="",NA(),INDEX(Indicadores!$F$5:$Q$16,MATCH($B$18,Indicadores!$A$5:$A$16,0),4)),NA())</f>
        <v>109800</v>
      </c>
      <c r="F39" s="16" t="n">
        <f aca="false">IFERROR(IF(INDEX(Indicadores!$F$5:$Q$16,MATCH($B$18,Indicadores!$A$5:$A$16,0),5)="",NA(),INDEX(Indicadores!$F$5:$Q$16,MATCH($B$18,Indicadores!$A$5:$A$16,0),5)),NA())</f>
        <v>118300</v>
      </c>
      <c r="G39" s="16" t="n">
        <f aca="false">IFERROR(IF(INDEX(Indicadores!$F$5:$Q$16,MATCH($B$18,Indicadores!$A$5:$A$16,0),6)="",NA(),INDEX(Indicadores!$F$5:$Q$16,MATCH($B$18,Indicadores!$A$5:$A$16,0),6)),NA())</f>
        <v>121900</v>
      </c>
      <c r="H39" s="16" t="n">
        <f aca="false">IFERROR(IF(INDEX(Indicadores!$F$5:$Q$16,MATCH($B$18,Indicadores!$A$5:$A$16,0),7)="",NA(),INDEX(Indicadores!$F$5:$Q$16,MATCH($B$18,Indicadores!$A$5:$A$16,0),7)),NA())</f>
        <v>115700</v>
      </c>
      <c r="I39" s="16" t="n">
        <f aca="false">IFERROR(IF(INDEX(Indicadores!$F$5:$Q$16,MATCH($B$18,Indicadores!$A$5:$A$16,0),8)="",NA(),INDEX(Indicadores!$F$5:$Q$16,MATCH($B$18,Indicadores!$A$5:$A$16,0),8)),NA())</f>
        <v>124600</v>
      </c>
      <c r="J39" s="16" t="n">
        <f aca="false">IFERROR(IF(INDEX(Indicadores!$F$5:$Q$16,MATCH($B$18,Indicadores!$A$5:$A$16,0),9)="",NA(),INDEX(Indicadores!$F$5:$Q$16,MATCH($B$18,Indicadores!$A$5:$A$16,0),9)),NA())</f>
        <v>131200</v>
      </c>
      <c r="K39" s="15" t="e">
        <f aca="false">IFERROR(IF(INDEX(Indicadores!$F$5:$Q$16,MATCH($B$18,Indicadores!$A$5:$A$16,0),10)="",NA(),INDEX(Indicadores!$F$5:$Q$16,MATCH($B$18,Indicadores!$A$5:$A$16,0),10)),NA())</f>
        <v>#N/A</v>
      </c>
      <c r="L39" s="15" t="e">
        <f aca="false">IFERROR(IF(INDEX(Indicadores!$F$5:$Q$16,MATCH($B$18,Indicadores!$A$5:$A$16,0),11)="",NA(),INDEX(Indicadores!$F$5:$Q$16,MATCH($B$18,Indicadores!$A$5:$A$16,0),11)),NA())</f>
        <v>#N/A</v>
      </c>
      <c r="M39" s="15" t="e">
        <f aca="false">IFERROR(IF(INDEX(Indicadores!$F$5:$Q$16,MATCH($B$18,Indicadores!$A$5:$A$16,0),12)="",NA(),INDEX(Indicadores!$F$5:$Q$16,MATCH($B$18,Indicadores!$A$5:$A$16,0),12)),NA())</f>
        <v>#N/A</v>
      </c>
    </row>
    <row r="40" customFormat="false" ht="15" hidden="false" customHeight="false" outlineLevel="0" collapsed="false">
      <c r="A40" s="15" t="s">
        <v>29</v>
      </c>
      <c r="B40" s="15" t="n">
        <f aca="false">IFERROR(INDEX(Indicadores!$D$5:$D$16,MATCH($B$18,Indicadores!$A$5:$A$16,0)),NA())</f>
        <v>120000</v>
      </c>
      <c r="C40" s="15" t="n">
        <f aca="false">IFERROR(INDEX(Indicadores!$D$5:$D$16,MATCH($B$18,Indicadores!$A$5:$A$16,0)),NA())</f>
        <v>120000</v>
      </c>
      <c r="D40" s="15" t="n">
        <f aca="false">IFERROR(INDEX(Indicadores!$D$5:$D$16,MATCH($B$18,Indicadores!$A$5:$A$16,0)),NA())</f>
        <v>120000</v>
      </c>
      <c r="E40" s="15" t="n">
        <f aca="false">IFERROR(INDEX(Indicadores!$D$5:$D$16,MATCH($B$18,Indicadores!$A$5:$A$16,0)),NA())</f>
        <v>120000</v>
      </c>
      <c r="F40" s="15" t="n">
        <f aca="false">IFERROR(INDEX(Indicadores!$D$5:$D$16,MATCH($B$18,Indicadores!$A$5:$A$16,0)),NA())</f>
        <v>120000</v>
      </c>
      <c r="G40" s="15" t="n">
        <f aca="false">IFERROR(INDEX(Indicadores!$D$5:$D$16,MATCH($B$18,Indicadores!$A$5:$A$16,0)),NA())</f>
        <v>120000</v>
      </c>
      <c r="H40" s="15" t="n">
        <f aca="false">IFERROR(INDEX(Indicadores!$D$5:$D$16,MATCH($B$18,Indicadores!$A$5:$A$16,0)),NA())</f>
        <v>120000</v>
      </c>
      <c r="I40" s="15" t="n">
        <f aca="false">IFERROR(INDEX(Indicadores!$D$5:$D$16,MATCH($B$18,Indicadores!$A$5:$A$16,0)),NA())</f>
        <v>120000</v>
      </c>
      <c r="J40" s="15" t="n">
        <f aca="false">IFERROR(INDEX(Indicadores!$D$5:$D$16,MATCH($B$18,Indicadores!$A$5:$A$16,0)),NA())</f>
        <v>120000</v>
      </c>
      <c r="K40" s="15" t="n">
        <f aca="false">IFERROR(INDEX(Indicadores!$D$5:$D$16,MATCH($B$18,Indicadores!$A$5:$A$16,0)),NA())</f>
        <v>120000</v>
      </c>
      <c r="L40" s="15" t="n">
        <f aca="false">IFERROR(INDEX(Indicadores!$D$5:$D$16,MATCH($B$18,Indicadores!$A$5:$A$16,0)),NA())</f>
        <v>120000</v>
      </c>
      <c r="M40" s="15" t="n">
        <f aca="false">IFERROR(INDEX(Indicadores!$D$5:$D$16,MATCH($B$18,Indicadores!$A$5:$A$16,0)),NA())</f>
        <v>120000</v>
      </c>
    </row>
  </sheetData>
  <sheetProtection sheet="true" formatColumns="false" formatRows="false"/>
  <mergeCells count="3">
    <mergeCell ref="A1:I1"/>
    <mergeCell ref="A2:I2"/>
    <mergeCell ref="B18:D18"/>
  </mergeCells>
  <conditionalFormatting sqref="A5:I16">
    <cfRule type="expression" priority="2" aboveAverage="0" equalAverage="0" bottom="0" percent="0" rank="0" text="" dxfId="0">
      <formula>OR($G5="Abaixo da meta",$G5="Acima da meta")</formula>
    </cfRule>
    <cfRule type="expression" priority="3" aboveAverage="0" equalAverage="0" bottom="0" percent="0" rank="0" text="" dxfId="1">
      <formula>$G5="No alvo"</formula>
    </cfRule>
  </conditionalFormatting>
  <dataValidations count="1">
    <dataValidation allowBlank="false" errorStyle="stop" operator="between" showDropDown="false" showErrorMessage="false" showInputMessage="false" sqref="B18" type="list">
      <formula1>Indicadores!$A$5:$A$16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30"/>
  </cols>
  <sheetData>
    <row r="1" customFormat="false" ht="19.7" hidden="false" customHeight="false" outlineLevel="0" collapsed="false">
      <c r="A1" s="17" t="s">
        <v>50</v>
      </c>
    </row>
    <row r="2" customFormat="false" ht="15" hidden="false" customHeight="false" outlineLevel="0" collapsed="false">
      <c r="A2" s="6" t="s">
        <v>51</v>
      </c>
      <c r="B2" s="6"/>
      <c r="C2" s="6"/>
      <c r="D2" s="6"/>
    </row>
    <row r="4" customFormat="false" ht="15" hidden="false" customHeight="false" outlineLevel="0" collapsed="false">
      <c r="A4" s="18" t="str">
        <f aca="false">"Relatório de "&amp;Config!B6&amp;" de "&amp;Config!B5&amp;" · "&amp;Config!B4</f>
        <v>Relatório de Setembro de 2026 · Prisma Comunicação (exemplo fictício)</v>
      </c>
      <c r="B4" s="18"/>
      <c r="C4" s="18"/>
      <c r="D4" s="18"/>
    </row>
    <row r="6" customFormat="false" ht="15" hidden="false" customHeight="false" outlineLevel="0" collapsed="false">
      <c r="A6" s="19" t="str">
        <f aca="false">IF(OR(Indicadores!A5="",Painel!B5=""),"","• "&amp;Indicadores!A5&amp;": "&amp;IF(Indicadores!B5="R$","R$ ","")&amp;FIXED(Painel!B5,IF(Indicadores!C5="",0,Indicadores!C5))&amp;IF(OR(Indicadores!B5="R$",Indicadores!B5=""),""," "&amp;Indicadores!B5)&amp;IF(Painel!C5&lt;&gt;"",IF(Painel!D5&gt;=0," (+"," (")&amp;FIXED(Painel!D5*100,0)&amp;"% em relação a "&amp;Config!$B$8&amp;")","")&amp;IF(Painel!E5&lt;&gt;"","; meta "&amp;IF(Indicadores!B5="R$","R$ ","")&amp;FIXED(Painel!E5,IF(Indicadores!C5="",0,Indicadores!C5))&amp;IF(OR(Indicadores!B5="R$",Indicadores!B5=""),""," "&amp;Indicadores!B5)&amp;", "&amp;LOWER(Painel!G5),"")&amp;".")</f>
        <v>• Receita: R$ 131,200 (+5% em relação a Agosto); meta R$ 120,000, no alvo.</v>
      </c>
      <c r="B6" s="19"/>
      <c r="C6" s="19"/>
      <c r="D6" s="19"/>
    </row>
    <row r="7" customFormat="false" ht="15" hidden="false" customHeight="false" outlineLevel="0" collapsed="false">
      <c r="A7" s="19" t="str">
        <f aca="false">IF(OR(Indicadores!A6="",Painel!B6=""),"","• "&amp;Indicadores!A6&amp;": "&amp;IF(Indicadores!B6="R$","R$ ","")&amp;FIXED(Painel!B6,IF(Indicadores!C6="",0,Indicadores!C6))&amp;IF(OR(Indicadores!B6="R$",Indicadores!B6=""),""," "&amp;Indicadores!B6)&amp;IF(Painel!C6&lt;&gt;"",IF(Painel!D6&gt;=0," (+"," (")&amp;FIXED(Painel!D6*100,0)&amp;"% em relação a "&amp;Config!$B$8&amp;")","")&amp;IF(Painel!E6&lt;&gt;"","; meta "&amp;IF(Indicadores!B6="R$","R$ ","")&amp;FIXED(Painel!E6,IF(Indicadores!C6="",0,Indicadores!C6))&amp;IF(OR(Indicadores!B6="R$",Indicadores!B6=""),""," "&amp;Indicadores!B6)&amp;", "&amp;LOWER(Painel!G6),"")&amp;".")</f>
        <v>• Despesas: R$ 89,800 (+3% em relação a Agosto); meta R$ 85,000, acima da meta.</v>
      </c>
      <c r="B7" s="19"/>
      <c r="C7" s="19"/>
      <c r="D7" s="19"/>
    </row>
    <row r="8" customFormat="false" ht="15" hidden="false" customHeight="false" outlineLevel="0" collapsed="false">
      <c r="A8" s="19" t="str">
        <f aca="false">IF(OR(Indicadores!A7="",Painel!B7=""),"","• "&amp;Indicadores!A7&amp;": "&amp;IF(Indicadores!B7="R$","R$ ","")&amp;FIXED(Painel!B7,IF(Indicadores!C7="",0,Indicadores!C7))&amp;IF(OR(Indicadores!B7="R$",Indicadores!B7=""),""," "&amp;Indicadores!B7)&amp;IF(Painel!C7&lt;&gt;"",IF(Painel!D7&gt;=0," (+"," (")&amp;FIXED(Painel!D7*100,0)&amp;"% em relação a "&amp;Config!$B$8&amp;")","")&amp;IF(Painel!E7&lt;&gt;"","; meta "&amp;IF(Indicadores!B7="R$","R$ ","")&amp;FIXED(Painel!E7,IF(Indicadores!C7="",0,Indicadores!C7))&amp;IF(OR(Indicadores!B7="R$",Indicadores!B7=""),""," "&amp;Indicadores!B7)&amp;", "&amp;LOWER(Painel!G7),"")&amp;".")</f>
        <v>• Resultado (receita - despesas): R$ 41,400 (+11% em relação a Agosto); meta R$ 35,000, no alvo.</v>
      </c>
      <c r="B8" s="19"/>
      <c r="C8" s="19"/>
      <c r="D8" s="19"/>
    </row>
    <row r="9" customFormat="false" ht="15" hidden="false" customHeight="false" outlineLevel="0" collapsed="false">
      <c r="A9" s="19" t="str">
        <f aca="false">IF(OR(Indicadores!A8="",Painel!B8=""),"","• "&amp;Indicadores!A8&amp;": "&amp;IF(Indicadores!B8="R$","R$ ","")&amp;FIXED(Painel!B8,IF(Indicadores!C8="",0,Indicadores!C8))&amp;IF(OR(Indicadores!B8="R$",Indicadores!B8=""),""," "&amp;Indicadores!B8)&amp;IF(Painel!C8&lt;&gt;"",IF(Painel!D8&gt;=0," (+"," (")&amp;FIXED(Painel!D8*100,0)&amp;"% em relação a "&amp;Config!$B$8&amp;")","")&amp;IF(Painel!E8&lt;&gt;"","; meta "&amp;IF(Indicadores!B8="R$","R$ ","")&amp;FIXED(Painel!E8,IF(Indicadores!C8="",0,Indicadores!C8))&amp;IF(OR(Indicadores!B8="R$",Indicadores!B8=""),""," "&amp;Indicadores!B8)&amp;", "&amp;LOWER(Painel!G8),"")&amp;".")</f>
        <v>• Novos clientes: 6 un (-14% em relação a Agosto); meta 6 un, no alvo.</v>
      </c>
      <c r="B9" s="19"/>
      <c r="C9" s="19"/>
      <c r="D9" s="19"/>
    </row>
    <row r="10" customFormat="false" ht="15" hidden="false" customHeight="false" outlineLevel="0" collapsed="false">
      <c r="A10" s="19" t="str">
        <f aca="false">IF(OR(Indicadores!A9="",Painel!B9=""),"","• "&amp;Indicadores!A9&amp;": "&amp;IF(Indicadores!B9="R$","R$ ","")&amp;FIXED(Painel!B9,IF(Indicadores!C9="",0,Indicadores!C9))&amp;IF(OR(Indicadores!B9="R$",Indicadores!B9=""),""," "&amp;Indicadores!B9)&amp;IF(Painel!C9&lt;&gt;"",IF(Painel!D9&gt;=0," (+"," (")&amp;FIXED(Painel!D9*100,0)&amp;"% em relação a "&amp;Config!$B$8&amp;")","")&amp;IF(Painel!E9&lt;&gt;"","; meta "&amp;IF(Indicadores!B9="R$","R$ ","")&amp;FIXED(Painel!E9,IF(Indicadores!C9="",0,Indicadores!C9))&amp;IF(OR(Indicadores!B9="R$",Indicadores!B9=""),""," "&amp;Indicadores!B9)&amp;", "&amp;LOWER(Painel!G9),"")&amp;".")</f>
        <v>• Leads recebidos: 137 un (-4% em relação a Agosto); meta 120 un, no alvo.</v>
      </c>
      <c r="B10" s="19"/>
      <c r="C10" s="19"/>
      <c r="D10" s="19"/>
    </row>
    <row r="11" customFormat="false" ht="15" hidden="false" customHeight="false" outlineLevel="0" collapsed="false">
      <c r="A11" s="19" t="str">
        <f aca="false">IF(OR(Indicadores!A10="",Painel!B10=""),"","• "&amp;Indicadores!A10&amp;": "&amp;IF(Indicadores!B10="R$","R$ ","")&amp;FIXED(Painel!B10,IF(Indicadores!C10="",0,Indicadores!C10))&amp;IF(OR(Indicadores!B10="R$",Indicadores!B10=""),""," "&amp;Indicadores!B10)&amp;IF(Painel!C10&lt;&gt;"",IF(Painel!D10&gt;=0," (+"," (")&amp;FIXED(Painel!D10*100,0)&amp;"% em relação a "&amp;Config!$B$8&amp;")","")&amp;IF(Painel!E10&lt;&gt;"","; meta "&amp;IF(Indicadores!B10="R$","R$ ","")&amp;FIXED(Painel!E10,IF(Indicadores!C10="",0,Indicadores!C10))&amp;IF(OR(Indicadores!B10="R$",Indicadores!B10=""),""," "&amp;Indicadores!B10)&amp;", "&amp;LOWER(Painel!G10),"")&amp;".")</f>
        <v>• Taxa de conversão de leads: 4.4 % (-10% em relação a Agosto); meta 5.0 %, abaixo da meta.</v>
      </c>
      <c r="B11" s="19"/>
      <c r="C11" s="19"/>
      <c r="D11" s="19"/>
    </row>
    <row r="12" customFormat="false" ht="15" hidden="false" customHeight="false" outlineLevel="0" collapsed="false">
      <c r="A12" s="19" t="str">
        <f aca="false">IF(OR(Indicadores!A11="",Painel!B11=""),"","• "&amp;Indicadores!A11&amp;": "&amp;IF(Indicadores!B11="R$","R$ ","")&amp;FIXED(Painel!B11,IF(Indicadores!C11="",0,Indicadores!C11))&amp;IF(OR(Indicadores!B11="R$",Indicadores!B11=""),""," "&amp;Indicadores!B11)&amp;IF(Painel!C11&lt;&gt;"",IF(Painel!D11&gt;=0," (+"," (")&amp;FIXED(Painel!D11*100,0)&amp;"% em relação a "&amp;Config!$B$8&amp;")","")&amp;IF(Painel!E11&lt;&gt;"","; meta "&amp;IF(Indicadores!B11="R$","R$ ","")&amp;FIXED(Painel!E11,IF(Indicadores!C11="",0,Indicadores!C11))&amp;IF(OR(Indicadores!B11="R$",Indicadores!B11=""),""," "&amp;Indicadores!B11)&amp;", "&amp;LOWER(Painel!G11),"")&amp;".")</f>
        <v>• Ticket médio: R$ 9,700 (+3% em relação a Agosto); meta R$ 9,000, no alvo.</v>
      </c>
      <c r="B12" s="19"/>
      <c r="C12" s="19"/>
      <c r="D12" s="19"/>
    </row>
    <row r="13" customFormat="false" ht="15" hidden="false" customHeight="false" outlineLevel="0" collapsed="false">
      <c r="A13" s="19" t="str">
        <f aca="false">IF(OR(Indicadores!A12="",Painel!B12=""),"","• "&amp;Indicadores!A12&amp;": "&amp;IF(Indicadores!B12="R$","R$ ","")&amp;FIXED(Painel!B12,IF(Indicadores!C12="",0,Indicadores!C12))&amp;IF(OR(Indicadores!B12="R$",Indicadores!B12=""),""," "&amp;Indicadores!B12)&amp;IF(Painel!C12&lt;&gt;"",IF(Painel!D12&gt;=0," (+"," (")&amp;FIXED(Painel!D12*100,0)&amp;"% em relação a "&amp;Config!$B$8&amp;")","")&amp;IF(Painel!E12&lt;&gt;"","; meta "&amp;IF(Indicadores!B12="R$","R$ ","")&amp;FIXED(Painel!E12,IF(Indicadores!C12="",0,Indicadores!C12))&amp;IF(OR(Indicadores!B12="R$",Indicadores!B12=""),""," "&amp;Indicadores!B12)&amp;", "&amp;LOWER(Painel!G12),"")&amp;".")</f>
        <v>• Inadimplência: 2.4 % (-8% em relação a Agosto); meta 3.0 %, no alvo.</v>
      </c>
      <c r="B13" s="19"/>
      <c r="C13" s="19"/>
      <c r="D13" s="19"/>
    </row>
    <row r="14" customFormat="false" ht="15" hidden="false" customHeight="false" outlineLevel="0" collapsed="false">
      <c r="A14" s="19" t="str">
        <f aca="false">IF(OR(Indicadores!A13="",Painel!B13=""),"","• "&amp;Indicadores!A13&amp;": "&amp;IF(Indicadores!B13="R$","R$ ","")&amp;FIXED(Painel!B13,IF(Indicadores!C13="",0,Indicadores!C13))&amp;IF(OR(Indicadores!B13="R$",Indicadores!B13=""),""," "&amp;Indicadores!B13)&amp;IF(Painel!C13&lt;&gt;"",IF(Painel!D13&gt;=0," (+"," (")&amp;FIXED(Painel!D13*100,0)&amp;"% em relação a "&amp;Config!$B$8&amp;")","")&amp;IF(Painel!E13&lt;&gt;"","; meta "&amp;IF(Indicadores!B13="R$","R$ ","")&amp;FIXED(Painel!E13,IF(Indicadores!C13="",0,Indicadores!C13))&amp;IF(OR(Indicadores!B13="R$",Indicadores!B13=""),""," "&amp;Indicadores!B13)&amp;", "&amp;LOWER(Painel!G13),"")&amp;".")</f>
        <v>• Atendimentos realizados: 63 un (-5% em relação a Agosto); meta 60 un, no alvo.</v>
      </c>
      <c r="B14" s="19"/>
      <c r="C14" s="19"/>
      <c r="D14" s="19"/>
    </row>
    <row r="15" customFormat="false" ht="15" hidden="false" customHeight="false" outlineLevel="0" collapsed="false">
      <c r="A15" s="19" t="str">
        <f aca="false">IF(OR(Indicadores!A14="",Painel!B14=""),"","• "&amp;Indicadores!A14&amp;": "&amp;IF(Indicadores!B14="R$","R$ ","")&amp;FIXED(Painel!B14,IF(Indicadores!C14="",0,Indicadores!C14))&amp;IF(OR(Indicadores!B14="R$",Indicadores!B14=""),""," "&amp;Indicadores!B14)&amp;IF(Painel!C14&lt;&gt;"",IF(Painel!D14&gt;=0," (+"," (")&amp;FIXED(Painel!D14*100,0)&amp;"% em relação a "&amp;Config!$B$8&amp;")","")&amp;IF(Painel!E14&lt;&gt;"","; meta "&amp;IF(Indicadores!B14="R$","R$ ","")&amp;FIXED(Painel!E14,IF(Indicadores!C14="",0,Indicadores!C14))&amp;IF(OR(Indicadores!B14="R$",Indicadores!B14=""),""," "&amp;Indicadores!B14)&amp;", "&amp;LOWER(Painel!G14),"")&amp;".")</f>
        <v>• NPS: 72 pts (-1% em relação a Agosto); meta 70 pts, no alvo.</v>
      </c>
      <c r="B15" s="19"/>
      <c r="C15" s="19"/>
      <c r="D15" s="19"/>
    </row>
    <row r="16" customFormat="false" ht="15" hidden="false" customHeight="false" outlineLevel="0" collapsed="false">
      <c r="A16" s="19" t="str">
        <f aca="false">IF(OR(Indicadores!A15="",Painel!B15=""),"","• "&amp;Indicadores!A15&amp;": "&amp;IF(Indicadores!B15="R$","R$ ","")&amp;FIXED(Painel!B15,IF(Indicadores!C15="",0,Indicadores!C15))&amp;IF(OR(Indicadores!B15="R$",Indicadores!B15=""),""," "&amp;Indicadores!B15)&amp;IF(Painel!C15&lt;&gt;"",IF(Painel!D15&gt;=0," (+"," (")&amp;FIXED(Painel!D15*100,0)&amp;"% em relação a "&amp;Config!$B$8&amp;")","")&amp;IF(Painel!E15&lt;&gt;"","; meta "&amp;IF(Indicadores!B15="R$","R$ ","")&amp;FIXED(Painel!E15,IF(Indicadores!C15="",0,Indicadores!C15))&amp;IF(OR(Indicadores!B15="R$",Indicadores!B15=""),""," "&amp;Indicadores!B15)&amp;", "&amp;LOWER(Painel!G15),"")&amp;".")</f>
        <v>• Horas extras da equipe: 12 h (-14% em relação a Agosto); meta 20 h, no alvo.</v>
      </c>
      <c r="B16" s="19"/>
      <c r="C16" s="19"/>
      <c r="D16" s="19"/>
    </row>
    <row r="17" customFormat="false" ht="15" hidden="false" customHeight="false" outlineLevel="0" collapsed="false">
      <c r="A17" s="19" t="str">
        <f aca="false">IF(OR(Indicadores!A16="",Painel!B16=""),"","• "&amp;Indicadores!A16&amp;": "&amp;IF(Indicadores!B16="R$","R$ ","")&amp;FIXED(Painel!B16,IF(Indicadores!C16="",0,Indicadores!C16))&amp;IF(OR(Indicadores!B16="R$",Indicadores!B16=""),""," "&amp;Indicadores!B16)&amp;IF(Painel!C16&lt;&gt;"",IF(Painel!D16&gt;=0," (+"," (")&amp;FIXED(Painel!D16*100,0)&amp;"% em relação a "&amp;Config!$B$8&amp;")","")&amp;IF(Painel!E16&lt;&gt;"","; meta "&amp;IF(Indicadores!B16="R$","R$ ","")&amp;FIXED(Painel!E16,IF(Indicadores!C16="",0,Indicadores!C16))&amp;IF(OR(Indicadores!B16="R$",Indicadores!B16=""),""," "&amp;Indicadores!B16)&amp;", "&amp;LOWER(Painel!G16),"")&amp;".")</f>
        <v>• Custo por lead: R$ 40.70 (+3% em relação a Agosto); meta R$ 45.00, no alvo.</v>
      </c>
      <c r="B17" s="19"/>
      <c r="C17" s="19"/>
      <c r="D17" s="19"/>
    </row>
    <row r="19" customFormat="false" ht="15" hidden="false" customHeight="false" outlineLevel="0" collapsed="false">
      <c r="A19" s="13" t="s">
        <v>52</v>
      </c>
    </row>
    <row r="20" customFormat="false" ht="15" hidden="false" customHeight="false" outlineLevel="0" collapsed="false">
      <c r="A20" s="19" t="str">
        <f aca="false">IFERROR("• Maior alta contra o mês anterior: "&amp;INDEX(Painel!$A$5:$A$16,MATCH(MAX(Painel!$D$5:$D$16),Painel!$D$5:$D$16,0))&amp;" ("&amp;IF(MAX(Painel!$D$5:$D$16)&gt;=0,"+","")&amp;FIXED(MAX(Painel!$D$5:$D$16)*100,0)&amp;"%).","• Maior alta: preencha ao menos dois meses.")</f>
        <v>• Maior alta contra o mês anterior: Resultado (receita - despesas) (+11%).</v>
      </c>
      <c r="B20" s="19"/>
      <c r="C20" s="19"/>
      <c r="D20" s="19"/>
    </row>
    <row r="21" customFormat="false" ht="15" hidden="false" customHeight="false" outlineLevel="0" collapsed="false">
      <c r="A21" s="19" t="str">
        <f aca="false">IFERROR("• Maior queda contra o mês anterior: "&amp;INDEX(Painel!$A$5:$A$16,MATCH(MIN(Painel!$D$5:$D$16),Painel!$D$5:$D$16,0))&amp;" ("&amp;FIXED(MIN(Painel!$D$5:$D$16)*100,0)&amp;"%).","")</f>
        <v>• Maior queda contra o mês anterior: Novos clientes (-14%).</v>
      </c>
      <c r="B21" s="19"/>
      <c r="C21" s="19"/>
      <c r="D21" s="19"/>
    </row>
    <row r="22" customFormat="false" ht="15" hidden="false" customHeight="false" outlineLevel="0" collapsed="false">
      <c r="A22" s="19" t="str">
        <f aca="false">IFERROR("• Mais longe da meta: "&amp;INDEX(Painel!$A$5:$A$16,MATCH(MAX(Painel!$J$5:$J$16),Painel!$J$5:$J$16,0))&amp;" ("&amp;IF(INDEX(Painel!$F$5:$F$16,MATCH(MAX(Painel!$J$5:$J$16),Painel!$J$5:$J$16,0))&gt;=0,"+","")&amp;FIXED(INDEX(Painel!$F$5:$F$16,MATCH(MAX(Painel!$J$5:$J$16),Painel!$J$5:$J$16,0))*100,0)&amp;"% da meta).","")</f>
        <v>• Mais longe da meta: Horas extras da equipe (-40% da meta).</v>
      </c>
      <c r="B22" s="19"/>
      <c r="C22" s="19"/>
      <c r="D22" s="19"/>
    </row>
    <row r="23" customFormat="false" ht="15" hidden="false" customHeight="false" outlineLevel="0" collapsed="false">
      <c r="A23" s="19" t="str">
        <f aca="false">IFERROR("• Indicadores no alvo: "&amp;COUNTIF(Painel!$G$5:$G$16,"No alvo")&amp;" de "&amp;COUNTIF(Painel!$G$5:$G$16,"&lt;&gt;")&amp;".","")</f>
        <v>• Indicadores no alvo: 10 de 12.</v>
      </c>
      <c r="B23" s="19"/>
      <c r="C23" s="19"/>
      <c r="D23" s="19"/>
    </row>
    <row r="25" customFormat="false" ht="15" hidden="false" customHeight="false" outlineLevel="0" collapsed="false">
      <c r="A25" s="13" t="s">
        <v>53</v>
      </c>
    </row>
    <row r="26" customFormat="false" ht="300" hidden="false" customHeight="true" outlineLevel="0" collapsed="false">
      <c r="A26" s="20" t="str">
        <f aca="false">A4&amp;CHAR(10)&amp;IF(A6="","",A6&amp;CHAR(10)) &amp; IF(A7="","",A7&amp;CHAR(10)) &amp; IF(A8="","",A8&amp;CHAR(10)) &amp; IF(A9="","",A9&amp;CHAR(10)) &amp; IF(A10="","",A10&amp;CHAR(10)) &amp; IF(A11="","",A11&amp;CHAR(10)) &amp; IF(A12="","",A12&amp;CHAR(10)) &amp; IF(A13="","",A13&amp;CHAR(10)) &amp; IF(A14="","",A14&amp;CHAR(10)) &amp; IF(A15="","",A15&amp;CHAR(10)) &amp; IF(A16="","",A16&amp;CHAR(10)) &amp; IF(A17="","",A17&amp;CHAR(10))&amp;CHAR(10)&amp;A20&amp;CHAR(10)&amp;A21&amp;CHAR(10)&amp;A22&amp;CHAR(10)&amp;A23</f>
        <v>Relatório de Setembro de 2026 · Prisma Comunicação (exemplo fictício)
• Receita: R$ 131,200 (+5% em relação a Agosto); meta R$ 120,000, no alvo.
• Despesas: R$ 89,800 (+3% em relação a Agosto); meta R$ 85,000, acima da meta.
• Resultado (receita - despesas): R$ 41,400 (+11% em relação a Agosto); meta R$ 35,000, no alvo.
• Novos clientes: 6 un (-14% em relação a Agosto); meta 6 un, no alvo.
• Leads recebidos: 137 un (-4% em relação a Agosto); meta 120 un, no alvo.
• Taxa de conversão de leads: 4.4 % (-10% em relação a Agosto); meta 5.0 %, abaixo da meta.
• Ticket médio: R$ 9,700 (+3% em relação a Agosto); meta R$ 9,000, no alvo.
• Inadimplência: 2.4 % (-8% em relação a Agosto); meta 3.0 %, no alvo.
• Atendimentos realizados: 63 un (-5% em relação a Agosto); meta 60 un, no alvo.
• NPS: 72 pts (-1% em relação a Agosto); meta 70 pts, no alvo.
• Horas extras da equipe: 12 h (-14% em relação a Agosto); meta 20 h, no alvo.
• Custo por lead: R$ 40.70 (+3% em relação a Agosto); meta R$ 45.00, no alvo.
• Maior alta contra o mês anterior: Resultado (receita - despesas) (+11%).
• Maior queda contra o mês anterior: Novos clientes (-14%).
• Mais longe da meta: Horas extras da equipe (-40% da meta).
• Indicadores no alvo: 10 de 12.</v>
      </c>
      <c r="B26" s="20"/>
      <c r="C26" s="20"/>
      <c r="D26" s="20"/>
    </row>
    <row r="28" customFormat="false" ht="15" hidden="false" customHeight="false" outlineLevel="0" collapsed="false">
      <c r="A28" s="21" t="s">
        <v>54</v>
      </c>
      <c r="B28" s="21"/>
      <c r="C28" s="21"/>
      <c r="D28" s="21"/>
    </row>
  </sheetData>
  <sheetProtection sheet="true" formatColumns="false" formatRows="false"/>
  <mergeCells count="20">
    <mergeCell ref="A2:D2"/>
    <mergeCell ref="A4:D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20:D20"/>
    <mergeCell ref="A21:D21"/>
    <mergeCell ref="A22:D22"/>
    <mergeCell ref="A23:D23"/>
    <mergeCell ref="A26:D26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7" t="s">
        <v>55</v>
      </c>
    </row>
    <row r="2" customFormat="false" ht="15" hidden="false" customHeight="false" outlineLevel="0" collapsed="false">
      <c r="A2" s="22" t="s">
        <v>56</v>
      </c>
    </row>
    <row r="4" customFormat="false" ht="15" hidden="false" customHeight="false" outlineLevel="0" collapsed="false">
      <c r="A4" s="13" t="s">
        <v>57</v>
      </c>
      <c r="B4" s="14" t="s">
        <v>58</v>
      </c>
      <c r="D4" s="13" t="s">
        <v>59</v>
      </c>
    </row>
    <row r="5" customFormat="false" ht="15" hidden="false" customHeight="false" outlineLevel="0" collapsed="false">
      <c r="A5" s="13" t="s">
        <v>60</v>
      </c>
      <c r="B5" s="14" t="n">
        <v>2026</v>
      </c>
      <c r="D5" s="23" t="s">
        <v>61</v>
      </c>
    </row>
    <row r="6" customFormat="false" ht="15" hidden="false" customHeight="false" outlineLevel="0" collapsed="false">
      <c r="A6" s="13" t="s">
        <v>62</v>
      </c>
      <c r="B6" s="14" t="s">
        <v>63</v>
      </c>
      <c r="D6" s="23" t="s">
        <v>64</v>
      </c>
    </row>
    <row r="7" customFormat="false" ht="15" hidden="false" customHeight="false" outlineLevel="0" collapsed="false">
      <c r="A7" s="13" t="s">
        <v>65</v>
      </c>
      <c r="B7" s="24" t="n">
        <f aca="false">MATCH(B6,Config!$D$5:$D$16,0)</f>
        <v>9</v>
      </c>
      <c r="D7" s="23" t="s">
        <v>66</v>
      </c>
    </row>
    <row r="8" customFormat="false" ht="15" hidden="false" customHeight="false" outlineLevel="0" collapsed="false">
      <c r="A8" s="13" t="s">
        <v>27</v>
      </c>
      <c r="B8" s="24" t="str">
        <f aca="false">IF(B7&gt;1,INDEX($D$5:$D$16,B7-1),"")</f>
        <v>Agosto</v>
      </c>
      <c r="D8" s="23" t="s">
        <v>67</v>
      </c>
    </row>
    <row r="9" customFormat="false" ht="15" hidden="false" customHeight="false" outlineLevel="0" collapsed="false">
      <c r="D9" s="23" t="s">
        <v>68</v>
      </c>
    </row>
    <row r="10" customFormat="false" ht="15" hidden="false" customHeight="false" outlineLevel="0" collapsed="false">
      <c r="A10" s="2" t="s">
        <v>69</v>
      </c>
      <c r="D10" s="23" t="s">
        <v>70</v>
      </c>
    </row>
    <row r="11" customFormat="false" ht="15" hidden="false" customHeight="false" outlineLevel="0" collapsed="false">
      <c r="D11" s="23" t="s">
        <v>71</v>
      </c>
    </row>
    <row r="12" customFormat="false" ht="15" hidden="false" customHeight="false" outlineLevel="0" collapsed="false">
      <c r="D12" s="23" t="s">
        <v>72</v>
      </c>
    </row>
    <row r="13" customFormat="false" ht="15" hidden="false" customHeight="false" outlineLevel="0" collapsed="false">
      <c r="D13" s="23" t="s">
        <v>63</v>
      </c>
    </row>
    <row r="14" customFormat="false" ht="15" hidden="false" customHeight="false" outlineLevel="0" collapsed="false">
      <c r="D14" s="23" t="s">
        <v>73</v>
      </c>
    </row>
    <row r="15" customFormat="false" ht="15" hidden="false" customHeight="false" outlineLevel="0" collapsed="false">
      <c r="D15" s="23" t="s">
        <v>74</v>
      </c>
    </row>
    <row r="16" customFormat="false" ht="15" hidden="false" customHeight="false" outlineLevel="0" collapsed="false">
      <c r="D16" s="23" t="s">
        <v>75</v>
      </c>
    </row>
  </sheetData>
  <sheetProtection sheet="true" formatColumns="false" formatRows="false"/>
  <dataValidations count="1">
    <dataValidation allowBlank="false" errorStyle="stop" operator="between" showDropDown="false" showErrorMessage="false" showInputMessage="false" sqref="B6" type="list">
      <formula1>Config!$D$5:$D$16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17" min="5" style="0" width="10"/>
    <col collapsed="false" customWidth="true" hidden="false" outlineLevel="0" max="18" min="18" style="0" width="12"/>
    <col collapsed="false" customWidth="true" hidden="false" outlineLevel="0" max="19" min="19" style="0" width="10"/>
  </cols>
  <sheetData>
    <row r="1" customFormat="false" ht="19.7" hidden="false" customHeight="false" outlineLevel="0" collapsed="false">
      <c r="A1" s="17" t="s">
        <v>76</v>
      </c>
    </row>
    <row r="2" customFormat="false" ht="15" hidden="false" customHeight="false" outlineLevel="0" collapsed="false">
      <c r="A2" s="6" t="s">
        <v>77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customFormat="false" ht="30" hidden="false" customHeight="true" outlineLevel="0" collapsed="false">
      <c r="A4" s="7" t="s">
        <v>25</v>
      </c>
      <c r="B4" s="7" t="s">
        <v>33</v>
      </c>
      <c r="C4" s="7" t="s">
        <v>78</v>
      </c>
      <c r="D4" s="7" t="s">
        <v>79</v>
      </c>
      <c r="E4" s="7" t="s">
        <v>80</v>
      </c>
      <c r="F4" s="7" t="s">
        <v>37</v>
      </c>
      <c r="G4" s="7" t="s">
        <v>38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47</v>
      </c>
      <c r="Q4" s="7" t="s">
        <v>48</v>
      </c>
      <c r="R4" s="7" t="s">
        <v>32</v>
      </c>
      <c r="S4" s="7" t="s">
        <v>81</v>
      </c>
    </row>
    <row r="5" customFormat="false" ht="15" hidden="false" customHeight="false" outlineLevel="0" collapsed="false">
      <c r="A5" s="25" t="s">
        <v>82</v>
      </c>
      <c r="B5" s="14" t="s">
        <v>83</v>
      </c>
      <c r="C5" s="14" t="n">
        <v>0</v>
      </c>
      <c r="D5" s="14" t="n">
        <v>120000</v>
      </c>
      <c r="E5" s="14" t="s">
        <v>84</v>
      </c>
      <c r="F5" s="26" t="n">
        <v>98500</v>
      </c>
      <c r="G5" s="26" t="n">
        <v>101200</v>
      </c>
      <c r="H5" s="26" t="n">
        <v>112400</v>
      </c>
      <c r="I5" s="26" t="n">
        <v>109800</v>
      </c>
      <c r="J5" s="26" t="n">
        <v>118300</v>
      </c>
      <c r="K5" s="26" t="n">
        <v>121900</v>
      </c>
      <c r="L5" s="26" t="n">
        <v>115700</v>
      </c>
      <c r="M5" s="26" t="n">
        <v>124600</v>
      </c>
      <c r="N5" s="26" t="n">
        <v>131200</v>
      </c>
      <c r="O5" s="26"/>
      <c r="P5" s="26"/>
      <c r="Q5" s="26"/>
      <c r="R5" s="9" t="n">
        <f aca="false">IF(COUNT(F5:Q5)=0,"",SUM(F5:Q5))</f>
        <v>1033600</v>
      </c>
      <c r="S5" s="9" t="n">
        <f aca="false">IF(COUNT(F5:Q5)=0,"",AVERAGE(F5:Q5))</f>
        <v>114844.444444444</v>
      </c>
    </row>
    <row r="6" customFormat="false" ht="15" hidden="false" customHeight="false" outlineLevel="0" collapsed="false">
      <c r="A6" s="25" t="s">
        <v>85</v>
      </c>
      <c r="B6" s="14" t="s">
        <v>83</v>
      </c>
      <c r="C6" s="14" t="n">
        <v>0</v>
      </c>
      <c r="D6" s="14" t="n">
        <v>85000</v>
      </c>
      <c r="E6" s="14" t="s">
        <v>86</v>
      </c>
      <c r="F6" s="26" t="n">
        <v>80200</v>
      </c>
      <c r="G6" s="26" t="n">
        <v>81900</v>
      </c>
      <c r="H6" s="26" t="n">
        <v>84100</v>
      </c>
      <c r="I6" s="26" t="n">
        <v>86500</v>
      </c>
      <c r="J6" s="26" t="n">
        <v>83700</v>
      </c>
      <c r="K6" s="26" t="n">
        <v>88200</v>
      </c>
      <c r="L6" s="26" t="n">
        <v>84900</v>
      </c>
      <c r="M6" s="26" t="n">
        <v>87300</v>
      </c>
      <c r="N6" s="26" t="n">
        <v>89800</v>
      </c>
      <c r="O6" s="26"/>
      <c r="P6" s="26"/>
      <c r="Q6" s="26"/>
      <c r="R6" s="9" t="n">
        <f aca="false">IF(COUNT(F6:Q6)=0,"",SUM(F6:Q6))</f>
        <v>766600</v>
      </c>
      <c r="S6" s="9" t="n">
        <f aca="false">IF(COUNT(F6:Q6)=0,"",AVERAGE(F6:Q6))</f>
        <v>85177.7777777778</v>
      </c>
    </row>
    <row r="7" customFormat="false" ht="15" hidden="false" customHeight="false" outlineLevel="0" collapsed="false">
      <c r="A7" s="25" t="s">
        <v>87</v>
      </c>
      <c r="B7" s="14" t="s">
        <v>83</v>
      </c>
      <c r="C7" s="14" t="n">
        <v>0</v>
      </c>
      <c r="D7" s="14" t="n">
        <v>35000</v>
      </c>
      <c r="E7" s="14" t="s">
        <v>84</v>
      </c>
      <c r="F7" s="26" t="n">
        <v>18300</v>
      </c>
      <c r="G7" s="26" t="n">
        <v>19300</v>
      </c>
      <c r="H7" s="26" t="n">
        <v>28300</v>
      </c>
      <c r="I7" s="26" t="n">
        <v>23300</v>
      </c>
      <c r="J7" s="26" t="n">
        <v>34600</v>
      </c>
      <c r="K7" s="26" t="n">
        <v>33700</v>
      </c>
      <c r="L7" s="26" t="n">
        <v>30800</v>
      </c>
      <c r="M7" s="26" t="n">
        <v>37300</v>
      </c>
      <c r="N7" s="26" t="n">
        <v>41400</v>
      </c>
      <c r="O7" s="26"/>
      <c r="P7" s="26"/>
      <c r="Q7" s="26"/>
      <c r="R7" s="9" t="n">
        <f aca="false">IF(COUNT(F7:Q7)=0,"",SUM(F7:Q7))</f>
        <v>267000</v>
      </c>
      <c r="S7" s="9" t="n">
        <f aca="false">IF(COUNT(F7:Q7)=0,"",AVERAGE(F7:Q7))</f>
        <v>29666.6666666667</v>
      </c>
    </row>
    <row r="8" customFormat="false" ht="15" hidden="false" customHeight="false" outlineLevel="0" collapsed="false">
      <c r="A8" s="25" t="s">
        <v>88</v>
      </c>
      <c r="B8" s="14" t="s">
        <v>89</v>
      </c>
      <c r="C8" s="14" t="n">
        <v>0</v>
      </c>
      <c r="D8" s="14" t="n">
        <v>6</v>
      </c>
      <c r="E8" s="14" t="s">
        <v>84</v>
      </c>
      <c r="F8" s="26" t="n">
        <v>3</v>
      </c>
      <c r="G8" s="26" t="n">
        <v>4</v>
      </c>
      <c r="H8" s="26" t="n">
        <v>5</v>
      </c>
      <c r="I8" s="26" t="n">
        <v>4</v>
      </c>
      <c r="J8" s="26" t="n">
        <v>6</v>
      </c>
      <c r="K8" s="26" t="n">
        <v>5</v>
      </c>
      <c r="L8" s="26" t="n">
        <v>4</v>
      </c>
      <c r="M8" s="26" t="n">
        <v>7</v>
      </c>
      <c r="N8" s="26" t="n">
        <v>6</v>
      </c>
      <c r="O8" s="26"/>
      <c r="P8" s="26"/>
      <c r="Q8" s="26"/>
      <c r="R8" s="9" t="n">
        <f aca="false">IF(COUNT(F8:Q8)=0,"",SUM(F8:Q8))</f>
        <v>44</v>
      </c>
      <c r="S8" s="9" t="n">
        <f aca="false">IF(COUNT(F8:Q8)=0,"",AVERAGE(F8:Q8))</f>
        <v>4.88888888888889</v>
      </c>
    </row>
    <row r="9" customFormat="false" ht="15" hidden="false" customHeight="false" outlineLevel="0" collapsed="false">
      <c r="A9" s="25" t="s">
        <v>90</v>
      </c>
      <c r="B9" s="14" t="s">
        <v>89</v>
      </c>
      <c r="C9" s="14" t="n">
        <v>0</v>
      </c>
      <c r="D9" s="14" t="n">
        <v>120</v>
      </c>
      <c r="E9" s="14" t="s">
        <v>84</v>
      </c>
      <c r="F9" s="26" t="n">
        <v>88</v>
      </c>
      <c r="G9" s="26" t="n">
        <v>95</v>
      </c>
      <c r="H9" s="26" t="n">
        <v>110</v>
      </c>
      <c r="I9" s="26" t="n">
        <v>102</v>
      </c>
      <c r="J9" s="26" t="n">
        <v>131</v>
      </c>
      <c r="K9" s="26" t="n">
        <v>118</v>
      </c>
      <c r="L9" s="26" t="n">
        <v>109</v>
      </c>
      <c r="M9" s="26" t="n">
        <v>142</v>
      </c>
      <c r="N9" s="26" t="n">
        <v>137</v>
      </c>
      <c r="O9" s="26"/>
      <c r="P9" s="26"/>
      <c r="Q9" s="26"/>
      <c r="R9" s="9" t="n">
        <f aca="false">IF(COUNT(F9:Q9)=0,"",SUM(F9:Q9))</f>
        <v>1032</v>
      </c>
      <c r="S9" s="9" t="n">
        <f aca="false">IF(COUNT(F9:Q9)=0,"",AVERAGE(F9:Q9))</f>
        <v>114.666666666667</v>
      </c>
    </row>
    <row r="10" customFormat="false" ht="15" hidden="false" customHeight="false" outlineLevel="0" collapsed="false">
      <c r="A10" s="25" t="s">
        <v>91</v>
      </c>
      <c r="B10" s="14" t="s">
        <v>92</v>
      </c>
      <c r="C10" s="14" t="n">
        <v>1</v>
      </c>
      <c r="D10" s="14" t="n">
        <v>5</v>
      </c>
      <c r="E10" s="14" t="s">
        <v>84</v>
      </c>
      <c r="F10" s="26" t="n">
        <v>3.4</v>
      </c>
      <c r="G10" s="26" t="n">
        <v>4.2</v>
      </c>
      <c r="H10" s="26" t="n">
        <v>4.5</v>
      </c>
      <c r="I10" s="26" t="n">
        <v>3.9</v>
      </c>
      <c r="J10" s="26" t="n">
        <v>4.6</v>
      </c>
      <c r="K10" s="26" t="n">
        <v>4.2</v>
      </c>
      <c r="L10" s="26" t="n">
        <v>3.7</v>
      </c>
      <c r="M10" s="26" t="n">
        <v>4.9</v>
      </c>
      <c r="N10" s="26" t="n">
        <v>4.4</v>
      </c>
      <c r="O10" s="26"/>
      <c r="P10" s="26"/>
      <c r="Q10" s="26"/>
      <c r="R10" s="9" t="n">
        <f aca="false">IF(COUNT(F10:Q10)=0,"",SUM(F10:Q10))</f>
        <v>37.8</v>
      </c>
      <c r="S10" s="9" t="n">
        <f aca="false">IF(COUNT(F10:Q10)=0,"",AVERAGE(F10:Q10))</f>
        <v>4.2</v>
      </c>
    </row>
    <row r="11" customFormat="false" ht="15" hidden="false" customHeight="false" outlineLevel="0" collapsed="false">
      <c r="A11" s="25" t="s">
        <v>93</v>
      </c>
      <c r="B11" s="14" t="s">
        <v>83</v>
      </c>
      <c r="C11" s="14" t="n">
        <v>0</v>
      </c>
      <c r="D11" s="14" t="n">
        <v>9000</v>
      </c>
      <c r="E11" s="14" t="s">
        <v>84</v>
      </c>
      <c r="F11" s="26" t="n">
        <v>8200</v>
      </c>
      <c r="G11" s="26" t="n">
        <v>8400</v>
      </c>
      <c r="H11" s="26" t="n">
        <v>8900</v>
      </c>
      <c r="I11" s="26" t="n">
        <v>8700</v>
      </c>
      <c r="J11" s="26" t="n">
        <v>9100</v>
      </c>
      <c r="K11" s="26" t="n">
        <v>9300</v>
      </c>
      <c r="L11" s="26" t="n">
        <v>9000</v>
      </c>
      <c r="M11" s="26" t="n">
        <v>9400</v>
      </c>
      <c r="N11" s="26" t="n">
        <v>9700</v>
      </c>
      <c r="O11" s="26"/>
      <c r="P11" s="26"/>
      <c r="Q11" s="26"/>
      <c r="R11" s="9" t="n">
        <f aca="false">IF(COUNT(F11:Q11)=0,"",SUM(F11:Q11))</f>
        <v>80700</v>
      </c>
      <c r="S11" s="9" t="n">
        <f aca="false">IF(COUNT(F11:Q11)=0,"",AVERAGE(F11:Q11))</f>
        <v>8966.66666666667</v>
      </c>
    </row>
    <row r="12" customFormat="false" ht="15" hidden="false" customHeight="false" outlineLevel="0" collapsed="false">
      <c r="A12" s="25" t="s">
        <v>94</v>
      </c>
      <c r="B12" s="14" t="s">
        <v>92</v>
      </c>
      <c r="C12" s="14" t="n">
        <v>1</v>
      </c>
      <c r="D12" s="14" t="n">
        <v>3</v>
      </c>
      <c r="E12" s="14" t="s">
        <v>86</v>
      </c>
      <c r="F12" s="26" t="n">
        <v>4.1</v>
      </c>
      <c r="G12" s="26" t="n">
        <v>3.8</v>
      </c>
      <c r="H12" s="26" t="n">
        <v>3.2</v>
      </c>
      <c r="I12" s="26" t="n">
        <v>3.5</v>
      </c>
      <c r="J12" s="26" t="n">
        <v>2.9</v>
      </c>
      <c r="K12" s="26" t="n">
        <v>3.1</v>
      </c>
      <c r="L12" s="26" t="n">
        <v>3.4</v>
      </c>
      <c r="M12" s="26" t="n">
        <v>2.6</v>
      </c>
      <c r="N12" s="26" t="n">
        <v>2.4</v>
      </c>
      <c r="O12" s="26"/>
      <c r="P12" s="26"/>
      <c r="Q12" s="26"/>
      <c r="R12" s="9" t="n">
        <f aca="false">IF(COUNT(F12:Q12)=0,"",SUM(F12:Q12))</f>
        <v>29</v>
      </c>
      <c r="S12" s="9" t="n">
        <f aca="false">IF(COUNT(F12:Q12)=0,"",AVERAGE(F12:Q12))</f>
        <v>3.22222222222222</v>
      </c>
    </row>
    <row r="13" customFormat="false" ht="15" hidden="false" customHeight="false" outlineLevel="0" collapsed="false">
      <c r="A13" s="25" t="s">
        <v>95</v>
      </c>
      <c r="B13" s="14" t="s">
        <v>89</v>
      </c>
      <c r="C13" s="14" t="n">
        <v>0</v>
      </c>
      <c r="D13" s="14" t="n">
        <v>60</v>
      </c>
      <c r="E13" s="14" t="s">
        <v>84</v>
      </c>
      <c r="F13" s="26" t="n">
        <v>52</v>
      </c>
      <c r="G13" s="26" t="n">
        <v>55</v>
      </c>
      <c r="H13" s="26" t="n">
        <v>61</v>
      </c>
      <c r="I13" s="26" t="n">
        <v>58</v>
      </c>
      <c r="J13" s="26" t="n">
        <v>64</v>
      </c>
      <c r="K13" s="26" t="n">
        <v>60</v>
      </c>
      <c r="L13" s="26" t="n">
        <v>57</v>
      </c>
      <c r="M13" s="26" t="n">
        <v>66</v>
      </c>
      <c r="N13" s="26" t="n">
        <v>63</v>
      </c>
      <c r="O13" s="26"/>
      <c r="P13" s="26"/>
      <c r="Q13" s="26"/>
      <c r="R13" s="9" t="n">
        <f aca="false">IF(COUNT(F13:Q13)=0,"",SUM(F13:Q13))</f>
        <v>536</v>
      </c>
      <c r="S13" s="9" t="n">
        <f aca="false">IF(COUNT(F13:Q13)=0,"",AVERAGE(F13:Q13))</f>
        <v>59.5555555555556</v>
      </c>
    </row>
    <row r="14" customFormat="false" ht="15" hidden="false" customHeight="false" outlineLevel="0" collapsed="false">
      <c r="A14" s="25" t="s">
        <v>96</v>
      </c>
      <c r="B14" s="14" t="s">
        <v>97</v>
      </c>
      <c r="C14" s="14" t="n">
        <v>0</v>
      </c>
      <c r="D14" s="14" t="n">
        <v>70</v>
      </c>
      <c r="E14" s="14" t="s">
        <v>84</v>
      </c>
      <c r="F14" s="26" t="n">
        <v>64</v>
      </c>
      <c r="G14" s="26" t="n">
        <v>66</v>
      </c>
      <c r="H14" s="26" t="n">
        <v>69</v>
      </c>
      <c r="I14" s="26" t="n">
        <v>67</v>
      </c>
      <c r="J14" s="26" t="n">
        <v>71</v>
      </c>
      <c r="K14" s="26" t="n">
        <v>70</v>
      </c>
      <c r="L14" s="26" t="n">
        <v>68</v>
      </c>
      <c r="M14" s="26" t="n">
        <v>73</v>
      </c>
      <c r="N14" s="26" t="n">
        <v>72</v>
      </c>
      <c r="O14" s="26"/>
      <c r="P14" s="26"/>
      <c r="Q14" s="26"/>
      <c r="R14" s="9" t="n">
        <f aca="false">IF(COUNT(F14:Q14)=0,"",SUM(F14:Q14))</f>
        <v>620</v>
      </c>
      <c r="S14" s="9" t="n">
        <f aca="false">IF(COUNT(F14:Q14)=0,"",AVERAGE(F14:Q14))</f>
        <v>68.8888888888889</v>
      </c>
    </row>
    <row r="15" customFormat="false" ht="15" hidden="false" customHeight="false" outlineLevel="0" collapsed="false">
      <c r="A15" s="25" t="s">
        <v>98</v>
      </c>
      <c r="B15" s="14" t="s">
        <v>99</v>
      </c>
      <c r="C15" s="14" t="n">
        <v>0</v>
      </c>
      <c r="D15" s="14" t="n">
        <v>20</v>
      </c>
      <c r="E15" s="14" t="s">
        <v>86</v>
      </c>
      <c r="F15" s="26" t="n">
        <v>26</v>
      </c>
      <c r="G15" s="26" t="n">
        <v>24</v>
      </c>
      <c r="H15" s="26" t="n">
        <v>18</v>
      </c>
      <c r="I15" s="26" t="n">
        <v>22</v>
      </c>
      <c r="J15" s="26" t="n">
        <v>15</v>
      </c>
      <c r="K15" s="26" t="n">
        <v>19</v>
      </c>
      <c r="L15" s="26" t="n">
        <v>23</v>
      </c>
      <c r="M15" s="26" t="n">
        <v>14</v>
      </c>
      <c r="N15" s="26" t="n">
        <v>12</v>
      </c>
      <c r="O15" s="26"/>
      <c r="P15" s="26"/>
      <c r="Q15" s="26"/>
      <c r="R15" s="9" t="n">
        <f aca="false">IF(COUNT(F15:Q15)=0,"",SUM(F15:Q15))</f>
        <v>173</v>
      </c>
      <c r="S15" s="9" t="n">
        <f aca="false">IF(COUNT(F15:Q15)=0,"",AVERAGE(F15:Q15))</f>
        <v>19.2222222222222</v>
      </c>
    </row>
    <row r="16" customFormat="false" ht="15" hidden="false" customHeight="false" outlineLevel="0" collapsed="false">
      <c r="A16" s="25" t="s">
        <v>100</v>
      </c>
      <c r="B16" s="14" t="s">
        <v>83</v>
      </c>
      <c r="C16" s="14" t="n">
        <v>2</v>
      </c>
      <c r="D16" s="14" t="n">
        <v>45</v>
      </c>
      <c r="E16" s="14" t="s">
        <v>86</v>
      </c>
      <c r="F16" s="26" t="n">
        <v>52.3</v>
      </c>
      <c r="G16" s="26" t="n">
        <v>49.8</v>
      </c>
      <c r="H16" s="26" t="n">
        <v>44.1</v>
      </c>
      <c r="I16" s="26" t="n">
        <v>47.5</v>
      </c>
      <c r="J16" s="26" t="n">
        <v>41.2</v>
      </c>
      <c r="K16" s="26" t="n">
        <v>43.9</v>
      </c>
      <c r="L16" s="26" t="n">
        <v>46.8</v>
      </c>
      <c r="M16" s="26" t="n">
        <v>39.5</v>
      </c>
      <c r="N16" s="26" t="n">
        <v>40.7</v>
      </c>
      <c r="O16" s="26"/>
      <c r="P16" s="26"/>
      <c r="Q16" s="26"/>
      <c r="R16" s="9" t="n">
        <f aca="false">IF(COUNT(F16:Q16)=0,"",SUM(F16:Q16))</f>
        <v>405.8</v>
      </c>
      <c r="S16" s="9" t="n">
        <f aca="false">IF(COUNT(F16:Q16)=0,"",AVERAGE(F16:Q16))</f>
        <v>45.0888888888889</v>
      </c>
    </row>
    <row r="18" customFormat="false" ht="15" hidden="false" customHeight="false" outlineLevel="0" collapsed="false">
      <c r="A18" s="27" t="s">
        <v>101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</row>
  </sheetData>
  <sheetProtection sheet="true" formatColumns="false" formatRows="false"/>
  <mergeCells count="2">
    <mergeCell ref="A2:R2"/>
    <mergeCell ref="A18:S18"/>
  </mergeCells>
  <dataValidations count="2">
    <dataValidation allowBlank="true" errorStyle="stop" operator="between" showDropDown="false" showErrorMessage="false" showInputMessage="false" sqref="E5:E16" type="list">
      <formula1>"Sim,Não"</formula1>
      <formula2>0</formula2>
    </dataValidation>
    <dataValidation allowBlank="true" errorStyle="stop" operator="between" showDropDown="false" showErrorMessage="false" showInputMessage="false" sqref="C5:C16" type="list">
      <formula1>"0,1,2"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2026-09-13T16:22:12Z</dcterms:created>
  <dc:creator>Seu Sócio Gestor</dc:creator>
  <dc:description/>
  <dc:language>en-US</dc:language>
  <cp:lastModifiedBy/>
  <dcterms:modified xsi:type="dcterms:W3CDTF">2026-09-13T16:22:14Z</dcterms:modified>
  <cp:revision>1</cp:revision>
  <dc:subject/>
  <dc:title>Relatório Mensal Pronto · Kit IA no Trabalho Essencial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